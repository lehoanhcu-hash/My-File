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Ngân Sách 2026\Trình duyệt ngân sách\Trạm\Update giá mới từ DTR Đc - Revise\"/>
    </mc:Choice>
  </mc:AlternateContent>
  <xr:revisionPtr revIDLastSave="0" documentId="13_ncr:1_{6F7E3E65-94E9-4CF8-9CBC-02524A316033}" xr6:coauthVersionLast="47" xr6:coauthVersionMax="47" xr10:uidLastSave="{00000000-0000-0000-0000-000000000000}"/>
  <bookViews>
    <workbookView xWindow="-110" yWindow="-110" windowWidth="19420" windowHeight="10300" xr2:uid="{4997E62C-CBF8-4DA1-9180-28275ECEA8D7}"/>
  </bookViews>
  <sheets>
    <sheet name="Sheet1" sheetId="1" r:id="rId1"/>
    <sheet name="Sheet2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1" l="1"/>
  <c r="F64" i="1" s="1"/>
  <c r="D64" i="1"/>
  <c r="D63" i="1"/>
  <c r="D62" i="1"/>
  <c r="B62" i="1"/>
  <c r="F62" i="1" l="1"/>
  <c r="F53" i="1" l="1"/>
  <c r="F52" i="1"/>
  <c r="F51" i="1"/>
  <c r="F50" i="1"/>
  <c r="F55" i="1" s="1"/>
  <c r="E51" i="1"/>
  <c r="B53" i="1"/>
  <c r="B58" i="1" s="1"/>
  <c r="B52" i="1"/>
  <c r="B57" i="1" s="1"/>
  <c r="B51" i="1"/>
  <c r="B56" i="1" s="1"/>
  <c r="B50" i="1"/>
  <c r="B55" i="1" s="1"/>
  <c r="F58" i="1" l="1"/>
  <c r="F57" i="1"/>
  <c r="F56" i="1"/>
  <c r="P45" i="1"/>
  <c r="P44" i="1"/>
  <c r="P43" i="1"/>
  <c r="P42" i="1"/>
  <c r="P41" i="1"/>
  <c r="P40" i="1"/>
  <c r="P39" i="1"/>
  <c r="P38" i="1"/>
  <c r="F14" i="1"/>
  <c r="F13" i="1"/>
  <c r="J15" i="1" s="1"/>
  <c r="F10" i="1"/>
  <c r="F9" i="1"/>
  <c r="F8" i="1"/>
  <c r="F7" i="1"/>
  <c r="F6" i="1"/>
  <c r="F16" i="1" l="1"/>
  <c r="J8" i="1"/>
  <c r="J13" i="1"/>
  <c r="J16" i="1"/>
  <c r="F11" i="1"/>
  <c r="J6" i="1"/>
  <c r="J7" i="1"/>
  <c r="J14" i="1"/>
  <c r="J10" i="1"/>
  <c r="J9" i="1"/>
  <c r="E14" i="1" l="1"/>
  <c r="I40" i="1" s="1"/>
  <c r="N40" i="1" s="1"/>
  <c r="E13" i="1"/>
  <c r="E10" i="1"/>
  <c r="E9" i="1"/>
  <c r="I9" i="1" s="1"/>
  <c r="E8" i="1"/>
  <c r="I8" i="1" s="1"/>
  <c r="E7" i="1"/>
  <c r="I7" i="1" s="1"/>
  <c r="E6" i="1"/>
  <c r="I6" i="1" s="1"/>
  <c r="E11" i="1" l="1"/>
  <c r="I10" i="1"/>
  <c r="I16" i="1"/>
  <c r="I14" i="1"/>
  <c r="I15" i="1"/>
  <c r="I13" i="1"/>
  <c r="E52" i="1" l="1"/>
  <c r="E53" i="1" l="1"/>
  <c r="E16" i="1" l="1"/>
  <c r="D6" i="1"/>
  <c r="B10" i="1"/>
  <c r="B9" i="1"/>
  <c r="B8" i="1"/>
  <c r="B7" i="1"/>
  <c r="B6" i="1"/>
  <c r="B5" i="1"/>
  <c r="B15" i="1"/>
  <c r="B14" i="1"/>
  <c r="B13" i="1"/>
  <c r="B12" i="1"/>
  <c r="G6" i="1" l="1"/>
  <c r="F34" i="1" l="1"/>
  <c r="F33" i="1"/>
  <c r="F31" i="1"/>
  <c r="F30" i="1"/>
  <c r="J40" i="1" s="1"/>
  <c r="F29" i="1"/>
  <c r="J39" i="1" s="1"/>
  <c r="F28" i="1"/>
  <c r="J38" i="1" s="1"/>
  <c r="E33" i="1"/>
  <c r="D34" i="1"/>
  <c r="F45" i="1"/>
  <c r="B45" i="1"/>
  <c r="F44" i="1"/>
  <c r="B44" i="1"/>
  <c r="F43" i="1"/>
  <c r="E43" i="1"/>
  <c r="B43" i="1"/>
  <c r="B42" i="1"/>
  <c r="F41" i="1"/>
  <c r="C41" i="1"/>
  <c r="B41" i="1"/>
  <c r="F40" i="1"/>
  <c r="C40" i="1"/>
  <c r="F39" i="1"/>
  <c r="C39" i="1"/>
  <c r="F38" i="1"/>
  <c r="C38" i="1"/>
  <c r="B38" i="1"/>
  <c r="B37" i="1"/>
  <c r="F26" i="1"/>
  <c r="F25" i="1"/>
  <c r="F24" i="1"/>
  <c r="F23" i="1"/>
  <c r="F22" i="1"/>
  <c r="F20" i="1"/>
  <c r="F19" i="1"/>
  <c r="F18" i="1"/>
  <c r="F17" i="1"/>
  <c r="E26" i="1"/>
  <c r="E25" i="1"/>
  <c r="E24" i="1"/>
  <c r="E23" i="1"/>
  <c r="E22" i="1"/>
  <c r="E18" i="1"/>
  <c r="E17" i="1"/>
  <c r="B26" i="1"/>
  <c r="B25" i="1"/>
  <c r="B24" i="1"/>
  <c r="B23" i="1"/>
  <c r="B22" i="1"/>
  <c r="B21" i="1"/>
  <c r="B20" i="1"/>
  <c r="B19" i="1"/>
  <c r="B18" i="1"/>
  <c r="B17" i="1"/>
  <c r="D21" i="1"/>
  <c r="D20" i="1"/>
  <c r="D26" i="1"/>
  <c r="D25" i="1"/>
  <c r="C29" i="1"/>
  <c r="C30" i="1"/>
  <c r="B32" i="1"/>
  <c r="B35" i="1"/>
  <c r="B34" i="1"/>
  <c r="B33" i="1"/>
  <c r="C31" i="1"/>
  <c r="B28" i="1"/>
  <c r="C28" i="1"/>
  <c r="B31" i="1"/>
  <c r="B27" i="1"/>
  <c r="O38" i="1" l="1"/>
  <c r="O39" i="1"/>
  <c r="O40" i="1"/>
  <c r="J43" i="1"/>
  <c r="O43" i="1" s="1"/>
  <c r="J44" i="1"/>
  <c r="O44" i="1" s="1"/>
  <c r="J41" i="1"/>
  <c r="F42" i="1"/>
  <c r="I43" i="1"/>
  <c r="N43" i="1" s="1"/>
  <c r="J42" i="1" l="1"/>
  <c r="O41" i="1"/>
  <c r="J45" i="1"/>
  <c r="O42" i="1"/>
  <c r="J46" i="1" l="1"/>
  <c r="O45" i="1"/>
  <c r="F32" i="1" l="1"/>
  <c r="F35" i="1" s="1"/>
  <c r="J47" i="1" s="1"/>
  <c r="D7" i="1" l="1"/>
  <c r="D8" i="1"/>
  <c r="G8" i="1" l="1"/>
  <c r="G7" i="1"/>
  <c r="D9" i="1"/>
  <c r="H7" i="1" s="1"/>
  <c r="H9" i="1" l="1"/>
  <c r="G9" i="1"/>
  <c r="H6" i="1"/>
  <c r="K8" i="1"/>
  <c r="H8" i="1"/>
  <c r="D10" i="1"/>
  <c r="D13" i="1"/>
  <c r="K9" i="1" l="1"/>
  <c r="K6" i="1"/>
  <c r="K7" i="1"/>
  <c r="H10" i="1"/>
  <c r="G10" i="1"/>
  <c r="D11" i="1"/>
  <c r="G13" i="1"/>
  <c r="K13" i="1" s="1"/>
  <c r="H13" i="1"/>
  <c r="D14" i="1"/>
  <c r="G11" i="1" l="1"/>
  <c r="K10" i="1"/>
  <c r="G14" i="1"/>
  <c r="K14" i="1" s="1"/>
  <c r="H14" i="1"/>
  <c r="D29" i="1"/>
  <c r="D15" i="1" l="1"/>
  <c r="H39" i="1"/>
  <c r="D33" i="1"/>
  <c r="D39" i="1"/>
  <c r="G33" i="1" l="1"/>
  <c r="M39" i="1"/>
  <c r="G15" i="1"/>
  <c r="H16" i="1"/>
  <c r="H15" i="1"/>
  <c r="D16" i="1"/>
  <c r="D44" i="1"/>
  <c r="D43" i="1"/>
  <c r="D31" i="1"/>
  <c r="D30" i="1"/>
  <c r="D40" i="1"/>
  <c r="D38" i="1" s="1"/>
  <c r="H40" i="1" l="1"/>
  <c r="M40" i="1" s="1"/>
  <c r="G30" i="1"/>
  <c r="D18" i="1"/>
  <c r="G18" i="1" s="1"/>
  <c r="K16" i="1"/>
  <c r="K15" i="1"/>
  <c r="G16" i="1"/>
  <c r="D23" i="1"/>
  <c r="G23" i="1" s="1"/>
  <c r="D28" i="1"/>
  <c r="H38" i="1" l="1"/>
  <c r="M38" i="1" s="1"/>
  <c r="D17" i="1"/>
  <c r="D19" i="1"/>
  <c r="G19" i="1" s="1"/>
  <c r="D42" i="1"/>
  <c r="D41" i="1"/>
  <c r="D24" i="1"/>
  <c r="G24" i="1" s="1"/>
  <c r="D32" i="1"/>
  <c r="D45" i="1"/>
  <c r="G17" i="1" l="1"/>
  <c r="H44" i="1"/>
  <c r="M44" i="1" s="1"/>
  <c r="H43" i="1"/>
  <c r="M43" i="1" s="1"/>
  <c r="H41" i="1"/>
  <c r="D35" i="1"/>
  <c r="D22" i="1"/>
  <c r="G22" i="1" s="1"/>
  <c r="H47" i="1" l="1"/>
  <c r="M41" i="1"/>
  <c r="H42" i="1"/>
  <c r="D52" i="1"/>
  <c r="M42" i="1" l="1"/>
  <c r="H45" i="1"/>
  <c r="D53" i="1"/>
  <c r="M45" i="1" l="1"/>
  <c r="H46" i="1"/>
  <c r="D51" i="1"/>
  <c r="D50" i="1" l="1"/>
  <c r="D58" i="1" s="1"/>
  <c r="D55" i="1" l="1"/>
  <c r="D57" i="1"/>
  <c r="D56" i="1"/>
  <c r="E29" i="1" l="1"/>
  <c r="I39" i="1" l="1"/>
  <c r="G29" i="1"/>
  <c r="E41" i="1" l="1"/>
  <c r="E44" i="1"/>
  <c r="E28" i="1" l="1"/>
  <c r="E39" i="1" l="1"/>
  <c r="N39" i="1" s="1"/>
  <c r="E38" i="1"/>
  <c r="I38" i="1"/>
  <c r="G28" i="1"/>
  <c r="E42" i="1"/>
  <c r="N38" i="1" l="1"/>
  <c r="E45" i="1"/>
  <c r="E50" i="1" l="1"/>
  <c r="E58" i="1" l="1"/>
  <c r="E56" i="1"/>
  <c r="E55" i="1"/>
  <c r="E57" i="1"/>
  <c r="E31" i="1" l="1"/>
  <c r="I41" i="1" l="1"/>
  <c r="G31" i="1"/>
  <c r="I42" i="1" l="1"/>
  <c r="N41" i="1"/>
  <c r="N42" i="1" l="1"/>
  <c r="E34" i="1"/>
  <c r="I44" i="1" l="1"/>
  <c r="G34" i="1"/>
  <c r="N44" i="1" l="1"/>
  <c r="I45" i="1"/>
  <c r="I46" i="1" l="1"/>
  <c r="N45" i="1"/>
  <c r="E32" i="1" l="1"/>
  <c r="E35" i="1" l="1"/>
  <c r="G32" i="1"/>
  <c r="I47" i="1" l="1"/>
  <c r="G35" i="1"/>
  <c r="E62" i="1" l="1"/>
  <c r="G62" i="1" l="1"/>
  <c r="I62" i="1" s="1"/>
  <c r="E63" i="1"/>
  <c r="E64" i="1" s="1"/>
</calcChain>
</file>

<file path=xl/sharedStrings.xml><?xml version="1.0" encoding="utf-8"?>
<sst xmlns="http://schemas.openxmlformats.org/spreadsheetml/2006/main" count="32" uniqueCount="26">
  <si>
    <t>Đại  Lộc</t>
  </si>
  <si>
    <t>Khánh Nga</t>
  </si>
  <si>
    <t>Đồng Lâm</t>
  </si>
  <si>
    <t>TC CFSX</t>
  </si>
  <si>
    <t>Tỷ lệ HH băm</t>
  </si>
  <si>
    <t>Tỷ lệ HH phân loại</t>
  </si>
  <si>
    <t>3 TRẠM</t>
  </si>
  <si>
    <t>Chai</t>
  </si>
  <si>
    <t>Vảy</t>
  </si>
  <si>
    <t>Đ/Kg</t>
  </si>
  <si>
    <t>Triệu đồng</t>
  </si>
  <si>
    <t>Đ/Kg -Cross Check</t>
  </si>
  <si>
    <t>Diff</t>
  </si>
  <si>
    <t>Giá HV</t>
  </si>
  <si>
    <t>GVUT</t>
  </si>
  <si>
    <t>DTR</t>
  </si>
  <si>
    <t>3 Trạm</t>
  </si>
  <si>
    <t>Bán hàng</t>
  </si>
  <si>
    <t>Thạch không đưa vào</t>
  </si>
  <si>
    <r>
      <t xml:space="preserve">? Đưa </t>
    </r>
    <r>
      <rPr>
        <sz val="11"/>
        <color rgb="FFFF0000"/>
        <rFont val="Aptos Narrow"/>
        <family val="2"/>
        <scheme val="minor"/>
      </rPr>
      <t>Dây đai</t>
    </r>
    <r>
      <rPr>
        <sz val="11"/>
        <color theme="1"/>
        <rFont val="Aptos Narrow"/>
        <family val="2"/>
        <scheme val="minor"/>
      </rPr>
      <t xml:space="preserve"> vào</t>
    </r>
  </si>
  <si>
    <t xml:space="preserve">Trình bày </t>
  </si>
  <si>
    <t>So sánh năm 2025, Tăng giảm</t>
  </si>
  <si>
    <t>Tỷ lệ chai vảy</t>
  </si>
  <si>
    <t>Chi phí</t>
  </si>
  <si>
    <t xml:space="preserve">Các chi phí công tác các bộ phận tự cân đối </t>
  </si>
  <si>
    <t>Và gửi lại  cho BGĐ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</si>
</sst>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_);_(* \(#,##0\);_(* &quot;-&quot;??_);_(@_)"/>
    <numFmt numFmtId="167" formatCode="#,###,,;\(#,###,,\)"/>
    <numFmt numFmtId="168" formatCode="#,###,"/>
    <numFmt numFmtId="169" formatCode="#,###,,"/>
    <numFmt numFmtId="170" formatCode="0.0%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i/>
      <sz val="10"/>
      <color rgb="FF0000FF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sz val="11"/>
      <color rgb="FFFF0000"/>
      <name val="Aptos Narrow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rgb="FF119503"/>
      </left>
      <right style="medium">
        <color theme="9"/>
      </right>
      <top/>
      <bottom style="dotted">
        <color theme="0" tint="-0.24994659260841701"/>
      </bottom>
      <diagonal/>
    </border>
    <border>
      <left style="dotted">
        <color rgb="FF119503"/>
      </left>
      <right style="medium">
        <color theme="9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7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/>
    <xf numFmtId="166" fontId="0" fillId="0" borderId="0" xfId="1" applyNumberFormat="1" applyFont="1"/>
    <xf numFmtId="167" fontId="3" fillId="2" borderId="1" xfId="1" applyNumberFormat="1" applyFont="1" applyFill="1" applyBorder="1" applyAlignment="1" applyProtection="1">
      <alignment vertical="center"/>
    </xf>
    <xf numFmtId="168" fontId="3" fillId="0" borderId="1" xfId="1" applyNumberFormat="1" applyFont="1" applyFill="1" applyBorder="1" applyAlignment="1">
      <alignment horizontal="right" vertical="center"/>
    </xf>
    <xf numFmtId="168" fontId="3" fillId="0" borderId="0" xfId="1" applyNumberFormat="1" applyFont="1" applyFill="1" applyBorder="1" applyAlignment="1">
      <alignment horizontal="right" vertical="center"/>
    </xf>
    <xf numFmtId="167" fontId="3" fillId="3" borderId="0" xfId="1" applyNumberFormat="1" applyFont="1" applyFill="1" applyBorder="1" applyAlignment="1" applyProtection="1">
      <alignment vertical="center"/>
    </xf>
    <xf numFmtId="168" fontId="4" fillId="0" borderId="1" xfId="1" applyNumberFormat="1" applyFont="1" applyFill="1" applyBorder="1" applyAlignment="1">
      <alignment horizontal="right" vertical="center"/>
    </xf>
    <xf numFmtId="167" fontId="5" fillId="0" borderId="1" xfId="1" applyNumberFormat="1" applyFont="1" applyFill="1" applyBorder="1" applyAlignment="1" applyProtection="1">
      <alignment vertical="center"/>
    </xf>
    <xf numFmtId="168" fontId="3" fillId="0" borderId="2" xfId="1" applyNumberFormat="1" applyFont="1" applyFill="1" applyBorder="1" applyAlignment="1">
      <alignment horizontal="right" vertical="center"/>
    </xf>
    <xf numFmtId="168" fontId="4" fillId="0" borderId="2" xfId="1" applyNumberFormat="1" applyFont="1" applyFill="1" applyBorder="1" applyAlignment="1">
      <alignment horizontal="right" vertical="center"/>
    </xf>
    <xf numFmtId="167" fontId="3" fillId="2" borderId="3" xfId="1" applyNumberFormat="1" applyFont="1" applyFill="1" applyBorder="1" applyAlignment="1" applyProtection="1">
      <alignment vertical="center"/>
    </xf>
    <xf numFmtId="167" fontId="3" fillId="3" borderId="3" xfId="1" applyNumberFormat="1" applyFont="1" applyFill="1" applyBorder="1" applyAlignment="1" applyProtection="1">
      <alignment vertical="center"/>
    </xf>
    <xf numFmtId="167" fontId="4" fillId="3" borderId="3" xfId="1" applyNumberFormat="1" applyFont="1" applyFill="1" applyBorder="1" applyAlignment="1" applyProtection="1">
      <alignment vertical="center"/>
    </xf>
    <xf numFmtId="167" fontId="4" fillId="3" borderId="0" xfId="1" applyNumberFormat="1" applyFont="1" applyFill="1" applyBorder="1" applyAlignment="1" applyProtection="1">
      <alignment vertical="center"/>
    </xf>
    <xf numFmtId="169" fontId="6" fillId="4" borderId="4" xfId="1" applyNumberFormat="1" applyFont="1" applyFill="1" applyBorder="1" applyAlignment="1">
      <alignment vertical="center"/>
    </xf>
    <xf numFmtId="169" fontId="7" fillId="4" borderId="4" xfId="1" applyNumberFormat="1" applyFont="1" applyFill="1" applyBorder="1" applyAlignment="1">
      <alignment vertical="center"/>
    </xf>
    <xf numFmtId="166" fontId="0" fillId="0" borderId="0" xfId="0" applyNumberFormat="1"/>
    <xf numFmtId="43" fontId="0" fillId="0" borderId="0" xfId="0" applyNumberFormat="1"/>
    <xf numFmtId="165" fontId="2" fillId="0" borderId="0" xfId="0" applyNumberFormat="1" applyFont="1"/>
    <xf numFmtId="43" fontId="0" fillId="5" borderId="0" xfId="0" applyNumberFormat="1" applyFill="1"/>
    <xf numFmtId="168" fontId="3" fillId="6" borderId="4" xfId="3" quotePrefix="1" applyNumberFormat="1" applyFont="1" applyFill="1" applyBorder="1" applyAlignment="1">
      <alignment horizontal="right" vertical="center" wrapText="1"/>
    </xf>
    <xf numFmtId="170" fontId="8" fillId="5" borderId="0" xfId="2" applyNumberFormat="1" applyFont="1" applyFill="1"/>
    <xf numFmtId="168" fontId="3" fillId="6" borderId="0" xfId="3" quotePrefix="1" applyNumberFormat="1" applyFont="1" applyFill="1" applyBorder="1" applyAlignment="1">
      <alignment horizontal="right" vertical="center" wrapText="1"/>
    </xf>
    <xf numFmtId="9" fontId="9" fillId="6" borderId="0" xfId="2" quotePrefix="1" applyFont="1" applyFill="1" applyBorder="1" applyAlignment="1">
      <alignment horizontal="right" vertical="center" wrapText="1"/>
    </xf>
    <xf numFmtId="9" fontId="0" fillId="0" borderId="0" xfId="2" applyFont="1"/>
    <xf numFmtId="9" fontId="8" fillId="0" borderId="0" xfId="2" applyFont="1"/>
    <xf numFmtId="0" fontId="8" fillId="0" borderId="0" xfId="0" applyFont="1"/>
    <xf numFmtId="0" fontId="10" fillId="0" borderId="0" xfId="0" applyFont="1"/>
    <xf numFmtId="9" fontId="10" fillId="0" borderId="0" xfId="2" applyFont="1"/>
    <xf numFmtId="168" fontId="4" fillId="6" borderId="4" xfId="3" quotePrefix="1" applyNumberFormat="1" applyFont="1" applyFill="1" applyBorder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9" fontId="8" fillId="0" borderId="0" xfId="2" applyFont="1" applyFill="1" applyBorder="1"/>
    <xf numFmtId="170" fontId="8" fillId="0" borderId="0" xfId="2" applyNumberFormat="1" applyFont="1"/>
    <xf numFmtId="9" fontId="10" fillId="5" borderId="0" xfId="2" applyFont="1" applyFill="1" applyBorder="1"/>
    <xf numFmtId="9" fontId="10" fillId="7" borderId="0" xfId="2" applyFont="1" applyFill="1" applyBorder="1"/>
    <xf numFmtId="168" fontId="4" fillId="6" borderId="0" xfId="3" quotePrefix="1" applyNumberFormat="1" applyFont="1" applyFill="1" applyBorder="1" applyAlignment="1">
      <alignment horizontal="right" vertical="center" wrapText="1"/>
    </xf>
    <xf numFmtId="168" fontId="4" fillId="0" borderId="0" xfId="1" applyNumberFormat="1" applyFont="1" applyFill="1" applyBorder="1" applyAlignment="1">
      <alignment horizontal="right" vertical="center"/>
    </xf>
    <xf numFmtId="167" fontId="3" fillId="2" borderId="0" xfId="1" applyNumberFormat="1" applyFont="1" applyFill="1" applyBorder="1" applyAlignment="1" applyProtection="1">
      <alignment vertical="center"/>
    </xf>
    <xf numFmtId="169" fontId="6" fillId="4" borderId="0" xfId="1" applyNumberFormat="1" applyFont="1" applyFill="1" applyBorder="1" applyAlignment="1">
      <alignment vertical="center"/>
    </xf>
    <xf numFmtId="169" fontId="7" fillId="4" borderId="0" xfId="1" applyNumberFormat="1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70" fontId="8" fillId="8" borderId="0" xfId="2" applyNumberFormat="1" applyFont="1" applyFill="1"/>
    <xf numFmtId="9" fontId="8" fillId="9" borderId="0" xfId="2" applyFont="1" applyFill="1" applyBorder="1"/>
    <xf numFmtId="0" fontId="12" fillId="0" borderId="0" xfId="0" applyFont="1"/>
    <xf numFmtId="0" fontId="13" fillId="0" borderId="0" xfId="0" applyFont="1"/>
    <xf numFmtId="0" fontId="13" fillId="9" borderId="0" xfId="0" applyFont="1" applyFill="1"/>
    <xf numFmtId="0" fontId="0" fillId="9" borderId="0" xfId="0" applyFill="1"/>
    <xf numFmtId="168" fontId="3" fillId="9" borderId="4" xfId="3" quotePrefix="1" applyNumberFormat="1" applyFont="1" applyFill="1" applyBorder="1" applyAlignment="1">
      <alignment horizontal="right" vertical="center" wrapText="1"/>
    </xf>
    <xf numFmtId="168" fontId="3" fillId="9" borderId="0" xfId="3" quotePrefix="1" applyNumberFormat="1" applyFont="1" applyFill="1" applyBorder="1" applyAlignment="1">
      <alignment horizontal="right" vertical="center" wrapText="1"/>
    </xf>
    <xf numFmtId="0" fontId="0" fillId="5" borderId="0" xfId="0" applyFill="1"/>
    <xf numFmtId="166" fontId="2" fillId="0" borderId="0" xfId="1" applyNumberFormat="1" applyFont="1"/>
    <xf numFmtId="166" fontId="2" fillId="0" borderId="0" xfId="0" applyNumberFormat="1" applyFont="1"/>
    <xf numFmtId="43" fontId="2" fillId="0" borderId="0" xfId="0" applyNumberFormat="1" applyFont="1"/>
    <xf numFmtId="166" fontId="0" fillId="5" borderId="0" xfId="0" applyNumberFormat="1" applyFill="1"/>
    <xf numFmtId="166" fontId="1" fillId="0" borderId="0" xfId="1" applyNumberFormat="1" applyFont="1"/>
    <xf numFmtId="167" fontId="3" fillId="0" borderId="1" xfId="1" applyNumberFormat="1" applyFont="1" applyFill="1" applyBorder="1" applyAlignment="1" applyProtection="1">
      <alignment vertical="center"/>
    </xf>
    <xf numFmtId="167" fontId="4" fillId="0" borderId="1" xfId="1" applyNumberFormat="1" applyFont="1" applyFill="1" applyBorder="1" applyAlignment="1" applyProtection="1">
      <alignment vertical="center"/>
    </xf>
    <xf numFmtId="167" fontId="3" fillId="0" borderId="3" xfId="1" applyNumberFormat="1" applyFont="1" applyFill="1" applyBorder="1" applyAlignment="1" applyProtection="1">
      <alignment vertical="center"/>
    </xf>
    <xf numFmtId="167" fontId="4" fillId="0" borderId="3" xfId="1" applyNumberFormat="1" applyFont="1" applyFill="1" applyBorder="1" applyAlignment="1" applyProtection="1">
      <alignment vertical="center"/>
    </xf>
    <xf numFmtId="166" fontId="10" fillId="10" borderId="0" xfId="0" applyNumberFormat="1" applyFont="1" applyFill="1"/>
    <xf numFmtId="167" fontId="9" fillId="2" borderId="3" xfId="1" applyNumberFormat="1" applyFont="1" applyFill="1" applyBorder="1" applyAlignment="1" applyProtection="1">
      <alignment vertical="center"/>
    </xf>
    <xf numFmtId="167" fontId="10" fillId="5" borderId="0" xfId="0" applyNumberFormat="1" applyFont="1" applyFill="1"/>
    <xf numFmtId="166" fontId="2" fillId="5" borderId="0" xfId="1" applyNumberFormat="1" applyFont="1" applyFill="1"/>
    <xf numFmtId="167" fontId="0" fillId="0" borderId="0" xfId="0" applyNumberFormat="1"/>
    <xf numFmtId="0" fontId="12" fillId="0" borderId="0" xfId="0" applyFont="1" applyAlignment="1">
      <alignment horizontal="left"/>
    </xf>
    <xf numFmtId="166" fontId="12" fillId="0" borderId="0" xfId="1" applyNumberFormat="1" applyFont="1"/>
    <xf numFmtId="166" fontId="12" fillId="0" borderId="0" xfId="0" applyNumberFormat="1" applyFont="1"/>
    <xf numFmtId="166" fontId="13" fillId="0" borderId="0" xfId="0" applyNumberFormat="1" applyFont="1"/>
    <xf numFmtId="166" fontId="12" fillId="5" borderId="0" xfId="0" applyNumberFormat="1" applyFont="1" applyFill="1"/>
    <xf numFmtId="43" fontId="12" fillId="0" borderId="0" xfId="0" applyNumberFormat="1" applyFont="1"/>
    <xf numFmtId="166" fontId="13" fillId="0" borderId="0" xfId="1" applyNumberFormat="1" applyFont="1"/>
    <xf numFmtId="43" fontId="13" fillId="0" borderId="0" xfId="0" applyNumberFormat="1" applyFont="1"/>
    <xf numFmtId="166" fontId="8" fillId="5" borderId="0" xfId="1" applyNumberFormat="1" applyFont="1" applyFill="1"/>
    <xf numFmtId="0" fontId="0" fillId="0" borderId="0" xfId="0" applyFont="1"/>
  </cellXfs>
  <cellStyles count="4">
    <cellStyle name="Comma" xfId="1" builtinId="3"/>
    <cellStyle name="Comma 3 2" xfId="3" xr:uid="{2C23F3D2-07B2-4F23-9ECE-2ABAE47728E9}"/>
    <cellStyle name="Normal" xfId="0" builtinId="0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388470</xdr:colOff>
      <xdr:row>16</xdr:row>
      <xdr:rowOff>164353</xdr:rowOff>
    </xdr:from>
    <xdr:to>
      <xdr:col>19</xdr:col>
      <xdr:colOff>155936</xdr:colOff>
      <xdr:row>32</xdr:row>
      <xdr:rowOff>190716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A940F5-A1C3-4659-8D6F-AD58D5B83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7294" y="3152588"/>
          <a:ext cx="5288230" cy="30519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G&#272;%20T&#224;i%20ch&#237;nh\Ng&#226;n%20S&#225;ch%202026\Tr&#236;nh%20duy&#7879;t%20ng&#226;n%20s&#225;ch\Tr&#7841;m\Update%20gi&#225;%20m&#7899;i%20t&#7915;%20DTR%20&#272;c%20-%20Revise\DLOC_Tram_Bieu%20mau%20KHKD%202026_V3_3.xlsx" TargetMode="External"/><Relationship Id="rId1" Type="http://schemas.openxmlformats.org/officeDocument/2006/relationships/externalLinkPath" Target="DLOC_Tram_Bieu%20mau%20KHKD%202026_V3_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G&#272;%20T&#224;i%20ch&#237;nh\Ng&#226;n%20S&#225;ch%202026\Tr&#236;nh%20duy&#7879;t%20ng&#226;n%20s&#225;ch\Tr&#7841;m\Update%20gi&#225;%20m&#7899;i%20t&#7915;%20DTR%20&#272;c%20-%20Revise\3Tram_Bieu%20mau%20KHKD%202026%20-%20Khang%20Nga%20-R5%20-%203.xlsx" TargetMode="External"/><Relationship Id="rId1" Type="http://schemas.openxmlformats.org/officeDocument/2006/relationships/externalLinkPath" Target="3Tram_Bieu%20mau%20KHKD%202026%20-%20Khang%20Nga%20-R5%20-%20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G&#272;%20T&#224;i%20ch&#237;nh\Ng&#226;n%20S&#225;ch%202026\Tr&#236;nh%20duy&#7879;t%20ng&#226;n%20s&#225;ch\Tr&#7841;m\Update%20gi&#225;%20m&#7899;i%20t&#7915;%20DTR%20&#272;c%20-%20Revise\DongLam_Bieu%20mau%20KHKD%202026%20-%20Final%20(19.01.26)%20-%20V3.xlsx" TargetMode="External"/><Relationship Id="rId1" Type="http://schemas.openxmlformats.org/officeDocument/2006/relationships/externalLinkPath" Target="DongLam_Bieu%20mau%20KHKD%202026%20-%20Final%20(19.01.26)%20-%20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line &amp; PIC"/>
      <sheetName val="Thongtin"/>
      <sheetName val="KH hanh dong"/>
      <sheetName val="KDKD DAY DAI"/>
      <sheetName val="KH DAY DAI"/>
      <sheetName val="Cong suat"/>
      <sheetName val="Dinh muc"/>
      <sheetName val="Dinh muc (2)"/>
      <sheetName val="Dinh bien_HCNS"/>
      <sheetName val="LUONG"/>
      <sheetName val="GB"/>
      <sheetName val="KQKD PET"/>
      <sheetName val="KQKD HD"/>
      <sheetName val="KQKD Tong hop"/>
      <sheetName val="1.NVL Chai"/>
      <sheetName val="2.Hao hut &amp; % chai "/>
      <sheetName val="3.Thanh pham"/>
      <sheetName val="4.Doanh thu"/>
      <sheetName val="CPSX"/>
      <sheetName val="CPBH"/>
      <sheetName val="CPQL"/>
      <sheetName val="CP_Kg"/>
      <sheetName val="PB_TSCD"/>
      <sheetName val="PB_TSCD DC"/>
      <sheetName val="PB_CPTT"/>
      <sheetName val="FORM OH"/>
      <sheetName val="MD"/>
      <sheetName val="DATA Phan 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C5" t="str">
            <v>SẢN LƯỢNG BÁN (TẤN)</v>
          </cell>
          <cell r="R5">
            <v>10421035</v>
          </cell>
        </row>
        <row r="6">
          <cell r="C6" t="str">
            <v>Chai PET</v>
          </cell>
          <cell r="R6">
            <v>3296875</v>
          </cell>
        </row>
        <row r="7">
          <cell r="C7" t="str">
            <v>Vảy PET</v>
          </cell>
          <cell r="R7">
            <v>7124160</v>
          </cell>
        </row>
        <row r="8">
          <cell r="C8" t="str">
            <v>Vảy HD</v>
          </cell>
          <cell r="R8">
            <v>0</v>
          </cell>
        </row>
        <row r="9">
          <cell r="C9" t="str">
            <v>Dây Đai PET</v>
          </cell>
          <cell r="R9">
            <v>0</v>
          </cell>
        </row>
        <row r="10">
          <cell r="C10" t="str">
            <v xml:space="preserve">DOANH THU </v>
          </cell>
          <cell r="R10">
            <v>159047927500</v>
          </cell>
        </row>
        <row r="11">
          <cell r="C11" t="str">
            <v>Chai PET</v>
          </cell>
          <cell r="R11">
            <v>47100937500</v>
          </cell>
        </row>
        <row r="12">
          <cell r="C12" t="str">
            <v>Vảy PET</v>
          </cell>
          <cell r="R12">
            <v>111946990000</v>
          </cell>
        </row>
        <row r="13">
          <cell r="C13" t="str">
            <v>Vảy HD</v>
          </cell>
          <cell r="R13">
            <v>0</v>
          </cell>
        </row>
        <row r="14">
          <cell r="C14" t="str">
            <v>Dây Đai PET</v>
          </cell>
          <cell r="R14">
            <v>0</v>
          </cell>
        </row>
        <row r="17">
          <cell r="C17" t="str">
            <v>BIẾN PHÍ SẢN XUẤT</v>
          </cell>
          <cell r="R17">
            <v>144091178348.22675</v>
          </cell>
        </row>
        <row r="18">
          <cell r="C18" t="str">
            <v>Nguyên vật liệu chính (nhựa, gồm hao hụt)</v>
          </cell>
          <cell r="R18">
            <v>126687500000</v>
          </cell>
        </row>
        <row r="19">
          <cell r="C19" t="str">
            <v>Trong đó: i/ Hao hụt CĐ phân loại chai</v>
          </cell>
          <cell r="R19">
            <v>14894649375</v>
          </cell>
        </row>
        <row r="20">
          <cell r="C20" t="str">
            <v xml:space="preserve">               ii/ Hao hụt CĐ băm vảy</v>
          </cell>
          <cell r="R20">
            <v>8669022925</v>
          </cell>
        </row>
        <row r="49">
          <cell r="C49" t="str">
            <v>LỢI NHUẬN TRƯỚC THUẾ</v>
          </cell>
          <cell r="R49">
            <v>-11537066006.181444</v>
          </cell>
        </row>
      </sheetData>
      <sheetData sheetId="14"/>
      <sheetData sheetId="15"/>
      <sheetData sheetId="16">
        <row r="3">
          <cell r="B3" t="str">
            <v>I - THÀNH PHẨM SAU PHÂN LOẠI CHAI PET</v>
          </cell>
        </row>
        <row r="4">
          <cell r="B4" t="str">
            <v>1.1 Sản xuất từ chai PET B0 - Xá tròn</v>
          </cell>
        </row>
        <row r="21">
          <cell r="R21">
            <v>4272000</v>
          </cell>
        </row>
        <row r="23">
          <cell r="B23" t="str">
            <v>1.2 Sản xuất từ chai PET B0 - Ép kiện</v>
          </cell>
        </row>
        <row r="40">
          <cell r="R40">
            <v>6155250</v>
          </cell>
        </row>
        <row r="42">
          <cell r="B42" t="str">
            <v>1.3 Sản xuất từ chai PET B1.4 (tuyển xô)</v>
          </cell>
        </row>
        <row r="59">
          <cell r="R59">
            <v>603125</v>
          </cell>
        </row>
        <row r="61">
          <cell r="B61" t="str">
            <v>1.4 Thành phẩm sau khi phân loại chai PET</v>
          </cell>
        </row>
        <row r="78">
          <cell r="R78">
            <v>11030375</v>
          </cell>
        </row>
        <row r="80">
          <cell r="B80" t="str">
            <v>1.5 Thành phẩm chai PET bán về DTR</v>
          </cell>
        </row>
        <row r="97">
          <cell r="R97">
            <v>3296875</v>
          </cell>
        </row>
        <row r="99">
          <cell r="B99" t="str">
            <v>II - THÀNH PHẨM SAU KHI BĂM VẢY PET</v>
          </cell>
        </row>
        <row r="100">
          <cell r="B100" t="str">
            <v>2.1 Thành phẩm chai PET đưa vào băm vảy PET</v>
          </cell>
        </row>
        <row r="117">
          <cell r="R117">
            <v>7733500</v>
          </cell>
        </row>
        <row r="119">
          <cell r="B119" t="str">
            <v>2.2 Thành phẩm vảy PET bán về DTR</v>
          </cell>
        </row>
        <row r="136">
          <cell r="R136">
            <v>3269925</v>
          </cell>
        </row>
        <row r="138">
          <cell r="B138" t="str">
            <v>2.2 Thành phẩm vảy PET bán về DTR - SX chuyen HD</v>
          </cell>
        </row>
        <row r="155">
          <cell r="R155">
            <v>3854235</v>
          </cell>
        </row>
      </sheetData>
      <sheetData sheetId="17"/>
      <sheetData sheetId="18">
        <row r="5">
          <cell r="W5">
            <v>14171499196.72674</v>
          </cell>
        </row>
        <row r="27">
          <cell r="W27">
            <v>9847598945.7517204</v>
          </cell>
        </row>
        <row r="49">
          <cell r="W49">
            <v>3911251090.9750257</v>
          </cell>
        </row>
        <row r="71">
          <cell r="W71">
            <v>11316374166.005554</v>
          </cell>
        </row>
        <row r="101">
          <cell r="W101">
            <v>25487873362.732292</v>
          </cell>
        </row>
        <row r="105">
          <cell r="W105">
            <v>3246054147.5</v>
          </cell>
        </row>
        <row r="127">
          <cell r="W127">
            <v>5904241762.3709679</v>
          </cell>
        </row>
        <row r="157">
          <cell r="W157">
            <v>9150295909.8709679</v>
          </cell>
        </row>
      </sheetData>
      <sheetData sheetId="19">
        <row r="8">
          <cell r="W8">
            <v>3451953422.2222223</v>
          </cell>
        </row>
      </sheetData>
      <sheetData sheetId="20">
        <row r="65">
          <cell r="W65">
            <v>6274227700.723773</v>
          </cell>
        </row>
      </sheetData>
      <sheetData sheetId="21">
        <row r="6">
          <cell r="W6">
            <v>927.54372968667235</v>
          </cell>
        </row>
        <row r="29">
          <cell r="W29">
            <v>1196.1286852068549</v>
          </cell>
        </row>
        <row r="74">
          <cell r="W74">
            <v>1652.4861425354125</v>
          </cell>
        </row>
        <row r="104">
          <cell r="W104">
            <v>3776.1585574289397</v>
          </cell>
        </row>
        <row r="109">
          <cell r="W109">
            <v>331.24861611367993</v>
          </cell>
        </row>
        <row r="171">
          <cell r="W171">
            <v>602.07337377945419</v>
          </cell>
        </row>
        <row r="172">
          <cell r="W172">
            <v>4709.480547322074</v>
          </cell>
        </row>
      </sheetData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line &amp; PIC"/>
      <sheetName val="Thongtin"/>
      <sheetName val="KH hanh dong"/>
      <sheetName val="KQKD Tong hop"/>
      <sheetName val="KQKD PET"/>
      <sheetName val="KQKD HD"/>
      <sheetName val="Cong suat"/>
      <sheetName val="Dinh muc"/>
      <sheetName val="Dinh bien_HCNS"/>
      <sheetName val="LUONG"/>
      <sheetName val="Luong_HCNS"/>
      <sheetName val="4.Doanh thu"/>
      <sheetName val="1.NVL Chai"/>
      <sheetName val="2.Hao hut &amp; % chai "/>
      <sheetName val="3.Thanh pham"/>
      <sheetName val="CPSX"/>
      <sheetName val="CPBH"/>
      <sheetName val="CPQL"/>
      <sheetName val="CP_HDKD"/>
      <sheetName val="CP_Kg"/>
      <sheetName val="PB_TSCD"/>
      <sheetName val="PB_CPTT"/>
      <sheetName val="DATA Phan bo"/>
      <sheetName val="FORM OH"/>
      <sheetName val="MD"/>
    </sheetNames>
    <sheetDataSet>
      <sheetData sheetId="0"/>
      <sheetData sheetId="1"/>
      <sheetData sheetId="2"/>
      <sheetData sheetId="3">
        <row r="5">
          <cell r="S5">
            <v>7116000</v>
          </cell>
        </row>
        <row r="6">
          <cell r="S6">
            <v>7116000</v>
          </cell>
        </row>
        <row r="9">
          <cell r="S9">
            <v>99594000000</v>
          </cell>
        </row>
        <row r="10">
          <cell r="S10">
            <v>99594000000</v>
          </cell>
        </row>
        <row r="11">
          <cell r="S11">
            <v>0</v>
          </cell>
        </row>
        <row r="12">
          <cell r="S12">
            <v>0</v>
          </cell>
        </row>
        <row r="13">
          <cell r="S13">
            <v>0</v>
          </cell>
        </row>
        <row r="15">
          <cell r="S15">
            <v>87405554348.773117</v>
          </cell>
        </row>
        <row r="16">
          <cell r="S16">
            <v>80000000000</v>
          </cell>
        </row>
        <row r="17">
          <cell r="S17">
            <v>8840000000</v>
          </cell>
        </row>
        <row r="18">
          <cell r="S18">
            <v>0</v>
          </cell>
        </row>
        <row r="47">
          <cell r="S47">
            <v>-1864021012.63311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1">
          <cell r="T21">
            <v>4680000</v>
          </cell>
        </row>
        <row r="40">
          <cell r="T40">
            <v>2436000</v>
          </cell>
        </row>
        <row r="59">
          <cell r="T59">
            <v>0</v>
          </cell>
        </row>
        <row r="78">
          <cell r="T78">
            <v>7116000</v>
          </cell>
        </row>
        <row r="97">
          <cell r="T97">
            <v>7116000</v>
          </cell>
        </row>
        <row r="117">
          <cell r="T117">
            <v>0</v>
          </cell>
        </row>
        <row r="136">
          <cell r="T136">
            <v>0</v>
          </cell>
        </row>
      </sheetData>
      <sheetData sheetId="15">
        <row r="5">
          <cell r="W5">
            <v>7405554348.7731152</v>
          </cell>
        </row>
        <row r="27">
          <cell r="W27">
            <v>7405554348.7731152</v>
          </cell>
        </row>
        <row r="71">
          <cell r="W71">
            <v>7114509338.5931368</v>
          </cell>
        </row>
        <row r="106">
          <cell r="W106">
            <v>14520063687.366253</v>
          </cell>
        </row>
      </sheetData>
      <sheetData sheetId="16">
        <row r="8">
          <cell r="W8">
            <v>1524857142.8571429</v>
          </cell>
        </row>
      </sheetData>
      <sheetData sheetId="17">
        <row r="68">
          <cell r="W68">
            <v>5413820182.4097147</v>
          </cell>
        </row>
      </sheetData>
      <sheetData sheetId="18"/>
      <sheetData sheetId="19">
        <row r="5">
          <cell r="B5" t="str">
            <v>I - CHI PHÍ SẢN XUẤT</v>
          </cell>
        </row>
        <row r="6">
          <cell r="B6" t="str">
            <v>I</v>
          </cell>
          <cell r="G6" t="str">
            <v>BIẾN PHÍ</v>
          </cell>
          <cell r="X6">
            <v>984.41521716595673</v>
          </cell>
        </row>
        <row r="28">
          <cell r="B28" t="str">
            <v>II</v>
          </cell>
          <cell r="G28" t="str">
            <v>ĐỊNH PHÍ</v>
          </cell>
          <cell r="X28">
            <v>951.27968224209303</v>
          </cell>
        </row>
        <row r="58">
          <cell r="X58">
            <v>1935.6948994080499</v>
          </cell>
        </row>
        <row r="59">
          <cell r="B59" t="str">
            <v>II - CHI PHÍ BÁN HÀNG</v>
          </cell>
        </row>
        <row r="64">
          <cell r="X64">
            <v>214.28571428571428</v>
          </cell>
        </row>
        <row r="65">
          <cell r="B65" t="str">
            <v>III - CHI PHÍ QUẢN LÝ</v>
          </cell>
        </row>
        <row r="126">
          <cell r="X126">
            <v>708.59249985407996</v>
          </cell>
        </row>
        <row r="127">
          <cell r="B127" t="str">
            <v>IV=I+II+III</v>
          </cell>
          <cell r="X127">
            <v>2858.5731135478441</v>
          </cell>
        </row>
      </sheetData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QKD Tong hop"/>
      <sheetName val="Cong suat"/>
      <sheetName val="Dinh muc"/>
      <sheetName val="Dinh bien_HCNS"/>
      <sheetName val="LUONG"/>
      <sheetName val="4.Doanh thu"/>
      <sheetName val="1.NVL Chai"/>
      <sheetName val="2.Hao hut &amp; % chai "/>
      <sheetName val="3.Thanh pham"/>
      <sheetName val="CPSX"/>
      <sheetName val="CPBH"/>
      <sheetName val="CPQL"/>
      <sheetName val="CP_Kg"/>
      <sheetName val="PB_CPTT"/>
      <sheetName val="PB_TSCD"/>
      <sheetName val="DATA Phan bo"/>
      <sheetName val="FORM OH"/>
      <sheetName val="Sheet1"/>
      <sheetName val="MD"/>
    </sheetNames>
    <sheetDataSet>
      <sheetData sheetId="0">
        <row r="5">
          <cell r="S5">
            <v>11696882.275</v>
          </cell>
        </row>
        <row r="6">
          <cell r="S6">
            <v>1223627.5</v>
          </cell>
        </row>
        <row r="7">
          <cell r="S7">
            <v>10473254.775</v>
          </cell>
        </row>
        <row r="8">
          <cell r="S8">
            <v>0</v>
          </cell>
        </row>
        <row r="9">
          <cell r="S9">
            <v>181520200950</v>
          </cell>
        </row>
        <row r="10">
          <cell r="S10">
            <v>16415442000</v>
          </cell>
        </row>
        <row r="11">
          <cell r="S11">
            <v>165104758950</v>
          </cell>
        </row>
        <row r="12">
          <cell r="S12">
            <v>0</v>
          </cell>
        </row>
        <row r="13">
          <cell r="S13">
            <v>0</v>
          </cell>
        </row>
        <row r="15">
          <cell r="S15">
            <v>169893422155.37198</v>
          </cell>
        </row>
        <row r="16">
          <cell r="S16">
            <v>142800000000</v>
          </cell>
        </row>
        <row r="17">
          <cell r="S17">
            <v>17549300000</v>
          </cell>
        </row>
        <row r="18">
          <cell r="S18">
            <v>8281877250</v>
          </cell>
        </row>
        <row r="47">
          <cell r="S47">
            <v>-11050609563.62014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S21">
            <v>4515415</v>
          </cell>
        </row>
        <row r="40">
          <cell r="S40">
            <v>8009655</v>
          </cell>
        </row>
        <row r="59">
          <cell r="S59">
            <v>0</v>
          </cell>
        </row>
        <row r="78">
          <cell r="S78">
            <v>12525070</v>
          </cell>
        </row>
        <row r="97">
          <cell r="S97">
            <v>1223627.5</v>
          </cell>
        </row>
        <row r="117">
          <cell r="S117">
            <v>11301442.5</v>
          </cell>
        </row>
        <row r="136">
          <cell r="S136">
            <v>10473254.775</v>
          </cell>
        </row>
      </sheetData>
      <sheetData sheetId="9">
        <row r="5">
          <cell r="W5">
            <v>27093422155.371994</v>
          </cell>
        </row>
        <row r="27">
          <cell r="W27">
            <v>15928723335.593502</v>
          </cell>
        </row>
        <row r="49">
          <cell r="W49">
            <v>11164698819.778484</v>
          </cell>
        </row>
        <row r="71">
          <cell r="W71">
            <v>14298985215.577778</v>
          </cell>
        </row>
      </sheetData>
      <sheetData sheetId="10">
        <row r="8">
          <cell r="W8">
            <v>3840892528</v>
          </cell>
        </row>
      </sheetData>
      <sheetData sheetId="11">
        <row r="65">
          <cell r="W65">
            <v>4687510614.6703711</v>
          </cell>
        </row>
      </sheetData>
      <sheetData sheetId="12">
        <row r="6">
          <cell r="W6">
            <v>2316.2943353956252</v>
          </cell>
        </row>
        <row r="28">
          <cell r="G28" t="str">
            <v>BIẾN PHÍ SẢN XUẤT - PHÂN LOẠI CHAI PET</v>
          </cell>
          <cell r="W28">
            <v>1271.7472505617538</v>
          </cell>
        </row>
        <row r="50">
          <cell r="G50" t="str">
            <v>BIẾN PHÍ SẢN XUẤT - BĂM VẢY PET</v>
          </cell>
          <cell r="W50">
            <v>1066.019977517303</v>
          </cell>
        </row>
        <row r="72">
          <cell r="W72">
            <v>1222.4612404742509</v>
          </cell>
        </row>
        <row r="108">
          <cell r="W108">
            <v>328.36891384375326</v>
          </cell>
        </row>
        <row r="170">
          <cell r="W170">
            <v>400.74872128012174</v>
          </cell>
        </row>
        <row r="171">
          <cell r="W171">
            <v>4267.8732109937509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66F0-8CA6-492E-88EB-6BE352D5969D}">
  <dimension ref="B4:P67"/>
  <sheetViews>
    <sheetView tabSelected="1" topLeftCell="A30" zoomScale="85" zoomScaleNormal="85" workbookViewId="0">
      <selection activeCell="E41" sqref="E41"/>
    </sheetView>
  </sheetViews>
  <sheetFormatPr defaultRowHeight="14.5" x14ac:dyDescent="0.35"/>
  <cols>
    <col min="2" max="2" width="20.90625" customWidth="1"/>
    <col min="3" max="3" width="37.26953125" customWidth="1"/>
    <col min="4" max="4" width="16.54296875" customWidth="1"/>
    <col min="5" max="5" width="12.1796875" customWidth="1"/>
    <col min="6" max="6" width="12.81640625" customWidth="1"/>
    <col min="7" max="7" width="16.453125" bestFit="1" customWidth="1"/>
    <col min="8" max="8" width="10.1796875" customWidth="1"/>
    <col min="9" max="9" width="11.1796875" customWidth="1"/>
    <col min="10" max="10" width="9.1796875" bestFit="1" customWidth="1"/>
    <col min="13" max="13" width="7.7265625" bestFit="1" customWidth="1"/>
    <col min="14" max="14" width="7.1796875" bestFit="1" customWidth="1"/>
    <col min="15" max="15" width="6.08984375" bestFit="1" customWidth="1"/>
    <col min="16" max="16" width="5" bestFit="1" customWidth="1"/>
  </cols>
  <sheetData>
    <row r="4" spans="2:13" x14ac:dyDescent="0.35">
      <c r="D4" s="33" t="s">
        <v>0</v>
      </c>
      <c r="E4" s="33" t="s">
        <v>1</v>
      </c>
      <c r="F4" s="33" t="s">
        <v>2</v>
      </c>
      <c r="G4" s="43" t="s">
        <v>6</v>
      </c>
      <c r="H4" s="33" t="s">
        <v>0</v>
      </c>
      <c r="I4" s="33" t="s">
        <v>1</v>
      </c>
      <c r="J4" s="33" t="s">
        <v>2</v>
      </c>
      <c r="K4" s="43" t="s">
        <v>6</v>
      </c>
      <c r="M4" t="s">
        <v>22</v>
      </c>
    </row>
    <row r="5" spans="2:13" x14ac:dyDescent="0.35">
      <c r="B5" s="46" t="str">
        <f>'[1]3.Thanh pham'!$B$3</f>
        <v>I - THÀNH PHẨM SAU PHÂN LOẠI CHAI PET</v>
      </c>
    </row>
    <row r="6" spans="2:13" x14ac:dyDescent="0.35">
      <c r="B6" s="29" t="str">
        <f>'[1]3.Thanh pham'!$B$4</f>
        <v>1.1 Sản xuất từ chai PET B0 - Xá tròn</v>
      </c>
      <c r="D6" s="32">
        <f>'[1]3.Thanh pham'!$R$21</f>
        <v>4272000</v>
      </c>
      <c r="E6" s="32">
        <f>'[2]3.Thanh pham'!$T$21</f>
        <v>4680000</v>
      </c>
      <c r="F6" s="32">
        <f>'[3]3.Thanh pham'!$S$21</f>
        <v>4515415</v>
      </c>
      <c r="G6" s="38">
        <f>SUM(D6:F6)</f>
        <v>13467415</v>
      </c>
      <c r="H6" s="28">
        <f>D6/D$9</f>
        <v>0.38729417630860236</v>
      </c>
      <c r="I6" s="28">
        <f t="shared" ref="I6:K9" si="0">E6/E$9</f>
        <v>0.65767284991568298</v>
      </c>
      <c r="J6" s="28">
        <f t="shared" si="0"/>
        <v>0.36051016082145648</v>
      </c>
      <c r="K6" s="28">
        <f t="shared" si="0"/>
        <v>0.43908642061044073</v>
      </c>
    </row>
    <row r="7" spans="2:13" x14ac:dyDescent="0.35">
      <c r="B7" s="29" t="str">
        <f>'[1]3.Thanh pham'!$B$23</f>
        <v>1.2 Sản xuất từ chai PET B0 - Ép kiện</v>
      </c>
      <c r="D7" s="32">
        <f>'[1]3.Thanh pham'!$R$40</f>
        <v>6155250</v>
      </c>
      <c r="E7" s="32">
        <f>'[2]3.Thanh pham'!$T$40</f>
        <v>2436000</v>
      </c>
      <c r="F7" s="32">
        <f>'[3]3.Thanh pham'!$S$40</f>
        <v>8009655</v>
      </c>
      <c r="G7" s="38">
        <f t="shared" ref="G7:G10" si="1">SUM(D7:F7)</f>
        <v>16600905</v>
      </c>
      <c r="H7" s="28">
        <f t="shared" ref="H7:H9" si="2">D7/D$9</f>
        <v>0.55802726561880267</v>
      </c>
      <c r="I7" s="28">
        <f t="shared" si="0"/>
        <v>0.34232715008431702</v>
      </c>
      <c r="J7" s="28">
        <f t="shared" si="0"/>
        <v>0.63948983917854352</v>
      </c>
      <c r="K7" s="28">
        <f t="shared" si="0"/>
        <v>0.54124952378344093</v>
      </c>
    </row>
    <row r="8" spans="2:13" x14ac:dyDescent="0.35">
      <c r="B8" s="29" t="str">
        <f>'[1]3.Thanh pham'!$B$42</f>
        <v>1.3 Sản xuất từ chai PET B1.4 (tuyển xô)</v>
      </c>
      <c r="D8" s="32">
        <f>'[1]3.Thanh pham'!$R$59</f>
        <v>603125</v>
      </c>
      <c r="E8" s="32">
        <f>'[2]3.Thanh pham'!$T$59</f>
        <v>0</v>
      </c>
      <c r="F8" s="32">
        <f>'[3]3.Thanh pham'!$S$59</f>
        <v>0</v>
      </c>
      <c r="G8" s="38">
        <f t="shared" si="1"/>
        <v>603125</v>
      </c>
      <c r="H8" s="28">
        <f t="shared" si="2"/>
        <v>5.4678558072594995E-2</v>
      </c>
      <c r="I8" s="28">
        <f t="shared" si="0"/>
        <v>0</v>
      </c>
      <c r="J8" s="28">
        <f t="shared" si="0"/>
        <v>0</v>
      </c>
      <c r="K8" s="28">
        <f t="shared" si="0"/>
        <v>1.9664055606118329E-2</v>
      </c>
    </row>
    <row r="9" spans="2:13" s="3" customFormat="1" x14ac:dyDescent="0.35">
      <c r="B9" s="30" t="str">
        <f>'[1]3.Thanh pham'!$B$61</f>
        <v>1.4 Thành phẩm sau khi phân loại chai PET</v>
      </c>
      <c r="D9" s="23">
        <f>'[1]3.Thanh pham'!$R$78</f>
        <v>11030375</v>
      </c>
      <c r="E9" s="23">
        <f>'[2]3.Thanh pham'!$T$78</f>
        <v>7116000</v>
      </c>
      <c r="F9" s="23">
        <f>'[3]3.Thanh pham'!$S$78</f>
        <v>12525070</v>
      </c>
      <c r="G9" s="25">
        <f t="shared" si="1"/>
        <v>30671445</v>
      </c>
      <c r="H9" s="31">
        <f t="shared" si="2"/>
        <v>1</v>
      </c>
      <c r="I9" s="31">
        <f t="shared" si="0"/>
        <v>1</v>
      </c>
      <c r="J9" s="31">
        <f t="shared" si="0"/>
        <v>1</v>
      </c>
      <c r="K9" s="31">
        <f t="shared" si="0"/>
        <v>1</v>
      </c>
    </row>
    <row r="10" spans="2:13" x14ac:dyDescent="0.35">
      <c r="B10" s="48" t="str">
        <f>'[1]3.Thanh pham'!$B$80</f>
        <v>1.5 Thành phẩm chai PET bán về DTR</v>
      </c>
      <c r="C10" s="49"/>
      <c r="D10" s="50">
        <f>'[1]3.Thanh pham'!$R$97</f>
        <v>3296875</v>
      </c>
      <c r="E10" s="50">
        <f>'[2]3.Thanh pham'!$T$97</f>
        <v>7116000</v>
      </c>
      <c r="F10" s="50">
        <f>'[3]3.Thanh pham'!$S$97</f>
        <v>1223627.5</v>
      </c>
      <c r="G10" s="51">
        <f t="shared" si="1"/>
        <v>11636502.5</v>
      </c>
      <c r="H10" s="45">
        <f>D10/D9</f>
        <v>0.29889056355744931</v>
      </c>
      <c r="I10" s="45">
        <f t="shared" ref="I10:K10" si="3">E10/E9</f>
        <v>1</v>
      </c>
      <c r="J10" s="45">
        <f t="shared" si="3"/>
        <v>9.7694264383352741E-2</v>
      </c>
      <c r="K10" s="36">
        <f t="shared" si="3"/>
        <v>0.37939205342298021</v>
      </c>
      <c r="L10" t="s">
        <v>7</v>
      </c>
    </row>
    <row r="11" spans="2:13" x14ac:dyDescent="0.35">
      <c r="B11" t="s">
        <v>5</v>
      </c>
      <c r="D11" s="26">
        <f>(D10+D13)/D9</f>
        <v>1</v>
      </c>
      <c r="E11" s="26">
        <f t="shared" ref="E11:G11" si="4">(E10+E13)/E9</f>
        <v>1</v>
      </c>
      <c r="F11" s="26">
        <f t="shared" si="4"/>
        <v>1</v>
      </c>
      <c r="G11" s="26">
        <f t="shared" si="4"/>
        <v>1</v>
      </c>
    </row>
    <row r="12" spans="2:13" x14ac:dyDescent="0.35">
      <c r="B12" s="46" t="str">
        <f>'[1]3.Thanh pham'!$B$99</f>
        <v>II - THÀNH PHẨM SAU KHI BĂM VẢY PET</v>
      </c>
    </row>
    <row r="13" spans="2:13" x14ac:dyDescent="0.35">
      <c r="B13" t="str">
        <f>'[1]3.Thanh pham'!$B$100</f>
        <v>2.1 Thành phẩm chai PET đưa vào băm vảy PET</v>
      </c>
      <c r="D13" s="23">
        <f>'[1]3.Thanh pham'!$R$117</f>
        <v>7733500</v>
      </c>
      <c r="E13" s="23">
        <f>'[2]3.Thanh pham'!$T$117</f>
        <v>0</v>
      </c>
      <c r="F13" s="23">
        <f>'[3]3.Thanh pham'!$S$117</f>
        <v>11301442.5</v>
      </c>
      <c r="G13" s="25">
        <f t="shared" ref="G13:G19" si="5">SUM(D13:F13)</f>
        <v>19034942.5</v>
      </c>
      <c r="H13" s="37">
        <f>D13/D9</f>
        <v>0.70110943644255064</v>
      </c>
      <c r="I13" s="37">
        <f t="shared" ref="I13:K13" si="6">E13/E9</f>
        <v>0</v>
      </c>
      <c r="J13" s="37">
        <f t="shared" si="6"/>
        <v>0.90230573561664729</v>
      </c>
      <c r="K13" s="36">
        <f t="shared" si="6"/>
        <v>0.62060794657701979</v>
      </c>
      <c r="L13" t="s">
        <v>8</v>
      </c>
    </row>
    <row r="14" spans="2:13" x14ac:dyDescent="0.35">
      <c r="B14" s="47" t="str">
        <f>'[1]3.Thanh pham'!$B$119</f>
        <v>2.2 Thành phẩm vảy PET bán về DTR</v>
      </c>
      <c r="D14" s="32">
        <f>'[1]3.Thanh pham'!$R$136</f>
        <v>3269925</v>
      </c>
      <c r="E14" s="32">
        <f>'[2]3.Thanh pham'!$T$136</f>
        <v>0</v>
      </c>
      <c r="F14" s="32">
        <f>'[3]3.Thanh pham'!$S$136</f>
        <v>10473254.775</v>
      </c>
      <c r="G14" s="38">
        <f t="shared" si="5"/>
        <v>13743179.775</v>
      </c>
      <c r="H14" s="34">
        <f>D14/D13</f>
        <v>0.42282601668067499</v>
      </c>
      <c r="I14" s="34">
        <f t="shared" ref="I14:K14" si="7">E14/E9</f>
        <v>0</v>
      </c>
      <c r="J14" s="34">
        <f t="shared" si="7"/>
        <v>0.836183332707921</v>
      </c>
      <c r="K14" s="34">
        <f t="shared" si="7"/>
        <v>0.44807734930649668</v>
      </c>
    </row>
    <row r="15" spans="2:13" x14ac:dyDescent="0.35">
      <c r="B15" s="47" t="str">
        <f>'[1]3.Thanh pham'!$B$138</f>
        <v>2.2 Thành phẩm vảy PET bán về DTR - SX chuyen HD</v>
      </c>
      <c r="D15" s="32">
        <f>'[1]3.Thanh pham'!$R$155</f>
        <v>3854235</v>
      </c>
      <c r="E15" s="32"/>
      <c r="F15" s="32"/>
      <c r="G15" s="38">
        <f t="shared" si="5"/>
        <v>3854235</v>
      </c>
      <c r="H15" s="34">
        <f>D15/D13</f>
        <v>0.49838171591129504</v>
      </c>
      <c r="I15" s="34" t="e">
        <f t="shared" ref="I15:K15" si="8">E15/E13</f>
        <v>#DIV/0!</v>
      </c>
      <c r="J15" s="34">
        <f t="shared" si="8"/>
        <v>0</v>
      </c>
      <c r="K15" s="34">
        <f t="shared" si="8"/>
        <v>0.20248209312951693</v>
      </c>
    </row>
    <row r="16" spans="2:13" x14ac:dyDescent="0.35">
      <c r="B16" t="s">
        <v>4</v>
      </c>
      <c r="D16" s="24">
        <f>(D9-D10-D14-D15)/D13</f>
        <v>7.8792267408029998E-2</v>
      </c>
      <c r="E16" s="24" t="e">
        <f>(E9-E10-E14-E15)/E13</f>
        <v>#DIV/0!</v>
      </c>
      <c r="F16" s="24">
        <f>(F9-F10-F14-F15)/F13</f>
        <v>7.3281594362843469E-2</v>
      </c>
      <c r="G16" s="44">
        <f>(G9-G10-G14-G15)/G13</f>
        <v>7.5520465848530907E-2</v>
      </c>
      <c r="H16" s="35">
        <f>((D15+D14)-D13)/D13</f>
        <v>-7.8792267408029998E-2</v>
      </c>
      <c r="I16" s="35" t="e">
        <f>((E15+E14)-E13)/E13</f>
        <v>#DIV/0!</v>
      </c>
      <c r="J16" s="35">
        <f>((F15+F14)-F13)/F13</f>
        <v>-7.3281594362843469E-2</v>
      </c>
      <c r="K16" s="44">
        <f>((G15+G14)-G13)/G13</f>
        <v>-7.5520465848531004E-2</v>
      </c>
    </row>
    <row r="17" spans="2:7" x14ac:dyDescent="0.35">
      <c r="B17" s="46" t="str">
        <f>'[1]KQKD Tong hop'!$C5</f>
        <v>SẢN LƯỢNG BÁN (TẤN)</v>
      </c>
      <c r="D17" s="6">
        <f>'[1]KQKD Tong hop'!$R5</f>
        <v>10421035</v>
      </c>
      <c r="E17" s="6">
        <f>'[2]KQKD Tong hop'!$S$5</f>
        <v>7116000</v>
      </c>
      <c r="F17" s="11">
        <f>'[3]KQKD Tong hop'!$S5</f>
        <v>11696882.275</v>
      </c>
      <c r="G17" s="25">
        <f t="shared" si="5"/>
        <v>29233917.274999999</v>
      </c>
    </row>
    <row r="18" spans="2:7" x14ac:dyDescent="0.35">
      <c r="B18" t="str">
        <f>'[1]KQKD Tong hop'!$C6</f>
        <v>Chai PET</v>
      </c>
      <c r="D18" s="39">
        <f>'[1]KQKD Tong hop'!$R6</f>
        <v>3296875</v>
      </c>
      <c r="E18" s="9">
        <f>'[2]KQKD Tong hop'!$S$6</f>
        <v>7116000</v>
      </c>
      <c r="F18" s="12">
        <f>'[3]KQKD Tong hop'!$S6</f>
        <v>1223627.5</v>
      </c>
      <c r="G18" s="38">
        <f t="shared" si="5"/>
        <v>11636502.5</v>
      </c>
    </row>
    <row r="19" spans="2:7" x14ac:dyDescent="0.35">
      <c r="B19" t="str">
        <f>'[1]KQKD Tong hop'!$C7</f>
        <v>Vảy PET</v>
      </c>
      <c r="D19" s="39">
        <f>'[1]KQKD Tong hop'!$R7</f>
        <v>7124160</v>
      </c>
      <c r="F19" s="12">
        <f>'[3]KQKD Tong hop'!$S7</f>
        <v>10473254.775</v>
      </c>
      <c r="G19" s="38">
        <f t="shared" si="5"/>
        <v>17597414.774999999</v>
      </c>
    </row>
    <row r="20" spans="2:7" x14ac:dyDescent="0.35">
      <c r="B20" t="str">
        <f>'[1]KQKD Tong hop'!$C8</f>
        <v>Vảy HD</v>
      </c>
      <c r="D20" s="7">
        <f>'[1]KQKD Tong hop'!$R8</f>
        <v>0</v>
      </c>
      <c r="F20" s="12">
        <f>'[3]KQKD Tong hop'!$S8</f>
        <v>0</v>
      </c>
      <c r="G20" s="39"/>
    </row>
    <row r="21" spans="2:7" x14ac:dyDescent="0.35">
      <c r="B21" t="str">
        <f>'[1]KQKD Tong hop'!$C9</f>
        <v>Dây Đai PET</v>
      </c>
      <c r="D21" s="7">
        <f>'[1]KQKD Tong hop'!$R9</f>
        <v>0</v>
      </c>
      <c r="F21" s="12"/>
      <c r="G21" s="39"/>
    </row>
    <row r="22" spans="2:7" x14ac:dyDescent="0.35">
      <c r="B22" s="46" t="str">
        <f>'[1]KQKD Tong hop'!$C10</f>
        <v xml:space="preserve">DOANH THU </v>
      </c>
      <c r="D22" s="5">
        <f>'[1]KQKD Tong hop'!$R10</f>
        <v>159047927500</v>
      </c>
      <c r="E22" s="5">
        <f>'[2]KQKD Tong hop'!$S9</f>
        <v>99594000000</v>
      </c>
      <c r="F22" s="13">
        <f>'[3]KQKD Tong hop'!$S9</f>
        <v>181520200950</v>
      </c>
      <c r="G22" s="40">
        <f t="shared" ref="G22:G24" si="9">SUM(D22:F22)</f>
        <v>440162128450</v>
      </c>
    </row>
    <row r="23" spans="2:7" x14ac:dyDescent="0.35">
      <c r="B23" t="str">
        <f>'[1]KQKD Tong hop'!$C11</f>
        <v>Chai PET</v>
      </c>
      <c r="D23" s="16">
        <f>'[1]KQKD Tong hop'!$R11</f>
        <v>47100937500</v>
      </c>
      <c r="E23" s="10">
        <f>'[2]KQKD Tong hop'!$S10</f>
        <v>99594000000</v>
      </c>
      <c r="F23" s="15">
        <f>'[3]KQKD Tong hop'!$S10</f>
        <v>16415442000</v>
      </c>
      <c r="G23" s="16">
        <f t="shared" si="9"/>
        <v>163110379500</v>
      </c>
    </row>
    <row r="24" spans="2:7" x14ac:dyDescent="0.35">
      <c r="B24" t="str">
        <f>'[1]KQKD Tong hop'!$C12</f>
        <v>Vảy PET</v>
      </c>
      <c r="D24" s="16">
        <f>'[1]KQKD Tong hop'!$R12</f>
        <v>111946990000</v>
      </c>
      <c r="E24" s="10">
        <f>'[2]KQKD Tong hop'!$S11</f>
        <v>0</v>
      </c>
      <c r="F24" s="15">
        <f>'[3]KQKD Tong hop'!$S11</f>
        <v>165104758950</v>
      </c>
      <c r="G24" s="16">
        <f t="shared" si="9"/>
        <v>277051748950</v>
      </c>
    </row>
    <row r="25" spans="2:7" x14ac:dyDescent="0.35">
      <c r="B25" t="str">
        <f>'[1]KQKD Tong hop'!$C13</f>
        <v>Vảy HD</v>
      </c>
      <c r="D25" s="8">
        <f>'[1]KQKD Tong hop'!$R13</f>
        <v>0</v>
      </c>
      <c r="E25" s="10">
        <f>'[2]KQKD Tong hop'!$S12</f>
        <v>0</v>
      </c>
      <c r="F25" s="14">
        <f>'[3]KQKD Tong hop'!$S12</f>
        <v>0</v>
      </c>
      <c r="G25" s="8"/>
    </row>
    <row r="26" spans="2:7" x14ac:dyDescent="0.35">
      <c r="B26" t="str">
        <f>'[1]KQKD Tong hop'!$C14</f>
        <v>Dây Đai PET</v>
      </c>
      <c r="D26" s="8">
        <f>'[1]KQKD Tong hop'!$R14</f>
        <v>0</v>
      </c>
      <c r="E26" s="10">
        <f>'[2]KQKD Tong hop'!$S13</f>
        <v>0</v>
      </c>
      <c r="F26" s="14">
        <f>'[3]KQKD Tong hop'!$S13</f>
        <v>0</v>
      </c>
      <c r="G26" s="8"/>
    </row>
    <row r="27" spans="2:7" x14ac:dyDescent="0.35">
      <c r="B27" s="46" t="str">
        <f>[2]CP_Kg!$B$5</f>
        <v>I - CHI PHÍ SẢN XUẤT</v>
      </c>
      <c r="C27" s="52" t="s">
        <v>10</v>
      </c>
    </row>
    <row r="28" spans="2:7" ht="15.5" x14ac:dyDescent="0.35">
      <c r="B28" s="3" t="str">
        <f>[2]CP_Kg!$B$6</f>
        <v>I</v>
      </c>
      <c r="C28" s="3" t="str">
        <f>[2]CP_Kg!$G$6</f>
        <v>BIẾN PHÍ</v>
      </c>
      <c r="D28" s="17">
        <f>[1]CPSX!$W$5</f>
        <v>14171499196.72674</v>
      </c>
      <c r="E28" s="17">
        <f ca="1">[2]CPSX!$W$5</f>
        <v>7405554348.7731152</v>
      </c>
      <c r="F28" s="17">
        <f>[3]CPSX!$W$5</f>
        <v>27093422155.371994</v>
      </c>
      <c r="G28" s="41">
        <f t="shared" ref="G28:G35" ca="1" si="10">SUM(D28:F28)</f>
        <v>48670475700.871849</v>
      </c>
    </row>
    <row r="29" spans="2:7" ht="15.5" x14ac:dyDescent="0.35">
      <c r="C29" t="str">
        <f>[3]CP_Kg!$G$28</f>
        <v>BIẾN PHÍ SẢN XUẤT - PHÂN LOẠI CHAI PET</v>
      </c>
      <c r="D29" s="18">
        <f>[1]CPSX!$W$27</f>
        <v>9847598945.7517204</v>
      </c>
      <c r="E29" s="18">
        <f ca="1">[2]CPSX!$W$27</f>
        <v>7405554348.7731152</v>
      </c>
      <c r="F29" s="18">
        <f>[3]CPSX!$W$27</f>
        <v>15928723335.593502</v>
      </c>
      <c r="G29" s="42">
        <f t="shared" ca="1" si="10"/>
        <v>33181876630.118336</v>
      </c>
    </row>
    <row r="30" spans="2:7" ht="15.5" x14ac:dyDescent="0.35">
      <c r="C30" t="str">
        <f>[3]CP_Kg!$G$50</f>
        <v>BIẾN PHÍ SẢN XUẤT - BĂM VẢY PET</v>
      </c>
      <c r="D30" s="18">
        <f>[1]CPSX!$W$49+[1]CPSX!$W$105</f>
        <v>7157305238.4750252</v>
      </c>
      <c r="E30" s="18"/>
      <c r="F30" s="18">
        <f>[3]CPSX!$W$49</f>
        <v>11164698819.778484</v>
      </c>
      <c r="G30" s="42">
        <f t="shared" si="10"/>
        <v>18322004058.25351</v>
      </c>
    </row>
    <row r="31" spans="2:7" ht="15.5" x14ac:dyDescent="0.35">
      <c r="B31" s="3" t="str">
        <f>[2]CP_Kg!$B$28</f>
        <v>II</v>
      </c>
      <c r="C31" s="3" t="str">
        <f>[2]CP_Kg!$G$28</f>
        <v>ĐỊNH PHÍ</v>
      </c>
      <c r="D31" s="17">
        <f>[1]CPSX!$W$71+[1]CPSX!$W$127</f>
        <v>17220615928.376522</v>
      </c>
      <c r="E31" s="17">
        <f ca="1">[2]CPSX!$W$71</f>
        <v>7114509338.5931368</v>
      </c>
      <c r="F31" s="17">
        <f>[3]CPSX!$W$71</f>
        <v>14298985215.577778</v>
      </c>
      <c r="G31" s="41">
        <f t="shared" ca="1" si="10"/>
        <v>38634110482.54744</v>
      </c>
    </row>
    <row r="32" spans="2:7" s="3" customFormat="1" ht="15.5" x14ac:dyDescent="0.35">
      <c r="B32" s="2">
        <f>[2]CP_Kg!$B$58</f>
        <v>0</v>
      </c>
      <c r="C32" s="3" t="s">
        <v>3</v>
      </c>
      <c r="D32" s="17">
        <f>[1]CPSX!$W$101+[1]CPSX!$W$157</f>
        <v>34638169272.603256</v>
      </c>
      <c r="E32" s="17">
        <f ca="1">[2]CPSX!$W$106</f>
        <v>14520063687.366253</v>
      </c>
      <c r="F32" s="17">
        <f>F31+F28</f>
        <v>41392407370.949768</v>
      </c>
      <c r="G32" s="41">
        <f t="shared" ca="1" si="10"/>
        <v>90550640330.919281</v>
      </c>
    </row>
    <row r="33" spans="2:16" ht="15.5" x14ac:dyDescent="0.35">
      <c r="B33" s="46" t="str">
        <f>[2]CP_Kg!$B$59</f>
        <v>II - CHI PHÍ BÁN HÀNG</v>
      </c>
      <c r="D33" s="18">
        <f>[1]CPBH!$W$8</f>
        <v>3451953422.2222223</v>
      </c>
      <c r="E33" s="18">
        <f>[2]CPBH!$W$8</f>
        <v>1524857142.8571429</v>
      </c>
      <c r="F33" s="18">
        <f>[3]CPBH!$W$8</f>
        <v>3840892528</v>
      </c>
      <c r="G33" s="42">
        <f t="shared" si="10"/>
        <v>8817703093.0793648</v>
      </c>
    </row>
    <row r="34" spans="2:16" ht="15.5" x14ac:dyDescent="0.35">
      <c r="B34" s="46" t="str">
        <f>[2]CP_Kg!$B$65</f>
        <v>III - CHI PHÍ QUẢN LÝ</v>
      </c>
      <c r="D34" s="18">
        <f>[1]CPQL!$W$65</f>
        <v>6274227700.723773</v>
      </c>
      <c r="E34" s="18">
        <f ca="1">[2]CPQL!$W$68</f>
        <v>5413820182.4097147</v>
      </c>
      <c r="F34" s="18">
        <f>[3]CPQL!$W$65</f>
        <v>4687510614.6703711</v>
      </c>
      <c r="G34" s="42">
        <f t="shared" ca="1" si="10"/>
        <v>16375558497.80386</v>
      </c>
    </row>
    <row r="35" spans="2:16" ht="15.5" x14ac:dyDescent="0.35">
      <c r="B35" s="46" t="str">
        <f>[2]CP_Kg!$B$127</f>
        <v>IV=I+II+III</v>
      </c>
      <c r="D35" s="17">
        <f>D32+D33+D34</f>
        <v>44364350395.549248</v>
      </c>
      <c r="E35" s="17">
        <f t="shared" ref="E35:F35" ca="1" si="11">E32+E33+E34</f>
        <v>21458741012.63311</v>
      </c>
      <c r="F35" s="17">
        <f t="shared" si="11"/>
        <v>49920810513.62014</v>
      </c>
      <c r="G35" s="41">
        <f t="shared" ca="1" si="10"/>
        <v>115743901921.80249</v>
      </c>
    </row>
    <row r="37" spans="2:16" x14ac:dyDescent="0.35">
      <c r="B37" s="46" t="str">
        <f>[2]CP_Kg!$B$5</f>
        <v>I - CHI PHÍ SẢN XUẤT</v>
      </c>
      <c r="C37" s="52" t="s">
        <v>9</v>
      </c>
      <c r="G37" s="52" t="s">
        <v>11</v>
      </c>
      <c r="M37" s="52" t="s">
        <v>12</v>
      </c>
    </row>
    <row r="38" spans="2:16" s="47" customFormat="1" x14ac:dyDescent="0.35">
      <c r="B38" s="46" t="str">
        <f>[2]CP_Kg!$B$6</f>
        <v>I</v>
      </c>
      <c r="C38" s="46" t="str">
        <f>[2]CP_Kg!$G$6</f>
        <v>BIẾN PHÍ</v>
      </c>
      <c r="D38" s="68">
        <f>D39+D40</f>
        <v>2123.6724148935273</v>
      </c>
      <c r="E38" s="69">
        <f ca="1">[2]CP_Kg!$X$6</f>
        <v>984.41521716595673</v>
      </c>
      <c r="F38" s="68">
        <f>[3]CP_Kg!$W$6</f>
        <v>2316.2943353956252</v>
      </c>
      <c r="G38" s="68"/>
      <c r="H38" s="73">
        <f>D28/D9</f>
        <v>1284.7703905557826</v>
      </c>
      <c r="I38" s="73">
        <f t="shared" ref="I38:J38" ca="1" si="12">E28/E9</f>
        <v>1040.6906055049346</v>
      </c>
      <c r="J38" s="73">
        <f t="shared" si="12"/>
        <v>2163.1353880953952</v>
      </c>
      <c r="K38" s="73"/>
      <c r="M38" s="70">
        <f>H38-D38</f>
        <v>-838.90202433774471</v>
      </c>
      <c r="N38" s="70">
        <f t="shared" ref="N38:P38" ca="1" si="13">I38-E38</f>
        <v>56.275388338977905</v>
      </c>
      <c r="O38" s="70">
        <f t="shared" si="13"/>
        <v>-153.15894730023001</v>
      </c>
      <c r="P38" s="74">
        <f t="shared" si="13"/>
        <v>0</v>
      </c>
    </row>
    <row r="39" spans="2:16" x14ac:dyDescent="0.35">
      <c r="C39" t="str">
        <f>[3]CP_Kg!$G$28</f>
        <v>BIẾN PHÍ SẢN XUẤT - PHÂN LOẠI CHAI PET</v>
      </c>
      <c r="D39" s="57">
        <f>[1]CP_Kg!$W$6</f>
        <v>927.54372968667235</v>
      </c>
      <c r="E39" s="19">
        <f ca="1">[2]CP_Kg!$X$6</f>
        <v>984.41521716595673</v>
      </c>
      <c r="F39" s="4">
        <f>[3]CP_Kg!$W$28</f>
        <v>1271.7472505617538</v>
      </c>
      <c r="G39" s="4"/>
      <c r="H39" s="4">
        <f>D29/D9</f>
        <v>892.77100241394521</v>
      </c>
      <c r="I39" s="4">
        <f ca="1">E29/E9</f>
        <v>1040.6906055049346</v>
      </c>
      <c r="J39" s="4">
        <f t="shared" ref="J39" si="14">F29/F9</f>
        <v>1271.7472505617536</v>
      </c>
      <c r="K39" s="4"/>
      <c r="M39" s="19">
        <f t="shared" ref="M39:M45" si="15">H39-D39</f>
        <v>-34.772727272727138</v>
      </c>
      <c r="N39" s="19">
        <f t="shared" ref="N39:N45" ca="1" si="16">I39-E39</f>
        <v>56.275388338977905</v>
      </c>
      <c r="O39" s="19">
        <f t="shared" ref="O39:O45" si="17">J39-F39</f>
        <v>0</v>
      </c>
      <c r="P39" s="20">
        <f t="shared" ref="P39:P45" si="18">K39-G39</f>
        <v>0</v>
      </c>
    </row>
    <row r="40" spans="2:16" x14ac:dyDescent="0.35">
      <c r="C40" t="str">
        <f>[3]CP_Kg!$G$50</f>
        <v>BIẾN PHÍ SẢN XUẤT - BĂM VẢY PET</v>
      </c>
      <c r="D40" s="57">
        <f>[1]CP_Kg!$W$29</f>
        <v>1196.1286852068549</v>
      </c>
      <c r="E40" s="19"/>
      <c r="F40" s="4">
        <f>[3]CP_Kg!$W$50</f>
        <v>1066.019977517303</v>
      </c>
      <c r="G40" s="4"/>
      <c r="H40" s="4">
        <f>D30/(D14+D15)</f>
        <v>1004.6525118013949</v>
      </c>
      <c r="I40" s="4" t="e">
        <f t="shared" ref="I40:J40" si="19">E30/(E14+E15)</f>
        <v>#DIV/0!</v>
      </c>
      <c r="J40" s="4">
        <f t="shared" si="19"/>
        <v>1066.0199775173028</v>
      </c>
      <c r="K40" s="4"/>
      <c r="M40" s="56">
        <f t="shared" si="15"/>
        <v>-191.47617340546003</v>
      </c>
      <c r="N40" s="19" t="e">
        <f t="shared" si="16"/>
        <v>#DIV/0!</v>
      </c>
      <c r="O40" s="19">
        <f t="shared" si="17"/>
        <v>0</v>
      </c>
      <c r="P40" s="20">
        <f t="shared" si="18"/>
        <v>0</v>
      </c>
    </row>
    <row r="41" spans="2:16" s="47" customFormat="1" x14ac:dyDescent="0.35">
      <c r="B41" s="46" t="str">
        <f>[2]CP_Kg!$B$28</f>
        <v>II</v>
      </c>
      <c r="C41" s="46" t="str">
        <f>[2]CP_Kg!$G$28</f>
        <v>ĐỊNH PHÍ</v>
      </c>
      <c r="D41" s="68">
        <f>[1]CP_Kg!$W$74</f>
        <v>1652.4861425354125</v>
      </c>
      <c r="E41" s="69">
        <f ca="1">[2]CP_Kg!$X$28</f>
        <v>951.27968224209303</v>
      </c>
      <c r="F41" s="68">
        <f>[3]CP_Kg!$W$72</f>
        <v>1222.4612404742509</v>
      </c>
      <c r="G41" s="68"/>
      <c r="H41" s="68">
        <f>D31/D17</f>
        <v>1652.4861425354125</v>
      </c>
      <c r="I41" s="68">
        <f ca="1">E31/E17</f>
        <v>999.79051975732671</v>
      </c>
      <c r="J41" s="68">
        <f>F31/F17</f>
        <v>1222.4612404742509</v>
      </c>
      <c r="K41" s="73"/>
      <c r="M41" s="69">
        <f t="shared" si="15"/>
        <v>0</v>
      </c>
      <c r="N41" s="69">
        <f t="shared" ca="1" si="16"/>
        <v>48.510837515233675</v>
      </c>
      <c r="O41" s="69">
        <f t="shared" si="17"/>
        <v>0</v>
      </c>
      <c r="P41" s="72">
        <f t="shared" si="18"/>
        <v>0</v>
      </c>
    </row>
    <row r="42" spans="2:16" s="47" customFormat="1" x14ac:dyDescent="0.35">
      <c r="B42" s="67">
        <f>[2]CP_Kg!$B$58</f>
        <v>0</v>
      </c>
      <c r="C42" s="46" t="s">
        <v>3</v>
      </c>
      <c r="D42" s="68">
        <f>[1]CP_Kg!$W$104</f>
        <v>3776.1585574289397</v>
      </c>
      <c r="E42" s="68">
        <f ca="1">[2]CP_Kg!$X$58</f>
        <v>1935.6948994080499</v>
      </c>
      <c r="F42" s="68">
        <f>F41+F38</f>
        <v>3538.7555758698763</v>
      </c>
      <c r="G42" s="68"/>
      <c r="H42" s="69">
        <f>H41+H38</f>
        <v>2937.2565330911948</v>
      </c>
      <c r="I42" s="69">
        <f t="shared" ref="I42:J42" ca="1" si="20">I41+I38</f>
        <v>2040.4811252622612</v>
      </c>
      <c r="J42" s="69">
        <f t="shared" si="20"/>
        <v>3385.5966285696459</v>
      </c>
      <c r="K42" s="70"/>
      <c r="M42" s="71">
        <f t="shared" si="15"/>
        <v>-838.90202433774493</v>
      </c>
      <c r="N42" s="69">
        <f t="shared" ca="1" si="16"/>
        <v>104.78622585421135</v>
      </c>
      <c r="O42" s="69">
        <f t="shared" si="17"/>
        <v>-153.15894730023047</v>
      </c>
      <c r="P42" s="72">
        <f t="shared" si="18"/>
        <v>0</v>
      </c>
    </row>
    <row r="43" spans="2:16" x14ac:dyDescent="0.35">
      <c r="B43" s="3" t="str">
        <f>[2]CP_Kg!$B$59</f>
        <v>II - CHI PHÍ BÁN HÀNG</v>
      </c>
      <c r="D43" s="53">
        <f>[1]CP_Kg!$W$109</f>
        <v>331.24861611367993</v>
      </c>
      <c r="E43" s="53">
        <f>[2]CP_Kg!$X$64</f>
        <v>214.28571428571428</v>
      </c>
      <c r="F43" s="53">
        <f>[3]CP_Kg!$W$108</f>
        <v>328.36891384375326</v>
      </c>
      <c r="G43" s="53"/>
      <c r="H43" s="54">
        <f>D33/D17</f>
        <v>331.24861611367993</v>
      </c>
      <c r="I43" s="54">
        <f>E33/E17</f>
        <v>214.28571428571431</v>
      </c>
      <c r="J43" s="54">
        <f>F33/F17</f>
        <v>328.36891384375326</v>
      </c>
      <c r="K43" s="1"/>
      <c r="M43" s="54">
        <f t="shared" si="15"/>
        <v>0</v>
      </c>
      <c r="N43" s="54">
        <f t="shared" si="16"/>
        <v>0</v>
      </c>
      <c r="O43" s="54">
        <f t="shared" si="17"/>
        <v>0</v>
      </c>
      <c r="P43" s="55">
        <f t="shared" si="18"/>
        <v>0</v>
      </c>
    </row>
    <row r="44" spans="2:16" x14ac:dyDescent="0.35">
      <c r="B44" s="3" t="str">
        <f>[2]CP_Kg!$B$65</f>
        <v>III - CHI PHÍ QUẢN LÝ</v>
      </c>
      <c r="D44" s="53">
        <f>[1]CP_Kg!$W$171</f>
        <v>602.07337377945419</v>
      </c>
      <c r="E44" s="53">
        <f ca="1">[2]CP_Kg!$X$126</f>
        <v>708.59249985407996</v>
      </c>
      <c r="F44" s="53">
        <f>[3]CP_Kg!$W$170</f>
        <v>400.74872128012174</v>
      </c>
      <c r="G44" s="53"/>
      <c r="H44" s="54">
        <f>D34/D17</f>
        <v>602.07337377945407</v>
      </c>
      <c r="I44" s="54">
        <f ca="1">E34/E17</f>
        <v>760.79541630265805</v>
      </c>
      <c r="J44" s="54">
        <f>F34/F17</f>
        <v>400.74872128012169</v>
      </c>
      <c r="K44" s="1"/>
      <c r="M44" s="54">
        <f t="shared" si="15"/>
        <v>0</v>
      </c>
      <c r="N44" s="54">
        <f t="shared" ca="1" si="16"/>
        <v>52.202916448578094</v>
      </c>
      <c r="O44" s="54">
        <f t="shared" si="17"/>
        <v>0</v>
      </c>
      <c r="P44" s="55">
        <f t="shared" si="18"/>
        <v>0</v>
      </c>
    </row>
    <row r="45" spans="2:16" x14ac:dyDescent="0.35">
      <c r="B45" s="3" t="str">
        <f>[2]CP_Kg!$B$127</f>
        <v>IV=I+II+III</v>
      </c>
      <c r="D45" s="65">
        <f>[1]CP_Kg!$W$172</f>
        <v>4709.480547322074</v>
      </c>
      <c r="E45" s="65">
        <f ca="1">[2]CP_Kg!$X$127</f>
        <v>2858.5731135478441</v>
      </c>
      <c r="F45" s="65">
        <f>[3]CP_Kg!$W$171</f>
        <v>4267.8732109937509</v>
      </c>
      <c r="G45" s="53"/>
      <c r="H45" s="62">
        <f>H42+H43+H44</f>
        <v>3870.5785229843286</v>
      </c>
      <c r="I45" s="62">
        <f t="shared" ref="I45:J45" ca="1" si="21">I42+I43+I44</f>
        <v>3015.5622558506334</v>
      </c>
      <c r="J45" s="62">
        <f t="shared" si="21"/>
        <v>4114.7142636935205</v>
      </c>
      <c r="K45" s="21"/>
      <c r="M45" s="54">
        <f t="shared" si="15"/>
        <v>-838.90202433774539</v>
      </c>
      <c r="N45" s="54">
        <f t="shared" ca="1" si="16"/>
        <v>156.98914230278933</v>
      </c>
      <c r="O45" s="54">
        <f t="shared" si="17"/>
        <v>-153.15894730023047</v>
      </c>
      <c r="P45" s="55">
        <f t="shared" si="18"/>
        <v>0</v>
      </c>
    </row>
    <row r="46" spans="2:16" x14ac:dyDescent="0.35">
      <c r="D46" s="19"/>
      <c r="E46" s="19"/>
      <c r="F46" s="19"/>
      <c r="G46" s="19"/>
      <c r="H46" s="56">
        <f>H45-D45</f>
        <v>-838.90202433774539</v>
      </c>
      <c r="I46" s="56">
        <f ca="1">I45-E45</f>
        <v>156.98914230278933</v>
      </c>
      <c r="J46" s="56">
        <f>J45-F45</f>
        <v>-153.15894730023047</v>
      </c>
      <c r="K46" s="22"/>
    </row>
    <row r="47" spans="2:16" x14ac:dyDescent="0.35">
      <c r="D47" s="19"/>
      <c r="E47" s="19"/>
      <c r="F47" s="19"/>
      <c r="G47" s="19"/>
      <c r="H47" s="19">
        <f>D35/D17</f>
        <v>4257.1923417922735</v>
      </c>
      <c r="I47" s="19">
        <f ca="1">E35/E17</f>
        <v>3015.5622558506338</v>
      </c>
      <c r="J47" s="19">
        <f>F35/F17</f>
        <v>4267.8732109937509</v>
      </c>
      <c r="K47" s="20"/>
    </row>
    <row r="48" spans="2:16" x14ac:dyDescent="0.35">
      <c r="B48" s="3"/>
      <c r="C48" s="3"/>
    </row>
    <row r="50" spans="2:9" x14ac:dyDescent="0.35">
      <c r="B50" s="46" t="str">
        <f>'[1]KQKD Tong hop'!$C17</f>
        <v>BIẾN PHÍ SẢN XUẤT</v>
      </c>
      <c r="D50" s="58">
        <f>'[1]KQKD Tong hop'!$R17</f>
        <v>144091178348.22675</v>
      </c>
      <c r="E50" s="58">
        <f ca="1">'[2]KQKD Tong hop'!$S15</f>
        <v>87405554348.773117</v>
      </c>
      <c r="F50" s="60">
        <f>'[3]KQKD Tong hop'!$S15</f>
        <v>169893422155.37198</v>
      </c>
    </row>
    <row r="51" spans="2:9" x14ac:dyDescent="0.35">
      <c r="B51" t="str">
        <f>'[1]KQKD Tong hop'!$C18</f>
        <v>Nguyên vật liệu chính (nhựa, gồm hao hụt)</v>
      </c>
      <c r="C51" s="3"/>
      <c r="D51" s="59">
        <f>'[1]KQKD Tong hop'!$R18</f>
        <v>126687500000</v>
      </c>
      <c r="E51" s="59">
        <f>'[2]KQKD Tong hop'!$S16</f>
        <v>80000000000</v>
      </c>
      <c r="F51" s="61">
        <f>'[3]KQKD Tong hop'!$S16</f>
        <v>142800000000</v>
      </c>
    </row>
    <row r="52" spans="2:9" x14ac:dyDescent="0.35">
      <c r="B52" t="str">
        <f>'[1]KQKD Tong hop'!$C19</f>
        <v>Trong đó: i/ Hao hụt CĐ phân loại chai</v>
      </c>
      <c r="C52" s="3"/>
      <c r="D52" s="59">
        <f>'[1]KQKD Tong hop'!$R19</f>
        <v>14894649375</v>
      </c>
      <c r="E52" s="59">
        <f>'[2]KQKD Tong hop'!$S17</f>
        <v>8840000000</v>
      </c>
      <c r="F52" s="61">
        <f>'[3]KQKD Tong hop'!$S17</f>
        <v>17549300000</v>
      </c>
    </row>
    <row r="53" spans="2:9" x14ac:dyDescent="0.35">
      <c r="B53" t="str">
        <f>'[1]KQKD Tong hop'!$C20</f>
        <v xml:space="preserve">               ii/ Hao hụt CĐ băm vảy</v>
      </c>
      <c r="D53" s="59">
        <f>'[1]KQKD Tong hop'!$R20</f>
        <v>8669022925</v>
      </c>
      <c r="E53" s="59">
        <f>'[2]KQKD Tong hop'!$S18</f>
        <v>0</v>
      </c>
      <c r="F53" s="61">
        <f>'[3]KQKD Tong hop'!$S18</f>
        <v>8281877250</v>
      </c>
    </row>
    <row r="55" spans="2:9" x14ac:dyDescent="0.35">
      <c r="B55" s="47" t="str">
        <f>B50</f>
        <v>BIẾN PHÍ SẢN XUẤT</v>
      </c>
      <c r="C55" s="3"/>
      <c r="D55" s="27">
        <f>D50/D$50</f>
        <v>1</v>
      </c>
      <c r="E55" s="27">
        <f ca="1">E50/E$50</f>
        <v>1</v>
      </c>
      <c r="F55" s="27">
        <f>F50/F$50</f>
        <v>1</v>
      </c>
    </row>
    <row r="56" spans="2:9" x14ac:dyDescent="0.35">
      <c r="B56" s="29" t="str">
        <f t="shared" ref="B56:B58" si="22">B51</f>
        <v>Nguyên vật liệu chính (nhựa, gồm hao hụt)</v>
      </c>
      <c r="C56" s="29"/>
      <c r="D56" s="28">
        <f t="shared" ref="D56:E58" si="23">D51/D$50</f>
        <v>0.87921759994101034</v>
      </c>
      <c r="E56" s="28">
        <f t="shared" ca="1" si="23"/>
        <v>0.91527364131548394</v>
      </c>
      <c r="F56" s="28">
        <f t="shared" ref="F56" si="24">F51/F$50</f>
        <v>0.84052695029832092</v>
      </c>
    </row>
    <row r="57" spans="2:9" x14ac:dyDescent="0.35">
      <c r="B57" s="29" t="str">
        <f t="shared" si="22"/>
        <v>Trong đó: i/ Hao hụt CĐ phân loại chai</v>
      </c>
      <c r="C57" s="29"/>
      <c r="D57" s="28">
        <f t="shared" si="23"/>
        <v>0.10336961322506459</v>
      </c>
      <c r="E57" s="28">
        <f t="shared" ca="1" si="23"/>
        <v>0.10113773736536097</v>
      </c>
      <c r="F57" s="28">
        <f t="shared" ref="F57" si="25">F52/F$50</f>
        <v>0.1032959356363468</v>
      </c>
    </row>
    <row r="58" spans="2:9" x14ac:dyDescent="0.35">
      <c r="B58" t="str">
        <f t="shared" si="22"/>
        <v xml:space="preserve">               ii/ Hao hụt CĐ băm vảy</v>
      </c>
      <c r="D58" s="27">
        <f>D53/D$50</f>
        <v>6.0163453615803435E-2</v>
      </c>
      <c r="E58" s="27">
        <f t="shared" ca="1" si="23"/>
        <v>0</v>
      </c>
      <c r="F58" s="27">
        <f t="shared" ref="F58" si="26">F53/F$50</f>
        <v>4.8747486188288128E-2</v>
      </c>
    </row>
    <row r="61" spans="2:9" x14ac:dyDescent="0.35">
      <c r="H61" t="s">
        <v>15</v>
      </c>
    </row>
    <row r="62" spans="2:9" x14ac:dyDescent="0.35">
      <c r="B62" s="46" t="str">
        <f>'[1]KQKD Tong hop'!$C$49</f>
        <v>LỢI NHUẬN TRƯỚC THUẾ</v>
      </c>
      <c r="D62" s="5">
        <f>'[1]KQKD Tong hop'!$R$49</f>
        <v>-11537066006.181444</v>
      </c>
      <c r="E62" s="5">
        <f ca="1">'[2]KQKD Tong hop'!$S$47</f>
        <v>-1864021012.63311</v>
      </c>
      <c r="F62" s="63">
        <f>'[3]KQKD Tong hop'!$S$47</f>
        <v>-11050609563.62014</v>
      </c>
      <c r="G62" s="64">
        <f ca="1">SUM(D62:F62)</f>
        <v>-24451696582.434692</v>
      </c>
      <c r="H62" s="64">
        <v>68031227110.722366</v>
      </c>
      <c r="I62" s="64">
        <f ca="1">H62+G62</f>
        <v>43579530528.287674</v>
      </c>
    </row>
    <row r="63" spans="2:9" x14ac:dyDescent="0.35">
      <c r="B63" t="s">
        <v>14</v>
      </c>
      <c r="D63" s="66">
        <f>D22-D62</f>
        <v>170584993506.18146</v>
      </c>
      <c r="E63" s="66">
        <f t="shared" ref="E63:F63" ca="1" si="27">E22-E62</f>
        <v>101458021012.63312</v>
      </c>
      <c r="F63" s="66">
        <f t="shared" si="27"/>
        <v>192570810513.62015</v>
      </c>
    </row>
    <row r="64" spans="2:9" x14ac:dyDescent="0.35">
      <c r="B64" s="52" t="s">
        <v>13</v>
      </c>
      <c r="D64" s="75">
        <f>D63/D17</f>
        <v>16369.294749147417</v>
      </c>
      <c r="E64" s="75">
        <f t="shared" ref="E64:F64" ca="1" si="28">E63/E17</f>
        <v>14257.732014141809</v>
      </c>
      <c r="F64" s="75">
        <f t="shared" si="28"/>
        <v>16463.43068060161</v>
      </c>
    </row>
    <row r="66" spans="2:3" x14ac:dyDescent="0.35">
      <c r="B66" t="s">
        <v>23</v>
      </c>
      <c r="C66" t="s">
        <v>24</v>
      </c>
    </row>
    <row r="67" spans="2:3" x14ac:dyDescent="0.35">
      <c r="C67" t="s">
        <v>25</v>
      </c>
    </row>
  </sheetData>
  <conditionalFormatting sqref="E17:E18">
    <cfRule type="containsText" dxfId="4" priority="10" operator="containsText" text="xxx">
      <formula>NOT(ISERROR(SEARCH("xxx",E17)))</formula>
    </cfRule>
  </conditionalFormatting>
  <conditionalFormatting sqref="E22:E26">
    <cfRule type="containsText" dxfId="3" priority="7" operator="containsText" text="xxx">
      <formula>NOT(ISERROR(SEARCH("xxx",E22)))</formula>
    </cfRule>
  </conditionalFormatting>
  <conditionalFormatting sqref="E50:F53">
    <cfRule type="containsText" dxfId="2" priority="3" operator="containsText" text="xxx">
      <formula>NOT(ISERROR(SEARCH("xxx",E50)))</formula>
    </cfRule>
  </conditionalFormatting>
  <conditionalFormatting sqref="E62:F62">
    <cfRule type="containsText" dxfId="1" priority="1" operator="containsText" text="xxx">
      <formula>NOT(ISERROR(SEARCH("xxx",E62)))</formula>
    </cfRule>
  </conditionalFormatting>
  <conditionalFormatting sqref="F17:F19 F20:G26">
    <cfRule type="containsText" dxfId="0" priority="5" operator="containsText" text="xxx">
      <formula>NOT(ISERROR(SEARCH("xxx",F17)))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AF05-9BC4-4AC6-8F40-61464B0D26E2}">
  <dimension ref="B2:E6"/>
  <sheetViews>
    <sheetView workbookViewId="0">
      <selection activeCell="D11" sqref="D11"/>
    </sheetView>
  </sheetViews>
  <sheetFormatPr defaultRowHeight="14.5" x14ac:dyDescent="0.35"/>
  <cols>
    <col min="2" max="2" width="11.54296875" customWidth="1"/>
    <col min="4" max="4" width="26.26953125" customWidth="1"/>
    <col min="5" max="5" width="16.90625" customWidth="1"/>
  </cols>
  <sheetData>
    <row r="2" spans="2:5" x14ac:dyDescent="0.35">
      <c r="D2" s="3" t="s">
        <v>15</v>
      </c>
      <c r="E2" s="3" t="s">
        <v>16</v>
      </c>
    </row>
    <row r="3" spans="2:5" x14ac:dyDescent="0.35">
      <c r="C3" t="s">
        <v>20</v>
      </c>
      <c r="D3" s="76" t="s">
        <v>21</v>
      </c>
      <c r="E3" s="3"/>
    </row>
    <row r="4" spans="2:5" x14ac:dyDescent="0.35">
      <c r="D4" s="3"/>
      <c r="E4" s="3"/>
    </row>
    <row r="5" spans="2:5" x14ac:dyDescent="0.35">
      <c r="B5">
        <v>1</v>
      </c>
      <c r="C5" t="s">
        <v>17</v>
      </c>
      <c r="D5" t="s">
        <v>19</v>
      </c>
    </row>
    <row r="6" spans="2:5" x14ac:dyDescent="0.35"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Cư, Lê Hoành</dc:creator>
  <cp:lastModifiedBy>Cư, Lê Hoành</cp:lastModifiedBy>
  <dcterms:created xsi:type="dcterms:W3CDTF">2026-02-02T10:19:54Z</dcterms:created>
  <dcterms:modified xsi:type="dcterms:W3CDTF">2026-02-04T08:34:36Z</dcterms:modified>
</cp:coreProperties>
</file>