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drawings/drawing4.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Data\GĐ Tài chính\Cost Controlling\Costing Flow Chart\"/>
    </mc:Choice>
  </mc:AlternateContent>
  <xr:revisionPtr revIDLastSave="0" documentId="13_ncr:1_{11657299-3E5E-47D6-BD3E-75DFD6457A1C}" xr6:coauthVersionLast="47" xr6:coauthVersionMax="47" xr10:uidLastSave="{00000000-0000-0000-0000-000000000000}"/>
  <bookViews>
    <workbookView xWindow="-110" yWindow="-110" windowWidth="19420" windowHeight="10300" tabRatio="900" activeTab="4" xr2:uid="{840C037F-8C86-46AD-AB84-25CA35BE36E3}"/>
  </bookViews>
  <sheets>
    <sheet name="Sheet2" sheetId="18" r:id="rId1"/>
    <sheet name="GAP" sheetId="17" r:id="rId2"/>
    <sheet name="Giá mua Chai-Vảy" sheetId="10" r:id="rId3"/>
    <sheet name="Giá mua Chai-Vảy (Giá giảm)" sheetId="13" r:id="rId4"/>
    <sheet name="Hảo_R&amp;D" sheetId="8" r:id="rId5"/>
    <sheet name="Hảo_R&amp;D (Vảy sạch)" sheetId="9" r:id="rId6"/>
    <sheet name="Hảo_R&amp;D (Vảy sạch) (giảm giá)" sheetId="12" r:id="rId7"/>
    <sheet name="Hảo_R&amp;D (Hạt)" sheetId="11" r:id="rId8"/>
    <sheet name="Hảo_R&amp;D (Hạt) (full stage)-Chai" sheetId="14" r:id="rId9"/>
    <sheet name="Hảo_R&amp;D (Hạt) (full stage)-MN" sheetId="15" r:id="rId10"/>
    <sheet name="Hảo_R&amp;D (Hạt-Full stage-Mix)" sheetId="16" r:id="rId11"/>
    <sheet name="Phượng_QC" sheetId="6" r:id="rId12"/>
    <sheet name="01. ĐỊNH NGHĨA" sheetId="1" r:id="rId13"/>
  </sheets>
  <externalReferences>
    <externalReference r:id="rId14"/>
    <externalReference r:id="rId1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A12" i="16" l="1"/>
  <c r="AL2" i="9" l="1"/>
  <c r="AL7" i="9"/>
  <c r="D30" i="17"/>
  <c r="D29" i="17"/>
  <c r="D28" i="17"/>
  <c r="D27" i="17"/>
  <c r="D26" i="17"/>
  <c r="D25" i="17"/>
  <c r="D24" i="17"/>
  <c r="D23" i="17"/>
  <c r="D22" i="17"/>
  <c r="D21" i="17"/>
  <c r="D20" i="17"/>
  <c r="D18" i="17"/>
  <c r="D19" i="17" s="1"/>
  <c r="J14" i="17"/>
  <c r="L14" i="17" s="1"/>
  <c r="H14" i="17"/>
  <c r="F14" i="17"/>
  <c r="D14" i="17"/>
  <c r="L13" i="17"/>
  <c r="J12" i="17"/>
  <c r="L12" i="17" s="1"/>
  <c r="H12" i="17"/>
  <c r="F12" i="17"/>
  <c r="J11" i="17"/>
  <c r="L11" i="17" s="1"/>
  <c r="F11" i="17"/>
  <c r="H11" i="17" s="1"/>
  <c r="J10" i="17"/>
  <c r="L10" i="17" s="1"/>
  <c r="H10" i="17"/>
  <c r="F10" i="17"/>
  <c r="L9" i="17"/>
  <c r="J9" i="17"/>
  <c r="F9" i="17"/>
  <c r="H9" i="17" s="1"/>
  <c r="AY29" i="9" l="1"/>
  <c r="AX29" i="9"/>
  <c r="AT29" i="9"/>
  <c r="AY28" i="9"/>
  <c r="AX28" i="9"/>
  <c r="AT28" i="9"/>
  <c r="AY27" i="9"/>
  <c r="AX27" i="9"/>
  <c r="AT27" i="9"/>
  <c r="AQ37" i="9"/>
  <c r="AY33" i="9"/>
  <c r="AX33" i="9"/>
  <c r="AT33" i="9"/>
  <c r="AY26" i="9"/>
  <c r="AX26" i="9"/>
  <c r="AT26" i="9"/>
  <c r="AY25" i="9"/>
  <c r="AX25" i="9"/>
  <c r="AT25" i="9"/>
  <c r="AY24" i="9"/>
  <c r="AX24" i="9"/>
  <c r="AT24" i="9"/>
  <c r="AY18" i="9"/>
  <c r="AX18" i="9"/>
  <c r="AT18" i="9"/>
  <c r="AY17" i="9"/>
  <c r="AX17" i="9"/>
  <c r="AT17" i="9"/>
  <c r="AY16" i="9"/>
  <c r="AX16" i="9"/>
  <c r="AT16" i="9"/>
  <c r="AY15" i="9"/>
  <c r="AX15" i="9"/>
  <c r="AT15" i="9"/>
  <c r="AY14" i="9"/>
  <c r="AX14" i="9"/>
  <c r="AT14" i="9"/>
  <c r="AZ5" i="9"/>
  <c r="AY5" i="9"/>
  <c r="AX5" i="9"/>
  <c r="AW5" i="9"/>
  <c r="AV5" i="9"/>
  <c r="AU5" i="9"/>
  <c r="AT5" i="9"/>
  <c r="AY11" i="9"/>
  <c r="AX11" i="9"/>
  <c r="AY10" i="9"/>
  <c r="AX10" i="9"/>
  <c r="AY9" i="9"/>
  <c r="AX9" i="9"/>
  <c r="AY8" i="9"/>
  <c r="AX8" i="9"/>
  <c r="AY7" i="9"/>
  <c r="AX7" i="9"/>
  <c r="AY6" i="9"/>
  <c r="AX6" i="9"/>
  <c r="AT11" i="9"/>
  <c r="AT10" i="9"/>
  <c r="AT9" i="9"/>
  <c r="AT8" i="9"/>
  <c r="AT7" i="9"/>
  <c r="AT6" i="9"/>
  <c r="AJ37" i="12"/>
  <c r="AI37" i="12"/>
  <c r="AI37" i="9"/>
  <c r="AJ37" i="9"/>
  <c r="AM37" i="8"/>
  <c r="AK35" i="8"/>
  <c r="AL37" i="8" s="1"/>
  <c r="AP37" i="9"/>
  <c r="AG37" i="9"/>
  <c r="AE35" i="9"/>
  <c r="AF37" i="9" s="1"/>
  <c r="AP37" i="12"/>
  <c r="AG37" i="12"/>
  <c r="AE35" i="12"/>
  <c r="AF37" i="12" s="1"/>
  <c r="BF37" i="11"/>
  <c r="AP37" i="11"/>
  <c r="AG37" i="11"/>
  <c r="AE35" i="11"/>
  <c r="AF37" i="11" s="1"/>
  <c r="AP37" i="14"/>
  <c r="AG37" i="14"/>
  <c r="AE35" i="14"/>
  <c r="AF37" i="14" s="1"/>
  <c r="BF37" i="15"/>
  <c r="AP37" i="15"/>
  <c r="AG37" i="15"/>
  <c r="AE35" i="15"/>
  <c r="AF37" i="15" s="1"/>
  <c r="BF37" i="16"/>
  <c r="AP37" i="16"/>
  <c r="AE35" i="16"/>
  <c r="AF37" i="16"/>
  <c r="AG37" i="16"/>
  <c r="AJ37" i="8"/>
  <c r="AF37" i="8"/>
  <c r="AB37" i="8"/>
  <c r="BF37" i="14" l="1"/>
  <c r="V3" i="16" l="1"/>
  <c r="AD3" i="16" s="1"/>
  <c r="V3" i="15"/>
  <c r="AD3" i="15" s="1"/>
  <c r="AP33" i="16"/>
  <c r="BF33" i="16" s="1"/>
  <c r="AG33" i="16"/>
  <c r="AP29" i="16"/>
  <c r="BF29" i="16" s="1"/>
  <c r="AG29" i="16"/>
  <c r="AQ28" i="16"/>
  <c r="AP28" i="16"/>
  <c r="BF28" i="16" s="1"/>
  <c r="AG28" i="16"/>
  <c r="AQ27" i="16"/>
  <c r="AP27" i="16" s="1"/>
  <c r="BF27" i="16" s="1"/>
  <c r="AG27" i="16"/>
  <c r="AQ26" i="16"/>
  <c r="AP26" i="16" s="1"/>
  <c r="BF26" i="16" s="1"/>
  <c r="AG26" i="16"/>
  <c r="AQ25" i="16"/>
  <c r="AP25" i="16"/>
  <c r="AG25" i="16"/>
  <c r="AQ18" i="16"/>
  <c r="AP18" i="16" s="1"/>
  <c r="AG18" i="16"/>
  <c r="AQ17" i="16"/>
  <c r="AP17" i="16"/>
  <c r="BF17" i="16" s="1"/>
  <c r="AG17" i="16"/>
  <c r="AQ16" i="16"/>
  <c r="AP16" i="16"/>
  <c r="AG16" i="16"/>
  <c r="AQ15" i="16"/>
  <c r="AP15" i="16" s="1"/>
  <c r="BF15" i="16" s="1"/>
  <c r="AG15" i="16"/>
  <c r="AP11" i="16"/>
  <c r="AG11" i="16"/>
  <c r="AP10" i="16"/>
  <c r="BF10" i="16" s="1"/>
  <c r="AG10" i="16"/>
  <c r="AQ9" i="16"/>
  <c r="AP9" i="16"/>
  <c r="BF9" i="16" s="1"/>
  <c r="AG9" i="16"/>
  <c r="AQ8" i="16"/>
  <c r="AP8" i="16" s="1"/>
  <c r="AG8" i="16"/>
  <c r="AP7" i="16"/>
  <c r="BF7" i="16" s="1"/>
  <c r="AG7" i="16"/>
  <c r="AN1" i="16"/>
  <c r="AM1" i="16"/>
  <c r="AL1" i="16"/>
  <c r="AK1" i="16"/>
  <c r="AK16" i="16" s="1"/>
  <c r="BA16" i="16" s="1"/>
  <c r="AJ1" i="16"/>
  <c r="AI1" i="16"/>
  <c r="AE1" i="16"/>
  <c r="AD1" i="16"/>
  <c r="AC1" i="16"/>
  <c r="AB1" i="16"/>
  <c r="AA1" i="16"/>
  <c r="Y1" i="16"/>
  <c r="W1" i="16"/>
  <c r="U1" i="16"/>
  <c r="AP11" i="14"/>
  <c r="V3" i="14"/>
  <c r="X3" i="14" s="1"/>
  <c r="AP33" i="15"/>
  <c r="BF33" i="15" s="1"/>
  <c r="AG33" i="15"/>
  <c r="AP29" i="15"/>
  <c r="BF29" i="15" s="1"/>
  <c r="AG29" i="15"/>
  <c r="AQ28" i="15"/>
  <c r="AP28" i="15" s="1"/>
  <c r="AG28" i="15"/>
  <c r="AQ27" i="15"/>
  <c r="AP27" i="15" s="1"/>
  <c r="BF27" i="15" s="1"/>
  <c r="AG27" i="15"/>
  <c r="AQ26" i="15"/>
  <c r="AP26" i="15" s="1"/>
  <c r="BF26" i="15" s="1"/>
  <c r="AG26" i="15"/>
  <c r="AQ25" i="15"/>
  <c r="AP25" i="15" s="1"/>
  <c r="AG25" i="15"/>
  <c r="AQ18" i="15"/>
  <c r="AP18" i="15"/>
  <c r="AG18" i="15"/>
  <c r="BF17" i="15"/>
  <c r="AQ17" i="15"/>
  <c r="AP17" i="15"/>
  <c r="AG17" i="15"/>
  <c r="AQ16" i="15"/>
  <c r="AP16" i="15"/>
  <c r="BF16" i="15" s="1"/>
  <c r="AG16" i="15"/>
  <c r="AQ15" i="15"/>
  <c r="AP15" i="15" s="1"/>
  <c r="BF15" i="15" s="1"/>
  <c r="AG15" i="15"/>
  <c r="AP11" i="15"/>
  <c r="BF11" i="15" s="1"/>
  <c r="AG11" i="15"/>
  <c r="AP10" i="15"/>
  <c r="BF10" i="15" s="1"/>
  <c r="AG10" i="15"/>
  <c r="BF9" i="15"/>
  <c r="AQ9" i="15"/>
  <c r="AP9" i="15"/>
  <c r="AG9" i="15"/>
  <c r="AQ8" i="15"/>
  <c r="AP8" i="15" s="1"/>
  <c r="AG8" i="15"/>
  <c r="AP7" i="15"/>
  <c r="BF7" i="15" s="1"/>
  <c r="AG7" i="15"/>
  <c r="AN1" i="15"/>
  <c r="AN2" i="15" s="1"/>
  <c r="AM1" i="15"/>
  <c r="AM2" i="15" s="1"/>
  <c r="AL1" i="15"/>
  <c r="AK1" i="15"/>
  <c r="AK17" i="15" s="1"/>
  <c r="BA17" i="15" s="1"/>
  <c r="AJ1" i="15"/>
  <c r="AI1" i="15"/>
  <c r="AE1" i="15"/>
  <c r="AD1" i="15"/>
  <c r="AC1" i="15"/>
  <c r="AB1" i="15"/>
  <c r="AA1" i="15"/>
  <c r="Y1" i="15"/>
  <c r="W1" i="15"/>
  <c r="U1" i="15"/>
  <c r="BF33" i="14"/>
  <c r="BF29" i="14"/>
  <c r="BF28" i="14"/>
  <c r="BF27" i="14"/>
  <c r="BF26" i="14"/>
  <c r="BF25" i="14"/>
  <c r="BF18" i="14"/>
  <c r="BF17" i="14"/>
  <c r="BF16" i="14"/>
  <c r="BF15" i="14"/>
  <c r="BF11" i="14"/>
  <c r="BF10" i="14"/>
  <c r="BF9" i="14"/>
  <c r="BF8" i="14"/>
  <c r="BF7" i="14"/>
  <c r="Z3" i="14" l="1"/>
  <c r="AB3" i="14"/>
  <c r="AD3" i="14"/>
  <c r="AK8" i="15"/>
  <c r="BA8" i="15" s="1"/>
  <c r="AK33" i="16"/>
  <c r="BA33" i="16" s="1"/>
  <c r="AK18" i="15"/>
  <c r="BA18" i="15" s="1"/>
  <c r="AY1" i="16"/>
  <c r="AZ1" i="16"/>
  <c r="AM2" i="16"/>
  <c r="BC1" i="16"/>
  <c r="X3" i="15"/>
  <c r="Y3" i="15" s="1"/>
  <c r="Z10" i="15" s="1"/>
  <c r="AP1" i="15"/>
  <c r="Z3" i="15"/>
  <c r="AA3" i="15" s="1"/>
  <c r="W3" i="15"/>
  <c r="X9" i="15" s="1"/>
  <c r="AB3" i="15"/>
  <c r="AC3" i="15" s="1"/>
  <c r="AK9" i="15"/>
  <c r="BA9" i="15" s="1"/>
  <c r="AK10" i="15"/>
  <c r="BA10" i="15" s="1"/>
  <c r="AK7" i="15"/>
  <c r="BA7" i="15" s="1"/>
  <c r="X3" i="16"/>
  <c r="U3" i="16" s="1"/>
  <c r="AE3" i="15"/>
  <c r="AF16" i="15" s="1"/>
  <c r="AK8" i="16"/>
  <c r="BA8" i="16" s="1"/>
  <c r="BA1" i="16"/>
  <c r="AK37" i="16"/>
  <c r="BA37" i="16" s="1"/>
  <c r="AN2" i="16"/>
  <c r="BD1" i="16"/>
  <c r="AC3" i="16"/>
  <c r="AD28" i="16" s="1"/>
  <c r="AK9" i="16"/>
  <c r="BA9" i="16" s="1"/>
  <c r="Z3" i="16"/>
  <c r="AA3" i="16" s="1"/>
  <c r="AK25" i="16"/>
  <c r="BA25" i="16" s="1"/>
  <c r="AK33" i="15"/>
  <c r="BA33" i="15" s="1"/>
  <c r="AK37" i="15"/>
  <c r="BA37" i="15" s="1"/>
  <c r="BB1" i="16"/>
  <c r="AK15" i="15"/>
  <c r="BA15" i="15" s="1"/>
  <c r="AK29" i="15"/>
  <c r="BA29" i="15" s="1"/>
  <c r="AK25" i="15"/>
  <c r="BA25" i="15" s="1"/>
  <c r="AB3" i="16"/>
  <c r="AK11" i="15"/>
  <c r="BA11" i="15" s="1"/>
  <c r="AK27" i="15"/>
  <c r="BA27" i="15" s="1"/>
  <c r="AE3" i="16"/>
  <c r="AF25" i="16" s="1"/>
  <c r="AK10" i="16"/>
  <c r="BA10" i="16" s="1"/>
  <c r="AK17" i="16"/>
  <c r="BA17" i="16" s="1"/>
  <c r="AK26" i="16"/>
  <c r="BA26" i="16" s="1"/>
  <c r="AK11" i="16"/>
  <c r="BA11" i="16" s="1"/>
  <c r="AK18" i="16"/>
  <c r="BA18" i="16" s="1"/>
  <c r="W3" i="16"/>
  <c r="X37" i="16" s="1"/>
  <c r="BF18" i="16"/>
  <c r="AL2" i="16"/>
  <c r="AO1" i="16"/>
  <c r="AP1" i="16"/>
  <c r="BF8" i="16"/>
  <c r="BF16" i="16"/>
  <c r="AK15" i="16"/>
  <c r="BA15" i="16" s="1"/>
  <c r="AK27" i="16"/>
  <c r="BA27" i="16" s="1"/>
  <c r="BF11" i="16"/>
  <c r="AK28" i="16"/>
  <c r="BA28" i="16" s="1"/>
  <c r="AK7" i="16"/>
  <c r="BA7" i="16" s="1"/>
  <c r="BF25" i="16"/>
  <c r="AK29" i="16"/>
  <c r="BA29" i="16" s="1"/>
  <c r="BF28" i="15"/>
  <c r="BF8" i="15"/>
  <c r="AF9" i="15"/>
  <c r="AF18" i="15"/>
  <c r="AF17" i="15"/>
  <c r="AF8" i="15"/>
  <c r="AF33" i="15"/>
  <c r="AF29" i="15"/>
  <c r="AF7" i="15"/>
  <c r="AL8" i="15"/>
  <c r="AL7" i="15"/>
  <c r="AL15" i="15"/>
  <c r="AL25" i="15"/>
  <c r="AL17" i="15"/>
  <c r="BF25" i="15"/>
  <c r="AO1" i="15"/>
  <c r="AL2" i="15"/>
  <c r="AF26" i="15"/>
  <c r="AF28" i="15"/>
  <c r="BF18" i="15"/>
  <c r="AK26" i="15"/>
  <c r="BA26" i="15" s="1"/>
  <c r="AK28" i="15"/>
  <c r="BA28" i="15" s="1"/>
  <c r="AK16" i="15"/>
  <c r="BA16" i="15" s="1"/>
  <c r="AL18" i="15" l="1"/>
  <c r="AF10" i="15"/>
  <c r="AF15" i="15"/>
  <c r="AF29" i="16"/>
  <c r="AF11" i="15"/>
  <c r="AL10" i="15"/>
  <c r="AF33" i="16"/>
  <c r="AF8" i="16"/>
  <c r="U3" i="15"/>
  <c r="V10" i="15" s="1"/>
  <c r="AL28" i="15"/>
  <c r="AM28" i="15" s="1"/>
  <c r="AD15" i="16"/>
  <c r="Y3" i="16"/>
  <c r="Z8" i="16" s="1"/>
  <c r="X10" i="15"/>
  <c r="AD11" i="16"/>
  <c r="X18" i="15"/>
  <c r="X11" i="15"/>
  <c r="AF16" i="16"/>
  <c r="AB11" i="15"/>
  <c r="AB8" i="15"/>
  <c r="AB26" i="15"/>
  <c r="AB29" i="15"/>
  <c r="AB9" i="15"/>
  <c r="AB18" i="15"/>
  <c r="AB15" i="15"/>
  <c r="AB7" i="15"/>
  <c r="AB25" i="15"/>
  <c r="AB17" i="15"/>
  <c r="AB27" i="15"/>
  <c r="AD7" i="16"/>
  <c r="AD18" i="16"/>
  <c r="X16" i="15"/>
  <c r="X25" i="15"/>
  <c r="AD33" i="16"/>
  <c r="X1" i="15"/>
  <c r="AD10" i="16"/>
  <c r="AD16" i="16"/>
  <c r="AD29" i="16"/>
  <c r="V33" i="15"/>
  <c r="X26" i="15"/>
  <c r="X7" i="15"/>
  <c r="X28" i="15"/>
  <c r="V29" i="15"/>
  <c r="AF26" i="16"/>
  <c r="AD9" i="16"/>
  <c r="X17" i="15"/>
  <c r="AF15" i="16"/>
  <c r="AF7" i="16"/>
  <c r="AB7" i="16"/>
  <c r="AB25" i="16"/>
  <c r="AB15" i="16"/>
  <c r="AB11" i="16"/>
  <c r="AB27" i="16"/>
  <c r="AB10" i="16"/>
  <c r="AB28" i="16"/>
  <c r="AB18" i="16"/>
  <c r="AB9" i="16"/>
  <c r="AB17" i="16"/>
  <c r="AD28" i="15"/>
  <c r="AD37" i="15"/>
  <c r="AD11" i="15"/>
  <c r="AD26" i="15"/>
  <c r="AD7" i="15"/>
  <c r="AD18" i="15"/>
  <c r="AD17" i="15"/>
  <c r="AD29" i="15"/>
  <c r="AD9" i="15"/>
  <c r="AD8" i="15"/>
  <c r="AD33" i="15"/>
  <c r="AD15" i="15"/>
  <c r="AD16" i="15"/>
  <c r="AD27" i="15"/>
  <c r="AD25" i="15"/>
  <c r="AD10" i="15"/>
  <c r="Z17" i="15"/>
  <c r="Z9" i="15"/>
  <c r="AL27" i="15"/>
  <c r="BB27" i="15" s="1"/>
  <c r="V11" i="15"/>
  <c r="V15" i="16"/>
  <c r="V37" i="16"/>
  <c r="AD25" i="16"/>
  <c r="AD37" i="16"/>
  <c r="Z18" i="15"/>
  <c r="AF17" i="16"/>
  <c r="AD8" i="16"/>
  <c r="BD2" i="16"/>
  <c r="X8" i="15"/>
  <c r="X37" i="15"/>
  <c r="AF25" i="15"/>
  <c r="Z11" i="15"/>
  <c r="X15" i="15"/>
  <c r="AL16" i="15"/>
  <c r="AM16" i="15" s="1"/>
  <c r="V17" i="15"/>
  <c r="AF28" i="16"/>
  <c r="X33" i="15"/>
  <c r="AF27" i="15"/>
  <c r="Z27" i="15"/>
  <c r="Z25" i="15"/>
  <c r="X27" i="15"/>
  <c r="AL33" i="15"/>
  <c r="AM33" i="15" s="1"/>
  <c r="AF9" i="16"/>
  <c r="AF27" i="16"/>
  <c r="X29" i="15"/>
  <c r="V7" i="15"/>
  <c r="AF18" i="16"/>
  <c r="AF11" i="16"/>
  <c r="AB10" i="15"/>
  <c r="V8" i="15"/>
  <c r="AF10" i="16"/>
  <c r="Z29" i="15"/>
  <c r="AL9" i="15"/>
  <c r="AN9" i="15" s="1"/>
  <c r="BD9" i="15" s="1"/>
  <c r="AD17" i="16"/>
  <c r="AD27" i="16"/>
  <c r="Z16" i="15"/>
  <c r="V18" i="15"/>
  <c r="AD26" i="16"/>
  <c r="Z33" i="15"/>
  <c r="Z37" i="15"/>
  <c r="Z8" i="15"/>
  <c r="Z28" i="15"/>
  <c r="Z15" i="15"/>
  <c r="Z7" i="15"/>
  <c r="Z26" i="15"/>
  <c r="AB28" i="15"/>
  <c r="AB16" i="15"/>
  <c r="BE1" i="16"/>
  <c r="V18" i="16"/>
  <c r="V8" i="16"/>
  <c r="V26" i="16"/>
  <c r="V27" i="16"/>
  <c r="V17" i="16"/>
  <c r="V11" i="16"/>
  <c r="V28" i="16"/>
  <c r="AB29" i="16"/>
  <c r="AB26" i="16"/>
  <c r="AB16" i="16"/>
  <c r="V29" i="16"/>
  <c r="V10" i="16"/>
  <c r="V9" i="16"/>
  <c r="V7" i="16"/>
  <c r="V25" i="16"/>
  <c r="AB8" i="16"/>
  <c r="Z17" i="16"/>
  <c r="Z18" i="16"/>
  <c r="Z29" i="16"/>
  <c r="V33" i="16"/>
  <c r="V16" i="16"/>
  <c r="X33" i="16"/>
  <c r="X28" i="16"/>
  <c r="X16" i="16"/>
  <c r="X27" i="16"/>
  <c r="X29" i="16"/>
  <c r="X17" i="16"/>
  <c r="X1" i="16"/>
  <c r="X15" i="16"/>
  <c r="X7" i="16"/>
  <c r="X9" i="16"/>
  <c r="X18" i="16"/>
  <c r="X10" i="16"/>
  <c r="X8" i="16"/>
  <c r="X11" i="16"/>
  <c r="X25" i="16"/>
  <c r="X26" i="16"/>
  <c r="BB8" i="15"/>
  <c r="AN8" i="15"/>
  <c r="BD8" i="15" s="1"/>
  <c r="AM8" i="15"/>
  <c r="AN18" i="15"/>
  <c r="BD18" i="15" s="1"/>
  <c r="AM18" i="15"/>
  <c r="BB18" i="15"/>
  <c r="AL26" i="15"/>
  <c r="AN7" i="15"/>
  <c r="BD7" i="15" s="1"/>
  <c r="AM7" i="15"/>
  <c r="BB7" i="15"/>
  <c r="BB17" i="15"/>
  <c r="AN17" i="15"/>
  <c r="BD17" i="15" s="1"/>
  <c r="AM17" i="15"/>
  <c r="AN10" i="15"/>
  <c r="BD10" i="15" s="1"/>
  <c r="AM10" i="15"/>
  <c r="BB10" i="15"/>
  <c r="AM27" i="15"/>
  <c r="AM25" i="15"/>
  <c r="AN25" i="15"/>
  <c r="BD25" i="15" s="1"/>
  <c r="BB25" i="15"/>
  <c r="AM15" i="15"/>
  <c r="AN15" i="15"/>
  <c r="BD15" i="15" s="1"/>
  <c r="BB15" i="15"/>
  <c r="V26" i="15" l="1"/>
  <c r="AH26" i="15" s="1"/>
  <c r="AI26" i="15" s="1"/>
  <c r="AN28" i="15"/>
  <c r="BD28" i="15" s="1"/>
  <c r="Z10" i="16"/>
  <c r="V25" i="15"/>
  <c r="AH25" i="15" s="1"/>
  <c r="V15" i="15"/>
  <c r="Z9" i="16"/>
  <c r="Z27" i="16"/>
  <c r="V28" i="15"/>
  <c r="Z26" i="16"/>
  <c r="AH26" i="16" s="1"/>
  <c r="BB28" i="15"/>
  <c r="Z33" i="16"/>
  <c r="AH33" i="16" s="1"/>
  <c r="AX33" i="16" s="1"/>
  <c r="Z28" i="16"/>
  <c r="Z11" i="16"/>
  <c r="V16" i="15"/>
  <c r="AH16" i="15" s="1"/>
  <c r="AI16" i="15" s="1"/>
  <c r="Z16" i="16"/>
  <c r="AH16" i="16" s="1"/>
  <c r="Z7" i="16"/>
  <c r="AH7" i="16" s="1"/>
  <c r="AI7" i="16" s="1"/>
  <c r="Z25" i="16"/>
  <c r="Z15" i="16"/>
  <c r="V9" i="15"/>
  <c r="Z37" i="16"/>
  <c r="AH8" i="15"/>
  <c r="AX8" i="15" s="1"/>
  <c r="BB9" i="15"/>
  <c r="AH25" i="16"/>
  <c r="AI25" i="16" s="1"/>
  <c r="AH18" i="15"/>
  <c r="AX18" i="15" s="1"/>
  <c r="V37" i="15"/>
  <c r="AH37" i="15" s="1"/>
  <c r="AI37" i="15" s="1"/>
  <c r="V27" i="15"/>
  <c r="AH27" i="15" s="1"/>
  <c r="AH7" i="15"/>
  <c r="AX7" i="15" s="1"/>
  <c r="AH11" i="16"/>
  <c r="AI11" i="16" s="1"/>
  <c r="AH28" i="15"/>
  <c r="AI28" i="15" s="1"/>
  <c r="AH10" i="15"/>
  <c r="AU10" i="15" s="1"/>
  <c r="AH33" i="15"/>
  <c r="AX33" i="15" s="1"/>
  <c r="AN16" i="15"/>
  <c r="BD16" i="15" s="1"/>
  <c r="AH17" i="15"/>
  <c r="AX17" i="15" s="1"/>
  <c r="AH9" i="15"/>
  <c r="AX9" i="15" s="1"/>
  <c r="AH15" i="15"/>
  <c r="AI15" i="15" s="1"/>
  <c r="AH29" i="15"/>
  <c r="AI29" i="15" s="1"/>
  <c r="AH11" i="15"/>
  <c r="AU11" i="15" s="1"/>
  <c r="AN33" i="15"/>
  <c r="BD33" i="15" s="1"/>
  <c r="BB33" i="15"/>
  <c r="AH10" i="16"/>
  <c r="AX10" i="16" s="1"/>
  <c r="AH29" i="16"/>
  <c r="AU29" i="16" s="1"/>
  <c r="BS29" i="16" s="1"/>
  <c r="BT29" i="16" s="1"/>
  <c r="AH18" i="16"/>
  <c r="AX18" i="16" s="1"/>
  <c r="AH37" i="16"/>
  <c r="AN27" i="15"/>
  <c r="BD27" i="15" s="1"/>
  <c r="BB16" i="15"/>
  <c r="AM9" i="15"/>
  <c r="AO9" i="15" s="1"/>
  <c r="BP9" i="16" s="1"/>
  <c r="AH27" i="16"/>
  <c r="AI27" i="16" s="1"/>
  <c r="AH8" i="16"/>
  <c r="AI8" i="16" s="1"/>
  <c r="AH15" i="16"/>
  <c r="AU15" i="16" s="1"/>
  <c r="AH9" i="16"/>
  <c r="AX9" i="16" s="1"/>
  <c r="AH28" i="16"/>
  <c r="AX28" i="16" s="1"/>
  <c r="AH17" i="16"/>
  <c r="AX17" i="16" s="1"/>
  <c r="AO28" i="15"/>
  <c r="BP28" i="16" s="1"/>
  <c r="BC28" i="15"/>
  <c r="BC17" i="15"/>
  <c r="AO17" i="15"/>
  <c r="BP17" i="16" s="1"/>
  <c r="BC8" i="15"/>
  <c r="AO8" i="15"/>
  <c r="BP8" i="16" s="1"/>
  <c r="AI8" i="15"/>
  <c r="AU8" i="15"/>
  <c r="AO15" i="15"/>
  <c r="BP15" i="16" s="1"/>
  <c r="BC15" i="15"/>
  <c r="AO27" i="15"/>
  <c r="BP27" i="16" s="1"/>
  <c r="BC27" i="15"/>
  <c r="BC16" i="15"/>
  <c r="AO16" i="15"/>
  <c r="BP16" i="16" s="1"/>
  <c r="BC7" i="15"/>
  <c r="AO7" i="15"/>
  <c r="BP7" i="16" s="1"/>
  <c r="AU18" i="15"/>
  <c r="AI18" i="15"/>
  <c r="AO18" i="15"/>
  <c r="BP18" i="16" s="1"/>
  <c r="BC18" i="15"/>
  <c r="BC33" i="15"/>
  <c r="AO33" i="15"/>
  <c r="BP33" i="16" s="1"/>
  <c r="BC10" i="15"/>
  <c r="AO10" i="15"/>
  <c r="BP10" i="16" s="1"/>
  <c r="AO25" i="15"/>
  <c r="BP25" i="16" s="1"/>
  <c r="BC25" i="15"/>
  <c r="AN26" i="15"/>
  <c r="BD26" i="15" s="1"/>
  <c r="AM26" i="15"/>
  <c r="BB26" i="15"/>
  <c r="AI26" i="16" l="1"/>
  <c r="AJ26" i="16" s="1"/>
  <c r="AX26" i="16"/>
  <c r="AU26" i="16"/>
  <c r="AU25" i="15"/>
  <c r="AX25" i="15"/>
  <c r="AU25" i="16"/>
  <c r="AX25" i="16"/>
  <c r="AU16" i="16"/>
  <c r="AI16" i="16"/>
  <c r="AY16" i="16" s="1"/>
  <c r="AU26" i="15"/>
  <c r="AX26" i="15"/>
  <c r="AI7" i="15"/>
  <c r="AY7" i="15" s="1"/>
  <c r="AU7" i="15"/>
  <c r="AI9" i="15"/>
  <c r="AY9" i="15" s="1"/>
  <c r="AI11" i="15"/>
  <c r="AY11" i="15" s="1"/>
  <c r="AU9" i="15"/>
  <c r="AX10" i="15"/>
  <c r="AX11" i="15"/>
  <c r="AU11" i="16"/>
  <c r="AX11" i="16"/>
  <c r="AX29" i="15"/>
  <c r="AU15" i="15"/>
  <c r="AX15" i="15"/>
  <c r="AU28" i="15"/>
  <c r="AX28" i="15"/>
  <c r="AI27" i="15"/>
  <c r="AJ27" i="15" s="1"/>
  <c r="AZ27" i="15" s="1"/>
  <c r="AX27" i="15"/>
  <c r="AU27" i="15"/>
  <c r="AI33" i="15"/>
  <c r="AY33" i="15" s="1"/>
  <c r="AU29" i="15"/>
  <c r="BI29" i="15" s="1"/>
  <c r="BJ29" i="15" s="1"/>
  <c r="AI10" i="15"/>
  <c r="AY10" i="15" s="1"/>
  <c r="AI25" i="15"/>
  <c r="AU7" i="16"/>
  <c r="AX7" i="16"/>
  <c r="AX16" i="15"/>
  <c r="AI9" i="16"/>
  <c r="AY9" i="16" s="1"/>
  <c r="AU9" i="16"/>
  <c r="AI15" i="16"/>
  <c r="AJ15" i="16" s="1"/>
  <c r="AZ15" i="16" s="1"/>
  <c r="AX37" i="15"/>
  <c r="AX15" i="16"/>
  <c r="AI17" i="15"/>
  <c r="AY17" i="15" s="1"/>
  <c r="AI28" i="16"/>
  <c r="AY28" i="16" s="1"/>
  <c r="AX16" i="16"/>
  <c r="AU17" i="15"/>
  <c r="AU28" i="16"/>
  <c r="AI33" i="16"/>
  <c r="AY33" i="16" s="1"/>
  <c r="AU16" i="15"/>
  <c r="AX29" i="16"/>
  <c r="BC9" i="15"/>
  <c r="AX8" i="16"/>
  <c r="AU8" i="16"/>
  <c r="AI10" i="16"/>
  <c r="AY10" i="16" s="1"/>
  <c r="AU10" i="16"/>
  <c r="AX37" i="16"/>
  <c r="AI37" i="16"/>
  <c r="AU27" i="16"/>
  <c r="AX27" i="16"/>
  <c r="AI29" i="16"/>
  <c r="AY29" i="16" s="1"/>
  <c r="AY37" i="15"/>
  <c r="AJ37" i="15"/>
  <c r="AI18" i="16"/>
  <c r="AY18" i="16" s="1"/>
  <c r="AU18" i="16"/>
  <c r="AI17" i="16"/>
  <c r="AY17" i="16" s="1"/>
  <c r="AU17" i="16"/>
  <c r="AJ11" i="16"/>
  <c r="AL11" i="16" s="1"/>
  <c r="AY11" i="16"/>
  <c r="AJ8" i="16"/>
  <c r="AY8" i="16"/>
  <c r="AY26" i="16"/>
  <c r="AJ25" i="16"/>
  <c r="AY25" i="16"/>
  <c r="AY7" i="16"/>
  <c r="AJ7" i="16"/>
  <c r="AJ27" i="16"/>
  <c r="AY27" i="16"/>
  <c r="BE25" i="15"/>
  <c r="AR25" i="15"/>
  <c r="AS25" i="15" s="1"/>
  <c r="AY15" i="15"/>
  <c r="AJ15" i="15"/>
  <c r="AZ15" i="15" s="1"/>
  <c r="AJ18" i="15"/>
  <c r="AZ18" i="15" s="1"/>
  <c r="AY18" i="15"/>
  <c r="AJ11" i="15"/>
  <c r="AJ26" i="15"/>
  <c r="AZ26" i="15" s="1"/>
  <c r="AY26" i="15"/>
  <c r="AR10" i="15"/>
  <c r="AS10" i="15" s="1"/>
  <c r="BE10" i="15"/>
  <c r="AR9" i="15"/>
  <c r="AS9" i="15" s="1"/>
  <c r="BE9" i="15"/>
  <c r="AJ16" i="15"/>
  <c r="AZ16" i="15" s="1"/>
  <c r="AY16" i="15"/>
  <c r="BE8" i="15"/>
  <c r="AR8" i="15"/>
  <c r="AS8" i="15" s="1"/>
  <c r="BE28" i="15"/>
  <c r="AR28" i="15"/>
  <c r="AS28" i="15" s="1"/>
  <c r="AJ28" i="15"/>
  <c r="AZ28" i="15" s="1"/>
  <c r="AY28" i="15"/>
  <c r="BE7" i="15"/>
  <c r="AR7" i="15"/>
  <c r="AS7" i="15" s="1"/>
  <c r="BE33" i="15"/>
  <c r="AR33" i="15"/>
  <c r="AS33" i="15" s="1"/>
  <c r="BE16" i="15"/>
  <c r="AR16" i="15"/>
  <c r="AS16" i="15" s="1"/>
  <c r="AY8" i="15"/>
  <c r="AJ8" i="15"/>
  <c r="AZ8" i="15" s="1"/>
  <c r="AY29" i="15"/>
  <c r="AJ29" i="15"/>
  <c r="BE27" i="15"/>
  <c r="AR27" i="15"/>
  <c r="AS27" i="15" s="1"/>
  <c r="BC26" i="15"/>
  <c r="AO26" i="15"/>
  <c r="BP26" i="16" s="1"/>
  <c r="BE18" i="15"/>
  <c r="AR18" i="15"/>
  <c r="AS18" i="15" s="1"/>
  <c r="BE15" i="15"/>
  <c r="AR15" i="15"/>
  <c r="AS15" i="15" s="1"/>
  <c r="BE17" i="15"/>
  <c r="AR17" i="15"/>
  <c r="AS17" i="15" s="1"/>
  <c r="AJ7" i="15" l="1"/>
  <c r="AZ7" i="15" s="1"/>
  <c r="AY27" i="15"/>
  <c r="AJ9" i="15"/>
  <c r="AZ9" i="15" s="1"/>
  <c r="AJ16" i="16"/>
  <c r="AZ16" i="16" s="1"/>
  <c r="AJ17" i="15"/>
  <c r="AZ17" i="15" s="1"/>
  <c r="AJ33" i="15"/>
  <c r="AZ33" i="15" s="1"/>
  <c r="AJ9" i="16"/>
  <c r="AJ4" i="16" s="1"/>
  <c r="AJ28" i="16"/>
  <c r="AL28" i="16" s="1"/>
  <c r="AL15" i="16"/>
  <c r="AM15" i="16" s="1"/>
  <c r="AJ18" i="16"/>
  <c r="AY25" i="15"/>
  <c r="AJ25" i="15"/>
  <c r="AZ25" i="15" s="1"/>
  <c r="AJ10" i="15"/>
  <c r="AZ10" i="15" s="1"/>
  <c r="AY15" i="16"/>
  <c r="AJ10" i="16"/>
  <c r="AL10" i="16" s="1"/>
  <c r="AJ33" i="16"/>
  <c r="AJ29" i="16"/>
  <c r="AL29" i="16" s="1"/>
  <c r="AM29" i="16" s="1"/>
  <c r="AY37" i="16"/>
  <c r="AJ37" i="16"/>
  <c r="BG16" i="15"/>
  <c r="BH16" i="15" s="1"/>
  <c r="BK16" i="16"/>
  <c r="BK27" i="16"/>
  <c r="BG27" i="15"/>
  <c r="BH27" i="15" s="1"/>
  <c r="BK28" i="16"/>
  <c r="BG28" i="15"/>
  <c r="BH28" i="15" s="1"/>
  <c r="BG17" i="15"/>
  <c r="BH17" i="15" s="1"/>
  <c r="BK17" i="16"/>
  <c r="BG8" i="15"/>
  <c r="BH8" i="15" s="1"/>
  <c r="BK8" i="16"/>
  <c r="BG18" i="15"/>
  <c r="BH18" i="15" s="1"/>
  <c r="BK18" i="16"/>
  <c r="BK33" i="16"/>
  <c r="BG33" i="15"/>
  <c r="BH33" i="15" s="1"/>
  <c r="BG10" i="15"/>
  <c r="BH10" i="15" s="1"/>
  <c r="BK10" i="16"/>
  <c r="BG7" i="15"/>
  <c r="BH7" i="15" s="1"/>
  <c r="BK7" i="16"/>
  <c r="BK25" i="16"/>
  <c r="BG25" i="15"/>
  <c r="BH25" i="15" s="1"/>
  <c r="AZ37" i="15"/>
  <c r="AL37" i="15"/>
  <c r="BG15" i="15"/>
  <c r="BH15" i="15" s="1"/>
  <c r="BK15" i="16"/>
  <c r="BG9" i="15"/>
  <c r="BH9" i="15" s="1"/>
  <c r="BK9" i="16"/>
  <c r="AJ17" i="16"/>
  <c r="AZ17" i="16" s="1"/>
  <c r="AZ7" i="16"/>
  <c r="AL7" i="16"/>
  <c r="AZ25" i="16"/>
  <c r="AL25" i="16"/>
  <c r="AZ27" i="16"/>
  <c r="AL27" i="16"/>
  <c r="AZ18" i="16"/>
  <c r="AL18" i="16"/>
  <c r="AZ8" i="16"/>
  <c r="AL8" i="16"/>
  <c r="AZ26" i="16"/>
  <c r="AL26" i="16"/>
  <c r="AZ29" i="15"/>
  <c r="AL29" i="15"/>
  <c r="AZ11" i="15"/>
  <c r="AL11" i="15"/>
  <c r="BB29" i="16"/>
  <c r="AZ11" i="16"/>
  <c r="BE26" i="15"/>
  <c r="AR26" i="15"/>
  <c r="AS26" i="15" s="1"/>
  <c r="BB15" i="16" l="1"/>
  <c r="AN15" i="16"/>
  <c r="BD15" i="16" s="1"/>
  <c r="AL9" i="16"/>
  <c r="AZ28" i="16"/>
  <c r="AZ9" i="16"/>
  <c r="AL17" i="16"/>
  <c r="BB17" i="16" s="1"/>
  <c r="AL16" i="16"/>
  <c r="AM16" i="16" s="1"/>
  <c r="BC16" i="16" s="1"/>
  <c r="AZ29" i="16"/>
  <c r="AZ10" i="16"/>
  <c r="AL33" i="16"/>
  <c r="AZ33" i="16"/>
  <c r="AZ37" i="16"/>
  <c r="AL37" i="16"/>
  <c r="BK26" i="16"/>
  <c r="BG26" i="15"/>
  <c r="BH26" i="15" s="1"/>
  <c r="BB37" i="15"/>
  <c r="AM37" i="15"/>
  <c r="AN37" i="15"/>
  <c r="BD37" i="15" s="1"/>
  <c r="BB9" i="16"/>
  <c r="AN9" i="16"/>
  <c r="BD9" i="16" s="1"/>
  <c r="AM9" i="16"/>
  <c r="AN25" i="16"/>
  <c r="BD25" i="16" s="1"/>
  <c r="AM25" i="16"/>
  <c r="BB25" i="16"/>
  <c r="AN18" i="16"/>
  <c r="BD18" i="16" s="1"/>
  <c r="AM18" i="16"/>
  <c r="BB18" i="16"/>
  <c r="AN28" i="16"/>
  <c r="BD28" i="16" s="1"/>
  <c r="AM28" i="16"/>
  <c r="BB28" i="16"/>
  <c r="BC15" i="16"/>
  <c r="AO15" i="16"/>
  <c r="BQ15" i="16" s="1"/>
  <c r="AN27" i="16"/>
  <c r="BD27" i="16" s="1"/>
  <c r="AM27" i="16"/>
  <c r="BB27" i="16"/>
  <c r="AN10" i="16"/>
  <c r="BD10" i="16" s="1"/>
  <c r="BB10" i="16"/>
  <c r="AM10" i="16"/>
  <c r="BB26" i="16"/>
  <c r="AN26" i="16"/>
  <c r="BD26" i="16" s="1"/>
  <c r="AM26" i="16"/>
  <c r="BB8" i="16"/>
  <c r="AN8" i="16"/>
  <c r="BD8" i="16" s="1"/>
  <c r="AM8" i="16"/>
  <c r="AM7" i="16"/>
  <c r="AO7" i="16" s="1"/>
  <c r="BE7" i="16" s="1"/>
  <c r="BL7" i="16" s="1"/>
  <c r="BB7" i="16"/>
  <c r="AN7" i="16"/>
  <c r="BD7" i="16" s="1"/>
  <c r="AM11" i="15"/>
  <c r="BB11" i="15"/>
  <c r="AM29" i="15"/>
  <c r="BB29" i="15"/>
  <c r="AM11" i="16"/>
  <c r="BB11" i="16"/>
  <c r="AN29" i="16"/>
  <c r="BD29" i="16" s="1"/>
  <c r="BC29" i="16"/>
  <c r="AO29" i="16"/>
  <c r="BQ29" i="16" s="1"/>
  <c r="BB16" i="16" l="1"/>
  <c r="AM17" i="16"/>
  <c r="AO17" i="16" s="1"/>
  <c r="BQ17" i="16" s="1"/>
  <c r="AN17" i="16"/>
  <c r="BD17" i="16" s="1"/>
  <c r="AO16" i="16"/>
  <c r="BQ16" i="16" s="1"/>
  <c r="AN16" i="16"/>
  <c r="BD16" i="16" s="1"/>
  <c r="AN33" i="16"/>
  <c r="BD33" i="16" s="1"/>
  <c r="AM33" i="16"/>
  <c r="BB33" i="16"/>
  <c r="BC37" i="15"/>
  <c r="AO37" i="15"/>
  <c r="BB37" i="16"/>
  <c r="AN37" i="16"/>
  <c r="BD37" i="16" s="1"/>
  <c r="AM37" i="16"/>
  <c r="AR15" i="16"/>
  <c r="AS15" i="16" s="1"/>
  <c r="BE15" i="16"/>
  <c r="BC28" i="16"/>
  <c r="AO28" i="16"/>
  <c r="BQ28" i="16" s="1"/>
  <c r="BC18" i="16"/>
  <c r="AO18" i="16"/>
  <c r="BQ18" i="16" s="1"/>
  <c r="BC25" i="16"/>
  <c r="AO25" i="16"/>
  <c r="BQ25" i="16" s="1"/>
  <c r="BC7" i="16"/>
  <c r="BQ7" i="16"/>
  <c r="AO9" i="16"/>
  <c r="BQ9" i="16" s="1"/>
  <c r="BC9" i="16"/>
  <c r="BC26" i="16"/>
  <c r="AO26" i="16"/>
  <c r="BQ26" i="16" s="1"/>
  <c r="BC10" i="16"/>
  <c r="AO10" i="16"/>
  <c r="BQ10" i="16" s="1"/>
  <c r="BC8" i="16"/>
  <c r="AO8" i="16"/>
  <c r="BQ8" i="16" s="1"/>
  <c r="BC27" i="16"/>
  <c r="AO27" i="16"/>
  <c r="BQ27" i="16" s="1"/>
  <c r="AN29" i="15"/>
  <c r="BD29" i="15" s="1"/>
  <c r="BC29" i="15"/>
  <c r="AO29" i="15"/>
  <c r="BP29" i="16" s="1"/>
  <c r="AN11" i="15"/>
  <c r="BD11" i="15" s="1"/>
  <c r="BC11" i="15"/>
  <c r="AO11" i="15"/>
  <c r="BP11" i="16" s="1"/>
  <c r="BE29" i="16"/>
  <c r="AR29" i="16"/>
  <c r="AS29" i="16" s="1"/>
  <c r="AO11" i="16"/>
  <c r="BQ11" i="16" s="1"/>
  <c r="AN11" i="16"/>
  <c r="BD11" i="16" s="1"/>
  <c r="BC11" i="16"/>
  <c r="AR16" i="16" l="1"/>
  <c r="AS16" i="16" s="1"/>
  <c r="BE16" i="16"/>
  <c r="BG16" i="16" s="1"/>
  <c r="BH16" i="16" s="1"/>
  <c r="BC17" i="16"/>
  <c r="BC33" i="16"/>
  <c r="AO33" i="16"/>
  <c r="AO37" i="16"/>
  <c r="BC37" i="16"/>
  <c r="BP37" i="14"/>
  <c r="BP37" i="11"/>
  <c r="BP37" i="16"/>
  <c r="BQ37" i="15"/>
  <c r="BP37" i="15"/>
  <c r="BE37" i="15"/>
  <c r="AR37" i="15"/>
  <c r="AS37" i="15" s="1"/>
  <c r="BG15" i="16"/>
  <c r="BH15" i="16" s="1"/>
  <c r="BL15" i="16"/>
  <c r="BL29" i="16"/>
  <c r="BG29" i="16"/>
  <c r="BH29" i="16" s="1"/>
  <c r="BE9" i="16"/>
  <c r="AR9" i="16"/>
  <c r="AS9" i="16" s="1"/>
  <c r="AR7" i="16"/>
  <c r="AS7" i="16" s="1"/>
  <c r="BE25" i="16"/>
  <c r="AR25" i="16"/>
  <c r="AS25" i="16" s="1"/>
  <c r="BE18" i="16"/>
  <c r="AR18" i="16"/>
  <c r="AS18" i="16" s="1"/>
  <c r="AR28" i="16"/>
  <c r="AS28" i="16" s="1"/>
  <c r="BE28" i="16"/>
  <c r="BE26" i="16"/>
  <c r="AR26" i="16"/>
  <c r="AS26" i="16" s="1"/>
  <c r="BE17" i="16"/>
  <c r="AR17" i="16"/>
  <c r="AS17" i="16" s="1"/>
  <c r="BE27" i="16"/>
  <c r="AR27" i="16"/>
  <c r="AS27" i="16" s="1"/>
  <c r="AR8" i="16"/>
  <c r="AS8" i="16" s="1"/>
  <c r="BE8" i="16"/>
  <c r="BE10" i="16"/>
  <c r="AR10" i="16"/>
  <c r="AS10" i="16" s="1"/>
  <c r="AR11" i="15"/>
  <c r="AS11" i="15" s="1"/>
  <c r="BE11" i="15"/>
  <c r="BE29" i="15"/>
  <c r="AR29" i="15"/>
  <c r="AS29" i="15" s="1"/>
  <c r="BE11" i="16"/>
  <c r="AR11" i="16"/>
  <c r="AS11" i="16" s="1"/>
  <c r="BL16" i="16" l="1"/>
  <c r="BQ33" i="16"/>
  <c r="AR33" i="16"/>
  <c r="AS33" i="16" s="1"/>
  <c r="BE33" i="16"/>
  <c r="BG11" i="15"/>
  <c r="BH11" i="15" s="1"/>
  <c r="BK11" i="16"/>
  <c r="BQ37" i="16"/>
  <c r="AR37" i="16"/>
  <c r="AS37" i="16" s="1"/>
  <c r="BE37" i="16"/>
  <c r="BK29" i="16"/>
  <c r="BG29" i="15"/>
  <c r="BH29" i="15" s="1"/>
  <c r="BK37" i="11"/>
  <c r="BK37" i="14"/>
  <c r="BL37" i="15"/>
  <c r="BK37" i="16"/>
  <c r="BK37" i="15"/>
  <c r="BG37" i="15"/>
  <c r="BH37" i="15" s="1"/>
  <c r="BG11" i="16"/>
  <c r="BH11" i="16" s="1"/>
  <c r="BL11" i="16"/>
  <c r="BL26" i="16"/>
  <c r="BG26" i="16"/>
  <c r="BH26" i="16" s="1"/>
  <c r="BL25" i="16"/>
  <c r="BG25" i="16"/>
  <c r="BH25" i="16" s="1"/>
  <c r="BG7" i="16"/>
  <c r="BH7" i="16" s="1"/>
  <c r="BG27" i="16"/>
  <c r="BH27" i="16" s="1"/>
  <c r="BL27" i="16"/>
  <c r="BG17" i="16"/>
  <c r="BH17" i="16" s="1"/>
  <c r="BL17" i="16"/>
  <c r="BL28" i="16"/>
  <c r="BG28" i="16"/>
  <c r="BH28" i="16" s="1"/>
  <c r="BG10" i="16"/>
  <c r="BH10" i="16" s="1"/>
  <c r="BL10" i="16"/>
  <c r="BG9" i="16"/>
  <c r="BH9" i="16" s="1"/>
  <c r="BL9" i="16"/>
  <c r="BG8" i="16"/>
  <c r="BH8" i="16" s="1"/>
  <c r="BL8" i="16"/>
  <c r="BG18" i="16"/>
  <c r="BH18" i="16" s="1"/>
  <c r="BL18" i="16"/>
  <c r="BG33" i="16" l="1"/>
  <c r="BH33" i="16" s="1"/>
  <c r="BL33" i="16"/>
  <c r="BL37" i="16"/>
  <c r="BG37" i="16"/>
  <c r="BH37" i="16" s="1"/>
  <c r="AE3" i="14"/>
  <c r="AJ1" i="14" l="1"/>
  <c r="AK1" i="14"/>
  <c r="AI1" i="14"/>
  <c r="AP33" i="14"/>
  <c r="AG33" i="14"/>
  <c r="AP29" i="14"/>
  <c r="AG29" i="14"/>
  <c r="AQ28" i="14"/>
  <c r="AP28" i="14" s="1"/>
  <c r="AG28" i="14"/>
  <c r="AQ27" i="14"/>
  <c r="AP27" i="14"/>
  <c r="AG27" i="14"/>
  <c r="AQ26" i="14"/>
  <c r="AP26" i="14" s="1"/>
  <c r="AG26" i="14"/>
  <c r="AQ25" i="14"/>
  <c r="AP25" i="14"/>
  <c r="AG25" i="14"/>
  <c r="AQ18" i="14"/>
  <c r="AP18" i="14"/>
  <c r="AG18" i="14"/>
  <c r="AQ17" i="14"/>
  <c r="AP17" i="14" s="1"/>
  <c r="AG17" i="14"/>
  <c r="AQ16" i="14"/>
  <c r="AP16" i="14"/>
  <c r="AG16" i="14"/>
  <c r="AQ15" i="14"/>
  <c r="AP15" i="14" s="1"/>
  <c r="AG15" i="14"/>
  <c r="AG11" i="14"/>
  <c r="AP10" i="14"/>
  <c r="AG10" i="14"/>
  <c r="AQ9" i="14"/>
  <c r="AP9" i="14" s="1"/>
  <c r="AG9" i="14"/>
  <c r="AQ8" i="14"/>
  <c r="AP8" i="14"/>
  <c r="AG8" i="14"/>
  <c r="AP7" i="14"/>
  <c r="AG7" i="14"/>
  <c r="AN1" i="14"/>
  <c r="AM1" i="14"/>
  <c r="AL1" i="14"/>
  <c r="AE1" i="14"/>
  <c r="AD1" i="14"/>
  <c r="AC1" i="14"/>
  <c r="AC3" i="14" s="1"/>
  <c r="AD37" i="14" s="1"/>
  <c r="AB1" i="14"/>
  <c r="AA1" i="14"/>
  <c r="AA3" i="14" s="1"/>
  <c r="AB29" i="14" s="1"/>
  <c r="Y1" i="14"/>
  <c r="W1" i="14"/>
  <c r="W3" i="14" s="1"/>
  <c r="X37" i="14" s="1"/>
  <c r="U1" i="14"/>
  <c r="AQ2" i="9"/>
  <c r="AP2" i="9"/>
  <c r="AQ33" i="9"/>
  <c r="AP33" i="9"/>
  <c r="AO33" i="9"/>
  <c r="AN33" i="9"/>
  <c r="AM33" i="9"/>
  <c r="AL33" i="9"/>
  <c r="AR33" i="9" s="1"/>
  <c r="AQ6" i="9"/>
  <c r="AP6" i="9"/>
  <c r="AM6" i="9"/>
  <c r="AM2" i="9" s="1"/>
  <c r="AR14" i="9"/>
  <c r="AQ14" i="9"/>
  <c r="AP14" i="9"/>
  <c r="AO14" i="9"/>
  <c r="AN14" i="9"/>
  <c r="AM14" i="9"/>
  <c r="AR24" i="9"/>
  <c r="AQ24" i="9"/>
  <c r="AP24" i="9"/>
  <c r="AO24" i="9"/>
  <c r="AN24" i="9"/>
  <c r="AM24" i="9"/>
  <c r="AL24" i="9"/>
  <c r="AL14" i="9"/>
  <c r="AL6" i="9"/>
  <c r="AR11" i="9"/>
  <c r="AR10" i="9"/>
  <c r="AR9" i="9"/>
  <c r="AR8" i="9"/>
  <c r="AR7" i="9"/>
  <c r="AR18" i="9"/>
  <c r="AR17" i="9"/>
  <c r="AR16" i="9"/>
  <c r="AR15" i="9"/>
  <c r="AR29" i="9"/>
  <c r="AR28" i="9"/>
  <c r="AR27" i="9"/>
  <c r="AR26" i="9"/>
  <c r="AR25" i="9"/>
  <c r="AQ29" i="9"/>
  <c r="AP29" i="9"/>
  <c r="AO29" i="9"/>
  <c r="AN29" i="9"/>
  <c r="AM29" i="9"/>
  <c r="AL29" i="9"/>
  <c r="AQ28" i="9"/>
  <c r="AP28" i="9"/>
  <c r="AO28" i="9"/>
  <c r="AN28" i="9"/>
  <c r="AM28" i="9"/>
  <c r="AL28" i="9"/>
  <c r="AQ27" i="9"/>
  <c r="AP27" i="9"/>
  <c r="AO27" i="9"/>
  <c r="AN27" i="9"/>
  <c r="AM27" i="9"/>
  <c r="AL27" i="9"/>
  <c r="AQ26" i="9"/>
  <c r="AP26" i="9"/>
  <c r="AO26" i="9"/>
  <c r="AN26" i="9"/>
  <c r="AM26" i="9"/>
  <c r="AL26" i="9"/>
  <c r="AQ25" i="9"/>
  <c r="AP25" i="9"/>
  <c r="AO25" i="9"/>
  <c r="AN25" i="9"/>
  <c r="AM25" i="9"/>
  <c r="AL25" i="9"/>
  <c r="AQ18" i="9"/>
  <c r="AP18" i="9"/>
  <c r="AO18" i="9"/>
  <c r="AN18" i="9"/>
  <c r="AM18" i="9"/>
  <c r="AL18" i="9"/>
  <c r="AQ17" i="9"/>
  <c r="AP17" i="9"/>
  <c r="AO17" i="9"/>
  <c r="AN17" i="9"/>
  <c r="AM17" i="9"/>
  <c r="AL17" i="9"/>
  <c r="AQ16" i="9"/>
  <c r="AP16" i="9"/>
  <c r="AO16" i="9"/>
  <c r="AN16" i="9"/>
  <c r="AM16" i="9"/>
  <c r="AL16" i="9"/>
  <c r="AQ15" i="9"/>
  <c r="AP15" i="9"/>
  <c r="AO15" i="9"/>
  <c r="AN15" i="9"/>
  <c r="AM15" i="9"/>
  <c r="AL15" i="9"/>
  <c r="AQ11" i="9"/>
  <c r="AP11" i="9"/>
  <c r="AO11" i="9"/>
  <c r="AO6" i="9" s="1"/>
  <c r="AO2" i="9" s="1"/>
  <c r="AN11" i="9"/>
  <c r="AM11" i="9"/>
  <c r="AL11" i="9"/>
  <c r="AQ10" i="9"/>
  <c r="AP10" i="9"/>
  <c r="AO10" i="9"/>
  <c r="AN10" i="9"/>
  <c r="AM10" i="9"/>
  <c r="AL10" i="9"/>
  <c r="AQ9" i="9"/>
  <c r="AP9" i="9"/>
  <c r="AO9" i="9"/>
  <c r="AN9" i="9"/>
  <c r="AM9" i="9"/>
  <c r="AL9" i="9"/>
  <c r="AQ8" i="9"/>
  <c r="AP8" i="9"/>
  <c r="AO8" i="9"/>
  <c r="AN8" i="9"/>
  <c r="AM8" i="9"/>
  <c r="AL8" i="9"/>
  <c r="AQ7" i="9"/>
  <c r="AP7" i="9"/>
  <c r="AO7" i="9"/>
  <c r="AN7" i="9"/>
  <c r="AM7" i="9"/>
  <c r="AQ5" i="9"/>
  <c r="AP5" i="9"/>
  <c r="AO5" i="9"/>
  <c r="AN5" i="9"/>
  <c r="AM5" i="9"/>
  <c r="AL5" i="9"/>
  <c r="AN6" i="9" l="1"/>
  <c r="AR6" i="9"/>
  <c r="AR2" i="9" s="1"/>
  <c r="AZ10" i="9" s="1"/>
  <c r="AW6" i="9"/>
  <c r="AW33" i="9"/>
  <c r="AW25" i="9"/>
  <c r="AW18" i="9"/>
  <c r="AW16" i="9"/>
  <c r="AW14" i="9"/>
  <c r="AW11" i="9"/>
  <c r="AW7" i="9"/>
  <c r="AW8" i="9"/>
  <c r="AW29" i="9"/>
  <c r="AW27" i="9"/>
  <c r="AW26" i="9"/>
  <c r="AW24" i="9"/>
  <c r="AW17" i="9"/>
  <c r="AW15" i="9"/>
  <c r="AW28" i="9"/>
  <c r="AW9" i="9"/>
  <c r="AU10" i="9"/>
  <c r="AU6" i="9"/>
  <c r="AU9" i="9"/>
  <c r="AU28" i="9"/>
  <c r="AU7" i="9"/>
  <c r="AU33" i="9"/>
  <c r="AU25" i="9"/>
  <c r="AU18" i="9"/>
  <c r="AU16" i="9"/>
  <c r="AU14" i="9"/>
  <c r="AU11" i="9"/>
  <c r="AU8" i="9"/>
  <c r="AU29" i="9"/>
  <c r="AU27" i="9"/>
  <c r="AU26" i="9"/>
  <c r="AU24" i="9"/>
  <c r="AU17" i="9"/>
  <c r="AU15" i="9"/>
  <c r="AW10" i="9"/>
  <c r="AL2" i="14"/>
  <c r="AO1" i="14"/>
  <c r="AM2" i="14"/>
  <c r="AN2" i="14"/>
  <c r="AP1" i="14"/>
  <c r="X25" i="14"/>
  <c r="AD18" i="14"/>
  <c r="AK37" i="14"/>
  <c r="BA37" i="14" s="1"/>
  <c r="AK17" i="14"/>
  <c r="BA17" i="14" s="1"/>
  <c r="AK7" i="14"/>
  <c r="BA7" i="14" s="1"/>
  <c r="AK28" i="14"/>
  <c r="BA28" i="14" s="1"/>
  <c r="AK27" i="14"/>
  <c r="BA27" i="14" s="1"/>
  <c r="AK16" i="14"/>
  <c r="BA16" i="14" s="1"/>
  <c r="AK15" i="14"/>
  <c r="BA15" i="14" s="1"/>
  <c r="AK29" i="14"/>
  <c r="BA29" i="14" s="1"/>
  <c r="AK11" i="14"/>
  <c r="BA11" i="14" s="1"/>
  <c r="AK10" i="14"/>
  <c r="BA10" i="14" s="1"/>
  <c r="AK25" i="14"/>
  <c r="BA25" i="14" s="1"/>
  <c r="AK9" i="14"/>
  <c r="BA9" i="14" s="1"/>
  <c r="AK8" i="14"/>
  <c r="BA8" i="14" s="1"/>
  <c r="AK33" i="14"/>
  <c r="BA33" i="14" s="1"/>
  <c r="AK26" i="14"/>
  <c r="BA26" i="14" s="1"/>
  <c r="AK18" i="14"/>
  <c r="BA18" i="14" s="1"/>
  <c r="AD10" i="14"/>
  <c r="AD17" i="14"/>
  <c r="AB11" i="14"/>
  <c r="AB7" i="14"/>
  <c r="AB28" i="14"/>
  <c r="AD7" i="14"/>
  <c r="AD28" i="14"/>
  <c r="AF16" i="14"/>
  <c r="AB25" i="14"/>
  <c r="AD25" i="14"/>
  <c r="AD8" i="14"/>
  <c r="AB16" i="14"/>
  <c r="AD29" i="14"/>
  <c r="AD16" i="14"/>
  <c r="AB26" i="14"/>
  <c r="AD26" i="14"/>
  <c r="X8" i="14"/>
  <c r="AB8" i="14"/>
  <c r="AD11" i="14"/>
  <c r="X17" i="14"/>
  <c r="X26" i="14"/>
  <c r="U3" i="14"/>
  <c r="X15" i="14"/>
  <c r="Y3" i="14"/>
  <c r="AB9" i="14"/>
  <c r="AD15" i="14"/>
  <c r="X18" i="14"/>
  <c r="X27" i="14"/>
  <c r="X33" i="14"/>
  <c r="AD9" i="14"/>
  <c r="AB27" i="14"/>
  <c r="AD33" i="14"/>
  <c r="AD27" i="14"/>
  <c r="AB15" i="14"/>
  <c r="X7" i="14"/>
  <c r="X16" i="14"/>
  <c r="AF17" i="14"/>
  <c r="AF28" i="14"/>
  <c r="AF9" i="14"/>
  <c r="AF33" i="14"/>
  <c r="AF29" i="14"/>
  <c r="AF10" i="14"/>
  <c r="X9" i="14"/>
  <c r="X28" i="14"/>
  <c r="X1" i="14"/>
  <c r="AB17" i="14"/>
  <c r="X29" i="14"/>
  <c r="AB18" i="14"/>
  <c r="X10" i="14"/>
  <c r="AB10" i="14"/>
  <c r="X11" i="14"/>
  <c r="AN2" i="9" l="1"/>
  <c r="AR1" i="9"/>
  <c r="AZ33" i="9"/>
  <c r="AZ8" i="9"/>
  <c r="AZ16" i="9"/>
  <c r="AZ14" i="9"/>
  <c r="AZ29" i="9"/>
  <c r="AZ27" i="9"/>
  <c r="AZ18" i="9"/>
  <c r="AZ26" i="9"/>
  <c r="AZ24" i="9"/>
  <c r="AZ17" i="9"/>
  <c r="AZ15" i="9"/>
  <c r="AZ7" i="9"/>
  <c r="AZ11" i="9"/>
  <c r="AZ9" i="9"/>
  <c r="AZ28" i="9"/>
  <c r="AZ25" i="9"/>
  <c r="AO1" i="9"/>
  <c r="AN1" i="9"/>
  <c r="AQ1" i="9"/>
  <c r="AP1" i="9"/>
  <c r="AM1" i="9"/>
  <c r="AL1" i="9"/>
  <c r="AZ6" i="9"/>
  <c r="Z11" i="14"/>
  <c r="Z37" i="14"/>
  <c r="V28" i="14"/>
  <c r="V37" i="14"/>
  <c r="V15" i="14"/>
  <c r="V33" i="14"/>
  <c r="V18" i="14"/>
  <c r="V7" i="14"/>
  <c r="V27" i="14"/>
  <c r="V10" i="14"/>
  <c r="V25" i="14"/>
  <c r="AF18" i="14"/>
  <c r="AF11" i="14"/>
  <c r="AF8" i="14"/>
  <c r="AF27" i="14"/>
  <c r="AF25" i="14"/>
  <c r="Z26" i="14"/>
  <c r="AF15" i="14"/>
  <c r="Z25" i="14"/>
  <c r="AF26" i="14"/>
  <c r="Z15" i="14"/>
  <c r="AF7" i="14"/>
  <c r="Z8" i="14"/>
  <c r="Z18" i="14"/>
  <c r="V29" i="14"/>
  <c r="Z10" i="14"/>
  <c r="Z33" i="14"/>
  <c r="Z29" i="14"/>
  <c r="V11" i="14"/>
  <c r="Z7" i="14"/>
  <c r="Z16" i="14"/>
  <c r="Z27" i="14"/>
  <c r="Z9" i="14"/>
  <c r="Z28" i="14"/>
  <c r="V9" i="14"/>
  <c r="V26" i="14"/>
  <c r="V16" i="14"/>
  <c r="Z17" i="14"/>
  <c r="V8" i="14"/>
  <c r="V17" i="14"/>
  <c r="L21" i="13"/>
  <c r="AH27" i="14" l="1"/>
  <c r="AV16" i="9"/>
  <c r="AV8" i="9"/>
  <c r="AV15" i="9"/>
  <c r="AV24" i="9"/>
  <c r="AV28" i="9"/>
  <c r="AV7" i="9"/>
  <c r="AV17" i="9"/>
  <c r="AV33" i="9"/>
  <c r="AV29" i="9"/>
  <c r="AV18" i="9"/>
  <c r="AV25" i="9"/>
  <c r="AV26" i="9"/>
  <c r="AV14" i="9"/>
  <c r="AV10" i="9"/>
  <c r="AV9" i="9"/>
  <c r="AV27" i="9"/>
  <c r="AV11" i="9"/>
  <c r="AV6" i="9"/>
  <c r="AH37" i="14"/>
  <c r="AH11" i="14"/>
  <c r="AU11" i="14" s="1"/>
  <c r="AH9" i="14"/>
  <c r="AU9" i="14" s="1"/>
  <c r="AH28" i="14"/>
  <c r="AI28" i="14" s="1"/>
  <c r="AH17" i="14"/>
  <c r="AI17" i="14" s="1"/>
  <c r="AH10" i="14"/>
  <c r="AU10" i="14" s="1"/>
  <c r="AX11" i="14"/>
  <c r="AI11" i="14"/>
  <c r="AX28" i="14"/>
  <c r="AX27" i="14"/>
  <c r="AI27" i="14"/>
  <c r="AH7" i="14"/>
  <c r="AH33" i="14"/>
  <c r="AH26" i="14"/>
  <c r="AU26" i="14" s="1"/>
  <c r="AH15" i="14"/>
  <c r="AU15" i="14" s="1"/>
  <c r="AH25" i="14"/>
  <c r="AH8" i="14"/>
  <c r="AH18" i="14"/>
  <c r="AH16" i="14"/>
  <c r="AH29" i="14"/>
  <c r="AU27" i="14"/>
  <c r="AK1" i="11"/>
  <c r="AE1" i="12"/>
  <c r="AA1" i="12"/>
  <c r="Y1" i="12"/>
  <c r="W1" i="12"/>
  <c r="U1" i="12"/>
  <c r="E19" i="13"/>
  <c r="E18" i="13"/>
  <c r="E17" i="13"/>
  <c r="E16" i="13"/>
  <c r="E15" i="13"/>
  <c r="E14" i="13"/>
  <c r="C42" i="13"/>
  <c r="C43" i="13" s="1"/>
  <c r="G41" i="13"/>
  <c r="L41" i="13" s="1"/>
  <c r="F41" i="13"/>
  <c r="S40" i="13"/>
  <c r="X40" i="13" s="1"/>
  <c r="L40" i="13"/>
  <c r="G40" i="13"/>
  <c r="F40" i="13"/>
  <c r="S39" i="13"/>
  <c r="L39" i="13"/>
  <c r="F39" i="13"/>
  <c r="F42" i="13" s="1"/>
  <c r="F44" i="13" s="1"/>
  <c r="S38" i="13"/>
  <c r="Y38" i="13" s="1"/>
  <c r="L38" i="13"/>
  <c r="F38" i="13"/>
  <c r="G38" i="13" s="1"/>
  <c r="S37" i="13"/>
  <c r="X37" i="13" s="1"/>
  <c r="L37" i="13"/>
  <c r="F37" i="13"/>
  <c r="G37" i="13" s="1"/>
  <c r="S36" i="13"/>
  <c r="L36" i="13"/>
  <c r="F36" i="13"/>
  <c r="G36" i="13" s="1"/>
  <c r="S35" i="13"/>
  <c r="Y35" i="13" s="1"/>
  <c r="L35" i="13"/>
  <c r="G35" i="13"/>
  <c r="F35" i="13"/>
  <c r="C22" i="13"/>
  <c r="C21" i="13"/>
  <c r="F20" i="13"/>
  <c r="G20" i="13" s="1"/>
  <c r="S19" i="13"/>
  <c r="F19" i="13"/>
  <c r="G19" i="13" s="1"/>
  <c r="AD18" i="13"/>
  <c r="AE18" i="13" s="1"/>
  <c r="S18" i="13"/>
  <c r="X18" i="13" s="1"/>
  <c r="F18" i="13"/>
  <c r="G18" i="13" s="1"/>
  <c r="S17" i="13"/>
  <c r="Y17" i="13" s="1"/>
  <c r="F17" i="13"/>
  <c r="G17" i="13" s="1"/>
  <c r="S16" i="13"/>
  <c r="F16" i="13"/>
  <c r="G16" i="13" s="1"/>
  <c r="S15" i="13"/>
  <c r="X15" i="13" s="1"/>
  <c r="F15" i="13"/>
  <c r="G15" i="13" s="1"/>
  <c r="AE14" i="13"/>
  <c r="S14" i="13"/>
  <c r="F14" i="13"/>
  <c r="C9" i="13"/>
  <c r="C11" i="13" s="1"/>
  <c r="C26" i="13" s="1"/>
  <c r="AI33" i="12"/>
  <c r="AG33" i="12"/>
  <c r="AI29" i="12"/>
  <c r="AG29" i="12"/>
  <c r="AJ28" i="12"/>
  <c r="AI28" i="12"/>
  <c r="AG28" i="12"/>
  <c r="AJ27" i="12"/>
  <c r="AI27" i="12" s="1"/>
  <c r="AG27" i="12"/>
  <c r="AJ26" i="12"/>
  <c r="AI26" i="12"/>
  <c r="AG26" i="12"/>
  <c r="AJ25" i="12"/>
  <c r="AI25" i="12"/>
  <c r="AG25" i="12"/>
  <c r="AJ18" i="12"/>
  <c r="AI18" i="12" s="1"/>
  <c r="AG18" i="12"/>
  <c r="AJ17" i="12"/>
  <c r="AI17" i="12"/>
  <c r="AG17" i="12"/>
  <c r="AJ16" i="12"/>
  <c r="AI16" i="12"/>
  <c r="AG16" i="12"/>
  <c r="AJ15" i="12"/>
  <c r="AI15" i="12"/>
  <c r="AG15" i="12"/>
  <c r="AI11" i="12"/>
  <c r="AG11" i="12"/>
  <c r="AI10" i="12"/>
  <c r="AG10" i="12"/>
  <c r="AJ9" i="12"/>
  <c r="AI9" i="12"/>
  <c r="AG9" i="12"/>
  <c r="AJ8" i="12"/>
  <c r="AI8" i="12" s="1"/>
  <c r="AG8" i="12"/>
  <c r="AI7" i="12"/>
  <c r="AG7" i="12"/>
  <c r="AD3" i="12"/>
  <c r="AC3" i="12"/>
  <c r="AB3" i="12"/>
  <c r="AE3" i="12" s="1"/>
  <c r="AA3" i="12"/>
  <c r="AB7" i="12" s="1"/>
  <c r="X3" i="12"/>
  <c r="W3" i="12"/>
  <c r="X2" i="12"/>
  <c r="W2" i="12"/>
  <c r="AK37" i="12" s="1"/>
  <c r="AL37" i="12" s="1"/>
  <c r="AD1" i="12"/>
  <c r="AC1" i="12"/>
  <c r="AB1" i="12"/>
  <c r="AX17" i="14" l="1"/>
  <c r="AU17" i="14"/>
  <c r="AU28" i="14"/>
  <c r="AX9" i="14"/>
  <c r="AI9" i="14"/>
  <c r="AY9" i="14" s="1"/>
  <c r="AD26" i="12"/>
  <c r="AD37" i="12"/>
  <c r="AI10" i="14"/>
  <c r="AJ10" i="14" s="1"/>
  <c r="AX10" i="14"/>
  <c r="AX37" i="14"/>
  <c r="AI37" i="14"/>
  <c r="AM37" i="12"/>
  <c r="AO37" i="12" s="1"/>
  <c r="AN37" i="12"/>
  <c r="X29" i="12"/>
  <c r="X37" i="12"/>
  <c r="X25" i="12"/>
  <c r="AX29" i="14"/>
  <c r="AI29" i="14"/>
  <c r="AJ17" i="14"/>
  <c r="AY17" i="14"/>
  <c r="AX7" i="14"/>
  <c r="AI7" i="14"/>
  <c r="AJ7" i="14" s="1"/>
  <c r="AL7" i="14" s="1"/>
  <c r="AY27" i="14"/>
  <c r="AJ27" i="14"/>
  <c r="AU16" i="14"/>
  <c r="AX16" i="14"/>
  <c r="AI16" i="14"/>
  <c r="AU18" i="14"/>
  <c r="AX18" i="14"/>
  <c r="AI18" i="14"/>
  <c r="AJ28" i="14"/>
  <c r="AY28" i="14"/>
  <c r="AU7" i="14"/>
  <c r="AU25" i="14"/>
  <c r="AX25" i="14"/>
  <c r="AI25" i="14"/>
  <c r="AX26" i="14"/>
  <c r="AI26" i="14"/>
  <c r="AJ11" i="14"/>
  <c r="AL11" i="14" s="1"/>
  <c r="AM11" i="14" s="1"/>
  <c r="AN11" i="14" s="1"/>
  <c r="AY11" i="14"/>
  <c r="AU8" i="14"/>
  <c r="AX8" i="14"/>
  <c r="AI8" i="14"/>
  <c r="AX15" i="14"/>
  <c r="AI15" i="14"/>
  <c r="AX33" i="14"/>
  <c r="AI33" i="14"/>
  <c r="AU29" i="14"/>
  <c r="BI29" i="14" s="1"/>
  <c r="BJ29" i="14" s="1"/>
  <c r="AD9" i="12"/>
  <c r="AD16" i="12"/>
  <c r="X35" i="13"/>
  <c r="W35" i="13"/>
  <c r="AB28" i="12"/>
  <c r="AD28" i="12"/>
  <c r="AD7" i="12"/>
  <c r="AB15" i="12"/>
  <c r="AD15" i="12"/>
  <c r="AB25" i="12"/>
  <c r="AD25" i="12"/>
  <c r="AB29" i="12"/>
  <c r="U3" i="12"/>
  <c r="V15" i="12" s="1"/>
  <c r="AD29" i="12"/>
  <c r="AB9" i="12"/>
  <c r="AB16" i="12"/>
  <c r="Y18" i="13"/>
  <c r="Y15" i="13"/>
  <c r="Y37" i="13"/>
  <c r="Y40" i="13"/>
  <c r="W40" i="13"/>
  <c r="AB10" i="12"/>
  <c r="AD10" i="12"/>
  <c r="Y3" i="12"/>
  <c r="Z28" i="12" s="1"/>
  <c r="L17" i="13"/>
  <c r="L15" i="13"/>
  <c r="L20" i="13"/>
  <c r="G39" i="13"/>
  <c r="G42" i="13" s="1"/>
  <c r="C29" i="13"/>
  <c r="X19" i="13"/>
  <c r="Y19" i="13"/>
  <c r="W19" i="13"/>
  <c r="C10" i="13"/>
  <c r="L16" i="13"/>
  <c r="G14" i="13"/>
  <c r="F21" i="13"/>
  <c r="F23" i="13" s="1"/>
  <c r="Y39" i="13"/>
  <c r="X39" i="13"/>
  <c r="W39" i="13"/>
  <c r="W17" i="13"/>
  <c r="X17" i="13"/>
  <c r="X16" i="13"/>
  <c r="Y16" i="13"/>
  <c r="W16" i="13"/>
  <c r="H18" i="13"/>
  <c r="I18" i="13" s="1"/>
  <c r="X14" i="13"/>
  <c r="Y14" i="13"/>
  <c r="W14" i="13"/>
  <c r="W15" i="13"/>
  <c r="L19" i="13"/>
  <c r="L42" i="13"/>
  <c r="Y36" i="13"/>
  <c r="X36" i="13"/>
  <c r="W36" i="13"/>
  <c r="W37" i="13"/>
  <c r="L18" i="13"/>
  <c r="W38" i="13"/>
  <c r="W18" i="13"/>
  <c r="X38" i="13"/>
  <c r="AF17" i="12"/>
  <c r="AF27" i="12"/>
  <c r="AF18" i="12"/>
  <c r="AF9" i="12"/>
  <c r="AF10" i="12"/>
  <c r="AF11" i="12"/>
  <c r="AF33" i="12"/>
  <c r="AF8" i="12"/>
  <c r="AF28" i="12"/>
  <c r="AF15" i="12"/>
  <c r="AF25" i="12"/>
  <c r="AF29" i="12"/>
  <c r="AF16" i="12"/>
  <c r="AF7" i="12"/>
  <c r="AF26" i="12"/>
  <c r="X9" i="12"/>
  <c r="X15" i="12"/>
  <c r="X28" i="12"/>
  <c r="X18" i="12"/>
  <c r="X8" i="12"/>
  <c r="AB18" i="12"/>
  <c r="X11" i="12"/>
  <c r="AD18" i="12"/>
  <c r="X33" i="12"/>
  <c r="AB8" i="12"/>
  <c r="X17" i="12"/>
  <c r="AD8" i="12"/>
  <c r="AB11" i="12"/>
  <c r="AD27" i="12"/>
  <c r="AD33" i="12"/>
  <c r="AB17" i="12"/>
  <c r="X26" i="12"/>
  <c r="X7" i="12"/>
  <c r="AD17" i="12"/>
  <c r="X1" i="12"/>
  <c r="X27" i="12"/>
  <c r="AB27" i="12"/>
  <c r="AD11" i="12"/>
  <c r="X10" i="12"/>
  <c r="X16" i="12"/>
  <c r="AB26" i="12"/>
  <c r="Z9" i="12" l="1"/>
  <c r="Z15" i="12"/>
  <c r="AH15" i="12" s="1"/>
  <c r="AL15" i="12" s="1"/>
  <c r="AY10" i="14"/>
  <c r="AJ9" i="14"/>
  <c r="AZ9" i="14" s="1"/>
  <c r="AY37" i="14"/>
  <c r="AJ37" i="14"/>
  <c r="V25" i="12"/>
  <c r="V37" i="12"/>
  <c r="Z27" i="12"/>
  <c r="Z37" i="12"/>
  <c r="AZ27" i="14"/>
  <c r="AL27" i="14"/>
  <c r="AJ26" i="14"/>
  <c r="AY26" i="14"/>
  <c r="AY25" i="14"/>
  <c r="AJ25" i="14"/>
  <c r="AY7" i="14"/>
  <c r="AJ16" i="14"/>
  <c r="AY16" i="14"/>
  <c r="AZ11" i="14"/>
  <c r="AJ15" i="14"/>
  <c r="AY15" i="14"/>
  <c r="AJ29" i="14"/>
  <c r="AL29" i="14" s="1"/>
  <c r="AM29" i="14" s="1"/>
  <c r="AN29" i="14" s="1"/>
  <c r="AY29" i="14"/>
  <c r="AL28" i="14"/>
  <c r="AZ28" i="14"/>
  <c r="AJ33" i="14"/>
  <c r="AY33" i="14"/>
  <c r="AZ10" i="14"/>
  <c r="AL10" i="14"/>
  <c r="AJ18" i="14"/>
  <c r="AY18" i="14"/>
  <c r="AZ17" i="14"/>
  <c r="AL17" i="14"/>
  <c r="AJ8" i="14"/>
  <c r="AY8" i="14"/>
  <c r="V16" i="12"/>
  <c r="Z17" i="12"/>
  <c r="Z26" i="12"/>
  <c r="Z25" i="12"/>
  <c r="V11" i="12"/>
  <c r="Z10" i="12"/>
  <c r="V17" i="12"/>
  <c r="Z11" i="12"/>
  <c r="V29" i="12"/>
  <c r="Z18" i="12"/>
  <c r="V10" i="12"/>
  <c r="V26" i="12"/>
  <c r="V7" i="12"/>
  <c r="V27" i="12"/>
  <c r="V8" i="12"/>
  <c r="V33" i="12"/>
  <c r="Z33" i="12"/>
  <c r="V18" i="12"/>
  <c r="Z7" i="12"/>
  <c r="V28" i="12"/>
  <c r="AH28" i="12" s="1"/>
  <c r="AL28" i="12" s="1"/>
  <c r="Z16" i="12"/>
  <c r="V9" i="12"/>
  <c r="AH9" i="12" s="1"/>
  <c r="AL9" i="12" s="1"/>
  <c r="Z29" i="12"/>
  <c r="Z36" i="13"/>
  <c r="Z15" i="13"/>
  <c r="Z8" i="12"/>
  <c r="J18" i="13"/>
  <c r="K18" i="13" s="1"/>
  <c r="R18" i="13"/>
  <c r="G21" i="13"/>
  <c r="H14" i="13"/>
  <c r="L14" i="13"/>
  <c r="H41" i="13"/>
  <c r="I41" i="13" s="1"/>
  <c r="H19" i="13"/>
  <c r="I19" i="13" s="1"/>
  <c r="H20" i="13"/>
  <c r="I20" i="13" s="1"/>
  <c r="H16" i="13"/>
  <c r="I16" i="13" s="1"/>
  <c r="H15" i="13"/>
  <c r="I15" i="13" s="1"/>
  <c r="C31" i="13"/>
  <c r="C30" i="13"/>
  <c r="H17" i="13"/>
  <c r="I17" i="13" s="1"/>
  <c r="AL9" i="14" l="1"/>
  <c r="BB9" i="14" s="1"/>
  <c r="AH29" i="12"/>
  <c r="AL29" i="12" s="1"/>
  <c r="AH7" i="12"/>
  <c r="AL7" i="12" s="1"/>
  <c r="AH37" i="12"/>
  <c r="AH8" i="12"/>
  <c r="AL8" i="12" s="1"/>
  <c r="AH25" i="12"/>
  <c r="AL25" i="12" s="1"/>
  <c r="AH26" i="12"/>
  <c r="AL26" i="12" s="1"/>
  <c r="AH11" i="12"/>
  <c r="AL11" i="12" s="1"/>
  <c r="AH16" i="12"/>
  <c r="AL16" i="12" s="1"/>
  <c r="AH17" i="12"/>
  <c r="AL17" i="12" s="1"/>
  <c r="AZ37" i="14"/>
  <c r="AL37" i="14"/>
  <c r="AH18" i="12"/>
  <c r="AL18" i="12" s="1"/>
  <c r="AH27" i="12"/>
  <c r="AL27" i="12" s="1"/>
  <c r="AH10" i="12"/>
  <c r="AL10" i="12" s="1"/>
  <c r="AL8" i="14"/>
  <c r="AZ8" i="14"/>
  <c r="AZ25" i="14"/>
  <c r="AL25" i="14"/>
  <c r="AL15" i="14"/>
  <c r="AZ15" i="14"/>
  <c r="AL18" i="14"/>
  <c r="AZ18" i="14"/>
  <c r="BB28" i="14"/>
  <c r="AM28" i="14"/>
  <c r="AN28" i="14"/>
  <c r="BD28" i="14" s="1"/>
  <c r="AZ26" i="14"/>
  <c r="AL26" i="14"/>
  <c r="AZ16" i="14"/>
  <c r="AL16" i="14"/>
  <c r="BB10" i="14"/>
  <c r="AN10" i="14"/>
  <c r="BD10" i="14" s="1"/>
  <c r="AM10" i="14"/>
  <c r="AL33" i="14"/>
  <c r="AZ33" i="14"/>
  <c r="BB27" i="14"/>
  <c r="AN27" i="14"/>
  <c r="BD27" i="14" s="1"/>
  <c r="AM27" i="14"/>
  <c r="BB17" i="14"/>
  <c r="AM17" i="14"/>
  <c r="AN17" i="14"/>
  <c r="BD17" i="14" s="1"/>
  <c r="BB11" i="14"/>
  <c r="BD11" i="14"/>
  <c r="AZ7" i="14"/>
  <c r="AZ29" i="14"/>
  <c r="AH33" i="12"/>
  <c r="AL33" i="12" s="1"/>
  <c r="AA15" i="13"/>
  <c r="Z16" i="13"/>
  <c r="AB15" i="13"/>
  <c r="Z37" i="13"/>
  <c r="AB36" i="13"/>
  <c r="AA36" i="13"/>
  <c r="J17" i="13"/>
  <c r="K17" i="13" s="1"/>
  <c r="N18" i="13"/>
  <c r="M18" i="13"/>
  <c r="R15" i="13"/>
  <c r="R16" i="13"/>
  <c r="V18" i="13" s="1"/>
  <c r="K20" i="13"/>
  <c r="K19" i="13"/>
  <c r="R19" i="13"/>
  <c r="J15" i="13"/>
  <c r="K15" i="13" s="1"/>
  <c r="J20" i="13"/>
  <c r="I14" i="13"/>
  <c r="H21" i="13"/>
  <c r="J19" i="13"/>
  <c r="J14" i="13"/>
  <c r="R17" i="13"/>
  <c r="J16" i="13"/>
  <c r="K16" i="13" s="1"/>
  <c r="J38" i="13"/>
  <c r="J36" i="13"/>
  <c r="J39" i="13"/>
  <c r="J40" i="13"/>
  <c r="J35" i="13"/>
  <c r="J37" i="13"/>
  <c r="T18" i="13"/>
  <c r="U18" i="13" s="1"/>
  <c r="J41" i="13"/>
  <c r="K41" i="13" s="1"/>
  <c r="AN9" i="14" l="1"/>
  <c r="BD9" i="14" s="1"/>
  <c r="AM9" i="14"/>
  <c r="BC9" i="14" s="1"/>
  <c r="BB37" i="14"/>
  <c r="AN37" i="14"/>
  <c r="BD37" i="14" s="1"/>
  <c r="AM37" i="14"/>
  <c r="BB18" i="14"/>
  <c r="AN18" i="14"/>
  <c r="BD18" i="14" s="1"/>
  <c r="AM18" i="14"/>
  <c r="BB33" i="14"/>
  <c r="AN33" i="14"/>
  <c r="BD33" i="14" s="1"/>
  <c r="AM33" i="14"/>
  <c r="BB25" i="14"/>
  <c r="AN25" i="14"/>
  <c r="BD25" i="14" s="1"/>
  <c r="AM25" i="14"/>
  <c r="AO17" i="14"/>
  <c r="BO17" i="16" s="1"/>
  <c r="BR17" i="16" s="1"/>
  <c r="BC17" i="14"/>
  <c r="BB26" i="14"/>
  <c r="AM26" i="14"/>
  <c r="AN26" i="14"/>
  <c r="BD26" i="14" s="1"/>
  <c r="BB7" i="14"/>
  <c r="AN7" i="14"/>
  <c r="BD7" i="14" s="1"/>
  <c r="AM7" i="14"/>
  <c r="AO10" i="14"/>
  <c r="BO10" i="16" s="1"/>
  <c r="BR10" i="16" s="1"/>
  <c r="BC10" i="14"/>
  <c r="AO27" i="14"/>
  <c r="BO27" i="16" s="1"/>
  <c r="BR27" i="16" s="1"/>
  <c r="BC27" i="14"/>
  <c r="AO28" i="14"/>
  <c r="BO28" i="16" s="1"/>
  <c r="BR28" i="16" s="1"/>
  <c r="BC28" i="14"/>
  <c r="BB29" i="14"/>
  <c r="BD29" i="14"/>
  <c r="BB15" i="14"/>
  <c r="AN15" i="14"/>
  <c r="BD15" i="14" s="1"/>
  <c r="AM15" i="14"/>
  <c r="AO11" i="14"/>
  <c r="BO11" i="16" s="1"/>
  <c r="BR11" i="16" s="1"/>
  <c r="BC11" i="14"/>
  <c r="BB16" i="14"/>
  <c r="AM16" i="14"/>
  <c r="AN16" i="14"/>
  <c r="BD16" i="14" s="1"/>
  <c r="BB8" i="14"/>
  <c r="AM8" i="14"/>
  <c r="AN8" i="14"/>
  <c r="BD8" i="14" s="1"/>
  <c r="AB37" i="13"/>
  <c r="AA37" i="13"/>
  <c r="Z38" i="13"/>
  <c r="Z17" i="13"/>
  <c r="AA16" i="13"/>
  <c r="AB16" i="13"/>
  <c r="N41" i="13"/>
  <c r="P41" i="13" s="1"/>
  <c r="Q41" i="13" s="1"/>
  <c r="M41" i="13"/>
  <c r="N16" i="13"/>
  <c r="M16" i="13"/>
  <c r="J21" i="13"/>
  <c r="N20" i="13"/>
  <c r="P20" i="13" s="1"/>
  <c r="Q20" i="13" s="1"/>
  <c r="M20" i="13"/>
  <c r="V16" i="13"/>
  <c r="T16" i="13"/>
  <c r="U16" i="13" s="1"/>
  <c r="N19" i="13"/>
  <c r="M19" i="13"/>
  <c r="N17" i="13"/>
  <c r="M17" i="13"/>
  <c r="V17" i="13"/>
  <c r="T17" i="13"/>
  <c r="U17" i="13" s="1"/>
  <c r="K14" i="13"/>
  <c r="R14" i="13"/>
  <c r="I21" i="13"/>
  <c r="J42" i="13"/>
  <c r="T15" i="13"/>
  <c r="U15" i="13" s="1"/>
  <c r="V15" i="13"/>
  <c r="N15" i="13"/>
  <c r="M15" i="13"/>
  <c r="V19" i="13"/>
  <c r="T19" i="13"/>
  <c r="U19" i="13" s="1"/>
  <c r="K39" i="13"/>
  <c r="E39" i="13"/>
  <c r="P18" i="13"/>
  <c r="Q18" i="13" s="1"/>
  <c r="AO9" i="14" l="1"/>
  <c r="BO9" i="16" s="1"/>
  <c r="BR9" i="16" s="1"/>
  <c r="BC37" i="14"/>
  <c r="AO37" i="14"/>
  <c r="AR17" i="14"/>
  <c r="AS17" i="14" s="1"/>
  <c r="BE17" i="14"/>
  <c r="AR27" i="14"/>
  <c r="AS27" i="14" s="1"/>
  <c r="BE27" i="14"/>
  <c r="AO16" i="14"/>
  <c r="BO16" i="16" s="1"/>
  <c r="BR16" i="16" s="1"/>
  <c r="BC16" i="14"/>
  <c r="AR10" i="14"/>
  <c r="AS10" i="14" s="1"/>
  <c r="BE10" i="14"/>
  <c r="BC33" i="14"/>
  <c r="AO33" i="14"/>
  <c r="BO33" i="16" s="1"/>
  <c r="BR33" i="16" s="1"/>
  <c r="BC29" i="14"/>
  <c r="AO29" i="14"/>
  <c r="BO29" i="16" s="1"/>
  <c r="BR29" i="16" s="1"/>
  <c r="AR28" i="14"/>
  <c r="AS28" i="14" s="1"/>
  <c r="BE28" i="14"/>
  <c r="AO25" i="14"/>
  <c r="BO25" i="16" s="1"/>
  <c r="BR25" i="16" s="1"/>
  <c r="BC25" i="14"/>
  <c r="BC7" i="14"/>
  <c r="AO7" i="14"/>
  <c r="BO7" i="16" s="1"/>
  <c r="BR7" i="16" s="1"/>
  <c r="AO15" i="14"/>
  <c r="BO15" i="16" s="1"/>
  <c r="BR15" i="16" s="1"/>
  <c r="BC15" i="14"/>
  <c r="AO26" i="14"/>
  <c r="BO26" i="16" s="1"/>
  <c r="BR26" i="16" s="1"/>
  <c r="BC26" i="14"/>
  <c r="BC8" i="14"/>
  <c r="AO8" i="14"/>
  <c r="BO8" i="16" s="1"/>
  <c r="BR8" i="16" s="1"/>
  <c r="BE11" i="14"/>
  <c r="AR11" i="14"/>
  <c r="AS11" i="14" s="1"/>
  <c r="AO18" i="14"/>
  <c r="BO18" i="16" s="1"/>
  <c r="BR18" i="16" s="1"/>
  <c r="BC18" i="14"/>
  <c r="AB17" i="13"/>
  <c r="AA17" i="13"/>
  <c r="Z18" i="13"/>
  <c r="AA38" i="13"/>
  <c r="AB38" i="13"/>
  <c r="Z39" i="13"/>
  <c r="N39" i="13"/>
  <c r="P39" i="13" s="1"/>
  <c r="Q39" i="13" s="1"/>
  <c r="M39" i="13"/>
  <c r="V14" i="13"/>
  <c r="T14" i="13"/>
  <c r="U14" i="13" s="1"/>
  <c r="E37" i="13"/>
  <c r="K37" i="13"/>
  <c r="P16" i="13"/>
  <c r="Q16" i="13" s="1"/>
  <c r="N14" i="13"/>
  <c r="K21" i="13"/>
  <c r="M14" i="13"/>
  <c r="M21" i="13" s="1"/>
  <c r="K36" i="13"/>
  <c r="P15" i="13"/>
  <c r="Q15" i="13" s="1"/>
  <c r="E36" i="13"/>
  <c r="P17" i="13"/>
  <c r="Q17" i="13" s="1"/>
  <c r="E38" i="13"/>
  <c r="K38" i="13"/>
  <c r="E40" i="13"/>
  <c r="P19" i="13"/>
  <c r="Q19" i="13" s="1"/>
  <c r="K40" i="13"/>
  <c r="AN26" i="11"/>
  <c r="BE9" i="14" l="1"/>
  <c r="BG9" i="14" s="1"/>
  <c r="BH9" i="14" s="1"/>
  <c r="AR9" i="14"/>
  <c r="AS9" i="14" s="1"/>
  <c r="BG10" i="14"/>
  <c r="BH10" i="14" s="1"/>
  <c r="BJ10" i="16"/>
  <c r="BM10" i="16" s="1"/>
  <c r="BG27" i="14"/>
  <c r="BH27" i="14" s="1"/>
  <c r="BJ27" i="16"/>
  <c r="BM27" i="16" s="1"/>
  <c r="BG17" i="14"/>
  <c r="BH17" i="14" s="1"/>
  <c r="BJ17" i="16"/>
  <c r="BM17" i="16" s="1"/>
  <c r="BG28" i="14"/>
  <c r="BH28" i="14" s="1"/>
  <c r="BJ28" i="16"/>
  <c r="BM28" i="16" s="1"/>
  <c r="BO37" i="11"/>
  <c r="BR37" i="11" s="1"/>
  <c r="BQ37" i="14"/>
  <c r="BO37" i="15"/>
  <c r="BR37" i="15" s="1"/>
  <c r="BE37" i="14"/>
  <c r="BO37" i="16"/>
  <c r="BR37" i="16" s="1"/>
  <c r="AR37" i="14"/>
  <c r="AS37" i="14" s="1"/>
  <c r="BO37" i="14"/>
  <c r="BR37" i="14" s="1"/>
  <c r="BG11" i="14"/>
  <c r="BH11" i="14" s="1"/>
  <c r="BJ11" i="16"/>
  <c r="BM11" i="16" s="1"/>
  <c r="AR29" i="14"/>
  <c r="AS29" i="14" s="1"/>
  <c r="BE29" i="14"/>
  <c r="AR26" i="14"/>
  <c r="AS26" i="14" s="1"/>
  <c r="BE26" i="14"/>
  <c r="BE15" i="14"/>
  <c r="AR15" i="14"/>
  <c r="AS15" i="14" s="1"/>
  <c r="AR8" i="14"/>
  <c r="AS8" i="14" s="1"/>
  <c r="BE8" i="14"/>
  <c r="AR33" i="14"/>
  <c r="AS33" i="14" s="1"/>
  <c r="BE33" i="14"/>
  <c r="BE16" i="14"/>
  <c r="AR16" i="14"/>
  <c r="AS16" i="14" s="1"/>
  <c r="BE7" i="14"/>
  <c r="AR7" i="14"/>
  <c r="AS7" i="14" s="1"/>
  <c r="BE18" i="14"/>
  <c r="AR18" i="14"/>
  <c r="AS18" i="14" s="1"/>
  <c r="AR25" i="14"/>
  <c r="AS25" i="14" s="1"/>
  <c r="BE25" i="14"/>
  <c r="AB18" i="13"/>
  <c r="AA18" i="13"/>
  <c r="Z19" i="13"/>
  <c r="AA39" i="13"/>
  <c r="AB39" i="13"/>
  <c r="Z40" i="13"/>
  <c r="N40" i="13"/>
  <c r="P40" i="13" s="1"/>
  <c r="Q40" i="13" s="1"/>
  <c r="M40" i="13"/>
  <c r="N36" i="13"/>
  <c r="P36" i="13" s="1"/>
  <c r="Q36" i="13" s="1"/>
  <c r="M36" i="13"/>
  <c r="E35" i="13"/>
  <c r="K35" i="13"/>
  <c r="P14" i="13"/>
  <c r="Q14" i="13" s="1"/>
  <c r="N37" i="13"/>
  <c r="P37" i="13" s="1"/>
  <c r="Q37" i="13" s="1"/>
  <c r="M37" i="13"/>
  <c r="H37" i="13"/>
  <c r="I37" i="13" s="1"/>
  <c r="R37" i="13" s="1"/>
  <c r="H40" i="13"/>
  <c r="I40" i="13" s="1"/>
  <c r="R40" i="13" s="1"/>
  <c r="N38" i="13"/>
  <c r="P38" i="13" s="1"/>
  <c r="Q38" i="13" s="1"/>
  <c r="M38" i="13"/>
  <c r="H38" i="13"/>
  <c r="I38" i="13" s="1"/>
  <c r="R38" i="13" s="1"/>
  <c r="BJ9" i="16" l="1"/>
  <c r="BM9" i="16" s="1"/>
  <c r="BG16" i="14"/>
  <c r="BH16" i="14" s="1"/>
  <c r="BJ16" i="16"/>
  <c r="BM16" i="16" s="1"/>
  <c r="BG15" i="14"/>
  <c r="BH15" i="14" s="1"/>
  <c r="BJ15" i="16"/>
  <c r="BM15" i="16" s="1"/>
  <c r="BJ25" i="16"/>
  <c r="BM25" i="16" s="1"/>
  <c r="BG25" i="14"/>
  <c r="BH25" i="14" s="1"/>
  <c r="BG33" i="14"/>
  <c r="BH33" i="14" s="1"/>
  <c r="BJ33" i="16"/>
  <c r="BM33" i="16" s="1"/>
  <c r="BJ37" i="11"/>
  <c r="BM37" i="11" s="1"/>
  <c r="BJ37" i="15"/>
  <c r="BM37" i="15" s="1"/>
  <c r="BJ37" i="14"/>
  <c r="BM37" i="14" s="1"/>
  <c r="BJ37" i="16"/>
  <c r="BM37" i="16" s="1"/>
  <c r="BG37" i="14"/>
  <c r="BH37" i="14" s="1"/>
  <c r="BL37" i="14"/>
  <c r="BG8" i="14"/>
  <c r="BH8" i="14" s="1"/>
  <c r="BJ8" i="16"/>
  <c r="BM8" i="16" s="1"/>
  <c r="BJ26" i="16"/>
  <c r="BM26" i="16" s="1"/>
  <c r="BG26" i="14"/>
  <c r="BH26" i="14" s="1"/>
  <c r="BJ29" i="16"/>
  <c r="BM29" i="16" s="1"/>
  <c r="BG29" i="14"/>
  <c r="BH29" i="14" s="1"/>
  <c r="BG18" i="14"/>
  <c r="BH18" i="14" s="1"/>
  <c r="BJ18" i="16"/>
  <c r="BM18" i="16" s="1"/>
  <c r="BG7" i="14"/>
  <c r="BH7" i="14" s="1"/>
  <c r="BJ7" i="16"/>
  <c r="BM7" i="16" s="1"/>
  <c r="AB40" i="13"/>
  <c r="AA40" i="13"/>
  <c r="AB19" i="13"/>
  <c r="AA19" i="13"/>
  <c r="T37" i="13"/>
  <c r="U37" i="13" s="1"/>
  <c r="V37" i="13"/>
  <c r="H35" i="13"/>
  <c r="H39" i="13"/>
  <c r="I39" i="13" s="1"/>
  <c r="R39" i="13" s="1"/>
  <c r="V38" i="13"/>
  <c r="T38" i="13"/>
  <c r="U38" i="13" s="1"/>
  <c r="T40" i="13"/>
  <c r="U40" i="13" s="1"/>
  <c r="V40" i="13"/>
  <c r="K42" i="13"/>
  <c r="N35" i="13"/>
  <c r="P35" i="13" s="1"/>
  <c r="Q35" i="13" s="1"/>
  <c r="M35" i="13"/>
  <c r="M42" i="13" s="1"/>
  <c r="H36" i="13"/>
  <c r="I36" i="13" s="1"/>
  <c r="R36" i="13" s="1"/>
  <c r="T36" i="13" l="1"/>
  <c r="U36" i="13" s="1"/>
  <c r="V36" i="13"/>
  <c r="V39" i="13"/>
  <c r="T39" i="13"/>
  <c r="U39" i="13" s="1"/>
  <c r="H42" i="13"/>
  <c r="I35" i="13"/>
  <c r="R35" i="13" l="1"/>
  <c r="I42" i="13"/>
  <c r="T35" i="13" l="1"/>
  <c r="U35" i="13" s="1"/>
  <c r="V35" i="13"/>
  <c r="AI7" i="9" l="1"/>
  <c r="AI8" i="9"/>
  <c r="AI9" i="9"/>
  <c r="AI10" i="9"/>
  <c r="AI11" i="9"/>
  <c r="AI15" i="9"/>
  <c r="AI16" i="9"/>
  <c r="AI17" i="9"/>
  <c r="AI18" i="9"/>
  <c r="AI25" i="9"/>
  <c r="AI26" i="9"/>
  <c r="AI27" i="9"/>
  <c r="AI28" i="9"/>
  <c r="AI29" i="9"/>
  <c r="AM33" i="11"/>
  <c r="AM29" i="11"/>
  <c r="AM28" i="11"/>
  <c r="AM27" i="11"/>
  <c r="AM26" i="11"/>
  <c r="AM25" i="11"/>
  <c r="AM18" i="11"/>
  <c r="AM17" i="11"/>
  <c r="AM16" i="11"/>
  <c r="AM15" i="11"/>
  <c r="AM11" i="11"/>
  <c r="AM10" i="11"/>
  <c r="AM9" i="11"/>
  <c r="AM8" i="11"/>
  <c r="AM7" i="11"/>
  <c r="AJ1" i="11"/>
  <c r="AI1" i="11"/>
  <c r="AG33" i="11"/>
  <c r="AG29" i="11"/>
  <c r="AN28" i="11"/>
  <c r="AG28" i="11"/>
  <c r="AN27" i="11"/>
  <c r="AG27" i="11"/>
  <c r="AG26" i="11"/>
  <c r="AN25" i="11"/>
  <c r="AG25" i="11"/>
  <c r="AN18" i="11"/>
  <c r="AG18" i="11"/>
  <c r="AN17" i="11"/>
  <c r="AG17" i="11"/>
  <c r="AN16" i="11"/>
  <c r="AG16" i="11"/>
  <c r="AN15" i="11"/>
  <c r="AG15" i="11"/>
  <c r="AG11" i="11"/>
  <c r="AG10" i="11"/>
  <c r="AN9" i="11"/>
  <c r="AG9" i="11"/>
  <c r="AN8" i="11"/>
  <c r="AG8" i="11"/>
  <c r="AG7" i="11"/>
  <c r="AD3" i="11"/>
  <c r="AC3" i="11"/>
  <c r="AB3" i="11"/>
  <c r="AA3" i="11"/>
  <c r="AB7" i="11" s="1"/>
  <c r="X3" i="11"/>
  <c r="Y3" i="11" s="1"/>
  <c r="Z37" i="11" s="1"/>
  <c r="W3" i="11"/>
  <c r="X7" i="11" s="1"/>
  <c r="X2" i="11"/>
  <c r="W2" i="11"/>
  <c r="AK37" i="11" s="1"/>
  <c r="AE1" i="11"/>
  <c r="AD1" i="11"/>
  <c r="AC1" i="11"/>
  <c r="AB1" i="11"/>
  <c r="AA1" i="11"/>
  <c r="Y1" i="11"/>
  <c r="W1" i="11"/>
  <c r="U1" i="11"/>
  <c r="AD1" i="9"/>
  <c r="AB1" i="9"/>
  <c r="AB3" i="9"/>
  <c r="AA3" i="9"/>
  <c r="AB10" i="9" s="1"/>
  <c r="AA1" i="9"/>
  <c r="AD3" i="9"/>
  <c r="AC3" i="9"/>
  <c r="AD37" i="9" s="1"/>
  <c r="AC1" i="9"/>
  <c r="AE1" i="9"/>
  <c r="Y1" i="9"/>
  <c r="U1" i="9"/>
  <c r="X3" i="9"/>
  <c r="W3" i="9"/>
  <c r="X37" i="9" s="1"/>
  <c r="X2" i="9"/>
  <c r="W2" i="9"/>
  <c r="AK37" i="9" s="1"/>
  <c r="AL37" i="9" s="1"/>
  <c r="W1" i="9"/>
  <c r="C43" i="10"/>
  <c r="C42" i="10"/>
  <c r="F41" i="10"/>
  <c r="G41" i="10" s="1"/>
  <c r="S40" i="10"/>
  <c r="X40" i="10" s="1"/>
  <c r="L40" i="10"/>
  <c r="F40" i="10"/>
  <c r="G40" i="10" s="1"/>
  <c r="S39" i="10"/>
  <c r="L39" i="10"/>
  <c r="G39" i="10"/>
  <c r="F39" i="10"/>
  <c r="S38" i="10"/>
  <c r="Y38" i="10" s="1"/>
  <c r="L38" i="10"/>
  <c r="F38" i="10"/>
  <c r="G38" i="10" s="1"/>
  <c r="S37" i="10"/>
  <c r="L37" i="10"/>
  <c r="G37" i="10"/>
  <c r="F37" i="10"/>
  <c r="S36" i="10"/>
  <c r="X36" i="10" s="1"/>
  <c r="L36" i="10"/>
  <c r="G36" i="10"/>
  <c r="F36" i="10"/>
  <c r="S35" i="10"/>
  <c r="Y35" i="10" s="1"/>
  <c r="L35" i="10"/>
  <c r="F35" i="10"/>
  <c r="G35" i="10" s="1"/>
  <c r="C22" i="10"/>
  <c r="C21" i="10"/>
  <c r="G20" i="10"/>
  <c r="L20" i="10" s="1"/>
  <c r="F20" i="10"/>
  <c r="S19" i="10"/>
  <c r="Y19" i="10" s="1"/>
  <c r="F19" i="10"/>
  <c r="G19" i="10" s="1"/>
  <c r="AD18" i="10"/>
  <c r="AE18" i="10" s="1"/>
  <c r="S18" i="10"/>
  <c r="Y18" i="10" s="1"/>
  <c r="L18" i="10"/>
  <c r="G18" i="10"/>
  <c r="F18" i="10"/>
  <c r="S17" i="10"/>
  <c r="X17" i="10" s="1"/>
  <c r="F17" i="10"/>
  <c r="G17" i="10" s="1"/>
  <c r="S16" i="10"/>
  <c r="Y16" i="10" s="1"/>
  <c r="F16" i="10"/>
  <c r="G16" i="10" s="1"/>
  <c r="S15" i="10"/>
  <c r="Y15" i="10" s="1"/>
  <c r="G15" i="10"/>
  <c r="L15" i="10" s="1"/>
  <c r="F15" i="10"/>
  <c r="AE14" i="10"/>
  <c r="S14" i="10"/>
  <c r="X14" i="10" s="1"/>
  <c r="F14" i="10"/>
  <c r="F21" i="10" s="1"/>
  <c r="F23" i="10" s="1"/>
  <c r="C10" i="10"/>
  <c r="C9" i="10"/>
  <c r="C11" i="10" s="1"/>
  <c r="C26" i="10" s="1"/>
  <c r="AD2" i="8"/>
  <c r="AC2" i="8"/>
  <c r="AC1" i="8"/>
  <c r="AD3" i="8"/>
  <c r="AC3" i="8"/>
  <c r="AD37" i="8" s="1"/>
  <c r="AN37" i="8" s="1"/>
  <c r="AO37" i="8" s="1"/>
  <c r="AP37" i="8" s="1"/>
  <c r="Y17" i="10" l="1"/>
  <c r="W39" i="10"/>
  <c r="Y40" i="10"/>
  <c r="AN37" i="9"/>
  <c r="AM37" i="9"/>
  <c r="AO37" i="9" s="1"/>
  <c r="Y3" i="9"/>
  <c r="Z37" i="9" s="1"/>
  <c r="U3" i="9"/>
  <c r="V37" i="9" s="1"/>
  <c r="AH37" i="9" s="1"/>
  <c r="BA37" i="11"/>
  <c r="X29" i="11"/>
  <c r="X37" i="11"/>
  <c r="AE3" i="9"/>
  <c r="AF33" i="9" s="1"/>
  <c r="AD26" i="11"/>
  <c r="AD37" i="11"/>
  <c r="W37" i="10"/>
  <c r="W15" i="10"/>
  <c r="X37" i="10"/>
  <c r="Y37" i="10"/>
  <c r="AD1" i="8"/>
  <c r="Z36" i="10"/>
  <c r="AA36" i="10" s="1"/>
  <c r="Z15" i="10"/>
  <c r="AB15" i="10" s="1"/>
  <c r="W40" i="10"/>
  <c r="W35" i="10"/>
  <c r="X35" i="10"/>
  <c r="X15" i="10"/>
  <c r="X1" i="9"/>
  <c r="AD10" i="11"/>
  <c r="U3" i="11"/>
  <c r="X25" i="11"/>
  <c r="AB10" i="11"/>
  <c r="AB15" i="11"/>
  <c r="AB29" i="11"/>
  <c r="AB25" i="11"/>
  <c r="AD29" i="11"/>
  <c r="AB9" i="11"/>
  <c r="AD9" i="11"/>
  <c r="AB28" i="11"/>
  <c r="AD7" i="11"/>
  <c r="AD28" i="11"/>
  <c r="AE3" i="11"/>
  <c r="AF28" i="11" s="1"/>
  <c r="AB16" i="11"/>
  <c r="AD15" i="11"/>
  <c r="AD25" i="11"/>
  <c r="AD16" i="11"/>
  <c r="Z29" i="11"/>
  <c r="Z16" i="11"/>
  <c r="Z10" i="11"/>
  <c r="Z28" i="11"/>
  <c r="Z7" i="11"/>
  <c r="Z15" i="11"/>
  <c r="Z9" i="11"/>
  <c r="Z26" i="11"/>
  <c r="Z18" i="11"/>
  <c r="Z17" i="11"/>
  <c r="Z33" i="11"/>
  <c r="Z11" i="11"/>
  <c r="Z25" i="11"/>
  <c r="Z27" i="11"/>
  <c r="Z8" i="11"/>
  <c r="X15" i="11"/>
  <c r="X1" i="11"/>
  <c r="X11" i="11"/>
  <c r="AD18" i="11"/>
  <c r="X33" i="11"/>
  <c r="X9" i="11"/>
  <c r="X28" i="11"/>
  <c r="AB8" i="11"/>
  <c r="X17" i="11"/>
  <c r="AB27" i="11"/>
  <c r="X27" i="11"/>
  <c r="AD8" i="11"/>
  <c r="AB11" i="11"/>
  <c r="AD27" i="11"/>
  <c r="AD33" i="11"/>
  <c r="X18" i="11"/>
  <c r="AB18" i="11"/>
  <c r="AD11" i="11"/>
  <c r="AB17" i="11"/>
  <c r="X26" i="11"/>
  <c r="X8" i="11"/>
  <c r="AD17" i="11"/>
  <c r="X10" i="11"/>
  <c r="X16" i="11"/>
  <c r="AB26" i="11"/>
  <c r="V27" i="11"/>
  <c r="L19" i="10"/>
  <c r="H19" i="10"/>
  <c r="I19" i="10" s="1"/>
  <c r="L16" i="10"/>
  <c r="H16" i="10"/>
  <c r="I16" i="10" s="1"/>
  <c r="C29" i="10"/>
  <c r="L17" i="10"/>
  <c r="H17" i="10"/>
  <c r="I17" i="10" s="1"/>
  <c r="G42" i="10"/>
  <c r="L41" i="10"/>
  <c r="L42" i="10" s="1"/>
  <c r="H41" i="10"/>
  <c r="I41" i="10" s="1"/>
  <c r="H15" i="10"/>
  <c r="I15" i="10" s="1"/>
  <c r="W17" i="10"/>
  <c r="F42" i="10"/>
  <c r="F44" i="10" s="1"/>
  <c r="W36" i="10"/>
  <c r="X39" i="10"/>
  <c r="X19" i="10"/>
  <c r="Y36" i="10"/>
  <c r="H20" i="10"/>
  <c r="I20" i="10" s="1"/>
  <c r="W19" i="10"/>
  <c r="Y39" i="10"/>
  <c r="G14" i="10"/>
  <c r="W14" i="10"/>
  <c r="W16" i="10"/>
  <c r="X16" i="10"/>
  <c r="W38" i="10"/>
  <c r="Y14" i="10"/>
  <c r="J16" i="10"/>
  <c r="W18" i="10"/>
  <c r="X38" i="10"/>
  <c r="X18" i="10"/>
  <c r="Z37" i="10" l="1"/>
  <c r="AB36" i="10"/>
  <c r="V25" i="11"/>
  <c r="V37" i="11"/>
  <c r="AH37" i="11" s="1"/>
  <c r="AR37" i="9"/>
  <c r="V7" i="11"/>
  <c r="Z16" i="10"/>
  <c r="AA15" i="10"/>
  <c r="V11" i="11"/>
  <c r="V28" i="11"/>
  <c r="AH28" i="11" s="1"/>
  <c r="V26" i="11"/>
  <c r="V16" i="11"/>
  <c r="V9" i="11"/>
  <c r="AH9" i="11" s="1"/>
  <c r="V15" i="11"/>
  <c r="V29" i="11"/>
  <c r="V17" i="11"/>
  <c r="V33" i="11"/>
  <c r="V10" i="11"/>
  <c r="V8" i="11"/>
  <c r="V18" i="11"/>
  <c r="AF16" i="11"/>
  <c r="AF18" i="11"/>
  <c r="AF26" i="11"/>
  <c r="AF10" i="11"/>
  <c r="AF9" i="11"/>
  <c r="AF25" i="11"/>
  <c r="AF7" i="11"/>
  <c r="AF15" i="11"/>
  <c r="AF29" i="11"/>
  <c r="AH29" i="11" s="1"/>
  <c r="AF17" i="11"/>
  <c r="AF8" i="11"/>
  <c r="AF27" i="11"/>
  <c r="AH27" i="11" s="1"/>
  <c r="AF33" i="11"/>
  <c r="AF11" i="11"/>
  <c r="K41" i="10"/>
  <c r="N41" i="10" s="1"/>
  <c r="P41" i="10" s="1"/>
  <c r="Q41" i="10" s="1"/>
  <c r="J41" i="10"/>
  <c r="R19" i="10"/>
  <c r="K16" i="10"/>
  <c r="N16" i="10" s="1"/>
  <c r="R16" i="10"/>
  <c r="R17" i="10"/>
  <c r="R15" i="10"/>
  <c r="K15" i="10"/>
  <c r="C31" i="10"/>
  <c r="C30" i="10"/>
  <c r="Z38" i="10"/>
  <c r="AB37" i="10"/>
  <c r="AA37" i="10"/>
  <c r="L14" i="10"/>
  <c r="G21" i="10"/>
  <c r="H14" i="10"/>
  <c r="M16" i="10"/>
  <c r="J20" i="10"/>
  <c r="K20" i="10" s="1"/>
  <c r="J17" i="10"/>
  <c r="K17" i="10" s="1"/>
  <c r="J19" i="10"/>
  <c r="K19" i="10" s="1"/>
  <c r="J15" i="10"/>
  <c r="H18" i="10"/>
  <c r="AH15" i="11" l="1"/>
  <c r="AH7" i="11"/>
  <c r="AI7" i="11" s="1"/>
  <c r="AH8" i="11"/>
  <c r="AH10" i="11"/>
  <c r="AR10" i="11" s="1"/>
  <c r="AX37" i="11"/>
  <c r="AI37" i="11"/>
  <c r="AH25" i="11"/>
  <c r="AR25" i="11" s="1"/>
  <c r="AH16" i="11"/>
  <c r="AI16" i="11" s="1"/>
  <c r="AK16" i="11" s="1"/>
  <c r="AH33" i="11"/>
  <c r="AI33" i="11" s="1"/>
  <c r="AK33" i="11" s="1"/>
  <c r="AH17" i="11"/>
  <c r="AI17" i="11" s="1"/>
  <c r="AK17" i="11" s="1"/>
  <c r="AH11" i="11"/>
  <c r="AI11" i="11" s="1"/>
  <c r="AH18" i="11"/>
  <c r="AI18" i="11" s="1"/>
  <c r="AA16" i="10"/>
  <c r="Z17" i="10"/>
  <c r="AB16" i="10"/>
  <c r="AR9" i="11"/>
  <c r="AI9" i="11"/>
  <c r="AR8" i="11"/>
  <c r="AI8" i="11"/>
  <c r="AI15" i="11"/>
  <c r="AJ15" i="11" s="1"/>
  <c r="AL15" i="11" s="1"/>
  <c r="AO15" i="11" s="1"/>
  <c r="AP15" i="11" s="1"/>
  <c r="AR15" i="11"/>
  <c r="AR7" i="11"/>
  <c r="AR29" i="11"/>
  <c r="AS29" i="11" s="1"/>
  <c r="AT29" i="11" s="1"/>
  <c r="AI29" i="11"/>
  <c r="AR27" i="11"/>
  <c r="AI27" i="11"/>
  <c r="AR28" i="11"/>
  <c r="AI28" i="11"/>
  <c r="AH26" i="11"/>
  <c r="N17" i="10"/>
  <c r="M17" i="10"/>
  <c r="N19" i="10"/>
  <c r="M19" i="10"/>
  <c r="N20" i="10"/>
  <c r="P20" i="10" s="1"/>
  <c r="Q20" i="10" s="1"/>
  <c r="M20" i="10"/>
  <c r="H21" i="10"/>
  <c r="I14" i="10"/>
  <c r="J14" i="10"/>
  <c r="J21" i="10" s="1"/>
  <c r="N15" i="10"/>
  <c r="M15" i="10"/>
  <c r="T15" i="10"/>
  <c r="U15" i="10" s="1"/>
  <c r="V15" i="10"/>
  <c r="M41" i="10"/>
  <c r="V17" i="10"/>
  <c r="T17" i="10"/>
  <c r="U17" i="10" s="1"/>
  <c r="E37" i="10"/>
  <c r="P16" i="10"/>
  <c r="Q16" i="10" s="1"/>
  <c r="L21" i="10"/>
  <c r="I18" i="10"/>
  <c r="J18" i="10"/>
  <c r="J38" i="10"/>
  <c r="J39" i="10"/>
  <c r="J36" i="10"/>
  <c r="J37" i="10"/>
  <c r="K37" i="10" s="1"/>
  <c r="J40" i="10"/>
  <c r="J35" i="10"/>
  <c r="T16" i="10"/>
  <c r="U16" i="10" s="1"/>
  <c r="V16" i="10"/>
  <c r="AB38" i="10"/>
  <c r="AA38" i="10"/>
  <c r="Z39" i="10"/>
  <c r="V19" i="10"/>
  <c r="T19" i="10"/>
  <c r="U19" i="10" s="1"/>
  <c r="AJ33" i="11" l="1"/>
  <c r="AL33" i="11" s="1"/>
  <c r="AO33" i="11" s="1"/>
  <c r="AP33" i="11" s="1"/>
  <c r="AI10" i="11"/>
  <c r="AR16" i="11"/>
  <c r="AR17" i="11"/>
  <c r="AK18" i="11"/>
  <c r="AJ18" i="11"/>
  <c r="AL18" i="11" s="1"/>
  <c r="AO18" i="11" s="1"/>
  <c r="AP18" i="11" s="1"/>
  <c r="AR18" i="11"/>
  <c r="AI25" i="11"/>
  <c r="AK25" i="11" s="1"/>
  <c r="AY37" i="11"/>
  <c r="AJ37" i="11"/>
  <c r="AR11" i="11"/>
  <c r="AJ16" i="11"/>
  <c r="AL16" i="11" s="1"/>
  <c r="AO16" i="11" s="1"/>
  <c r="AP16" i="11" s="1"/>
  <c r="AJ17" i="11"/>
  <c r="AL17" i="11" s="1"/>
  <c r="AO17" i="11" s="1"/>
  <c r="AP17" i="11" s="1"/>
  <c r="AB17" i="10"/>
  <c r="Z18" i="10"/>
  <c r="AA17" i="10"/>
  <c r="AK8" i="11"/>
  <c r="AJ8" i="11"/>
  <c r="AL8" i="11" s="1"/>
  <c r="AO8" i="11" s="1"/>
  <c r="AP8" i="11" s="1"/>
  <c r="AJ10" i="11"/>
  <c r="AL10" i="11" s="1"/>
  <c r="AO10" i="11" s="1"/>
  <c r="AP10" i="11" s="1"/>
  <c r="AK10" i="11"/>
  <c r="AK28" i="11"/>
  <c r="AJ28" i="11"/>
  <c r="AL28" i="11" s="1"/>
  <c r="AO28" i="11" s="1"/>
  <c r="AP28" i="11" s="1"/>
  <c r="AK27" i="11"/>
  <c r="AJ27" i="11"/>
  <c r="AL27" i="11" s="1"/>
  <c r="AO27" i="11" s="1"/>
  <c r="AP27" i="11" s="1"/>
  <c r="AK29" i="11"/>
  <c r="AJ29" i="11"/>
  <c r="AL29" i="11" s="1"/>
  <c r="AO29" i="11" s="1"/>
  <c r="AP29" i="11" s="1"/>
  <c r="AK11" i="11"/>
  <c r="AJ11" i="11"/>
  <c r="AL11" i="11" s="1"/>
  <c r="AO11" i="11" s="1"/>
  <c r="AP11" i="11" s="1"/>
  <c r="AK15" i="11"/>
  <c r="AK9" i="11"/>
  <c r="AJ9" i="11"/>
  <c r="AL9" i="11" s="1"/>
  <c r="AO9" i="11" s="1"/>
  <c r="AP9" i="11" s="1"/>
  <c r="AK7" i="11"/>
  <c r="AJ7" i="11"/>
  <c r="AL7" i="11" s="1"/>
  <c r="AO7" i="11" s="1"/>
  <c r="AP7" i="11" s="1"/>
  <c r="AR26" i="11"/>
  <c r="AI26" i="11"/>
  <c r="N37" i="10"/>
  <c r="P37" i="10" s="1"/>
  <c r="Q37" i="10" s="1"/>
  <c r="M37" i="10"/>
  <c r="K36" i="10"/>
  <c r="P15" i="10"/>
  <c r="Q15" i="10" s="1"/>
  <c r="E36" i="10"/>
  <c r="R18" i="10"/>
  <c r="K18" i="10"/>
  <c r="K14" i="10"/>
  <c r="I21" i="10"/>
  <c r="R14" i="10"/>
  <c r="P19" i="10"/>
  <c r="Q19" i="10" s="1"/>
  <c r="E40" i="10"/>
  <c r="K40" i="10"/>
  <c r="AB39" i="10"/>
  <c r="AA39" i="10"/>
  <c r="Z40" i="10"/>
  <c r="J42" i="10"/>
  <c r="K38" i="10"/>
  <c r="P17" i="10"/>
  <c r="Q17" i="10" s="1"/>
  <c r="E38" i="10"/>
  <c r="AJ25" i="11" l="1"/>
  <c r="AL25" i="11" s="1"/>
  <c r="AO25" i="11" s="1"/>
  <c r="AP25" i="11" s="1"/>
  <c r="AZ37" i="11"/>
  <c r="AL37" i="11"/>
  <c r="AB18" i="10"/>
  <c r="Z19" i="10"/>
  <c r="AA18" i="10"/>
  <c r="AJ26" i="11"/>
  <c r="AL26" i="11" s="1"/>
  <c r="AO26" i="11" s="1"/>
  <c r="AP26" i="11" s="1"/>
  <c r="AK26" i="11"/>
  <c r="N38" i="10"/>
  <c r="P38" i="10" s="1"/>
  <c r="Q38" i="10" s="1"/>
  <c r="M38" i="10"/>
  <c r="V18" i="10"/>
  <c r="T18" i="10"/>
  <c r="U18" i="10" s="1"/>
  <c r="T14" i="10"/>
  <c r="U14" i="10" s="1"/>
  <c r="V14" i="10"/>
  <c r="N14" i="10"/>
  <c r="K21" i="10"/>
  <c r="M14" i="10"/>
  <c r="N18" i="10"/>
  <c r="M18" i="10"/>
  <c r="AB40" i="10"/>
  <c r="AA40" i="10"/>
  <c r="N36" i="10"/>
  <c r="P36" i="10" s="1"/>
  <c r="Q36" i="10" s="1"/>
  <c r="M36" i="10"/>
  <c r="N40" i="10"/>
  <c r="P40" i="10" s="1"/>
  <c r="Q40" i="10" s="1"/>
  <c r="M40" i="10"/>
  <c r="BB37" i="11" l="1"/>
  <c r="AN37" i="11"/>
  <c r="BD37" i="11" s="1"/>
  <c r="AM37" i="11"/>
  <c r="AB19" i="10"/>
  <c r="AA19" i="10"/>
  <c r="K39" i="10"/>
  <c r="P18" i="10"/>
  <c r="Q18" i="10" s="1"/>
  <c r="E39" i="10"/>
  <c r="H39" i="10" s="1"/>
  <c r="I39" i="10" s="1"/>
  <c r="R39" i="10" s="1"/>
  <c r="M21" i="10"/>
  <c r="P14" i="10"/>
  <c r="Q14" i="10" s="1"/>
  <c r="E35" i="10"/>
  <c r="K35" i="10"/>
  <c r="AO37" i="11" l="1"/>
  <c r="BC37" i="11"/>
  <c r="V39" i="10"/>
  <c r="T39" i="10"/>
  <c r="U39" i="10" s="1"/>
  <c r="M35" i="10"/>
  <c r="K42" i="10"/>
  <c r="N35" i="10"/>
  <c r="P35" i="10" s="1"/>
  <c r="Q35" i="10" s="1"/>
  <c r="H35" i="10"/>
  <c r="H37" i="10"/>
  <c r="I37" i="10" s="1"/>
  <c r="R37" i="10" s="1"/>
  <c r="H38" i="10"/>
  <c r="I38" i="10" s="1"/>
  <c r="R38" i="10" s="1"/>
  <c r="H36" i="10"/>
  <c r="I36" i="10" s="1"/>
  <c r="R36" i="10" s="1"/>
  <c r="H40" i="10"/>
  <c r="I40" i="10" s="1"/>
  <c r="R40" i="10" s="1"/>
  <c r="N39" i="10"/>
  <c r="P39" i="10" s="1"/>
  <c r="Q39" i="10" s="1"/>
  <c r="M39" i="10"/>
  <c r="BQ37" i="11" l="1"/>
  <c r="BE37" i="11"/>
  <c r="AR37" i="11"/>
  <c r="AS37" i="11" s="1"/>
  <c r="V36" i="10"/>
  <c r="T36" i="10"/>
  <c r="U36" i="10" s="1"/>
  <c r="H42" i="10"/>
  <c r="I35" i="10"/>
  <c r="V40" i="10"/>
  <c r="T40" i="10"/>
  <c r="U40" i="10" s="1"/>
  <c r="T37" i="10"/>
  <c r="U37" i="10" s="1"/>
  <c r="V37" i="10"/>
  <c r="V38" i="10"/>
  <c r="T38" i="10"/>
  <c r="U38" i="10" s="1"/>
  <c r="M42" i="10"/>
  <c r="BL37" i="11" l="1"/>
  <c r="BG37" i="11"/>
  <c r="BH37" i="11" s="1"/>
  <c r="R35" i="10"/>
  <c r="I42" i="10"/>
  <c r="V35" i="10" l="1"/>
  <c r="T35" i="10"/>
  <c r="U35" i="10" s="1"/>
  <c r="AL7" i="8" l="1"/>
  <c r="AO7" i="8"/>
  <c r="AI33" i="9" l="1"/>
  <c r="AG33" i="9"/>
  <c r="AD33" i="9"/>
  <c r="Z33" i="9"/>
  <c r="X33" i="9"/>
  <c r="V33" i="9"/>
  <c r="AG29" i="9"/>
  <c r="AF29" i="9"/>
  <c r="AD29" i="9"/>
  <c r="AB29" i="9"/>
  <c r="Z29" i="9"/>
  <c r="X29" i="9"/>
  <c r="V29" i="9"/>
  <c r="AJ28" i="9"/>
  <c r="AG28" i="9"/>
  <c r="AF28" i="9"/>
  <c r="AD28" i="9"/>
  <c r="AB28" i="9"/>
  <c r="Z28" i="9"/>
  <c r="X28" i="9"/>
  <c r="V28" i="9"/>
  <c r="AJ27" i="9"/>
  <c r="AG27" i="9"/>
  <c r="AF27" i="9"/>
  <c r="AD27" i="9"/>
  <c r="AB27" i="9"/>
  <c r="Z27" i="9"/>
  <c r="X27" i="9"/>
  <c r="V27" i="9"/>
  <c r="AJ26" i="9"/>
  <c r="AG26" i="9"/>
  <c r="AF26" i="9"/>
  <c r="AD26" i="9"/>
  <c r="AB26" i="9"/>
  <c r="Z26" i="9"/>
  <c r="X26" i="9"/>
  <c r="V26" i="9"/>
  <c r="AJ25" i="9"/>
  <c r="AG25" i="9"/>
  <c r="AF25" i="9"/>
  <c r="AD25" i="9"/>
  <c r="AB25" i="9"/>
  <c r="Z25" i="9"/>
  <c r="X25" i="9"/>
  <c r="V25" i="9"/>
  <c r="AJ18" i="9"/>
  <c r="AG18" i="9"/>
  <c r="AF18" i="9"/>
  <c r="AD18" i="9"/>
  <c r="AB18" i="9"/>
  <c r="Z18" i="9"/>
  <c r="X18" i="9"/>
  <c r="V18" i="9"/>
  <c r="AJ17" i="9"/>
  <c r="AG17" i="9"/>
  <c r="AF17" i="9"/>
  <c r="AD17" i="9"/>
  <c r="AB17" i="9"/>
  <c r="Z17" i="9"/>
  <c r="X17" i="9"/>
  <c r="V17" i="9"/>
  <c r="AJ16" i="9"/>
  <c r="AG16" i="9"/>
  <c r="AF16" i="9"/>
  <c r="AD16" i="9"/>
  <c r="AB16" i="9"/>
  <c r="Z16" i="9"/>
  <c r="X16" i="9"/>
  <c r="V16" i="9"/>
  <c r="AJ15" i="9"/>
  <c r="AG15" i="9"/>
  <c r="AF15" i="9"/>
  <c r="AD15" i="9"/>
  <c r="AB15" i="9"/>
  <c r="Z15" i="9"/>
  <c r="X15" i="9"/>
  <c r="V15" i="9"/>
  <c r="AG11" i="9"/>
  <c r="AF11" i="9"/>
  <c r="AD11" i="9"/>
  <c r="AB11" i="9"/>
  <c r="Z11" i="9"/>
  <c r="X11" i="9"/>
  <c r="V11" i="9"/>
  <c r="AG10" i="9"/>
  <c r="AF10" i="9"/>
  <c r="AD10" i="9"/>
  <c r="Z10" i="9"/>
  <c r="X10" i="9"/>
  <c r="V10" i="9"/>
  <c r="AJ9" i="9"/>
  <c r="AG9" i="9"/>
  <c r="AF9" i="9"/>
  <c r="AD9" i="9"/>
  <c r="AB9" i="9"/>
  <c r="Z9" i="9"/>
  <c r="X9" i="9"/>
  <c r="V9" i="9"/>
  <c r="AJ8" i="9"/>
  <c r="AG8" i="9"/>
  <c r="AF8" i="9"/>
  <c r="AD8" i="9"/>
  <c r="AB8" i="9"/>
  <c r="Z8" i="9"/>
  <c r="X8" i="9"/>
  <c r="V8" i="9"/>
  <c r="AG7" i="9"/>
  <c r="AF7" i="9"/>
  <c r="AD7" i="9"/>
  <c r="AB7" i="9"/>
  <c r="Z7" i="9"/>
  <c r="X7" i="9"/>
  <c r="V7" i="9"/>
  <c r="AH7" i="9" l="1"/>
  <c r="AH26" i="9"/>
  <c r="AH28" i="9"/>
  <c r="AH16" i="9"/>
  <c r="AH25" i="9"/>
  <c r="AH9" i="9"/>
  <c r="AH18" i="9"/>
  <c r="AH33" i="9"/>
  <c r="AH17" i="9"/>
  <c r="AH11" i="9"/>
  <c r="AH8" i="9"/>
  <c r="AH27" i="9"/>
  <c r="AH29" i="9"/>
  <c r="AH10" i="9"/>
  <c r="AH15" i="9"/>
  <c r="AP28" i="8"/>
  <c r="AO28" i="8" s="1"/>
  <c r="AP27" i="8"/>
  <c r="AO27" i="8" s="1"/>
  <c r="AP9" i="8"/>
  <c r="AP26" i="8"/>
  <c r="AO26" i="8" s="1"/>
  <c r="AP25" i="8"/>
  <c r="AP18" i="8"/>
  <c r="AO18" i="8" s="1"/>
  <c r="AP15" i="8"/>
  <c r="AO15" i="8" s="1"/>
  <c r="AP16" i="8"/>
  <c r="AO16" i="8" s="1"/>
  <c r="AP17" i="8"/>
  <c r="AO17" i="8" s="1"/>
  <c r="AP8" i="8"/>
  <c r="AO8" i="8" s="1"/>
  <c r="AO33" i="8"/>
  <c r="AO29" i="8"/>
  <c r="AO25" i="8"/>
  <c r="AO11" i="8"/>
  <c r="AO10" i="8"/>
  <c r="AO9" i="8"/>
  <c r="AB33" i="8"/>
  <c r="AB29" i="8"/>
  <c r="AB28" i="8"/>
  <c r="AB27" i="8"/>
  <c r="AB26" i="8"/>
  <c r="AB25" i="8"/>
  <c r="AB18" i="8"/>
  <c r="AB17" i="8"/>
  <c r="AB16" i="8"/>
  <c r="AB15" i="8"/>
  <c r="AD33" i="8"/>
  <c r="AD29" i="8"/>
  <c r="AD28" i="8"/>
  <c r="AD27" i="8"/>
  <c r="AD26" i="8"/>
  <c r="AD25" i="8"/>
  <c r="AD18" i="8"/>
  <c r="AD17" i="8"/>
  <c r="AD16" i="8"/>
  <c r="AD15" i="8"/>
  <c r="AF33" i="8"/>
  <c r="AF29" i="8"/>
  <c r="AF28" i="8"/>
  <c r="AF27" i="8"/>
  <c r="AF26" i="8"/>
  <c r="AF25" i="8"/>
  <c r="AF18" i="8"/>
  <c r="AF17" i="8"/>
  <c r="AF16" i="8"/>
  <c r="AF15" i="8"/>
  <c r="AH29" i="8"/>
  <c r="AH28" i="8"/>
  <c r="AH27" i="8"/>
  <c r="AH26" i="8"/>
  <c r="AH25" i="8"/>
  <c r="AH18" i="8"/>
  <c r="AH17" i="8"/>
  <c r="AH16" i="8"/>
  <c r="AH15" i="8"/>
  <c r="AL29" i="8"/>
  <c r="AL28" i="8"/>
  <c r="AL27" i="8"/>
  <c r="AL26" i="8"/>
  <c r="AL25" i="8"/>
  <c r="AL18" i="8"/>
  <c r="AL17" i="8"/>
  <c r="AL16" i="8"/>
  <c r="AL15" i="8"/>
  <c r="AJ33" i="8"/>
  <c r="AJ29" i="8"/>
  <c r="AJ28" i="8"/>
  <c r="AJ27" i="8"/>
  <c r="AJ26" i="8"/>
  <c r="AJ25" i="8"/>
  <c r="AJ18" i="8"/>
  <c r="AJ17" i="8"/>
  <c r="AJ16" i="8"/>
  <c r="AJ15" i="8"/>
  <c r="AJ11" i="8"/>
  <c r="AJ10" i="8"/>
  <c r="AJ9" i="8"/>
  <c r="AJ8" i="8"/>
  <c r="AL11" i="8"/>
  <c r="AL10" i="8"/>
  <c r="AL9" i="8"/>
  <c r="AL8" i="8"/>
  <c r="AJ7" i="8"/>
  <c r="AH11" i="8"/>
  <c r="AH10" i="8"/>
  <c r="AH9" i="8"/>
  <c r="AH8" i="8"/>
  <c r="AH7" i="8"/>
  <c r="AM33" i="8"/>
  <c r="AM29" i="8"/>
  <c r="AN28" i="8"/>
  <c r="AM28" i="8"/>
  <c r="AM27" i="8"/>
  <c r="AM26" i="8"/>
  <c r="AM25" i="8"/>
  <c r="AM18" i="8"/>
  <c r="AM17" i="8"/>
  <c r="AM16" i="8"/>
  <c r="AM15" i="8"/>
  <c r="AM11" i="8"/>
  <c r="AM10" i="8"/>
  <c r="AM9" i="8"/>
  <c r="AM8" i="8"/>
  <c r="AM7" i="8"/>
  <c r="AF11" i="8"/>
  <c r="AF10" i="8"/>
  <c r="AF9" i="8"/>
  <c r="AF8" i="8"/>
  <c r="AF7" i="8"/>
  <c r="AD11" i="8"/>
  <c r="AD10" i="8"/>
  <c r="AD9" i="8"/>
  <c r="AD8" i="8"/>
  <c r="AD7" i="8"/>
  <c r="AB11" i="8"/>
  <c r="AB10" i="8"/>
  <c r="AB9" i="8"/>
  <c r="AB8" i="8"/>
  <c r="AB7" i="8"/>
  <c r="AN7" i="8" s="1"/>
  <c r="F10" i="6"/>
  <c r="E9" i="6"/>
  <c r="E10" i="6"/>
  <c r="G17" i="6"/>
  <c r="A10" i="1"/>
  <c r="A9" i="1"/>
  <c r="AN29" i="8" l="1"/>
  <c r="AN26" i="8"/>
  <c r="AN8" i="8"/>
  <c r="AN10" i="8"/>
  <c r="AN33" i="8"/>
  <c r="AN9" i="8"/>
  <c r="AN27" i="8"/>
  <c r="AN25" i="8"/>
  <c r="AN15" i="8"/>
  <c r="AN18" i="8"/>
  <c r="AN16" i="8"/>
  <c r="AN17" i="8"/>
  <c r="AN11" i="8"/>
  <c r="A22" i="1"/>
  <c r="A59" i="1" l="1"/>
  <c r="A71" i="1" l="1"/>
  <c r="A72" i="1"/>
  <c r="A73" i="1"/>
  <c r="A74" i="1"/>
  <c r="A75" i="1"/>
  <c r="A76" i="1"/>
  <c r="A77" i="1"/>
  <c r="A78" i="1"/>
  <c r="A79" i="1"/>
  <c r="A70" i="1"/>
  <c r="A60" i="1"/>
  <c r="A62" i="1"/>
  <c r="A61" i="1"/>
  <c r="A63" i="1"/>
  <c r="A64" i="1"/>
  <c r="A65" i="1"/>
  <c r="A66" i="1"/>
  <c r="A67" i="1"/>
  <c r="A68" i="1"/>
  <c r="A33" i="1"/>
  <c r="A34" i="1"/>
  <c r="A35" i="1"/>
  <c r="A36" i="1"/>
  <c r="A37" i="1"/>
  <c r="A38" i="1"/>
  <c r="A39" i="1"/>
  <c r="A40" i="1"/>
  <c r="A41" i="1"/>
  <c r="A42" i="1"/>
  <c r="A43" i="1"/>
  <c r="A44" i="1"/>
  <c r="A45" i="1"/>
  <c r="A46" i="1"/>
  <c r="A48" i="1"/>
  <c r="A49" i="1"/>
  <c r="A50" i="1"/>
  <c r="A51" i="1"/>
  <c r="A52" i="1"/>
  <c r="A53" i="1"/>
  <c r="A54" i="1"/>
  <c r="A55" i="1"/>
  <c r="A56" i="1"/>
  <c r="A57" i="1"/>
  <c r="A32" i="1"/>
  <c r="A25" i="1"/>
  <c r="A26" i="1"/>
  <c r="A27" i="1"/>
  <c r="A29" i="1"/>
  <c r="A28" i="1"/>
  <c r="A24" i="1"/>
  <c r="A7" i="1"/>
  <c r="A8" i="1"/>
  <c r="A11" i="1"/>
  <c r="A12" i="1"/>
  <c r="A13" i="1"/>
  <c r="A14" i="1"/>
  <c r="A15" i="1"/>
  <c r="A16" i="1"/>
  <c r="A17" i="1"/>
  <c r="A18" i="1"/>
  <c r="A19" i="1"/>
  <c r="A20" i="1"/>
  <c r="A2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tc={637957A1-BD99-495E-B889-B1D01734A1EF}</author>
    <author>tc={22A75346-901B-47DE-B494-684903A66BF5}</author>
    <author>tc={8B267FAD-B48F-41D1-9A82-729677361E5C}</author>
    <author>tc={827C0572-0322-4994-80FF-FF017C88DA5D}</author>
  </authors>
  <commentList>
    <comment ref="AD1" authorId="0" shapeId="0" xr:uid="{637957A1-BD99-495E-B889-B1D01734A1EF}">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2" authorId="1" shapeId="0" xr:uid="{22A75346-901B-47DE-B494-684903A66BF5}">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AD2" authorId="2" shapeId="0" xr:uid="{8B267FAD-B48F-41D1-9A82-729677361E5C}">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AD3" authorId="3" shapeId="0" xr:uid="{827C0572-0322-4994-80FF-FF017C88DA5D}">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tc={581AD982-7622-4FBB-92A2-F6FF55744BE5}</author>
    <author>tc={5C040044-29CB-42DD-BD1F-E94A1165B48D}</author>
    <author>tc={8ACDCF5B-DD4D-4C33-BAAB-4F8DAB768A9F}</author>
    <author>tc={3E477528-3727-4EF3-A969-9BF6989CE5CF}</author>
    <author>tc={CCD4667E-029D-4C50-B75C-C3F2F8310A51}</author>
    <author>tc={3F6723F4-A05A-482F-ACD1-E621E39C3200}</author>
  </authors>
  <commentList>
    <comment ref="X1" authorId="0" shapeId="0" xr:uid="{581AD982-7622-4FBB-92A2-F6FF55744BE5}">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5C040044-29CB-42DD-BD1F-E94A1165B48D}">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8ACDCF5B-DD4D-4C33-BAAB-4F8DAB768A9F}">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3E477528-3727-4EF3-A969-9BF6989CE5CF}">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CCD4667E-029D-4C50-B75C-C3F2F8310A51}">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3F6723F4-A05A-482F-ACD1-E621E39C3200}">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tc={AE6A4A60-B1AC-4B1D-A5F1-0BEFC4C578E1}</author>
    <author>tc={9624C44C-782C-4708-8BB1-6633AFA41D27}</author>
    <author>tc={B31EACD4-2B24-48AA-9904-2FFFFD814E66}</author>
    <author>tc={14B68F94-2329-4EC6-BBD1-C9D00B3A49BF}</author>
    <author>tc={AFDE2B07-F916-4CAE-A7A0-70AC46F2DC9E}</author>
    <author>tc={1A75ECED-028A-41F7-B5F2-F79BFAFDA375}</author>
  </authors>
  <commentList>
    <comment ref="X1" authorId="0" shapeId="0" xr:uid="{AE6A4A60-B1AC-4B1D-A5F1-0BEFC4C578E1}">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9624C44C-782C-4708-8BB1-6633AFA41D27}">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B31EACD4-2B24-48AA-9904-2FFFFD814E66}">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14B68F94-2329-4EC6-BBD1-C9D00B3A49BF}">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FDE2B07-F916-4CAE-A7A0-70AC46F2DC9E}">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1A75ECED-028A-41F7-B5F2-F79BFAFDA375}">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tc={6D747270-A6D3-4D44-9D2A-0FEBCC1710EE}</author>
    <author>tc={1F72E1B9-880C-4BB6-9ACE-2A994A2A9502}</author>
    <author>tc={F38D2B84-1C08-467B-BB92-79696299D323}</author>
    <author>tc={A700A905-3CC6-4AA1-9D88-0BA452F916EB}</author>
    <author>tc={A4BC62AC-BCE4-484C-8046-6E25FF8EDA7A}</author>
    <author>tc={650D5BED-EF72-424C-B52C-2F2F835BE356}</author>
    <author>tc={9DBD5DE7-9D97-4A34-9944-3242BFF54357}</author>
  </authors>
  <commentList>
    <comment ref="X1" authorId="0" shapeId="0" xr:uid="{6D747270-A6D3-4D44-9D2A-0FEBCC1710EE}">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1F72E1B9-880C-4BB6-9ACE-2A994A2A9502}">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F38D2B84-1C08-467B-BB92-79696299D323}">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A700A905-3CC6-4AA1-9D88-0BA452F916EB}">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A4BC62AC-BCE4-484C-8046-6E25FF8EDA7A}">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650D5BED-EF72-424C-B52C-2F2F835BE356}">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N29" authorId="6" shapeId="0" xr:uid="{9DBD5DE7-9D97-4A34-9944-3242BFF54357}">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tc={BCE78AA8-2B36-47A7-88DF-304DC1231B1F}</author>
    <author>tc={FB6A854D-B904-40D5-ACD8-B441CA54058C}</author>
    <author>tc={7B21C84F-6BB4-4F63-9712-87A3585B5D9A}</author>
    <author>tc={FC13F92D-3B2B-476B-880D-84A38DB9AD00}</author>
    <author>tc={E2D28AE4-F2C1-46E5-B9E1-D21CCF46DB11}</author>
    <author>tc={D0403DE0-E30D-49F6-90A0-D14CECFBBD01}</author>
    <author>tc={9108CC80-C847-4E88-A267-EF6705919E18}</author>
  </authors>
  <commentList>
    <comment ref="X1" authorId="0" shapeId="0" xr:uid="{BCE78AA8-2B36-47A7-88DF-304DC1231B1F}">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FB6A854D-B904-40D5-ACD8-B441CA54058C}">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7B21C84F-6BB4-4F63-9712-87A3585B5D9A}">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FC13F92D-3B2B-476B-880D-84A38DB9AD00}">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E2D28AE4-F2C1-46E5-B9E1-D21CCF46DB11}">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D0403DE0-E30D-49F6-90A0-D14CECFBBD01}">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6" shapeId="0" xr:uid="{9108CC80-C847-4E88-A267-EF6705919E18}">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tc={65EA6DBB-79DD-46CB-923E-92460FF928BC}</author>
    <author>tc={D33995DE-68E9-49C2-A77A-DF9A53B0B768}</author>
    <author>tc={B8B5DC96-542E-4D0F-B061-543A8D2E5C5C}</author>
    <author>tc={D492B71F-D30A-45FB-9CC9-C98822207733}</author>
    <author>tc={5BD65650-3967-4B06-8D66-5253CA31605E}</author>
    <author>tc={455E2AF7-0F53-4285-A7D0-4C1D5732F572}</author>
    <author>tc={D5E5B7D7-1B24-44AB-94A1-ACBC62FD8FFA}</author>
  </authors>
  <commentList>
    <comment ref="X1" authorId="0" shapeId="0" xr:uid="{65EA6DBB-79DD-46CB-923E-92460FF928BC}">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D33995DE-68E9-49C2-A77A-DF9A53B0B768}">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B8B5DC96-542E-4D0F-B061-543A8D2E5C5C}">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D492B71F-D30A-45FB-9CC9-C98822207733}">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5BD65650-3967-4B06-8D66-5253CA31605E}">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455E2AF7-0F53-4285-A7D0-4C1D5732F572}">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6" shapeId="0" xr:uid="{D5E5B7D7-1B24-44AB-94A1-ACBC62FD8FFA}">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tc={50EC98FB-62F3-4687-A7B5-F6C82D7B39B3}</author>
    <author>tc={072DA14D-0526-4CD5-B7D3-C011D1918ED6}</author>
    <author>tc={29C14A9D-03EE-4E8A-9E67-DB0AA5A04A4F}</author>
    <author>tc={A25BEF49-5112-429E-87DD-33DE9516CA20}</author>
    <author>tc={F949C42B-53AC-4241-878A-DE6CC984564B}</author>
    <author>tc={0A5F39C1-D143-46B0-B550-05FBFC2A5EF1}</author>
    <author>tc={EC68B563-C70C-4DD9-AA88-CA8453F00717}</author>
  </authors>
  <commentList>
    <comment ref="X1" authorId="0" shapeId="0" xr:uid="{50EC98FB-62F3-4687-A7B5-F6C82D7B39B3}">
      <text>
        <t>[Threaded comment]
Your version of Excel allows you to read this threaded comment; however, any edits to it will get removed if the file is opened in a newer version of Excel. Learn more: https://go.microsoft.com/fwlink/?linkid=870924
Comment:
    CF Hao hụt chai vảy : 1.250</t>
      </text>
    </comment>
    <comment ref="AC1" authorId="1" shapeId="0" xr:uid="{072DA14D-0526-4CD5-B7D3-C011D1918ED6}">
      <text>
        <t>[Threaded comment]
Your version of Excel allows you to read this threaded comment; however, any edits to it will get removed if the file is opened in a newer version of Excel. Learn more: https://go.microsoft.com/fwlink/?linkid=870924
Comment:
    Giá mua tuần 11.t3.2026: 8.333</t>
      </text>
    </comment>
    <comment ref="W2" authorId="2" shapeId="0" xr:uid="{29C14A9D-03EE-4E8A-9E67-DB0AA5A04A4F}">
      <text>
        <t>[Threaded comment]
Your version of Excel allows you to read this threaded comment; however, any edits to it will get removed if the file is opened in a newer version of Excel. Learn more: https://go.microsoft.com/fwlink/?linkid=870924
Comment:
    Vảy mua ngoài 16.000</t>
      </text>
    </comment>
    <comment ref="X2" authorId="3" shapeId="0" xr:uid="{A25BEF49-5112-429E-87DD-33DE9516CA20}">
      <text>
        <t xml:space="preserve">[Threaded comment]
Your version of Excel allows you to read this threaded comment; however, any edits to it will get removed if the file is opened in a newer version of Excel. Learn more: https://go.microsoft.com/fwlink/?linkid=870924
Comment:
    CF Hao hụt chai- vảy: 0 
CF rữa tách kim loại: 1.637 </t>
      </text>
    </comment>
    <comment ref="X3" authorId="4" shapeId="0" xr:uid="{F949C42B-53AC-4241-878A-DE6CC984564B}">
      <text>
        <t>[Threaded comment]
Your version of Excel allows you to read this threaded comment; however, any edits to it will get removed if the file is opened in a newer version of Excel. Learn more: https://go.microsoft.com/fwlink/?linkid=870924
Comment:
    CFSX: 4.717 (sx vảy từ chai)
CF Băm chai=&gt; vảy : 2.321
CF rữa tách kim loại: 2.396 
CFSX : Vảy từ mua vảy ngoài 1.637
CL: 3.080</t>
      </text>
    </comment>
    <comment ref="AD3" authorId="5" shapeId="0" xr:uid="{0A5F39C1-D143-46B0-B550-05FBFC2A5EF1}">
      <text>
        <t>[Threaded comment]
Your version of Excel allows you to read this threaded comment; however, any edits to it will get removed if the file is opened in a newer version of Excel. Learn more: https://go.microsoft.com/fwlink/?linkid=870924
Comment:
    Hiệu suất máy 25%. CS : 350kg/h</t>
      </text>
    </comment>
    <comment ref="AQ29" authorId="6" shapeId="0" xr:uid="{EC68B563-C70C-4DD9-AA88-CA8453F00717}">
      <text>
        <t>[Threaded comment]
Your version of Excel allows you to read this threaded comment; however, any edits to it will get removed if the file is opened in a newer version of Excel. Learn more: https://go.microsoft.com/fwlink/?linkid=870924
Comment:
    Outerrinho 1000 ton/thang</t>
      </text>
    </comment>
  </commentList>
</comments>
</file>

<file path=xl/sharedStrings.xml><?xml version="1.0" encoding="utf-8"?>
<sst xmlns="http://schemas.openxmlformats.org/spreadsheetml/2006/main" count="1238" uniqueCount="517">
  <si>
    <t>STT</t>
  </si>
  <si>
    <t>THỐNG KÊ NGUYÊN LIỆU ĐẦU VÀO</t>
  </si>
  <si>
    <t>Tên gọi</t>
  </si>
  <si>
    <t>Định nghĩa</t>
  </si>
  <si>
    <t>I</t>
  </si>
  <si>
    <t>II</t>
  </si>
  <si>
    <t>A</t>
  </si>
  <si>
    <t>PET</t>
  </si>
  <si>
    <t>Chai PET</t>
  </si>
  <si>
    <t>Vảy PET</t>
  </si>
  <si>
    <t>B</t>
  </si>
  <si>
    <t xml:space="preserve">HDPE </t>
  </si>
  <si>
    <t>HDPE ép</t>
  </si>
  <si>
    <t>C</t>
  </si>
  <si>
    <t>Chai B1</t>
  </si>
  <si>
    <t>Chai B1 không phân loại</t>
  </si>
  <si>
    <t>Ghi chú</t>
  </si>
  <si>
    <t>Chai xá tròn</t>
  </si>
  <si>
    <t>Chai xá kiện</t>
  </si>
  <si>
    <t>Chai PET B6.2</t>
  </si>
  <si>
    <t>150000003</t>
  </si>
  <si>
    <t>150000113</t>
  </si>
  <si>
    <t>Chai PET B2.2</t>
  </si>
  <si>
    <t>Chai PET B2.1</t>
  </si>
  <si>
    <t>150000050</t>
  </si>
  <si>
    <t>Chai PET B3</t>
  </si>
  <si>
    <t>150000014</t>
  </si>
  <si>
    <t>Chai PET B4</t>
  </si>
  <si>
    <t>150000015</t>
  </si>
  <si>
    <t>Chai PET B5</t>
  </si>
  <si>
    <t>Chai PET màu lơ</t>
  </si>
  <si>
    <t>150000016</t>
  </si>
  <si>
    <t>Chai PET B6.1</t>
  </si>
  <si>
    <t>150000114</t>
  </si>
  <si>
    <t>150000010</t>
  </si>
  <si>
    <t>Chai PET B7.1</t>
  </si>
  <si>
    <t>Lavie</t>
  </si>
  <si>
    <t>150000051</t>
  </si>
  <si>
    <t>Vảy PET B1_A5.1</t>
  </si>
  <si>
    <t>150000052</t>
  </si>
  <si>
    <t>150000053</t>
  </si>
  <si>
    <t>Vảy PET B1_A6</t>
  </si>
  <si>
    <t>150000018</t>
  </si>
  <si>
    <t>Vảy PET B3_A6</t>
  </si>
  <si>
    <t>150000061</t>
  </si>
  <si>
    <t>Vảy PET B6.2_A6</t>
  </si>
  <si>
    <t>PP</t>
  </si>
  <si>
    <t>B0</t>
  </si>
  <si>
    <t>B1.1</t>
  </si>
  <si>
    <t>150000187</t>
  </si>
  <si>
    <t>Chai PET B1.3</t>
  </si>
  <si>
    <t>B2.1</t>
  </si>
  <si>
    <t>B2.2</t>
  </si>
  <si>
    <t>B3</t>
  </si>
  <si>
    <t>B4</t>
  </si>
  <si>
    <t>B5</t>
  </si>
  <si>
    <t>B6.1</t>
  </si>
  <si>
    <t>B6.2</t>
  </si>
  <si>
    <t>B7.1</t>
  </si>
  <si>
    <t xml:space="preserve">Chai PET nước suối mỏng </t>
  </si>
  <si>
    <t>Chai PET nước tương, nước mắm, dầu ăn nhãn giấy có thương hiệu</t>
  </si>
  <si>
    <t>Nam Ngư, Chinsu, Tam Thái Tử</t>
  </si>
  <si>
    <t xml:space="preserve">Chai PET nước ngọt màu lá </t>
  </si>
  <si>
    <t>7 up, mirinda, fanta, sprite</t>
  </si>
  <si>
    <t>NCC ngoài</t>
  </si>
  <si>
    <t>Trạm + NCC ngoài</t>
  </si>
  <si>
    <t>Bình 5G-Lavie</t>
  </si>
  <si>
    <t>Vảy PET B1_A5.2_R2</t>
  </si>
  <si>
    <t>Vảy PET B1_A5.2_R1</t>
  </si>
  <si>
    <t>150000115</t>
  </si>
  <si>
    <t>Bình HD Thổi Trong HD-01.1</t>
  </si>
  <si>
    <t>Mã SAP</t>
  </si>
  <si>
    <t>Mã hàng hóa</t>
  </si>
  <si>
    <t>150000117</t>
  </si>
  <si>
    <t>Bình HD Thổi Trắng sữa HD-02.1</t>
  </si>
  <si>
    <t>150000119</t>
  </si>
  <si>
    <t>Bình HD Thổi Vàng Nhạt HD-03.1</t>
  </si>
  <si>
    <t>150000035</t>
  </si>
  <si>
    <t>Bình HD Thổi Xám HD-16.1</t>
  </si>
  <si>
    <t>150000072</t>
  </si>
  <si>
    <t>Nắp HD Ép Các Màu HDE-06</t>
  </si>
  <si>
    <t>150000185</t>
  </si>
  <si>
    <t>Nắp HD Ép Các Màu HDE-06 E</t>
  </si>
  <si>
    <t>150000066</t>
  </si>
  <si>
    <t>HD ép thô thử nghiệm dương</t>
  </si>
  <si>
    <t>150000097</t>
  </si>
  <si>
    <t>Thô HD ép dương đậm 2-3 RHT3DL2</t>
  </si>
  <si>
    <t>150000172</t>
  </si>
  <si>
    <t>Hỗn hợp B6.2 Vảy-Nắp</t>
  </si>
  <si>
    <t>150000008</t>
  </si>
  <si>
    <t>Vảy HD Thổi Trong HV-01.1</t>
  </si>
  <si>
    <t>150000106</t>
  </si>
  <si>
    <t>Vảy HD thổi trong L1 HV01.1_TM</t>
  </si>
  <si>
    <t>150000036</t>
  </si>
  <si>
    <t>Vảy HD Thổi Trong HV-01.2</t>
  </si>
  <si>
    <t>150000047</t>
  </si>
  <si>
    <t>Vảy HD Thổi Trong HV-01.3</t>
  </si>
  <si>
    <t>150000037</t>
  </si>
  <si>
    <t>Vảy HD Thổi Trắng Sữa  HV-02.1</t>
  </si>
  <si>
    <t>150000048</t>
  </si>
  <si>
    <t>Vảy HD Thổi Trắng Sữa  HV-02.2</t>
  </si>
  <si>
    <t>150000012</t>
  </si>
  <si>
    <t>Vảy HD Thổi Vàng HV-03.1</t>
  </si>
  <si>
    <t>150000179</t>
  </si>
  <si>
    <t>Vảy HD Thổi Vàng HV-03.1_TM</t>
  </si>
  <si>
    <t>150000038</t>
  </si>
  <si>
    <t>Vảy HD Thổi Vàng Nhạt HV-03.2</t>
  </si>
  <si>
    <t>150000105</t>
  </si>
  <si>
    <t>Vảy HD thổi trong L1 HV01.1_RL</t>
  </si>
  <si>
    <t>150000086</t>
  </si>
  <si>
    <t>Vảy HD Ép Dương Nhạt Pallet</t>
  </si>
  <si>
    <t>150000181</t>
  </si>
  <si>
    <t>Vảy HD Ép Dương Két Kiên Giang</t>
  </si>
  <si>
    <t>150000082</t>
  </si>
  <si>
    <t>Vảy HD ép dương đậm 1-3 RHV3DL1</t>
  </si>
  <si>
    <t>150000074</t>
  </si>
  <si>
    <t>Vảy HD Ép Dương Nắp</t>
  </si>
  <si>
    <t>150000188</t>
  </si>
  <si>
    <t>Vảy HD Ép Dương HVE-06_TM</t>
  </si>
  <si>
    <t>Bình màu trong</t>
  </si>
  <si>
    <t>Bình trắng sữa</t>
  </si>
  <si>
    <t>Bình vàng nhạt</t>
  </si>
  <si>
    <t>150000121</t>
  </si>
  <si>
    <t>Bình HD Thổi Vàng Đậm HD-04.1</t>
  </si>
  <si>
    <t>Bình vàng đậm</t>
  </si>
  <si>
    <t>150000123</t>
  </si>
  <si>
    <t>Bình HD Thổi Lá Nhạt HD-05.1</t>
  </si>
  <si>
    <t>Bình lá nhạt</t>
  </si>
  <si>
    <t>150000026</t>
  </si>
  <si>
    <t>Bình HD Thổi Lá Đậm HD-06.1</t>
  </si>
  <si>
    <t>Bình lá đậm</t>
  </si>
  <si>
    <t>150000126</t>
  </si>
  <si>
    <t>Bình HD Thổi Đỏ Nhạt HD-07.1</t>
  </si>
  <si>
    <t>150000128</t>
  </si>
  <si>
    <t>Bình HD Thổi Đỏ Đậm HD-08.1</t>
  </si>
  <si>
    <t>150000028</t>
  </si>
  <si>
    <t>Bình HD Thổi Đen HD-09.1</t>
  </si>
  <si>
    <t>150000131</t>
  </si>
  <si>
    <t>Bình HD Thổi Dương Đậm HD-10.1</t>
  </si>
  <si>
    <t>150000030</t>
  </si>
  <si>
    <t>Bình HD Thổi Dương Nhạt HD-11.1</t>
  </si>
  <si>
    <t>150000134</t>
  </si>
  <si>
    <t>Bình HD Thổi Xanh Ngọc HD-12.1</t>
  </si>
  <si>
    <t>150000136</t>
  </si>
  <si>
    <t>Bình HD Thổi Cam HD-13.1</t>
  </si>
  <si>
    <t>150000138</t>
  </si>
  <si>
    <t>Bình HD Thổi Tím HD-14.1</t>
  </si>
  <si>
    <t>HV-01.1</t>
  </si>
  <si>
    <t>HV01.1_TM</t>
  </si>
  <si>
    <t>HV-01.2</t>
  </si>
  <si>
    <t>HV-01.3</t>
  </si>
  <si>
    <t>HV-02.1</t>
  </si>
  <si>
    <t>HV-02.2</t>
  </si>
  <si>
    <t>HV-03.1</t>
  </si>
  <si>
    <t>HV-03.1_TM</t>
  </si>
  <si>
    <t>Vảy HD màu trong, rửa lạnh</t>
  </si>
  <si>
    <t>Chính sách giá</t>
  </si>
  <si>
    <t>150000076</t>
  </si>
  <si>
    <t>Vảy PP Trắng sữa PV-02</t>
  </si>
  <si>
    <t>150000063</t>
  </si>
  <si>
    <t>Vảy PP Trong PV-01</t>
  </si>
  <si>
    <t>150000110</t>
  </si>
  <si>
    <t>Vảy PP Môn PV-09</t>
  </si>
  <si>
    <t>150000054</t>
  </si>
  <si>
    <t>Vảy PP Đỏ Nhạt PV-10</t>
  </si>
  <si>
    <t>150000056</t>
  </si>
  <si>
    <t>Vảy PP Dương Nhạt PV-07</t>
  </si>
  <si>
    <t>150000111</t>
  </si>
  <si>
    <t>Vảy PP Dương Đậm PV-08</t>
  </si>
  <si>
    <t>150000107</t>
  </si>
  <si>
    <t>Vảy PP Lá Nhạt PV-05</t>
  </si>
  <si>
    <t>150000059</t>
  </si>
  <si>
    <t>Thô PP Dương PP-05</t>
  </si>
  <si>
    <t>150000057</t>
  </si>
  <si>
    <t>Thô PP Đỏ PP-06</t>
  </si>
  <si>
    <t>150000186</t>
  </si>
  <si>
    <t>Vảy PP Trắng Sữa PV-02_TM</t>
  </si>
  <si>
    <t>PV-02</t>
  </si>
  <si>
    <t>PV-01</t>
  </si>
  <si>
    <t>PV-09</t>
  </si>
  <si>
    <t>PV-10</t>
  </si>
  <si>
    <t>PV-07</t>
  </si>
  <si>
    <t>PV-08</t>
  </si>
  <si>
    <t>PV-05</t>
  </si>
  <si>
    <t>PP-05</t>
  </si>
  <si>
    <t>PP-06</t>
  </si>
  <si>
    <t>PV-02_TM</t>
  </si>
  <si>
    <t>Vảy PP trong</t>
  </si>
  <si>
    <t>Vảy PP màu trắng</t>
  </si>
  <si>
    <t>Vảy PP màu lá nhạt</t>
  </si>
  <si>
    <t>Vảy PP màu dương nhạt</t>
  </si>
  <si>
    <t>Vảy PP màu dương đậm</t>
  </si>
  <si>
    <t>Vảy PP màu đỏ nhạt</t>
  </si>
  <si>
    <t>Vảy PP màu môn</t>
  </si>
  <si>
    <t>Vảy PET tuyển mua ngoài đã được NCC xử lý rửa lạnh</t>
  </si>
  <si>
    <t>Vảy PET (sting/247) mua ngoài đã được NCC xử lý rửa lạnh</t>
  </si>
  <si>
    <t>Vảy PET thử nghiệm</t>
  </si>
  <si>
    <t>Vảy PP màu trắng, tách màu</t>
  </si>
  <si>
    <t>Kệ, rổ, sọt, thau, khay, ca màu xanh dương
Tủ, bàn, ghế màu xanh dương</t>
  </si>
  <si>
    <t>Kệ, rổ, sọt, thau, khay, ca màu đỏ
Tủ, bàn, ghế màu đỏ</t>
  </si>
  <si>
    <t>Bình rửa chén Sunlight, Lix, Mỹ Hảo màu vàng nhạt</t>
  </si>
  <si>
    <t>Bình đỏ nhạt</t>
  </si>
  <si>
    <t>Bình đỏ đậm</t>
  </si>
  <si>
    <t>Bình dương đậm</t>
  </si>
  <si>
    <t>Bình dương nhạt</t>
  </si>
  <si>
    <t>Bình đen</t>
  </si>
  <si>
    <t>Bình xanh ngọc</t>
  </si>
  <si>
    <t>Bình cam</t>
  </si>
  <si>
    <t>Bình tím</t>
  </si>
  <si>
    <t>Bình xám</t>
  </si>
  <si>
    <t>Bình nhớt</t>
  </si>
  <si>
    <t>Vảy BTP màu trong loại 1, sau rửa và tách màu</t>
  </si>
  <si>
    <t>Vảy BTP màu trong loại 1, sau rửa và tách màu (phó sản trả NCC)</t>
  </si>
  <si>
    <t>Vảy BTP màu trong loại 2, sau rửa và tách màu</t>
  </si>
  <si>
    <t>Vảy BTP màu trong, sau rửa và tách màu từ nguyên liệu vảy chai sửa (QMT)</t>
  </si>
  <si>
    <t>Vảy BTP trắng sữa, loại 1, sau rửa và tách màu</t>
  </si>
  <si>
    <t>Vảy BTP trắng sữa, loại 2, sau rửa và tách màu</t>
  </si>
  <si>
    <t>Vảy BTP màu vàng nhạt loại 1, sau rửa và tách màu</t>
  </si>
  <si>
    <t>Vảy BTP màu vàng nhạt, tách màu (phó sản trả NCC)</t>
  </si>
  <si>
    <t>Vảy BTP màu vàng nhạt loại 2, sau rửa và tách màu</t>
  </si>
  <si>
    <t>HV-03.2</t>
  </si>
  <si>
    <t>HV01.1_RL</t>
  </si>
  <si>
    <t>HD-16.1</t>
  </si>
  <si>
    <t>HD-01.1</t>
  </si>
  <si>
    <t>HD-02.1</t>
  </si>
  <si>
    <t>HD-03.1</t>
  </si>
  <si>
    <t>HD-04.1</t>
  </si>
  <si>
    <t>HD-05.1</t>
  </si>
  <si>
    <t>HD-06.1</t>
  </si>
  <si>
    <t>HD-07.1</t>
  </si>
  <si>
    <t>HD-08.1</t>
  </si>
  <si>
    <t>HD-09.1</t>
  </si>
  <si>
    <t>HD-10.1</t>
  </si>
  <si>
    <t>HD-11.1</t>
  </si>
  <si>
    <t>HD-12.1</t>
  </si>
  <si>
    <t>HD-13.1</t>
  </si>
  <si>
    <t>HD-14.1</t>
  </si>
  <si>
    <t>A5.1</t>
  </si>
  <si>
    <t>A5.2_R1</t>
  </si>
  <si>
    <t>A5.2_R2</t>
  </si>
  <si>
    <t>B1_A6</t>
  </si>
  <si>
    <t>PET B3_A6</t>
  </si>
  <si>
    <t>B6.2_A6</t>
  </si>
  <si>
    <t>Vảy HDPE Ép Hỗn Hợp Nắp</t>
  </si>
  <si>
    <t>Vảy HD Ép Dương Nắp Hỗn Hợp</t>
  </si>
  <si>
    <t>Nhập gia công từ Đại Lộc, giải quyết tồn kho trạm</t>
  </si>
  <si>
    <t>Giá A5.1 trừ đi 500đ</t>
  </si>
  <si>
    <t xml:space="preserve">DTR không cần rửa nóng lại vì vảy đã sạch -&gt; tiết kiệm hóa chất </t>
  </si>
  <si>
    <t>Vảy PET tuyển mua ngoài loại 1 đã được NCC xử lý rửa nóng</t>
  </si>
  <si>
    <t>Giá A5.2 trừ đi 500đ</t>
  </si>
  <si>
    <t>Từ T1.2024 tới nay chưa mua lại mã này</t>
  </si>
  <si>
    <t>Giá duyệt theo tháng</t>
  </si>
  <si>
    <t>Khi có đơn hàng mới mua</t>
  </si>
  <si>
    <t>BÌNH HDPE Thổi</t>
  </si>
  <si>
    <t>VẢY HDPE Thổi</t>
  </si>
  <si>
    <t>III</t>
  </si>
  <si>
    <t>Nhà cung cấp cho DTR</t>
  </si>
  <si>
    <t>247, sting, coca (Chai CSD)</t>
  </si>
  <si>
    <t xml:space="preserve">Cập nhật ngày:  </t>
  </si>
  <si>
    <t>Lavie, Vĩnh Hảo (Viva)</t>
  </si>
  <si>
    <t>B7.2</t>
  </si>
  <si>
    <t>Chai PET B7.2</t>
  </si>
  <si>
    <t>Bình nước suối 21L</t>
  </si>
  <si>
    <t>Tuyển rặc</t>
  </si>
  <si>
    <t>Ký hiệu</t>
  </si>
  <si>
    <t>CHAI PET</t>
  </si>
  <si>
    <t>B0-Chai xá chưa tách nhãn</t>
  </si>
  <si>
    <t>B1</t>
  </si>
  <si>
    <t>Chai màu xanh lá</t>
  </si>
  <si>
    <t>Chai màu xanh lơ</t>
  </si>
  <si>
    <t>B6</t>
  </si>
  <si>
    <t>Nước tương, mắm, dầu ăn</t>
  </si>
  <si>
    <t>Bình 5G - Lavie</t>
  </si>
  <si>
    <t>Bình 5G - khác</t>
  </si>
  <si>
    <t>B7.3</t>
  </si>
  <si>
    <t>Bình 5G - Lá</t>
  </si>
  <si>
    <t>B8</t>
  </si>
  <si>
    <t>Chai dơ các loại (phó sản)</t>
  </si>
  <si>
    <t>Chai PET B1.4</t>
  </si>
  <si>
    <t>Đầu vào 3 trạm</t>
  </si>
  <si>
    <t>Tỷ lệ chai B1+B3 chiếm 90%</t>
  </si>
  <si>
    <t>Chai B1, B3: Chai PET tuyển
Chai B2.2, B6.1: Chai PET có thương hiệu/nhãn giấy
Chai B2.2, B4., B5, B6.2: Chai PET hàng cơ sở (không thương hiệu)</t>
  </si>
  <si>
    <r>
      <t xml:space="preserve">B1.2
</t>
    </r>
    <r>
      <rPr>
        <b/>
        <sz val="12"/>
        <color rgb="FF0000FF"/>
        <rFont val="Aptos Narrow"/>
        <family val="2"/>
        <scheme val="minor"/>
      </rPr>
      <t>(Tuyển xô)</t>
    </r>
  </si>
  <si>
    <r>
      <t xml:space="preserve">B1.4
</t>
    </r>
    <r>
      <rPr>
        <b/>
        <sz val="12"/>
        <color rgb="FF0000FF"/>
        <rFont val="Aptos Narrow"/>
        <family val="2"/>
        <scheme val="minor"/>
      </rPr>
      <t>(Tuyển xô)</t>
    </r>
  </si>
  <si>
    <r>
      <t xml:space="preserve">Vảy PET tuyển mua ngoài loại 2 đã được NCC xử lý rửa nóng vảy đã sạch -&gt; </t>
    </r>
    <r>
      <rPr>
        <b/>
        <sz val="12"/>
        <color rgb="FF0000FF"/>
        <rFont val="Aptos Narrow"/>
        <family val="2"/>
        <scheme val="minor"/>
      </rPr>
      <t>DTR rửa lạnh lại</t>
    </r>
  </si>
  <si>
    <r>
      <t xml:space="preserve">Vảy PET tuyển mua ngoài loại 2 đã được NCC xử lý rửa nóng, vảy chưa sạch -&gt; </t>
    </r>
    <r>
      <rPr>
        <b/>
        <sz val="12"/>
        <color rgb="FF0000FF"/>
        <rFont val="Aptos Narrow"/>
        <family val="2"/>
        <scheme val="minor"/>
      </rPr>
      <t>DTR rửa nóng lại</t>
    </r>
  </si>
  <si>
    <r>
      <t xml:space="preserve">B1.3
</t>
    </r>
    <r>
      <rPr>
        <b/>
        <sz val="12"/>
        <color rgb="FF0000FF"/>
        <rFont val="Aptos Narrow"/>
        <family val="2"/>
        <scheme val="minor"/>
      </rPr>
      <t>(Tuyển xô)</t>
    </r>
  </si>
  <si>
    <t>Hỗn hợp chai PET trừ B4, B5
Trong đó, tỷ lệ chai không đạt: &lt;= 5%</t>
  </si>
  <si>
    <t>Trong đó, tỷ lệ chai không đạt: 
+ B1.1 (Loại A): &lt;= 5%
+ B1.1 (Loại B): &gt; 5% và &lt;= 10%
+ B1.1 (Loại C): &gt; 10% và &lt;= 15%</t>
  </si>
  <si>
    <t>Trong đó, tỷ lệ chai không đạt: 
+ B1.4 (Loại A): &lt;= 5%
+ B1.4 (Loại B): &gt; 5% và &lt;= 10%
+ B1.4 (Loại C): &gt; 10% và &lt;= 15%</t>
  </si>
  <si>
    <r>
      <t xml:space="preserve">Gồm hỗn hợp chai PET chưa phân loại
</t>
    </r>
    <r>
      <rPr>
        <b/>
        <sz val="12"/>
        <color rgb="FFFF0000"/>
        <rFont val="Aptos Narrow"/>
        <family val="2"/>
        <scheme val="minor"/>
      </rPr>
      <t>+ B0 (loại A): B1+B3 &gt;= 45%
+ B0 (loại B): 30% &lt;= B1+B3 &lt; 45%
+ B0 (loại C): 20% &lt;= B1+B3 &lt; 30%
Trong đó, tỷ lệ B2.2+B4+B5+B6.2 &lt;=30%</t>
    </r>
  </si>
  <si>
    <r>
      <t xml:space="preserve">Gồm hỗn hợp chai PET chưa phân loại đã ép kiện
</t>
    </r>
    <r>
      <rPr>
        <b/>
        <sz val="12"/>
        <color rgb="FFFF0000"/>
        <rFont val="Aptos Narrow"/>
        <family val="2"/>
        <scheme val="minor"/>
      </rPr>
      <t>+ B0 (loại A): B1+B3 &gt;= 45%
+ B0 (loại B): 30% &lt;= B1+B3 &lt; 45%
+ B0 (loại C): 20% &lt;= B1+B3 &lt; 30%
Trong đó, tỷ lệ B2.2+B4+B5+B6.2 &lt;=30%</t>
    </r>
  </si>
  <si>
    <t>Chai PET nước suối có thương hiệu đã tách nhãn và ép kiện</t>
  </si>
  <si>
    <t>Trạm</t>
  </si>
  <si>
    <t>Chủ yếu từ trạm</t>
  </si>
  <si>
    <t>Trạm Đại Lộc</t>
  </si>
  <si>
    <t>Giải quyết hàng tồn cho trạm
Bình nước suối 21L màu xanh đậm, đã ép kiện, không cắt đôi</t>
  </si>
  <si>
    <r>
      <t xml:space="preserve">Chai PET-B1.4 tuyển xô
Bao gồm các loại B1, B2.1, B2.2, B3, B6.1, B6.2
</t>
    </r>
    <r>
      <rPr>
        <b/>
        <sz val="12"/>
        <color rgb="FFFF0000"/>
        <rFont val="Aptos Narrow"/>
        <family val="2"/>
        <scheme val="minor"/>
      </rPr>
      <t xml:space="preserve">+ B1.4 (Loại A): B1+B3 = 50% </t>
    </r>
    <r>
      <rPr>
        <b/>
        <sz val="12"/>
        <color rgb="FFFF0000"/>
        <rFont val="Aptos Narrow"/>
        <family val="2"/>
      </rPr>
      <t>± 5%, B2.2+B6.2 &lt;= 20%
+ B1.4 (Loại B): 40% &lt;= B1+B3 &lt; 45%, 25% &lt;= B2.2+B6.2 &lt;= 30%
+ B1.4 (Loại C): 35 % &lt;= B1+B3 &lt; 40%, B2.2+B6.2 &gt;= 30%
Trong đó, tỷ lệ B2.1+B6.1 &lt;= 30%</t>
    </r>
  </si>
  <si>
    <r>
      <t xml:space="preserve">Chai PET tuyển dày đã tách nhãn và ép kiện
Bao gồm chai B1, B2.1, B3 lựa theo brand đáp ứng dòng sản phẩm hotfill (loại chai number one, 247)
Tỷ lệ: </t>
    </r>
    <r>
      <rPr>
        <b/>
        <sz val="12"/>
        <color rgb="FFFF0000"/>
        <rFont val="Aptos Narrow"/>
        <family val="2"/>
        <scheme val="minor"/>
      </rPr>
      <t>B1+B3 &gt;= 70%, B2.1 &lt;= 30%</t>
    </r>
  </si>
  <si>
    <t>Dr Thanh, Trà xanh 0 độ, nước ép đóng chai, C2, Nutri boost</t>
  </si>
  <si>
    <r>
      <t>Chai PET tuyển dày đã tách nhãn, xá tròn hoặc ép kiện
Bao gồm các loại chai B1, B2.1, B2.2, B3, B6.1, B6.2</t>
    </r>
    <r>
      <rPr>
        <b/>
        <sz val="12"/>
        <color rgb="FFFF0000"/>
        <rFont val="Aptos Narrow"/>
        <family val="2"/>
        <scheme val="minor"/>
      </rPr>
      <t xml:space="preserve">
</t>
    </r>
    <r>
      <rPr>
        <b/>
        <sz val="12"/>
        <color rgb="FF0000FF"/>
        <rFont val="Aptos Narrow"/>
        <family val="2"/>
        <scheme val="minor"/>
      </rPr>
      <t xml:space="preserve">B1.2 (Loại A): </t>
    </r>
    <r>
      <rPr>
        <b/>
        <sz val="12"/>
        <color rgb="FFFF0000"/>
        <rFont val="Aptos Narrow"/>
        <family val="2"/>
        <scheme val="minor"/>
      </rPr>
      <t xml:space="preserve">
B1+B3 ≥ 50%, B2.1 + B6.1 ≤ 30%, B2.2+B6.2 ≤ 15, Thành phần không đạt ≤ 5%
</t>
    </r>
    <r>
      <rPr>
        <b/>
        <sz val="12"/>
        <color rgb="FF0000FF"/>
        <rFont val="Aptos Narrow"/>
        <family val="2"/>
        <scheme val="minor"/>
      </rPr>
      <t xml:space="preserve">B1.2 (Loại B): </t>
    </r>
    <r>
      <rPr>
        <b/>
        <sz val="12"/>
        <color rgb="FFFF0000"/>
        <rFont val="Aptos Narrow"/>
        <family val="2"/>
        <scheme val="minor"/>
      </rPr>
      <t xml:space="preserve">
B1+B3 ≥ 45%, B2.2+B6.2 ≤  25%
</t>
    </r>
    <r>
      <rPr>
        <b/>
        <sz val="12"/>
        <color rgb="FF0000FF"/>
        <rFont val="Aptos Narrow"/>
        <family val="2"/>
        <scheme val="minor"/>
      </rPr>
      <t>B1.2 (Loại C):</t>
    </r>
    <r>
      <rPr>
        <b/>
        <sz val="12"/>
        <color rgb="FFFF0000"/>
        <rFont val="Aptos Narrow"/>
        <family val="2"/>
        <scheme val="minor"/>
      </rPr>
      <t xml:space="preserve"> 
B1+B3 ≥ 40%, B2.2+B6.2 ≤  30%</t>
    </r>
  </si>
  <si>
    <t>Nguyên liệu HDPE ép màu dương (sóng, thùng, khay, các sản phẩm ép, nắp)</t>
  </si>
  <si>
    <t xml:space="preserve">Thành phẩm sau khi trạm Đại Lộc băm chai B6.2 </t>
  </si>
  <si>
    <t>Nắp rời từ các chai B1.1, B1.2, B2.2, B4, B5 chủ yếu từ trạm Đồng Lâm, Khánh Nga</t>
  </si>
  <si>
    <t>Nước suối có thương hiệu (lavie, aqua)</t>
  </si>
  <si>
    <t>Nước suối mỏng</t>
  </si>
  <si>
    <r>
      <t>Chai PET tuyển dày đã tách nhãn và ép kiện (chai sữa, nước ngọt</t>
    </r>
    <r>
      <rPr>
        <b/>
        <sz val="12"/>
        <color rgb="FF0000FF"/>
        <rFont val="Aptos Narrow"/>
        <family val="2"/>
        <scheme val="minor"/>
      </rPr>
      <t xml:space="preserve"> không có ga</t>
    </r>
    <r>
      <rPr>
        <sz val="12"/>
        <color rgb="FF0000FF"/>
        <rFont val="Aptos Narrow"/>
        <family val="2"/>
        <scheme val="minor"/>
      </rPr>
      <t xml:space="preserve">)
Bao gồm chai B1, B2.1, B3
Tỷ lệ: 
</t>
    </r>
    <r>
      <rPr>
        <b/>
        <sz val="12"/>
        <color rgb="FFFF0000"/>
        <rFont val="Aptos Narrow"/>
        <family val="2"/>
        <scheme val="minor"/>
      </rPr>
      <t xml:space="preserve">B1+B3 </t>
    </r>
    <r>
      <rPr>
        <b/>
        <sz val="12"/>
        <color rgb="FFFF0000"/>
        <rFont val="Aptos Narrow"/>
        <family val="2"/>
      </rPr>
      <t>≥</t>
    </r>
    <r>
      <rPr>
        <b/>
        <sz val="12"/>
        <color rgb="FFFF0000"/>
        <rFont val="Aptos Narrow"/>
        <family val="2"/>
        <scheme val="minor"/>
      </rPr>
      <t xml:space="preserve"> 70%, B2.1 ≤ 30%, Thành phần không đạt ≤ 5%</t>
    </r>
  </si>
  <si>
    <t>Nước ngọt không có ga</t>
  </si>
  <si>
    <t>Nước ngọt có ga (Sting, 247)</t>
  </si>
  <si>
    <r>
      <t xml:space="preserve">Chai nước ngọt </t>
    </r>
    <r>
      <rPr>
        <b/>
        <sz val="12"/>
        <color rgb="FF0000FF"/>
        <rFont val="Aptos Narrow"/>
        <family val="2"/>
        <scheme val="minor"/>
      </rPr>
      <t>có ga</t>
    </r>
    <r>
      <rPr>
        <sz val="12"/>
        <color rgb="FF0000FF"/>
        <rFont val="Aptos Narrow"/>
        <family val="2"/>
        <scheme val="minor"/>
      </rPr>
      <t xml:space="preserve"> (247, sting, coca)</t>
    </r>
  </si>
  <si>
    <t>GĐTC duyệt giá
Giá duyệt T11.2025: 16.500đ/kg</t>
  </si>
  <si>
    <t>GĐTC duyệt giá
Giá duyệt T11.2025: 9.000đ/kg</t>
  </si>
  <si>
    <t>- Giá cố định theo PLHĐ đã ký: 5.500đ/cái ~ 7.971đ/kg 
(Quy cách: 0.69kg/cái)</t>
  </si>
  <si>
    <t>Hiện tại đã ngưng mua mã này</t>
  </si>
  <si>
    <t>- Đầu tháng: TGĐ duyệt giá đầu tháng
- Giá tuần: GĐ Cung Ứng có thẩm quyền điều chỉnh tăng tối đa 200đ/lần, tối đa 2 lần/tháng</t>
  </si>
  <si>
    <t>GĐĐH duyệt giá</t>
  </si>
  <si>
    <t xml:space="preserve"> Giá Trạm: GĐTC tính toán -&gt; GĐĐH ký duyệt</t>
  </si>
  <si>
    <t>- Đầu tháng: TGĐ duyệt đầu tháng
- Giá tuần: GĐĐH được điều chỉnh tăng tối đa 500đ/lần, tối đa 2 lần/tháng</t>
  </si>
  <si>
    <t>Đã ngưng mua mã này</t>
  </si>
  <si>
    <t>Giá Trạm: GĐTC tính toán -&gt; GĐĐH ký duyệt</t>
  </si>
  <si>
    <t>Chai PET nước tương, nước mắm, dầu ăn khác, hủ PET, chai rửa chén, chai viền nhôm, chai còn quai</t>
  </si>
  <si>
    <t>Đồng Lâm</t>
  </si>
  <si>
    <t>Khánh Nga</t>
  </si>
  <si>
    <t>Đại Lộc</t>
  </si>
  <si>
    <t>DTR</t>
  </si>
  <si>
    <t>B1.2</t>
  </si>
  <si>
    <t>&lt;=</t>
  </si>
  <si>
    <t>Nhóm hàng</t>
  </si>
  <si>
    <t xml:space="preserve">Loại </t>
  </si>
  <si>
    <t>Vảy mua ngoài</t>
  </si>
  <si>
    <t>B1.1 :</t>
  </si>
  <si>
    <t xml:space="preserve">B1 </t>
  </si>
  <si>
    <t>TPCĐ</t>
  </si>
  <si>
    <t>=</t>
  </si>
  <si>
    <t>+</t>
  </si>
  <si>
    <t>=&gt;</t>
  </si>
  <si>
    <t>Đối tượng khách hàng</t>
  </si>
  <si>
    <t>Cao cấp</t>
  </si>
  <si>
    <t>Coca</t>
  </si>
  <si>
    <t>SPVB</t>
  </si>
  <si>
    <t>Cấp trung</t>
  </si>
  <si>
    <t>XK</t>
  </si>
  <si>
    <t>Unilever</t>
  </si>
  <si>
    <t>B1.2 :</t>
  </si>
  <si>
    <t>B1 +B3</t>
  </si>
  <si>
    <t xml:space="preserve">B2.1 </t>
  </si>
  <si>
    <t>B2.2 +B6</t>
  </si>
  <si>
    <t>&lt;= 15%</t>
  </si>
  <si>
    <t>Còn lại</t>
  </si>
  <si>
    <t>&gt;= 45%</t>
  </si>
  <si>
    <t xml:space="preserve">Chai các loại không phải là B1;B3;B2.1 và phó sản </t>
  </si>
  <si>
    <r>
      <t xml:space="preserve">TPCĐ: </t>
    </r>
    <r>
      <rPr>
        <b/>
        <sz val="11"/>
        <color rgb="FFFFFF00"/>
        <rFont val="Aptos Narrow"/>
        <family val="2"/>
        <scheme val="minor"/>
      </rPr>
      <t xml:space="preserve">bao gồm </t>
    </r>
  </si>
  <si>
    <t>Nước tương, mắm, dầu ăn -Có thương hiệu</t>
  </si>
  <si>
    <t>Nước tương, mắm, dầu ăn -Ko.Có thương hiệu</t>
  </si>
  <si>
    <t>B1.3  tỷ lệ hao hụt cao hơn B1.1 vì phải loại thêm một số loại đặc biệt
Trong đó, tỷ lệ chai không đạt: 
+ B1.3 (Loại A): &lt;= 5%
+ B1.3 (Loại B): &gt; 5% và &lt;= 10%
+ B1.3 (Loại C): &gt; 10% và &lt;= 15%</t>
  </si>
  <si>
    <t>CSD</t>
  </si>
  <si>
    <t>Nước ngọt không có gas</t>
  </si>
  <si>
    <t>X_ Tỷ lệ % không đạt)</t>
  </si>
  <si>
    <r>
      <t xml:space="preserve">- Giá NCC ngoài: TGĐ duyệt đầu tháng và GĐĐH được điều chỉnh tăng tối đa 500đ/lần, tối đa 2 lần/tháng
</t>
    </r>
    <r>
      <rPr>
        <sz val="12"/>
        <color rgb="FFFF0000"/>
        <rFont val="Aptos Narrow"/>
        <family val="2"/>
        <scheme val="minor"/>
      </rPr>
      <t>- Giá Trạm: GĐTC tính toán -&gt; GĐĐH ký duyệt</t>
    </r>
  </si>
  <si>
    <r>
      <t xml:space="preserve">- Giá NCC ngoài: TGĐ duyệt đầu tháng và GĐĐH được điều chỉnh tăng tối đa 500đ/lần, tối đa 2 lần/tháng (Hiện tại đang ngưng mua B1.2 từ NCC ngoài)
</t>
    </r>
    <r>
      <rPr>
        <sz val="12"/>
        <color rgb="FFFF0000"/>
        <rFont val="Aptos Narrow"/>
        <family val="2"/>
        <scheme val="minor"/>
      </rPr>
      <t>- Giá Trạm: GĐTC tính toán -&gt; GĐĐH ký duyệt</t>
    </r>
  </si>
  <si>
    <t>s</t>
  </si>
  <si>
    <t>Gram</t>
  </si>
  <si>
    <t>BO</t>
  </si>
  <si>
    <t>VảY</t>
  </si>
  <si>
    <t>Sơ đồ khối dòng nguyên liệu-sản phẩm hiện tại của DTR.</t>
  </si>
  <si>
    <t>Với phân bố và định hướng sản phẩm như hiện nay, một số nguyên liệu đầu vào (B2.2/B4/B5) đang gặp khó khăn về giá, do gánh chung dòng chảy với chỉ khoảng 53% nguyên liệu chính B1.1.</t>
  </si>
  <si>
    <t>Tên TP</t>
  </si>
  <si>
    <t>Loại vảy 1</t>
  </si>
  <si>
    <t>Hạt WSS01G-Nia</t>
  </si>
  <si>
    <t>Hạt iSS01G-Out</t>
  </si>
  <si>
    <t>Hạt WSS03G-PW</t>
  </si>
  <si>
    <t>Hạt WSS05SB (sợi ngắn)</t>
  </si>
  <si>
    <t>VND</t>
  </si>
  <si>
    <t>Vảy FPET201-Out</t>
  </si>
  <si>
    <t>Loại vảy 2</t>
  </si>
  <si>
    <t>Loại vảy 3</t>
  </si>
  <si>
    <t>Cộng</t>
  </si>
  <si>
    <t>Hạt WSS01G</t>
  </si>
  <si>
    <t>Hạt iSS01G</t>
  </si>
  <si>
    <t>Hạt iSS01084G</t>
  </si>
  <si>
    <t>Hạt WSS03G</t>
  </si>
  <si>
    <t>Dây Đai</t>
  </si>
  <si>
    <t>Loại vảy 4</t>
  </si>
  <si>
    <t>B7</t>
  </si>
  <si>
    <t>Loại vảy 5</t>
  </si>
  <si>
    <t>Loại vảy 6</t>
  </si>
  <si>
    <t>Hạt WSS01S</t>
  </si>
  <si>
    <t>Chai B1.1</t>
  </si>
  <si>
    <t>Chai B2.2 +B5</t>
  </si>
  <si>
    <t>Chai B4</t>
  </si>
  <si>
    <t>Chai B6.2</t>
  </si>
  <si>
    <t>Giá bán Hạt</t>
  </si>
  <si>
    <t>USD</t>
  </si>
  <si>
    <t>Exw</t>
  </si>
  <si>
    <t>Giá thành vảy (SX) =&gt;</t>
  </si>
  <si>
    <t>Vảy (Mua ngoài)</t>
  </si>
  <si>
    <t>Giá chai</t>
  </si>
  <si>
    <t>Giá chai B0</t>
  </si>
  <si>
    <t>Chi phí phân loại</t>
  </si>
  <si>
    <t>Tỷ lệ hao hụt thực tế</t>
  </si>
  <si>
    <t>Tổng chi phí</t>
  </si>
  <si>
    <t>Chi phí hao hụt</t>
  </si>
  <si>
    <t>Giá bán hòa vốn đơn vị</t>
  </si>
  <si>
    <t>So giá mua BO</t>
  </si>
  <si>
    <t>Chai</t>
  </si>
  <si>
    <t>Check với SAP</t>
  </si>
  <si>
    <t>TT</t>
  </si>
  <si>
    <t>BOM</t>
  </si>
  <si>
    <t>Tên vật tư</t>
  </si>
  <si>
    <t>Cơ cấu thành phẩm theo BOM</t>
  </si>
  <si>
    <t>Giá bán chai 3 trạm về DTR</t>
  </si>
  <si>
    <t>Cơ cấu nguyên vật liệu BOM (gram)</t>
  </si>
  <si>
    <t>Cơ cấu thành phẩm thực tế</t>
  </si>
  <si>
    <t>Tỷ trọng giá trị</t>
  </si>
  <si>
    <t>Phân bổ giá B0</t>
  </si>
  <si>
    <t>Phân bổ chi phí phân loại</t>
  </si>
  <si>
    <t>Chi phí sau phân loại</t>
  </si>
  <si>
    <t>Doanh thu đơn vị</t>
  </si>
  <si>
    <t>Lợi nhuận đơn vị</t>
  </si>
  <si>
    <t>Giá thành 1kg sau phân loại</t>
  </si>
  <si>
    <t>Diff</t>
  </si>
  <si>
    <t>Giá BO sau phân loại</t>
  </si>
  <si>
    <t>BOM SAP</t>
  </si>
  <si>
    <t>%Diff</t>
  </si>
  <si>
    <t>Tỷ 3 cấp chất lượng</t>
  </si>
  <si>
    <t>Cơ cấu giá trừ chất lượng</t>
  </si>
  <si>
    <t>GAP so BO</t>
  </si>
  <si>
    <t>Giá mua theo phân loại</t>
  </si>
  <si>
    <t>Chi phí Băm Vảy</t>
  </si>
  <si>
    <t>Vảy</t>
  </si>
  <si>
    <t>Chai PET B1</t>
  </si>
  <si>
    <t>Nắp HD ép, cổ chai</t>
  </si>
  <si>
    <t>Thành phẩm thu được sau lựa</t>
  </si>
  <si>
    <t>Hao hụt (%)</t>
  </si>
  <si>
    <t>Hao hụt (gram_BOM)</t>
  </si>
  <si>
    <t>Giá chai BX mix sau phân loại</t>
  </si>
  <si>
    <t>Giá bán thành chai trước băm</t>
  </si>
  <si>
    <t xml:space="preserve">Phân bổ giá chai băm </t>
  </si>
  <si>
    <t>Chi phí băm</t>
  </si>
  <si>
    <t>Giá thành sau băm</t>
  </si>
  <si>
    <t>Giá thành 1kg sau Băm</t>
  </si>
  <si>
    <t>Giá bán vảy 3 trạm về DTR</t>
  </si>
  <si>
    <t>Vảy_ Chai PET B1</t>
  </si>
  <si>
    <t>Vảy_Chai PET B2.2</t>
  </si>
  <si>
    <t>Vảy_Chai PET B4</t>
  </si>
  <si>
    <t>Vảy_Chai PET B5</t>
  </si>
  <si>
    <t>Vảy_Chai PET B6.2</t>
  </si>
  <si>
    <t>Vảy_Nắp HD ép, cổ chai</t>
  </si>
  <si>
    <t>Giá chai mua vào</t>
  </si>
  <si>
    <t>Giá thành vảy sạch  =&gt; từ chai</t>
  </si>
  <si>
    <t>Giá thành vảy sạch  =&gt; từ vảy mua ngoài</t>
  </si>
  <si>
    <t>Giá thành vảy sạch</t>
  </si>
  <si>
    <t>Chi phi tạo hạt</t>
  </si>
  <si>
    <t>Chi phí nâng IV (8 tiếng)</t>
  </si>
  <si>
    <t>Chi phí nâng IV (10 tiếng)</t>
  </si>
  <si>
    <t>Giá thành hạt (IV8)</t>
  </si>
  <si>
    <t>LG</t>
  </si>
  <si>
    <t>%</t>
  </si>
  <si>
    <t>0.7-0.74</t>
  </si>
  <si>
    <t>1000 tấn</t>
  </si>
  <si>
    <t>Quý 3,4</t>
  </si>
  <si>
    <t>Quan chí Bảo</t>
  </si>
  <si>
    <t xml:space="preserve">605 USD/tấn </t>
  </si>
  <si>
    <t>SX từ vày B6.2</t>
  </si>
  <si>
    <t>Giá bán vảy</t>
  </si>
  <si>
    <t>Làm màng</t>
  </si>
  <si>
    <t>Uy kiệt sx màng</t>
  </si>
  <si>
    <t>Chi phí quản lý</t>
  </si>
  <si>
    <t>Tổng hợp Các loại chai</t>
  </si>
  <si>
    <t>Chi phí Băm</t>
  </si>
  <si>
    <t>Chi phí rữa từ chai</t>
  </si>
  <si>
    <t>Chi phí rữa từ  vảy mua ngoài</t>
  </si>
  <si>
    <t>Tỷ Chai/Vảy</t>
  </si>
  <si>
    <t>Giá thành chai chưa băm</t>
  </si>
  <si>
    <t>Mix</t>
  </si>
  <si>
    <t>Vảy -MN</t>
  </si>
  <si>
    <t>Giá thành</t>
  </si>
  <si>
    <t>rHDPE ép</t>
  </si>
  <si>
    <t>SX dây đai</t>
  </si>
  <si>
    <t>BẢNG TÍNH GIÁ MUA CHAI, VẢY TỪ CÁC TRẠM</t>
  </si>
  <si>
    <t>Giá B0</t>
  </si>
  <si>
    <t>ĐVT: đồng/ký</t>
  </si>
  <si>
    <t>Nhóm chai PET</t>
  </si>
  <si>
    <t>Thành phần chai PET sau phân loại</t>
  </si>
  <si>
    <t>Hao hụt</t>
  </si>
  <si>
    <t>Gap (đảm bảo chi phí và lợi nhuận)</t>
  </si>
  <si>
    <t>Giá mua theo công thức</t>
  </si>
  <si>
    <t>Giá mua đề xuất</t>
  </si>
  <si>
    <t>Tỷ lệ</t>
  </si>
  <si>
    <t>Quy ra tiền</t>
  </si>
  <si>
    <t>A. Giá mua Chai</t>
  </si>
  <si>
    <t>Chai PET nhóm 1</t>
  </si>
  <si>
    <t>B1.1 + B1.2 + B1.3 + B2.1 + B3 + B6.1</t>
  </si>
  <si>
    <t>Chai PET nhóm 2</t>
  </si>
  <si>
    <t>B4 + B5</t>
  </si>
  <si>
    <t>Chai PET nhóm 3</t>
  </si>
  <si>
    <t>B2.2 + B6.2</t>
  </si>
  <si>
    <t>Chai PET nhóm 4</t>
  </si>
  <si>
    <t>Nắp HD Ép, cổ chai, PP (quai)</t>
  </si>
  <si>
    <t>B. Giá mua Vảy</t>
  </si>
  <si>
    <t>Nhóm 1</t>
  </si>
  <si>
    <t>Vảy B6.2</t>
  </si>
  <si>
    <t>BẢNG COPY QUA TỜ TRÌNH DUYỆT</t>
  </si>
  <si>
    <t>Tên Chai</t>
  </si>
  <si>
    <t>Giá đề xuất</t>
  </si>
  <si>
    <t>Chai PET B1.1</t>
  </si>
  <si>
    <t>Chai PET B1 KPL (B1.2)</t>
  </si>
  <si>
    <t>Nắp HD Ép, cổ chai</t>
  </si>
  <si>
    <t>PP (quai)</t>
  </si>
  <si>
    <t>CPC</t>
  </si>
  <si>
    <t>Cty</t>
  </si>
  <si>
    <t xml:space="preserve">Cty </t>
  </si>
  <si>
    <t>Far Eastern</t>
  </si>
  <si>
    <t>Nhóm Trung Quốc</t>
  </si>
  <si>
    <t>CL Chai &lt;=&gt; Vảy MN</t>
  </si>
  <si>
    <t>Mix 50%C-50%VMN</t>
  </si>
  <si>
    <t>Chi phí vảy rữa từ chai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</si>
</sst>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Red]\-0%;_(* &quot;&quot;??_)"/>
  </numFmts>
  <fonts count="48" x14ac:knownFonts="1">
    <font>
      <sz val="11"/>
      <color theme="1"/>
      <name val="Aptos Narrow"/>
      <family val="2"/>
      <scheme val="minor"/>
    </font>
    <font>
      <b/>
      <sz val="11"/>
      <color theme="1"/>
      <name val="Aptos Narrow"/>
      <family val="2"/>
      <scheme val="minor"/>
    </font>
    <font>
      <b/>
      <sz val="12"/>
      <color theme="0"/>
      <name val="Aptos Narrow"/>
      <family val="2"/>
      <scheme val="minor"/>
    </font>
    <font>
      <b/>
      <sz val="16"/>
      <color rgb="FF0000FF"/>
      <name val="Aptos Narrow"/>
      <family val="2"/>
      <scheme val="minor"/>
    </font>
    <font>
      <b/>
      <sz val="12"/>
      <color rgb="FF0033CC"/>
      <name val="Aptos Narrow"/>
      <family val="2"/>
      <scheme val="minor"/>
    </font>
    <font>
      <sz val="11"/>
      <color rgb="FFFF0000"/>
      <name val="Aptos Narrow"/>
      <family val="2"/>
      <scheme val="minor"/>
    </font>
    <font>
      <b/>
      <sz val="12"/>
      <color rgb="FFFF0000"/>
      <name val="Aptos Narrow"/>
      <family val="2"/>
      <scheme val="minor"/>
    </font>
    <font>
      <u/>
      <sz val="11"/>
      <color theme="10"/>
      <name val="Aptos Narrow"/>
      <family val="2"/>
      <scheme val="minor"/>
    </font>
    <font>
      <sz val="11"/>
      <color theme="1"/>
      <name val="Aptos Narrow"/>
      <family val="2"/>
      <scheme val="minor"/>
    </font>
    <font>
      <b/>
      <sz val="12"/>
      <color theme="1"/>
      <name val="Aptos Narrow"/>
      <family val="2"/>
      <scheme val="minor"/>
    </font>
    <font>
      <sz val="12"/>
      <color theme="1"/>
      <name val="Aptos Narrow"/>
      <family val="2"/>
      <scheme val="minor"/>
    </font>
    <font>
      <sz val="12"/>
      <color rgb="FFFF0000"/>
      <name val="Aptos Narrow"/>
      <family val="2"/>
      <scheme val="minor"/>
    </font>
    <font>
      <sz val="12"/>
      <color rgb="FF0000FF"/>
      <name val="Aptos Narrow"/>
      <family val="2"/>
      <scheme val="minor"/>
    </font>
    <font>
      <sz val="11"/>
      <color rgb="FF0000FF"/>
      <name val="Aptos Narrow"/>
      <family val="2"/>
      <scheme val="minor"/>
    </font>
    <font>
      <b/>
      <sz val="12"/>
      <color rgb="FF0000FF"/>
      <name val="Aptos Narrow"/>
      <family val="2"/>
      <scheme val="minor"/>
    </font>
    <font>
      <b/>
      <sz val="11"/>
      <color rgb="FF0000FF"/>
      <name val="Aptos Narrow"/>
      <family val="2"/>
      <scheme val="minor"/>
    </font>
    <font>
      <b/>
      <sz val="12"/>
      <color rgb="FFFF0000"/>
      <name val="Aptos Narrow"/>
      <family val="2"/>
    </font>
    <font>
      <b/>
      <u/>
      <sz val="12"/>
      <color rgb="FFC00000"/>
      <name val="Aptos Narrow"/>
      <family val="2"/>
      <scheme val="minor"/>
    </font>
    <font>
      <u/>
      <sz val="12"/>
      <color rgb="FF0000FF"/>
      <name val="Aptos Narrow"/>
      <family val="2"/>
      <scheme val="minor"/>
    </font>
    <font>
      <sz val="16"/>
      <color theme="1"/>
      <name val="Aptos Narrow"/>
      <family val="2"/>
      <scheme val="minor"/>
    </font>
    <font>
      <u/>
      <sz val="12"/>
      <color theme="10"/>
      <name val="Aptos Narrow"/>
      <family val="2"/>
      <scheme val="minor"/>
    </font>
    <font>
      <b/>
      <sz val="12"/>
      <color rgb="FF92D050"/>
      <name val="Aptos Narrow"/>
      <family val="2"/>
      <scheme val="minor"/>
    </font>
    <font>
      <sz val="12"/>
      <color rgb="FF92D050"/>
      <name val="Aptos Narrow"/>
      <family val="2"/>
      <scheme val="minor"/>
    </font>
    <font>
      <b/>
      <sz val="11"/>
      <color rgb="FFFF0000"/>
      <name val="Aptos Narrow"/>
      <family val="2"/>
      <scheme val="minor"/>
    </font>
    <font>
      <b/>
      <sz val="11"/>
      <color rgb="FF00B0F0"/>
      <name val="Aptos Narrow"/>
      <family val="2"/>
      <scheme val="minor"/>
    </font>
    <font>
      <b/>
      <sz val="11"/>
      <color rgb="FFFFFF00"/>
      <name val="Aptos Narrow"/>
      <family val="2"/>
      <scheme val="minor"/>
    </font>
    <font>
      <b/>
      <sz val="12"/>
      <color rgb="FFC00000"/>
      <name val="Aptos Narrow"/>
      <family val="2"/>
      <scheme val="minor"/>
    </font>
    <font>
      <sz val="12"/>
      <color rgb="FFC00000"/>
      <name val="Aptos Narrow"/>
      <family val="2"/>
      <scheme val="minor"/>
    </font>
    <font>
      <b/>
      <sz val="12"/>
      <color rgb="FF00B0F0"/>
      <name val="Aptos Narrow"/>
      <family val="2"/>
      <scheme val="minor"/>
    </font>
    <font>
      <sz val="12"/>
      <color rgb="FF00B0F0"/>
      <name val="Aptos Narrow"/>
      <family val="2"/>
      <scheme val="minor"/>
    </font>
    <font>
      <sz val="11"/>
      <color rgb="FF00B0F0"/>
      <name val="Aptos Narrow"/>
      <family val="2"/>
      <scheme val="minor"/>
    </font>
    <font>
      <b/>
      <sz val="11"/>
      <color rgb="FFC00000"/>
      <name val="Aptos Narrow"/>
      <family val="2"/>
      <scheme val="minor"/>
    </font>
    <font>
      <b/>
      <sz val="11"/>
      <color rgb="FF0070C0"/>
      <name val="Aptos Narrow"/>
      <family val="2"/>
      <scheme val="minor"/>
    </font>
    <font>
      <sz val="12"/>
      <color rgb="FF0070C0"/>
      <name val="Aptos Narrow"/>
      <family val="2"/>
      <scheme val="minor"/>
    </font>
    <font>
      <b/>
      <sz val="11"/>
      <color theme="0"/>
      <name val="Aptos Narrow"/>
      <family val="2"/>
      <scheme val="minor"/>
    </font>
    <font>
      <sz val="12"/>
      <color rgb="FFFF0000"/>
      <name val="Times New Roman"/>
      <family val="1"/>
    </font>
    <font>
      <sz val="12"/>
      <color rgb="FF0000FF"/>
      <name val="Times New Roman"/>
      <family val="1"/>
    </font>
    <font>
      <sz val="11"/>
      <color theme="0"/>
      <name val="Aptos Narrow"/>
      <family val="2"/>
      <scheme val="minor"/>
    </font>
    <font>
      <sz val="11"/>
      <color rgb="FF3366FF"/>
      <name val="Aptos Narrow"/>
      <family val="2"/>
      <scheme val="minor"/>
    </font>
    <font>
      <sz val="11"/>
      <color rgb="FF0066FF"/>
      <name val="Aptos Narrow"/>
      <family val="2"/>
      <scheme val="minor"/>
    </font>
    <font>
      <b/>
      <sz val="16"/>
      <color rgb="FF0066FF"/>
      <name val="Aptos Narrow"/>
      <family val="2"/>
      <scheme val="minor"/>
    </font>
    <font>
      <b/>
      <sz val="12"/>
      <color rgb="FF0066FF"/>
      <name val="Aptos Narrow"/>
      <family val="2"/>
      <scheme val="minor"/>
    </font>
    <font>
      <b/>
      <sz val="11"/>
      <color rgb="FF0066FF"/>
      <name val="Aptos Narrow"/>
      <family val="2"/>
      <scheme val="minor"/>
    </font>
    <font>
      <b/>
      <sz val="12"/>
      <color rgb="FF0066FF"/>
      <name val="Aptos Display"/>
      <family val="1"/>
      <scheme val="major"/>
    </font>
    <font>
      <sz val="12"/>
      <color rgb="FF0066FF"/>
      <name val="Aptos Display"/>
      <family val="1"/>
      <scheme val="major"/>
    </font>
    <font>
      <sz val="10"/>
      <color rgb="FF0066FF"/>
      <name val="Arial"/>
      <family val="2"/>
    </font>
    <font>
      <b/>
      <sz val="11"/>
      <color rgb="FF0066FF"/>
      <name val="Arial"/>
      <family val="2"/>
    </font>
    <font>
      <sz val="11"/>
      <color rgb="FF0066FF"/>
      <name val="Arial"/>
      <family val="2"/>
    </font>
  </fonts>
  <fills count="21">
    <fill>
      <patternFill patternType="none"/>
    </fill>
    <fill>
      <patternFill patternType="gray125"/>
    </fill>
    <fill>
      <patternFill patternType="solid">
        <fgColor rgb="FF0000FF"/>
        <bgColor indexed="64"/>
      </patternFill>
    </fill>
    <fill>
      <patternFill patternType="solid">
        <fgColor rgb="FF00B050"/>
        <bgColor indexed="64"/>
      </patternFill>
    </fill>
    <fill>
      <patternFill patternType="solid">
        <fgColor theme="5"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indexed="64"/>
      </patternFill>
    </fill>
    <fill>
      <patternFill patternType="solid">
        <fgColor rgb="FF0070C0"/>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4472C4"/>
        <bgColor theme="8"/>
      </patternFill>
    </fill>
    <fill>
      <patternFill patternType="solid">
        <fgColor rgb="FFFFFF00"/>
        <bgColor theme="8"/>
      </patternFill>
    </fill>
    <fill>
      <patternFill patternType="solid">
        <fgColor theme="7"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s>
  <borders count="37">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theme="8"/>
      </left>
      <right/>
      <top style="thin">
        <color theme="8"/>
      </top>
      <bottom/>
      <diagonal/>
    </border>
    <border>
      <left/>
      <right/>
      <top style="thin">
        <color theme="8"/>
      </top>
      <bottom/>
      <diagonal/>
    </border>
    <border>
      <left/>
      <right style="thin">
        <color theme="8"/>
      </right>
      <top style="thin">
        <color theme="8"/>
      </top>
      <bottom/>
      <diagonal/>
    </border>
    <border>
      <left/>
      <right/>
      <top style="thin">
        <color theme="8"/>
      </top>
      <bottom style="thin">
        <color theme="8"/>
      </bottom>
      <diagonal/>
    </border>
    <border>
      <left/>
      <right style="thin">
        <color theme="8"/>
      </right>
      <top style="thin">
        <color theme="8"/>
      </top>
      <bottom style="thin">
        <color theme="8"/>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rgb="FFFFC000"/>
      </right>
      <top style="thin">
        <color auto="1"/>
      </top>
      <bottom/>
      <diagonal/>
    </border>
    <border>
      <left style="medium">
        <color rgb="FFFFC000"/>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rgb="FFFFC000"/>
      </right>
      <top/>
      <bottom style="thin">
        <color indexed="64"/>
      </bottom>
      <diagonal/>
    </border>
    <border>
      <left style="medium">
        <color rgb="FFFFC000"/>
      </left>
      <right style="thin">
        <color auto="1"/>
      </right>
      <top/>
      <bottom/>
      <diagonal/>
    </border>
    <border>
      <left style="thin">
        <color auto="1"/>
      </left>
      <right style="medium">
        <color rgb="FFFFC000"/>
      </right>
      <top/>
      <bottom/>
      <diagonal/>
    </border>
    <border>
      <left style="medium">
        <color rgb="FFFFC000"/>
      </left>
      <right style="thin">
        <color indexed="64"/>
      </right>
      <top style="thin">
        <color indexed="64"/>
      </top>
      <bottom style="hair">
        <color indexed="64"/>
      </bottom>
      <diagonal/>
    </border>
    <border>
      <left style="thin">
        <color indexed="64"/>
      </left>
      <right style="medium">
        <color rgb="FFFFC000"/>
      </right>
      <top style="thin">
        <color indexed="64"/>
      </top>
      <bottom style="hair">
        <color indexed="64"/>
      </bottom>
      <diagonal/>
    </border>
    <border>
      <left style="medium">
        <color rgb="FFFFC000"/>
      </left>
      <right style="thin">
        <color indexed="64"/>
      </right>
      <top style="hair">
        <color indexed="64"/>
      </top>
      <bottom style="hair">
        <color indexed="64"/>
      </bottom>
      <diagonal/>
    </border>
    <border>
      <left style="thin">
        <color indexed="64"/>
      </left>
      <right style="medium">
        <color rgb="FFFFC000"/>
      </right>
      <top style="hair">
        <color indexed="64"/>
      </top>
      <bottom style="hair">
        <color indexed="64"/>
      </bottom>
      <diagonal/>
    </border>
    <border>
      <left style="medium">
        <color rgb="FFFFC000"/>
      </left>
      <right style="thin">
        <color indexed="64"/>
      </right>
      <top style="hair">
        <color indexed="64"/>
      </top>
      <bottom style="thin">
        <color indexed="64"/>
      </bottom>
      <diagonal/>
    </border>
    <border>
      <left style="thin">
        <color indexed="64"/>
      </left>
      <right style="medium">
        <color rgb="FFFFC000"/>
      </right>
      <top style="hair">
        <color indexed="64"/>
      </top>
      <bottom style="thin">
        <color indexed="64"/>
      </bottom>
      <diagonal/>
    </border>
    <border>
      <left style="medium">
        <color rgb="FFFFC000"/>
      </left>
      <right style="thin">
        <color indexed="64"/>
      </right>
      <top style="hair">
        <color indexed="64"/>
      </top>
      <bottom style="medium">
        <color rgb="FFFFC000"/>
      </bottom>
      <diagonal/>
    </border>
    <border>
      <left style="thin">
        <color indexed="64"/>
      </left>
      <right style="thin">
        <color indexed="64"/>
      </right>
      <top style="hair">
        <color indexed="64"/>
      </top>
      <bottom style="medium">
        <color rgb="FFFFC000"/>
      </bottom>
      <diagonal/>
    </border>
    <border>
      <left style="thin">
        <color indexed="64"/>
      </left>
      <right style="medium">
        <color rgb="FFFFC000"/>
      </right>
      <top style="hair">
        <color indexed="64"/>
      </top>
      <bottom style="medium">
        <color rgb="FFFFC000"/>
      </bottom>
      <diagonal/>
    </border>
    <border>
      <left/>
      <right/>
      <top/>
      <bottom style="thin">
        <color indexed="64"/>
      </bottom>
      <diagonal/>
    </border>
  </borders>
  <cellStyleXfs count="6">
    <xf numFmtId="0" fontId="0" fillId="0" borderId="0"/>
    <xf numFmtId="0" fontId="7" fillId="0" borderId="0" applyNumberFormat="0" applyFill="0" applyBorder="0" applyAlignment="0" applyProtection="0"/>
    <xf numFmtId="0" fontId="8" fillId="0" borderId="0"/>
    <xf numFmtId="9" fontId="8" fillId="0" borderId="0" applyFont="0" applyFill="0" applyBorder="0" applyAlignment="0" applyProtection="0"/>
    <xf numFmtId="43" fontId="8" fillId="0" borderId="0" applyFont="0" applyFill="0" applyBorder="0" applyAlignment="0" applyProtection="0"/>
    <xf numFmtId="0" fontId="8" fillId="0" borderId="0"/>
  </cellStyleXfs>
  <cellXfs count="288">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5" fillId="0" borderId="0" xfId="0" applyFont="1" applyAlignment="1">
      <alignment vertical="center" wrapText="1"/>
    </xf>
    <xf numFmtId="0" fontId="2" fillId="2" borderId="0" xfId="2" applyFont="1" applyFill="1" applyAlignment="1">
      <alignment horizontal="center"/>
    </xf>
    <xf numFmtId="0" fontId="2" fillId="2" borderId="0" xfId="2" applyFont="1" applyFill="1"/>
    <xf numFmtId="0" fontId="9" fillId="0" borderId="2" xfId="2" applyFont="1" applyBorder="1" applyAlignment="1">
      <alignment vertical="top"/>
    </xf>
    <xf numFmtId="0" fontId="10" fillId="0" borderId="2" xfId="2" applyFont="1" applyBorder="1" applyAlignment="1">
      <alignment vertical="top"/>
    </xf>
    <xf numFmtId="0" fontId="9" fillId="0" borderId="3" xfId="2" applyFont="1" applyBorder="1" applyAlignment="1">
      <alignment vertical="top"/>
    </xf>
    <xf numFmtId="0" fontId="10" fillId="0" borderId="3" xfId="2" applyFont="1" applyBorder="1" applyAlignment="1">
      <alignment vertical="top"/>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3" borderId="1" xfId="0" applyFont="1" applyFill="1" applyBorder="1" applyAlignment="1">
      <alignment horizontal="left" vertical="center" wrapText="1"/>
    </xf>
    <xf numFmtId="0" fontId="4" fillId="5" borderId="2" xfId="0" applyFont="1" applyFill="1" applyBorder="1" applyAlignment="1">
      <alignment horizontal="center" vertical="center"/>
    </xf>
    <xf numFmtId="0" fontId="4" fillId="5" borderId="2" xfId="0" applyFont="1" applyFill="1" applyBorder="1" applyAlignment="1">
      <alignment vertical="center" wrapText="1"/>
    </xf>
    <xf numFmtId="0" fontId="4" fillId="5" borderId="2" xfId="0" applyFont="1" applyFill="1" applyBorder="1" applyAlignment="1">
      <alignment horizontal="left" vertical="center"/>
    </xf>
    <xf numFmtId="0" fontId="4" fillId="5" borderId="2" xfId="0" applyFont="1" applyFill="1" applyBorder="1" applyAlignment="1">
      <alignment vertical="center"/>
    </xf>
    <xf numFmtId="0" fontId="12" fillId="0" borderId="2" xfId="0" applyFont="1" applyBorder="1" applyAlignment="1">
      <alignment horizontal="left" vertical="center" wrapText="1"/>
    </xf>
    <xf numFmtId="0" fontId="12" fillId="0" borderId="2" xfId="0" applyFont="1" applyBorder="1" applyAlignment="1">
      <alignment horizontal="right" vertical="center"/>
    </xf>
    <xf numFmtId="0" fontId="12" fillId="0" borderId="2" xfId="0" applyFont="1" applyBorder="1" applyAlignment="1">
      <alignment horizontal="center" vertical="center"/>
    </xf>
    <xf numFmtId="0" fontId="12" fillId="0" borderId="2" xfId="0" applyFont="1" applyBorder="1" applyAlignment="1">
      <alignment vertical="center" wrapText="1"/>
    </xf>
    <xf numFmtId="0" fontId="12" fillId="0" borderId="2" xfId="0" applyFont="1" applyBorder="1" applyAlignment="1">
      <alignment vertical="center"/>
    </xf>
    <xf numFmtId="0" fontId="13" fillId="0" borderId="0" xfId="0" applyFont="1" applyAlignment="1">
      <alignment vertical="center"/>
    </xf>
    <xf numFmtId="0" fontId="12" fillId="0" borderId="2" xfId="0" applyFont="1" applyBorder="1" applyAlignment="1">
      <alignment horizontal="left" vertical="center"/>
    </xf>
    <xf numFmtId="0" fontId="12" fillId="0" borderId="2" xfId="0" quotePrefix="1" applyFont="1" applyBorder="1" applyAlignment="1">
      <alignment vertical="center" wrapText="1"/>
    </xf>
    <xf numFmtId="0" fontId="12" fillId="0" borderId="2" xfId="0" applyFont="1" applyBorder="1" applyAlignment="1">
      <alignment horizontal="center" vertical="center" wrapText="1"/>
    </xf>
    <xf numFmtId="0" fontId="14" fillId="0" borderId="2" xfId="0" applyFont="1" applyBorder="1" applyAlignment="1">
      <alignment vertical="center"/>
    </xf>
    <xf numFmtId="0" fontId="15" fillId="0" borderId="0" xfId="0" applyFont="1" applyAlignment="1">
      <alignment vertical="center"/>
    </xf>
    <xf numFmtId="0" fontId="12" fillId="0" borderId="5" xfId="0" applyFont="1" applyBorder="1" applyAlignment="1">
      <alignment horizontal="right" vertical="center"/>
    </xf>
    <xf numFmtId="0" fontId="12" fillId="0" borderId="5" xfId="0" applyFont="1" applyBorder="1" applyAlignment="1">
      <alignment horizontal="center" vertical="center"/>
    </xf>
    <xf numFmtId="0" fontId="12" fillId="0" borderId="5" xfId="0" applyFont="1" applyBorder="1" applyAlignment="1">
      <alignment vertical="center" wrapText="1"/>
    </xf>
    <xf numFmtId="0" fontId="12" fillId="0" borderId="5" xfId="0" applyFont="1" applyBorder="1" applyAlignment="1">
      <alignment horizontal="left" vertical="center"/>
    </xf>
    <xf numFmtId="0" fontId="12" fillId="0" borderId="5" xfId="0" applyFont="1" applyBorder="1" applyAlignment="1">
      <alignment vertical="center"/>
    </xf>
    <xf numFmtId="0" fontId="12" fillId="0" borderId="4" xfId="0" applyFont="1" applyBorder="1" applyAlignment="1">
      <alignment horizontal="right" vertical="center"/>
    </xf>
    <xf numFmtId="0" fontId="12" fillId="0" borderId="4" xfId="0" applyFont="1" applyBorder="1" applyAlignment="1">
      <alignment horizontal="center" vertical="center"/>
    </xf>
    <xf numFmtId="0" fontId="12" fillId="0" borderId="4" xfId="0" applyFont="1" applyBorder="1" applyAlignment="1">
      <alignment vertical="center" wrapText="1"/>
    </xf>
    <xf numFmtId="0" fontId="12" fillId="0" borderId="4" xfId="0" applyFont="1" applyBorder="1" applyAlignment="1">
      <alignment horizontal="left" vertical="center"/>
    </xf>
    <xf numFmtId="0" fontId="12" fillId="0" borderId="4" xfId="0" applyFont="1" applyBorder="1" applyAlignment="1">
      <alignment vertical="center"/>
    </xf>
    <xf numFmtId="0" fontId="12" fillId="0" borderId="3" xfId="0" applyFont="1" applyBorder="1" applyAlignment="1">
      <alignment horizontal="center" vertical="center"/>
    </xf>
    <xf numFmtId="0" fontId="12" fillId="0" borderId="3" xfId="0" applyFont="1" applyBorder="1" applyAlignment="1">
      <alignment vertical="center" wrapText="1"/>
    </xf>
    <xf numFmtId="0" fontId="12" fillId="0" borderId="3" xfId="0" applyFont="1" applyBorder="1" applyAlignment="1">
      <alignment horizontal="left" vertical="center"/>
    </xf>
    <xf numFmtId="0" fontId="12" fillId="0" borderId="3" xfId="0" applyFont="1" applyBorder="1" applyAlignment="1">
      <alignment vertical="center"/>
    </xf>
    <xf numFmtId="0" fontId="10" fillId="0" borderId="0" xfId="0" applyFont="1" applyAlignment="1">
      <alignment vertical="center"/>
    </xf>
    <xf numFmtId="14" fontId="17" fillId="0" borderId="0" xfId="0" applyNumberFormat="1" applyFont="1" applyAlignment="1">
      <alignment horizontal="left"/>
    </xf>
    <xf numFmtId="0" fontId="2" fillId="4" borderId="2" xfId="0" applyFont="1" applyFill="1" applyBorder="1" applyAlignment="1">
      <alignment vertical="center" wrapText="1"/>
    </xf>
    <xf numFmtId="0" fontId="18" fillId="0" borderId="2" xfId="1" applyFont="1" applyBorder="1" applyAlignment="1">
      <alignment vertical="center" wrapText="1"/>
    </xf>
    <xf numFmtId="0" fontId="10" fillId="0" borderId="0" xfId="0" applyFont="1" applyAlignment="1">
      <alignment horizontal="center" vertical="center"/>
    </xf>
    <xf numFmtId="0" fontId="17" fillId="0" borderId="0" xfId="0" applyFont="1" applyAlignment="1">
      <alignment horizontal="right"/>
    </xf>
    <xf numFmtId="0" fontId="2" fillId="4" borderId="2" xfId="0" applyFont="1" applyFill="1" applyBorder="1" applyAlignment="1">
      <alignment horizontal="center" vertical="center"/>
    </xf>
    <xf numFmtId="0" fontId="10" fillId="0" borderId="0" xfId="0" applyFont="1" applyAlignment="1">
      <alignment horizontal="left" vertical="center"/>
    </xf>
    <xf numFmtId="0" fontId="11" fillId="0" borderId="0" xfId="0" applyFont="1" applyAlignment="1">
      <alignment vertical="center"/>
    </xf>
    <xf numFmtId="0" fontId="2" fillId="4" borderId="2" xfId="0" applyFont="1" applyFill="1" applyBorder="1" applyAlignment="1">
      <alignment horizontal="left" vertical="center"/>
    </xf>
    <xf numFmtId="16" fontId="2" fillId="4" borderId="2" xfId="0" quotePrefix="1" applyNumberFormat="1" applyFont="1" applyFill="1" applyBorder="1" applyAlignment="1">
      <alignment vertical="center"/>
    </xf>
    <xf numFmtId="0" fontId="19" fillId="0" borderId="0" xfId="0" applyFont="1" applyAlignment="1">
      <alignment horizontal="left" vertical="center"/>
    </xf>
    <xf numFmtId="0" fontId="3" fillId="0" borderId="0" xfId="0" applyFont="1" applyAlignment="1">
      <alignment horizontal="left" vertical="center"/>
    </xf>
    <xf numFmtId="0" fontId="20" fillId="0" borderId="2" xfId="1" applyFont="1" applyBorder="1" applyAlignment="1">
      <alignment vertical="center" wrapText="1"/>
    </xf>
    <xf numFmtId="0" fontId="9" fillId="6" borderId="2" xfId="2" applyFont="1" applyFill="1" applyBorder="1" applyAlignment="1">
      <alignment vertical="top"/>
    </xf>
    <xf numFmtId="0" fontId="10" fillId="6" borderId="2" xfId="2" applyFont="1" applyFill="1" applyBorder="1" applyAlignment="1">
      <alignment vertical="top"/>
    </xf>
    <xf numFmtId="0" fontId="14" fillId="0" borderId="2" xfId="2" applyFont="1" applyBorder="1" applyAlignment="1">
      <alignment vertical="top"/>
    </xf>
    <xf numFmtId="0" fontId="12" fillId="0" borderId="2" xfId="2" applyFont="1" applyBorder="1" applyAlignment="1">
      <alignment vertical="top"/>
    </xf>
    <xf numFmtId="0" fontId="21" fillId="0" borderId="2" xfId="2" applyFont="1" applyBorder="1" applyAlignment="1">
      <alignment vertical="top"/>
    </xf>
    <xf numFmtId="0" fontId="22" fillId="0" borderId="2" xfId="2" applyFont="1" applyBorder="1" applyAlignment="1">
      <alignment vertical="top"/>
    </xf>
    <xf numFmtId="0" fontId="0" fillId="0" borderId="0" xfId="0" applyAlignment="1">
      <alignment horizontal="center"/>
    </xf>
    <xf numFmtId="0" fontId="23" fillId="6" borderId="0" xfId="0" applyFont="1" applyFill="1" applyAlignment="1">
      <alignment horizontal="center"/>
    </xf>
    <xf numFmtId="0" fontId="1" fillId="7" borderId="0" xfId="0" applyFont="1" applyFill="1" applyAlignment="1">
      <alignment horizontal="center"/>
    </xf>
    <xf numFmtId="0" fontId="24" fillId="6" borderId="0" xfId="0" applyFont="1" applyFill="1" applyAlignment="1">
      <alignment horizontal="center"/>
    </xf>
    <xf numFmtId="9" fontId="0" fillId="0" borderId="0" xfId="0" applyNumberFormat="1"/>
    <xf numFmtId="0" fontId="10" fillId="0" borderId="0" xfId="2" applyFont="1" applyAlignment="1">
      <alignment vertical="top"/>
    </xf>
    <xf numFmtId="0" fontId="22" fillId="0" borderId="0" xfId="2" applyFont="1" applyAlignment="1">
      <alignment vertical="top"/>
    </xf>
    <xf numFmtId="0" fontId="12" fillId="0" borderId="0" xfId="2" applyFont="1" applyAlignment="1">
      <alignment vertical="top"/>
    </xf>
    <xf numFmtId="0" fontId="0" fillId="0" borderId="0" xfId="0" quotePrefix="1" applyAlignment="1">
      <alignment horizontal="right"/>
    </xf>
    <xf numFmtId="0" fontId="0" fillId="0" borderId="0" xfId="0" applyAlignment="1">
      <alignment wrapText="1"/>
    </xf>
    <xf numFmtId="0" fontId="1" fillId="0" borderId="0" xfId="0" applyFont="1"/>
    <xf numFmtId="0" fontId="15" fillId="8" borderId="0" xfId="0" applyFont="1" applyFill="1"/>
    <xf numFmtId="0" fontId="23" fillId="7" borderId="0" xfId="0" applyFont="1" applyFill="1"/>
    <xf numFmtId="9" fontId="1" fillId="0" borderId="0" xfId="0" applyNumberFormat="1" applyFont="1"/>
    <xf numFmtId="9" fontId="23" fillId="6" borderId="0" xfId="0" applyNumberFormat="1" applyFont="1" applyFill="1" applyAlignment="1">
      <alignment horizontal="center"/>
    </xf>
    <xf numFmtId="0" fontId="23" fillId="6" borderId="0" xfId="0" applyFont="1" applyFill="1"/>
    <xf numFmtId="0" fontId="25" fillId="9" borderId="0" xfId="0" applyFont="1" applyFill="1"/>
    <xf numFmtId="0" fontId="1" fillId="10" borderId="0" xfId="0" applyFont="1" applyFill="1"/>
    <xf numFmtId="0" fontId="23" fillId="9" borderId="0" xfId="0" applyFont="1" applyFill="1"/>
    <xf numFmtId="0" fontId="14" fillId="6" borderId="2" xfId="2" applyFont="1" applyFill="1" applyBorder="1" applyAlignment="1">
      <alignment vertical="top"/>
    </xf>
    <xf numFmtId="0" fontId="28" fillId="6" borderId="2" xfId="2" applyFont="1" applyFill="1" applyBorder="1" applyAlignment="1">
      <alignment vertical="top"/>
    </xf>
    <xf numFmtId="0" fontId="29" fillId="6" borderId="2" xfId="2" applyFont="1" applyFill="1" applyBorder="1" applyAlignment="1">
      <alignment vertical="top"/>
    </xf>
    <xf numFmtId="0" fontId="26" fillId="6" borderId="2" xfId="2" applyFont="1" applyFill="1" applyBorder="1" applyAlignment="1">
      <alignment vertical="top"/>
    </xf>
    <xf numFmtId="0" fontId="27" fillId="6" borderId="2" xfId="2" applyFont="1" applyFill="1" applyBorder="1" applyAlignment="1">
      <alignment vertical="top"/>
    </xf>
    <xf numFmtId="0" fontId="6" fillId="0" borderId="1" xfId="2" applyFont="1" applyBorder="1" applyAlignment="1">
      <alignment vertical="top"/>
    </xf>
    <xf numFmtId="0" fontId="11" fillId="0" borderId="1" xfId="2" applyFont="1" applyBorder="1" applyAlignment="1">
      <alignment vertical="top"/>
    </xf>
    <xf numFmtId="0" fontId="6" fillId="6" borderId="2" xfId="2" applyFont="1" applyFill="1" applyBorder="1" applyAlignment="1">
      <alignment horizontal="left" vertical="top"/>
    </xf>
    <xf numFmtId="0" fontId="11" fillId="6" borderId="2" xfId="2" applyFont="1" applyFill="1" applyBorder="1" applyAlignment="1">
      <alignment horizontal="left" vertical="top"/>
    </xf>
    <xf numFmtId="0" fontId="30" fillId="0" borderId="0" xfId="0" applyFont="1" applyAlignment="1">
      <alignment wrapText="1"/>
    </xf>
    <xf numFmtId="0" fontId="31" fillId="0" borderId="0" xfId="0" applyFont="1" applyAlignment="1">
      <alignment horizontal="left"/>
    </xf>
    <xf numFmtId="0" fontId="32" fillId="0" borderId="0" xfId="0" applyFont="1" applyAlignment="1">
      <alignment wrapText="1"/>
    </xf>
    <xf numFmtId="0" fontId="33" fillId="6" borderId="2" xfId="2" applyFont="1" applyFill="1" applyBorder="1" applyAlignment="1">
      <alignment vertical="top"/>
    </xf>
    <xf numFmtId="0" fontId="9" fillId="11" borderId="2" xfId="2" applyFont="1" applyFill="1" applyBorder="1" applyAlignment="1">
      <alignment vertical="top"/>
    </xf>
    <xf numFmtId="0" fontId="10" fillId="11" borderId="2" xfId="2" applyFont="1" applyFill="1" applyBorder="1" applyAlignment="1">
      <alignment vertical="top"/>
    </xf>
    <xf numFmtId="0" fontId="11" fillId="0" borderId="2" xfId="0" applyFont="1" applyBorder="1" applyAlignment="1">
      <alignment vertical="center"/>
    </xf>
    <xf numFmtId="0" fontId="11" fillId="0" borderId="2" xfId="0" quotePrefix="1" applyFont="1" applyBorder="1" applyAlignment="1">
      <alignment vertical="center" wrapText="1"/>
    </xf>
    <xf numFmtId="0" fontId="12" fillId="6" borderId="2" xfId="0" applyFont="1" applyFill="1" applyBorder="1" applyAlignment="1">
      <alignment horizontal="center" vertical="center"/>
    </xf>
    <xf numFmtId="0" fontId="6" fillId="6" borderId="2" xfId="0" applyFont="1" applyFill="1" applyBorder="1" applyAlignment="1">
      <alignment horizontal="center" vertical="center"/>
    </xf>
    <xf numFmtId="0" fontId="12" fillId="6" borderId="2" xfId="0" applyFont="1" applyFill="1" applyBorder="1" applyAlignment="1">
      <alignment vertical="center" wrapText="1"/>
    </xf>
    <xf numFmtId="0" fontId="12" fillId="6" borderId="2" xfId="0" applyFont="1" applyFill="1" applyBorder="1" applyAlignment="1">
      <alignment horizontal="left" vertical="center"/>
    </xf>
    <xf numFmtId="0" fontId="12" fillId="6" borderId="2" xfId="0" applyFont="1" applyFill="1" applyBorder="1" applyAlignment="1">
      <alignment vertical="center"/>
    </xf>
    <xf numFmtId="0" fontId="11" fillId="6" borderId="2" xfId="0" quotePrefix="1" applyFont="1" applyFill="1" applyBorder="1" applyAlignment="1">
      <alignment vertical="center" wrapText="1"/>
    </xf>
    <xf numFmtId="164" fontId="23" fillId="6" borderId="0" xfId="3" applyNumberFormat="1" applyFont="1" applyFill="1" applyAlignment="1">
      <alignment vertical="top"/>
    </xf>
    <xf numFmtId="0" fontId="6" fillId="0" borderId="0" xfId="2" applyFont="1"/>
    <xf numFmtId="165" fontId="0" fillId="0" borderId="0" xfId="4" applyNumberFormat="1" applyFont="1"/>
    <xf numFmtId="9" fontId="0" fillId="0" borderId="0" xfId="3" applyFont="1"/>
    <xf numFmtId="0" fontId="0" fillId="6" borderId="0" xfId="0" applyFill="1"/>
    <xf numFmtId="0" fontId="0" fillId="8" borderId="0" xfId="0" applyFill="1"/>
    <xf numFmtId="0" fontId="35" fillId="0" borderId="0" xfId="0" applyFont="1" applyAlignment="1">
      <alignment vertical="center"/>
    </xf>
    <xf numFmtId="0" fontId="36" fillId="0" borderId="0" xfId="0" applyFont="1" applyAlignment="1">
      <alignment vertical="center"/>
    </xf>
    <xf numFmtId="0" fontId="0" fillId="9" borderId="0" xfId="0" applyFill="1"/>
    <xf numFmtId="0" fontId="0" fillId="12" borderId="0" xfId="0" applyFill="1"/>
    <xf numFmtId="0" fontId="5" fillId="6" borderId="0" xfId="0" applyFont="1" applyFill="1" applyAlignment="1">
      <alignment horizontal="center"/>
    </xf>
    <xf numFmtId="0" fontId="0" fillId="0" borderId="6" xfId="0" applyBorder="1"/>
    <xf numFmtId="9" fontId="0" fillId="0" borderId="6" xfId="0" applyNumberFormat="1" applyBorder="1"/>
    <xf numFmtId="0" fontId="34" fillId="2" borderId="0" xfId="0" applyFont="1" applyFill="1"/>
    <xf numFmtId="0" fontId="15" fillId="6" borderId="0" xfId="0" applyFont="1" applyFill="1"/>
    <xf numFmtId="0" fontId="15" fillId="0" borderId="0" xfId="0" applyFont="1"/>
    <xf numFmtId="9" fontId="15" fillId="0" borderId="6" xfId="3" applyFont="1" applyBorder="1"/>
    <xf numFmtId="0" fontId="15" fillId="0" borderId="0" xfId="0" applyFont="1" applyAlignment="1">
      <alignment horizontal="center"/>
    </xf>
    <xf numFmtId="9" fontId="23" fillId="6" borderId="6" xfId="3" applyFont="1" applyFill="1" applyBorder="1"/>
    <xf numFmtId="9" fontId="5" fillId="0" borderId="6" xfId="0" applyNumberFormat="1" applyFont="1" applyBorder="1"/>
    <xf numFmtId="9" fontId="0" fillId="9" borderId="0" xfId="0" applyNumberFormat="1" applyFill="1"/>
    <xf numFmtId="0" fontId="15" fillId="9" borderId="0" xfId="0" applyFont="1" applyFill="1"/>
    <xf numFmtId="9" fontId="37" fillId="9" borderId="0" xfId="0" applyNumberFormat="1" applyFont="1" applyFill="1"/>
    <xf numFmtId="165" fontId="13" fillId="6" borderId="0" xfId="4" applyNumberFormat="1" applyFont="1" applyFill="1"/>
    <xf numFmtId="165" fontId="0" fillId="0" borderId="0" xfId="0" applyNumberFormat="1"/>
    <xf numFmtId="37" fontId="34" fillId="12" borderId="0" xfId="0" applyNumberFormat="1" applyFont="1" applyFill="1"/>
    <xf numFmtId="37" fontId="0" fillId="0" borderId="0" xfId="0" applyNumberFormat="1"/>
    <xf numFmtId="0" fontId="23" fillId="0" borderId="0" xfId="0" applyFont="1"/>
    <xf numFmtId="165" fontId="0" fillId="0" borderId="6" xfId="4" applyNumberFormat="1" applyFont="1" applyBorder="1"/>
    <xf numFmtId="0" fontId="0" fillId="13" borderId="0" xfId="0" applyFill="1"/>
    <xf numFmtId="165" fontId="0" fillId="13" borderId="6" xfId="4" applyNumberFormat="1" applyFont="1" applyFill="1" applyBorder="1"/>
    <xf numFmtId="165" fontId="23" fillId="7" borderId="6" xfId="4" applyNumberFormat="1" applyFont="1" applyFill="1" applyBorder="1"/>
    <xf numFmtId="9" fontId="0" fillId="13" borderId="6" xfId="0" applyNumberFormat="1" applyFill="1" applyBorder="1"/>
    <xf numFmtId="165" fontId="0" fillId="14" borderId="6" xfId="4" applyNumberFormat="1" applyFont="1" applyFill="1" applyBorder="1"/>
    <xf numFmtId="0" fontId="0" fillId="0" borderId="5" xfId="0" applyBorder="1"/>
    <xf numFmtId="49" fontId="2" fillId="15" borderId="7" xfId="0" applyNumberFormat="1" applyFont="1" applyFill="1" applyBorder="1" applyAlignment="1">
      <alignment horizontal="center" vertical="center" wrapText="1"/>
    </xf>
    <xf numFmtId="49" fontId="6" fillId="16" borderId="0" xfId="0" applyNumberFormat="1" applyFont="1" applyFill="1" applyAlignment="1">
      <alignment horizontal="center" vertical="center" wrapText="1"/>
    </xf>
    <xf numFmtId="49" fontId="2" fillId="15" borderId="0" xfId="0" applyNumberFormat="1" applyFont="1" applyFill="1" applyAlignment="1">
      <alignment horizontal="center" vertical="center" wrapText="1"/>
    </xf>
    <xf numFmtId="49" fontId="1" fillId="0" borderId="8" xfId="0" applyNumberFormat="1" applyFont="1" applyBorder="1"/>
    <xf numFmtId="0" fontId="1" fillId="0" borderId="9" xfId="0" applyFont="1" applyBorder="1"/>
    <xf numFmtId="166" fontId="1" fillId="0" borderId="10" xfId="3" applyNumberFormat="1" applyFont="1" applyFill="1" applyBorder="1"/>
    <xf numFmtId="165" fontId="5" fillId="0" borderId="0" xfId="4" applyNumberFormat="1" applyFont="1"/>
    <xf numFmtId="165" fontId="0" fillId="14" borderId="0" xfId="4" applyNumberFormat="1" applyFont="1" applyFill="1"/>
    <xf numFmtId="9" fontId="0" fillId="14" borderId="0" xfId="3" applyFont="1" applyFill="1"/>
    <xf numFmtId="165" fontId="0" fillId="14" borderId="0" xfId="0" applyNumberFormat="1" applyFill="1"/>
    <xf numFmtId="10" fontId="0" fillId="0" borderId="0" xfId="3" applyNumberFormat="1" applyFont="1"/>
    <xf numFmtId="165" fontId="5" fillId="7" borderId="0" xfId="4" applyNumberFormat="1" applyFont="1" applyFill="1"/>
    <xf numFmtId="164" fontId="0" fillId="0" borderId="0" xfId="3" applyNumberFormat="1" applyFont="1"/>
    <xf numFmtId="164" fontId="38" fillId="0" borderId="0" xfId="3" applyNumberFormat="1" applyFont="1"/>
    <xf numFmtId="166" fontId="1" fillId="0" borderId="10" xfId="3" applyNumberFormat="1" applyFont="1" applyBorder="1"/>
    <xf numFmtId="164" fontId="5" fillId="7" borderId="0" xfId="3" applyNumberFormat="1" applyFont="1" applyFill="1"/>
    <xf numFmtId="164" fontId="5" fillId="0" borderId="0" xfId="3" applyNumberFormat="1" applyFont="1"/>
    <xf numFmtId="0" fontId="1" fillId="0" borderId="11" xfId="0" applyFont="1" applyBorder="1"/>
    <xf numFmtId="166" fontId="1" fillId="0" borderId="12" xfId="3" applyNumberFormat="1" applyFont="1" applyBorder="1"/>
    <xf numFmtId="165" fontId="37" fillId="0" borderId="0" xfId="0" applyNumberFormat="1" applyFont="1"/>
    <xf numFmtId="10" fontId="37" fillId="0" borderId="0" xfId="3" applyNumberFormat="1" applyFont="1"/>
    <xf numFmtId="0" fontId="23" fillId="0" borderId="0" xfId="0" applyFont="1" applyAlignment="1">
      <alignment wrapText="1"/>
    </xf>
    <xf numFmtId="166" fontId="1" fillId="0" borderId="0" xfId="0" applyNumberFormat="1" applyFont="1"/>
    <xf numFmtId="165" fontId="1" fillId="0" borderId="0" xfId="4" applyNumberFormat="1" applyFont="1" applyFill="1"/>
    <xf numFmtId="165" fontId="1" fillId="6" borderId="0" xfId="4" applyNumberFormat="1" applyFont="1" applyFill="1"/>
    <xf numFmtId="9" fontId="0" fillId="6" borderId="0" xfId="3" applyFont="1" applyFill="1"/>
    <xf numFmtId="165" fontId="15" fillId="0" borderId="6" xfId="4" applyNumberFormat="1" applyFont="1" applyBorder="1"/>
    <xf numFmtId="165" fontId="5" fillId="17" borderId="0" xfId="4" applyNumberFormat="1" applyFont="1" applyFill="1"/>
    <xf numFmtId="165" fontId="0" fillId="7" borderId="0" xfId="0" applyNumberFormat="1" applyFill="1"/>
    <xf numFmtId="37" fontId="23" fillId="6" borderId="0" xfId="0" applyNumberFormat="1" applyFont="1" applyFill="1"/>
    <xf numFmtId="1" fontId="0" fillId="0" borderId="0" xfId="0" applyNumberFormat="1"/>
    <xf numFmtId="165" fontId="15" fillId="0" borderId="0" xfId="4" applyNumberFormat="1" applyFont="1" applyBorder="1"/>
    <xf numFmtId="0" fontId="15" fillId="0" borderId="0" xfId="0" applyFont="1" applyAlignment="1">
      <alignment wrapText="1"/>
    </xf>
    <xf numFmtId="0" fontId="23" fillId="0" borderId="0" xfId="0" applyFont="1" applyAlignment="1">
      <alignment horizontal="center"/>
    </xf>
    <xf numFmtId="165" fontId="23" fillId="0" borderId="0" xfId="4" applyNumberFormat="1" applyFont="1" applyBorder="1"/>
    <xf numFmtId="37" fontId="15" fillId="6" borderId="0" xfId="0" applyNumberFormat="1" applyFont="1" applyFill="1"/>
    <xf numFmtId="165" fontId="23" fillId="0" borderId="6" xfId="4" applyNumberFormat="1" applyFont="1" applyBorder="1"/>
    <xf numFmtId="9" fontId="0" fillId="0" borderId="6" xfId="3" applyFont="1" applyBorder="1"/>
    <xf numFmtId="0" fontId="5" fillId="6" borderId="0" xfId="0" applyFont="1" applyFill="1"/>
    <xf numFmtId="0" fontId="5" fillId="0" borderId="6" xfId="0" applyFont="1" applyBorder="1"/>
    <xf numFmtId="0" fontId="5" fillId="0" borderId="0" xfId="0" applyFont="1"/>
    <xf numFmtId="165" fontId="5" fillId="6" borderId="0" xfId="4" applyNumberFormat="1" applyFont="1" applyFill="1"/>
    <xf numFmtId="165" fontId="5" fillId="0" borderId="0" xfId="0" applyNumberFormat="1" applyFont="1"/>
    <xf numFmtId="1" fontId="0" fillId="6" borderId="0" xfId="0" applyNumberFormat="1" applyFill="1"/>
    <xf numFmtId="164" fontId="23" fillId="6" borderId="0" xfId="3" applyNumberFormat="1" applyFont="1" applyFill="1"/>
    <xf numFmtId="10" fontId="5" fillId="0" borderId="0" xfId="3" applyNumberFormat="1" applyFont="1"/>
    <xf numFmtId="9" fontId="15" fillId="6" borderId="0" xfId="3" applyFont="1" applyFill="1"/>
    <xf numFmtId="9" fontId="15" fillId="0" borderId="0" xfId="0" applyNumberFormat="1" applyFont="1"/>
    <xf numFmtId="0" fontId="15" fillId="6" borderId="0" xfId="0" applyFont="1" applyFill="1" applyAlignment="1">
      <alignment horizontal="right"/>
    </xf>
    <xf numFmtId="0" fontId="24" fillId="0" borderId="0" xfId="0" applyFont="1" applyAlignment="1">
      <alignment horizontal="center" wrapText="1"/>
    </xf>
    <xf numFmtId="0" fontId="24" fillId="0" borderId="0" xfId="0" applyFont="1"/>
    <xf numFmtId="0" fontId="24" fillId="0" borderId="0" xfId="0" applyFont="1" applyAlignment="1">
      <alignment horizontal="center"/>
    </xf>
    <xf numFmtId="37" fontId="24" fillId="6" borderId="0" xfId="0" applyNumberFormat="1" applyFont="1" applyFill="1"/>
    <xf numFmtId="165" fontId="24" fillId="0" borderId="0" xfId="4" applyNumberFormat="1" applyFont="1" applyBorder="1"/>
    <xf numFmtId="165" fontId="23" fillId="0" borderId="0" xfId="4" applyNumberFormat="1" applyFont="1"/>
    <xf numFmtId="165" fontId="15" fillId="0" borderId="0" xfId="0" applyNumberFormat="1" applyFont="1"/>
    <xf numFmtId="0" fontId="5" fillId="6" borderId="0" xfId="0" applyFont="1" applyFill="1" applyAlignment="1">
      <alignment horizontal="right" vertical="center"/>
    </xf>
    <xf numFmtId="165" fontId="30" fillId="0" borderId="0" xfId="4" applyNumberFormat="1" applyFont="1"/>
    <xf numFmtId="165" fontId="13" fillId="0" borderId="0" xfId="4" applyNumberFormat="1" applyFont="1"/>
    <xf numFmtId="165" fontId="1" fillId="0" borderId="0" xfId="4" applyNumberFormat="1" applyFont="1"/>
    <xf numFmtId="165" fontId="0" fillId="0" borderId="0" xfId="0" applyNumberFormat="1" applyAlignment="1">
      <alignment horizontal="center" vertical="center"/>
    </xf>
    <xf numFmtId="164" fontId="0" fillId="0" borderId="0" xfId="3" applyNumberFormat="1" applyFont="1" applyAlignment="1">
      <alignment horizontal="center" vertical="center"/>
    </xf>
    <xf numFmtId="0" fontId="1" fillId="0" borderId="0" xfId="0" applyFont="1" applyAlignment="1">
      <alignment horizontal="center" vertical="center"/>
    </xf>
    <xf numFmtId="9" fontId="23" fillId="17" borderId="0" xfId="0" applyNumberFormat="1" applyFont="1" applyFill="1"/>
    <xf numFmtId="165" fontId="23" fillId="0" borderId="0" xfId="0" applyNumberFormat="1" applyFont="1"/>
    <xf numFmtId="0" fontId="1" fillId="17" borderId="0" xfId="0" applyFont="1" applyFill="1" applyAlignment="1">
      <alignment horizontal="center" vertical="center"/>
    </xf>
    <xf numFmtId="0" fontId="23" fillId="0" borderId="0" xfId="0" applyFont="1" applyAlignment="1">
      <alignment horizontal="center" vertical="center"/>
    </xf>
    <xf numFmtId="9" fontId="15" fillId="0" borderId="0" xfId="3" applyFont="1" applyBorder="1"/>
    <xf numFmtId="9" fontId="23" fillId="0" borderId="0" xfId="3" applyFont="1" applyBorder="1"/>
    <xf numFmtId="0" fontId="5" fillId="6" borderId="0" xfId="0" applyFont="1" applyFill="1" applyAlignment="1">
      <alignment vertical="center"/>
    </xf>
    <xf numFmtId="0" fontId="39" fillId="0" borderId="0" xfId="0" applyFont="1" applyAlignment="1">
      <alignment vertical="center"/>
    </xf>
    <xf numFmtId="0" fontId="42" fillId="0" borderId="16" xfId="0" applyFont="1" applyBorder="1" applyAlignment="1">
      <alignment vertical="center"/>
    </xf>
    <xf numFmtId="0" fontId="42" fillId="0" borderId="17" xfId="0" applyFont="1" applyBorder="1" applyAlignment="1">
      <alignment horizontal="right" vertical="center"/>
    </xf>
    <xf numFmtId="165" fontId="39" fillId="0" borderId="0" xfId="4" applyNumberFormat="1" applyFont="1" applyAlignment="1">
      <alignment vertical="center"/>
    </xf>
    <xf numFmtId="0" fontId="43" fillId="5" borderId="7" xfId="5" applyFont="1" applyFill="1" applyBorder="1" applyAlignment="1">
      <alignment horizontal="center" vertical="center" wrapText="1"/>
    </xf>
    <xf numFmtId="0" fontId="43" fillId="18" borderId="25" xfId="5" applyFont="1" applyFill="1" applyBorder="1" applyAlignment="1">
      <alignment horizontal="center" vertical="center" wrapText="1"/>
    </xf>
    <xf numFmtId="0" fontId="43" fillId="18" borderId="5" xfId="5" applyFont="1" applyFill="1" applyBorder="1" applyAlignment="1">
      <alignment horizontal="center" vertical="center" wrapText="1"/>
    </xf>
    <xf numFmtId="0" fontId="43" fillId="18" borderId="7" xfId="5" applyFont="1" applyFill="1" applyBorder="1" applyAlignment="1">
      <alignment horizontal="center" vertical="center" wrapText="1"/>
    </xf>
    <xf numFmtId="0" fontId="43" fillId="18" borderId="5" xfId="0" applyFont="1" applyFill="1" applyBorder="1" applyAlignment="1">
      <alignment horizontal="center" vertical="center" wrapText="1"/>
    </xf>
    <xf numFmtId="0" fontId="43" fillId="18" borderId="26" xfId="0" applyFont="1" applyFill="1" applyBorder="1" applyAlignment="1">
      <alignment horizontal="center" vertical="center" wrapText="1"/>
    </xf>
    <xf numFmtId="0" fontId="44" fillId="19" borderId="27" xfId="5" applyFont="1" applyFill="1" applyBorder="1" applyAlignment="1">
      <alignment horizontal="left" vertical="center" wrapText="1"/>
    </xf>
    <xf numFmtId="0" fontId="44" fillId="19" borderId="1" xfId="5" applyFont="1" applyFill="1" applyBorder="1" applyAlignment="1">
      <alignment horizontal="left" vertical="center" wrapText="1"/>
    </xf>
    <xf numFmtId="165" fontId="44" fillId="19" borderId="1" xfId="4" applyNumberFormat="1" applyFont="1" applyFill="1" applyBorder="1" applyAlignment="1">
      <alignment horizontal="left" vertical="center" wrapText="1"/>
    </xf>
    <xf numFmtId="9" fontId="44" fillId="19" borderId="1" xfId="5" applyNumberFormat="1" applyFont="1" applyFill="1" applyBorder="1" applyAlignment="1">
      <alignment horizontal="center" vertical="center" wrapText="1"/>
    </xf>
    <xf numFmtId="165" fontId="44" fillId="19" borderId="1" xfId="4" applyNumberFormat="1" applyFont="1" applyFill="1" applyBorder="1" applyAlignment="1">
      <alignment horizontal="center" vertical="center" wrapText="1"/>
    </xf>
    <xf numFmtId="165" fontId="45" fillId="19" borderId="1" xfId="4" quotePrefix="1" applyNumberFormat="1" applyFont="1" applyFill="1" applyBorder="1" applyAlignment="1">
      <alignment horizontal="center" vertical="center" wrapText="1"/>
    </xf>
    <xf numFmtId="165" fontId="45" fillId="19" borderId="28" xfId="4" quotePrefix="1" applyNumberFormat="1" applyFont="1" applyFill="1" applyBorder="1" applyAlignment="1">
      <alignment horizontal="center" vertical="center" wrapText="1"/>
    </xf>
    <xf numFmtId="165" fontId="39" fillId="0" borderId="0" xfId="0" applyNumberFormat="1" applyFont="1" applyAlignment="1">
      <alignment vertical="center"/>
    </xf>
    <xf numFmtId="0" fontId="44" fillId="19" borderId="29" xfId="5" applyFont="1" applyFill="1" applyBorder="1" applyAlignment="1">
      <alignment horizontal="left" vertical="center" wrapText="1"/>
    </xf>
    <xf numFmtId="0" fontId="44" fillId="19" borderId="2" xfId="5" applyFont="1" applyFill="1" applyBorder="1" applyAlignment="1">
      <alignment horizontal="left" vertical="center" wrapText="1"/>
    </xf>
    <xf numFmtId="165" fontId="44" fillId="19" borderId="2" xfId="4" applyNumberFormat="1" applyFont="1" applyFill="1" applyBorder="1" applyAlignment="1">
      <alignment horizontal="center" vertical="center" wrapText="1"/>
    </xf>
    <xf numFmtId="165" fontId="44" fillId="19" borderId="2" xfId="4" applyNumberFormat="1" applyFont="1" applyFill="1" applyBorder="1" applyAlignment="1">
      <alignment horizontal="left" vertical="center" wrapText="1"/>
    </xf>
    <xf numFmtId="165" fontId="45" fillId="19" borderId="2" xfId="4" quotePrefix="1" applyNumberFormat="1" applyFont="1" applyFill="1" applyBorder="1" applyAlignment="1">
      <alignment horizontal="center" vertical="center" wrapText="1"/>
    </xf>
    <xf numFmtId="165" fontId="45" fillId="19" borderId="30" xfId="4" quotePrefix="1" applyNumberFormat="1" applyFont="1" applyFill="1" applyBorder="1" applyAlignment="1">
      <alignment horizontal="center" vertical="center" wrapText="1"/>
    </xf>
    <xf numFmtId="0" fontId="44" fillId="19" borderId="31" xfId="5" applyFont="1" applyFill="1" applyBorder="1" applyAlignment="1">
      <alignment horizontal="left" vertical="center" wrapText="1"/>
    </xf>
    <xf numFmtId="0" fontId="44" fillId="19" borderId="3" xfId="5" applyFont="1" applyFill="1" applyBorder="1" applyAlignment="1">
      <alignment horizontal="left" vertical="center" wrapText="1"/>
    </xf>
    <xf numFmtId="165" fontId="44" fillId="19" borderId="3" xfId="4" applyNumberFormat="1" applyFont="1" applyFill="1" applyBorder="1" applyAlignment="1">
      <alignment horizontal="center" vertical="center" wrapText="1"/>
    </xf>
    <xf numFmtId="165" fontId="44" fillId="19" borderId="3" xfId="4" applyNumberFormat="1" applyFont="1" applyFill="1" applyBorder="1" applyAlignment="1">
      <alignment horizontal="left" vertical="center" wrapText="1"/>
    </xf>
    <xf numFmtId="165" fontId="45" fillId="19" borderId="3" xfId="4" quotePrefix="1" applyNumberFormat="1" applyFont="1" applyFill="1" applyBorder="1" applyAlignment="1">
      <alignment horizontal="center" vertical="center" wrapText="1"/>
    </xf>
    <xf numFmtId="165" fontId="45" fillId="19" borderId="32" xfId="4" quotePrefix="1" applyNumberFormat="1" applyFont="1" applyFill="1" applyBorder="1" applyAlignment="1">
      <alignment horizontal="center" vertical="center" wrapText="1"/>
    </xf>
    <xf numFmtId="0" fontId="44" fillId="19" borderId="33" xfId="5" applyFont="1" applyFill="1" applyBorder="1" applyAlignment="1">
      <alignment horizontal="left" vertical="center" wrapText="1"/>
    </xf>
    <xf numFmtId="0" fontId="44" fillId="19" borderId="34" xfId="5" applyFont="1" applyFill="1" applyBorder="1" applyAlignment="1">
      <alignment horizontal="left" vertical="center" wrapText="1"/>
    </xf>
    <xf numFmtId="165" fontId="44" fillId="19" borderId="34" xfId="4" applyNumberFormat="1" applyFont="1" applyFill="1" applyBorder="1" applyAlignment="1">
      <alignment horizontal="left" vertical="center" wrapText="1"/>
    </xf>
    <xf numFmtId="9" fontId="44" fillId="19" borderId="34" xfId="5" applyNumberFormat="1" applyFont="1" applyFill="1" applyBorder="1" applyAlignment="1">
      <alignment horizontal="center" vertical="center" wrapText="1"/>
    </xf>
    <xf numFmtId="165" fontId="44" fillId="19" borderId="34" xfId="4" applyNumberFormat="1" applyFont="1" applyFill="1" applyBorder="1" applyAlignment="1">
      <alignment horizontal="center" vertical="center" wrapText="1"/>
    </xf>
    <xf numFmtId="165" fontId="45" fillId="19" borderId="34" xfId="4" quotePrefix="1" applyNumberFormat="1" applyFont="1" applyFill="1" applyBorder="1" applyAlignment="1">
      <alignment horizontal="center" vertical="center" wrapText="1"/>
    </xf>
    <xf numFmtId="165" fontId="45" fillId="19" borderId="35" xfId="4" quotePrefix="1" applyNumberFormat="1" applyFont="1" applyFill="1" applyBorder="1" applyAlignment="1">
      <alignment horizontal="center" vertical="center" wrapText="1"/>
    </xf>
    <xf numFmtId="0" fontId="46" fillId="5" borderId="6" xfId="0" applyFont="1" applyFill="1" applyBorder="1" applyAlignment="1">
      <alignment horizontal="center" vertical="center"/>
    </xf>
    <xf numFmtId="0" fontId="46" fillId="5" borderId="6" xfId="0" applyFont="1" applyFill="1" applyBorder="1" applyAlignment="1">
      <alignment vertical="center"/>
    </xf>
    <xf numFmtId="0" fontId="47" fillId="19" borderId="6" xfId="5" applyFont="1" applyFill="1" applyBorder="1" applyAlignment="1">
      <alignment horizontal="center" vertical="center" wrapText="1"/>
    </xf>
    <xf numFmtId="0" fontId="47" fillId="19" borderId="6" xfId="5" applyFont="1" applyFill="1" applyBorder="1" applyAlignment="1">
      <alignment horizontal="left" vertical="center" wrapText="1"/>
    </xf>
    <xf numFmtId="165" fontId="47" fillId="19" borderId="6" xfId="4" quotePrefix="1" applyNumberFormat="1" applyFont="1" applyFill="1" applyBorder="1" applyAlignment="1">
      <alignment horizontal="right" vertical="center" wrapText="1"/>
    </xf>
    <xf numFmtId="165" fontId="47" fillId="6" borderId="6" xfId="4" quotePrefix="1" applyNumberFormat="1" applyFont="1" applyFill="1" applyBorder="1" applyAlignment="1">
      <alignment horizontal="right" vertical="center" wrapText="1"/>
    </xf>
    <xf numFmtId="0" fontId="42" fillId="0" borderId="0" xfId="0" applyFont="1" applyAlignment="1">
      <alignment vertical="center"/>
    </xf>
    <xf numFmtId="0" fontId="47" fillId="19" borderId="6" xfId="0" applyFont="1" applyFill="1" applyBorder="1" applyAlignment="1">
      <alignment horizontal="center" vertical="center" wrapText="1"/>
    </xf>
    <xf numFmtId="0" fontId="47" fillId="19" borderId="6" xfId="0" applyFont="1" applyFill="1" applyBorder="1" applyAlignment="1">
      <alignment horizontal="left" vertical="center" wrapText="1" indent="1"/>
    </xf>
    <xf numFmtId="165" fontId="47" fillId="19" borderId="6" xfId="0" applyNumberFormat="1" applyFont="1" applyFill="1" applyBorder="1" applyAlignment="1">
      <alignment horizontal="right" vertical="center"/>
    </xf>
    <xf numFmtId="0" fontId="1" fillId="17" borderId="0" xfId="0" applyFont="1" applyFill="1" applyAlignment="1">
      <alignment horizontal="center" vertical="center" wrapText="1"/>
    </xf>
    <xf numFmtId="9" fontId="23" fillId="20" borderId="0" xfId="0" applyNumberFormat="1" applyFont="1" applyFill="1"/>
    <xf numFmtId="0" fontId="24" fillId="20" borderId="0" xfId="0" applyFont="1" applyFill="1" applyAlignment="1">
      <alignment horizontal="center" wrapText="1"/>
    </xf>
    <xf numFmtId="0" fontId="24" fillId="17" borderId="0" xfId="0" applyFont="1" applyFill="1" applyAlignment="1">
      <alignment horizontal="center" wrapText="1"/>
    </xf>
    <xf numFmtId="9" fontId="0" fillId="7" borderId="6" xfId="0" applyNumberFormat="1" applyFill="1" applyBorder="1"/>
    <xf numFmtId="165" fontId="0" fillId="7" borderId="6" xfId="0" applyNumberFormat="1" applyFill="1" applyBorder="1"/>
    <xf numFmtId="165" fontId="0" fillId="7" borderId="6" xfId="4" applyNumberFormat="1" applyFont="1" applyFill="1" applyBorder="1"/>
    <xf numFmtId="0" fontId="42" fillId="6" borderId="36" xfId="0" applyFont="1" applyFill="1" applyBorder="1" applyAlignment="1">
      <alignment horizontal="center" vertical="center"/>
    </xf>
    <xf numFmtId="0" fontId="40" fillId="0" borderId="13" xfId="0" applyFont="1" applyBorder="1" applyAlignment="1">
      <alignment horizontal="center" vertical="center"/>
    </xf>
    <xf numFmtId="0" fontId="40" fillId="0" borderId="14" xfId="0" applyFont="1" applyBorder="1" applyAlignment="1">
      <alignment horizontal="center" vertical="center"/>
    </xf>
    <xf numFmtId="0" fontId="40" fillId="0" borderId="15" xfId="0" applyFont="1" applyBorder="1" applyAlignment="1">
      <alignment horizontal="center" vertical="center"/>
    </xf>
    <xf numFmtId="0" fontId="41" fillId="0" borderId="16" xfId="0" applyFont="1" applyBorder="1" applyAlignment="1">
      <alignment horizontal="center" vertical="center"/>
    </xf>
    <xf numFmtId="0" fontId="41" fillId="0" borderId="0" xfId="0" applyFont="1" applyAlignment="1">
      <alignment horizontal="center" vertical="center"/>
    </xf>
    <xf numFmtId="0" fontId="41" fillId="0" borderId="17" xfId="0" applyFont="1" applyBorder="1" applyAlignment="1">
      <alignment horizontal="center" vertical="center"/>
    </xf>
    <xf numFmtId="0" fontId="43" fillId="5" borderId="18" xfId="5" applyFont="1" applyFill="1" applyBorder="1" applyAlignment="1">
      <alignment horizontal="center" vertical="center" wrapText="1"/>
    </xf>
    <xf numFmtId="0" fontId="43" fillId="5" borderId="22" xfId="5" applyFont="1" applyFill="1" applyBorder="1" applyAlignment="1">
      <alignment horizontal="center" vertical="center" wrapText="1"/>
    </xf>
    <xf numFmtId="0" fontId="43" fillId="5" borderId="7" xfId="5" applyFont="1" applyFill="1" applyBorder="1" applyAlignment="1">
      <alignment horizontal="center" vertical="center" wrapText="1"/>
    </xf>
    <xf numFmtId="0" fontId="43" fillId="5" borderId="23" xfId="5" applyFont="1" applyFill="1" applyBorder="1" applyAlignment="1">
      <alignment horizontal="center" vertical="center" wrapText="1"/>
    </xf>
    <xf numFmtId="0" fontId="43" fillId="5" borderId="19" xfId="5" applyFont="1" applyFill="1" applyBorder="1" applyAlignment="1">
      <alignment horizontal="center" vertical="center" wrapText="1"/>
    </xf>
    <xf numFmtId="0" fontId="43" fillId="5" borderId="20" xfId="5" applyFont="1" applyFill="1" applyBorder="1" applyAlignment="1">
      <alignment horizontal="center" vertical="center" wrapText="1"/>
    </xf>
    <xf numFmtId="0" fontId="43" fillId="5" borderId="7" xfId="0" applyFont="1" applyFill="1" applyBorder="1" applyAlignment="1">
      <alignment horizontal="center" vertical="center" wrapText="1"/>
    </xf>
    <xf numFmtId="0" fontId="43" fillId="5" borderId="23" xfId="0" applyFont="1" applyFill="1" applyBorder="1" applyAlignment="1">
      <alignment horizontal="center" vertical="center" wrapText="1"/>
    </xf>
    <xf numFmtId="0" fontId="43" fillId="5" borderId="21" xfId="0" applyFont="1" applyFill="1" applyBorder="1" applyAlignment="1">
      <alignment horizontal="center" vertical="center" wrapText="1"/>
    </xf>
    <xf numFmtId="0" fontId="43" fillId="5" borderId="24" xfId="0" applyFont="1" applyFill="1" applyBorder="1" applyAlignment="1">
      <alignment horizontal="center" vertical="center" wrapText="1"/>
    </xf>
    <xf numFmtId="49" fontId="2" fillId="15" borderId="0" xfId="0" applyNumberFormat="1" applyFont="1" applyFill="1" applyAlignment="1">
      <alignment horizontal="center" vertical="center" wrapText="1"/>
    </xf>
    <xf numFmtId="0" fontId="23" fillId="0" borderId="0" xfId="0" applyFont="1" applyAlignment="1">
      <alignment horizontal="center" wrapText="1"/>
    </xf>
    <xf numFmtId="0" fontId="1" fillId="6" borderId="0" xfId="0" applyFont="1" applyFill="1" applyAlignment="1">
      <alignment horizontal="center"/>
    </xf>
    <xf numFmtId="0" fontId="0" fillId="0" borderId="0" xfId="0" applyAlignment="1">
      <alignment horizontal="center"/>
    </xf>
    <xf numFmtId="164" fontId="23" fillId="6" borderId="0" xfId="0" applyNumberFormat="1" applyFont="1" applyFill="1" applyAlignment="1">
      <alignment horizontal="center" vertical="top"/>
    </xf>
  </cellXfs>
  <cellStyles count="6">
    <cellStyle name="Comma" xfId="4" builtinId="3"/>
    <cellStyle name="Hyperlink" xfId="1" builtinId="8"/>
    <cellStyle name="Normal" xfId="0" builtinId="0"/>
    <cellStyle name="Normal 2" xfId="2" xr:uid="{33046587-3366-44BD-9479-DA24C6F595B3}"/>
    <cellStyle name="Normal 3" xfId="5" xr:uid="{2A200B21-7B4F-45C8-93CF-C34EE8E6499F}"/>
    <cellStyle name="Percent" xfId="3"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trlProps/ctrlProp1.xml><?xml version="1.0" encoding="utf-8"?>
<formControlPr xmlns="http://schemas.microsoft.com/office/spreadsheetml/2009/9/main" objectType="Spin" dx="26" fmlaLink="$A$3" max="12" min="1" page="10" val="2"/>
</file>

<file path=xl/ctrlProps/ctrlProp2.xml><?xml version="1.0" encoding="utf-8"?>
<formControlPr xmlns="http://schemas.microsoft.com/office/spreadsheetml/2009/9/main" objectType="Spin" dx="26" fmlaLink="$A$3" max="12" min="1" page="10" val="2"/>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59764</xdr:rowOff>
    </xdr:from>
    <xdr:to>
      <xdr:col>2</xdr:col>
      <xdr:colOff>67235</xdr:colOff>
      <xdr:row>1</xdr:row>
      <xdr:rowOff>170837</xdr:rowOff>
    </xdr:to>
    <xdr:pic>
      <xdr:nvPicPr>
        <xdr:cNvPr id="2" name="Picture 1" descr="A green and grey recycle sign&#10;&#10;Description automatically generated">
          <a:extLst>
            <a:ext uri="{FF2B5EF4-FFF2-40B4-BE49-F238E27FC236}">
              <a16:creationId xmlns:a16="http://schemas.microsoft.com/office/drawing/2014/main" id="{6E4CF422-C708-4D9C-B9C5-2C2D4C7B8C26}"/>
            </a:ext>
          </a:extLst>
        </xdr:cNvPr>
        <xdr:cNvPicPr>
          <a:picLocks noChangeAspect="1"/>
        </xdr:cNvPicPr>
      </xdr:nvPicPr>
      <xdr:blipFill>
        <a:blip xmlns:r="http://schemas.openxmlformats.org/officeDocument/2006/relationships" r:embed="rId1"/>
        <a:stretch>
          <a:fillRect/>
        </a:stretch>
      </xdr:blipFill>
      <xdr:spPr>
        <a:xfrm>
          <a:off x="0" y="59764"/>
          <a:ext cx="1356285" cy="2952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9217" name="Spinner 1" hidden="1">
              <a:extLst>
                <a:ext uri="{63B3BB69-23CF-44E3-9099-C40C66FF867C}">
                  <a14:compatExt spid="_x0000_s9217"/>
                </a:ext>
                <a:ext uri="{FF2B5EF4-FFF2-40B4-BE49-F238E27FC236}">
                  <a16:creationId xmlns:a16="http://schemas.microsoft.com/office/drawing/2014/main" id="{00000000-0008-0000-0200-0000012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0</xdr:colOff>
          <xdr:row>2</xdr:row>
          <xdr:rowOff>0</xdr:rowOff>
        </xdr:from>
        <xdr:to>
          <xdr:col>2</xdr:col>
          <xdr:colOff>0</xdr:colOff>
          <xdr:row>4</xdr:row>
          <xdr:rowOff>0</xdr:rowOff>
        </xdr:to>
        <xdr:sp macro="" textlink="">
          <xdr:nvSpPr>
            <xdr:cNvPr id="21505" name="Spinner 1" hidden="1">
              <a:extLst>
                <a:ext uri="{63B3BB69-23CF-44E3-9099-C40C66FF867C}">
                  <a14:compatExt spid="_x0000_s21505"/>
                </a:ext>
                <a:ext uri="{FF2B5EF4-FFF2-40B4-BE49-F238E27FC236}">
                  <a16:creationId xmlns:a16="http://schemas.microsoft.com/office/drawing/2014/main" id="{00000000-0008-0000-0300-0000015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xdr:col>
      <xdr:colOff>170089</xdr:colOff>
      <xdr:row>47</xdr:row>
      <xdr:rowOff>131352</xdr:rowOff>
    </xdr:from>
    <xdr:to>
      <xdr:col>25</xdr:col>
      <xdr:colOff>613929</xdr:colOff>
      <xdr:row>78</xdr:row>
      <xdr:rowOff>91168</xdr:rowOff>
    </xdr:to>
    <xdr:pic>
      <xdr:nvPicPr>
        <xdr:cNvPr id="2" name="Picture 345">
          <a:extLst>
            <a:ext uri="{FF2B5EF4-FFF2-40B4-BE49-F238E27FC236}">
              <a16:creationId xmlns:a16="http://schemas.microsoft.com/office/drawing/2014/main" id="{95A3368E-4A42-4564-92F3-AD29D7E0CF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3732" y="8975995"/>
          <a:ext cx="15475197" cy="55841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132776</xdr:colOff>
      <xdr:row>2</xdr:row>
      <xdr:rowOff>217711</xdr:rowOff>
    </xdr:from>
    <xdr:to>
      <xdr:col>25</xdr:col>
      <xdr:colOff>86594</xdr:colOff>
      <xdr:row>40</xdr:row>
      <xdr:rowOff>132564</xdr:rowOff>
    </xdr:to>
    <xdr:grpSp>
      <xdr:nvGrpSpPr>
        <xdr:cNvPr id="499" name="Group 498">
          <a:extLst>
            <a:ext uri="{FF2B5EF4-FFF2-40B4-BE49-F238E27FC236}">
              <a16:creationId xmlns:a16="http://schemas.microsoft.com/office/drawing/2014/main" id="{CC68F57B-71D8-4999-91B5-766A14E4C7AB}"/>
            </a:ext>
          </a:extLst>
        </xdr:cNvPr>
        <xdr:cNvGrpSpPr/>
      </xdr:nvGrpSpPr>
      <xdr:grpSpPr>
        <a:xfrm>
          <a:off x="132776" y="616854"/>
          <a:ext cx="15828818" cy="7090353"/>
          <a:chOff x="301662" y="4281096"/>
          <a:chExt cx="16543020" cy="8351083"/>
        </a:xfrm>
      </xdr:grpSpPr>
      <xdr:sp macro="" textlink="">
        <xdr:nvSpPr>
          <xdr:cNvPr id="500" name="Rectangle: Rounded Corners 499">
            <a:extLst>
              <a:ext uri="{FF2B5EF4-FFF2-40B4-BE49-F238E27FC236}">
                <a16:creationId xmlns:a16="http://schemas.microsoft.com/office/drawing/2014/main" id="{60C08FFF-A8EC-FC83-8115-BD1FA9BFA14D}"/>
              </a:ext>
            </a:extLst>
          </xdr:cNvPr>
          <xdr:cNvSpPr/>
        </xdr:nvSpPr>
        <xdr:spPr>
          <a:xfrm>
            <a:off x="301662" y="4398799"/>
            <a:ext cx="829236" cy="366209"/>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B0</a:t>
            </a:r>
          </a:p>
        </xdr:txBody>
      </xdr:sp>
      <xdr:sp macro="" textlink="">
        <xdr:nvSpPr>
          <xdr:cNvPr id="501" name="Rectangle: Rounded Corners 500">
            <a:extLst>
              <a:ext uri="{FF2B5EF4-FFF2-40B4-BE49-F238E27FC236}">
                <a16:creationId xmlns:a16="http://schemas.microsoft.com/office/drawing/2014/main" id="{98B88903-62D0-D04A-1914-4DFFFE462D17}"/>
              </a:ext>
            </a:extLst>
          </xdr:cNvPr>
          <xdr:cNvSpPr/>
        </xdr:nvSpPr>
        <xdr:spPr>
          <a:xfrm>
            <a:off x="3173511" y="4325917"/>
            <a:ext cx="101166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B6.2</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2" name="Rectangle: Rounded Corners 501">
            <a:extLst>
              <a:ext uri="{FF2B5EF4-FFF2-40B4-BE49-F238E27FC236}">
                <a16:creationId xmlns:a16="http://schemas.microsoft.com/office/drawing/2014/main" id="{C2FD26DB-F36E-942E-2428-F93CF7C1679D}"/>
              </a:ext>
            </a:extLst>
          </xdr:cNvPr>
          <xdr:cNvSpPr/>
        </xdr:nvSpPr>
        <xdr:spPr>
          <a:xfrm>
            <a:off x="3173511" y="662239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Chai B1.1 </a:t>
            </a:r>
          </a:p>
          <a:p>
            <a:pPr algn="ctr"/>
            <a:r>
              <a:rPr lang="en-US" sz="1100">
                <a:solidFill>
                  <a:sysClr val="windowText" lastClr="000000"/>
                </a:solidFill>
              </a:rPr>
              <a:t>sau phân</a:t>
            </a:r>
            <a:r>
              <a:rPr lang="en-US" sz="1100" baseline="0">
                <a:solidFill>
                  <a:sysClr val="windowText" lastClr="000000"/>
                </a:solidFill>
              </a:rPr>
              <a:t> loại</a:t>
            </a:r>
            <a:endParaRPr lang="en-US" sz="1100">
              <a:solidFill>
                <a:sysClr val="windowText" lastClr="000000"/>
              </a:solidFill>
            </a:endParaRPr>
          </a:p>
        </xdr:txBody>
      </xdr:sp>
      <xdr:sp macro="" textlink="">
        <xdr:nvSpPr>
          <xdr:cNvPr id="503" name="Rectangle: Rounded Corners 502">
            <a:extLst>
              <a:ext uri="{FF2B5EF4-FFF2-40B4-BE49-F238E27FC236}">
                <a16:creationId xmlns:a16="http://schemas.microsoft.com/office/drawing/2014/main" id="{80AB1BAF-64B7-1322-C170-55C4CCE40A4C}"/>
              </a:ext>
            </a:extLst>
          </xdr:cNvPr>
          <xdr:cNvSpPr/>
        </xdr:nvSpPr>
        <xdr:spPr>
          <a:xfrm>
            <a:off x="1588098" y="4398798"/>
            <a:ext cx="835062"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Phân</a:t>
            </a:r>
            <a:r>
              <a:rPr lang="en-US" sz="1100" b="1" baseline="0">
                <a:solidFill>
                  <a:schemeClr val="bg1"/>
                </a:solidFill>
              </a:rPr>
              <a:t> loại</a:t>
            </a:r>
            <a:endParaRPr lang="en-US" sz="1100" b="1">
              <a:solidFill>
                <a:schemeClr val="bg1"/>
              </a:solidFill>
            </a:endParaRPr>
          </a:p>
        </xdr:txBody>
      </xdr:sp>
      <xdr:sp macro="" textlink="">
        <xdr:nvSpPr>
          <xdr:cNvPr id="504" name="Rectangle: Rounded Corners 503">
            <a:extLst>
              <a:ext uri="{FF2B5EF4-FFF2-40B4-BE49-F238E27FC236}">
                <a16:creationId xmlns:a16="http://schemas.microsoft.com/office/drawing/2014/main" id="{B2B629A7-0210-77C3-DC22-C42216E22B38}"/>
              </a:ext>
            </a:extLst>
          </xdr:cNvPr>
          <xdr:cNvSpPr/>
        </xdr:nvSpPr>
        <xdr:spPr>
          <a:xfrm>
            <a:off x="3173511" y="7446632"/>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Phó</a:t>
            </a:r>
            <a:r>
              <a:rPr lang="en-US" sz="1100" baseline="0">
                <a:solidFill>
                  <a:sysClr val="windowText" lastClr="000000"/>
                </a:solidFill>
              </a:rPr>
              <a:t> sản + Hao hụt </a:t>
            </a:r>
            <a:endParaRPr lang="en-US" sz="1100">
              <a:solidFill>
                <a:sysClr val="windowText" lastClr="000000"/>
              </a:solidFill>
            </a:endParaRPr>
          </a:p>
        </xdr:txBody>
      </xdr:sp>
      <xdr:sp macro="" textlink="">
        <xdr:nvSpPr>
          <xdr:cNvPr id="505" name="Rectangle: Rounded Corners 504">
            <a:extLst>
              <a:ext uri="{FF2B5EF4-FFF2-40B4-BE49-F238E27FC236}">
                <a16:creationId xmlns:a16="http://schemas.microsoft.com/office/drawing/2014/main" id="{7A209C2E-D08A-03B5-285B-83C5D2011D86}"/>
              </a:ext>
            </a:extLst>
          </xdr:cNvPr>
          <xdr:cNvSpPr/>
        </xdr:nvSpPr>
        <xdr:spPr>
          <a:xfrm>
            <a:off x="5505674" y="4294095"/>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B6.2.A0</a:t>
            </a:r>
          </a:p>
          <a:p>
            <a:pPr algn="ctr"/>
            <a:r>
              <a:rPr lang="en-US" sz="1100">
                <a:solidFill>
                  <a:sysClr val="windowText" lastClr="000000"/>
                </a:solidFill>
              </a:rPr>
              <a:t>chưa rửa</a:t>
            </a:r>
          </a:p>
        </xdr:txBody>
      </xdr:sp>
      <xdr:sp macro="" textlink="">
        <xdr:nvSpPr>
          <xdr:cNvPr id="506" name="Rectangle: Rounded Corners 505">
            <a:extLst>
              <a:ext uri="{FF2B5EF4-FFF2-40B4-BE49-F238E27FC236}">
                <a16:creationId xmlns:a16="http://schemas.microsoft.com/office/drawing/2014/main" id="{0793C6EB-5C39-A992-CC23-4572D31F17BE}"/>
              </a:ext>
            </a:extLst>
          </xdr:cNvPr>
          <xdr:cNvSpPr/>
        </xdr:nvSpPr>
        <xdr:spPr>
          <a:xfrm>
            <a:off x="4432151" y="439879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07" name="Rectangle: Rounded Corners 506">
            <a:extLst>
              <a:ext uri="{FF2B5EF4-FFF2-40B4-BE49-F238E27FC236}">
                <a16:creationId xmlns:a16="http://schemas.microsoft.com/office/drawing/2014/main" id="{174A2B02-B6B4-E7AE-B3D5-A1E31AEF5C42}"/>
              </a:ext>
            </a:extLst>
          </xdr:cNvPr>
          <xdr:cNvSpPr/>
        </xdr:nvSpPr>
        <xdr:spPr>
          <a:xfrm>
            <a:off x="6784938" y="4398798"/>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sp macro="" textlink="">
        <xdr:nvSpPr>
          <xdr:cNvPr id="508" name="Rectangle: Rounded Corners 507">
            <a:extLst>
              <a:ext uri="{FF2B5EF4-FFF2-40B4-BE49-F238E27FC236}">
                <a16:creationId xmlns:a16="http://schemas.microsoft.com/office/drawing/2014/main" id="{ADB46D72-85B9-3A37-F589-6D710B69A008}"/>
              </a:ext>
            </a:extLst>
          </xdr:cNvPr>
          <xdr:cNvSpPr/>
        </xdr:nvSpPr>
        <xdr:spPr>
          <a:xfrm>
            <a:off x="7988001" y="428109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B6.2</a:t>
            </a:r>
          </a:p>
          <a:p>
            <a:pPr algn="ctr"/>
            <a:r>
              <a:rPr lang="en-US" sz="1100">
                <a:solidFill>
                  <a:sysClr val="windowText" lastClr="000000"/>
                </a:solidFill>
              </a:rPr>
              <a:t>sau rửa</a:t>
            </a:r>
          </a:p>
        </xdr:txBody>
      </xdr:sp>
      <xdr:sp macro="" textlink="">
        <xdr:nvSpPr>
          <xdr:cNvPr id="509" name="Rectangle: Rounded Corners 508">
            <a:extLst>
              <a:ext uri="{FF2B5EF4-FFF2-40B4-BE49-F238E27FC236}">
                <a16:creationId xmlns:a16="http://schemas.microsoft.com/office/drawing/2014/main" id="{F7D51502-956C-48C2-96F9-49D6BE9C9DE7}"/>
              </a:ext>
            </a:extLst>
          </xdr:cNvPr>
          <xdr:cNvSpPr/>
        </xdr:nvSpPr>
        <xdr:spPr>
          <a:xfrm>
            <a:off x="9244405" y="439879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10" name="Rectangle: Rounded Corners 509">
            <a:extLst>
              <a:ext uri="{FF2B5EF4-FFF2-40B4-BE49-F238E27FC236}">
                <a16:creationId xmlns:a16="http://schemas.microsoft.com/office/drawing/2014/main" id="{EDB469C2-C343-CE88-AFFB-B1512366769A}"/>
              </a:ext>
            </a:extLst>
          </xdr:cNvPr>
          <xdr:cNvSpPr/>
        </xdr:nvSpPr>
        <xdr:spPr>
          <a:xfrm>
            <a:off x="10347226" y="434384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11" name="Straight Connector 510">
            <a:extLst>
              <a:ext uri="{FF2B5EF4-FFF2-40B4-BE49-F238E27FC236}">
                <a16:creationId xmlns:a16="http://schemas.microsoft.com/office/drawing/2014/main" id="{50A56190-11CA-F5B3-948C-9B08F4FDB8B1}"/>
              </a:ext>
            </a:extLst>
          </xdr:cNvPr>
          <xdr:cNvCxnSpPr>
            <a:stCxn id="500" idx="3"/>
            <a:endCxn id="503" idx="1"/>
          </xdr:cNvCxnSpPr>
        </xdr:nvCxnSpPr>
        <xdr:spPr>
          <a:xfrm>
            <a:off x="1130898" y="4581903"/>
            <a:ext cx="457200" cy="0"/>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2" name="Straight Connector 511">
            <a:extLst>
              <a:ext uri="{FF2B5EF4-FFF2-40B4-BE49-F238E27FC236}">
                <a16:creationId xmlns:a16="http://schemas.microsoft.com/office/drawing/2014/main" id="{8CF047A5-BE96-E30D-B271-C6BFF5B09B9E}"/>
              </a:ext>
            </a:extLst>
          </xdr:cNvPr>
          <xdr:cNvCxnSpPr>
            <a:stCxn id="503" idx="3"/>
            <a:endCxn id="501" idx="1"/>
          </xdr:cNvCxnSpPr>
        </xdr:nvCxnSpPr>
        <xdr:spPr>
          <a:xfrm>
            <a:off x="2423160" y="4581902"/>
            <a:ext cx="750351" cy="9506"/>
          </a:xfrm>
          <a:prstGeom prst="line">
            <a:avLst/>
          </a:prstGeom>
        </xdr:spPr>
        <xdr:style>
          <a:lnRef idx="1">
            <a:schemeClr val="accent2"/>
          </a:lnRef>
          <a:fillRef idx="0">
            <a:schemeClr val="accent2"/>
          </a:fillRef>
          <a:effectRef idx="0">
            <a:schemeClr val="accent2"/>
          </a:effectRef>
          <a:fontRef idx="minor">
            <a:schemeClr val="tx1"/>
          </a:fontRef>
        </xdr:style>
      </xdr:cxnSp>
      <xdr:cxnSp macro="">
        <xdr:nvCxnSpPr>
          <xdr:cNvPr id="513" name="Straight Connector 512">
            <a:extLst>
              <a:ext uri="{FF2B5EF4-FFF2-40B4-BE49-F238E27FC236}">
                <a16:creationId xmlns:a16="http://schemas.microsoft.com/office/drawing/2014/main" id="{74EE135F-2C27-BB70-9D9D-F6D22E6E8718}"/>
              </a:ext>
            </a:extLst>
          </xdr:cNvPr>
          <xdr:cNvCxnSpPr>
            <a:stCxn id="501" idx="3"/>
            <a:endCxn id="506" idx="1"/>
          </xdr:cNvCxnSpPr>
        </xdr:nvCxnSpPr>
        <xdr:spPr>
          <a:xfrm flipV="1">
            <a:off x="4185178" y="4581902"/>
            <a:ext cx="246973" cy="950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4" name="Straight Connector 513">
            <a:extLst>
              <a:ext uri="{FF2B5EF4-FFF2-40B4-BE49-F238E27FC236}">
                <a16:creationId xmlns:a16="http://schemas.microsoft.com/office/drawing/2014/main" id="{841502F8-DF8C-8D51-B460-CCBAE927A5C9}"/>
              </a:ext>
            </a:extLst>
          </xdr:cNvPr>
          <xdr:cNvCxnSpPr>
            <a:stCxn id="506" idx="3"/>
            <a:endCxn id="505" idx="1"/>
          </xdr:cNvCxnSpPr>
        </xdr:nvCxnSpPr>
        <xdr:spPr>
          <a:xfrm>
            <a:off x="5260938" y="4581903"/>
            <a:ext cx="244736" cy="6907"/>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15" name="Straight Connector 514">
            <a:extLst>
              <a:ext uri="{FF2B5EF4-FFF2-40B4-BE49-F238E27FC236}">
                <a16:creationId xmlns:a16="http://schemas.microsoft.com/office/drawing/2014/main" id="{C9B62228-A173-1B05-20CE-B6AE9E52D4B8}"/>
              </a:ext>
            </a:extLst>
          </xdr:cNvPr>
          <xdr:cNvCxnSpPr>
            <a:stCxn id="505" idx="3"/>
            <a:endCxn id="507" idx="1"/>
          </xdr:cNvCxnSpPr>
        </xdr:nvCxnSpPr>
        <xdr:spPr>
          <a:xfrm flipV="1">
            <a:off x="6518238" y="4581903"/>
            <a:ext cx="266700"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6" name="Straight Connector 515">
            <a:extLst>
              <a:ext uri="{FF2B5EF4-FFF2-40B4-BE49-F238E27FC236}">
                <a16:creationId xmlns:a16="http://schemas.microsoft.com/office/drawing/2014/main" id="{DB54FCCF-D953-F377-64A9-76FAC28DB0D1}"/>
              </a:ext>
            </a:extLst>
          </xdr:cNvPr>
          <xdr:cNvCxnSpPr>
            <a:stCxn id="507" idx="3"/>
            <a:endCxn id="508" idx="1"/>
          </xdr:cNvCxnSpPr>
        </xdr:nvCxnSpPr>
        <xdr:spPr>
          <a:xfrm flipV="1">
            <a:off x="7614621" y="4578949"/>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17" name="Straight Connector 516">
            <a:extLst>
              <a:ext uri="{FF2B5EF4-FFF2-40B4-BE49-F238E27FC236}">
                <a16:creationId xmlns:a16="http://schemas.microsoft.com/office/drawing/2014/main" id="{EF7775F3-C895-CB40-3E8A-6258F6F0209A}"/>
              </a:ext>
            </a:extLst>
          </xdr:cNvPr>
          <xdr:cNvCxnSpPr>
            <a:stCxn id="508" idx="3"/>
            <a:endCxn id="509" idx="1"/>
          </xdr:cNvCxnSpPr>
        </xdr:nvCxnSpPr>
        <xdr:spPr>
          <a:xfrm>
            <a:off x="9000565" y="4578949"/>
            <a:ext cx="243840"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8" name="Straight Connector 517">
            <a:extLst>
              <a:ext uri="{FF2B5EF4-FFF2-40B4-BE49-F238E27FC236}">
                <a16:creationId xmlns:a16="http://schemas.microsoft.com/office/drawing/2014/main" id="{EAC3253C-ACD4-8BF7-9502-9768F409BAE8}"/>
              </a:ext>
            </a:extLst>
          </xdr:cNvPr>
          <xdr:cNvCxnSpPr>
            <a:stCxn id="509" idx="3"/>
            <a:endCxn id="510" idx="1"/>
          </xdr:cNvCxnSpPr>
        </xdr:nvCxnSpPr>
        <xdr:spPr>
          <a:xfrm flipV="1">
            <a:off x="10074985" y="4581902"/>
            <a:ext cx="272241" cy="1"/>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19" name="Connector: Elbow 518">
            <a:extLst>
              <a:ext uri="{FF2B5EF4-FFF2-40B4-BE49-F238E27FC236}">
                <a16:creationId xmlns:a16="http://schemas.microsoft.com/office/drawing/2014/main" id="{81866944-4304-E17B-9023-A1D0EC252B1E}"/>
              </a:ext>
            </a:extLst>
          </xdr:cNvPr>
          <xdr:cNvCxnSpPr>
            <a:stCxn id="503" idx="3"/>
            <a:endCxn id="502" idx="1"/>
          </xdr:cNvCxnSpPr>
        </xdr:nvCxnSpPr>
        <xdr:spPr>
          <a:xfrm>
            <a:off x="2423160" y="4581902"/>
            <a:ext cx="750351" cy="230598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cxnSp macro="">
        <xdr:nvCxnSpPr>
          <xdr:cNvPr id="520" name="Connector: Elbow 519">
            <a:extLst>
              <a:ext uri="{FF2B5EF4-FFF2-40B4-BE49-F238E27FC236}">
                <a16:creationId xmlns:a16="http://schemas.microsoft.com/office/drawing/2014/main" id="{611C69CD-09C4-18D0-E83A-F59A1AAD6303}"/>
              </a:ext>
            </a:extLst>
          </xdr:cNvPr>
          <xdr:cNvCxnSpPr>
            <a:stCxn id="503" idx="3"/>
            <a:endCxn id="504" idx="1"/>
          </xdr:cNvCxnSpPr>
        </xdr:nvCxnSpPr>
        <xdr:spPr>
          <a:xfrm>
            <a:off x="2423160" y="4581902"/>
            <a:ext cx="750351" cy="3130221"/>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21" name="TextBox 520">
            <a:extLst>
              <a:ext uri="{FF2B5EF4-FFF2-40B4-BE49-F238E27FC236}">
                <a16:creationId xmlns:a16="http://schemas.microsoft.com/office/drawing/2014/main" id="{BD79B15A-8C1B-C8F3-F10C-66961B7149A4}"/>
              </a:ext>
            </a:extLst>
          </xdr:cNvPr>
          <xdr:cNvSpPr txBox="1"/>
        </xdr:nvSpPr>
        <xdr:spPr>
          <a:xfrm>
            <a:off x="2671484" y="4347882"/>
            <a:ext cx="501244"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p>
        </xdr:txBody>
      </xdr:sp>
      <xdr:sp macro="" textlink="">
        <xdr:nvSpPr>
          <xdr:cNvPr id="522" name="TextBox 521">
            <a:extLst>
              <a:ext uri="{FF2B5EF4-FFF2-40B4-BE49-F238E27FC236}">
                <a16:creationId xmlns:a16="http://schemas.microsoft.com/office/drawing/2014/main" id="{7E2362B4-7BEB-B3C0-DB1C-C82C321C4FE6}"/>
              </a:ext>
            </a:extLst>
          </xdr:cNvPr>
          <xdr:cNvSpPr txBox="1"/>
        </xdr:nvSpPr>
        <xdr:spPr>
          <a:xfrm>
            <a:off x="2774646" y="6632602"/>
            <a:ext cx="430502"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53%</a:t>
            </a:r>
          </a:p>
        </xdr:txBody>
      </xdr:sp>
      <xdr:sp macro="" textlink="">
        <xdr:nvSpPr>
          <xdr:cNvPr id="523" name="TextBox 522">
            <a:extLst>
              <a:ext uri="{FF2B5EF4-FFF2-40B4-BE49-F238E27FC236}">
                <a16:creationId xmlns:a16="http://schemas.microsoft.com/office/drawing/2014/main" id="{8F4106A2-72B8-11F9-F022-6880EF88CD33}"/>
              </a:ext>
            </a:extLst>
          </xdr:cNvPr>
          <xdr:cNvSpPr txBox="1"/>
        </xdr:nvSpPr>
        <xdr:spPr>
          <a:xfrm>
            <a:off x="2763754" y="7451994"/>
            <a:ext cx="428515" cy="26456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p>
        </xdr:txBody>
      </xdr:sp>
      <xdr:cxnSp macro="">
        <xdr:nvCxnSpPr>
          <xdr:cNvPr id="524" name="Connector: Elbow 523">
            <a:extLst>
              <a:ext uri="{FF2B5EF4-FFF2-40B4-BE49-F238E27FC236}">
                <a16:creationId xmlns:a16="http://schemas.microsoft.com/office/drawing/2014/main" id="{6E772324-1524-2DBA-9D37-61A76B51FAC1}"/>
              </a:ext>
            </a:extLst>
          </xdr:cNvPr>
          <xdr:cNvCxnSpPr>
            <a:stCxn id="505" idx="2"/>
            <a:endCxn id="525" idx="1"/>
          </xdr:cNvCxnSpPr>
        </xdr:nvCxnSpPr>
        <xdr:spPr>
          <a:xfrm rot="16200000" flipH="1">
            <a:off x="6000164" y="4895316"/>
            <a:ext cx="37656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5" name="TextBox 524">
            <a:extLst>
              <a:ext uri="{FF2B5EF4-FFF2-40B4-BE49-F238E27FC236}">
                <a16:creationId xmlns:a16="http://schemas.microsoft.com/office/drawing/2014/main" id="{F1FD2E95-CEDC-CAF9-BF1C-DE7855887DAE}"/>
              </a:ext>
            </a:extLst>
          </xdr:cNvPr>
          <xdr:cNvSpPr txBox="1"/>
        </xdr:nvSpPr>
        <xdr:spPr>
          <a:xfrm>
            <a:off x="6364941" y="5127813"/>
            <a:ext cx="13308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78.6% </a:t>
            </a:r>
            <a:r>
              <a:rPr lang="en-US" sz="1100"/>
              <a:t>Vảy</a:t>
            </a:r>
            <a:r>
              <a:rPr lang="en-US" sz="1100" baseline="0"/>
              <a:t> chưa rửa</a:t>
            </a:r>
            <a:endParaRPr lang="en-US" sz="1100"/>
          </a:p>
        </xdr:txBody>
      </xdr:sp>
      <xdr:cxnSp macro="">
        <xdr:nvCxnSpPr>
          <xdr:cNvPr id="526" name="Connector: Elbow 525">
            <a:extLst>
              <a:ext uri="{FF2B5EF4-FFF2-40B4-BE49-F238E27FC236}">
                <a16:creationId xmlns:a16="http://schemas.microsoft.com/office/drawing/2014/main" id="{E4C8DCA7-F255-1F47-E7AB-5A8B1412F08E}"/>
              </a:ext>
            </a:extLst>
          </xdr:cNvPr>
          <xdr:cNvCxnSpPr>
            <a:stCxn id="505" idx="2"/>
            <a:endCxn id="527" idx="1"/>
          </xdr:cNvCxnSpPr>
        </xdr:nvCxnSpPr>
        <xdr:spPr>
          <a:xfrm rot="16200000" flipH="1">
            <a:off x="5856728" y="5038752"/>
            <a:ext cx="6634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27" name="TextBox 526">
            <a:extLst>
              <a:ext uri="{FF2B5EF4-FFF2-40B4-BE49-F238E27FC236}">
                <a16:creationId xmlns:a16="http://schemas.microsoft.com/office/drawing/2014/main" id="{64956333-846F-750A-398E-5A594518A28D}"/>
              </a:ext>
            </a:extLst>
          </xdr:cNvPr>
          <xdr:cNvSpPr txBox="1"/>
        </xdr:nvSpPr>
        <xdr:spPr>
          <a:xfrm>
            <a:off x="6364941" y="5414685"/>
            <a:ext cx="94487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13.2% </a:t>
            </a:r>
            <a:r>
              <a:rPr lang="en-US" sz="1100"/>
              <a:t>Olefin</a:t>
            </a:r>
          </a:p>
        </xdr:txBody>
      </xdr:sp>
      <xdr:sp macro="" textlink="">
        <xdr:nvSpPr>
          <xdr:cNvPr id="528" name="TextBox 527">
            <a:extLst>
              <a:ext uri="{FF2B5EF4-FFF2-40B4-BE49-F238E27FC236}">
                <a16:creationId xmlns:a16="http://schemas.microsoft.com/office/drawing/2014/main" id="{02B3B25F-59E3-B0B3-6622-17CA0E904FE6}"/>
              </a:ext>
            </a:extLst>
          </xdr:cNvPr>
          <xdr:cNvSpPr txBox="1"/>
        </xdr:nvSpPr>
        <xdr:spPr>
          <a:xfrm>
            <a:off x="6364941" y="5643285"/>
            <a:ext cx="95096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1.8% </a:t>
            </a:r>
            <a:r>
              <a:rPr lang="en-US" sz="1100"/>
              <a:t>Bụi</a:t>
            </a:r>
            <a:r>
              <a:rPr lang="en-US" sz="1100" baseline="0"/>
              <a:t> cám</a:t>
            </a:r>
            <a:endParaRPr lang="en-US" sz="1100"/>
          </a:p>
        </xdr:txBody>
      </xdr:sp>
      <xdr:sp macro="" textlink="">
        <xdr:nvSpPr>
          <xdr:cNvPr id="529" name="TextBox 528">
            <a:extLst>
              <a:ext uri="{FF2B5EF4-FFF2-40B4-BE49-F238E27FC236}">
                <a16:creationId xmlns:a16="http://schemas.microsoft.com/office/drawing/2014/main" id="{139DF009-74F0-B928-D89A-549D85050551}"/>
              </a:ext>
            </a:extLst>
          </xdr:cNvPr>
          <xdr:cNvSpPr txBox="1"/>
        </xdr:nvSpPr>
        <xdr:spPr>
          <a:xfrm>
            <a:off x="63649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4.9% </a:t>
            </a:r>
            <a:r>
              <a:rPr lang="en-US" sz="1100"/>
              <a:t>Hao</a:t>
            </a:r>
            <a:r>
              <a:rPr lang="en-US" sz="1100" baseline="0"/>
              <a:t> hụt</a:t>
            </a:r>
            <a:endParaRPr lang="en-US" sz="1100"/>
          </a:p>
        </xdr:txBody>
      </xdr:sp>
      <xdr:sp macro="" textlink="">
        <xdr:nvSpPr>
          <xdr:cNvPr id="530" name="TextBox 529">
            <a:extLst>
              <a:ext uri="{FF2B5EF4-FFF2-40B4-BE49-F238E27FC236}">
                <a16:creationId xmlns:a16="http://schemas.microsoft.com/office/drawing/2014/main" id="{BF6B0F86-997A-8C20-DE70-2623E23A7035}"/>
              </a:ext>
            </a:extLst>
          </xdr:cNvPr>
          <xdr:cNvSpPr txBox="1"/>
        </xdr:nvSpPr>
        <xdr:spPr>
          <a:xfrm>
            <a:off x="6364941" y="5876368"/>
            <a:ext cx="12434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1.5% </a:t>
            </a:r>
            <a:r>
              <a:rPr lang="en-US" sz="1100"/>
              <a:t>Phó</a:t>
            </a:r>
            <a:r>
              <a:rPr lang="en-US" sz="1100" baseline="0"/>
              <a:t> sản khác</a:t>
            </a:r>
            <a:endParaRPr lang="en-US" sz="1100"/>
          </a:p>
        </xdr:txBody>
      </xdr:sp>
      <xdr:cxnSp macro="">
        <xdr:nvCxnSpPr>
          <xdr:cNvPr id="531" name="Connector: Elbow 530">
            <a:extLst>
              <a:ext uri="{FF2B5EF4-FFF2-40B4-BE49-F238E27FC236}">
                <a16:creationId xmlns:a16="http://schemas.microsoft.com/office/drawing/2014/main" id="{CDE8AA0C-4F7B-0511-627C-BAFAA50C90DC}"/>
              </a:ext>
            </a:extLst>
          </xdr:cNvPr>
          <xdr:cNvCxnSpPr>
            <a:stCxn id="505" idx="2"/>
            <a:endCxn id="528" idx="1"/>
          </xdr:cNvCxnSpPr>
        </xdr:nvCxnSpPr>
        <xdr:spPr>
          <a:xfrm rot="16200000" flipH="1">
            <a:off x="5742428" y="5153052"/>
            <a:ext cx="892040"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2" name="Connector: Elbow 531">
            <a:extLst>
              <a:ext uri="{FF2B5EF4-FFF2-40B4-BE49-F238E27FC236}">
                <a16:creationId xmlns:a16="http://schemas.microsoft.com/office/drawing/2014/main" id="{870BCDB0-EADC-FE62-569A-BD3071828FDC}"/>
              </a:ext>
            </a:extLst>
          </xdr:cNvPr>
          <xdr:cNvCxnSpPr>
            <a:stCxn id="505" idx="2"/>
            <a:endCxn id="530" idx="1"/>
          </xdr:cNvCxnSpPr>
        </xdr:nvCxnSpPr>
        <xdr:spPr>
          <a:xfrm rot="16200000" flipH="1">
            <a:off x="5625887" y="5269593"/>
            <a:ext cx="1125123"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3" name="Connector: Elbow 532">
            <a:extLst>
              <a:ext uri="{FF2B5EF4-FFF2-40B4-BE49-F238E27FC236}">
                <a16:creationId xmlns:a16="http://schemas.microsoft.com/office/drawing/2014/main" id="{72A0C9B1-009D-6F82-F614-3BEB31F53228}"/>
              </a:ext>
            </a:extLst>
          </xdr:cNvPr>
          <xdr:cNvCxnSpPr>
            <a:stCxn id="505" idx="2"/>
            <a:endCxn id="529" idx="1"/>
          </xdr:cNvCxnSpPr>
        </xdr:nvCxnSpPr>
        <xdr:spPr>
          <a:xfrm rot="16200000" flipH="1">
            <a:off x="5516069" y="5379411"/>
            <a:ext cx="134475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34" name="Connector: Elbow 533">
            <a:extLst>
              <a:ext uri="{FF2B5EF4-FFF2-40B4-BE49-F238E27FC236}">
                <a16:creationId xmlns:a16="http://schemas.microsoft.com/office/drawing/2014/main" id="{9199ABF9-2C2E-1A72-6BC4-DA480CB6E9AA}"/>
              </a:ext>
            </a:extLst>
          </xdr:cNvPr>
          <xdr:cNvCxnSpPr>
            <a:stCxn id="508" idx="2"/>
            <a:endCxn id="535" idx="1"/>
          </xdr:cNvCxnSpPr>
        </xdr:nvCxnSpPr>
        <xdr:spPr>
          <a:xfrm rot="16200000" flipH="1">
            <a:off x="8457166" y="4913918"/>
            <a:ext cx="38329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35" name="TextBox 534">
            <a:extLst>
              <a:ext uri="{FF2B5EF4-FFF2-40B4-BE49-F238E27FC236}">
                <a16:creationId xmlns:a16="http://schemas.microsoft.com/office/drawing/2014/main" id="{F0296F41-59C3-B610-098D-E06590741EF5}"/>
              </a:ext>
            </a:extLst>
          </xdr:cNvPr>
          <xdr:cNvSpPr txBox="1"/>
        </xdr:nvSpPr>
        <xdr:spPr>
          <a:xfrm>
            <a:off x="8803341" y="5127813"/>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88.3% </a:t>
            </a:r>
            <a:r>
              <a:rPr lang="en-US" sz="1100"/>
              <a:t>Vảy</a:t>
            </a:r>
            <a:r>
              <a:rPr lang="en-US" sz="1100" baseline="0"/>
              <a:t> sạch</a:t>
            </a:r>
            <a:endParaRPr lang="en-US" sz="1100"/>
          </a:p>
        </xdr:txBody>
      </xdr:sp>
      <xdr:sp macro="" textlink="">
        <xdr:nvSpPr>
          <xdr:cNvPr id="536" name="TextBox 535">
            <a:extLst>
              <a:ext uri="{FF2B5EF4-FFF2-40B4-BE49-F238E27FC236}">
                <a16:creationId xmlns:a16="http://schemas.microsoft.com/office/drawing/2014/main" id="{D450C7F8-1784-A780-923E-DFBC741053E3}"/>
              </a:ext>
            </a:extLst>
          </xdr:cNvPr>
          <xdr:cNvSpPr txBox="1"/>
        </xdr:nvSpPr>
        <xdr:spPr>
          <a:xfrm>
            <a:off x="8803341" y="5414685"/>
            <a:ext cx="86850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2.1% </a:t>
            </a:r>
            <a:r>
              <a:rPr lang="en-US" sz="1100"/>
              <a:t>Tomra</a:t>
            </a:r>
          </a:p>
        </xdr:txBody>
      </xdr:sp>
      <xdr:sp macro="" textlink="">
        <xdr:nvSpPr>
          <xdr:cNvPr id="537" name="TextBox 536">
            <a:extLst>
              <a:ext uri="{FF2B5EF4-FFF2-40B4-BE49-F238E27FC236}">
                <a16:creationId xmlns:a16="http://schemas.microsoft.com/office/drawing/2014/main" id="{04EE706A-ADF2-3017-3E64-5EF8B3131492}"/>
              </a:ext>
            </a:extLst>
          </xdr:cNvPr>
          <xdr:cNvSpPr txBox="1"/>
        </xdr:nvSpPr>
        <xdr:spPr>
          <a:xfrm>
            <a:off x="8803341" y="5643285"/>
            <a:ext cx="120366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2.6% </a:t>
            </a:r>
            <a:r>
              <a:rPr lang="en-US" sz="1100"/>
              <a:t>Bụi</a:t>
            </a:r>
            <a:r>
              <a:rPr lang="en-US" sz="1100" baseline="0"/>
              <a:t> sàn rung</a:t>
            </a:r>
            <a:endParaRPr lang="en-US" sz="1100"/>
          </a:p>
        </xdr:txBody>
      </xdr:sp>
      <xdr:sp macro="" textlink="">
        <xdr:nvSpPr>
          <xdr:cNvPr id="538" name="TextBox 537">
            <a:extLst>
              <a:ext uri="{FF2B5EF4-FFF2-40B4-BE49-F238E27FC236}">
                <a16:creationId xmlns:a16="http://schemas.microsoft.com/office/drawing/2014/main" id="{25BF01EA-0DD2-7CCB-807A-B2F83D6487E7}"/>
              </a:ext>
            </a:extLst>
          </xdr:cNvPr>
          <xdr:cNvSpPr txBox="1"/>
        </xdr:nvSpPr>
        <xdr:spPr>
          <a:xfrm>
            <a:off x="8803341" y="5876368"/>
            <a:ext cx="96545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4.6% </a:t>
            </a:r>
            <a:r>
              <a:rPr lang="en-US" sz="1100"/>
              <a:t>Bụi</a:t>
            </a:r>
            <a:r>
              <a:rPr lang="en-US" sz="1100" baseline="0"/>
              <a:t> băm</a:t>
            </a:r>
            <a:endParaRPr lang="en-US" sz="1100"/>
          </a:p>
        </xdr:txBody>
      </xdr:sp>
      <xdr:sp macro="" textlink="">
        <xdr:nvSpPr>
          <xdr:cNvPr id="539" name="TextBox 538">
            <a:extLst>
              <a:ext uri="{FF2B5EF4-FFF2-40B4-BE49-F238E27FC236}">
                <a16:creationId xmlns:a16="http://schemas.microsoft.com/office/drawing/2014/main" id="{C0724780-A174-691E-3B8D-DB479003197C}"/>
              </a:ext>
            </a:extLst>
          </xdr:cNvPr>
          <xdr:cNvSpPr txBox="1"/>
        </xdr:nvSpPr>
        <xdr:spPr>
          <a:xfrm>
            <a:off x="8803341" y="6096003"/>
            <a:ext cx="95321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2.4% </a:t>
            </a:r>
            <a:r>
              <a:rPr lang="en-US" sz="1100"/>
              <a:t>Hao</a:t>
            </a:r>
            <a:r>
              <a:rPr lang="en-US" sz="1100" baseline="0"/>
              <a:t> hụt</a:t>
            </a:r>
            <a:endParaRPr lang="en-US" sz="1100"/>
          </a:p>
        </xdr:txBody>
      </xdr:sp>
      <xdr:cxnSp macro="">
        <xdr:nvCxnSpPr>
          <xdr:cNvPr id="540" name="Connector: Elbow 539">
            <a:extLst>
              <a:ext uri="{FF2B5EF4-FFF2-40B4-BE49-F238E27FC236}">
                <a16:creationId xmlns:a16="http://schemas.microsoft.com/office/drawing/2014/main" id="{3CB63080-6E81-4F14-1950-2B68B37F4647}"/>
              </a:ext>
            </a:extLst>
          </xdr:cNvPr>
          <xdr:cNvCxnSpPr>
            <a:stCxn id="508" idx="2"/>
            <a:endCxn id="536" idx="1"/>
          </xdr:cNvCxnSpPr>
        </xdr:nvCxnSpPr>
        <xdr:spPr>
          <a:xfrm rot="16200000" flipH="1">
            <a:off x="8313730" y="5057354"/>
            <a:ext cx="6701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1" name="Connector: Elbow 540">
            <a:extLst>
              <a:ext uri="{FF2B5EF4-FFF2-40B4-BE49-F238E27FC236}">
                <a16:creationId xmlns:a16="http://schemas.microsoft.com/office/drawing/2014/main" id="{088471FD-B222-B043-E952-A2A82F911752}"/>
              </a:ext>
            </a:extLst>
          </xdr:cNvPr>
          <xdr:cNvCxnSpPr>
            <a:stCxn id="508" idx="2"/>
            <a:endCxn id="537" idx="1"/>
          </xdr:cNvCxnSpPr>
        </xdr:nvCxnSpPr>
        <xdr:spPr>
          <a:xfrm rot="16200000" flipH="1">
            <a:off x="8199430" y="5171654"/>
            <a:ext cx="898764"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2" name="Connector: Elbow 541">
            <a:extLst>
              <a:ext uri="{FF2B5EF4-FFF2-40B4-BE49-F238E27FC236}">
                <a16:creationId xmlns:a16="http://schemas.microsoft.com/office/drawing/2014/main" id="{97583506-F626-31E4-5B9E-A22EA5DDCD41}"/>
              </a:ext>
            </a:extLst>
          </xdr:cNvPr>
          <xdr:cNvCxnSpPr>
            <a:stCxn id="508" idx="2"/>
            <a:endCxn id="538" idx="1"/>
          </xdr:cNvCxnSpPr>
        </xdr:nvCxnSpPr>
        <xdr:spPr>
          <a:xfrm rot="16200000" flipH="1">
            <a:off x="8082889" y="5288195"/>
            <a:ext cx="1131847"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3" name="Connector: Elbow 542">
            <a:extLst>
              <a:ext uri="{FF2B5EF4-FFF2-40B4-BE49-F238E27FC236}">
                <a16:creationId xmlns:a16="http://schemas.microsoft.com/office/drawing/2014/main" id="{4D0A8BCE-CB1C-ED75-F66E-8CB9F44D3FC8}"/>
              </a:ext>
            </a:extLst>
          </xdr:cNvPr>
          <xdr:cNvCxnSpPr>
            <a:stCxn id="508" idx="2"/>
            <a:endCxn id="539" idx="1"/>
          </xdr:cNvCxnSpPr>
        </xdr:nvCxnSpPr>
        <xdr:spPr>
          <a:xfrm rot="16200000" flipH="1">
            <a:off x="7973071" y="5398013"/>
            <a:ext cx="1351482"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44" name="Connector: Elbow 543">
            <a:extLst>
              <a:ext uri="{FF2B5EF4-FFF2-40B4-BE49-F238E27FC236}">
                <a16:creationId xmlns:a16="http://schemas.microsoft.com/office/drawing/2014/main" id="{680F4E7C-1CE5-E100-BD15-452BD32F8616}"/>
              </a:ext>
            </a:extLst>
          </xdr:cNvPr>
          <xdr:cNvCxnSpPr>
            <a:stCxn id="510" idx="2"/>
            <a:endCxn id="545" idx="1"/>
          </xdr:cNvCxnSpPr>
        </xdr:nvCxnSpPr>
        <xdr:spPr>
          <a:xfrm rot="16200000" flipH="1">
            <a:off x="10760952" y="4913775"/>
            <a:ext cx="43932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5" name="TextBox 544">
            <a:extLst>
              <a:ext uri="{FF2B5EF4-FFF2-40B4-BE49-F238E27FC236}">
                <a16:creationId xmlns:a16="http://schemas.microsoft.com/office/drawing/2014/main" id="{24443CA1-7BBA-0189-E0F1-66A471FB0843}"/>
              </a:ext>
            </a:extLst>
          </xdr:cNvPr>
          <xdr:cNvSpPr txBox="1"/>
        </xdr:nvSpPr>
        <xdr:spPr>
          <a:xfrm>
            <a:off x="11107270" y="5127813"/>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t>Tạo</a:t>
            </a:r>
            <a:r>
              <a:rPr lang="en-US" sz="1100" b="0" baseline="0"/>
              <a:t> hạt WSS01G-Nia</a:t>
            </a:r>
            <a:endParaRPr lang="en-US" sz="1100" b="0"/>
          </a:p>
        </xdr:txBody>
      </xdr:sp>
      <xdr:cxnSp macro="">
        <xdr:nvCxnSpPr>
          <xdr:cNvPr id="546" name="Connector: Elbow 545">
            <a:extLst>
              <a:ext uri="{FF2B5EF4-FFF2-40B4-BE49-F238E27FC236}">
                <a16:creationId xmlns:a16="http://schemas.microsoft.com/office/drawing/2014/main" id="{63879451-C400-3AB1-CDFB-B9B8B0F43D81}"/>
              </a:ext>
            </a:extLst>
          </xdr:cNvPr>
          <xdr:cNvCxnSpPr>
            <a:stCxn id="510" idx="2"/>
            <a:endCxn id="547" idx="1"/>
          </xdr:cNvCxnSpPr>
        </xdr:nvCxnSpPr>
        <xdr:spPr>
          <a:xfrm rot="16200000" flipH="1">
            <a:off x="10617516" y="5057211"/>
            <a:ext cx="7261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7" name="TextBox 546">
            <a:extLst>
              <a:ext uri="{FF2B5EF4-FFF2-40B4-BE49-F238E27FC236}">
                <a16:creationId xmlns:a16="http://schemas.microsoft.com/office/drawing/2014/main" id="{5D9B3E33-943A-C7CB-8F47-F6CA54DA3CFD}"/>
              </a:ext>
            </a:extLst>
          </xdr:cNvPr>
          <xdr:cNvSpPr txBox="1"/>
        </xdr:nvSpPr>
        <xdr:spPr>
          <a:xfrm>
            <a:off x="11107270" y="54146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iSS01G-Out</a:t>
            </a:r>
            <a:endParaRPr lang="en-US" sz="1100" b="0"/>
          </a:p>
        </xdr:txBody>
      </xdr:sp>
      <xdr:cxnSp macro="">
        <xdr:nvCxnSpPr>
          <xdr:cNvPr id="548" name="Connector: Elbow 547">
            <a:extLst>
              <a:ext uri="{FF2B5EF4-FFF2-40B4-BE49-F238E27FC236}">
                <a16:creationId xmlns:a16="http://schemas.microsoft.com/office/drawing/2014/main" id="{8F6565D1-7541-E1DE-22D5-0910F99BC1FB}"/>
              </a:ext>
            </a:extLst>
          </xdr:cNvPr>
          <xdr:cNvCxnSpPr>
            <a:stCxn id="510" idx="2"/>
            <a:endCxn id="549" idx="1"/>
          </xdr:cNvCxnSpPr>
        </xdr:nvCxnSpPr>
        <xdr:spPr>
          <a:xfrm rot="16200000" flipH="1">
            <a:off x="10503216" y="5171511"/>
            <a:ext cx="954794"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49" name="TextBox 548">
            <a:extLst>
              <a:ext uri="{FF2B5EF4-FFF2-40B4-BE49-F238E27FC236}">
                <a16:creationId xmlns:a16="http://schemas.microsoft.com/office/drawing/2014/main" id="{E8642B5F-B15B-8912-F282-7EF63F1197A4}"/>
              </a:ext>
            </a:extLst>
          </xdr:cNvPr>
          <xdr:cNvSpPr txBox="1"/>
        </xdr:nvSpPr>
        <xdr:spPr>
          <a:xfrm>
            <a:off x="11107270" y="5643285"/>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cxnSp macro="">
        <xdr:nvCxnSpPr>
          <xdr:cNvPr id="550" name="Connector: Elbow 549">
            <a:extLst>
              <a:ext uri="{FF2B5EF4-FFF2-40B4-BE49-F238E27FC236}">
                <a16:creationId xmlns:a16="http://schemas.microsoft.com/office/drawing/2014/main" id="{6D3BBC80-90FE-ECBC-1056-B3D5C818CB72}"/>
              </a:ext>
            </a:extLst>
          </xdr:cNvPr>
          <xdr:cNvCxnSpPr>
            <a:stCxn id="510" idx="2"/>
            <a:endCxn id="551" idx="1"/>
          </xdr:cNvCxnSpPr>
        </xdr:nvCxnSpPr>
        <xdr:spPr>
          <a:xfrm rot="16200000" flipH="1">
            <a:off x="10386675" y="5288052"/>
            <a:ext cx="118787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1" name="TextBox 550">
            <a:extLst>
              <a:ext uri="{FF2B5EF4-FFF2-40B4-BE49-F238E27FC236}">
                <a16:creationId xmlns:a16="http://schemas.microsoft.com/office/drawing/2014/main" id="{8DA22224-5729-1C22-49F5-28B5F5E7B5C9}"/>
              </a:ext>
            </a:extLst>
          </xdr:cNvPr>
          <xdr:cNvSpPr txBox="1"/>
        </xdr:nvSpPr>
        <xdr:spPr>
          <a:xfrm>
            <a:off x="11107270" y="5876368"/>
            <a:ext cx="18019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WSS05SB (Sợi ngắn)</a:t>
            </a:r>
            <a:endParaRPr lang="en-US" sz="1100" b="0"/>
          </a:p>
        </xdr:txBody>
      </xdr:sp>
      <xdr:cxnSp macro="">
        <xdr:nvCxnSpPr>
          <xdr:cNvPr id="552" name="Connector: Elbow 551">
            <a:extLst>
              <a:ext uri="{FF2B5EF4-FFF2-40B4-BE49-F238E27FC236}">
                <a16:creationId xmlns:a16="http://schemas.microsoft.com/office/drawing/2014/main" id="{64DECE67-E53C-E543-458A-340372292123}"/>
              </a:ext>
            </a:extLst>
          </xdr:cNvPr>
          <xdr:cNvCxnSpPr>
            <a:stCxn id="510" idx="2"/>
            <a:endCxn id="553" idx="1"/>
          </xdr:cNvCxnSpPr>
        </xdr:nvCxnSpPr>
        <xdr:spPr>
          <a:xfrm rot="16200000" flipH="1">
            <a:off x="10276857" y="5397869"/>
            <a:ext cx="140751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3" name="TextBox 552">
            <a:extLst>
              <a:ext uri="{FF2B5EF4-FFF2-40B4-BE49-F238E27FC236}">
                <a16:creationId xmlns:a16="http://schemas.microsoft.com/office/drawing/2014/main" id="{333876BC-56FB-A488-FB57-0BC010447F7A}"/>
              </a:ext>
            </a:extLst>
          </xdr:cNvPr>
          <xdr:cNvSpPr txBox="1"/>
        </xdr:nvSpPr>
        <xdr:spPr>
          <a:xfrm>
            <a:off x="11107271" y="6096003"/>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554" name="TextBox 553">
            <a:extLst>
              <a:ext uri="{FF2B5EF4-FFF2-40B4-BE49-F238E27FC236}">
                <a16:creationId xmlns:a16="http://schemas.microsoft.com/office/drawing/2014/main" id="{92F5C58A-DB4A-C2C6-9F7A-A8D1FF9F1A03}"/>
              </a:ext>
            </a:extLst>
          </xdr:cNvPr>
          <xdr:cNvSpPr txBox="1"/>
        </xdr:nvSpPr>
        <xdr:spPr>
          <a:xfrm>
            <a:off x="13016755" y="5127813"/>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B6.2 + 90%B1</a:t>
            </a:r>
            <a:r>
              <a:rPr lang="en-US" sz="1100" b="0" baseline="0"/>
              <a:t> </a:t>
            </a:r>
            <a:endParaRPr lang="en-US" sz="1100" b="1">
              <a:solidFill>
                <a:srgbClr val="7030A0"/>
              </a:solidFill>
            </a:endParaRPr>
          </a:p>
        </xdr:txBody>
      </xdr:sp>
      <xdr:cxnSp macro="">
        <xdr:nvCxnSpPr>
          <xdr:cNvPr id="555" name="Straight Connector 554">
            <a:extLst>
              <a:ext uri="{FF2B5EF4-FFF2-40B4-BE49-F238E27FC236}">
                <a16:creationId xmlns:a16="http://schemas.microsoft.com/office/drawing/2014/main" id="{A8C81F05-1498-EBE6-955B-6D8CBED8E068}"/>
              </a:ext>
            </a:extLst>
          </xdr:cNvPr>
          <xdr:cNvCxnSpPr>
            <a:stCxn id="545" idx="3"/>
            <a:endCxn id="554" idx="1"/>
          </xdr:cNvCxnSpPr>
        </xdr:nvCxnSpPr>
        <xdr:spPr>
          <a:xfrm flipV="1">
            <a:off x="12476684" y="5255836"/>
            <a:ext cx="540071" cy="425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6" name="TextBox 555">
            <a:extLst>
              <a:ext uri="{FF2B5EF4-FFF2-40B4-BE49-F238E27FC236}">
                <a16:creationId xmlns:a16="http://schemas.microsoft.com/office/drawing/2014/main" id="{99914ECD-29EE-2750-E276-96B7A1EEF32B}"/>
              </a:ext>
            </a:extLst>
          </xdr:cNvPr>
          <xdr:cNvSpPr txBox="1"/>
        </xdr:nvSpPr>
        <xdr:spPr>
          <a:xfrm>
            <a:off x="13016755" y="5414685"/>
            <a:ext cx="1243098" cy="2631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30%</a:t>
            </a:r>
            <a:r>
              <a:rPr lang="en-US" sz="1100" b="0"/>
              <a:t>B6.2 + 70%B1 </a:t>
            </a:r>
            <a:endParaRPr lang="en-US" sz="1100" b="0">
              <a:solidFill>
                <a:srgbClr val="7030A0"/>
              </a:solidFill>
            </a:endParaRPr>
          </a:p>
        </xdr:txBody>
      </xdr:sp>
      <xdr:cxnSp macro="">
        <xdr:nvCxnSpPr>
          <xdr:cNvPr id="557" name="Straight Connector 556">
            <a:extLst>
              <a:ext uri="{FF2B5EF4-FFF2-40B4-BE49-F238E27FC236}">
                <a16:creationId xmlns:a16="http://schemas.microsoft.com/office/drawing/2014/main" id="{C157232B-7C26-FA37-5D0C-E621AE2390B8}"/>
              </a:ext>
            </a:extLst>
          </xdr:cNvPr>
          <xdr:cNvCxnSpPr>
            <a:stCxn id="547" idx="3"/>
            <a:endCxn id="556" idx="1"/>
          </xdr:cNvCxnSpPr>
        </xdr:nvCxnSpPr>
        <xdr:spPr>
          <a:xfrm flipV="1">
            <a:off x="12489893" y="5546239"/>
            <a:ext cx="526862" cy="72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58" name="TextBox 557">
            <a:extLst>
              <a:ext uri="{FF2B5EF4-FFF2-40B4-BE49-F238E27FC236}">
                <a16:creationId xmlns:a16="http://schemas.microsoft.com/office/drawing/2014/main" id="{FB27D2E5-F47A-A08E-4445-5FD352FD969C}"/>
              </a:ext>
            </a:extLst>
          </xdr:cNvPr>
          <xdr:cNvSpPr txBox="1"/>
        </xdr:nvSpPr>
        <xdr:spPr>
          <a:xfrm>
            <a:off x="13016755" y="5643285"/>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55%</a:t>
            </a:r>
            <a:r>
              <a:rPr lang="en-US" sz="1100" b="0"/>
              <a:t>B6.2 + 30%B1 + 15%B2.2 </a:t>
            </a:r>
            <a:endParaRPr lang="en-US" sz="1100" b="0">
              <a:solidFill>
                <a:srgbClr val="7030A0"/>
              </a:solidFill>
            </a:endParaRPr>
          </a:p>
        </xdr:txBody>
      </xdr:sp>
      <xdr:cxnSp macro="">
        <xdr:nvCxnSpPr>
          <xdr:cNvPr id="559" name="Straight Connector 558">
            <a:extLst>
              <a:ext uri="{FF2B5EF4-FFF2-40B4-BE49-F238E27FC236}">
                <a16:creationId xmlns:a16="http://schemas.microsoft.com/office/drawing/2014/main" id="{13BAB0DE-4A7B-B110-C299-672C48C4376A}"/>
              </a:ext>
            </a:extLst>
          </xdr:cNvPr>
          <xdr:cNvCxnSpPr>
            <a:stCxn id="549" idx="3"/>
            <a:endCxn id="558" idx="1"/>
          </xdr:cNvCxnSpPr>
        </xdr:nvCxnSpPr>
        <xdr:spPr>
          <a:xfrm>
            <a:off x="12489893" y="5775565"/>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0" name="TextBox 559">
            <a:extLst>
              <a:ext uri="{FF2B5EF4-FFF2-40B4-BE49-F238E27FC236}">
                <a16:creationId xmlns:a16="http://schemas.microsoft.com/office/drawing/2014/main" id="{1551B150-A651-1528-669B-9213746F32DF}"/>
              </a:ext>
            </a:extLst>
          </xdr:cNvPr>
          <xdr:cNvSpPr txBox="1"/>
        </xdr:nvSpPr>
        <xdr:spPr>
          <a:xfrm>
            <a:off x="13016755" y="5876368"/>
            <a:ext cx="372035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95%</a:t>
            </a:r>
            <a:r>
              <a:rPr lang="en-US" sz="1100" b="0">
                <a:solidFill>
                  <a:schemeClr val="tx1"/>
                </a:solidFill>
                <a:effectLst/>
                <a:latin typeface="+mn-lt"/>
                <a:ea typeface="+mn-ea"/>
                <a:cs typeface="+mn-cs"/>
              </a:rPr>
              <a:t>B6.2 + 5%B5 </a:t>
            </a:r>
            <a:endParaRPr lang="en-US">
              <a:solidFill>
                <a:srgbClr val="7030A0"/>
              </a:solidFill>
              <a:effectLst/>
            </a:endParaRPr>
          </a:p>
        </xdr:txBody>
      </xdr:sp>
      <xdr:cxnSp macro="">
        <xdr:nvCxnSpPr>
          <xdr:cNvPr id="561" name="Straight Connector 560">
            <a:extLst>
              <a:ext uri="{FF2B5EF4-FFF2-40B4-BE49-F238E27FC236}">
                <a16:creationId xmlns:a16="http://schemas.microsoft.com/office/drawing/2014/main" id="{076D2226-755C-00C0-DFF3-9A8E65AD87D2}"/>
              </a:ext>
            </a:extLst>
          </xdr:cNvPr>
          <xdr:cNvCxnSpPr>
            <a:stCxn id="551" idx="3"/>
            <a:endCxn id="560" idx="1"/>
          </xdr:cNvCxnSpPr>
        </xdr:nvCxnSpPr>
        <xdr:spPr>
          <a:xfrm>
            <a:off x="12909176" y="6008648"/>
            <a:ext cx="1075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2" name="TextBox 561">
            <a:extLst>
              <a:ext uri="{FF2B5EF4-FFF2-40B4-BE49-F238E27FC236}">
                <a16:creationId xmlns:a16="http://schemas.microsoft.com/office/drawing/2014/main" id="{A39ADDE9-D9BD-7574-DC16-C2BEFF38781A}"/>
              </a:ext>
            </a:extLst>
          </xdr:cNvPr>
          <xdr:cNvSpPr txBox="1"/>
        </xdr:nvSpPr>
        <xdr:spPr>
          <a:xfrm>
            <a:off x="13016755" y="6096003"/>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65%</a:t>
            </a:r>
            <a:r>
              <a:rPr lang="en-US" sz="1100" b="0">
                <a:solidFill>
                  <a:schemeClr val="tx1"/>
                </a:solidFill>
                <a:effectLst/>
                <a:latin typeface="+mn-lt"/>
                <a:ea typeface="+mn-ea"/>
                <a:cs typeface="+mn-cs"/>
              </a:rPr>
              <a:t>B6.2 + 15%B1 + 20%B5 </a:t>
            </a:r>
            <a:endParaRPr lang="en-US">
              <a:solidFill>
                <a:srgbClr val="7030A0"/>
              </a:solidFill>
              <a:effectLst/>
            </a:endParaRPr>
          </a:p>
        </xdr:txBody>
      </xdr:sp>
      <xdr:cxnSp macro="">
        <xdr:nvCxnSpPr>
          <xdr:cNvPr id="563" name="Straight Connector 562">
            <a:extLst>
              <a:ext uri="{FF2B5EF4-FFF2-40B4-BE49-F238E27FC236}">
                <a16:creationId xmlns:a16="http://schemas.microsoft.com/office/drawing/2014/main" id="{F5520D13-099B-A1CD-66C5-8E04C0838233}"/>
              </a:ext>
            </a:extLst>
          </xdr:cNvPr>
          <xdr:cNvCxnSpPr>
            <a:stCxn id="553" idx="3"/>
            <a:endCxn id="562" idx="1"/>
          </xdr:cNvCxnSpPr>
        </xdr:nvCxnSpPr>
        <xdr:spPr>
          <a:xfrm>
            <a:off x="12631272" y="6228283"/>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564" name="Rectangle: Rounded Corners 563">
            <a:extLst>
              <a:ext uri="{FF2B5EF4-FFF2-40B4-BE49-F238E27FC236}">
                <a16:creationId xmlns:a16="http://schemas.microsoft.com/office/drawing/2014/main" id="{99A37CD1-651E-1F93-E893-C54F7714DAB6}"/>
              </a:ext>
            </a:extLst>
          </xdr:cNvPr>
          <xdr:cNvSpPr/>
        </xdr:nvSpPr>
        <xdr:spPr>
          <a:xfrm>
            <a:off x="3173511" y="9090146"/>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B2.2 + B5</a:t>
            </a:r>
          </a:p>
        </xdr:txBody>
      </xdr:sp>
      <xdr:cxnSp macro="">
        <xdr:nvCxnSpPr>
          <xdr:cNvPr id="565" name="Connector: Elbow 564">
            <a:extLst>
              <a:ext uri="{FF2B5EF4-FFF2-40B4-BE49-F238E27FC236}">
                <a16:creationId xmlns:a16="http://schemas.microsoft.com/office/drawing/2014/main" id="{D323C9EE-2F07-5433-0A53-932F27A74470}"/>
              </a:ext>
            </a:extLst>
          </xdr:cNvPr>
          <xdr:cNvCxnSpPr>
            <a:stCxn id="503" idx="3"/>
            <a:endCxn id="564" idx="1"/>
          </xdr:cNvCxnSpPr>
        </xdr:nvCxnSpPr>
        <xdr:spPr>
          <a:xfrm>
            <a:off x="2423160" y="4581902"/>
            <a:ext cx="750351" cy="4773734"/>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6" name="TextBox 565">
            <a:extLst>
              <a:ext uri="{FF2B5EF4-FFF2-40B4-BE49-F238E27FC236}">
                <a16:creationId xmlns:a16="http://schemas.microsoft.com/office/drawing/2014/main" id="{D16DB153-FA6D-A0FF-AD8A-8AE1E307FE5C}"/>
              </a:ext>
            </a:extLst>
          </xdr:cNvPr>
          <xdr:cNvSpPr txBox="1"/>
        </xdr:nvSpPr>
        <xdr:spPr>
          <a:xfrm>
            <a:off x="2774648" y="9106038"/>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a:t>
            </a:r>
          </a:p>
        </xdr:txBody>
      </xdr:sp>
      <xdr:sp macro="" textlink="">
        <xdr:nvSpPr>
          <xdr:cNvPr id="567" name="Rectangle: Rounded Corners 566">
            <a:extLst>
              <a:ext uri="{FF2B5EF4-FFF2-40B4-BE49-F238E27FC236}">
                <a16:creationId xmlns:a16="http://schemas.microsoft.com/office/drawing/2014/main" id="{6C112408-E1BE-7C1B-C70B-DECD6B5A7123}"/>
              </a:ext>
            </a:extLst>
          </xdr:cNvPr>
          <xdr:cNvSpPr/>
        </xdr:nvSpPr>
        <xdr:spPr>
          <a:xfrm>
            <a:off x="3173511" y="11186684"/>
            <a:ext cx="996427" cy="530981"/>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B4</a:t>
            </a:r>
          </a:p>
        </xdr:txBody>
      </xdr:sp>
      <xdr:cxnSp macro="">
        <xdr:nvCxnSpPr>
          <xdr:cNvPr id="568" name="Connector: Elbow 567">
            <a:extLst>
              <a:ext uri="{FF2B5EF4-FFF2-40B4-BE49-F238E27FC236}">
                <a16:creationId xmlns:a16="http://schemas.microsoft.com/office/drawing/2014/main" id="{053F48FC-1623-0599-CCC2-FE235F8DBAE1}"/>
              </a:ext>
            </a:extLst>
          </xdr:cNvPr>
          <xdr:cNvCxnSpPr>
            <a:stCxn id="503" idx="3"/>
            <a:endCxn id="567" idx="1"/>
          </xdr:cNvCxnSpPr>
        </xdr:nvCxnSpPr>
        <xdr:spPr>
          <a:xfrm>
            <a:off x="2423160" y="4581902"/>
            <a:ext cx="750351" cy="6870272"/>
          </a:xfrm>
          <a:prstGeom prst="bentConnector3">
            <a:avLst>
              <a:gd name="adj1" fmla="val 50000"/>
            </a:avLst>
          </a:prstGeom>
        </xdr:spPr>
        <xdr:style>
          <a:lnRef idx="1">
            <a:schemeClr val="accent2"/>
          </a:lnRef>
          <a:fillRef idx="0">
            <a:schemeClr val="accent2"/>
          </a:fillRef>
          <a:effectRef idx="0">
            <a:schemeClr val="accent2"/>
          </a:effectRef>
          <a:fontRef idx="minor">
            <a:schemeClr val="tx1"/>
          </a:fontRef>
        </xdr:style>
      </xdr:cxnSp>
      <xdr:sp macro="" textlink="">
        <xdr:nvSpPr>
          <xdr:cNvPr id="569" name="TextBox 568">
            <a:extLst>
              <a:ext uri="{FF2B5EF4-FFF2-40B4-BE49-F238E27FC236}">
                <a16:creationId xmlns:a16="http://schemas.microsoft.com/office/drawing/2014/main" id="{FCCB1844-DA43-683E-DA35-1B6371D0B7E6}"/>
              </a:ext>
            </a:extLst>
          </xdr:cNvPr>
          <xdr:cNvSpPr txBox="1"/>
        </xdr:nvSpPr>
        <xdr:spPr>
          <a:xfrm>
            <a:off x="2785544" y="11118292"/>
            <a:ext cx="359343" cy="25604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2%</a:t>
            </a:r>
          </a:p>
        </xdr:txBody>
      </xdr:sp>
      <xdr:sp macro="" textlink="">
        <xdr:nvSpPr>
          <xdr:cNvPr id="570" name="Rectangle: Rounded Corners 569">
            <a:extLst>
              <a:ext uri="{FF2B5EF4-FFF2-40B4-BE49-F238E27FC236}">
                <a16:creationId xmlns:a16="http://schemas.microsoft.com/office/drawing/2014/main" id="{CDDFBE60-6E18-4D72-428E-C56AB08EFF96}"/>
              </a:ext>
            </a:extLst>
          </xdr:cNvPr>
          <xdr:cNvSpPr/>
        </xdr:nvSpPr>
        <xdr:spPr>
          <a:xfrm>
            <a:off x="5505674" y="659079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B1.A0</a:t>
            </a:r>
          </a:p>
          <a:p>
            <a:pPr algn="ctr"/>
            <a:r>
              <a:rPr lang="en-US" sz="1100">
                <a:solidFill>
                  <a:sysClr val="windowText" lastClr="000000"/>
                </a:solidFill>
              </a:rPr>
              <a:t>chưa rửa</a:t>
            </a:r>
          </a:p>
        </xdr:txBody>
      </xdr:sp>
      <xdr:sp macro="" textlink="">
        <xdr:nvSpPr>
          <xdr:cNvPr id="571" name="Rectangle: Rounded Corners 570">
            <a:extLst>
              <a:ext uri="{FF2B5EF4-FFF2-40B4-BE49-F238E27FC236}">
                <a16:creationId xmlns:a16="http://schemas.microsoft.com/office/drawing/2014/main" id="{7D12D31C-0D3D-B5A6-862F-828357DDD72E}"/>
              </a:ext>
            </a:extLst>
          </xdr:cNvPr>
          <xdr:cNvSpPr/>
        </xdr:nvSpPr>
        <xdr:spPr>
          <a:xfrm>
            <a:off x="4432151" y="6706039"/>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2" name="Rectangle: Rounded Corners 571">
            <a:extLst>
              <a:ext uri="{FF2B5EF4-FFF2-40B4-BE49-F238E27FC236}">
                <a16:creationId xmlns:a16="http://schemas.microsoft.com/office/drawing/2014/main" id="{A45195FD-3428-E453-3F24-0C68547D0D73}"/>
              </a:ext>
            </a:extLst>
          </xdr:cNvPr>
          <xdr:cNvSpPr/>
        </xdr:nvSpPr>
        <xdr:spPr>
          <a:xfrm>
            <a:off x="6784938" y="6706039"/>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3" name="Straight Connector 572">
            <a:extLst>
              <a:ext uri="{FF2B5EF4-FFF2-40B4-BE49-F238E27FC236}">
                <a16:creationId xmlns:a16="http://schemas.microsoft.com/office/drawing/2014/main" id="{CFB18A94-34D1-B837-DE64-E5C84B6CAE3A}"/>
              </a:ext>
            </a:extLst>
          </xdr:cNvPr>
          <xdr:cNvCxnSpPr>
            <a:stCxn id="502" idx="3"/>
            <a:endCxn id="571" idx="1"/>
          </xdr:cNvCxnSpPr>
        </xdr:nvCxnSpPr>
        <xdr:spPr>
          <a:xfrm>
            <a:off x="4169938" y="6887885"/>
            <a:ext cx="262214" cy="125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4" name="Straight Connector 573">
            <a:extLst>
              <a:ext uri="{FF2B5EF4-FFF2-40B4-BE49-F238E27FC236}">
                <a16:creationId xmlns:a16="http://schemas.microsoft.com/office/drawing/2014/main" id="{C85A6586-F0D4-0C3A-7B47-4A05822BAAAC}"/>
              </a:ext>
            </a:extLst>
          </xdr:cNvPr>
          <xdr:cNvCxnSpPr>
            <a:stCxn id="571" idx="3"/>
            <a:endCxn id="570" idx="1"/>
          </xdr:cNvCxnSpPr>
        </xdr:nvCxnSpPr>
        <xdr:spPr>
          <a:xfrm flipV="1">
            <a:off x="5260938" y="6885514"/>
            <a:ext cx="244735" cy="3629"/>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75" name="Straight Connector 574">
            <a:extLst>
              <a:ext uri="{FF2B5EF4-FFF2-40B4-BE49-F238E27FC236}">
                <a16:creationId xmlns:a16="http://schemas.microsoft.com/office/drawing/2014/main" id="{7B2235CC-F012-EC2B-48B0-569DDBC97084}"/>
              </a:ext>
            </a:extLst>
          </xdr:cNvPr>
          <xdr:cNvCxnSpPr>
            <a:stCxn id="570" idx="3"/>
            <a:endCxn id="572" idx="1"/>
          </xdr:cNvCxnSpPr>
        </xdr:nvCxnSpPr>
        <xdr:spPr>
          <a:xfrm>
            <a:off x="6518237" y="6885514"/>
            <a:ext cx="266701" cy="3629"/>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76" name="Rectangle: Rounded Corners 575">
            <a:extLst>
              <a:ext uri="{FF2B5EF4-FFF2-40B4-BE49-F238E27FC236}">
                <a16:creationId xmlns:a16="http://schemas.microsoft.com/office/drawing/2014/main" id="{AAD11C95-2E05-57D1-378D-C5C4B290EC17}"/>
              </a:ext>
            </a:extLst>
          </xdr:cNvPr>
          <xdr:cNvSpPr/>
        </xdr:nvSpPr>
        <xdr:spPr>
          <a:xfrm>
            <a:off x="5505674" y="9056070"/>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chưa rửa</a:t>
            </a:r>
          </a:p>
        </xdr:txBody>
      </xdr:sp>
      <xdr:sp macro="" textlink="">
        <xdr:nvSpPr>
          <xdr:cNvPr id="577" name="Rectangle: Rounded Corners 576">
            <a:extLst>
              <a:ext uri="{FF2B5EF4-FFF2-40B4-BE49-F238E27FC236}">
                <a16:creationId xmlns:a16="http://schemas.microsoft.com/office/drawing/2014/main" id="{A607B42A-C4E0-783C-376B-CC7149C8D8A0}"/>
              </a:ext>
            </a:extLst>
          </xdr:cNvPr>
          <xdr:cNvSpPr/>
        </xdr:nvSpPr>
        <xdr:spPr>
          <a:xfrm>
            <a:off x="4432151" y="9171308"/>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78" name="Rectangle: Rounded Corners 577">
            <a:extLst>
              <a:ext uri="{FF2B5EF4-FFF2-40B4-BE49-F238E27FC236}">
                <a16:creationId xmlns:a16="http://schemas.microsoft.com/office/drawing/2014/main" id="{AA78E4A5-8382-0800-B6F7-3842DF3CEFD4}"/>
              </a:ext>
            </a:extLst>
          </xdr:cNvPr>
          <xdr:cNvSpPr/>
        </xdr:nvSpPr>
        <xdr:spPr>
          <a:xfrm>
            <a:off x="6784938" y="9160773"/>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a:t>
            </a:r>
          </a:p>
        </xdr:txBody>
      </xdr:sp>
      <xdr:cxnSp macro="">
        <xdr:nvCxnSpPr>
          <xdr:cNvPr id="579" name="Straight Connector 578">
            <a:extLst>
              <a:ext uri="{FF2B5EF4-FFF2-40B4-BE49-F238E27FC236}">
                <a16:creationId xmlns:a16="http://schemas.microsoft.com/office/drawing/2014/main" id="{6615A1F7-1C30-5CC4-AE32-7FA96ED8DF42}"/>
              </a:ext>
            </a:extLst>
          </xdr:cNvPr>
          <xdr:cNvCxnSpPr>
            <a:stCxn id="564" idx="3"/>
            <a:endCxn id="577" idx="1"/>
          </xdr:cNvCxnSpPr>
        </xdr:nvCxnSpPr>
        <xdr:spPr>
          <a:xfrm flipV="1">
            <a:off x="4169938" y="9354413"/>
            <a:ext cx="262214" cy="12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0" name="Straight Connector 579">
            <a:extLst>
              <a:ext uri="{FF2B5EF4-FFF2-40B4-BE49-F238E27FC236}">
                <a16:creationId xmlns:a16="http://schemas.microsoft.com/office/drawing/2014/main" id="{0D2BB679-A6CD-AF93-FAAC-802998663A62}"/>
              </a:ext>
            </a:extLst>
          </xdr:cNvPr>
          <xdr:cNvCxnSpPr>
            <a:stCxn id="577" idx="3"/>
            <a:endCxn id="576" idx="1"/>
          </xdr:cNvCxnSpPr>
        </xdr:nvCxnSpPr>
        <xdr:spPr>
          <a:xfrm flipV="1">
            <a:off x="5260938" y="9350785"/>
            <a:ext cx="244735" cy="3628"/>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1" name="Straight Connector 580">
            <a:extLst>
              <a:ext uri="{FF2B5EF4-FFF2-40B4-BE49-F238E27FC236}">
                <a16:creationId xmlns:a16="http://schemas.microsoft.com/office/drawing/2014/main" id="{87BB9B1A-2E45-E379-ADA4-3F5C44284FFB}"/>
              </a:ext>
            </a:extLst>
          </xdr:cNvPr>
          <xdr:cNvCxnSpPr>
            <a:stCxn id="576" idx="3"/>
            <a:endCxn id="578" idx="1"/>
          </xdr:cNvCxnSpPr>
        </xdr:nvCxnSpPr>
        <xdr:spPr>
          <a:xfrm flipV="1">
            <a:off x="6518237" y="9343877"/>
            <a:ext cx="266701" cy="6907"/>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582" name="Rectangle: Rounded Corners 581">
            <a:extLst>
              <a:ext uri="{FF2B5EF4-FFF2-40B4-BE49-F238E27FC236}">
                <a16:creationId xmlns:a16="http://schemas.microsoft.com/office/drawing/2014/main" id="{12BB8AFF-011E-8116-632C-5A7E70B8F59D}"/>
              </a:ext>
            </a:extLst>
          </xdr:cNvPr>
          <xdr:cNvSpPr/>
        </xdr:nvSpPr>
        <xdr:spPr>
          <a:xfrm>
            <a:off x="5505674" y="11152609"/>
            <a:ext cx="1012564" cy="589430"/>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B4.A0</a:t>
            </a:r>
          </a:p>
          <a:p>
            <a:pPr algn="ctr"/>
            <a:r>
              <a:rPr lang="en-US" sz="1100">
                <a:solidFill>
                  <a:sysClr val="windowText" lastClr="000000"/>
                </a:solidFill>
              </a:rPr>
              <a:t>chưa rửa</a:t>
            </a:r>
          </a:p>
        </xdr:txBody>
      </xdr:sp>
      <xdr:sp macro="" textlink="">
        <xdr:nvSpPr>
          <xdr:cNvPr id="583" name="Rectangle: Rounded Corners 582">
            <a:extLst>
              <a:ext uri="{FF2B5EF4-FFF2-40B4-BE49-F238E27FC236}">
                <a16:creationId xmlns:a16="http://schemas.microsoft.com/office/drawing/2014/main" id="{E47D9FAE-CE60-7EB0-527B-8923443AC6D0}"/>
              </a:ext>
            </a:extLst>
          </xdr:cNvPr>
          <xdr:cNvSpPr/>
        </xdr:nvSpPr>
        <xdr:spPr>
          <a:xfrm>
            <a:off x="4432151" y="11267844"/>
            <a:ext cx="828787"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Băm</a:t>
            </a:r>
          </a:p>
        </xdr:txBody>
      </xdr:sp>
      <xdr:sp macro="" textlink="">
        <xdr:nvSpPr>
          <xdr:cNvPr id="584" name="Rectangle: Rounded Corners 583">
            <a:extLst>
              <a:ext uri="{FF2B5EF4-FFF2-40B4-BE49-F238E27FC236}">
                <a16:creationId xmlns:a16="http://schemas.microsoft.com/office/drawing/2014/main" id="{AC6E883E-4D8A-A87F-4C18-F4258B947C5C}"/>
              </a:ext>
            </a:extLst>
          </xdr:cNvPr>
          <xdr:cNvSpPr/>
        </xdr:nvSpPr>
        <xdr:spPr>
          <a:xfrm>
            <a:off x="6784938" y="11267844"/>
            <a:ext cx="829683"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Rửa </a:t>
            </a:r>
          </a:p>
        </xdr:txBody>
      </xdr:sp>
      <xdr:cxnSp macro="">
        <xdr:nvCxnSpPr>
          <xdr:cNvPr id="585" name="Straight Connector 584">
            <a:extLst>
              <a:ext uri="{FF2B5EF4-FFF2-40B4-BE49-F238E27FC236}">
                <a16:creationId xmlns:a16="http://schemas.microsoft.com/office/drawing/2014/main" id="{FAF82E16-30E7-B1DD-4E48-E5C1498026FA}"/>
              </a:ext>
            </a:extLst>
          </xdr:cNvPr>
          <xdr:cNvCxnSpPr>
            <a:stCxn id="567" idx="3"/>
            <a:endCxn id="583" idx="1"/>
          </xdr:cNvCxnSpPr>
        </xdr:nvCxnSpPr>
        <xdr:spPr>
          <a:xfrm flipV="1">
            <a:off x="4169938" y="11450948"/>
            <a:ext cx="262214" cy="1226"/>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6" name="Straight Connector 585">
            <a:extLst>
              <a:ext uri="{FF2B5EF4-FFF2-40B4-BE49-F238E27FC236}">
                <a16:creationId xmlns:a16="http://schemas.microsoft.com/office/drawing/2014/main" id="{38EE7840-86DB-FA8E-2A76-3C72D9BE4922}"/>
              </a:ext>
            </a:extLst>
          </xdr:cNvPr>
          <xdr:cNvCxnSpPr>
            <a:stCxn id="583" idx="3"/>
            <a:endCxn id="582" idx="1"/>
          </xdr:cNvCxnSpPr>
        </xdr:nvCxnSpPr>
        <xdr:spPr>
          <a:xfrm flipV="1">
            <a:off x="5260938" y="11447325"/>
            <a:ext cx="244735" cy="3623"/>
          </a:xfrm>
          <a:prstGeom prst="line">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87" name="Straight Connector 586">
            <a:extLst>
              <a:ext uri="{FF2B5EF4-FFF2-40B4-BE49-F238E27FC236}">
                <a16:creationId xmlns:a16="http://schemas.microsoft.com/office/drawing/2014/main" id="{815B4DC4-1BA1-2E17-A10E-041F59203EF2}"/>
              </a:ext>
            </a:extLst>
          </xdr:cNvPr>
          <xdr:cNvCxnSpPr>
            <a:stCxn id="582" idx="3"/>
            <a:endCxn id="584" idx="1"/>
          </xdr:cNvCxnSpPr>
        </xdr:nvCxnSpPr>
        <xdr:spPr>
          <a:xfrm>
            <a:off x="6518237" y="11447325"/>
            <a:ext cx="266701" cy="362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88" name="Connector: Elbow 587">
            <a:extLst>
              <a:ext uri="{FF2B5EF4-FFF2-40B4-BE49-F238E27FC236}">
                <a16:creationId xmlns:a16="http://schemas.microsoft.com/office/drawing/2014/main" id="{96EF4B0E-6837-FEB9-7ED9-2F8942DD9DFD}"/>
              </a:ext>
            </a:extLst>
          </xdr:cNvPr>
          <xdr:cNvCxnSpPr>
            <a:stCxn id="570" idx="2"/>
            <a:endCxn id="589" idx="1"/>
          </xdr:cNvCxnSpPr>
        </xdr:nvCxnSpPr>
        <xdr:spPr>
          <a:xfrm rot="16200000" flipH="1">
            <a:off x="5997024" y="7195160"/>
            <a:ext cx="382849"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89" name="TextBox 588">
            <a:extLst>
              <a:ext uri="{FF2B5EF4-FFF2-40B4-BE49-F238E27FC236}">
                <a16:creationId xmlns:a16="http://schemas.microsoft.com/office/drawing/2014/main" id="{A535B795-70B1-85E6-CB09-EBB03A5740C0}"/>
              </a:ext>
            </a:extLst>
          </xdr:cNvPr>
          <xdr:cNvSpPr txBox="1"/>
        </xdr:nvSpPr>
        <xdr:spPr>
          <a:xfrm>
            <a:off x="6364941" y="7435055"/>
            <a:ext cx="140771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91.39% </a:t>
            </a:r>
            <a:r>
              <a:rPr lang="en-US" sz="1100"/>
              <a:t>Vảy</a:t>
            </a:r>
            <a:r>
              <a:rPr lang="en-US" sz="1100" baseline="0"/>
              <a:t> chưa rửa</a:t>
            </a:r>
            <a:endParaRPr lang="en-US" sz="1100"/>
          </a:p>
        </xdr:txBody>
      </xdr:sp>
      <xdr:sp macro="" textlink="">
        <xdr:nvSpPr>
          <xdr:cNvPr id="590" name="TextBox 589">
            <a:extLst>
              <a:ext uri="{FF2B5EF4-FFF2-40B4-BE49-F238E27FC236}">
                <a16:creationId xmlns:a16="http://schemas.microsoft.com/office/drawing/2014/main" id="{B539F7D5-A56E-EC88-EBBA-95E1E669A155}"/>
              </a:ext>
            </a:extLst>
          </xdr:cNvPr>
          <xdr:cNvSpPr txBox="1"/>
        </xdr:nvSpPr>
        <xdr:spPr>
          <a:xfrm>
            <a:off x="6364941" y="7719509"/>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8.07% </a:t>
            </a:r>
            <a:r>
              <a:rPr lang="en-US" sz="1100" b="0"/>
              <a:t>Phó</a:t>
            </a:r>
            <a:r>
              <a:rPr lang="en-US" sz="1100" b="0" baseline="0"/>
              <a:t> sản</a:t>
            </a:r>
            <a:endParaRPr lang="en-US" sz="1100"/>
          </a:p>
        </xdr:txBody>
      </xdr:sp>
      <xdr:sp macro="" textlink="">
        <xdr:nvSpPr>
          <xdr:cNvPr id="591" name="TextBox 590">
            <a:extLst>
              <a:ext uri="{FF2B5EF4-FFF2-40B4-BE49-F238E27FC236}">
                <a16:creationId xmlns:a16="http://schemas.microsoft.com/office/drawing/2014/main" id="{AB29DAE8-8F3F-F9CF-8451-9C4B828570EF}"/>
              </a:ext>
            </a:extLst>
          </xdr:cNvPr>
          <xdr:cNvSpPr txBox="1"/>
        </xdr:nvSpPr>
        <xdr:spPr>
          <a:xfrm>
            <a:off x="6364941" y="7982892"/>
            <a:ext cx="1327365"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0.54% </a:t>
            </a:r>
            <a:r>
              <a:rPr lang="en-US" sz="1100" b="0"/>
              <a:t>Hao</a:t>
            </a:r>
            <a:r>
              <a:rPr lang="en-US" sz="1100" b="0" baseline="0"/>
              <a:t> hụt khác</a:t>
            </a:r>
            <a:endParaRPr lang="en-US" sz="1100"/>
          </a:p>
        </xdr:txBody>
      </xdr:sp>
      <xdr:cxnSp macro="">
        <xdr:nvCxnSpPr>
          <xdr:cNvPr id="592" name="Connector: Elbow 591">
            <a:extLst>
              <a:ext uri="{FF2B5EF4-FFF2-40B4-BE49-F238E27FC236}">
                <a16:creationId xmlns:a16="http://schemas.microsoft.com/office/drawing/2014/main" id="{BD85949E-728E-A0CF-44DC-BA3F63F6CD3B}"/>
              </a:ext>
            </a:extLst>
          </xdr:cNvPr>
          <xdr:cNvCxnSpPr>
            <a:endCxn id="590" idx="1"/>
          </xdr:cNvCxnSpPr>
        </xdr:nvCxnSpPr>
        <xdr:spPr>
          <a:xfrm rot="16200000" flipH="1">
            <a:off x="6012826" y="7495416"/>
            <a:ext cx="35124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cxnSp macro="">
        <xdr:nvCxnSpPr>
          <xdr:cNvPr id="593" name="Connector: Elbow 592">
            <a:extLst>
              <a:ext uri="{FF2B5EF4-FFF2-40B4-BE49-F238E27FC236}">
                <a16:creationId xmlns:a16="http://schemas.microsoft.com/office/drawing/2014/main" id="{9FF6F9EC-7C8C-A66C-EDCC-D197394CB096}"/>
              </a:ext>
            </a:extLst>
          </xdr:cNvPr>
          <xdr:cNvCxnSpPr>
            <a:endCxn id="591" idx="1"/>
          </xdr:cNvCxnSpPr>
        </xdr:nvCxnSpPr>
        <xdr:spPr>
          <a:xfrm rot="16200000" flipH="1">
            <a:off x="5997023" y="7742994"/>
            <a:ext cx="382851"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594" name="Rectangle: Rounded Corners 593">
            <a:extLst>
              <a:ext uri="{FF2B5EF4-FFF2-40B4-BE49-F238E27FC236}">
                <a16:creationId xmlns:a16="http://schemas.microsoft.com/office/drawing/2014/main" id="{F18D51E5-F45C-7272-9C57-6D4F88208C52}"/>
              </a:ext>
            </a:extLst>
          </xdr:cNvPr>
          <xdr:cNvSpPr/>
        </xdr:nvSpPr>
        <xdr:spPr>
          <a:xfrm>
            <a:off x="7988001" y="6588336"/>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B1.1</a:t>
            </a:r>
          </a:p>
          <a:p>
            <a:pPr algn="ctr"/>
            <a:r>
              <a:rPr lang="en-US" sz="1100">
                <a:solidFill>
                  <a:sysClr val="windowText" lastClr="000000"/>
                </a:solidFill>
              </a:rPr>
              <a:t>sau rửa</a:t>
            </a:r>
          </a:p>
        </xdr:txBody>
      </xdr:sp>
      <xdr:sp macro="" textlink="">
        <xdr:nvSpPr>
          <xdr:cNvPr id="595" name="Rectangle: Rounded Corners 594">
            <a:extLst>
              <a:ext uri="{FF2B5EF4-FFF2-40B4-BE49-F238E27FC236}">
                <a16:creationId xmlns:a16="http://schemas.microsoft.com/office/drawing/2014/main" id="{FB1D5B7A-40F1-261F-D6A1-6792BD5235DD}"/>
              </a:ext>
            </a:extLst>
          </xdr:cNvPr>
          <xdr:cNvSpPr/>
        </xdr:nvSpPr>
        <xdr:spPr>
          <a:xfrm>
            <a:off x="9244405" y="6706038"/>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596" name="Rectangle: Rounded Corners 595">
            <a:extLst>
              <a:ext uri="{FF2B5EF4-FFF2-40B4-BE49-F238E27FC236}">
                <a16:creationId xmlns:a16="http://schemas.microsoft.com/office/drawing/2014/main" id="{B9475C64-A131-82D7-F7EF-2B01B72C20C4}"/>
              </a:ext>
            </a:extLst>
          </xdr:cNvPr>
          <xdr:cNvSpPr/>
        </xdr:nvSpPr>
        <xdr:spPr>
          <a:xfrm>
            <a:off x="10347226" y="6651088"/>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597" name="Straight Connector 596">
            <a:extLst>
              <a:ext uri="{FF2B5EF4-FFF2-40B4-BE49-F238E27FC236}">
                <a16:creationId xmlns:a16="http://schemas.microsoft.com/office/drawing/2014/main" id="{63AE0716-CC06-4E67-7ED3-672C3EF7FFB1}"/>
              </a:ext>
            </a:extLst>
          </xdr:cNvPr>
          <xdr:cNvCxnSpPr>
            <a:stCxn id="572" idx="3"/>
            <a:endCxn id="594" idx="1"/>
          </xdr:cNvCxnSpPr>
        </xdr:nvCxnSpPr>
        <xdr:spPr>
          <a:xfrm flipV="1">
            <a:off x="7614621" y="6886189"/>
            <a:ext cx="373380" cy="2955"/>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598" name="Straight Connector 597">
            <a:extLst>
              <a:ext uri="{FF2B5EF4-FFF2-40B4-BE49-F238E27FC236}">
                <a16:creationId xmlns:a16="http://schemas.microsoft.com/office/drawing/2014/main" id="{C04958CF-3DAA-8509-EB24-3B3750CF9310}"/>
              </a:ext>
            </a:extLst>
          </xdr:cNvPr>
          <xdr:cNvCxnSpPr>
            <a:stCxn id="594" idx="3"/>
            <a:endCxn id="595" idx="1"/>
          </xdr:cNvCxnSpPr>
        </xdr:nvCxnSpPr>
        <xdr:spPr>
          <a:xfrm>
            <a:off x="9000565" y="6886189"/>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599" name="Straight Connector 598">
            <a:extLst>
              <a:ext uri="{FF2B5EF4-FFF2-40B4-BE49-F238E27FC236}">
                <a16:creationId xmlns:a16="http://schemas.microsoft.com/office/drawing/2014/main" id="{016CE421-D288-E20A-1938-031C145FE47F}"/>
              </a:ext>
            </a:extLst>
          </xdr:cNvPr>
          <xdr:cNvCxnSpPr>
            <a:stCxn id="595" idx="3"/>
            <a:endCxn id="596" idx="1"/>
          </xdr:cNvCxnSpPr>
        </xdr:nvCxnSpPr>
        <xdr:spPr>
          <a:xfrm>
            <a:off x="10074985" y="6889142"/>
            <a:ext cx="272241" cy="407"/>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00" name="Connector: Elbow 599">
            <a:extLst>
              <a:ext uri="{FF2B5EF4-FFF2-40B4-BE49-F238E27FC236}">
                <a16:creationId xmlns:a16="http://schemas.microsoft.com/office/drawing/2014/main" id="{72818262-8063-B919-C75B-92F5628E49C2}"/>
              </a:ext>
            </a:extLst>
          </xdr:cNvPr>
          <xdr:cNvCxnSpPr>
            <a:stCxn id="594" idx="2"/>
            <a:endCxn id="601" idx="1"/>
          </xdr:cNvCxnSpPr>
        </xdr:nvCxnSpPr>
        <xdr:spPr>
          <a:xfrm rot="16200000" flipH="1">
            <a:off x="8451898" y="7226425"/>
            <a:ext cx="39382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1" name="TextBox 600">
            <a:extLst>
              <a:ext uri="{FF2B5EF4-FFF2-40B4-BE49-F238E27FC236}">
                <a16:creationId xmlns:a16="http://schemas.microsoft.com/office/drawing/2014/main" id="{32B8D4C3-D993-C396-CBB4-0ACE1E7CF9FE}"/>
              </a:ext>
            </a:extLst>
          </xdr:cNvPr>
          <xdr:cNvSpPr txBox="1"/>
        </xdr:nvSpPr>
        <xdr:spPr>
          <a:xfrm>
            <a:off x="8803341" y="7445589"/>
            <a:ext cx="106728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96.3% </a:t>
            </a:r>
            <a:r>
              <a:rPr lang="en-US" sz="1100"/>
              <a:t>Vảy</a:t>
            </a:r>
            <a:r>
              <a:rPr lang="en-US" sz="1100" baseline="0"/>
              <a:t> sạch</a:t>
            </a:r>
            <a:endParaRPr lang="en-US" sz="1100"/>
          </a:p>
        </xdr:txBody>
      </xdr:sp>
      <xdr:cxnSp macro="">
        <xdr:nvCxnSpPr>
          <xdr:cNvPr id="602" name="Connector: Elbow 601">
            <a:extLst>
              <a:ext uri="{FF2B5EF4-FFF2-40B4-BE49-F238E27FC236}">
                <a16:creationId xmlns:a16="http://schemas.microsoft.com/office/drawing/2014/main" id="{A64C5AF9-45D7-738A-3709-EC3B58CA6927}"/>
              </a:ext>
            </a:extLst>
          </xdr:cNvPr>
          <xdr:cNvCxnSpPr>
            <a:stCxn id="594" idx="2"/>
            <a:endCxn id="603" idx="1"/>
          </xdr:cNvCxnSpPr>
        </xdr:nvCxnSpPr>
        <xdr:spPr>
          <a:xfrm rot="16200000" flipH="1">
            <a:off x="8327603" y="7350720"/>
            <a:ext cx="642418" cy="309058"/>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03" name="TextBox 602">
            <a:extLst>
              <a:ext uri="{FF2B5EF4-FFF2-40B4-BE49-F238E27FC236}">
                <a16:creationId xmlns:a16="http://schemas.microsoft.com/office/drawing/2014/main" id="{F6459CD0-1DEE-B71F-DC28-E33A76AC1AD7}"/>
              </a:ext>
            </a:extLst>
          </xdr:cNvPr>
          <xdr:cNvSpPr txBox="1"/>
        </xdr:nvSpPr>
        <xdr:spPr>
          <a:xfrm>
            <a:off x="8803341" y="7698437"/>
            <a:ext cx="16826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3.58% </a:t>
            </a:r>
            <a:r>
              <a:rPr lang="en-US" sz="1100"/>
              <a:t>Phó</a:t>
            </a:r>
            <a:r>
              <a:rPr lang="en-US" sz="1100" baseline="0"/>
              <a:t> sản + hao hụt</a:t>
            </a:r>
            <a:endParaRPr lang="en-US" sz="1100"/>
          </a:p>
        </xdr:txBody>
      </xdr:sp>
      <xdr:cxnSp macro="">
        <xdr:nvCxnSpPr>
          <xdr:cNvPr id="604" name="Connector: Elbow 603">
            <a:extLst>
              <a:ext uri="{FF2B5EF4-FFF2-40B4-BE49-F238E27FC236}">
                <a16:creationId xmlns:a16="http://schemas.microsoft.com/office/drawing/2014/main" id="{8E7E8BA9-E1F6-5F61-2327-62184AF35DF2}"/>
              </a:ext>
            </a:extLst>
          </xdr:cNvPr>
          <xdr:cNvCxnSpPr>
            <a:stCxn id="596" idx="2"/>
            <a:endCxn id="605" idx="1"/>
          </xdr:cNvCxnSpPr>
        </xdr:nvCxnSpPr>
        <xdr:spPr>
          <a:xfrm rot="16200000" flipH="1">
            <a:off x="10766219" y="7215747"/>
            <a:ext cx="428787"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5" name="TextBox 604">
            <a:extLst>
              <a:ext uri="{FF2B5EF4-FFF2-40B4-BE49-F238E27FC236}">
                <a16:creationId xmlns:a16="http://schemas.microsoft.com/office/drawing/2014/main" id="{E2655E0A-E780-78A2-F86B-196059C3A457}"/>
              </a:ext>
            </a:extLst>
          </xdr:cNvPr>
          <xdr:cNvSpPr txBox="1"/>
        </xdr:nvSpPr>
        <xdr:spPr>
          <a:xfrm>
            <a:off x="11107270" y="7424519"/>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a:t>
            </a:r>
            <a:endParaRPr lang="en-US" sz="1100" b="0"/>
          </a:p>
        </xdr:txBody>
      </xdr:sp>
      <xdr:cxnSp macro="">
        <xdr:nvCxnSpPr>
          <xdr:cNvPr id="606" name="Connector: Elbow 605">
            <a:extLst>
              <a:ext uri="{FF2B5EF4-FFF2-40B4-BE49-F238E27FC236}">
                <a16:creationId xmlns:a16="http://schemas.microsoft.com/office/drawing/2014/main" id="{8F09DEE1-E7FF-5143-B5E8-16AD9D8FCEA5}"/>
              </a:ext>
            </a:extLst>
          </xdr:cNvPr>
          <xdr:cNvCxnSpPr>
            <a:stCxn id="596" idx="2"/>
            <a:endCxn id="607" idx="1"/>
          </xdr:cNvCxnSpPr>
        </xdr:nvCxnSpPr>
        <xdr:spPr>
          <a:xfrm rot="16200000" flipH="1">
            <a:off x="10645062" y="7336903"/>
            <a:ext cx="671101"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7" name="TextBox 606">
            <a:extLst>
              <a:ext uri="{FF2B5EF4-FFF2-40B4-BE49-F238E27FC236}">
                <a16:creationId xmlns:a16="http://schemas.microsoft.com/office/drawing/2014/main" id="{81579D17-A961-5C88-052D-350DC586E01B}"/>
              </a:ext>
            </a:extLst>
          </xdr:cNvPr>
          <xdr:cNvSpPr txBox="1"/>
        </xdr:nvSpPr>
        <xdr:spPr>
          <a:xfrm>
            <a:off x="11107270" y="7666832"/>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iSS01G</a:t>
            </a:r>
            <a:endParaRPr lang="en-US" sz="1100" b="0"/>
          </a:p>
        </xdr:txBody>
      </xdr:sp>
      <xdr:cxnSp macro="">
        <xdr:nvCxnSpPr>
          <xdr:cNvPr id="608" name="Connector: Elbow 607">
            <a:extLst>
              <a:ext uri="{FF2B5EF4-FFF2-40B4-BE49-F238E27FC236}">
                <a16:creationId xmlns:a16="http://schemas.microsoft.com/office/drawing/2014/main" id="{4535FCAF-887B-F987-2DFA-DEFDDEF0C902}"/>
              </a:ext>
            </a:extLst>
          </xdr:cNvPr>
          <xdr:cNvCxnSpPr>
            <a:stCxn id="596" idx="2"/>
            <a:endCxn id="609" idx="1"/>
          </xdr:cNvCxnSpPr>
        </xdr:nvCxnSpPr>
        <xdr:spPr>
          <a:xfrm rot="16200000" flipH="1">
            <a:off x="10534441" y="7447526"/>
            <a:ext cx="892344"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09" name="TextBox 608">
            <a:extLst>
              <a:ext uri="{FF2B5EF4-FFF2-40B4-BE49-F238E27FC236}">
                <a16:creationId xmlns:a16="http://schemas.microsoft.com/office/drawing/2014/main" id="{357BD24C-5C56-7034-3A6B-A7B30A118935}"/>
              </a:ext>
            </a:extLst>
          </xdr:cNvPr>
          <xdr:cNvSpPr txBox="1"/>
        </xdr:nvSpPr>
        <xdr:spPr>
          <a:xfrm>
            <a:off x="11107271" y="7888075"/>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iSS01084G</a:t>
            </a:r>
            <a:endParaRPr lang="en-US" sz="1100" b="0"/>
          </a:p>
        </xdr:txBody>
      </xdr:sp>
      <xdr:cxnSp macro="">
        <xdr:nvCxnSpPr>
          <xdr:cNvPr id="610" name="Connector: Elbow 609">
            <a:extLst>
              <a:ext uri="{FF2B5EF4-FFF2-40B4-BE49-F238E27FC236}">
                <a16:creationId xmlns:a16="http://schemas.microsoft.com/office/drawing/2014/main" id="{F5AF5556-A7D6-2102-B9C9-38E4F48F28C3}"/>
              </a:ext>
            </a:extLst>
          </xdr:cNvPr>
          <xdr:cNvCxnSpPr>
            <a:stCxn id="596" idx="2"/>
            <a:endCxn id="611" idx="1"/>
          </xdr:cNvCxnSpPr>
        </xdr:nvCxnSpPr>
        <xdr:spPr>
          <a:xfrm rot="16200000" flipH="1">
            <a:off x="10423821" y="7558146"/>
            <a:ext cx="1113585"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1" name="TextBox 610">
            <a:extLst>
              <a:ext uri="{FF2B5EF4-FFF2-40B4-BE49-F238E27FC236}">
                <a16:creationId xmlns:a16="http://schemas.microsoft.com/office/drawing/2014/main" id="{FD2C8B9E-AAB1-CCC1-5344-1C06C60D479C}"/>
              </a:ext>
            </a:extLst>
          </xdr:cNvPr>
          <xdr:cNvSpPr txBox="1"/>
        </xdr:nvSpPr>
        <xdr:spPr>
          <a:xfrm>
            <a:off x="11107271" y="8109317"/>
            <a:ext cx="136941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a:t>
            </a:r>
            <a:endParaRPr lang="en-US" sz="1100" b="0"/>
          </a:p>
        </xdr:txBody>
      </xdr:sp>
      <xdr:sp macro="" textlink="">
        <xdr:nvSpPr>
          <xdr:cNvPr id="612" name="Rectangle: Rounded Corners 611">
            <a:extLst>
              <a:ext uri="{FF2B5EF4-FFF2-40B4-BE49-F238E27FC236}">
                <a16:creationId xmlns:a16="http://schemas.microsoft.com/office/drawing/2014/main" id="{944C96CA-0C18-79C0-FC8F-02D5A1BE287B}"/>
              </a:ext>
            </a:extLst>
          </xdr:cNvPr>
          <xdr:cNvSpPr/>
        </xdr:nvSpPr>
        <xdr:spPr>
          <a:xfrm>
            <a:off x="7988001" y="904307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B2.2/B5</a:t>
            </a:r>
          </a:p>
          <a:p>
            <a:pPr algn="ctr"/>
            <a:r>
              <a:rPr lang="en-US" sz="1100">
                <a:solidFill>
                  <a:sysClr val="windowText" lastClr="000000"/>
                </a:solidFill>
              </a:rPr>
              <a:t>sau rửa</a:t>
            </a:r>
          </a:p>
        </xdr:txBody>
      </xdr:sp>
      <xdr:sp macro="" textlink="">
        <xdr:nvSpPr>
          <xdr:cNvPr id="613" name="Rectangle: Rounded Corners 612">
            <a:extLst>
              <a:ext uri="{FF2B5EF4-FFF2-40B4-BE49-F238E27FC236}">
                <a16:creationId xmlns:a16="http://schemas.microsoft.com/office/drawing/2014/main" id="{8D196166-1E18-8962-E203-CD95EBCD77AE}"/>
              </a:ext>
            </a:extLst>
          </xdr:cNvPr>
          <xdr:cNvSpPr/>
        </xdr:nvSpPr>
        <xdr:spPr>
          <a:xfrm>
            <a:off x="9244405" y="9160774"/>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Tạo</a:t>
            </a:r>
            <a:r>
              <a:rPr lang="en-US" sz="1100" b="1" baseline="0">
                <a:solidFill>
                  <a:schemeClr val="bg1"/>
                </a:solidFill>
              </a:rPr>
              <a:t> mẫu</a:t>
            </a:r>
            <a:endParaRPr lang="en-US" sz="1100" b="1">
              <a:solidFill>
                <a:schemeClr val="bg1"/>
              </a:solidFill>
            </a:endParaRPr>
          </a:p>
        </xdr:txBody>
      </xdr:sp>
      <xdr:sp macro="" textlink="">
        <xdr:nvSpPr>
          <xdr:cNvPr id="614" name="Rectangle: Rounded Corners 613">
            <a:extLst>
              <a:ext uri="{FF2B5EF4-FFF2-40B4-BE49-F238E27FC236}">
                <a16:creationId xmlns:a16="http://schemas.microsoft.com/office/drawing/2014/main" id="{5EF99230-5538-1B13-4B29-74D7C5ADB10C}"/>
              </a:ext>
            </a:extLst>
          </xdr:cNvPr>
          <xdr:cNvSpPr/>
        </xdr:nvSpPr>
        <xdr:spPr>
          <a:xfrm>
            <a:off x="10347226" y="910582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Thành</a:t>
            </a:r>
            <a:r>
              <a:rPr lang="en-US" sz="1100" baseline="0">
                <a:solidFill>
                  <a:sysClr val="windowText" lastClr="000000"/>
                </a:solidFill>
              </a:rPr>
              <a:t> phẩm</a:t>
            </a:r>
            <a:endParaRPr lang="en-US" sz="1100">
              <a:solidFill>
                <a:sysClr val="windowText" lastClr="000000"/>
              </a:solidFill>
            </a:endParaRPr>
          </a:p>
        </xdr:txBody>
      </xdr:sp>
      <xdr:cxnSp macro="">
        <xdr:nvCxnSpPr>
          <xdr:cNvPr id="615" name="Straight Connector 614">
            <a:extLst>
              <a:ext uri="{FF2B5EF4-FFF2-40B4-BE49-F238E27FC236}">
                <a16:creationId xmlns:a16="http://schemas.microsoft.com/office/drawing/2014/main" id="{5ADDA011-2500-E336-0D5D-67DC506A989F}"/>
              </a:ext>
            </a:extLst>
          </xdr:cNvPr>
          <xdr:cNvCxnSpPr>
            <a:stCxn id="578" idx="3"/>
            <a:endCxn id="612" idx="1"/>
          </xdr:cNvCxnSpPr>
        </xdr:nvCxnSpPr>
        <xdr:spPr>
          <a:xfrm flipV="1">
            <a:off x="7614621" y="9340924"/>
            <a:ext cx="373380" cy="2953"/>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16" name="Straight Connector 615">
            <a:extLst>
              <a:ext uri="{FF2B5EF4-FFF2-40B4-BE49-F238E27FC236}">
                <a16:creationId xmlns:a16="http://schemas.microsoft.com/office/drawing/2014/main" id="{0CC42B62-8BA8-080C-5D33-D6D215BBB15C}"/>
              </a:ext>
            </a:extLst>
          </xdr:cNvPr>
          <xdr:cNvCxnSpPr>
            <a:stCxn id="612" idx="3"/>
            <a:endCxn id="613" idx="1"/>
          </xdr:cNvCxnSpPr>
        </xdr:nvCxnSpPr>
        <xdr:spPr>
          <a:xfrm>
            <a:off x="9000565" y="9340924"/>
            <a:ext cx="243841" cy="2954"/>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7" name="Straight Connector 616">
            <a:extLst>
              <a:ext uri="{FF2B5EF4-FFF2-40B4-BE49-F238E27FC236}">
                <a16:creationId xmlns:a16="http://schemas.microsoft.com/office/drawing/2014/main" id="{4EA794EA-2D2C-DF20-2A54-994F60294381}"/>
              </a:ext>
            </a:extLst>
          </xdr:cNvPr>
          <xdr:cNvCxnSpPr>
            <a:stCxn id="613" idx="3"/>
            <a:endCxn id="614" idx="1"/>
          </xdr:cNvCxnSpPr>
        </xdr:nvCxnSpPr>
        <xdr:spPr>
          <a:xfrm>
            <a:off x="10074985" y="9343878"/>
            <a:ext cx="272241" cy="40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18" name="Connector: Elbow 617">
            <a:extLst>
              <a:ext uri="{FF2B5EF4-FFF2-40B4-BE49-F238E27FC236}">
                <a16:creationId xmlns:a16="http://schemas.microsoft.com/office/drawing/2014/main" id="{0DB8B0AE-BA7F-4672-70CA-F0D0F4CEE9B3}"/>
              </a:ext>
            </a:extLst>
          </xdr:cNvPr>
          <xdr:cNvCxnSpPr>
            <a:stCxn id="614" idx="2"/>
            <a:endCxn id="619" idx="1"/>
          </xdr:cNvCxnSpPr>
        </xdr:nvCxnSpPr>
        <xdr:spPr>
          <a:xfrm rot="16200000" flipH="1">
            <a:off x="10773615" y="9663086"/>
            <a:ext cx="41399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19" name="TextBox 618">
            <a:extLst>
              <a:ext uri="{FF2B5EF4-FFF2-40B4-BE49-F238E27FC236}">
                <a16:creationId xmlns:a16="http://schemas.microsoft.com/office/drawing/2014/main" id="{D20B4FD3-BFB2-46C1-41AE-B8FEFDFF8457}"/>
              </a:ext>
            </a:extLst>
          </xdr:cNvPr>
          <xdr:cNvSpPr txBox="1"/>
        </xdr:nvSpPr>
        <xdr:spPr>
          <a:xfrm>
            <a:off x="11107270" y="9868719"/>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WSS01G-Nia</a:t>
            </a:r>
            <a:endParaRPr lang="en-US" sz="1100" b="0"/>
          </a:p>
        </xdr:txBody>
      </xdr:sp>
      <xdr:sp macro="" textlink="">
        <xdr:nvSpPr>
          <xdr:cNvPr id="620" name="TextBox 619">
            <a:extLst>
              <a:ext uri="{FF2B5EF4-FFF2-40B4-BE49-F238E27FC236}">
                <a16:creationId xmlns:a16="http://schemas.microsoft.com/office/drawing/2014/main" id="{4B582F77-4EDA-F5E2-EC45-3013D8323558}"/>
              </a:ext>
            </a:extLst>
          </xdr:cNvPr>
          <xdr:cNvSpPr txBox="1"/>
        </xdr:nvSpPr>
        <xdr:spPr>
          <a:xfrm>
            <a:off x="13016755" y="9868719"/>
            <a:ext cx="124495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10%</a:t>
            </a:r>
            <a:r>
              <a:rPr lang="en-US" sz="1100" b="0"/>
              <a:t>B2.2 + 90%B1</a:t>
            </a:r>
            <a:endParaRPr lang="en-US" sz="1100" b="1">
              <a:solidFill>
                <a:srgbClr val="7030A0"/>
              </a:solidFill>
            </a:endParaRPr>
          </a:p>
        </xdr:txBody>
      </xdr:sp>
      <xdr:cxnSp macro="">
        <xdr:nvCxnSpPr>
          <xdr:cNvPr id="621" name="Straight Connector 620">
            <a:extLst>
              <a:ext uri="{FF2B5EF4-FFF2-40B4-BE49-F238E27FC236}">
                <a16:creationId xmlns:a16="http://schemas.microsoft.com/office/drawing/2014/main" id="{AEC09EAD-BB8E-6EE7-23A7-5DFED5CBEEFD}"/>
              </a:ext>
            </a:extLst>
          </xdr:cNvPr>
          <xdr:cNvCxnSpPr>
            <a:stCxn id="619" idx="3"/>
            <a:endCxn id="620" idx="1"/>
          </xdr:cNvCxnSpPr>
        </xdr:nvCxnSpPr>
        <xdr:spPr>
          <a:xfrm>
            <a:off x="12476684" y="9996741"/>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2" name="Connector: Elbow 621">
            <a:extLst>
              <a:ext uri="{FF2B5EF4-FFF2-40B4-BE49-F238E27FC236}">
                <a16:creationId xmlns:a16="http://schemas.microsoft.com/office/drawing/2014/main" id="{CC1D9E1F-6121-B2CB-DF8C-85695CB3EE62}"/>
              </a:ext>
            </a:extLst>
          </xdr:cNvPr>
          <xdr:cNvCxnSpPr>
            <a:stCxn id="614" idx="2"/>
            <a:endCxn id="623" idx="1"/>
          </xdr:cNvCxnSpPr>
        </xdr:nvCxnSpPr>
        <xdr:spPr>
          <a:xfrm rot="16200000" flipH="1">
            <a:off x="10640175" y="9796526"/>
            <a:ext cx="680875"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3" name="TextBox 622">
            <a:extLst>
              <a:ext uri="{FF2B5EF4-FFF2-40B4-BE49-F238E27FC236}">
                <a16:creationId xmlns:a16="http://schemas.microsoft.com/office/drawing/2014/main" id="{84AD7E14-0444-E37C-D973-90D12EFF1E65}"/>
              </a:ext>
            </a:extLst>
          </xdr:cNvPr>
          <xdr:cNvSpPr txBox="1"/>
        </xdr:nvSpPr>
        <xdr:spPr>
          <a:xfrm>
            <a:off x="11107270" y="10131342"/>
            <a:ext cx="13826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WSS03G-PW</a:t>
            </a:r>
            <a:endParaRPr lang="en-US" sz="1100" b="0"/>
          </a:p>
        </xdr:txBody>
      </xdr:sp>
      <xdr:sp macro="" textlink="">
        <xdr:nvSpPr>
          <xdr:cNvPr id="624" name="TextBox 623">
            <a:extLst>
              <a:ext uri="{FF2B5EF4-FFF2-40B4-BE49-F238E27FC236}">
                <a16:creationId xmlns:a16="http://schemas.microsoft.com/office/drawing/2014/main" id="{90399655-B3A7-1123-8412-565D0D53E320}"/>
              </a:ext>
            </a:extLst>
          </xdr:cNvPr>
          <xdr:cNvSpPr txBox="1"/>
        </xdr:nvSpPr>
        <xdr:spPr>
          <a:xfrm>
            <a:off x="13016755" y="10131342"/>
            <a:ext cx="382792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15%</a:t>
            </a:r>
            <a:r>
              <a:rPr lang="en-US" sz="1100" b="0"/>
              <a:t>B2.2 + </a:t>
            </a:r>
            <a:r>
              <a:rPr lang="en-US" sz="1100" b="0">
                <a:solidFill>
                  <a:schemeClr val="tx1"/>
                </a:solidFill>
                <a:effectLst/>
                <a:latin typeface="+mn-lt"/>
                <a:ea typeface="+mn-ea"/>
                <a:cs typeface="+mn-cs"/>
              </a:rPr>
              <a:t>55%B6.2 + 30%B1  </a:t>
            </a:r>
            <a:endParaRPr lang="en-US" sz="1100" b="0">
              <a:solidFill>
                <a:srgbClr val="7030A0"/>
              </a:solidFill>
            </a:endParaRPr>
          </a:p>
        </xdr:txBody>
      </xdr:sp>
      <xdr:cxnSp macro="">
        <xdr:nvCxnSpPr>
          <xdr:cNvPr id="625" name="Straight Connector 624">
            <a:extLst>
              <a:ext uri="{FF2B5EF4-FFF2-40B4-BE49-F238E27FC236}">
                <a16:creationId xmlns:a16="http://schemas.microsoft.com/office/drawing/2014/main" id="{458D825B-CE4E-A610-C8A8-669771799DDC}"/>
              </a:ext>
            </a:extLst>
          </xdr:cNvPr>
          <xdr:cNvCxnSpPr>
            <a:stCxn id="623" idx="3"/>
            <a:endCxn id="624" idx="1"/>
          </xdr:cNvCxnSpPr>
        </xdr:nvCxnSpPr>
        <xdr:spPr>
          <a:xfrm>
            <a:off x="12489892" y="10263622"/>
            <a:ext cx="526862"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26" name="Connector: Elbow 625">
            <a:extLst>
              <a:ext uri="{FF2B5EF4-FFF2-40B4-BE49-F238E27FC236}">
                <a16:creationId xmlns:a16="http://schemas.microsoft.com/office/drawing/2014/main" id="{3F70817F-86D9-B14B-F1B1-A10268D763CA}"/>
              </a:ext>
            </a:extLst>
          </xdr:cNvPr>
          <xdr:cNvCxnSpPr>
            <a:stCxn id="614" idx="2"/>
            <a:endCxn id="627" idx="1"/>
          </xdr:cNvCxnSpPr>
        </xdr:nvCxnSpPr>
        <xdr:spPr>
          <a:xfrm rot="16200000" flipH="1">
            <a:off x="10510231" y="9926469"/>
            <a:ext cx="940762" cy="253314"/>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27" name="TextBox 626">
            <a:extLst>
              <a:ext uri="{FF2B5EF4-FFF2-40B4-BE49-F238E27FC236}">
                <a16:creationId xmlns:a16="http://schemas.microsoft.com/office/drawing/2014/main" id="{C63C578F-C727-7913-3088-5A6122BE06CE}"/>
              </a:ext>
            </a:extLst>
          </xdr:cNvPr>
          <xdr:cNvSpPr txBox="1"/>
        </xdr:nvSpPr>
        <xdr:spPr>
          <a:xfrm>
            <a:off x="11107270" y="10395485"/>
            <a:ext cx="136941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hạt WSS01S</a:t>
            </a:r>
            <a:endParaRPr lang="en-US" sz="1100" b="0"/>
          </a:p>
        </xdr:txBody>
      </xdr:sp>
      <xdr:sp macro="" textlink="">
        <xdr:nvSpPr>
          <xdr:cNvPr id="628" name="TextBox 627">
            <a:extLst>
              <a:ext uri="{FF2B5EF4-FFF2-40B4-BE49-F238E27FC236}">
                <a16:creationId xmlns:a16="http://schemas.microsoft.com/office/drawing/2014/main" id="{88FF71AE-DFB9-D127-2ADA-CB7DCF4E4DAC}"/>
              </a:ext>
            </a:extLst>
          </xdr:cNvPr>
          <xdr:cNvSpPr txBox="1"/>
        </xdr:nvSpPr>
        <xdr:spPr>
          <a:xfrm>
            <a:off x="13016755" y="10395485"/>
            <a:ext cx="3053287"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50%</a:t>
            </a:r>
            <a:r>
              <a:rPr lang="en-US" sz="1100" b="0"/>
              <a:t>B5-A1/A2/A3 + 10%B7-A1/A2/A3 + </a:t>
            </a:r>
            <a:r>
              <a:rPr lang="en-US" sz="1100" b="0">
                <a:solidFill>
                  <a:schemeClr val="tx1"/>
                </a:solidFill>
                <a:effectLst/>
                <a:latin typeface="+mn-lt"/>
                <a:ea typeface="+mn-ea"/>
                <a:cs typeface="+mn-cs"/>
              </a:rPr>
              <a:t>40%B1-A3</a:t>
            </a:r>
            <a:endParaRPr lang="en-US" sz="1100" b="0">
              <a:solidFill>
                <a:srgbClr val="7030A0"/>
              </a:solidFill>
            </a:endParaRPr>
          </a:p>
        </xdr:txBody>
      </xdr:sp>
      <xdr:cxnSp macro="">
        <xdr:nvCxnSpPr>
          <xdr:cNvPr id="629" name="Straight Connector 628">
            <a:extLst>
              <a:ext uri="{FF2B5EF4-FFF2-40B4-BE49-F238E27FC236}">
                <a16:creationId xmlns:a16="http://schemas.microsoft.com/office/drawing/2014/main" id="{CBC90946-B5C2-A38B-FAB4-A86B596B04FA}"/>
              </a:ext>
            </a:extLst>
          </xdr:cNvPr>
          <xdr:cNvCxnSpPr>
            <a:stCxn id="627" idx="3"/>
            <a:endCxn id="628" idx="1"/>
          </xdr:cNvCxnSpPr>
        </xdr:nvCxnSpPr>
        <xdr:spPr>
          <a:xfrm>
            <a:off x="12476684" y="10523508"/>
            <a:ext cx="540071"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0" name="Connector: Elbow 629">
            <a:extLst>
              <a:ext uri="{FF2B5EF4-FFF2-40B4-BE49-F238E27FC236}">
                <a16:creationId xmlns:a16="http://schemas.microsoft.com/office/drawing/2014/main" id="{88EEFDB6-723C-2422-5381-0BD2760CC1BE}"/>
              </a:ext>
            </a:extLst>
          </xdr:cNvPr>
          <xdr:cNvCxnSpPr>
            <a:endCxn id="631" idx="1"/>
          </xdr:cNvCxnSpPr>
        </xdr:nvCxnSpPr>
        <xdr:spPr>
          <a:xfrm rot="16200000" flipH="1">
            <a:off x="10510231" y="10168782"/>
            <a:ext cx="940762"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1" name="TextBox 630">
            <a:extLst>
              <a:ext uri="{FF2B5EF4-FFF2-40B4-BE49-F238E27FC236}">
                <a16:creationId xmlns:a16="http://schemas.microsoft.com/office/drawing/2014/main" id="{EAC93BF7-F11D-59E1-42BF-81914E2AB5C4}"/>
              </a:ext>
            </a:extLst>
          </xdr:cNvPr>
          <xdr:cNvSpPr txBox="1"/>
        </xdr:nvSpPr>
        <xdr:spPr>
          <a:xfrm>
            <a:off x="11107270" y="10637799"/>
            <a:ext cx="179760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solidFill>
                  <a:schemeClr val="tx1"/>
                </a:solidFill>
                <a:effectLst/>
                <a:latin typeface="+mn-lt"/>
                <a:ea typeface="+mn-ea"/>
                <a:cs typeface="+mn-cs"/>
              </a:rPr>
              <a:t>Tạo</a:t>
            </a:r>
            <a:r>
              <a:rPr lang="en-US" sz="1100" b="0" baseline="0">
                <a:solidFill>
                  <a:schemeClr val="tx1"/>
                </a:solidFill>
                <a:effectLst/>
                <a:latin typeface="+mn-lt"/>
                <a:ea typeface="+mn-ea"/>
                <a:cs typeface="+mn-cs"/>
              </a:rPr>
              <a:t> hạt WSS05SB (Sợi ngắn)</a:t>
            </a:r>
            <a:endParaRPr lang="en-US">
              <a:effectLst/>
            </a:endParaRPr>
          </a:p>
        </xdr:txBody>
      </xdr:sp>
      <xdr:sp macro="" textlink="">
        <xdr:nvSpPr>
          <xdr:cNvPr id="632" name="TextBox 631">
            <a:extLst>
              <a:ext uri="{FF2B5EF4-FFF2-40B4-BE49-F238E27FC236}">
                <a16:creationId xmlns:a16="http://schemas.microsoft.com/office/drawing/2014/main" id="{90255E31-4CC5-C4CC-C933-A0AAB1D7DD16}"/>
              </a:ext>
            </a:extLst>
          </xdr:cNvPr>
          <xdr:cNvSpPr txBox="1"/>
        </xdr:nvSpPr>
        <xdr:spPr>
          <a:xfrm>
            <a:off x="13016755" y="10637799"/>
            <a:ext cx="1205296"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chemeClr val="tx1"/>
                </a:solidFill>
                <a:effectLst/>
                <a:latin typeface="+mn-lt"/>
                <a:ea typeface="+mn-ea"/>
                <a:cs typeface="+mn-cs"/>
              </a:rPr>
              <a:t>5%</a:t>
            </a:r>
            <a:r>
              <a:rPr lang="en-US" sz="1100" b="0">
                <a:solidFill>
                  <a:schemeClr val="tx1"/>
                </a:solidFill>
                <a:effectLst/>
                <a:latin typeface="+mn-lt"/>
                <a:ea typeface="+mn-ea"/>
                <a:cs typeface="+mn-cs"/>
              </a:rPr>
              <a:t>B5 + 95%B6.2 </a:t>
            </a:r>
            <a:endParaRPr lang="en-US">
              <a:effectLst/>
            </a:endParaRPr>
          </a:p>
        </xdr:txBody>
      </xdr:sp>
      <xdr:cxnSp macro="">
        <xdr:nvCxnSpPr>
          <xdr:cNvPr id="633" name="Straight Connector 632">
            <a:extLst>
              <a:ext uri="{FF2B5EF4-FFF2-40B4-BE49-F238E27FC236}">
                <a16:creationId xmlns:a16="http://schemas.microsoft.com/office/drawing/2014/main" id="{DF9D6799-1EEE-6540-BCBF-D516EBB5E613}"/>
              </a:ext>
            </a:extLst>
          </xdr:cNvPr>
          <xdr:cNvCxnSpPr>
            <a:stCxn id="631" idx="3"/>
            <a:endCxn id="632" idx="1"/>
          </xdr:cNvCxnSpPr>
        </xdr:nvCxnSpPr>
        <xdr:spPr>
          <a:xfrm>
            <a:off x="12904876" y="10765821"/>
            <a:ext cx="111879"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34" name="Rectangle: Rounded Corners 633">
            <a:extLst>
              <a:ext uri="{FF2B5EF4-FFF2-40B4-BE49-F238E27FC236}">
                <a16:creationId xmlns:a16="http://schemas.microsoft.com/office/drawing/2014/main" id="{2A7D449C-6606-C7C9-9654-33DC43AF230D}"/>
              </a:ext>
            </a:extLst>
          </xdr:cNvPr>
          <xdr:cNvSpPr/>
        </xdr:nvSpPr>
        <xdr:spPr>
          <a:xfrm>
            <a:off x="7988001" y="11150142"/>
            <a:ext cx="1012564" cy="595705"/>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Vảy B4</a:t>
            </a:r>
          </a:p>
          <a:p>
            <a:pPr algn="ctr"/>
            <a:r>
              <a:rPr lang="en-US" sz="1100">
                <a:solidFill>
                  <a:sysClr val="windowText" lastClr="000000"/>
                </a:solidFill>
              </a:rPr>
              <a:t>sau rửa</a:t>
            </a:r>
          </a:p>
        </xdr:txBody>
      </xdr:sp>
      <xdr:sp macro="" textlink="">
        <xdr:nvSpPr>
          <xdr:cNvPr id="635" name="Rectangle: Rounded Corners 634">
            <a:extLst>
              <a:ext uri="{FF2B5EF4-FFF2-40B4-BE49-F238E27FC236}">
                <a16:creationId xmlns:a16="http://schemas.microsoft.com/office/drawing/2014/main" id="{82D56DEA-6ACC-C5CD-3728-8D2C658D621E}"/>
              </a:ext>
            </a:extLst>
          </xdr:cNvPr>
          <xdr:cNvSpPr/>
        </xdr:nvSpPr>
        <xdr:spPr>
          <a:xfrm>
            <a:off x="9244405" y="11267845"/>
            <a:ext cx="830580" cy="366209"/>
          </a:xfrm>
          <a:prstGeom prst="roundRect">
            <a:avLst/>
          </a:prstGeom>
          <a:solidFill>
            <a:schemeClr val="accent6"/>
          </a:solid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Gia</a:t>
            </a:r>
            <a:r>
              <a:rPr lang="en-US" sz="1100" b="1" baseline="0">
                <a:solidFill>
                  <a:schemeClr val="bg1"/>
                </a:solidFill>
              </a:rPr>
              <a:t> công</a:t>
            </a:r>
            <a:endParaRPr lang="en-US" sz="1100" b="1">
              <a:solidFill>
                <a:schemeClr val="bg1"/>
              </a:solidFill>
            </a:endParaRPr>
          </a:p>
        </xdr:txBody>
      </xdr:sp>
      <xdr:sp macro="" textlink="">
        <xdr:nvSpPr>
          <xdr:cNvPr id="636" name="Rectangle: Rounded Corners 635">
            <a:extLst>
              <a:ext uri="{FF2B5EF4-FFF2-40B4-BE49-F238E27FC236}">
                <a16:creationId xmlns:a16="http://schemas.microsoft.com/office/drawing/2014/main" id="{FF3DC0D6-625B-8EE2-15B7-E12DB0364605}"/>
              </a:ext>
            </a:extLst>
          </xdr:cNvPr>
          <xdr:cNvSpPr/>
        </xdr:nvSpPr>
        <xdr:spPr>
          <a:xfrm>
            <a:off x="10347226" y="11212893"/>
            <a:ext cx="1013460" cy="476923"/>
          </a:xfrm>
          <a:prstGeom prst="round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Dây</a:t>
            </a:r>
            <a:r>
              <a:rPr lang="en-US" sz="1100" baseline="0">
                <a:solidFill>
                  <a:sysClr val="windowText" lastClr="000000"/>
                </a:solidFill>
              </a:rPr>
              <a:t> đai</a:t>
            </a:r>
            <a:endParaRPr lang="en-US" sz="1100">
              <a:solidFill>
                <a:sysClr val="windowText" lastClr="000000"/>
              </a:solidFill>
            </a:endParaRPr>
          </a:p>
        </xdr:txBody>
      </xdr:sp>
      <xdr:cxnSp macro="">
        <xdr:nvCxnSpPr>
          <xdr:cNvPr id="637" name="Straight Connector 636">
            <a:extLst>
              <a:ext uri="{FF2B5EF4-FFF2-40B4-BE49-F238E27FC236}">
                <a16:creationId xmlns:a16="http://schemas.microsoft.com/office/drawing/2014/main" id="{307B6321-17C0-7466-C2C1-ED1B1E73EF19}"/>
              </a:ext>
            </a:extLst>
          </xdr:cNvPr>
          <xdr:cNvCxnSpPr>
            <a:stCxn id="584" idx="3"/>
            <a:endCxn id="634" idx="1"/>
          </xdr:cNvCxnSpPr>
        </xdr:nvCxnSpPr>
        <xdr:spPr>
          <a:xfrm flipV="1">
            <a:off x="7614621" y="11447994"/>
            <a:ext cx="373380" cy="2954"/>
          </a:xfrm>
          <a:prstGeom prst="line">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cxnSp macro="">
        <xdr:nvCxnSpPr>
          <xdr:cNvPr id="638" name="Straight Connector 637">
            <a:extLst>
              <a:ext uri="{FF2B5EF4-FFF2-40B4-BE49-F238E27FC236}">
                <a16:creationId xmlns:a16="http://schemas.microsoft.com/office/drawing/2014/main" id="{4C3592EA-BFC1-62E9-6944-4AF6C67DEF86}"/>
              </a:ext>
            </a:extLst>
          </xdr:cNvPr>
          <xdr:cNvCxnSpPr>
            <a:stCxn id="634" idx="3"/>
            <a:endCxn id="635" idx="1"/>
          </xdr:cNvCxnSpPr>
        </xdr:nvCxnSpPr>
        <xdr:spPr>
          <a:xfrm>
            <a:off x="9000565" y="11447994"/>
            <a:ext cx="243841" cy="2956"/>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39" name="Straight Connector 638">
            <a:extLst>
              <a:ext uri="{FF2B5EF4-FFF2-40B4-BE49-F238E27FC236}">
                <a16:creationId xmlns:a16="http://schemas.microsoft.com/office/drawing/2014/main" id="{9A90A5B1-2D12-EBFB-9748-8956FEAC189F}"/>
              </a:ext>
            </a:extLst>
          </xdr:cNvPr>
          <xdr:cNvCxnSpPr>
            <a:stCxn id="635" idx="3"/>
            <a:endCxn id="636" idx="1"/>
          </xdr:cNvCxnSpPr>
        </xdr:nvCxnSpPr>
        <xdr:spPr>
          <a:xfrm>
            <a:off x="10074985" y="11450950"/>
            <a:ext cx="272241" cy="405"/>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cxnSp macro="">
        <xdr:nvCxnSpPr>
          <xdr:cNvPr id="640" name="Connector: Elbow 639">
            <a:extLst>
              <a:ext uri="{FF2B5EF4-FFF2-40B4-BE49-F238E27FC236}">
                <a16:creationId xmlns:a16="http://schemas.microsoft.com/office/drawing/2014/main" id="{7532FD99-90A5-932A-EF36-90FCE0DFE770}"/>
              </a:ext>
            </a:extLst>
          </xdr:cNvPr>
          <xdr:cNvCxnSpPr>
            <a:stCxn id="576" idx="2"/>
            <a:endCxn id="641" idx="1"/>
          </xdr:cNvCxnSpPr>
        </xdr:nvCxnSpPr>
        <xdr:spPr>
          <a:xfrm rot="16200000" flipH="1">
            <a:off x="5997024" y="9660431"/>
            <a:ext cx="382848" cy="352985"/>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1" name="TextBox 640">
            <a:extLst>
              <a:ext uri="{FF2B5EF4-FFF2-40B4-BE49-F238E27FC236}">
                <a16:creationId xmlns:a16="http://schemas.microsoft.com/office/drawing/2014/main" id="{6038AAA7-1343-3B0F-FEF6-9726B3201CE3}"/>
              </a:ext>
            </a:extLst>
          </xdr:cNvPr>
          <xdr:cNvSpPr txBox="1"/>
        </xdr:nvSpPr>
        <xdr:spPr>
          <a:xfrm>
            <a:off x="6364941" y="9900325"/>
            <a:ext cx="169518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95.96% </a:t>
            </a:r>
            <a:r>
              <a:rPr lang="en-US" sz="1100"/>
              <a:t>Vảy</a:t>
            </a:r>
            <a:r>
              <a:rPr lang="en-US" sz="1100" baseline="0"/>
              <a:t> B2.2 chưa rửa</a:t>
            </a:r>
            <a:endParaRPr lang="en-US" sz="1100"/>
          </a:p>
        </xdr:txBody>
      </xdr:sp>
      <xdr:cxnSp macro="">
        <xdr:nvCxnSpPr>
          <xdr:cNvPr id="642" name="Connector: Elbow 641">
            <a:extLst>
              <a:ext uri="{FF2B5EF4-FFF2-40B4-BE49-F238E27FC236}">
                <a16:creationId xmlns:a16="http://schemas.microsoft.com/office/drawing/2014/main" id="{8132B48B-DAB7-370E-2BF5-0FCB25528D1B}"/>
              </a:ext>
            </a:extLst>
          </xdr:cNvPr>
          <xdr:cNvCxnSpPr>
            <a:stCxn id="576" idx="2"/>
            <a:endCxn id="643" idx="1"/>
          </xdr:cNvCxnSpPr>
        </xdr:nvCxnSpPr>
        <xdr:spPr>
          <a:xfrm rot="16200000" flipH="1">
            <a:off x="5881136" y="9776320"/>
            <a:ext cx="614627"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3" name="TextBox 642">
            <a:extLst>
              <a:ext uri="{FF2B5EF4-FFF2-40B4-BE49-F238E27FC236}">
                <a16:creationId xmlns:a16="http://schemas.microsoft.com/office/drawing/2014/main" id="{AE3C414B-6227-1FA4-36FC-1E5D31980ED7}"/>
              </a:ext>
            </a:extLst>
          </xdr:cNvPr>
          <xdr:cNvSpPr txBox="1"/>
        </xdr:nvSpPr>
        <xdr:spPr>
          <a:xfrm>
            <a:off x="6364942" y="10132104"/>
            <a:ext cx="1022640"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t>3.23% </a:t>
            </a:r>
            <a:r>
              <a:rPr lang="en-US" sz="1100"/>
              <a:t>Phó</a:t>
            </a:r>
            <a:r>
              <a:rPr lang="en-US" sz="1100" baseline="0"/>
              <a:t> sản</a:t>
            </a:r>
            <a:endParaRPr lang="en-US" sz="1100"/>
          </a:p>
        </xdr:txBody>
      </xdr:sp>
      <xdr:cxnSp macro="">
        <xdr:nvCxnSpPr>
          <xdr:cNvPr id="644" name="Connector: Elbow 643">
            <a:extLst>
              <a:ext uri="{FF2B5EF4-FFF2-40B4-BE49-F238E27FC236}">
                <a16:creationId xmlns:a16="http://schemas.microsoft.com/office/drawing/2014/main" id="{BA1181F2-5ECD-DB52-8A59-760BA3FB846B}"/>
              </a:ext>
            </a:extLst>
          </xdr:cNvPr>
          <xdr:cNvCxnSpPr>
            <a:stCxn id="576" idx="2"/>
            <a:endCxn id="645" idx="1"/>
          </xdr:cNvCxnSpPr>
        </xdr:nvCxnSpPr>
        <xdr:spPr>
          <a:xfrm rot="16200000" flipH="1">
            <a:off x="5770514" y="9886942"/>
            <a:ext cx="835870"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45" name="TextBox 644">
            <a:extLst>
              <a:ext uri="{FF2B5EF4-FFF2-40B4-BE49-F238E27FC236}">
                <a16:creationId xmlns:a16="http://schemas.microsoft.com/office/drawing/2014/main" id="{A8E545BB-1FF8-D1AB-A2B1-FFFED842D7B3}"/>
              </a:ext>
            </a:extLst>
          </xdr:cNvPr>
          <xdr:cNvSpPr txBox="1"/>
        </xdr:nvSpPr>
        <xdr:spPr>
          <a:xfrm>
            <a:off x="6364942" y="10353347"/>
            <a:ext cx="1440681"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0.81% </a:t>
            </a:r>
            <a:r>
              <a:rPr lang="en-US" sz="1100"/>
              <a:t>Hao hụt khác</a:t>
            </a:r>
          </a:p>
        </xdr:txBody>
      </xdr:sp>
      <xdr:cxnSp macro="">
        <xdr:nvCxnSpPr>
          <xdr:cNvPr id="646" name="Connector: Elbow 645">
            <a:extLst>
              <a:ext uri="{FF2B5EF4-FFF2-40B4-BE49-F238E27FC236}">
                <a16:creationId xmlns:a16="http://schemas.microsoft.com/office/drawing/2014/main" id="{99B395FF-EEE3-7588-D719-151A4DFABF54}"/>
              </a:ext>
            </a:extLst>
          </xdr:cNvPr>
          <xdr:cNvCxnSpPr>
            <a:stCxn id="612" idx="2"/>
            <a:endCxn id="647" idx="1"/>
          </xdr:cNvCxnSpPr>
        </xdr:nvCxnSpPr>
        <xdr:spPr>
          <a:xfrm rot="16200000" flipH="1">
            <a:off x="8459476" y="9673584"/>
            <a:ext cx="38956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7" name="TextBox 646">
            <a:extLst>
              <a:ext uri="{FF2B5EF4-FFF2-40B4-BE49-F238E27FC236}">
                <a16:creationId xmlns:a16="http://schemas.microsoft.com/office/drawing/2014/main" id="{86F9DA8B-4779-DD97-C23A-9290F068C88F}"/>
              </a:ext>
            </a:extLst>
          </xdr:cNvPr>
          <xdr:cNvSpPr txBox="1"/>
        </xdr:nvSpPr>
        <xdr:spPr>
          <a:xfrm>
            <a:off x="8814236" y="990032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97.63% </a:t>
            </a:r>
            <a:r>
              <a:rPr lang="en-US" sz="1100"/>
              <a:t>Vảy</a:t>
            </a:r>
            <a:r>
              <a:rPr lang="en-US" sz="1100" baseline="0"/>
              <a:t> sạch</a:t>
            </a:r>
            <a:endParaRPr lang="en-US" sz="1100"/>
          </a:p>
        </xdr:txBody>
      </xdr:sp>
      <xdr:cxnSp macro="">
        <xdr:nvCxnSpPr>
          <xdr:cNvPr id="648" name="Connector: Elbow 647">
            <a:extLst>
              <a:ext uri="{FF2B5EF4-FFF2-40B4-BE49-F238E27FC236}">
                <a16:creationId xmlns:a16="http://schemas.microsoft.com/office/drawing/2014/main" id="{773EC62C-078D-EC95-A833-526F5A5A07EF}"/>
              </a:ext>
            </a:extLst>
          </xdr:cNvPr>
          <xdr:cNvCxnSpPr>
            <a:stCxn id="612" idx="2"/>
            <a:endCxn id="649" idx="1"/>
          </xdr:cNvCxnSpPr>
        </xdr:nvCxnSpPr>
        <xdr:spPr>
          <a:xfrm rot="16200000" flipH="1">
            <a:off x="8343586" y="9789473"/>
            <a:ext cx="621349"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49" name="TextBox 648">
            <a:extLst>
              <a:ext uri="{FF2B5EF4-FFF2-40B4-BE49-F238E27FC236}">
                <a16:creationId xmlns:a16="http://schemas.microsoft.com/office/drawing/2014/main" id="{B5CDEA49-5239-F41A-CDA9-FD3CDF4D51D3}"/>
              </a:ext>
            </a:extLst>
          </xdr:cNvPr>
          <xdr:cNvSpPr txBox="1"/>
        </xdr:nvSpPr>
        <xdr:spPr>
          <a:xfrm>
            <a:off x="8814237" y="10132103"/>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2.37% </a:t>
            </a:r>
            <a:r>
              <a:rPr lang="en-US" sz="1100"/>
              <a:t>Phó</a:t>
            </a:r>
            <a:r>
              <a:rPr lang="en-US" sz="1100" baseline="0"/>
              <a:t> sản + hao hụt</a:t>
            </a:r>
            <a:endParaRPr lang="en-US" sz="1100"/>
          </a:p>
        </xdr:txBody>
      </xdr:sp>
      <xdr:cxnSp macro="">
        <xdr:nvCxnSpPr>
          <xdr:cNvPr id="650" name="Connector: Elbow 649">
            <a:extLst>
              <a:ext uri="{FF2B5EF4-FFF2-40B4-BE49-F238E27FC236}">
                <a16:creationId xmlns:a16="http://schemas.microsoft.com/office/drawing/2014/main" id="{C2BF34EB-B207-4322-334B-683642513274}"/>
              </a:ext>
            </a:extLst>
          </xdr:cNvPr>
          <xdr:cNvCxnSpPr>
            <a:stCxn id="582" idx="2"/>
            <a:endCxn id="651" idx="1"/>
          </xdr:cNvCxnSpPr>
        </xdr:nvCxnSpPr>
        <xdr:spPr>
          <a:xfrm rot="16200000" flipH="1">
            <a:off x="6033902" y="11720094"/>
            <a:ext cx="309095"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1" name="TextBox 650">
            <a:extLst>
              <a:ext uri="{FF2B5EF4-FFF2-40B4-BE49-F238E27FC236}">
                <a16:creationId xmlns:a16="http://schemas.microsoft.com/office/drawing/2014/main" id="{46E7DC0A-D39A-0BF2-4E67-20EF1A0B960B}"/>
              </a:ext>
            </a:extLst>
          </xdr:cNvPr>
          <xdr:cNvSpPr txBox="1"/>
        </xdr:nvSpPr>
        <xdr:spPr>
          <a:xfrm>
            <a:off x="6364942" y="11923112"/>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96.08%</a:t>
            </a:r>
            <a:r>
              <a:rPr lang="en-US" sz="1100" b="1" baseline="0"/>
              <a:t> </a:t>
            </a:r>
            <a:r>
              <a:rPr lang="en-US" sz="1100"/>
              <a:t>Vảy</a:t>
            </a:r>
            <a:r>
              <a:rPr lang="en-US" sz="1100" baseline="0"/>
              <a:t> B4 chưa rửa</a:t>
            </a:r>
            <a:endParaRPr lang="en-US" sz="1100"/>
          </a:p>
        </xdr:txBody>
      </xdr:sp>
      <xdr:cxnSp macro="">
        <xdr:nvCxnSpPr>
          <xdr:cNvPr id="652" name="Connector: Elbow 651">
            <a:extLst>
              <a:ext uri="{FF2B5EF4-FFF2-40B4-BE49-F238E27FC236}">
                <a16:creationId xmlns:a16="http://schemas.microsoft.com/office/drawing/2014/main" id="{A976567C-CCBB-8927-C049-B1CDDEF83ABB}"/>
              </a:ext>
            </a:extLst>
          </xdr:cNvPr>
          <xdr:cNvCxnSpPr>
            <a:stCxn id="582" idx="2"/>
            <a:endCxn id="653" idx="1"/>
          </xdr:cNvCxnSpPr>
        </xdr:nvCxnSpPr>
        <xdr:spPr>
          <a:xfrm rot="16200000" flipH="1">
            <a:off x="5912745" y="11841250"/>
            <a:ext cx="551409" cy="352986"/>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3" name="TextBox 652">
            <a:extLst>
              <a:ext uri="{FF2B5EF4-FFF2-40B4-BE49-F238E27FC236}">
                <a16:creationId xmlns:a16="http://schemas.microsoft.com/office/drawing/2014/main" id="{C722565E-34FC-A552-34D4-B2C1CE5E4813}"/>
              </a:ext>
            </a:extLst>
          </xdr:cNvPr>
          <xdr:cNvSpPr txBox="1"/>
        </xdr:nvSpPr>
        <xdr:spPr>
          <a:xfrm>
            <a:off x="6364942" y="12165426"/>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3.86% </a:t>
            </a:r>
            <a:r>
              <a:rPr lang="en-US" sz="1100"/>
              <a:t>Phó</a:t>
            </a:r>
            <a:r>
              <a:rPr lang="en-US" sz="1100" baseline="0"/>
              <a:t> sản</a:t>
            </a:r>
            <a:endParaRPr lang="en-US" sz="1100"/>
          </a:p>
        </xdr:txBody>
      </xdr:sp>
      <xdr:cxnSp macro="">
        <xdr:nvCxnSpPr>
          <xdr:cNvPr id="654" name="Connector: Elbow 653">
            <a:extLst>
              <a:ext uri="{FF2B5EF4-FFF2-40B4-BE49-F238E27FC236}">
                <a16:creationId xmlns:a16="http://schemas.microsoft.com/office/drawing/2014/main" id="{F6B219D5-7FA2-5D97-41C9-FAE5442F7084}"/>
              </a:ext>
            </a:extLst>
          </xdr:cNvPr>
          <xdr:cNvCxnSpPr>
            <a:stCxn id="582" idx="2"/>
            <a:endCxn id="655" idx="1"/>
          </xdr:cNvCxnSpPr>
        </xdr:nvCxnSpPr>
        <xdr:spPr>
          <a:xfrm rot="16200000" flipH="1">
            <a:off x="5807391" y="11946604"/>
            <a:ext cx="762117" cy="352987"/>
          </a:xfrm>
          <a:prstGeom prst="bentConnector2">
            <a:avLst/>
          </a:prstGeom>
          <a:ln>
            <a:solidFill>
              <a:schemeClr val="accent1"/>
            </a:solidFill>
          </a:ln>
        </xdr:spPr>
        <xdr:style>
          <a:lnRef idx="1">
            <a:schemeClr val="accent2"/>
          </a:lnRef>
          <a:fillRef idx="0">
            <a:schemeClr val="accent2"/>
          </a:fillRef>
          <a:effectRef idx="0">
            <a:schemeClr val="accent2"/>
          </a:effectRef>
          <a:fontRef idx="minor">
            <a:schemeClr val="tx1"/>
          </a:fontRef>
        </xdr:style>
      </xdr:cxnSp>
      <xdr:sp macro="" textlink="">
        <xdr:nvSpPr>
          <xdr:cNvPr id="655" name="TextBox 654">
            <a:extLst>
              <a:ext uri="{FF2B5EF4-FFF2-40B4-BE49-F238E27FC236}">
                <a16:creationId xmlns:a16="http://schemas.microsoft.com/office/drawing/2014/main" id="{BCE1E544-B970-ECFB-4A43-72E1BFD47B6D}"/>
              </a:ext>
            </a:extLst>
          </xdr:cNvPr>
          <xdr:cNvSpPr txBox="1"/>
        </xdr:nvSpPr>
        <xdr:spPr>
          <a:xfrm>
            <a:off x="6364943" y="12376134"/>
            <a:ext cx="1854724"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0.06% </a:t>
            </a:r>
            <a:r>
              <a:rPr lang="en-US" sz="1100"/>
              <a:t>Hao hụt</a:t>
            </a:r>
            <a:r>
              <a:rPr lang="en-US" sz="1100" baseline="0"/>
              <a:t> khác</a:t>
            </a:r>
            <a:endParaRPr lang="en-US" sz="1100"/>
          </a:p>
        </xdr:txBody>
      </xdr:sp>
      <xdr:cxnSp macro="">
        <xdr:nvCxnSpPr>
          <xdr:cNvPr id="656" name="Connector: Elbow 655">
            <a:extLst>
              <a:ext uri="{FF2B5EF4-FFF2-40B4-BE49-F238E27FC236}">
                <a16:creationId xmlns:a16="http://schemas.microsoft.com/office/drawing/2014/main" id="{A71892A5-0930-FB94-982F-5A5FED1F2D4D}"/>
              </a:ext>
            </a:extLst>
          </xdr:cNvPr>
          <xdr:cNvCxnSpPr>
            <a:stCxn id="634" idx="2"/>
            <a:endCxn id="657" idx="1"/>
          </xdr:cNvCxnSpPr>
        </xdr:nvCxnSpPr>
        <xdr:spPr>
          <a:xfrm rot="16200000" flipH="1">
            <a:off x="8496350" y="11743779"/>
            <a:ext cx="315819" cy="319953"/>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7" name="TextBox 656">
            <a:extLst>
              <a:ext uri="{FF2B5EF4-FFF2-40B4-BE49-F238E27FC236}">
                <a16:creationId xmlns:a16="http://schemas.microsoft.com/office/drawing/2014/main" id="{66CC578D-AE3E-4F6C-5EA3-E2C615323800}"/>
              </a:ext>
            </a:extLst>
          </xdr:cNvPr>
          <xdr:cNvSpPr txBox="1"/>
        </xdr:nvSpPr>
        <xdr:spPr>
          <a:xfrm>
            <a:off x="8814236" y="11933643"/>
            <a:ext cx="1257722"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98.95% </a:t>
            </a:r>
            <a:r>
              <a:rPr lang="en-US" sz="1100"/>
              <a:t>Vảy</a:t>
            </a:r>
            <a:r>
              <a:rPr lang="en-US" sz="1100" baseline="0"/>
              <a:t> sạch</a:t>
            </a:r>
            <a:endParaRPr lang="en-US" sz="1100"/>
          </a:p>
        </xdr:txBody>
      </xdr:sp>
      <xdr:cxnSp macro="">
        <xdr:nvCxnSpPr>
          <xdr:cNvPr id="658" name="Connector: Elbow 657">
            <a:extLst>
              <a:ext uri="{FF2B5EF4-FFF2-40B4-BE49-F238E27FC236}">
                <a16:creationId xmlns:a16="http://schemas.microsoft.com/office/drawing/2014/main" id="{BB497A07-1A30-71CA-C8FA-D4C2F09DE345}"/>
              </a:ext>
            </a:extLst>
          </xdr:cNvPr>
          <xdr:cNvCxnSpPr>
            <a:stCxn id="634" idx="2"/>
            <a:endCxn id="659" idx="1"/>
          </xdr:cNvCxnSpPr>
        </xdr:nvCxnSpPr>
        <xdr:spPr>
          <a:xfrm rot="16200000" flipH="1">
            <a:off x="8369925" y="11870204"/>
            <a:ext cx="568671" cy="319954"/>
          </a:xfrm>
          <a:prstGeom prst="bentConnector2">
            <a:avLst/>
          </a:prstGeom>
          <a:ln>
            <a:solidFill>
              <a:srgbClr val="C00000"/>
            </a:solidFill>
          </a:ln>
        </xdr:spPr>
        <xdr:style>
          <a:lnRef idx="1">
            <a:schemeClr val="accent2"/>
          </a:lnRef>
          <a:fillRef idx="0">
            <a:schemeClr val="accent2"/>
          </a:fillRef>
          <a:effectRef idx="0">
            <a:schemeClr val="accent2"/>
          </a:effectRef>
          <a:fontRef idx="minor">
            <a:schemeClr val="tx1"/>
          </a:fontRef>
        </xdr:style>
      </xdr:cxnSp>
      <xdr:sp macro="" textlink="">
        <xdr:nvSpPr>
          <xdr:cNvPr id="659" name="TextBox 658">
            <a:extLst>
              <a:ext uri="{FF2B5EF4-FFF2-40B4-BE49-F238E27FC236}">
                <a16:creationId xmlns:a16="http://schemas.microsoft.com/office/drawing/2014/main" id="{88CCF0E4-0583-3F58-18B7-5B772446BB3D}"/>
              </a:ext>
            </a:extLst>
          </xdr:cNvPr>
          <xdr:cNvSpPr txBox="1"/>
        </xdr:nvSpPr>
        <xdr:spPr>
          <a:xfrm>
            <a:off x="8814237" y="12186495"/>
            <a:ext cx="1758929" cy="256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t>1.05% </a:t>
            </a:r>
            <a:r>
              <a:rPr lang="en-US" sz="1100"/>
              <a:t>Phó</a:t>
            </a:r>
            <a:r>
              <a:rPr lang="en-US" sz="1100" baseline="0"/>
              <a:t> sản + hao hụt</a:t>
            </a:r>
            <a:endParaRPr lang="en-US" sz="1100"/>
          </a:p>
        </xdr:txBody>
      </xdr:sp>
      <xdr:cxnSp macro="">
        <xdr:nvCxnSpPr>
          <xdr:cNvPr id="660" name="Connector: Elbow 659">
            <a:extLst>
              <a:ext uri="{FF2B5EF4-FFF2-40B4-BE49-F238E27FC236}">
                <a16:creationId xmlns:a16="http://schemas.microsoft.com/office/drawing/2014/main" id="{7E4B5520-DC9F-15E7-E5C9-D5A907F526FE}"/>
              </a:ext>
            </a:extLst>
          </xdr:cNvPr>
          <xdr:cNvCxnSpPr>
            <a:stCxn id="614" idx="2"/>
            <a:endCxn id="661" idx="1"/>
          </xdr:cNvCxnSpPr>
        </xdr:nvCxnSpPr>
        <xdr:spPr>
          <a:xfrm rot="16200000" flipH="1">
            <a:off x="10250519" y="10186182"/>
            <a:ext cx="1460189" cy="253315"/>
          </a:xfrm>
          <a:prstGeom prst="bentConnector2">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sp macro="" textlink="">
        <xdr:nvSpPr>
          <xdr:cNvPr id="661" name="TextBox 660">
            <a:extLst>
              <a:ext uri="{FF2B5EF4-FFF2-40B4-BE49-F238E27FC236}">
                <a16:creationId xmlns:a16="http://schemas.microsoft.com/office/drawing/2014/main" id="{A8699F28-584C-826C-CFF4-519E86108F31}"/>
              </a:ext>
            </a:extLst>
          </xdr:cNvPr>
          <xdr:cNvSpPr txBox="1"/>
        </xdr:nvSpPr>
        <xdr:spPr>
          <a:xfrm>
            <a:off x="11107271" y="10910655"/>
            <a:ext cx="15240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0"/>
              <a:t>Tạo</a:t>
            </a:r>
            <a:r>
              <a:rPr lang="en-US" sz="1100" b="0" baseline="0"/>
              <a:t> vảy FPET201-Out</a:t>
            </a:r>
            <a:endParaRPr lang="en-US" sz="1100" b="0"/>
          </a:p>
        </xdr:txBody>
      </xdr:sp>
      <xdr:sp macro="" textlink="">
        <xdr:nvSpPr>
          <xdr:cNvPr id="662" name="TextBox 661">
            <a:extLst>
              <a:ext uri="{FF2B5EF4-FFF2-40B4-BE49-F238E27FC236}">
                <a16:creationId xmlns:a16="http://schemas.microsoft.com/office/drawing/2014/main" id="{A9389CB2-7A0F-C494-7466-94B59171D2C2}"/>
              </a:ext>
            </a:extLst>
          </xdr:cNvPr>
          <xdr:cNvSpPr txBox="1"/>
        </xdr:nvSpPr>
        <xdr:spPr>
          <a:xfrm>
            <a:off x="13016755" y="10910655"/>
            <a:ext cx="344244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20%</a:t>
            </a:r>
            <a:r>
              <a:rPr lang="en-US" sz="1100" b="0">
                <a:solidFill>
                  <a:schemeClr val="tx1"/>
                </a:solidFill>
                <a:effectLst/>
                <a:latin typeface="+mn-lt"/>
                <a:ea typeface="+mn-ea"/>
                <a:cs typeface="+mn-cs"/>
              </a:rPr>
              <a:t>B5 + 65%B6.2 + 15%B1 </a:t>
            </a:r>
            <a:endParaRPr lang="en-US">
              <a:solidFill>
                <a:srgbClr val="7030A0"/>
              </a:solidFill>
              <a:effectLst/>
            </a:endParaRPr>
          </a:p>
        </xdr:txBody>
      </xdr:sp>
      <xdr:cxnSp macro="">
        <xdr:nvCxnSpPr>
          <xdr:cNvPr id="663" name="Straight Connector 662">
            <a:extLst>
              <a:ext uri="{FF2B5EF4-FFF2-40B4-BE49-F238E27FC236}">
                <a16:creationId xmlns:a16="http://schemas.microsoft.com/office/drawing/2014/main" id="{FEE6BFAA-49B3-B485-2D32-AD57F65B6DD6}"/>
              </a:ext>
            </a:extLst>
          </xdr:cNvPr>
          <xdr:cNvCxnSpPr>
            <a:stCxn id="661" idx="3"/>
            <a:endCxn id="662" idx="1"/>
          </xdr:cNvCxnSpPr>
        </xdr:nvCxnSpPr>
        <xdr:spPr>
          <a:xfrm>
            <a:off x="12631272" y="11042934"/>
            <a:ext cx="385483" cy="0"/>
          </a:xfrm>
          <a:prstGeom prst="line">
            <a:avLst/>
          </a:prstGeom>
          <a:ln>
            <a:solidFill>
              <a:srgbClr val="7030A0"/>
            </a:solidFill>
          </a:ln>
        </xdr:spPr>
        <xdr:style>
          <a:lnRef idx="1">
            <a:schemeClr val="accent2"/>
          </a:lnRef>
          <a:fillRef idx="0">
            <a:schemeClr val="accent2"/>
          </a:fillRef>
          <a:effectRef idx="0">
            <a:schemeClr val="accent2"/>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71786</xdr:colOff>
      <xdr:row>3</xdr:row>
      <xdr:rowOff>104913</xdr:rowOff>
    </xdr:from>
    <xdr:to>
      <xdr:col>2</xdr:col>
      <xdr:colOff>563217</xdr:colOff>
      <xdr:row>3</xdr:row>
      <xdr:rowOff>110436</xdr:rowOff>
    </xdr:to>
    <xdr:cxnSp macro="">
      <xdr:nvCxnSpPr>
        <xdr:cNvPr id="3" name="Straight Arrow Connector 2">
          <a:extLst>
            <a:ext uri="{FF2B5EF4-FFF2-40B4-BE49-F238E27FC236}">
              <a16:creationId xmlns:a16="http://schemas.microsoft.com/office/drawing/2014/main" id="{8DE8F631-1FC4-F3C3-2FEC-3C54D0BA9272}"/>
            </a:ext>
          </a:extLst>
        </xdr:cNvPr>
        <xdr:cNvCxnSpPr/>
      </xdr:nvCxnSpPr>
      <xdr:spPr>
        <a:xfrm flipV="1">
          <a:off x="679177" y="651565"/>
          <a:ext cx="2981736" cy="552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60739</xdr:colOff>
      <xdr:row>3</xdr:row>
      <xdr:rowOff>93870</xdr:rowOff>
    </xdr:from>
    <xdr:to>
      <xdr:col>9</xdr:col>
      <xdr:colOff>557696</xdr:colOff>
      <xdr:row>3</xdr:row>
      <xdr:rowOff>104913</xdr:rowOff>
    </xdr:to>
    <xdr:cxnSp macro="">
      <xdr:nvCxnSpPr>
        <xdr:cNvPr id="6" name="Straight Arrow Connector 5">
          <a:extLst>
            <a:ext uri="{FF2B5EF4-FFF2-40B4-BE49-F238E27FC236}">
              <a16:creationId xmlns:a16="http://schemas.microsoft.com/office/drawing/2014/main" id="{EAE7BC3D-8C6B-4030-B940-6F7443B9FD70}"/>
            </a:ext>
          </a:extLst>
        </xdr:cNvPr>
        <xdr:cNvCxnSpPr/>
      </xdr:nvCxnSpPr>
      <xdr:spPr>
        <a:xfrm flipV="1">
          <a:off x="5035826" y="640522"/>
          <a:ext cx="2319131" cy="1104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21</xdr:col>
      <xdr:colOff>412749</xdr:colOff>
      <xdr:row>2</xdr:row>
      <xdr:rowOff>158750</xdr:rowOff>
    </xdr:from>
    <xdr:to>
      <xdr:col>40</xdr:col>
      <xdr:colOff>294680</xdr:colOff>
      <xdr:row>30</xdr:row>
      <xdr:rowOff>15875</xdr:rowOff>
    </xdr:to>
    <xdr:pic>
      <xdr:nvPicPr>
        <xdr:cNvPr id="2" name="Picture 1">
          <a:extLst>
            <a:ext uri="{FF2B5EF4-FFF2-40B4-BE49-F238E27FC236}">
              <a16:creationId xmlns:a16="http://schemas.microsoft.com/office/drawing/2014/main" id="{6560C7AC-F856-39F6-0455-9A1BBB865A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78374" y="539750"/>
          <a:ext cx="11343680" cy="619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Data\G&#272;%20T&#224;i%20ch&#237;nh\Cost%20Controlling\Costing%20Flow%20Chart\Chuan%20hoa%20SAP%20Dai%20Loc\Bang%20Tinh%20Settlement%20rule%20BOM%20-%20Routing%20-%20Copy_T3.2026.xlsx" TargetMode="External"/><Relationship Id="rId1" Type="http://schemas.openxmlformats.org/officeDocument/2006/relationships/externalLinkPath" Target="Chuan%20hoa%20SAP%20Dai%20Loc/Bang%20Tinh%20Settlement%20rule%20BOM%20-%20Routing%20-%20Copy_T3.2026.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Gi&#225;%20th&#224;nh%20K&#7871;%20ho&#7841;ch%20th&#225;ng%202026/Th&#225;ng%201/01.%20Gia%20thanh%20k&#7871;%20ho&#7841;ch%20hat%20rPET%20T01.2026%20-%20gi&#7843;m%2040%20USD.xlsx" TargetMode="External"/><Relationship Id="rId2" Type="http://schemas.openxmlformats.org/officeDocument/2006/relationships/externalLinkPath" Target="file:///C:\Data\G&#272;%20T&#224;i%20ch&#237;nh\Cost%20Controlling\Gi&#225;%20th&#224;nh%20K&#7871;%20ho&#7841;ch%20th&#225;ng%202026\Th&#225;ng%201\01.%20Gia%20thanh%20k&#7871;%20ho&#7841;ch%20hat%20rPET%20T01.2026%20-%20gi&#7843;m%2040%20USD.xlsx" TargetMode="External"/><Relationship Id="rId1" Type="http://schemas.openxmlformats.org/officeDocument/2006/relationships/externalLinkPath" Target="/Data/G&#272;%20T&#224;i%20ch&#237;nh/Cost%20Controlling/Gi&#225;%20th&#224;nh%20K&#7871;%20ho&#7841;ch%20th&#225;ng%202026/Th&#225;ng%201/01.%20Gia%20thanh%20k&#7871;%20ho&#7841;ch%20hat%20rPET%20T01.2026%20-%20gi&#7843;m%2040%20US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OM"/>
      <sheetName val="ROUTING"/>
      <sheetName val="BOM (2)"/>
      <sheetName val="BOM (Long)"/>
      <sheetName val="BOM (3NS26)"/>
      <sheetName val="BOM (DLoc)"/>
      <sheetName val="BOM (KN)"/>
      <sheetName val="BOM (Dlam)"/>
      <sheetName val="Bản giá mua từ trạm 02.26"/>
      <sheetName val="Bản giá mua từ trạm 03.26"/>
    </sheetNames>
    <sheetDataSet>
      <sheetData sheetId="0"/>
      <sheetData sheetId="1"/>
      <sheetData sheetId="2"/>
      <sheetData sheetId="3">
        <row r="7">
          <cell r="P7">
            <v>11536.63177925785</v>
          </cell>
        </row>
        <row r="9">
          <cell r="P9">
            <v>10152.23596574691</v>
          </cell>
        </row>
        <row r="10">
          <cell r="P10">
            <v>9229.3054234062802</v>
          </cell>
        </row>
        <row r="11">
          <cell r="P11">
            <v>9229.3054234062802</v>
          </cell>
        </row>
        <row r="13">
          <cell r="P13">
            <v>10152.235965746908</v>
          </cell>
        </row>
        <row r="14">
          <cell r="P14">
            <v>5537.5832540437677</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HÔNG TIN CHUNG"/>
      <sheetName val="Danh mục"/>
      <sheetName val="Giá thành"/>
      <sheetName val="Bìa"/>
      <sheetName val="BC Giá bán_ A Thạch"/>
      <sheetName val="TH Giá bán"/>
      <sheetName val="CP Công đoạn"/>
      <sheetName val="1.1.Tính giá NVL"/>
      <sheetName val="CP Công đoạn (2)"/>
      <sheetName val="CP Công đoạn (3)"/>
      <sheetName val="1. Đơn giá NVL"/>
      <sheetName val="2. Hiệu suất máy"/>
      <sheetName val="3. Tỷ lệ hao hụt"/>
      <sheetName val="4. Chi phí"/>
      <sheetName val="4.1 Data chi phí"/>
      <sheetName val="4.2 Trừ tiền thuê máy"/>
      <sheetName val="4.2 Phân bổ khấu hao"/>
      <sheetName val="5. Tiêu thức phân bổ"/>
      <sheetName val="Từ chai ra hạt WSS01-iSS01 (2)"/>
      <sheetName val="10. 100% chai-&gt;hạt WSS01-iSS01"/>
      <sheetName val="11. 100% chai-&gt;hạt iSS01084G"/>
      <sheetName val="10-11. Chart 100% chai"/>
      <sheetName val="12. 100% vảy-&gt;hạt WSS01-iSS01"/>
      <sheetName val="13. 100% vảy-&gt;hạt iSS01084G"/>
      <sheetName val="12-13. Chart_100% vảy"/>
      <sheetName val="14. 50%chai+50%vảy-&gt;WSS01-iSS01"/>
      <sheetName val="15. 50%chai+50%vảy-&gt;ISS01084G"/>
      <sheetName val="14-15. Chart_50% chai + 50% vảy"/>
      <sheetName val="14-15. Chart_50chai + 50vảy B0"/>
      <sheetName val="16. Hạt ISS01L"/>
      <sheetName val="16.1 Rửa vảy B7"/>
      <sheetName val="16. Chart_ISS01L"/>
      <sheetName val="17. Hạt WSS01G-L"/>
      <sheetName val="17. Hạt WSS01"/>
      <sheetName val="18. Hạt WSS01L"/>
      <sheetName val="18. Vảy B5"/>
      <sheetName val="19. ISS01G-S"/>
    </sheetNames>
    <sheetDataSet>
      <sheetData sheetId="0"/>
      <sheetData sheetId="1"/>
      <sheetData sheetId="2"/>
      <sheetData sheetId="3"/>
      <sheetData sheetId="4"/>
      <sheetData sheetId="5"/>
      <sheetData sheetId="6"/>
      <sheetData sheetId="7"/>
      <sheetData sheetId="8"/>
      <sheetData sheetId="9">
        <row r="6">
          <cell r="CJ6">
            <v>2321.0309940637335</v>
          </cell>
        </row>
      </sheetData>
      <sheetData sheetId="10"/>
      <sheetData sheetId="11"/>
      <sheetData sheetId="12"/>
      <sheetData sheetId="13"/>
      <sheetData sheetId="14"/>
      <sheetData sheetId="15"/>
      <sheetData sheetId="16"/>
      <sheetData sheetId="17"/>
      <sheetData sheetId="18"/>
      <sheetData sheetId="19">
        <row r="9">
          <cell r="H9">
            <v>15000</v>
          </cell>
        </row>
        <row r="10">
          <cell r="I10">
            <v>1249.9477023961606</v>
          </cell>
        </row>
        <row r="21">
          <cell r="I21">
            <v>2321.0309940637335</v>
          </cell>
        </row>
        <row r="37">
          <cell r="I37">
            <v>2395.6123104173425</v>
          </cell>
        </row>
        <row r="60">
          <cell r="I60">
            <v>20966.591006877235</v>
          </cell>
        </row>
        <row r="61">
          <cell r="I61">
            <v>3384.4942267911665</v>
          </cell>
        </row>
        <row r="83">
          <cell r="I83">
            <v>1901.1243865009951</v>
          </cell>
        </row>
      </sheetData>
      <sheetData sheetId="20">
        <row r="83">
          <cell r="I83">
            <v>2331.8861025668875</v>
          </cell>
        </row>
      </sheetData>
      <sheetData sheetId="21"/>
      <sheetData sheetId="22">
        <row r="10">
          <cell r="I10">
            <v>1636.9775154230633</v>
          </cell>
        </row>
        <row r="30">
          <cell r="I30">
            <v>17636.977515423063</v>
          </cell>
        </row>
      </sheetData>
      <sheetData sheetId="23"/>
      <sheetData sheetId="24"/>
      <sheetData sheetId="25"/>
      <sheetData sheetId="26"/>
      <sheetData sheetId="27"/>
      <sheetData sheetId="28"/>
      <sheetData sheetId="29"/>
      <sheetData sheetId="30">
        <row r="9">
          <cell r="I9">
            <v>7971.0144927536239</v>
          </cell>
        </row>
        <row r="10">
          <cell r="I10">
            <v>84.555434657824762</v>
          </cell>
        </row>
        <row r="11">
          <cell r="I11">
            <v>4356.2120311012277</v>
          </cell>
        </row>
        <row r="27">
          <cell r="I27">
            <v>1929.4682530384398</v>
          </cell>
        </row>
        <row r="48">
          <cell r="I48">
            <v>14341.250211551116</v>
          </cell>
        </row>
      </sheetData>
      <sheetData sheetId="31"/>
      <sheetData sheetId="32"/>
      <sheetData sheetId="33"/>
      <sheetData sheetId="34"/>
      <sheetData sheetId="35">
        <row r="9">
          <cell r="I9">
            <v>12000</v>
          </cell>
        </row>
        <row r="10">
          <cell r="I10">
            <v>411.68039840493083</v>
          </cell>
        </row>
        <row r="21">
          <cell r="I21">
            <v>2321.0309940637335</v>
          </cell>
        </row>
        <row r="37">
          <cell r="I37">
            <v>2184.1231738328252</v>
          </cell>
        </row>
        <row r="58">
          <cell r="I58">
            <v>16916.834566301488</v>
          </cell>
        </row>
      </sheetData>
      <sheetData sheetId="36"/>
    </sheetDataSet>
  </externalBook>
</externalLink>
</file>

<file path=xl/persons/person.xml><?xml version="1.0" encoding="utf-8"?>
<personList xmlns="http://schemas.microsoft.com/office/spreadsheetml/2018/threadedcomments" xmlns:x="http://schemas.openxmlformats.org/spreadsheetml/2006/main">
  <person displayName="Cư, Lê Hoành" id="{DD614513-59EA-458A-9CE0-D0E3FC9DA721}" userId="S::CuLH@duytanrecycling.com::8040f1d9-fc08-4340-919f-e31835b0966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D1" dT="2026-03-05T04:34:06.74" personId="{DD614513-59EA-458A-9CE0-D0E3FC9DA721}" id="{637957A1-BD99-495E-B889-B1D01734A1EF}">
    <text>CF Hao hụt chai vảy : 1.250</text>
  </threadedComment>
  <threadedComment ref="AC2" dT="2026-03-05T04:39:32.33" personId="{DD614513-59EA-458A-9CE0-D0E3FC9DA721}" id="{22A75346-901B-47DE-B494-684903A66BF5}">
    <text>Vảy mua ngoài 16.000</text>
  </threadedComment>
  <threadedComment ref="AD2" dT="2026-03-05T04:40:26.11" personId="{DD614513-59EA-458A-9CE0-D0E3FC9DA721}" id="{8B267FAD-B48F-41D1-9A82-729677361E5C}">
    <text xml:space="preserve">CF Hao hụt chai- vảy: 0 
CF rữa tách kim loại: 1.637 </text>
  </threadedComment>
  <threadedComment ref="AD3" dT="2026-03-05T04:34:14.47" personId="{DD614513-59EA-458A-9CE0-D0E3FC9DA721}" id="{827C0572-0322-4994-80FF-FF017C88DA5D}">
    <text>CFSX: 4.717 (sx vảy từ chai)
CF Băm chai=&gt; vảy : 2.321
CF rữa tách kim loại: 2.396 
CFSX : Vảy từ mua vảy ngoài 1.637
CL: 3.080</text>
  </threadedComment>
</ThreadedComments>
</file>

<file path=xl/threadedComments/threadedComment2.xml><?xml version="1.0" encoding="utf-8"?>
<ThreadedComments xmlns="http://schemas.microsoft.com/office/spreadsheetml/2018/threadedcomments" xmlns:x="http://schemas.openxmlformats.org/spreadsheetml/2006/main">
  <threadedComment ref="X1" dT="2026-03-05T04:34:06.74" personId="{DD614513-59EA-458A-9CE0-D0E3FC9DA721}" id="{581AD982-7622-4FBB-92A2-F6FF55744BE5}">
    <text>CF Hao hụt chai vảy : 1.250</text>
  </threadedComment>
  <threadedComment ref="AC1" dT="2026-03-05T05:03:11.97" personId="{DD614513-59EA-458A-9CE0-D0E3FC9DA721}" id="{5C040044-29CB-42DD-BD1F-E94A1165B48D}">
    <text>Giá mua tuần 11.t3.2026: 8.333</text>
  </threadedComment>
  <threadedComment ref="W2" dT="2026-03-05T04:39:32.33" personId="{DD614513-59EA-458A-9CE0-D0E3FC9DA721}" id="{8ACDCF5B-DD4D-4C33-BAAB-4F8DAB768A9F}">
    <text>Vảy mua ngoài 16.000</text>
  </threadedComment>
  <threadedComment ref="X2" dT="2026-03-05T04:40:26.11" personId="{DD614513-59EA-458A-9CE0-D0E3FC9DA721}" id="{3E477528-3727-4EF3-A969-9BF6989CE5CF}">
    <text xml:space="preserve">CF Hao hụt chai- vảy: 0 
CF rữa tách kim loại: 1.637 </text>
  </threadedComment>
  <threadedComment ref="X3" dT="2026-03-05T04:34:14.47" personId="{DD614513-59EA-458A-9CE0-D0E3FC9DA721}" id="{CCD4667E-029D-4C50-B75C-C3F2F8310A51}">
    <text>CFSX: 4.717 (sx vảy từ chai)
CF Băm chai=&gt; vảy : 2.321
CF rữa tách kim loại: 2.396 
CFSX : Vảy từ mua vảy ngoài 1.637
CL: 3.080</text>
  </threadedComment>
  <threadedComment ref="AD3" dT="2026-03-05T05:03:43.65" personId="{DD614513-59EA-458A-9CE0-D0E3FC9DA721}" id="{3F6723F4-A05A-482F-ACD1-E621E39C3200}">
    <text>Hiệu suất máy 25%. CS : 350kg/h</text>
  </threadedComment>
</ThreadedComments>
</file>

<file path=xl/threadedComments/threadedComment3.xml><?xml version="1.0" encoding="utf-8"?>
<ThreadedComments xmlns="http://schemas.microsoft.com/office/spreadsheetml/2018/threadedcomments" xmlns:x="http://schemas.openxmlformats.org/spreadsheetml/2006/main">
  <threadedComment ref="X1" dT="2026-03-05T04:34:06.74" personId="{DD614513-59EA-458A-9CE0-D0E3FC9DA721}" id="{AE6A4A60-B1AC-4B1D-A5F1-0BEFC4C578E1}">
    <text>CF Hao hụt chai vảy : 1.250</text>
  </threadedComment>
  <threadedComment ref="AC1" dT="2026-03-05T05:03:11.97" personId="{DD614513-59EA-458A-9CE0-D0E3FC9DA721}" id="{9624C44C-782C-4708-8BB1-6633AFA41D27}">
    <text>Giá mua tuần 11.t3.2026: 8.333</text>
  </threadedComment>
  <threadedComment ref="W2" dT="2026-03-05T04:39:32.33" personId="{DD614513-59EA-458A-9CE0-D0E3FC9DA721}" id="{B31EACD4-2B24-48AA-9904-2FFFFD814E66}">
    <text>Vảy mua ngoài 16.000</text>
  </threadedComment>
  <threadedComment ref="X2" dT="2026-03-05T04:40:26.11" personId="{DD614513-59EA-458A-9CE0-D0E3FC9DA721}" id="{14B68F94-2329-4EC6-BBD1-C9D00B3A49BF}">
    <text xml:space="preserve">CF Hao hụt chai- vảy: 0 
CF rữa tách kim loại: 1.637 </text>
  </threadedComment>
  <threadedComment ref="X3" dT="2026-03-05T04:34:14.47" personId="{DD614513-59EA-458A-9CE0-D0E3FC9DA721}" id="{AFDE2B07-F916-4CAE-A7A0-70AC46F2DC9E}">
    <text>CFSX: 4.717 (sx vảy từ chai)
CF Băm chai=&gt; vảy : 2.321
CF rữa tách kim loại: 2.396 
CFSX : Vảy từ mua vảy ngoài 1.637
CL: 3.080</text>
  </threadedComment>
  <threadedComment ref="AD3" dT="2026-03-05T05:03:43.65" personId="{DD614513-59EA-458A-9CE0-D0E3FC9DA721}" id="{1A75ECED-028A-41F7-B5F2-F79BFAFDA375}">
    <text>Hiệu suất máy 25%. CS : 350kg/h</text>
  </threadedComment>
</ThreadedComments>
</file>

<file path=xl/threadedComments/threadedComment4.xml><?xml version="1.0" encoding="utf-8"?>
<ThreadedComments xmlns="http://schemas.microsoft.com/office/spreadsheetml/2018/threadedcomments" xmlns:x="http://schemas.openxmlformats.org/spreadsheetml/2006/main">
  <threadedComment ref="X1" dT="2026-03-05T04:34:06.74" personId="{DD614513-59EA-458A-9CE0-D0E3FC9DA721}" id="{6D747270-A6D3-4D44-9D2A-0FEBCC1710EE}">
    <text>CF Hao hụt chai vảy : 1.250</text>
  </threadedComment>
  <threadedComment ref="AC1" dT="2026-03-05T05:03:11.97" personId="{DD614513-59EA-458A-9CE0-D0E3FC9DA721}" id="{1F72E1B9-880C-4BB6-9ACE-2A994A2A9502}">
    <text>Giá mua tuần 11.t3.2026: 8.333</text>
  </threadedComment>
  <threadedComment ref="W2" dT="2026-03-05T04:39:32.33" personId="{DD614513-59EA-458A-9CE0-D0E3FC9DA721}" id="{F38D2B84-1C08-467B-BB92-79696299D323}">
    <text>Vảy mua ngoài 16.000</text>
  </threadedComment>
  <threadedComment ref="X2" dT="2026-03-05T04:40:26.11" personId="{DD614513-59EA-458A-9CE0-D0E3FC9DA721}" id="{A700A905-3CC6-4AA1-9D88-0BA452F916EB}">
    <text xml:space="preserve">CF Hao hụt chai- vảy: 0 
CF rữa tách kim loại: 1.637 </text>
  </threadedComment>
  <threadedComment ref="X3" dT="2026-03-05T04:34:14.47" personId="{DD614513-59EA-458A-9CE0-D0E3FC9DA721}" id="{A4BC62AC-BCE4-484C-8046-6E25FF8EDA7A}">
    <text>CFSX: 4.717 (sx vảy từ chai)
CF Băm chai=&gt; vảy : 2.321
CF rữa tách kim loại: 2.396 
CFSX : Vảy từ mua vảy ngoài 1.637
CL: 3.080</text>
  </threadedComment>
  <threadedComment ref="AD3" dT="2026-03-05T05:03:43.65" personId="{DD614513-59EA-458A-9CE0-D0E3FC9DA721}" id="{650D5BED-EF72-424C-B52C-2F2F835BE356}">
    <text>Hiệu suất máy 25%. CS : 350kg/h</text>
  </threadedComment>
  <threadedComment ref="AN29" dT="2026-03-06T01:06:30.75" personId="{DD614513-59EA-458A-9CE0-D0E3FC9DA721}" id="{9DBD5DE7-9D97-4A34-9944-3242BFF54357}">
    <text>Outerrinho 1000 ton/thang</text>
  </threadedComment>
</ThreadedComments>
</file>

<file path=xl/threadedComments/threadedComment5.xml><?xml version="1.0" encoding="utf-8"?>
<ThreadedComments xmlns="http://schemas.microsoft.com/office/spreadsheetml/2018/threadedcomments" xmlns:x="http://schemas.openxmlformats.org/spreadsheetml/2006/main">
  <threadedComment ref="X1" dT="2026-03-05T04:34:06.74" personId="{DD614513-59EA-458A-9CE0-D0E3FC9DA721}" id="{BCE78AA8-2B36-47A7-88DF-304DC1231B1F}">
    <text>CF Hao hụt chai vảy : 1.250</text>
  </threadedComment>
  <threadedComment ref="AC1" dT="2026-03-05T05:03:11.97" personId="{DD614513-59EA-458A-9CE0-D0E3FC9DA721}" id="{FB6A854D-B904-40D5-ACD8-B441CA54058C}">
    <text>Giá mua tuần 11.t3.2026: 8.333</text>
  </threadedComment>
  <threadedComment ref="W2" dT="2026-03-05T04:39:32.33" personId="{DD614513-59EA-458A-9CE0-D0E3FC9DA721}" id="{7B21C84F-6BB4-4F63-9712-87A3585B5D9A}">
    <text>Vảy mua ngoài 16.000</text>
  </threadedComment>
  <threadedComment ref="X2" dT="2026-03-05T04:40:26.11" personId="{DD614513-59EA-458A-9CE0-D0E3FC9DA721}" id="{FC13F92D-3B2B-476B-880D-84A38DB9AD00}">
    <text xml:space="preserve">CF Hao hụt chai- vảy: 0 
CF rữa tách kim loại: 1.637 </text>
  </threadedComment>
  <threadedComment ref="X3" dT="2026-03-05T04:34:14.47" personId="{DD614513-59EA-458A-9CE0-D0E3FC9DA721}" id="{E2D28AE4-F2C1-46E5-B9E1-D21CCF46DB11}">
    <text>CFSX: 4.717 (sx vảy từ chai)
CF Băm chai=&gt; vảy : 2.321
CF rữa tách kim loại: 2.396 
CFSX : Vảy từ mua vảy ngoài 1.637
CL: 3.080</text>
  </threadedComment>
  <threadedComment ref="AD3" dT="2026-03-05T05:03:43.65" personId="{DD614513-59EA-458A-9CE0-D0E3FC9DA721}" id="{D0403DE0-E30D-49F6-90A0-D14CECFBBD01}">
    <text>Hiệu suất máy 25%. CS : 350kg/h</text>
  </threadedComment>
  <threadedComment ref="AQ29" dT="2026-03-06T01:06:30.75" personId="{DD614513-59EA-458A-9CE0-D0E3FC9DA721}" id="{9108CC80-C847-4E88-A267-EF6705919E18}">
    <text>Outerrinho 1000 ton/thang</text>
  </threadedComment>
</ThreadedComments>
</file>

<file path=xl/threadedComments/threadedComment6.xml><?xml version="1.0" encoding="utf-8"?>
<ThreadedComments xmlns="http://schemas.microsoft.com/office/spreadsheetml/2018/threadedcomments" xmlns:x="http://schemas.openxmlformats.org/spreadsheetml/2006/main">
  <threadedComment ref="X1" dT="2026-03-05T04:34:06.74" personId="{DD614513-59EA-458A-9CE0-D0E3FC9DA721}" id="{65EA6DBB-79DD-46CB-923E-92460FF928BC}">
    <text>CF Hao hụt chai vảy : 1.250</text>
  </threadedComment>
  <threadedComment ref="AC1" dT="2026-03-05T05:03:11.97" personId="{DD614513-59EA-458A-9CE0-D0E3FC9DA721}" id="{D33995DE-68E9-49C2-A77A-DF9A53B0B768}">
    <text>Giá mua tuần 11.t3.2026: 8.333</text>
  </threadedComment>
  <threadedComment ref="W2" dT="2026-03-05T04:39:32.33" personId="{DD614513-59EA-458A-9CE0-D0E3FC9DA721}" id="{B8B5DC96-542E-4D0F-B061-543A8D2E5C5C}">
    <text>Vảy mua ngoài 16.000</text>
  </threadedComment>
  <threadedComment ref="X2" dT="2026-03-05T04:40:26.11" personId="{DD614513-59EA-458A-9CE0-D0E3FC9DA721}" id="{D492B71F-D30A-45FB-9CC9-C98822207733}">
    <text xml:space="preserve">CF Hao hụt chai- vảy: 0 
CF rữa tách kim loại: 1.637 </text>
  </threadedComment>
  <threadedComment ref="X3" dT="2026-03-05T04:34:14.47" personId="{DD614513-59EA-458A-9CE0-D0E3FC9DA721}" id="{5BD65650-3967-4B06-8D66-5253CA31605E}">
    <text>CFSX: 4.717 (sx vảy từ chai)
CF Băm chai=&gt; vảy : 2.321
CF rữa tách kim loại: 2.396 
CFSX : Vảy từ mua vảy ngoài 1.637
CL: 3.080</text>
  </threadedComment>
  <threadedComment ref="AD3" dT="2026-03-05T05:03:43.65" personId="{DD614513-59EA-458A-9CE0-D0E3FC9DA721}" id="{455E2AF7-0F53-4285-A7D0-4C1D5732F572}">
    <text>Hiệu suất máy 25%. CS : 350kg/h</text>
  </threadedComment>
  <threadedComment ref="AQ29" dT="2026-03-06T01:06:30.75" personId="{DD614513-59EA-458A-9CE0-D0E3FC9DA721}" id="{D5E5B7D7-1B24-44AB-94A1-ACBC62FD8FFA}">
    <text>Outerrinho 1000 ton/thang</text>
  </threadedComment>
</ThreadedComments>
</file>

<file path=xl/threadedComments/threadedComment7.xml><?xml version="1.0" encoding="utf-8"?>
<ThreadedComments xmlns="http://schemas.microsoft.com/office/spreadsheetml/2018/threadedcomments" xmlns:x="http://schemas.openxmlformats.org/spreadsheetml/2006/main">
  <threadedComment ref="X1" dT="2026-03-05T04:34:06.74" personId="{DD614513-59EA-458A-9CE0-D0E3FC9DA721}" id="{50EC98FB-62F3-4687-A7B5-F6C82D7B39B3}">
    <text>CF Hao hụt chai vảy : 1.250</text>
  </threadedComment>
  <threadedComment ref="AC1" dT="2026-03-05T05:03:11.97" personId="{DD614513-59EA-458A-9CE0-D0E3FC9DA721}" id="{072DA14D-0526-4CD5-B7D3-C011D1918ED6}">
    <text>Giá mua tuần 11.t3.2026: 8.333</text>
  </threadedComment>
  <threadedComment ref="W2" dT="2026-03-05T04:39:32.33" personId="{DD614513-59EA-458A-9CE0-D0E3FC9DA721}" id="{29C14A9D-03EE-4E8A-9E67-DB0AA5A04A4F}">
    <text>Vảy mua ngoài 16.000</text>
  </threadedComment>
  <threadedComment ref="X2" dT="2026-03-05T04:40:26.11" personId="{DD614513-59EA-458A-9CE0-D0E3FC9DA721}" id="{A25BEF49-5112-429E-87DD-33DE9516CA20}">
    <text xml:space="preserve">CF Hao hụt chai- vảy: 0 
CF rữa tách kim loại: 1.637 </text>
  </threadedComment>
  <threadedComment ref="X3" dT="2026-03-05T04:34:14.47" personId="{DD614513-59EA-458A-9CE0-D0E3FC9DA721}" id="{F949C42B-53AC-4241-878A-DE6CC984564B}">
    <text>CFSX: 4.717 (sx vảy từ chai)
CF Băm chai=&gt; vảy : 2.321
CF rữa tách kim loại: 2.396 
CFSX : Vảy từ mua vảy ngoài 1.637
CL: 3.080</text>
  </threadedComment>
  <threadedComment ref="AD3" dT="2026-03-05T05:03:43.65" personId="{DD614513-59EA-458A-9CE0-D0E3FC9DA721}" id="{0A5F39C1-D143-46B0-B550-05FBFC2A5EF1}">
    <text>Hiệu suất máy 25%. CS : 350kg/h</text>
  </threadedComment>
  <threadedComment ref="AQ29" dT="2026-03-06T01:06:30.75" personId="{DD614513-59EA-458A-9CE0-D0E3FC9DA721}" id="{EC68B563-C70C-4DD9-AA88-CA8453F00717}">
    <text>Outerrinho 1000 ton/thang</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2.xml"/><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drawing" Target="../drawings/drawing4.x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4.vml"/><Relationship Id="rId1" Type="http://schemas.openxmlformats.org/officeDocument/2006/relationships/hyperlink" Target="mailto:20@" TargetMode="External"/><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AA0C1-D07B-4B42-A70C-DC523F9B3E81}">
  <dimension ref="A3:B5"/>
  <sheetViews>
    <sheetView workbookViewId="0">
      <selection activeCell="C13" sqref="C13"/>
    </sheetView>
  </sheetViews>
  <sheetFormatPr defaultRowHeight="14.5" x14ac:dyDescent="0.35"/>
  <cols>
    <col min="2" max="2" width="17.1796875" customWidth="1"/>
  </cols>
  <sheetData>
    <row r="3" spans="1:2" x14ac:dyDescent="0.35">
      <c r="A3" t="s">
        <v>510</v>
      </c>
      <c r="B3" t="s">
        <v>509</v>
      </c>
    </row>
    <row r="4" spans="1:2" x14ac:dyDescent="0.35">
      <c r="A4" t="s">
        <v>511</v>
      </c>
      <c r="B4" t="s">
        <v>512</v>
      </c>
    </row>
    <row r="5" spans="1:2" x14ac:dyDescent="0.35">
      <c r="A5" t="s">
        <v>511</v>
      </c>
      <c r="B5" t="s">
        <v>513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C760F-DA5C-4BB4-B80F-9942BA08DE97}">
  <dimension ref="A2:L30"/>
  <sheetViews>
    <sheetView topLeftCell="B13" workbookViewId="0">
      <selection activeCell="C21" sqref="C21"/>
    </sheetView>
  </sheetViews>
  <sheetFormatPr defaultColWidth="8.7265625" defaultRowHeight="14.5" outlineLevelCol="1" x14ac:dyDescent="0.35"/>
  <cols>
    <col min="1" max="1" width="8.7265625" style="212" hidden="1" customWidth="1"/>
    <col min="2" max="2" width="18.453125" style="212" customWidth="1"/>
    <col min="3" max="3" width="34.1796875" style="212" bestFit="1" customWidth="1"/>
    <col min="4" max="4" width="14.90625" style="212" customWidth="1"/>
    <col min="5" max="5" width="10.1796875" style="212" customWidth="1" outlineLevel="1"/>
    <col min="6" max="6" width="11" style="212" customWidth="1" outlineLevel="1"/>
    <col min="7" max="7" width="14.08984375" style="212" customWidth="1" outlineLevel="1"/>
    <col min="8" max="8" width="13.08984375" style="212" customWidth="1" outlineLevel="1"/>
    <col min="9" max="9" width="12.453125" style="212" customWidth="1"/>
    <col min="10" max="10" width="7.1796875" style="212" bestFit="1" customWidth="1"/>
    <col min="11" max="11" width="7.54296875" style="212" bestFit="1" customWidth="1"/>
    <col min="12" max="12" width="10.08984375" style="212" customWidth="1"/>
    <col min="13" max="16384" width="8.7265625" style="212"/>
  </cols>
  <sheetData>
    <row r="2" spans="2:12" ht="15" thickBot="1" x14ac:dyDescent="0.4"/>
    <row r="3" spans="2:12" ht="21" x14ac:dyDescent="0.35">
      <c r="B3" s="267" t="s">
        <v>479</v>
      </c>
      <c r="C3" s="268"/>
      <c r="D3" s="268"/>
      <c r="E3" s="268"/>
      <c r="F3" s="268"/>
      <c r="G3" s="268"/>
      <c r="H3" s="268"/>
      <c r="I3" s="269"/>
    </row>
    <row r="4" spans="2:12" ht="16" x14ac:dyDescent="0.35">
      <c r="B4" s="270"/>
      <c r="C4" s="271"/>
      <c r="D4" s="271"/>
      <c r="E4" s="271"/>
      <c r="F4" s="271"/>
      <c r="G4" s="271"/>
      <c r="H4" s="271"/>
      <c r="I4" s="272"/>
      <c r="J4" s="212" t="s">
        <v>480</v>
      </c>
      <c r="K4" s="212" t="s">
        <v>480</v>
      </c>
    </row>
    <row r="5" spans="2:12" x14ac:dyDescent="0.35">
      <c r="B5" s="213"/>
      <c r="I5" s="214" t="s">
        <v>481</v>
      </c>
      <c r="J5" s="215">
        <v>9500</v>
      </c>
      <c r="K5" s="215">
        <v>10000</v>
      </c>
    </row>
    <row r="6" spans="2:12" ht="16" x14ac:dyDescent="0.35">
      <c r="B6" s="273" t="s">
        <v>482</v>
      </c>
      <c r="C6" s="275" t="s">
        <v>483</v>
      </c>
      <c r="D6" s="275" t="s">
        <v>480</v>
      </c>
      <c r="E6" s="277" t="s">
        <v>484</v>
      </c>
      <c r="F6" s="278"/>
      <c r="G6" s="275" t="s">
        <v>485</v>
      </c>
      <c r="H6" s="279" t="s">
        <v>486</v>
      </c>
      <c r="I6" s="281" t="s">
        <v>487</v>
      </c>
      <c r="J6" s="215"/>
      <c r="K6" s="215"/>
    </row>
    <row r="7" spans="2:12" ht="16" x14ac:dyDescent="0.35">
      <c r="B7" s="274"/>
      <c r="C7" s="276"/>
      <c r="D7" s="276"/>
      <c r="E7" s="216" t="s">
        <v>488</v>
      </c>
      <c r="F7" s="216" t="s">
        <v>489</v>
      </c>
      <c r="G7" s="276"/>
      <c r="H7" s="280"/>
      <c r="I7" s="282"/>
      <c r="J7" s="215"/>
      <c r="K7" s="215"/>
    </row>
    <row r="8" spans="2:12" ht="16" x14ac:dyDescent="0.35">
      <c r="B8" s="217" t="s">
        <v>490</v>
      </c>
      <c r="C8" s="218"/>
      <c r="D8" s="218"/>
      <c r="E8" s="219"/>
      <c r="F8" s="219"/>
      <c r="G8" s="218"/>
      <c r="H8" s="220"/>
      <c r="I8" s="221"/>
      <c r="J8" s="215"/>
      <c r="K8" s="215"/>
    </row>
    <row r="9" spans="2:12" ht="32" x14ac:dyDescent="0.35">
      <c r="B9" s="222" t="s">
        <v>491</v>
      </c>
      <c r="C9" s="223" t="s">
        <v>492</v>
      </c>
      <c r="D9" s="224">
        <v>9500</v>
      </c>
      <c r="E9" s="225">
        <v>0.11</v>
      </c>
      <c r="F9" s="226">
        <f>D9*E9</f>
        <v>1045</v>
      </c>
      <c r="G9" s="224">
        <v>3500</v>
      </c>
      <c r="H9" s="227">
        <f>D9+F9+G9</f>
        <v>14045</v>
      </c>
      <c r="I9" s="228">
        <v>14500</v>
      </c>
      <c r="J9" s="215">
        <f>I9-D9</f>
        <v>5000</v>
      </c>
      <c r="K9" s="215">
        <v>5000</v>
      </c>
      <c r="L9" s="229">
        <f>J9-K9</f>
        <v>0</v>
      </c>
    </row>
    <row r="10" spans="2:12" ht="16" x14ac:dyDescent="0.35">
      <c r="B10" s="230" t="s">
        <v>493</v>
      </c>
      <c r="C10" s="231" t="s">
        <v>494</v>
      </c>
      <c r="D10" s="224">
        <v>9500</v>
      </c>
      <c r="E10" s="225">
        <v>0.11</v>
      </c>
      <c r="F10" s="232">
        <f t="shared" ref="F10:F12" si="0">D10*E10</f>
        <v>1045</v>
      </c>
      <c r="G10" s="233">
        <v>500</v>
      </c>
      <c r="H10" s="234">
        <f>D10+F10+G10</f>
        <v>11045</v>
      </c>
      <c r="I10" s="235">
        <v>11500</v>
      </c>
      <c r="J10" s="215">
        <f t="shared" ref="J10:J14" si="1">I10-D10</f>
        <v>2000</v>
      </c>
      <c r="K10" s="215">
        <v>2000</v>
      </c>
      <c r="L10" s="229">
        <f t="shared" ref="L10:L14" si="2">J10-K10</f>
        <v>0</v>
      </c>
    </row>
    <row r="11" spans="2:12" ht="16" x14ac:dyDescent="0.35">
      <c r="B11" s="230" t="s">
        <v>495</v>
      </c>
      <c r="C11" s="231" t="s">
        <v>496</v>
      </c>
      <c r="D11" s="224">
        <v>9500</v>
      </c>
      <c r="E11" s="225">
        <v>0.11</v>
      </c>
      <c r="F11" s="232">
        <f t="shared" si="0"/>
        <v>1045</v>
      </c>
      <c r="G11" s="233">
        <v>2000</v>
      </c>
      <c r="H11" s="234">
        <f t="shared" ref="H11:H12" si="3">D11+F11+G11</f>
        <v>12545</v>
      </c>
      <c r="I11" s="235">
        <v>13000</v>
      </c>
      <c r="J11" s="215">
        <f t="shared" si="1"/>
        <v>3500</v>
      </c>
      <c r="K11" s="215">
        <v>3500</v>
      </c>
      <c r="L11" s="229">
        <f t="shared" si="2"/>
        <v>0</v>
      </c>
    </row>
    <row r="12" spans="2:12" ht="16" x14ac:dyDescent="0.35">
      <c r="B12" s="236" t="s">
        <v>497</v>
      </c>
      <c r="C12" s="237" t="s">
        <v>498</v>
      </c>
      <c r="D12" s="224">
        <v>9500</v>
      </c>
      <c r="E12" s="225">
        <v>0.11</v>
      </c>
      <c r="F12" s="238">
        <f t="shared" si="0"/>
        <v>1045</v>
      </c>
      <c r="G12" s="239">
        <v>-5000</v>
      </c>
      <c r="H12" s="240">
        <f t="shared" si="3"/>
        <v>5545</v>
      </c>
      <c r="I12" s="241">
        <v>6000</v>
      </c>
      <c r="J12" s="215">
        <f t="shared" si="1"/>
        <v>-3500</v>
      </c>
      <c r="K12" s="215">
        <v>-3500</v>
      </c>
      <c r="L12" s="229">
        <f t="shared" si="2"/>
        <v>0</v>
      </c>
    </row>
    <row r="13" spans="2:12" ht="16" x14ac:dyDescent="0.35">
      <c r="B13" s="217" t="s">
        <v>499</v>
      </c>
      <c r="C13" s="218"/>
      <c r="D13" s="218"/>
      <c r="E13" s="219"/>
      <c r="F13" s="219"/>
      <c r="G13" s="218"/>
      <c r="H13" s="220"/>
      <c r="I13" s="221"/>
      <c r="J13" s="215"/>
      <c r="K13" s="215"/>
      <c r="L13" s="229">
        <f t="shared" si="2"/>
        <v>0</v>
      </c>
    </row>
    <row r="14" spans="2:12" ht="16.5" thickBot="1" x14ac:dyDescent="0.4">
      <c r="B14" s="242" t="s">
        <v>500</v>
      </c>
      <c r="C14" s="243" t="s">
        <v>501</v>
      </c>
      <c r="D14" s="244">
        <f>I11</f>
        <v>13000</v>
      </c>
      <c r="E14" s="245">
        <v>0.08</v>
      </c>
      <c r="F14" s="246">
        <f>D14*E14</f>
        <v>1040</v>
      </c>
      <c r="G14" s="244">
        <v>2000</v>
      </c>
      <c r="H14" s="247">
        <f>D14+F14+G14</f>
        <v>16040</v>
      </c>
      <c r="I14" s="248">
        <v>16000</v>
      </c>
      <c r="J14" s="215">
        <f t="shared" si="1"/>
        <v>3000</v>
      </c>
      <c r="K14" s="215">
        <v>3000</v>
      </c>
      <c r="L14" s="229">
        <f t="shared" si="2"/>
        <v>0</v>
      </c>
    </row>
    <row r="16" spans="2:12" x14ac:dyDescent="0.35">
      <c r="B16" s="266" t="s">
        <v>502</v>
      </c>
      <c r="C16" s="266"/>
      <c r="D16" s="266"/>
    </row>
    <row r="17" spans="2:8" x14ac:dyDescent="0.35">
      <c r="B17" s="249" t="s">
        <v>71</v>
      </c>
      <c r="C17" s="250" t="s">
        <v>503</v>
      </c>
      <c r="D17" s="249" t="s">
        <v>504</v>
      </c>
    </row>
    <row r="18" spans="2:8" x14ac:dyDescent="0.35">
      <c r="B18" s="251"/>
      <c r="C18" s="252" t="s">
        <v>505</v>
      </c>
      <c r="D18" s="253">
        <f>$I$9</f>
        <v>14500</v>
      </c>
    </row>
    <row r="19" spans="2:8" x14ac:dyDescent="0.35">
      <c r="B19" s="251"/>
      <c r="C19" s="252" t="s">
        <v>506</v>
      </c>
      <c r="D19" s="254">
        <f>D18-500</f>
        <v>14000</v>
      </c>
    </row>
    <row r="20" spans="2:8" x14ac:dyDescent="0.35">
      <c r="B20" s="251"/>
      <c r="C20" s="252" t="s">
        <v>50</v>
      </c>
      <c r="D20" s="253">
        <f>$I$9</f>
        <v>14500</v>
      </c>
    </row>
    <row r="21" spans="2:8" x14ac:dyDescent="0.35">
      <c r="B21" s="251">
        <v>150000004</v>
      </c>
      <c r="C21" s="252" t="s">
        <v>23</v>
      </c>
      <c r="D21" s="253">
        <f>$I$9</f>
        <v>14500</v>
      </c>
    </row>
    <row r="22" spans="2:8" x14ac:dyDescent="0.35">
      <c r="B22" s="251">
        <v>150000050</v>
      </c>
      <c r="C22" s="252" t="s">
        <v>22</v>
      </c>
      <c r="D22" s="253">
        <f>$I$11</f>
        <v>13000</v>
      </c>
    </row>
    <row r="23" spans="2:8" x14ac:dyDescent="0.35">
      <c r="B23" s="251">
        <v>150000005</v>
      </c>
      <c r="C23" s="252" t="s">
        <v>25</v>
      </c>
      <c r="D23" s="253">
        <f>$I$9</f>
        <v>14500</v>
      </c>
    </row>
    <row r="24" spans="2:8" x14ac:dyDescent="0.35">
      <c r="B24" s="251">
        <v>150000014</v>
      </c>
      <c r="C24" s="252" t="s">
        <v>27</v>
      </c>
      <c r="D24" s="253">
        <f>$I$10</f>
        <v>11500</v>
      </c>
    </row>
    <row r="25" spans="2:8" x14ac:dyDescent="0.35">
      <c r="B25" s="251">
        <v>150000015</v>
      </c>
      <c r="C25" s="252" t="s">
        <v>29</v>
      </c>
      <c r="D25" s="253">
        <f>$I$10</f>
        <v>11500</v>
      </c>
    </row>
    <row r="26" spans="2:8" x14ac:dyDescent="0.35">
      <c r="B26" s="251">
        <v>150000016</v>
      </c>
      <c r="C26" s="252" t="s">
        <v>32</v>
      </c>
      <c r="D26" s="253">
        <f>$I$9</f>
        <v>14500</v>
      </c>
    </row>
    <row r="27" spans="2:8" x14ac:dyDescent="0.35">
      <c r="B27" s="251">
        <v>150000114</v>
      </c>
      <c r="C27" s="252" t="s">
        <v>19</v>
      </c>
      <c r="D27" s="253">
        <f>$I$11</f>
        <v>13000</v>
      </c>
    </row>
    <row r="28" spans="2:8" s="255" customFormat="1" x14ac:dyDescent="0.35">
      <c r="B28" s="251"/>
      <c r="C28" s="252" t="s">
        <v>507</v>
      </c>
      <c r="D28" s="253">
        <f>$I$12</f>
        <v>6000</v>
      </c>
      <c r="G28" s="212"/>
      <c r="H28" s="212"/>
    </row>
    <row r="29" spans="2:8" x14ac:dyDescent="0.35">
      <c r="B29" s="251"/>
      <c r="C29" s="252" t="s">
        <v>508</v>
      </c>
      <c r="D29" s="253">
        <f>$I$12</f>
        <v>6000</v>
      </c>
    </row>
    <row r="30" spans="2:8" x14ac:dyDescent="0.35">
      <c r="B30" s="256">
        <v>150000061</v>
      </c>
      <c r="C30" s="257" t="s">
        <v>45</v>
      </c>
      <c r="D30" s="258">
        <f>I14</f>
        <v>16000</v>
      </c>
    </row>
  </sheetData>
  <mergeCells count="10">
    <mergeCell ref="B16:D16"/>
    <mergeCell ref="B3:I3"/>
    <mergeCell ref="B4:I4"/>
    <mergeCell ref="B6:B7"/>
    <mergeCell ref="C6:C7"/>
    <mergeCell ref="D6:D7"/>
    <mergeCell ref="E6:F6"/>
    <mergeCell ref="G6:G7"/>
    <mergeCell ref="H6:H7"/>
    <mergeCell ref="I6:I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8205-B476-49BC-92F0-5EFBBBECBC13}">
  <dimension ref="A2:AE44"/>
  <sheetViews>
    <sheetView zoomScale="85" zoomScaleNormal="85" workbookViewId="0">
      <selection activeCell="J14" sqref="J14"/>
    </sheetView>
  </sheetViews>
  <sheetFormatPr defaultRowHeight="14.5" x14ac:dyDescent="0.35"/>
  <cols>
    <col min="1" max="1" width="5.90625" customWidth="1"/>
    <col min="2" max="2" width="24.08984375" customWidth="1"/>
    <col min="3" max="3" width="19.81640625" customWidth="1"/>
    <col min="4" max="4" width="2.90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6.453125" bestFit="1"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6">
        <v>2026</v>
      </c>
    </row>
    <row r="3" spans="1:31" x14ac:dyDescent="0.35">
      <c r="A3" s="136">
        <v>2</v>
      </c>
    </row>
    <row r="6" spans="1:31" x14ac:dyDescent="0.35">
      <c r="B6" s="118" t="s">
        <v>397</v>
      </c>
      <c r="C6" s="137">
        <v>9500</v>
      </c>
    </row>
    <row r="7" spans="1:31" x14ac:dyDescent="0.35">
      <c r="B7" s="118" t="s">
        <v>398</v>
      </c>
      <c r="C7" s="138">
        <v>3000</v>
      </c>
    </row>
    <row r="8" spans="1:31" x14ac:dyDescent="0.35">
      <c r="B8" s="118" t="s">
        <v>399</v>
      </c>
      <c r="C8" s="139">
        <v>0.11</v>
      </c>
    </row>
    <row r="9" spans="1:31" x14ac:dyDescent="0.35">
      <c r="B9" s="118" t="s">
        <v>400</v>
      </c>
      <c r="C9" s="140">
        <f>SUM(C6:C7)</f>
        <v>12500</v>
      </c>
    </row>
    <row r="10" spans="1:31" x14ac:dyDescent="0.35">
      <c r="B10" s="118" t="s">
        <v>401</v>
      </c>
      <c r="C10" s="140">
        <f>C9*C8/(1-C8)</f>
        <v>1544.943820224719</v>
      </c>
    </row>
    <row r="11" spans="1:31" x14ac:dyDescent="0.35">
      <c r="B11" s="118" t="s">
        <v>402</v>
      </c>
      <c r="C11" s="140">
        <f>+C9/(1-C8)</f>
        <v>14044.943820224718</v>
      </c>
      <c r="X11" t="s">
        <v>403</v>
      </c>
    </row>
    <row r="12" spans="1:31" x14ac:dyDescent="0.35">
      <c r="B12" s="141" t="s">
        <v>404</v>
      </c>
      <c r="S12" t="s">
        <v>405</v>
      </c>
      <c r="V12" t="s">
        <v>406</v>
      </c>
      <c r="W12" t="s">
        <v>407</v>
      </c>
      <c r="X12" t="s">
        <v>406</v>
      </c>
      <c r="Y12" t="s">
        <v>407</v>
      </c>
    </row>
    <row r="13" spans="1:31" ht="48" x14ac:dyDescent="0.35">
      <c r="A13" s="142" t="s">
        <v>0</v>
      </c>
      <c r="B13" s="142" t="s">
        <v>408</v>
      </c>
      <c r="C13" s="142" t="s">
        <v>409</v>
      </c>
      <c r="E13" s="143" t="s">
        <v>410</v>
      </c>
      <c r="F13" s="144" t="s">
        <v>411</v>
      </c>
      <c r="G13" s="144" t="s">
        <v>412</v>
      </c>
      <c r="H13" s="144" t="s">
        <v>413</v>
      </c>
      <c r="I13" s="144" t="s">
        <v>414</v>
      </c>
      <c r="J13" s="144" t="s">
        <v>415</v>
      </c>
      <c r="K13" s="144" t="s">
        <v>416</v>
      </c>
      <c r="L13" s="144" t="s">
        <v>417</v>
      </c>
      <c r="M13" s="144" t="s">
        <v>418</v>
      </c>
      <c r="N13" s="144" t="s">
        <v>419</v>
      </c>
      <c r="O13" s="143" t="s">
        <v>410</v>
      </c>
      <c r="P13" s="283" t="s">
        <v>420</v>
      </c>
      <c r="Q13" s="283"/>
      <c r="R13" s="144" t="s">
        <v>421</v>
      </c>
      <c r="S13" s="144" t="s">
        <v>422</v>
      </c>
      <c r="T13" s="144" t="s">
        <v>420</v>
      </c>
      <c r="U13" s="144" t="s">
        <v>423</v>
      </c>
      <c r="V13" s="144" t="s">
        <v>424</v>
      </c>
      <c r="W13" s="144" t="s">
        <v>424</v>
      </c>
      <c r="X13" s="144" t="s">
        <v>424</v>
      </c>
      <c r="Y13" s="144" t="s">
        <v>424</v>
      </c>
      <c r="Z13" s="144" t="s">
        <v>425</v>
      </c>
      <c r="AA13" s="144" t="s">
        <v>426</v>
      </c>
      <c r="AC13" s="144" t="s">
        <v>427</v>
      </c>
      <c r="AD13" s="144" t="s">
        <v>428</v>
      </c>
      <c r="AE13" s="144" t="s">
        <v>429</v>
      </c>
    </row>
    <row r="14" spans="1:31" x14ac:dyDescent="0.35">
      <c r="A14" s="145">
        <v>1</v>
      </c>
      <c r="B14" s="146" t="s">
        <v>430</v>
      </c>
      <c r="C14" s="147">
        <v>0.54</v>
      </c>
      <c r="E14" s="148">
        <v>15000</v>
      </c>
      <c r="F14" s="149">
        <f>C14*1000</f>
        <v>540</v>
      </c>
      <c r="G14" s="150">
        <f>F14/1000/(1-$C$8)</f>
        <v>0.6067415730337079</v>
      </c>
      <c r="H14" s="150">
        <f>E14*G14/SUMPRODUCT($E$14:$E$20,$G$14:$G$20)</f>
        <v>0.63804647499015366</v>
      </c>
      <c r="I14" s="149">
        <f t="shared" ref="I14:I20" si="0">$C$6*H14</f>
        <v>6061.4415124064599</v>
      </c>
      <c r="J14" s="151">
        <f>($C$7+$C$10)*H14</f>
        <v>2899.8853835226646</v>
      </c>
      <c r="K14" s="149">
        <f>I14+J14</f>
        <v>8961.3268959291236</v>
      </c>
      <c r="L14" s="149">
        <f>E14*G14</f>
        <v>9101.1235955056181</v>
      </c>
      <c r="M14" s="149">
        <f>L14-K14</f>
        <v>139.79669957649458</v>
      </c>
      <c r="N14" s="149">
        <f>K14/(F14/(1-$C$8))*1000</f>
        <v>14769.59432847578</v>
      </c>
      <c r="O14" s="148">
        <v>15000</v>
      </c>
      <c r="P14" s="131">
        <f>O14-N14</f>
        <v>230.40567152422045</v>
      </c>
      <c r="Q14" s="152">
        <f t="shared" ref="Q14:Q20" si="1">P14/E14</f>
        <v>1.5360378101614697E-2</v>
      </c>
      <c r="R14" s="109">
        <f>I14/F14*1000</f>
        <v>11224.891689641594</v>
      </c>
      <c r="S14" s="153">
        <f>'[1]BOM (Long)'!$P$7</f>
        <v>11536.63177925785</v>
      </c>
      <c r="T14" s="131">
        <f>R14-S14</f>
        <v>-311.74008961625623</v>
      </c>
      <c r="U14" s="152">
        <f>T14/S14</f>
        <v>-2.7021759520551362E-2</v>
      </c>
      <c r="V14" s="154">
        <f t="shared" ref="V14:W19" si="2">R14/R$16</f>
        <v>1.25</v>
      </c>
      <c r="W14" s="155">
        <f t="shared" si="2"/>
        <v>1.25</v>
      </c>
      <c r="X14" s="154">
        <f t="shared" ref="X14:X15" si="3">S14/C$6</f>
        <v>1.214382292553458</v>
      </c>
      <c r="Y14" s="155">
        <f t="shared" ref="Y14:Y15" si="4">S14/C$6</f>
        <v>1.214382292553458</v>
      </c>
      <c r="Z14" s="109">
        <v>9700</v>
      </c>
      <c r="AA14" s="153"/>
      <c r="AC14" s="109">
        <v>12500</v>
      </c>
      <c r="AE14" s="131">
        <f>AC14+AD14</f>
        <v>12500</v>
      </c>
    </row>
    <row r="15" spans="1:31" x14ac:dyDescent="0.35">
      <c r="A15" s="145">
        <v>5</v>
      </c>
      <c r="B15" s="146" t="s">
        <v>22</v>
      </c>
      <c r="C15" s="156">
        <v>0.03</v>
      </c>
      <c r="E15" s="148">
        <v>13500</v>
      </c>
      <c r="F15" s="149">
        <f t="shared" ref="F15:F20" si="5">C15*1000</f>
        <v>30</v>
      </c>
      <c r="G15" s="150">
        <f t="shared" ref="G15:G20" si="6">F15/1000/(1-$C$8)</f>
        <v>3.3707865168539325E-2</v>
      </c>
      <c r="H15" s="150">
        <f t="shared" ref="H15:H20" si="7">E15*G15/SUMPRODUCT($E$14:$E$20,$G$14:$G$20)</f>
        <v>3.1902323749507681E-2</v>
      </c>
      <c r="I15" s="149">
        <f t="shared" si="0"/>
        <v>303.07207562032295</v>
      </c>
      <c r="J15" s="151">
        <f t="shared" ref="J15:J20" si="8">($C$7+$C$10)*H15</f>
        <v>144.99426917613323</v>
      </c>
      <c r="K15" s="149">
        <f t="shared" ref="K15:K20" si="9">I15+J15</f>
        <v>448.06634479645618</v>
      </c>
      <c r="L15" s="149">
        <f t="shared" ref="L15:L20" si="10">E15*G15</f>
        <v>455.0561797752809</v>
      </c>
      <c r="M15" s="149">
        <f t="shared" ref="M15:M20" si="11">L15-K15</f>
        <v>6.9898349788247174</v>
      </c>
      <c r="N15" s="149">
        <f t="shared" ref="N15:N20" si="12">K15/(F15/(1-$C$8))*1000</f>
        <v>13292.634895628198</v>
      </c>
      <c r="O15" s="148">
        <v>13500</v>
      </c>
      <c r="P15" s="131">
        <f t="shared" ref="P15:P19" si="13">O15-N15</f>
        <v>207.36510437180186</v>
      </c>
      <c r="Q15" s="152">
        <f t="shared" si="1"/>
        <v>1.5360378101614953E-2</v>
      </c>
      <c r="R15" s="109">
        <f>I15/F15*1000</f>
        <v>10102.402520677431</v>
      </c>
      <c r="S15" s="153">
        <f>'[1]BOM (Long)'!$P$9</f>
        <v>10152.23596574691</v>
      </c>
      <c r="T15" s="131">
        <f t="shared" ref="T15:T19" si="14">R15-S15</f>
        <v>-49.83344506947833</v>
      </c>
      <c r="U15" s="152">
        <f t="shared" ref="U15:U19" si="15">T15/S15</f>
        <v>-4.9086176914734502E-3</v>
      </c>
      <c r="V15" s="154">
        <f t="shared" si="2"/>
        <v>1.1249999999999996</v>
      </c>
      <c r="W15" s="154">
        <f t="shared" si="2"/>
        <v>1.1000000000000001</v>
      </c>
      <c r="X15" s="154">
        <f t="shared" si="3"/>
        <v>1.0686564174470432</v>
      </c>
      <c r="Y15" s="154">
        <f t="shared" si="4"/>
        <v>1.0686564174470432</v>
      </c>
      <c r="Z15" s="109">
        <f>Z14/$Y$15</f>
        <v>9076.8181818181802</v>
      </c>
      <c r="AA15" s="153">
        <f>Z15-$Z$14</f>
        <v>-623.18181818181984</v>
      </c>
      <c r="AB15" s="131">
        <f>Z15-Z14</f>
        <v>-623.18181818181984</v>
      </c>
      <c r="AC15" s="109">
        <v>10000</v>
      </c>
    </row>
    <row r="16" spans="1:31" x14ac:dyDescent="0.35">
      <c r="A16" s="145">
        <v>7</v>
      </c>
      <c r="B16" s="146" t="s">
        <v>27</v>
      </c>
      <c r="C16" s="156">
        <v>0.02</v>
      </c>
      <c r="E16" s="148">
        <v>12000</v>
      </c>
      <c r="F16" s="149">
        <f t="shared" si="5"/>
        <v>20</v>
      </c>
      <c r="G16" s="150">
        <f t="shared" si="6"/>
        <v>2.247191011235955E-2</v>
      </c>
      <c r="H16" s="150">
        <f t="shared" si="7"/>
        <v>1.8905080740448998E-2</v>
      </c>
      <c r="I16" s="149">
        <f t="shared" si="0"/>
        <v>179.59826703426549</v>
      </c>
      <c r="J16" s="151">
        <f t="shared" si="8"/>
        <v>85.922529882153029</v>
      </c>
      <c r="K16" s="149">
        <f t="shared" si="9"/>
        <v>265.52079691641853</v>
      </c>
      <c r="L16" s="149">
        <f t="shared" si="10"/>
        <v>269.66292134831463</v>
      </c>
      <c r="M16" s="149">
        <f t="shared" si="11"/>
        <v>4.142124431896093</v>
      </c>
      <c r="N16" s="149">
        <f t="shared" si="12"/>
        <v>11815.675462780626</v>
      </c>
      <c r="O16" s="148">
        <v>12000</v>
      </c>
      <c r="P16" s="131">
        <f t="shared" si="13"/>
        <v>184.32453721937418</v>
      </c>
      <c r="Q16" s="152">
        <f t="shared" si="1"/>
        <v>1.5360378101614515E-2</v>
      </c>
      <c r="R16" s="109">
        <f t="shared" ref="R16:R19" si="16">I16/F16*1000</f>
        <v>8979.9133517132759</v>
      </c>
      <c r="S16" s="153">
        <f>'[1]BOM (Long)'!$P$10</f>
        <v>9229.3054234062802</v>
      </c>
      <c r="T16" s="131">
        <f t="shared" si="14"/>
        <v>-249.39207169300425</v>
      </c>
      <c r="U16" s="152">
        <f t="shared" si="15"/>
        <v>-2.7021759520551285E-2</v>
      </c>
      <c r="V16" s="154">
        <f t="shared" si="2"/>
        <v>1</v>
      </c>
      <c r="W16" s="157">
        <f t="shared" si="2"/>
        <v>1</v>
      </c>
      <c r="X16" s="154">
        <f>S16/C$6</f>
        <v>0.97150583404276636</v>
      </c>
      <c r="Y16" s="157">
        <f>S16/C$6</f>
        <v>0.97150583404276636</v>
      </c>
      <c r="Z16" s="109">
        <f>Z15/$Y$15</f>
        <v>8493.6730212149578</v>
      </c>
      <c r="AA16" s="153">
        <f>Z16-$Z$14</f>
        <v>-1206.3269787850422</v>
      </c>
      <c r="AB16" s="131">
        <f>Z16-Z15</f>
        <v>-583.14516060322239</v>
      </c>
      <c r="AC16" s="109">
        <v>9000</v>
      </c>
    </row>
    <row r="17" spans="1:31" x14ac:dyDescent="0.35">
      <c r="A17" s="145">
        <v>8</v>
      </c>
      <c r="B17" s="146" t="s">
        <v>29</v>
      </c>
      <c r="C17" s="156">
        <v>0.02</v>
      </c>
      <c r="E17" s="148">
        <v>12000</v>
      </c>
      <c r="F17" s="149">
        <f t="shared" si="5"/>
        <v>20</v>
      </c>
      <c r="G17" s="150">
        <f t="shared" si="6"/>
        <v>2.247191011235955E-2</v>
      </c>
      <c r="H17" s="150">
        <f t="shared" si="7"/>
        <v>1.8905080740448998E-2</v>
      </c>
      <c r="I17" s="149">
        <f t="shared" si="0"/>
        <v>179.59826703426549</v>
      </c>
      <c r="J17" s="151">
        <f t="shared" si="8"/>
        <v>85.922529882153029</v>
      </c>
      <c r="K17" s="149">
        <f t="shared" si="9"/>
        <v>265.52079691641853</v>
      </c>
      <c r="L17" s="149">
        <f t="shared" si="10"/>
        <v>269.66292134831463</v>
      </c>
      <c r="M17" s="149">
        <f t="shared" si="11"/>
        <v>4.142124431896093</v>
      </c>
      <c r="N17" s="149">
        <f t="shared" si="12"/>
        <v>11815.675462780626</v>
      </c>
      <c r="O17" s="148">
        <v>12000</v>
      </c>
      <c r="P17" s="131">
        <f t="shared" si="13"/>
        <v>184.32453721937418</v>
      </c>
      <c r="Q17" s="152">
        <f t="shared" si="1"/>
        <v>1.5360378101614515E-2</v>
      </c>
      <c r="R17" s="109">
        <f t="shared" si="16"/>
        <v>8979.9133517132759</v>
      </c>
      <c r="S17" s="153">
        <f>'[1]BOM (Long)'!$P$11</f>
        <v>9229.3054234062802</v>
      </c>
      <c r="T17" s="131">
        <f t="shared" si="14"/>
        <v>-249.39207169300425</v>
      </c>
      <c r="U17" s="152">
        <f t="shared" si="15"/>
        <v>-2.7021759520551285E-2</v>
      </c>
      <c r="V17" s="154">
        <f t="shared" si="2"/>
        <v>1</v>
      </c>
      <c r="W17" s="157">
        <f t="shared" si="2"/>
        <v>1</v>
      </c>
      <c r="X17" s="154">
        <f>S17/C$6</f>
        <v>0.97150583404276636</v>
      </c>
      <c r="Y17" s="157">
        <f t="shared" ref="Y17:Y18" si="17">S17/C$6</f>
        <v>0.97150583404276636</v>
      </c>
      <c r="Z17" s="109">
        <f>Z16/$Y$15</f>
        <v>7947.9923411734508</v>
      </c>
      <c r="AA17" s="153">
        <f>Z17-$Z$14</f>
        <v>-1752.0076588265492</v>
      </c>
      <c r="AB17" s="131">
        <f>Z17-Z16</f>
        <v>-545.680680041507</v>
      </c>
      <c r="AC17" s="109">
        <v>9000</v>
      </c>
    </row>
    <row r="18" spans="1:31" x14ac:dyDescent="0.35">
      <c r="A18" s="145">
        <v>10</v>
      </c>
      <c r="B18" s="146" t="s">
        <v>19</v>
      </c>
      <c r="C18" s="156">
        <v>0.27</v>
      </c>
      <c r="E18" s="148">
        <v>13500</v>
      </c>
      <c r="F18" s="149">
        <f t="shared" si="5"/>
        <v>270</v>
      </c>
      <c r="G18" s="150">
        <f t="shared" si="6"/>
        <v>0.30337078651685395</v>
      </c>
      <c r="H18" s="150">
        <f t="shared" si="7"/>
        <v>0.2871209137455692</v>
      </c>
      <c r="I18" s="149">
        <f t="shared" si="0"/>
        <v>2727.6486805829072</v>
      </c>
      <c r="J18" s="151">
        <f t="shared" si="8"/>
        <v>1304.9484225851993</v>
      </c>
      <c r="K18" s="149">
        <f t="shared" si="9"/>
        <v>4032.5971031681065</v>
      </c>
      <c r="L18" s="149">
        <f t="shared" si="10"/>
        <v>4095.5056179775283</v>
      </c>
      <c r="M18" s="149">
        <f t="shared" si="11"/>
        <v>62.908514809421831</v>
      </c>
      <c r="N18" s="149">
        <f t="shared" si="12"/>
        <v>13292.634895628204</v>
      </c>
      <c r="O18" s="148">
        <v>13500</v>
      </c>
      <c r="P18" s="131">
        <f t="shared" si="13"/>
        <v>207.36510437179641</v>
      </c>
      <c r="Q18" s="152">
        <f t="shared" si="1"/>
        <v>1.5360378101614549E-2</v>
      </c>
      <c r="R18" s="109">
        <f t="shared" si="16"/>
        <v>10102.402520677433</v>
      </c>
      <c r="S18" s="153">
        <f>'[1]BOM (Long)'!$P$13</f>
        <v>10152.235965746908</v>
      </c>
      <c r="T18" s="131">
        <f t="shared" si="14"/>
        <v>-49.833445069474692</v>
      </c>
      <c r="U18" s="152">
        <f t="shared" si="15"/>
        <v>-4.9086176914730929E-3</v>
      </c>
      <c r="V18" s="154">
        <f t="shared" si="2"/>
        <v>1.1249999999999998</v>
      </c>
      <c r="W18" s="154">
        <f t="shared" si="2"/>
        <v>1.0999999999999999</v>
      </c>
      <c r="X18" s="154">
        <f t="shared" ref="X18:X19" si="18">S18/C$6</f>
        <v>1.068656417447043</v>
      </c>
      <c r="Y18" s="154">
        <f t="shared" si="17"/>
        <v>1.068656417447043</v>
      </c>
      <c r="Z18" s="109">
        <f>Z17/$Y$15</f>
        <v>7437.3692155994659</v>
      </c>
      <c r="AA18" s="153">
        <f>Z18-$Z$14</f>
        <v>-2262.6307844005341</v>
      </c>
      <c r="AB18" s="131">
        <f>Z18-Z17</f>
        <v>-510.62312557398491</v>
      </c>
      <c r="AC18" s="109">
        <v>10000</v>
      </c>
      <c r="AD18" s="109">
        <f>'[2]CP Công đoạn (3)'!$CJ$6</f>
        <v>2321.0309940637335</v>
      </c>
      <c r="AE18" s="131">
        <f>AC18+AD18</f>
        <v>12321.030994063734</v>
      </c>
    </row>
    <row r="19" spans="1:31" x14ac:dyDescent="0.35">
      <c r="A19" s="145">
        <v>11</v>
      </c>
      <c r="B19" s="146" t="s">
        <v>431</v>
      </c>
      <c r="C19" s="156">
        <v>0.01</v>
      </c>
      <c r="E19" s="148">
        <v>6500</v>
      </c>
      <c r="F19" s="149">
        <f t="shared" si="5"/>
        <v>10</v>
      </c>
      <c r="G19" s="150">
        <f t="shared" si="6"/>
        <v>1.1235955056179775E-2</v>
      </c>
      <c r="H19" s="150">
        <f t="shared" si="7"/>
        <v>5.1201260338716035E-3</v>
      </c>
      <c r="I19" s="149">
        <f t="shared" si="0"/>
        <v>48.641197321780233</v>
      </c>
      <c r="J19" s="151">
        <f t="shared" si="8"/>
        <v>23.270685176416446</v>
      </c>
      <c r="K19" s="149">
        <f>I19+J19</f>
        <v>71.911882498196675</v>
      </c>
      <c r="L19" s="149">
        <f t="shared" si="10"/>
        <v>73.033707865168537</v>
      </c>
      <c r="M19" s="149">
        <f t="shared" si="11"/>
        <v>1.1218253669718621</v>
      </c>
      <c r="N19" s="149">
        <f t="shared" si="12"/>
        <v>6400.1575423395052</v>
      </c>
      <c r="O19" s="148">
        <v>6500</v>
      </c>
      <c r="P19" s="131">
        <f t="shared" si="13"/>
        <v>99.842457660494802</v>
      </c>
      <c r="Q19" s="152">
        <f t="shared" si="1"/>
        <v>1.5360378101614584E-2</v>
      </c>
      <c r="R19" s="109">
        <f t="shared" si="16"/>
        <v>4864.1197321780237</v>
      </c>
      <c r="S19" s="153">
        <f>'[1]BOM (Long)'!$P$14</f>
        <v>5537.5832540437677</v>
      </c>
      <c r="T19" s="131">
        <f t="shared" si="14"/>
        <v>-673.46352186574404</v>
      </c>
      <c r="U19" s="152">
        <f t="shared" si="15"/>
        <v>-0.1216168662338311</v>
      </c>
      <c r="V19" s="154">
        <f t="shared" si="2"/>
        <v>0.54166666666666663</v>
      </c>
      <c r="W19" s="158">
        <f t="shared" si="2"/>
        <v>0.6</v>
      </c>
      <c r="X19" s="154">
        <f t="shared" si="18"/>
        <v>0.58290350042565975</v>
      </c>
      <c r="Y19" s="158">
        <f>S19/C$6</f>
        <v>0.58290350042565975</v>
      </c>
      <c r="Z19" s="109">
        <f>Z18/$Y$15</f>
        <v>6959.5513526853656</v>
      </c>
      <c r="AA19" s="153">
        <f>Z19-$Z$14</f>
        <v>-2740.4486473146344</v>
      </c>
      <c r="AB19" s="131">
        <f>Z19-Z18</f>
        <v>-477.81786291410026</v>
      </c>
      <c r="AC19" s="109">
        <v>5000</v>
      </c>
    </row>
    <row r="20" spans="1:31" hidden="1" x14ac:dyDescent="0.35">
      <c r="A20" s="145"/>
      <c r="B20" s="159"/>
      <c r="C20" s="160"/>
      <c r="E20" s="148"/>
      <c r="F20" s="161">
        <f t="shared" si="5"/>
        <v>0</v>
      </c>
      <c r="G20" s="161">
        <f t="shared" si="6"/>
        <v>0</v>
      </c>
      <c r="H20" s="161">
        <f t="shared" si="7"/>
        <v>0</v>
      </c>
      <c r="I20" s="161">
        <f t="shared" si="0"/>
        <v>0</v>
      </c>
      <c r="J20" s="161">
        <f t="shared" si="8"/>
        <v>0</v>
      </c>
      <c r="K20" s="161">
        <f t="shared" si="9"/>
        <v>0</v>
      </c>
      <c r="L20" s="161">
        <f t="shared" si="10"/>
        <v>0</v>
      </c>
      <c r="M20" s="161">
        <f t="shared" si="11"/>
        <v>0</v>
      </c>
      <c r="N20" s="161" t="e">
        <f t="shared" si="12"/>
        <v>#DIV/0!</v>
      </c>
      <c r="O20" s="161"/>
      <c r="P20" s="161" t="e">
        <f>O20-N20</f>
        <v>#DIV/0!</v>
      </c>
      <c r="Q20" s="162" t="e">
        <f t="shared" si="1"/>
        <v>#DIV/0!</v>
      </c>
    </row>
    <row r="21" spans="1:31" s="75" customFormat="1" ht="29" x14ac:dyDescent="0.35">
      <c r="B21" s="163" t="s">
        <v>432</v>
      </c>
      <c r="C21" s="164">
        <f>SUM(C14:C20)</f>
        <v>0.89000000000000012</v>
      </c>
      <c r="F21" s="165">
        <f>SUM(F14:F20)</f>
        <v>890</v>
      </c>
      <c r="G21" s="78">
        <f t="shared" ref="G21:M21" si="19">SUM(G14:G20)</f>
        <v>1.0000000000000002</v>
      </c>
      <c r="H21" s="78">
        <f t="shared" si="19"/>
        <v>1</v>
      </c>
      <c r="I21" s="166">
        <f t="shared" si="19"/>
        <v>9500</v>
      </c>
      <c r="J21" s="166">
        <f>SUM(J14:J20)</f>
        <v>4544.9438202247193</v>
      </c>
      <c r="K21" s="165">
        <f t="shared" si="19"/>
        <v>14044.943820224718</v>
      </c>
      <c r="L21" s="165">
        <f t="shared" si="19"/>
        <v>14264.044943820223</v>
      </c>
      <c r="M21" s="165">
        <f t="shared" si="19"/>
        <v>219.10112359550516</v>
      </c>
    </row>
    <row r="22" spans="1:31" x14ac:dyDescent="0.35">
      <c r="B22" t="s">
        <v>433</v>
      </c>
      <c r="C22" s="167">
        <f>100%-C21</f>
        <v>0.10999999999999988</v>
      </c>
    </row>
    <row r="23" spans="1:31" x14ac:dyDescent="0.35">
      <c r="B23" t="s">
        <v>434</v>
      </c>
      <c r="F23" s="149">
        <f>1000-F21</f>
        <v>110</v>
      </c>
    </row>
    <row r="26" spans="1:31" x14ac:dyDescent="0.35">
      <c r="B26" s="118" t="s">
        <v>435</v>
      </c>
      <c r="C26" s="137">
        <f>C11</f>
        <v>14044.943820224718</v>
      </c>
    </row>
    <row r="27" spans="1:31" x14ac:dyDescent="0.35">
      <c r="B27" s="118" t="s">
        <v>398</v>
      </c>
      <c r="C27" s="138">
        <v>1500</v>
      </c>
    </row>
    <row r="28" spans="1:31" x14ac:dyDescent="0.35">
      <c r="B28" s="118" t="s">
        <v>399</v>
      </c>
      <c r="C28" s="139">
        <v>0.06</v>
      </c>
    </row>
    <row r="29" spans="1:31" x14ac:dyDescent="0.35">
      <c r="B29" s="118" t="s">
        <v>400</v>
      </c>
      <c r="C29" s="140">
        <f>SUM(C26:C27)</f>
        <v>15544.943820224718</v>
      </c>
    </row>
    <row r="30" spans="1:31" x14ac:dyDescent="0.35">
      <c r="B30" s="118" t="s">
        <v>401</v>
      </c>
      <c r="C30" s="140">
        <f>C29*C28/(1-C28)</f>
        <v>992.23045661008848</v>
      </c>
    </row>
    <row r="31" spans="1:31" x14ac:dyDescent="0.35">
      <c r="B31" s="118" t="s">
        <v>402</v>
      </c>
      <c r="C31" s="140">
        <f>+C29/(1-C28)</f>
        <v>16537.174276834809</v>
      </c>
    </row>
    <row r="32" spans="1:31" x14ac:dyDescent="0.35">
      <c r="X32" t="s">
        <v>403</v>
      </c>
    </row>
    <row r="33" spans="1:28" x14ac:dyDescent="0.35">
      <c r="B33" t="s">
        <v>429</v>
      </c>
      <c r="S33" t="s">
        <v>405</v>
      </c>
      <c r="V33" t="s">
        <v>406</v>
      </c>
      <c r="W33" t="s">
        <v>407</v>
      </c>
      <c r="X33" t="s">
        <v>406</v>
      </c>
      <c r="Y33" t="s">
        <v>407</v>
      </c>
    </row>
    <row r="34" spans="1:28" ht="48" x14ac:dyDescent="0.35">
      <c r="A34" s="142" t="s">
        <v>0</v>
      </c>
      <c r="B34" s="142" t="s">
        <v>408</v>
      </c>
      <c r="C34" s="142" t="s">
        <v>409</v>
      </c>
      <c r="E34" s="143" t="s">
        <v>436</v>
      </c>
      <c r="F34" s="144" t="s">
        <v>411</v>
      </c>
      <c r="G34" s="144" t="s">
        <v>412</v>
      </c>
      <c r="H34" s="144" t="s">
        <v>413</v>
      </c>
      <c r="I34" s="144" t="s">
        <v>437</v>
      </c>
      <c r="J34" s="144" t="s">
        <v>438</v>
      </c>
      <c r="K34" s="144" t="s">
        <v>439</v>
      </c>
      <c r="L34" s="144" t="s">
        <v>417</v>
      </c>
      <c r="M34" s="144" t="s">
        <v>418</v>
      </c>
      <c r="N34" s="144" t="s">
        <v>440</v>
      </c>
      <c r="O34" s="143" t="s">
        <v>441</v>
      </c>
      <c r="P34" s="283" t="s">
        <v>420</v>
      </c>
      <c r="Q34" s="283"/>
      <c r="R34" s="144" t="s">
        <v>421</v>
      </c>
      <c r="S34" s="144" t="s">
        <v>422</v>
      </c>
      <c r="T34" s="144" t="s">
        <v>420</v>
      </c>
      <c r="U34" s="144" t="s">
        <v>423</v>
      </c>
      <c r="V34" s="144" t="s">
        <v>424</v>
      </c>
      <c r="W34" s="144" t="s">
        <v>424</v>
      </c>
      <c r="X34" s="144" t="s">
        <v>424</v>
      </c>
      <c r="Y34" s="144" t="s">
        <v>424</v>
      </c>
      <c r="Z34" s="144" t="s">
        <v>425</v>
      </c>
      <c r="AA34" s="144" t="s">
        <v>426</v>
      </c>
    </row>
    <row r="35" spans="1:28" x14ac:dyDescent="0.35">
      <c r="A35" s="145">
        <v>1</v>
      </c>
      <c r="B35" s="146" t="s">
        <v>442</v>
      </c>
      <c r="C35" s="147">
        <v>0.54</v>
      </c>
      <c r="E35" s="148">
        <f>N14</f>
        <v>14769.59432847578</v>
      </c>
      <c r="F35" s="149">
        <f>C35*1000</f>
        <v>540</v>
      </c>
      <c r="G35" s="150">
        <f>F35/1000/(1-$C$28)</f>
        <v>0.57446808510638303</v>
      </c>
      <c r="H35" s="150">
        <f>E35*G35/SUMPRODUCT($E$35:$E$40,$G$35:$G$40)</f>
        <v>0.63804647499015354</v>
      </c>
      <c r="I35" s="149">
        <f>$C$26*H35</f>
        <v>8961.3268959291217</v>
      </c>
      <c r="J35" s="151">
        <f>$C$27+$C$30</f>
        <v>2492.2304566100884</v>
      </c>
      <c r="K35" s="149">
        <f>N14+J35</f>
        <v>17261.824785085868</v>
      </c>
      <c r="L35" s="149">
        <f>O35</f>
        <v>16500</v>
      </c>
      <c r="M35" s="149">
        <f>L35-K35</f>
        <v>-761.82478508586792</v>
      </c>
      <c r="N35" s="149">
        <f>K35</f>
        <v>17261.824785085868</v>
      </c>
      <c r="O35" s="148">
        <v>16500</v>
      </c>
      <c r="P35" s="131">
        <f>O35-N35</f>
        <v>-761.82478508586792</v>
      </c>
      <c r="Q35" s="152">
        <f>P35/E35</f>
        <v>-5.1580616782213824E-2</v>
      </c>
      <c r="R35" s="109">
        <f>I35/F35*1000</f>
        <v>16595.049807276151</v>
      </c>
      <c r="S35" s="153">
        <f>'[1]BOM (Long)'!$P$7</f>
        <v>11536.63177925785</v>
      </c>
      <c r="T35" s="131">
        <f>R35-S35</f>
        <v>5058.4180280183009</v>
      </c>
      <c r="U35" s="152">
        <f>T35/S35</f>
        <v>0.43846576061420489</v>
      </c>
      <c r="V35" s="154">
        <f t="shared" ref="V35:W40" si="20">R35/R$16</f>
        <v>1.8480189237137779</v>
      </c>
      <c r="W35" s="155">
        <f t="shared" si="20"/>
        <v>1.25</v>
      </c>
      <c r="X35" s="154">
        <f t="shared" ref="X35:X36" si="21">S35/C$6</f>
        <v>1.214382292553458</v>
      </c>
      <c r="Y35" s="155">
        <f t="shared" ref="Y35:Y36" si="22">S35/C$6</f>
        <v>1.214382292553458</v>
      </c>
      <c r="Z35" s="109">
        <v>9700</v>
      </c>
      <c r="AA35" s="153"/>
    </row>
    <row r="36" spans="1:28" x14ac:dyDescent="0.35">
      <c r="A36" s="145">
        <v>5</v>
      </c>
      <c r="B36" s="146" t="s">
        <v>443</v>
      </c>
      <c r="C36" s="156">
        <v>0.03</v>
      </c>
      <c r="E36" s="148">
        <f t="shared" ref="E36:E40" si="23">N15</f>
        <v>13292.634895628198</v>
      </c>
      <c r="F36" s="149">
        <f t="shared" ref="F36:F41" si="24">C36*1000</f>
        <v>30</v>
      </c>
      <c r="G36" s="150">
        <f t="shared" ref="G36:G40" si="25">F36/1000/(1-$C$28)</f>
        <v>3.1914893617021274E-2</v>
      </c>
      <c r="H36" s="150">
        <f t="shared" ref="H36:H40" si="26">E36*G36/SUMPRODUCT($E$35:$E$40,$G$35:$G$40)</f>
        <v>3.1902323749507668E-2</v>
      </c>
      <c r="I36" s="149">
        <f t="shared" ref="I36:I40" si="27">$C$26*H36</f>
        <v>448.06634479645601</v>
      </c>
      <c r="J36" s="151">
        <f t="shared" ref="J36:J40" si="28">$C$27+$C$30</f>
        <v>2492.2304566100884</v>
      </c>
      <c r="K36" s="149">
        <f t="shared" ref="K36:K39" si="29">N15+J36</f>
        <v>15784.865352238287</v>
      </c>
      <c r="L36" s="149">
        <f t="shared" ref="L36:L40" si="30">O36</f>
        <v>15000</v>
      </c>
      <c r="M36" s="149">
        <f t="shared" ref="M36:M41" si="31">L36-K36</f>
        <v>-784.8653522382865</v>
      </c>
      <c r="N36" s="149">
        <f t="shared" ref="N36:N39" si="32">K36</f>
        <v>15784.865352238287</v>
      </c>
      <c r="O36" s="148">
        <v>15000</v>
      </c>
      <c r="P36" s="131">
        <f t="shared" ref="P36:P39" si="33">O36-N36</f>
        <v>-784.8653522382865</v>
      </c>
      <c r="Q36" s="152">
        <f t="shared" ref="Q36:Q41" si="34">P36/E36</f>
        <v>-5.9045129758015104E-2</v>
      </c>
      <c r="R36" s="109">
        <f>I36/F36*1000</f>
        <v>14935.544826548532</v>
      </c>
      <c r="S36" s="153">
        <f>'[1]BOM (Long)'!$P$9</f>
        <v>10152.23596574691</v>
      </c>
      <c r="T36" s="131">
        <f t="shared" ref="T36:T40" si="35">R36-S36</f>
        <v>4783.3088608016224</v>
      </c>
      <c r="U36" s="152">
        <f t="shared" ref="U36:U40" si="36">T36/S36</f>
        <v>0.47115816426452711</v>
      </c>
      <c r="V36" s="154">
        <f t="shared" si="20"/>
        <v>1.6632170313423995</v>
      </c>
      <c r="W36" s="154">
        <f t="shared" si="20"/>
        <v>1.1000000000000001</v>
      </c>
      <c r="X36" s="154">
        <f t="shared" si="21"/>
        <v>1.0686564174470432</v>
      </c>
      <c r="Y36" s="154">
        <f t="shared" si="22"/>
        <v>1.0686564174470432</v>
      </c>
      <c r="Z36" s="109">
        <f>Z35/$Y$15</f>
        <v>9076.8181818181802</v>
      </c>
      <c r="AA36" s="153">
        <f>Z36-$Z$14</f>
        <v>-623.18181818181984</v>
      </c>
      <c r="AB36" s="131">
        <f>Z36-Z35</f>
        <v>-623.18181818181984</v>
      </c>
    </row>
    <row r="37" spans="1:28" x14ac:dyDescent="0.35">
      <c r="A37" s="145">
        <v>7</v>
      </c>
      <c r="B37" s="146" t="s">
        <v>444</v>
      </c>
      <c r="C37" s="156">
        <v>0.02</v>
      </c>
      <c r="E37" s="148">
        <f t="shared" si="23"/>
        <v>11815.675462780626</v>
      </c>
      <c r="F37" s="149">
        <f t="shared" si="24"/>
        <v>20</v>
      </c>
      <c r="G37" s="150">
        <f t="shared" si="25"/>
        <v>2.1276595744680854E-2</v>
      </c>
      <c r="H37" s="150">
        <f t="shared" si="26"/>
        <v>1.8905080740448998E-2</v>
      </c>
      <c r="I37" s="149">
        <f t="shared" si="27"/>
        <v>265.52079691641848</v>
      </c>
      <c r="J37" s="151">
        <f t="shared" si="28"/>
        <v>2492.2304566100884</v>
      </c>
      <c r="K37" s="149">
        <f t="shared" si="29"/>
        <v>14307.905919390714</v>
      </c>
      <c r="L37" s="149">
        <f t="shared" si="30"/>
        <v>13500</v>
      </c>
      <c r="M37" s="149">
        <f t="shared" si="31"/>
        <v>-807.90591939071419</v>
      </c>
      <c r="N37" s="149">
        <f t="shared" si="32"/>
        <v>14307.905919390714</v>
      </c>
      <c r="O37" s="148">
        <v>13500</v>
      </c>
      <c r="P37" s="131">
        <f t="shared" si="33"/>
        <v>-807.90591939071419</v>
      </c>
      <c r="Q37" s="152">
        <f t="shared" si="34"/>
        <v>-6.8375770977767425E-2</v>
      </c>
      <c r="R37" s="109">
        <f t="shared" ref="R37:R40" si="37">I37/F37*1000</f>
        <v>13276.039845820924</v>
      </c>
      <c r="S37" s="153">
        <f>'[1]BOM (Long)'!$P$10</f>
        <v>9229.3054234062802</v>
      </c>
      <c r="T37" s="131">
        <f t="shared" si="35"/>
        <v>4046.7344224146436</v>
      </c>
      <c r="U37" s="152">
        <f t="shared" si="36"/>
        <v>0.43846576061420517</v>
      </c>
      <c r="V37" s="154">
        <f t="shared" si="20"/>
        <v>1.4784151389710225</v>
      </c>
      <c r="W37" s="157">
        <f t="shared" si="20"/>
        <v>1</v>
      </c>
      <c r="X37" s="154">
        <f>S37/C$6</f>
        <v>0.97150583404276636</v>
      </c>
      <c r="Y37" s="157">
        <f>S37/C$6</f>
        <v>0.97150583404276636</v>
      </c>
      <c r="Z37" s="109">
        <f>Z36/$Y$15</f>
        <v>8493.6730212149578</v>
      </c>
      <c r="AA37" s="153">
        <f>Z37-$Z$14</f>
        <v>-1206.3269787850422</v>
      </c>
      <c r="AB37" s="131">
        <f>Z37-Z36</f>
        <v>-583.14516060322239</v>
      </c>
    </row>
    <row r="38" spans="1:28" x14ac:dyDescent="0.35">
      <c r="A38" s="145">
        <v>8</v>
      </c>
      <c r="B38" s="146" t="s">
        <v>445</v>
      </c>
      <c r="C38" s="156">
        <v>0.02</v>
      </c>
      <c r="E38" s="148">
        <f t="shared" si="23"/>
        <v>11815.675462780626</v>
      </c>
      <c r="F38" s="149">
        <f t="shared" si="24"/>
        <v>20</v>
      </c>
      <c r="G38" s="150">
        <f t="shared" si="25"/>
        <v>2.1276595744680854E-2</v>
      </c>
      <c r="H38" s="150">
        <f t="shared" si="26"/>
        <v>1.8905080740448998E-2</v>
      </c>
      <c r="I38" s="149">
        <f t="shared" si="27"/>
        <v>265.52079691641848</v>
      </c>
      <c r="J38" s="151">
        <f t="shared" si="28"/>
        <v>2492.2304566100884</v>
      </c>
      <c r="K38" s="149">
        <f t="shared" si="29"/>
        <v>14307.905919390714</v>
      </c>
      <c r="L38" s="149">
        <f t="shared" si="30"/>
        <v>13500</v>
      </c>
      <c r="M38" s="149">
        <f t="shared" si="31"/>
        <v>-807.90591939071419</v>
      </c>
      <c r="N38" s="149">
        <f t="shared" si="32"/>
        <v>14307.905919390714</v>
      </c>
      <c r="O38" s="148">
        <v>13500</v>
      </c>
      <c r="P38" s="131">
        <f t="shared" si="33"/>
        <v>-807.90591939071419</v>
      </c>
      <c r="Q38" s="152">
        <f t="shared" si="34"/>
        <v>-6.8375770977767425E-2</v>
      </c>
      <c r="R38" s="109">
        <f t="shared" si="37"/>
        <v>13276.039845820924</v>
      </c>
      <c r="S38" s="153">
        <f>'[1]BOM (Long)'!$P$11</f>
        <v>9229.3054234062802</v>
      </c>
      <c r="T38" s="131">
        <f t="shared" si="35"/>
        <v>4046.7344224146436</v>
      </c>
      <c r="U38" s="152">
        <f t="shared" si="36"/>
        <v>0.43846576061420517</v>
      </c>
      <c r="V38" s="154">
        <f t="shared" si="20"/>
        <v>1.4784151389710225</v>
      </c>
      <c r="W38" s="157">
        <f t="shared" si="20"/>
        <v>1</v>
      </c>
      <c r="X38" s="154">
        <f>S38/C$6</f>
        <v>0.97150583404276636</v>
      </c>
      <c r="Y38" s="157">
        <f t="shared" ref="Y38:Y39" si="38">S38/C$6</f>
        <v>0.97150583404276636</v>
      </c>
      <c r="Z38" s="109">
        <f>Z37/$Y$15</f>
        <v>7947.9923411734508</v>
      </c>
      <c r="AA38" s="153">
        <f>Z38-$Z$14</f>
        <v>-1752.0076588265492</v>
      </c>
      <c r="AB38" s="131">
        <f>Z38-Z37</f>
        <v>-545.680680041507</v>
      </c>
    </row>
    <row r="39" spans="1:28" x14ac:dyDescent="0.35">
      <c r="A39" s="145">
        <v>10</v>
      </c>
      <c r="B39" s="146" t="s">
        <v>446</v>
      </c>
      <c r="C39" s="156">
        <v>0.27</v>
      </c>
      <c r="E39" s="148">
        <f t="shared" si="23"/>
        <v>13292.634895628204</v>
      </c>
      <c r="F39" s="149">
        <f t="shared" si="24"/>
        <v>270</v>
      </c>
      <c r="G39" s="150">
        <f t="shared" si="25"/>
        <v>0.28723404255319152</v>
      </c>
      <c r="H39" s="150">
        <f t="shared" si="26"/>
        <v>0.28712091374556914</v>
      </c>
      <c r="I39" s="149">
        <f t="shared" si="27"/>
        <v>4032.5971031681056</v>
      </c>
      <c r="J39" s="151">
        <f t="shared" si="28"/>
        <v>2492.2304566100884</v>
      </c>
      <c r="K39" s="149">
        <f t="shared" si="29"/>
        <v>15784.865352238292</v>
      </c>
      <c r="L39" s="149">
        <f t="shared" si="30"/>
        <v>15000</v>
      </c>
      <c r="M39" s="149">
        <f t="shared" si="31"/>
        <v>-784.86535223829196</v>
      </c>
      <c r="N39" s="149">
        <f t="shared" si="32"/>
        <v>15784.865352238292</v>
      </c>
      <c r="O39" s="148">
        <v>15000</v>
      </c>
      <c r="P39" s="131">
        <f t="shared" si="33"/>
        <v>-784.86535223829196</v>
      </c>
      <c r="Q39" s="152">
        <f t="shared" si="34"/>
        <v>-5.9045129758015492E-2</v>
      </c>
      <c r="R39" s="109">
        <f t="shared" si="37"/>
        <v>14935.544826548539</v>
      </c>
      <c r="S39" s="153">
        <f>'[1]BOM (Long)'!$P$13</f>
        <v>10152.235965746908</v>
      </c>
      <c r="T39" s="131">
        <f t="shared" si="35"/>
        <v>4783.3088608016315</v>
      </c>
      <c r="U39" s="152">
        <f t="shared" si="36"/>
        <v>0.47115816426452806</v>
      </c>
      <c r="V39" s="154">
        <f t="shared" si="20"/>
        <v>1.6632170313424004</v>
      </c>
      <c r="W39" s="154">
        <f t="shared" si="20"/>
        <v>1.0999999999999999</v>
      </c>
      <c r="X39" s="154">
        <f t="shared" ref="X39:X40" si="39">S39/C$6</f>
        <v>1.068656417447043</v>
      </c>
      <c r="Y39" s="154">
        <f t="shared" si="38"/>
        <v>1.068656417447043</v>
      </c>
      <c r="Z39" s="109">
        <f>Z38/$Y$15</f>
        <v>7437.3692155994659</v>
      </c>
      <c r="AA39" s="153">
        <f>Z39-$Z$14</f>
        <v>-2262.6307844005341</v>
      </c>
      <c r="AB39" s="131">
        <f>Z39-Z38</f>
        <v>-510.62312557398491</v>
      </c>
    </row>
    <row r="40" spans="1:28" x14ac:dyDescent="0.35">
      <c r="A40" s="145">
        <v>11</v>
      </c>
      <c r="B40" s="146" t="s">
        <v>447</v>
      </c>
      <c r="C40" s="156">
        <v>0.01</v>
      </c>
      <c r="E40" s="148">
        <f t="shared" si="23"/>
        <v>6400.1575423395052</v>
      </c>
      <c r="F40" s="149">
        <f t="shared" si="24"/>
        <v>10</v>
      </c>
      <c r="G40" s="150">
        <f t="shared" si="25"/>
        <v>1.0638297872340427E-2</v>
      </c>
      <c r="H40" s="150">
        <f t="shared" si="26"/>
        <v>5.1201260338716035E-3</v>
      </c>
      <c r="I40" s="149">
        <f t="shared" si="27"/>
        <v>71.911882498196675</v>
      </c>
      <c r="J40" s="151">
        <f t="shared" si="28"/>
        <v>2492.2304566100884</v>
      </c>
      <c r="K40" s="149">
        <f>N19+J40</f>
        <v>8892.3879989495945</v>
      </c>
      <c r="L40" s="149">
        <f t="shared" si="30"/>
        <v>8000</v>
      </c>
      <c r="M40" s="149">
        <f t="shared" si="31"/>
        <v>-892.38799894959448</v>
      </c>
      <c r="N40" s="149">
        <f>K40</f>
        <v>8892.3879989495945</v>
      </c>
      <c r="O40" s="148">
        <v>8000</v>
      </c>
      <c r="P40" s="131">
        <f>O40-N40</f>
        <v>-892.38799894959448</v>
      </c>
      <c r="Q40" s="152">
        <f>P40/E40</f>
        <v>-0.1394321925743397</v>
      </c>
      <c r="R40" s="109">
        <f t="shared" si="37"/>
        <v>7191.1882498196674</v>
      </c>
      <c r="S40" s="153">
        <f>'[1]BOM (Long)'!$P$14</f>
        <v>5537.5832540437677</v>
      </c>
      <c r="T40" s="131">
        <f t="shared" si="35"/>
        <v>1653.6049957758996</v>
      </c>
      <c r="U40" s="152">
        <f t="shared" si="36"/>
        <v>0.29861492277671314</v>
      </c>
      <c r="V40" s="154">
        <f t="shared" si="20"/>
        <v>0.80080820027597055</v>
      </c>
      <c r="W40" s="158">
        <f t="shared" si="20"/>
        <v>0.6</v>
      </c>
      <c r="X40" s="154">
        <f t="shared" si="39"/>
        <v>0.58290350042565975</v>
      </c>
      <c r="Y40" s="158">
        <f>S40/C$6</f>
        <v>0.58290350042565975</v>
      </c>
      <c r="Z40" s="109">
        <f>Z39/$Y$15</f>
        <v>6959.5513526853656</v>
      </c>
      <c r="AA40" s="153">
        <f>Z40-$Z$14</f>
        <v>-2740.4486473146344</v>
      </c>
      <c r="AB40" s="131">
        <f>Z40-Z39</f>
        <v>-477.81786291410026</v>
      </c>
    </row>
    <row r="41" spans="1:28" x14ac:dyDescent="0.35">
      <c r="A41" s="145"/>
      <c r="B41" s="159"/>
      <c r="C41" s="160"/>
      <c r="E41" s="148"/>
      <c r="F41" s="161">
        <f t="shared" si="24"/>
        <v>0</v>
      </c>
      <c r="G41" s="161">
        <f t="shared" ref="G41" si="40">F41/1000/(1-$C$8)</f>
        <v>0</v>
      </c>
      <c r="H41" s="161">
        <f t="shared" ref="H41" si="41">E41*G41/SUMPRODUCT($E$14:$E$20,$G$14:$G$20)</f>
        <v>0</v>
      </c>
      <c r="I41" s="161">
        <f t="shared" ref="I41" si="42">$C$6*H41</f>
        <v>0</v>
      </c>
      <c r="J41" s="161">
        <f t="shared" ref="J41" si="43">($C$7+$C$10)*H41</f>
        <v>0</v>
      </c>
      <c r="K41" s="161">
        <f t="shared" ref="K41" si="44">I41+J41</f>
        <v>0</v>
      </c>
      <c r="L41" s="161">
        <f t="shared" ref="L41" si="45">E41*G41</f>
        <v>0</v>
      </c>
      <c r="M41" s="161">
        <f t="shared" si="31"/>
        <v>0</v>
      </c>
      <c r="N41" s="161" t="e">
        <f t="shared" ref="N41" si="46">K41/(F41/(1-$C$8))*1000</f>
        <v>#DIV/0!</v>
      </c>
      <c r="O41" s="161"/>
      <c r="P41" s="161" t="e">
        <f>O41-N41</f>
        <v>#DIV/0!</v>
      </c>
      <c r="Q41" s="162" t="e">
        <f t="shared" si="34"/>
        <v>#DIV/0!</v>
      </c>
    </row>
    <row r="42" spans="1:28" ht="29" x14ac:dyDescent="0.35">
      <c r="A42" s="75"/>
      <c r="B42" s="163" t="s">
        <v>432</v>
      </c>
      <c r="C42" s="164">
        <f>SUM(C35:C41)</f>
        <v>0.89000000000000012</v>
      </c>
      <c r="D42" s="75"/>
      <c r="E42" s="75"/>
      <c r="F42" s="165">
        <f>SUM(F35:F41)</f>
        <v>890</v>
      </c>
      <c r="G42" s="78">
        <f t="shared" ref="G42:M42" si="47">SUM(G35:G41)</f>
        <v>0.94680851063829796</v>
      </c>
      <c r="H42" s="78">
        <f t="shared" si="47"/>
        <v>0.99999999999999989</v>
      </c>
      <c r="I42" s="166">
        <f t="shared" si="47"/>
        <v>14044.943820224717</v>
      </c>
      <c r="J42" s="166">
        <f t="shared" si="47"/>
        <v>14953.38273966053</v>
      </c>
      <c r="K42" s="165">
        <f>SUM(K35:K41)</f>
        <v>86339.755327293475</v>
      </c>
      <c r="L42" s="165">
        <f>SUM(L35:L41)</f>
        <v>81500</v>
      </c>
      <c r="M42" s="165">
        <f t="shared" si="47"/>
        <v>-4839.7553272934692</v>
      </c>
      <c r="N42" s="75"/>
      <c r="O42" s="75"/>
      <c r="P42" s="75"/>
      <c r="Q42" s="75"/>
      <c r="R42" s="75"/>
      <c r="S42" s="75"/>
      <c r="T42" s="75"/>
      <c r="U42" s="75"/>
      <c r="V42" s="75"/>
      <c r="W42" s="75"/>
      <c r="X42" s="75"/>
      <c r="Y42" s="75"/>
      <c r="Z42" s="75"/>
      <c r="AA42" s="75"/>
      <c r="AB42" s="75"/>
    </row>
    <row r="43" spans="1:28" x14ac:dyDescent="0.35">
      <c r="B43" t="s">
        <v>433</v>
      </c>
      <c r="C43" s="167">
        <f>100%-C42</f>
        <v>0.10999999999999988</v>
      </c>
    </row>
    <row r="44" spans="1:28" x14ac:dyDescent="0.35">
      <c r="B44" t="s">
        <v>434</v>
      </c>
      <c r="F44" s="149">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18392-4A07-4566-9CC4-127AC0A5B6D0}">
  <sheetPr>
    <tabColor rgb="FFFF0000"/>
  </sheetPr>
  <dimension ref="A2:AE44"/>
  <sheetViews>
    <sheetView topLeftCell="A22" zoomScale="85" zoomScaleNormal="85" workbookViewId="0">
      <selection activeCell="C32" sqref="C32"/>
    </sheetView>
  </sheetViews>
  <sheetFormatPr defaultRowHeight="14.5" x14ac:dyDescent="0.35"/>
  <cols>
    <col min="1" max="1" width="5.90625" customWidth="1"/>
    <col min="2" max="2" width="24.08984375" customWidth="1"/>
    <col min="3" max="3" width="19.81640625" customWidth="1"/>
    <col min="4" max="4" width="2.90625" customWidth="1"/>
    <col min="5" max="5" width="15.36328125" customWidth="1"/>
    <col min="6" max="6" width="16.1796875" customWidth="1"/>
    <col min="7" max="7" width="15.26953125" customWidth="1"/>
    <col min="8" max="9" width="12.08984375" customWidth="1"/>
    <col min="10" max="10" width="15" customWidth="1"/>
    <col min="11" max="12" width="10.08984375" customWidth="1"/>
    <col min="13" max="13" width="9.1796875" customWidth="1"/>
    <col min="14" max="14" width="16.453125" bestFit="1" customWidth="1"/>
    <col min="15" max="15" width="14.453125" bestFit="1" customWidth="1"/>
    <col min="16" max="16" width="7.453125" bestFit="1" customWidth="1"/>
    <col min="17" max="17" width="7.90625" bestFit="1" customWidth="1"/>
    <col min="18" max="19" width="10.08984375" bestFit="1" customWidth="1"/>
    <col min="20" max="20" width="7" bestFit="1" customWidth="1"/>
    <col min="21" max="21" width="7.90625" bestFit="1" customWidth="1"/>
    <col min="23" max="23" width="9.08984375" bestFit="1" customWidth="1"/>
    <col min="25" max="25" width="10.08984375" bestFit="1" customWidth="1"/>
    <col min="26" max="26" width="13.6328125" bestFit="1" customWidth="1"/>
    <col min="27" max="27" width="10.54296875" bestFit="1" customWidth="1"/>
    <col min="28" max="28" width="6.08984375" bestFit="1" customWidth="1"/>
    <col min="29" max="29" width="10.81640625" bestFit="1" customWidth="1"/>
    <col min="30" max="30" width="9.7265625" bestFit="1" customWidth="1"/>
    <col min="31" max="31" width="9.54296875" customWidth="1"/>
    <col min="32" max="32" width="11.08984375" bestFit="1" customWidth="1"/>
    <col min="33" max="33" width="11.08984375" customWidth="1"/>
    <col min="34" max="34" width="13.453125" customWidth="1"/>
    <col min="37" max="37" width="14" customWidth="1"/>
  </cols>
  <sheetData>
    <row r="2" spans="1:31" x14ac:dyDescent="0.35">
      <c r="A2" s="136">
        <v>2026</v>
      </c>
    </row>
    <row r="3" spans="1:31" x14ac:dyDescent="0.35">
      <c r="A3" s="136">
        <v>2</v>
      </c>
    </row>
    <row r="6" spans="1:31" x14ac:dyDescent="0.35">
      <c r="B6" s="118" t="s">
        <v>397</v>
      </c>
      <c r="C6" s="137">
        <v>9500</v>
      </c>
    </row>
    <row r="7" spans="1:31" x14ac:dyDescent="0.35">
      <c r="B7" s="118" t="s">
        <v>398</v>
      </c>
      <c r="C7" s="138">
        <v>3000</v>
      </c>
    </row>
    <row r="8" spans="1:31" x14ac:dyDescent="0.35">
      <c r="B8" s="118" t="s">
        <v>399</v>
      </c>
      <c r="C8" s="139">
        <v>0.11</v>
      </c>
    </row>
    <row r="9" spans="1:31" x14ac:dyDescent="0.35">
      <c r="B9" s="118" t="s">
        <v>400</v>
      </c>
      <c r="C9" s="140">
        <f>SUM(C6:C7)</f>
        <v>12500</v>
      </c>
    </row>
    <row r="10" spans="1:31" x14ac:dyDescent="0.35">
      <c r="B10" s="118" t="s">
        <v>401</v>
      </c>
      <c r="C10" s="140">
        <f>C9*C8/(1-C8)</f>
        <v>1544.943820224719</v>
      </c>
    </row>
    <row r="11" spans="1:31" x14ac:dyDescent="0.35">
      <c r="B11" s="118" t="s">
        <v>402</v>
      </c>
      <c r="C11" s="140">
        <f>+C9/(1-C8)</f>
        <v>14044.943820224718</v>
      </c>
      <c r="X11" t="s">
        <v>403</v>
      </c>
    </row>
    <row r="12" spans="1:31" x14ac:dyDescent="0.35">
      <c r="B12" s="141" t="s">
        <v>404</v>
      </c>
      <c r="E12">
        <v>500</v>
      </c>
      <c r="S12" t="s">
        <v>405</v>
      </c>
      <c r="V12" t="s">
        <v>406</v>
      </c>
      <c r="W12" t="s">
        <v>407</v>
      </c>
      <c r="X12" t="s">
        <v>406</v>
      </c>
      <c r="Y12" t="s">
        <v>407</v>
      </c>
    </row>
    <row r="13" spans="1:31" ht="48" x14ac:dyDescent="0.35">
      <c r="A13" s="142" t="s">
        <v>0</v>
      </c>
      <c r="B13" s="142" t="s">
        <v>408</v>
      </c>
      <c r="C13" s="142" t="s">
        <v>409</v>
      </c>
      <c r="E13" s="143" t="s">
        <v>410</v>
      </c>
      <c r="F13" s="144" t="s">
        <v>411</v>
      </c>
      <c r="G13" s="144" t="s">
        <v>412</v>
      </c>
      <c r="H13" s="144" t="s">
        <v>413</v>
      </c>
      <c r="I13" s="144" t="s">
        <v>414</v>
      </c>
      <c r="J13" s="144" t="s">
        <v>415</v>
      </c>
      <c r="K13" s="144" t="s">
        <v>416</v>
      </c>
      <c r="L13" s="144" t="s">
        <v>417</v>
      </c>
      <c r="M13" s="144" t="s">
        <v>418</v>
      </c>
      <c r="N13" s="144" t="s">
        <v>419</v>
      </c>
      <c r="O13" s="143" t="s">
        <v>410</v>
      </c>
      <c r="P13" s="283" t="s">
        <v>420</v>
      </c>
      <c r="Q13" s="283"/>
      <c r="R13" s="144" t="s">
        <v>421</v>
      </c>
      <c r="S13" s="144" t="s">
        <v>422</v>
      </c>
      <c r="T13" s="144" t="s">
        <v>420</v>
      </c>
      <c r="U13" s="144" t="s">
        <v>423</v>
      </c>
      <c r="V13" s="144" t="s">
        <v>424</v>
      </c>
      <c r="W13" s="144" t="s">
        <v>424</v>
      </c>
      <c r="X13" s="144" t="s">
        <v>424</v>
      </c>
      <c r="Y13" s="144" t="s">
        <v>424</v>
      </c>
      <c r="Z13" s="144" t="s">
        <v>425</v>
      </c>
      <c r="AA13" s="144" t="s">
        <v>426</v>
      </c>
      <c r="AC13" s="144" t="s">
        <v>427</v>
      </c>
      <c r="AD13" s="144" t="s">
        <v>428</v>
      </c>
      <c r="AE13" s="144" t="s">
        <v>429</v>
      </c>
    </row>
    <row r="14" spans="1:31" x14ac:dyDescent="0.35">
      <c r="A14" s="145">
        <v>1</v>
      </c>
      <c r="B14" s="146" t="s">
        <v>430</v>
      </c>
      <c r="C14" s="147">
        <v>0.54</v>
      </c>
      <c r="E14" s="148">
        <f>'Giá mua Chai-Vảy'!E14-$E$12</f>
        <v>14500</v>
      </c>
      <c r="F14" s="149">
        <f>C14*1000</f>
        <v>540</v>
      </c>
      <c r="G14" s="150">
        <f>F14/1000/(1-$C$8)</f>
        <v>0.6067415730337079</v>
      </c>
      <c r="H14" s="150">
        <f>E14*G14/SUMPRODUCT($E$14:$E$20,$G$14:$G$20)</f>
        <v>0.63918367346938776</v>
      </c>
      <c r="I14" s="149">
        <f t="shared" ref="I14:I20" si="0">$C$6*H14</f>
        <v>6072.2448979591836</v>
      </c>
      <c r="J14" s="151">
        <f>($C$7+$C$10)*H14</f>
        <v>2905.053886723229</v>
      </c>
      <c r="K14" s="149">
        <f>I14+J14</f>
        <v>8977.2987846824126</v>
      </c>
      <c r="L14" s="149">
        <f>E14*G14</f>
        <v>8797.7528089887637</v>
      </c>
      <c r="M14" s="149">
        <f>L14-K14</f>
        <v>-179.54597569364887</v>
      </c>
      <c r="N14" s="149">
        <f>K14/(F14/(1-$C$8))*1000</f>
        <v>14795.918367346942</v>
      </c>
      <c r="O14" s="148">
        <v>15000</v>
      </c>
      <c r="P14" s="131">
        <f>O14-N14</f>
        <v>204.08163265305848</v>
      </c>
      <c r="Q14" s="187">
        <f t="shared" ref="Q14:Q20" si="1">P14/E14</f>
        <v>1.4074595355383343E-2</v>
      </c>
      <c r="R14" s="109">
        <f>I14/F14*1000</f>
        <v>11244.897959183672</v>
      </c>
      <c r="S14" s="153">
        <f>'[1]BOM (Long)'!$P$7</f>
        <v>11536.63177925785</v>
      </c>
      <c r="T14" s="131">
        <f>R14-S14</f>
        <v>-291.73382007417786</v>
      </c>
      <c r="U14" s="152">
        <f>T14/S14</f>
        <v>-2.5287607826635951E-2</v>
      </c>
      <c r="V14" s="154">
        <f t="shared" ref="V14:W19" si="2">R14/R$16</f>
        <v>1.2608695652173911</v>
      </c>
      <c r="W14" s="155">
        <f t="shared" si="2"/>
        <v>1.25</v>
      </c>
      <c r="X14" s="154">
        <f t="shared" ref="X14:X15" si="3">S14/C$6</f>
        <v>1.214382292553458</v>
      </c>
      <c r="Y14" s="155">
        <f t="shared" ref="Y14:Y15" si="4">S14/C$6</f>
        <v>1.214382292553458</v>
      </c>
      <c r="Z14" s="109">
        <v>9700</v>
      </c>
      <c r="AA14" s="153"/>
      <c r="AC14" s="109">
        <v>12500</v>
      </c>
      <c r="AE14" s="131">
        <f>AC14+AD14</f>
        <v>12500</v>
      </c>
    </row>
    <row r="15" spans="1:31" x14ac:dyDescent="0.35">
      <c r="A15" s="145">
        <v>5</v>
      </c>
      <c r="B15" s="146" t="s">
        <v>22</v>
      </c>
      <c r="C15" s="156">
        <v>0.03</v>
      </c>
      <c r="E15" s="148">
        <f>'Giá mua Chai-Vảy'!E15-$E$12</f>
        <v>13000</v>
      </c>
      <c r="F15" s="149">
        <f t="shared" ref="F15:F20" si="5">C15*1000</f>
        <v>30</v>
      </c>
      <c r="G15" s="150">
        <f t="shared" ref="G15:G20" si="6">F15/1000/(1-$C$8)</f>
        <v>3.3707865168539325E-2</v>
      </c>
      <c r="H15" s="150">
        <f t="shared" ref="H15:H20" si="7">E15*G15/SUMPRODUCT($E$14:$E$20,$G$14:$G$20)</f>
        <v>3.1836734693877551E-2</v>
      </c>
      <c r="I15" s="149">
        <f t="shared" si="0"/>
        <v>302.44897959183675</v>
      </c>
      <c r="J15" s="151">
        <f t="shared" ref="J15:J20" si="8">($C$7+$C$10)*H15</f>
        <v>144.69617060307269</v>
      </c>
      <c r="K15" s="149">
        <f t="shared" ref="K15:K20" si="9">I15+J15</f>
        <v>447.14515019490943</v>
      </c>
      <c r="L15" s="149">
        <f t="shared" ref="L15:L20" si="10">E15*G15</f>
        <v>438.20224719101122</v>
      </c>
      <c r="M15" s="149">
        <f t="shared" ref="M15:M20" si="11">L15-K15</f>
        <v>-8.9429030038982091</v>
      </c>
      <c r="N15" s="149">
        <f t="shared" ref="N15:N20" si="12">K15/(F15/(1-$C$8))*1000</f>
        <v>13265.306122448979</v>
      </c>
      <c r="O15" s="148">
        <v>13500</v>
      </c>
      <c r="P15" s="131">
        <f t="shared" ref="P15:P19" si="13">O15-N15</f>
        <v>234.69387755102071</v>
      </c>
      <c r="Q15" s="187">
        <f t="shared" si="1"/>
        <v>1.805337519623236E-2</v>
      </c>
      <c r="R15" s="109">
        <f>I15/F15*1000</f>
        <v>10081.632653061226</v>
      </c>
      <c r="S15" s="153">
        <f>'[1]BOM (Long)'!$P$9</f>
        <v>10152.23596574691</v>
      </c>
      <c r="T15" s="131">
        <f t="shared" ref="T15:T19" si="14">R15-S15</f>
        <v>-70.603312685683704</v>
      </c>
      <c r="U15" s="152">
        <f t="shared" ref="U15:U19" si="15">T15/S15</f>
        <v>-6.9544593845036135E-3</v>
      </c>
      <c r="V15" s="154">
        <f t="shared" si="2"/>
        <v>1.1304347826086958</v>
      </c>
      <c r="W15" s="154">
        <f t="shared" si="2"/>
        <v>1.1000000000000001</v>
      </c>
      <c r="X15" s="154">
        <f t="shared" si="3"/>
        <v>1.0686564174470432</v>
      </c>
      <c r="Y15" s="154">
        <f t="shared" si="4"/>
        <v>1.0686564174470432</v>
      </c>
      <c r="Z15" s="109">
        <f>Z14/$Y$15</f>
        <v>9076.8181818181802</v>
      </c>
      <c r="AA15" s="153">
        <f>Z15-$Z$14</f>
        <v>-623.18181818181984</v>
      </c>
      <c r="AB15" s="131">
        <f>Z15-Z14</f>
        <v>-623.18181818181984</v>
      </c>
      <c r="AC15" s="109">
        <v>10000</v>
      </c>
    </row>
    <row r="16" spans="1:31" x14ac:dyDescent="0.35">
      <c r="A16" s="145">
        <v>7</v>
      </c>
      <c r="B16" s="146" t="s">
        <v>27</v>
      </c>
      <c r="C16" s="156">
        <v>0.02</v>
      </c>
      <c r="E16" s="148">
        <f>'Giá mua Chai-Vảy'!E16-$E$12</f>
        <v>11500</v>
      </c>
      <c r="F16" s="149">
        <f t="shared" si="5"/>
        <v>20</v>
      </c>
      <c r="G16" s="150">
        <f t="shared" si="6"/>
        <v>2.247191011235955E-2</v>
      </c>
      <c r="H16" s="150">
        <f t="shared" si="7"/>
        <v>1.8775510204081632E-2</v>
      </c>
      <c r="I16" s="149">
        <f t="shared" si="0"/>
        <v>178.36734693877551</v>
      </c>
      <c r="J16" s="151">
        <f t="shared" si="8"/>
        <v>85.333639073606975</v>
      </c>
      <c r="K16" s="149">
        <f t="shared" si="9"/>
        <v>263.70098601238249</v>
      </c>
      <c r="L16" s="149">
        <f t="shared" si="10"/>
        <v>258.42696629213481</v>
      </c>
      <c r="M16" s="149">
        <f t="shared" si="11"/>
        <v>-5.2740197202476793</v>
      </c>
      <c r="N16" s="149">
        <f t="shared" si="12"/>
        <v>11734.693877551023</v>
      </c>
      <c r="O16" s="148">
        <v>12000</v>
      </c>
      <c r="P16" s="131">
        <f t="shared" si="13"/>
        <v>265.30612244897748</v>
      </c>
      <c r="Q16" s="187">
        <f t="shared" si="1"/>
        <v>2.3070097604258911E-2</v>
      </c>
      <c r="R16" s="109">
        <f t="shared" ref="R16:R19" si="16">I16/F16*1000</f>
        <v>8918.3673469387759</v>
      </c>
      <c r="S16" s="153">
        <f>'[1]BOM (Long)'!$P$10</f>
        <v>9229.3054234062802</v>
      </c>
      <c r="T16" s="131">
        <f t="shared" si="14"/>
        <v>-310.93807646750429</v>
      </c>
      <c r="U16" s="152">
        <f t="shared" si="15"/>
        <v>-3.3690300862613091E-2</v>
      </c>
      <c r="V16" s="154">
        <f t="shared" si="2"/>
        <v>1</v>
      </c>
      <c r="W16" s="157">
        <f t="shared" si="2"/>
        <v>1</v>
      </c>
      <c r="X16" s="154">
        <f>S16/C$6</f>
        <v>0.97150583404276636</v>
      </c>
      <c r="Y16" s="157">
        <f>S16/C$6</f>
        <v>0.97150583404276636</v>
      </c>
      <c r="Z16" s="109">
        <f>Z15/$Y$15</f>
        <v>8493.6730212149578</v>
      </c>
      <c r="AA16" s="153">
        <f>Z16-$Z$14</f>
        <v>-1206.3269787850422</v>
      </c>
      <c r="AB16" s="131">
        <f>Z16-Z15</f>
        <v>-583.14516060322239</v>
      </c>
      <c r="AC16" s="109">
        <v>9000</v>
      </c>
    </row>
    <row r="17" spans="1:31" x14ac:dyDescent="0.35">
      <c r="A17" s="145">
        <v>8</v>
      </c>
      <c r="B17" s="146" t="s">
        <v>29</v>
      </c>
      <c r="C17" s="156">
        <v>0.02</v>
      </c>
      <c r="E17" s="148">
        <f>'Giá mua Chai-Vảy'!E17-$E$12</f>
        <v>11500</v>
      </c>
      <c r="F17" s="149">
        <f t="shared" si="5"/>
        <v>20</v>
      </c>
      <c r="G17" s="150">
        <f t="shared" si="6"/>
        <v>2.247191011235955E-2</v>
      </c>
      <c r="H17" s="150">
        <f t="shared" si="7"/>
        <v>1.8775510204081632E-2</v>
      </c>
      <c r="I17" s="149">
        <f t="shared" si="0"/>
        <v>178.36734693877551</v>
      </c>
      <c r="J17" s="151">
        <f t="shared" si="8"/>
        <v>85.333639073606975</v>
      </c>
      <c r="K17" s="149">
        <f t="shared" si="9"/>
        <v>263.70098601238249</v>
      </c>
      <c r="L17" s="149">
        <f t="shared" si="10"/>
        <v>258.42696629213481</v>
      </c>
      <c r="M17" s="149">
        <f t="shared" si="11"/>
        <v>-5.2740197202476793</v>
      </c>
      <c r="N17" s="149">
        <f t="shared" si="12"/>
        <v>11734.693877551023</v>
      </c>
      <c r="O17" s="148">
        <v>12000</v>
      </c>
      <c r="P17" s="131">
        <f t="shared" si="13"/>
        <v>265.30612244897748</v>
      </c>
      <c r="Q17" s="187">
        <f t="shared" si="1"/>
        <v>2.3070097604258911E-2</v>
      </c>
      <c r="R17" s="109">
        <f t="shared" si="16"/>
        <v>8918.3673469387759</v>
      </c>
      <c r="S17" s="153">
        <f>'[1]BOM (Long)'!$P$11</f>
        <v>9229.3054234062802</v>
      </c>
      <c r="T17" s="131">
        <f t="shared" si="14"/>
        <v>-310.93807646750429</v>
      </c>
      <c r="U17" s="152">
        <f t="shared" si="15"/>
        <v>-3.3690300862613091E-2</v>
      </c>
      <c r="V17" s="154">
        <f t="shared" si="2"/>
        <v>1</v>
      </c>
      <c r="W17" s="157">
        <f t="shared" si="2"/>
        <v>1</v>
      </c>
      <c r="X17" s="154">
        <f>S17/C$6</f>
        <v>0.97150583404276636</v>
      </c>
      <c r="Y17" s="157">
        <f t="shared" ref="Y17:Y18" si="17">S17/C$6</f>
        <v>0.97150583404276636</v>
      </c>
      <c r="Z17" s="109">
        <f>Z16/$Y$15</f>
        <v>7947.9923411734508</v>
      </c>
      <c r="AA17" s="153">
        <f>Z17-$Z$14</f>
        <v>-1752.0076588265492</v>
      </c>
      <c r="AB17" s="131">
        <f>Z17-Z16</f>
        <v>-545.680680041507</v>
      </c>
      <c r="AC17" s="109">
        <v>9000</v>
      </c>
    </row>
    <row r="18" spans="1:31" x14ac:dyDescent="0.35">
      <c r="A18" s="145">
        <v>10</v>
      </c>
      <c r="B18" s="146" t="s">
        <v>19</v>
      </c>
      <c r="C18" s="156">
        <v>0.27</v>
      </c>
      <c r="E18" s="148">
        <f>'Giá mua Chai-Vảy'!E18-$E$12</f>
        <v>13000</v>
      </c>
      <c r="F18" s="149">
        <f t="shared" si="5"/>
        <v>270</v>
      </c>
      <c r="G18" s="150">
        <f t="shared" si="6"/>
        <v>0.30337078651685395</v>
      </c>
      <c r="H18" s="150">
        <f t="shared" si="7"/>
        <v>0.28653061224489801</v>
      </c>
      <c r="I18" s="149">
        <f t="shared" si="0"/>
        <v>2722.0408163265311</v>
      </c>
      <c r="J18" s="151">
        <f t="shared" si="8"/>
        <v>1302.2655354276544</v>
      </c>
      <c r="K18" s="149">
        <f t="shared" si="9"/>
        <v>4024.3063517541855</v>
      </c>
      <c r="L18" s="149">
        <f t="shared" si="10"/>
        <v>3943.8202247191016</v>
      </c>
      <c r="M18" s="149">
        <f t="shared" si="11"/>
        <v>-80.486127035083882</v>
      </c>
      <c r="N18" s="149">
        <f t="shared" si="12"/>
        <v>13265.306122448983</v>
      </c>
      <c r="O18" s="148">
        <v>13500</v>
      </c>
      <c r="P18" s="131">
        <f t="shared" si="13"/>
        <v>234.69387755101707</v>
      </c>
      <c r="Q18" s="187">
        <f t="shared" si="1"/>
        <v>1.8053375196232083E-2</v>
      </c>
      <c r="R18" s="109">
        <f t="shared" si="16"/>
        <v>10081.632653061226</v>
      </c>
      <c r="S18" s="153">
        <f>'[1]BOM (Long)'!$P$13</f>
        <v>10152.235965746908</v>
      </c>
      <c r="T18" s="131">
        <f t="shared" si="14"/>
        <v>-70.603312685681885</v>
      </c>
      <c r="U18" s="152">
        <f t="shared" si="15"/>
        <v>-6.9544593845034357E-3</v>
      </c>
      <c r="V18" s="154">
        <f t="shared" si="2"/>
        <v>1.1304347826086958</v>
      </c>
      <c r="W18" s="154">
        <f t="shared" si="2"/>
        <v>1.0999999999999999</v>
      </c>
      <c r="X18" s="154">
        <f t="shared" ref="X18:X19" si="18">S18/C$6</f>
        <v>1.068656417447043</v>
      </c>
      <c r="Y18" s="154">
        <f t="shared" si="17"/>
        <v>1.068656417447043</v>
      </c>
      <c r="Z18" s="109">
        <f>Z17/$Y$15</f>
        <v>7437.3692155994659</v>
      </c>
      <c r="AA18" s="153">
        <f>Z18-$Z$14</f>
        <v>-2262.6307844005341</v>
      </c>
      <c r="AB18" s="131">
        <f>Z18-Z17</f>
        <v>-510.62312557398491</v>
      </c>
      <c r="AC18" s="109">
        <v>10000</v>
      </c>
      <c r="AD18" s="109">
        <f>'[2]CP Công đoạn (3)'!$CJ$6</f>
        <v>2321.0309940637335</v>
      </c>
      <c r="AE18" s="131">
        <f>AC18+AD18</f>
        <v>12321.030994063734</v>
      </c>
    </row>
    <row r="19" spans="1:31" x14ac:dyDescent="0.35">
      <c r="A19" s="145">
        <v>11</v>
      </c>
      <c r="B19" s="146" t="s">
        <v>431</v>
      </c>
      <c r="C19" s="156">
        <v>0.01</v>
      </c>
      <c r="E19" s="148">
        <f>'Giá mua Chai-Vảy'!E19-$E$12</f>
        <v>6000</v>
      </c>
      <c r="F19" s="149">
        <f t="shared" si="5"/>
        <v>10</v>
      </c>
      <c r="G19" s="150">
        <f t="shared" si="6"/>
        <v>1.1235955056179775E-2</v>
      </c>
      <c r="H19" s="150">
        <f t="shared" si="7"/>
        <v>4.89795918367347E-3</v>
      </c>
      <c r="I19" s="149">
        <f t="shared" si="0"/>
        <v>46.530612244897966</v>
      </c>
      <c r="J19" s="151">
        <f t="shared" si="8"/>
        <v>22.260949323549649</v>
      </c>
      <c r="K19" s="149">
        <f>I19+J19</f>
        <v>68.791561568447619</v>
      </c>
      <c r="L19" s="149">
        <f t="shared" si="10"/>
        <v>67.415730337078656</v>
      </c>
      <c r="M19" s="149">
        <f t="shared" si="11"/>
        <v>-1.3758312313689629</v>
      </c>
      <c r="N19" s="149">
        <f t="shared" si="12"/>
        <v>6122.4489795918389</v>
      </c>
      <c r="O19" s="148">
        <v>6500</v>
      </c>
      <c r="P19" s="131">
        <f t="shared" si="13"/>
        <v>377.55102040816109</v>
      </c>
      <c r="Q19" s="187">
        <f t="shared" si="1"/>
        <v>6.2925170068026851E-2</v>
      </c>
      <c r="R19" s="109">
        <f t="shared" si="16"/>
        <v>4653.0612244897966</v>
      </c>
      <c r="S19" s="153">
        <f>'[1]BOM (Long)'!$P$14</f>
        <v>5537.5832540437677</v>
      </c>
      <c r="T19" s="131">
        <f t="shared" si="14"/>
        <v>-884.52202955397115</v>
      </c>
      <c r="U19" s="152">
        <f t="shared" si="15"/>
        <v>-0.15973069640227211</v>
      </c>
      <c r="V19" s="154">
        <f t="shared" si="2"/>
        <v>0.52173913043478271</v>
      </c>
      <c r="W19" s="158">
        <f t="shared" si="2"/>
        <v>0.6</v>
      </c>
      <c r="X19" s="154">
        <f t="shared" si="18"/>
        <v>0.58290350042565975</v>
      </c>
      <c r="Y19" s="158">
        <f>S19/C$6</f>
        <v>0.58290350042565975</v>
      </c>
      <c r="Z19" s="109">
        <f>Z18/$Y$15</f>
        <v>6959.5513526853656</v>
      </c>
      <c r="AA19" s="153">
        <f>Z19-$Z$14</f>
        <v>-2740.4486473146344</v>
      </c>
      <c r="AB19" s="131">
        <f>Z19-Z18</f>
        <v>-477.81786291410026</v>
      </c>
      <c r="AC19" s="109">
        <v>5000</v>
      </c>
    </row>
    <row r="20" spans="1:31" hidden="1" x14ac:dyDescent="0.35">
      <c r="A20" s="145"/>
      <c r="B20" s="159"/>
      <c r="C20" s="160"/>
      <c r="E20" s="148"/>
      <c r="F20" s="161">
        <f t="shared" si="5"/>
        <v>0</v>
      </c>
      <c r="G20" s="161">
        <f t="shared" si="6"/>
        <v>0</v>
      </c>
      <c r="H20" s="161">
        <f t="shared" si="7"/>
        <v>0</v>
      </c>
      <c r="I20" s="161">
        <f t="shared" si="0"/>
        <v>0</v>
      </c>
      <c r="J20" s="161">
        <f t="shared" si="8"/>
        <v>0</v>
      </c>
      <c r="K20" s="161">
        <f t="shared" si="9"/>
        <v>0</v>
      </c>
      <c r="L20" s="161">
        <f t="shared" si="10"/>
        <v>0</v>
      </c>
      <c r="M20" s="161">
        <f t="shared" si="11"/>
        <v>0</v>
      </c>
      <c r="N20" s="161" t="e">
        <f t="shared" si="12"/>
        <v>#DIV/0!</v>
      </c>
      <c r="O20" s="161"/>
      <c r="P20" s="161" t="e">
        <f>O20-N20</f>
        <v>#DIV/0!</v>
      </c>
      <c r="Q20" s="162" t="e">
        <f t="shared" si="1"/>
        <v>#DIV/0!</v>
      </c>
    </row>
    <row r="21" spans="1:31" s="75" customFormat="1" ht="29" x14ac:dyDescent="0.35">
      <c r="B21" s="163" t="s">
        <v>432</v>
      </c>
      <c r="C21" s="164">
        <f>SUM(C14:C20)</f>
        <v>0.89000000000000012</v>
      </c>
      <c r="F21" s="165">
        <f>SUM(F14:F20)</f>
        <v>890</v>
      </c>
      <c r="G21" s="78">
        <f t="shared" ref="G21:M21" si="19">SUM(G14:G20)</f>
        <v>1.0000000000000002</v>
      </c>
      <c r="H21" s="78">
        <f t="shared" si="19"/>
        <v>1.0000000000000002</v>
      </c>
      <c r="I21" s="166">
        <f t="shared" si="19"/>
        <v>9500.0000000000018</v>
      </c>
      <c r="J21" s="166">
        <f>SUM(J14:J20)</f>
        <v>4544.9438202247193</v>
      </c>
      <c r="K21" s="165">
        <f t="shared" si="19"/>
        <v>14044.943820224717</v>
      </c>
      <c r="L21" s="165">
        <f>SUM(L14:L20)</f>
        <v>13764.044943820225</v>
      </c>
      <c r="M21" s="165">
        <f t="shared" si="19"/>
        <v>-280.8988764044953</v>
      </c>
    </row>
    <row r="22" spans="1:31" x14ac:dyDescent="0.35">
      <c r="B22" t="s">
        <v>433</v>
      </c>
      <c r="C22" s="167">
        <f>100%-C21</f>
        <v>0.10999999999999988</v>
      </c>
    </row>
    <row r="23" spans="1:31" x14ac:dyDescent="0.35">
      <c r="B23" t="s">
        <v>434</v>
      </c>
      <c r="F23" s="149">
        <f>1000-F21</f>
        <v>110</v>
      </c>
    </row>
    <row r="26" spans="1:31" x14ac:dyDescent="0.35">
      <c r="B26" s="118" t="s">
        <v>435</v>
      </c>
      <c r="C26" s="137">
        <f>C11</f>
        <v>14044.943820224718</v>
      </c>
    </row>
    <row r="27" spans="1:31" x14ac:dyDescent="0.35">
      <c r="B27" s="118" t="s">
        <v>398</v>
      </c>
      <c r="C27" s="138">
        <v>1500</v>
      </c>
    </row>
    <row r="28" spans="1:31" x14ac:dyDescent="0.35">
      <c r="B28" s="118" t="s">
        <v>399</v>
      </c>
      <c r="C28" s="139">
        <v>0.06</v>
      </c>
    </row>
    <row r="29" spans="1:31" x14ac:dyDescent="0.35">
      <c r="B29" s="118" t="s">
        <v>400</v>
      </c>
      <c r="C29" s="140">
        <f>SUM(C26:C27)</f>
        <v>15544.943820224718</v>
      </c>
    </row>
    <row r="30" spans="1:31" x14ac:dyDescent="0.35">
      <c r="B30" s="118" t="s">
        <v>401</v>
      </c>
      <c r="C30" s="140">
        <f>C29*C28/(1-C28)</f>
        <v>992.23045661008848</v>
      </c>
    </row>
    <row r="31" spans="1:31" x14ac:dyDescent="0.35">
      <c r="B31" s="118" t="s">
        <v>402</v>
      </c>
      <c r="C31" s="140">
        <f>+C29/(1-C28)</f>
        <v>16537.174276834809</v>
      </c>
    </row>
    <row r="32" spans="1:31" x14ac:dyDescent="0.35">
      <c r="X32" t="s">
        <v>403</v>
      </c>
    </row>
    <row r="33" spans="1:28" x14ac:dyDescent="0.35">
      <c r="B33" t="s">
        <v>429</v>
      </c>
      <c r="S33" t="s">
        <v>405</v>
      </c>
      <c r="V33" t="s">
        <v>406</v>
      </c>
      <c r="W33" t="s">
        <v>407</v>
      </c>
      <c r="X33" t="s">
        <v>406</v>
      </c>
      <c r="Y33" t="s">
        <v>407</v>
      </c>
    </row>
    <row r="34" spans="1:28" ht="48" x14ac:dyDescent="0.35">
      <c r="A34" s="142" t="s">
        <v>0</v>
      </c>
      <c r="B34" s="142" t="s">
        <v>408</v>
      </c>
      <c r="C34" s="142" t="s">
        <v>409</v>
      </c>
      <c r="E34" s="143" t="s">
        <v>436</v>
      </c>
      <c r="F34" s="144" t="s">
        <v>411</v>
      </c>
      <c r="G34" s="144" t="s">
        <v>412</v>
      </c>
      <c r="H34" s="144" t="s">
        <v>413</v>
      </c>
      <c r="I34" s="144" t="s">
        <v>437</v>
      </c>
      <c r="J34" s="144" t="s">
        <v>438</v>
      </c>
      <c r="K34" s="144" t="s">
        <v>439</v>
      </c>
      <c r="L34" s="144" t="s">
        <v>417</v>
      </c>
      <c r="M34" s="144" t="s">
        <v>418</v>
      </c>
      <c r="N34" s="144" t="s">
        <v>440</v>
      </c>
      <c r="O34" s="143" t="s">
        <v>441</v>
      </c>
      <c r="P34" s="283" t="s">
        <v>420</v>
      </c>
      <c r="Q34" s="283"/>
      <c r="R34" s="144" t="s">
        <v>421</v>
      </c>
      <c r="S34" s="144" t="s">
        <v>422</v>
      </c>
      <c r="T34" s="144" t="s">
        <v>420</v>
      </c>
      <c r="U34" s="144" t="s">
        <v>423</v>
      </c>
      <c r="V34" s="144" t="s">
        <v>424</v>
      </c>
      <c r="W34" s="144" t="s">
        <v>424</v>
      </c>
      <c r="X34" s="144" t="s">
        <v>424</v>
      </c>
      <c r="Y34" s="144" t="s">
        <v>424</v>
      </c>
      <c r="Z34" s="144" t="s">
        <v>425</v>
      </c>
      <c r="AA34" s="144" t="s">
        <v>426</v>
      </c>
    </row>
    <row r="35" spans="1:28" x14ac:dyDescent="0.35">
      <c r="A35" s="145">
        <v>1</v>
      </c>
      <c r="B35" s="146" t="s">
        <v>442</v>
      </c>
      <c r="C35" s="147">
        <v>0.54</v>
      </c>
      <c r="E35" s="148">
        <f>N14</f>
        <v>14795.918367346942</v>
      </c>
      <c r="F35" s="149">
        <f>C35*1000</f>
        <v>540</v>
      </c>
      <c r="G35" s="150">
        <f>F35/1000/(1-$C$28)</f>
        <v>0.57446808510638303</v>
      </c>
      <c r="H35" s="150">
        <f>E35*G35/SUMPRODUCT($E$35:$E$40,$G$35:$G$40)</f>
        <v>0.63918367346938765</v>
      </c>
      <c r="I35" s="149">
        <f>$C$26*H35</f>
        <v>8977.2987846824108</v>
      </c>
      <c r="J35" s="151">
        <f>$C$27+$C$30</f>
        <v>2492.2304566100884</v>
      </c>
      <c r="K35" s="149">
        <f>N14+J35</f>
        <v>17288.148823957032</v>
      </c>
      <c r="L35" s="149">
        <f>O35</f>
        <v>16500</v>
      </c>
      <c r="M35" s="149">
        <f>L35-K35</f>
        <v>-788.14882395703171</v>
      </c>
      <c r="N35" s="149">
        <f>K35</f>
        <v>17288.148823957032</v>
      </c>
      <c r="O35" s="148">
        <v>16500</v>
      </c>
      <c r="P35" s="131">
        <f>O35-N35</f>
        <v>-788.14882395703171</v>
      </c>
      <c r="Q35" s="152">
        <f>P35/E35</f>
        <v>-5.326798948123386E-2</v>
      </c>
      <c r="R35" s="109">
        <f>I35/F35*1000</f>
        <v>16624.627379041503</v>
      </c>
      <c r="S35" s="153">
        <f>'[1]BOM (Long)'!$P$7</f>
        <v>11536.63177925785</v>
      </c>
      <c r="T35" s="131">
        <f>R35-S35</f>
        <v>5087.9955997836532</v>
      </c>
      <c r="U35" s="152">
        <f>T35/S35</f>
        <v>0.44102955673176242</v>
      </c>
      <c r="V35" s="154">
        <f t="shared" ref="V35:W40" si="20">R35/R$16</f>
        <v>1.8640886534852028</v>
      </c>
      <c r="W35" s="155">
        <f t="shared" si="20"/>
        <v>1.25</v>
      </c>
      <c r="X35" s="154">
        <f t="shared" ref="X35:X36" si="21">S35/C$6</f>
        <v>1.214382292553458</v>
      </c>
      <c r="Y35" s="155">
        <f t="shared" ref="Y35:Y36" si="22">S35/C$6</f>
        <v>1.214382292553458</v>
      </c>
      <c r="Z35" s="109">
        <v>9700</v>
      </c>
      <c r="AA35" s="153"/>
    </row>
    <row r="36" spans="1:28" x14ac:dyDescent="0.35">
      <c r="A36" s="145">
        <v>5</v>
      </c>
      <c r="B36" s="146" t="s">
        <v>443</v>
      </c>
      <c r="C36" s="156">
        <v>0.03</v>
      </c>
      <c r="E36" s="148">
        <f t="shared" ref="E36:E40" si="23">N15</f>
        <v>13265.306122448979</v>
      </c>
      <c r="F36" s="149">
        <f t="shared" ref="F36:F41" si="24">C36*1000</f>
        <v>30</v>
      </c>
      <c r="G36" s="150">
        <f t="shared" ref="G36:G40" si="25">F36/1000/(1-$C$28)</f>
        <v>3.1914893617021274E-2</v>
      </c>
      <c r="H36" s="150">
        <f t="shared" ref="H36:H40" si="26">E36*G36/SUMPRODUCT($E$35:$E$40,$G$35:$G$40)</f>
        <v>3.183673469387753E-2</v>
      </c>
      <c r="I36" s="149">
        <f t="shared" ref="I36:I40" si="27">$C$26*H36</f>
        <v>447.14515019490909</v>
      </c>
      <c r="J36" s="151">
        <f t="shared" ref="J36:J40" si="28">$C$27+$C$30</f>
        <v>2492.2304566100884</v>
      </c>
      <c r="K36" s="149">
        <f t="shared" ref="K36:K39" si="29">N15+J36</f>
        <v>15757.536579059068</v>
      </c>
      <c r="L36" s="149">
        <f t="shared" ref="L36:L40" si="30">O36</f>
        <v>15000</v>
      </c>
      <c r="M36" s="149">
        <f t="shared" ref="M36:M41" si="31">L36-K36</f>
        <v>-757.53657905906766</v>
      </c>
      <c r="N36" s="149">
        <f t="shared" ref="N36:N39" si="32">K36</f>
        <v>15757.536579059068</v>
      </c>
      <c r="O36" s="148">
        <v>15000</v>
      </c>
      <c r="P36" s="131">
        <f t="shared" ref="P36:P39" si="33">O36-N36</f>
        <v>-757.53657905906766</v>
      </c>
      <c r="Q36" s="152">
        <f t="shared" ref="Q36:Q41" si="34">P36/E36</f>
        <v>-5.7106603652145101E-2</v>
      </c>
      <c r="R36" s="109">
        <f>I36/F36*1000</f>
        <v>14904.838339830303</v>
      </c>
      <c r="S36" s="153">
        <f>'[1]BOM (Long)'!$P$9</f>
        <v>10152.23596574691</v>
      </c>
      <c r="T36" s="131">
        <f t="shared" ref="T36:T40" si="35">R36-S36</f>
        <v>4752.6023740833934</v>
      </c>
      <c r="U36" s="152">
        <f t="shared" ref="U36:U40" si="36">T36/S36</f>
        <v>0.46813356093361252</v>
      </c>
      <c r="V36" s="154">
        <f t="shared" si="20"/>
        <v>1.6712518962281118</v>
      </c>
      <c r="W36" s="154">
        <f t="shared" si="20"/>
        <v>1.1000000000000001</v>
      </c>
      <c r="X36" s="154">
        <f t="shared" si="21"/>
        <v>1.0686564174470432</v>
      </c>
      <c r="Y36" s="154">
        <f t="shared" si="22"/>
        <v>1.0686564174470432</v>
      </c>
      <c r="Z36" s="109">
        <f>Z35/$Y$15</f>
        <v>9076.8181818181802</v>
      </c>
      <c r="AA36" s="153">
        <f>Z36-$Z$14</f>
        <v>-623.18181818181984</v>
      </c>
      <c r="AB36" s="131">
        <f>Z36-Z35</f>
        <v>-623.18181818181984</v>
      </c>
    </row>
    <row r="37" spans="1:28" x14ac:dyDescent="0.35">
      <c r="A37" s="145">
        <v>7</v>
      </c>
      <c r="B37" s="146" t="s">
        <v>444</v>
      </c>
      <c r="C37" s="156">
        <v>0.02</v>
      </c>
      <c r="E37" s="148">
        <f t="shared" si="23"/>
        <v>11734.693877551023</v>
      </c>
      <c r="F37" s="149">
        <f t="shared" si="24"/>
        <v>20</v>
      </c>
      <c r="G37" s="150">
        <f t="shared" si="25"/>
        <v>2.1276595744680854E-2</v>
      </c>
      <c r="H37" s="150">
        <f t="shared" si="26"/>
        <v>1.8775510204081632E-2</v>
      </c>
      <c r="I37" s="149">
        <f t="shared" si="27"/>
        <v>263.70098601238249</v>
      </c>
      <c r="J37" s="151">
        <f t="shared" si="28"/>
        <v>2492.2304566100884</v>
      </c>
      <c r="K37" s="149">
        <f t="shared" si="29"/>
        <v>14226.924334161111</v>
      </c>
      <c r="L37" s="149">
        <f t="shared" si="30"/>
        <v>13500</v>
      </c>
      <c r="M37" s="149">
        <f t="shared" si="31"/>
        <v>-726.92433416111089</v>
      </c>
      <c r="N37" s="149">
        <f t="shared" si="32"/>
        <v>14226.924334161111</v>
      </c>
      <c r="O37" s="148">
        <v>13500</v>
      </c>
      <c r="P37" s="131">
        <f t="shared" si="33"/>
        <v>-726.92433416111089</v>
      </c>
      <c r="Q37" s="152">
        <f t="shared" si="34"/>
        <v>-6.1946595432859873E-2</v>
      </c>
      <c r="R37" s="109">
        <f t="shared" ref="R37:R40" si="37">I37/F37*1000</f>
        <v>13185.049300619123</v>
      </c>
      <c r="S37" s="153">
        <f>'[1]BOM (Long)'!$P$10</f>
        <v>9229.3054234062802</v>
      </c>
      <c r="T37" s="131">
        <f t="shared" si="35"/>
        <v>3955.7438772128426</v>
      </c>
      <c r="U37" s="152">
        <f t="shared" si="36"/>
        <v>0.42860688813924713</v>
      </c>
      <c r="V37" s="154">
        <f t="shared" si="20"/>
        <v>1.4784151389710229</v>
      </c>
      <c r="W37" s="157">
        <f t="shared" si="20"/>
        <v>1</v>
      </c>
      <c r="X37" s="154">
        <f>S37/C$6</f>
        <v>0.97150583404276636</v>
      </c>
      <c r="Y37" s="157">
        <f>S37/C$6</f>
        <v>0.97150583404276636</v>
      </c>
      <c r="Z37" s="109">
        <f>Z36/$Y$15</f>
        <v>8493.6730212149578</v>
      </c>
      <c r="AA37" s="153">
        <f>Z37-$Z$14</f>
        <v>-1206.3269787850422</v>
      </c>
      <c r="AB37" s="131">
        <f>Z37-Z36</f>
        <v>-583.14516060322239</v>
      </c>
    </row>
    <row r="38" spans="1:28" x14ac:dyDescent="0.35">
      <c r="A38" s="145">
        <v>8</v>
      </c>
      <c r="B38" s="146" t="s">
        <v>445</v>
      </c>
      <c r="C38" s="156">
        <v>0.02</v>
      </c>
      <c r="E38" s="148">
        <f t="shared" si="23"/>
        <v>11734.693877551023</v>
      </c>
      <c r="F38" s="149">
        <f t="shared" si="24"/>
        <v>20</v>
      </c>
      <c r="G38" s="150">
        <f t="shared" si="25"/>
        <v>2.1276595744680854E-2</v>
      </c>
      <c r="H38" s="150">
        <f t="shared" si="26"/>
        <v>1.8775510204081632E-2</v>
      </c>
      <c r="I38" s="149">
        <f t="shared" si="27"/>
        <v>263.70098601238249</v>
      </c>
      <c r="J38" s="151">
        <f t="shared" si="28"/>
        <v>2492.2304566100884</v>
      </c>
      <c r="K38" s="149">
        <f t="shared" si="29"/>
        <v>14226.924334161111</v>
      </c>
      <c r="L38" s="149">
        <f t="shared" si="30"/>
        <v>13500</v>
      </c>
      <c r="M38" s="149">
        <f t="shared" si="31"/>
        <v>-726.92433416111089</v>
      </c>
      <c r="N38" s="149">
        <f t="shared" si="32"/>
        <v>14226.924334161111</v>
      </c>
      <c r="O38" s="148">
        <v>13500</v>
      </c>
      <c r="P38" s="131">
        <f t="shared" si="33"/>
        <v>-726.92433416111089</v>
      </c>
      <c r="Q38" s="152">
        <f t="shared" si="34"/>
        <v>-6.1946595432859873E-2</v>
      </c>
      <c r="R38" s="109">
        <f t="shared" si="37"/>
        <v>13185.049300619123</v>
      </c>
      <c r="S38" s="153">
        <f>'[1]BOM (Long)'!$P$11</f>
        <v>9229.3054234062802</v>
      </c>
      <c r="T38" s="131">
        <f t="shared" si="35"/>
        <v>3955.7438772128426</v>
      </c>
      <c r="U38" s="152">
        <f t="shared" si="36"/>
        <v>0.42860688813924713</v>
      </c>
      <c r="V38" s="154">
        <f t="shared" si="20"/>
        <v>1.4784151389710229</v>
      </c>
      <c r="W38" s="157">
        <f t="shared" si="20"/>
        <v>1</v>
      </c>
      <c r="X38" s="154">
        <f>S38/C$6</f>
        <v>0.97150583404276636</v>
      </c>
      <c r="Y38" s="157">
        <f t="shared" ref="Y38:Y39" si="38">S38/C$6</f>
        <v>0.97150583404276636</v>
      </c>
      <c r="Z38" s="109">
        <f>Z37/$Y$15</f>
        <v>7947.9923411734508</v>
      </c>
      <c r="AA38" s="153">
        <f>Z38-$Z$14</f>
        <v>-1752.0076588265492</v>
      </c>
      <c r="AB38" s="131">
        <f>Z38-Z37</f>
        <v>-545.680680041507</v>
      </c>
    </row>
    <row r="39" spans="1:28" x14ac:dyDescent="0.35">
      <c r="A39" s="145">
        <v>10</v>
      </c>
      <c r="B39" s="146" t="s">
        <v>446</v>
      </c>
      <c r="C39" s="156">
        <v>0.27</v>
      </c>
      <c r="E39" s="148">
        <f t="shared" si="23"/>
        <v>13265.306122448983</v>
      </c>
      <c r="F39" s="149">
        <f t="shared" si="24"/>
        <v>270</v>
      </c>
      <c r="G39" s="150">
        <f t="shared" si="25"/>
        <v>0.28723404255319152</v>
      </c>
      <c r="H39" s="150">
        <f t="shared" si="26"/>
        <v>0.28653061224489795</v>
      </c>
      <c r="I39" s="149">
        <f t="shared" si="27"/>
        <v>4024.3063517541846</v>
      </c>
      <c r="J39" s="151">
        <f t="shared" si="28"/>
        <v>2492.2304566100884</v>
      </c>
      <c r="K39" s="149">
        <f t="shared" si="29"/>
        <v>15757.536579059071</v>
      </c>
      <c r="L39" s="149">
        <f t="shared" si="30"/>
        <v>15000</v>
      </c>
      <c r="M39" s="149">
        <f t="shared" si="31"/>
        <v>-757.5365790590713</v>
      </c>
      <c r="N39" s="149">
        <f t="shared" si="32"/>
        <v>15757.536579059071</v>
      </c>
      <c r="O39" s="148">
        <v>15000</v>
      </c>
      <c r="P39" s="131">
        <f t="shared" si="33"/>
        <v>-757.5365790590713</v>
      </c>
      <c r="Q39" s="152">
        <f t="shared" si="34"/>
        <v>-5.7106603652145357E-2</v>
      </c>
      <c r="R39" s="109">
        <f t="shared" si="37"/>
        <v>14904.838339830312</v>
      </c>
      <c r="S39" s="153">
        <f>'[1]BOM (Long)'!$P$13</f>
        <v>10152.235965746908</v>
      </c>
      <c r="T39" s="131">
        <f t="shared" si="35"/>
        <v>4752.6023740834044</v>
      </c>
      <c r="U39" s="152">
        <f t="shared" si="36"/>
        <v>0.46813356093361369</v>
      </c>
      <c r="V39" s="154">
        <f t="shared" si="20"/>
        <v>1.6712518962281127</v>
      </c>
      <c r="W39" s="154">
        <f t="shared" si="20"/>
        <v>1.0999999999999999</v>
      </c>
      <c r="X39" s="154">
        <f t="shared" ref="X39:X40" si="39">S39/C$6</f>
        <v>1.068656417447043</v>
      </c>
      <c r="Y39" s="154">
        <f t="shared" si="38"/>
        <v>1.068656417447043</v>
      </c>
      <c r="Z39" s="109">
        <f>Z38/$Y$15</f>
        <v>7437.3692155994659</v>
      </c>
      <c r="AA39" s="153">
        <f>Z39-$Z$14</f>
        <v>-2262.6307844005341</v>
      </c>
      <c r="AB39" s="131">
        <f>Z39-Z38</f>
        <v>-510.62312557398491</v>
      </c>
    </row>
    <row r="40" spans="1:28" x14ac:dyDescent="0.35">
      <c r="A40" s="145">
        <v>11</v>
      </c>
      <c r="B40" s="146" t="s">
        <v>447</v>
      </c>
      <c r="C40" s="156">
        <v>0.01</v>
      </c>
      <c r="E40" s="148">
        <f t="shared" si="23"/>
        <v>6122.4489795918389</v>
      </c>
      <c r="F40" s="149">
        <f t="shared" si="24"/>
        <v>10</v>
      </c>
      <c r="G40" s="150">
        <f t="shared" si="25"/>
        <v>1.0638297872340427E-2</v>
      </c>
      <c r="H40" s="150">
        <f t="shared" si="26"/>
        <v>4.8979591836734691E-3</v>
      </c>
      <c r="I40" s="149">
        <f t="shared" si="27"/>
        <v>68.791561568447591</v>
      </c>
      <c r="J40" s="151">
        <f t="shared" si="28"/>
        <v>2492.2304566100884</v>
      </c>
      <c r="K40" s="149">
        <f>N19+J40</f>
        <v>8614.6794362019282</v>
      </c>
      <c r="L40" s="149">
        <f t="shared" si="30"/>
        <v>8000</v>
      </c>
      <c r="M40" s="149">
        <f t="shared" si="31"/>
        <v>-614.67943620192818</v>
      </c>
      <c r="N40" s="149">
        <f>K40</f>
        <v>8614.6794362019282</v>
      </c>
      <c r="O40" s="148">
        <v>8000</v>
      </c>
      <c r="P40" s="131">
        <f>O40-N40</f>
        <v>-614.67943620192818</v>
      </c>
      <c r="Q40" s="152">
        <f>P40/E40</f>
        <v>-0.10039764124631489</v>
      </c>
      <c r="R40" s="109">
        <f t="shared" si="37"/>
        <v>6879.1561568447596</v>
      </c>
      <c r="S40" s="153">
        <f>'[1]BOM (Long)'!$P$14</f>
        <v>5537.5832540437677</v>
      </c>
      <c r="T40" s="131">
        <f t="shared" si="35"/>
        <v>1341.5729028009919</v>
      </c>
      <c r="U40" s="152">
        <f t="shared" si="36"/>
        <v>0.24226685925151933</v>
      </c>
      <c r="V40" s="154">
        <f t="shared" si="20"/>
        <v>0.77134702902835972</v>
      </c>
      <c r="W40" s="158">
        <f t="shared" si="20"/>
        <v>0.6</v>
      </c>
      <c r="X40" s="154">
        <f t="shared" si="39"/>
        <v>0.58290350042565975</v>
      </c>
      <c r="Y40" s="158">
        <f>S40/C$6</f>
        <v>0.58290350042565975</v>
      </c>
      <c r="Z40" s="109">
        <f>Z39/$Y$15</f>
        <v>6959.5513526853656</v>
      </c>
      <c r="AA40" s="153">
        <f>Z40-$Z$14</f>
        <v>-2740.4486473146344</v>
      </c>
      <c r="AB40" s="131">
        <f>Z40-Z39</f>
        <v>-477.81786291410026</v>
      </c>
    </row>
    <row r="41" spans="1:28" x14ac:dyDescent="0.35">
      <c r="A41" s="145"/>
      <c r="B41" s="159"/>
      <c r="C41" s="160"/>
      <c r="E41" s="148"/>
      <c r="F41" s="161">
        <f t="shared" si="24"/>
        <v>0</v>
      </c>
      <c r="G41" s="161">
        <f t="shared" ref="G41" si="40">F41/1000/(1-$C$8)</f>
        <v>0</v>
      </c>
      <c r="H41" s="161">
        <f t="shared" ref="H41" si="41">E41*G41/SUMPRODUCT($E$14:$E$20,$G$14:$G$20)</f>
        <v>0</v>
      </c>
      <c r="I41" s="161">
        <f t="shared" ref="I41" si="42">$C$6*H41</f>
        <v>0</v>
      </c>
      <c r="J41" s="161">
        <f t="shared" ref="J41" si="43">($C$7+$C$10)*H41</f>
        <v>0</v>
      </c>
      <c r="K41" s="161">
        <f t="shared" ref="K41" si="44">I41+J41</f>
        <v>0</v>
      </c>
      <c r="L41" s="161">
        <f t="shared" ref="L41" si="45">E41*G41</f>
        <v>0</v>
      </c>
      <c r="M41" s="161">
        <f t="shared" si="31"/>
        <v>0</v>
      </c>
      <c r="N41" s="161" t="e">
        <f t="shared" ref="N41" si="46">K41/(F41/(1-$C$8))*1000</f>
        <v>#DIV/0!</v>
      </c>
      <c r="O41" s="161"/>
      <c r="P41" s="161" t="e">
        <f>O41-N41</f>
        <v>#DIV/0!</v>
      </c>
      <c r="Q41" s="162" t="e">
        <f t="shared" si="34"/>
        <v>#DIV/0!</v>
      </c>
    </row>
    <row r="42" spans="1:28" ht="29" x14ac:dyDescent="0.35">
      <c r="A42" s="75"/>
      <c r="B42" s="163" t="s">
        <v>432</v>
      </c>
      <c r="C42" s="164">
        <f>SUM(C35:C41)</f>
        <v>0.89000000000000012</v>
      </c>
      <c r="D42" s="75"/>
      <c r="E42" s="75"/>
      <c r="F42" s="165">
        <f>SUM(F35:F41)</f>
        <v>890</v>
      </c>
      <c r="G42" s="78">
        <f t="shared" ref="G42:M42" si="47">SUM(G35:G41)</f>
        <v>0.94680851063829796</v>
      </c>
      <c r="H42" s="78">
        <f t="shared" si="47"/>
        <v>0.99999999999999978</v>
      </c>
      <c r="I42" s="166">
        <f t="shared" si="47"/>
        <v>14044.943820224715</v>
      </c>
      <c r="J42" s="166">
        <f t="shared" si="47"/>
        <v>14953.38273966053</v>
      </c>
      <c r="K42" s="165">
        <f>SUM(K35:K41)</f>
        <v>85871.750086599321</v>
      </c>
      <c r="L42" s="165">
        <f>SUM(L35:L41)</f>
        <v>81500</v>
      </c>
      <c r="M42" s="165">
        <f t="shared" si="47"/>
        <v>-4371.7500865993206</v>
      </c>
      <c r="N42" s="75"/>
      <c r="O42" s="75"/>
      <c r="P42" s="75"/>
      <c r="Q42" s="75"/>
      <c r="R42" s="75"/>
      <c r="S42" s="75"/>
      <c r="T42" s="75"/>
      <c r="U42" s="75"/>
      <c r="V42" s="75"/>
      <c r="W42" s="75"/>
      <c r="X42" s="75"/>
      <c r="Y42" s="75"/>
      <c r="Z42" s="75"/>
      <c r="AA42" s="75"/>
      <c r="AB42" s="75"/>
    </row>
    <row r="43" spans="1:28" x14ac:dyDescent="0.35">
      <c r="B43" t="s">
        <v>433</v>
      </c>
      <c r="C43" s="167">
        <f>100%-C42</f>
        <v>0.10999999999999988</v>
      </c>
    </row>
    <row r="44" spans="1:28" x14ac:dyDescent="0.35">
      <c r="B44" t="s">
        <v>434</v>
      </c>
      <c r="F44" s="149">
        <f>1000-F42</f>
        <v>110</v>
      </c>
    </row>
  </sheetData>
  <mergeCells count="2">
    <mergeCell ref="P13:Q13"/>
    <mergeCell ref="P34:Q3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1505" r:id="rId3" name="Spinner 1">
              <controlPr defaultSize="0" autoPict="0">
                <anchor moveWithCells="1" sizeWithCells="1">
                  <from>
                    <xdr:col>1</xdr:col>
                    <xdr:colOff>0</xdr:colOff>
                    <xdr:row>2</xdr:row>
                    <xdr:rowOff>0</xdr:rowOff>
                  </from>
                  <to>
                    <xdr:col>2</xdr:col>
                    <xdr:colOff>0</xdr:colOff>
                    <xdr:row>4</xdr:row>
                    <xdr:rowOff>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1C00-6558-4848-9DA4-79114B1A9E98}">
  <dimension ref="B1:AP37"/>
  <sheetViews>
    <sheetView tabSelected="1" topLeftCell="A44" zoomScale="70" zoomScaleNormal="70" workbookViewId="0">
      <selection activeCell="T27" sqref="T27"/>
    </sheetView>
  </sheetViews>
  <sheetFormatPr defaultRowHeight="14.5" x14ac:dyDescent="0.35"/>
  <cols>
    <col min="1" max="1" width="3.36328125" customWidth="1"/>
    <col min="20" max="20" width="13.7265625" customWidth="1"/>
    <col min="24" max="24" width="8.7265625" customWidth="1"/>
    <col min="25" max="25" width="18.6328125" customWidth="1"/>
    <col min="26" max="26" width="21.1796875" bestFit="1" customWidth="1"/>
    <col min="30" max="30" width="12.7265625" bestFit="1" customWidth="1"/>
    <col min="31" max="31" width="9" bestFit="1" customWidth="1"/>
    <col min="39" max="39" width="5.6328125" style="122" bestFit="1" customWidth="1"/>
    <col min="40" max="40" width="9.90625" style="122" bestFit="1" customWidth="1"/>
    <col min="41" max="41" width="11.81640625" bestFit="1" customWidth="1"/>
    <col min="42" max="42" width="7" bestFit="1" customWidth="1"/>
  </cols>
  <sheetData>
    <row r="1" spans="2:42" ht="15.5" x14ac:dyDescent="0.35">
      <c r="B1" s="113" t="s">
        <v>364</v>
      </c>
      <c r="Z1" t="s">
        <v>396</v>
      </c>
      <c r="AC1" s="133">
        <f>'[2]10. 100% chai-&gt;hạt WSS01-iSS01'!$H$9</f>
        <v>15000</v>
      </c>
      <c r="AD1" s="133">
        <f>AC3-AC1-AD3</f>
        <v>1249.947702396159</v>
      </c>
    </row>
    <row r="2" spans="2:42" ht="15.5" x14ac:dyDescent="0.35">
      <c r="B2" s="114" t="s">
        <v>365</v>
      </c>
      <c r="Z2" t="s">
        <v>395</v>
      </c>
      <c r="AC2" s="133">
        <f>'[2]12. 100% vảy-&gt;hạt WSS01-iSS01'!$I$30</f>
        <v>17636.977515423063</v>
      </c>
      <c r="AD2" s="133">
        <f>'[2]12. 100% vảy-&gt;hạt WSS01-iSS01'!$I$10</f>
        <v>1636.9775154230633</v>
      </c>
      <c r="AE2" s="133"/>
    </row>
    <row r="3" spans="2:42" ht="20" customHeight="1" x14ac:dyDescent="0.35">
      <c r="Z3" s="134" t="s">
        <v>394</v>
      </c>
      <c r="AA3" s="116"/>
      <c r="AC3" s="132">
        <f>'[2]10. 100% chai-&gt;hạt WSS01-iSS01'!$I$60</f>
        <v>20966.591006877235</v>
      </c>
      <c r="AD3" s="133">
        <f>'[2]10. 100% chai-&gt;hạt WSS01-iSS01'!$I$21+'[2]10. 100% chai-&gt;hạt WSS01-iSS01'!$I$37</f>
        <v>4716.6433044810765</v>
      </c>
      <c r="AE3" s="116"/>
      <c r="AG3" s="116"/>
      <c r="AI3" s="116"/>
      <c r="AK3" s="116"/>
      <c r="AO3" t="s">
        <v>391</v>
      </c>
      <c r="AP3" t="s">
        <v>393</v>
      </c>
    </row>
    <row r="4" spans="2:42" ht="29" customHeight="1" x14ac:dyDescent="0.35">
      <c r="Z4" s="121" t="s">
        <v>366</v>
      </c>
      <c r="AA4" s="115" t="s">
        <v>367</v>
      </c>
      <c r="AC4" s="115" t="s">
        <v>374</v>
      </c>
      <c r="AE4" s="115" t="s">
        <v>375</v>
      </c>
      <c r="AG4" s="115" t="s">
        <v>382</v>
      </c>
      <c r="AI4" s="115" t="s">
        <v>384</v>
      </c>
      <c r="AK4" s="115" t="s">
        <v>385</v>
      </c>
      <c r="AM4" s="128" t="s">
        <v>376</v>
      </c>
      <c r="AO4" s="130">
        <v>26500</v>
      </c>
    </row>
    <row r="5" spans="2:42" x14ac:dyDescent="0.35">
      <c r="Z5" s="65"/>
      <c r="AA5" s="117" t="s">
        <v>57</v>
      </c>
      <c r="AB5" s="124" t="s">
        <v>372</v>
      </c>
      <c r="AC5" s="117" t="s">
        <v>267</v>
      </c>
      <c r="AD5" s="124" t="s">
        <v>372</v>
      </c>
      <c r="AE5" s="117" t="s">
        <v>52</v>
      </c>
      <c r="AF5" s="124" t="s">
        <v>372</v>
      </c>
      <c r="AG5" s="117" t="s">
        <v>55</v>
      </c>
      <c r="AH5" s="124" t="s">
        <v>372</v>
      </c>
      <c r="AI5" s="117" t="s">
        <v>383</v>
      </c>
      <c r="AJ5" s="124" t="s">
        <v>372</v>
      </c>
      <c r="AK5" s="117" t="s">
        <v>54</v>
      </c>
      <c r="AL5" s="124" t="s">
        <v>372</v>
      </c>
      <c r="AM5" s="124"/>
      <c r="AN5" s="124" t="s">
        <v>372</v>
      </c>
      <c r="AO5" s="124" t="s">
        <v>372</v>
      </c>
      <c r="AP5" t="s">
        <v>392</v>
      </c>
    </row>
    <row r="6" spans="2:42" ht="15.5" customHeight="1" x14ac:dyDescent="0.35">
      <c r="Z6" s="120" t="s">
        <v>390</v>
      </c>
      <c r="AM6" s="129">
        <v>0.3</v>
      </c>
    </row>
    <row r="7" spans="2:42" x14ac:dyDescent="0.35">
      <c r="Z7" s="118" t="s">
        <v>368</v>
      </c>
      <c r="AA7" s="119">
        <v>0.1</v>
      </c>
      <c r="AB7" s="118">
        <f>AA7*$AA$3</f>
        <v>0</v>
      </c>
      <c r="AC7" s="119">
        <v>0.9</v>
      </c>
      <c r="AD7" s="135">
        <f>AC7*$AC$3</f>
        <v>18869.931906189511</v>
      </c>
      <c r="AE7" s="118"/>
      <c r="AF7" s="118">
        <f>AE7*$AE$3</f>
        <v>0</v>
      </c>
      <c r="AG7" s="118"/>
      <c r="AH7" s="118">
        <f>AG7*$AG$3</f>
        <v>0</v>
      </c>
      <c r="AI7" s="118"/>
      <c r="AJ7" s="118">
        <f>AI7*$AI$3</f>
        <v>0</v>
      </c>
      <c r="AK7" s="118"/>
      <c r="AL7" s="118">
        <f>AK7*$AK$3</f>
        <v>0</v>
      </c>
      <c r="AM7" s="123">
        <f>AA7+AC7+AE7+AG7+AI7+AK7</f>
        <v>1</v>
      </c>
      <c r="AN7" s="123">
        <f>AB7+AD7+AF7+AH7+AJ7+AL7</f>
        <v>18869.931906189511</v>
      </c>
      <c r="AO7" s="131">
        <f>$AO$4*AP7</f>
        <v>30740000</v>
      </c>
      <c r="AP7" s="109">
        <v>1160</v>
      </c>
    </row>
    <row r="8" spans="2:42" x14ac:dyDescent="0.35">
      <c r="Z8" s="118" t="s">
        <v>369</v>
      </c>
      <c r="AA8" s="126">
        <v>0.3</v>
      </c>
      <c r="AB8" s="118">
        <f>AA8*$AA$3</f>
        <v>0</v>
      </c>
      <c r="AC8" s="126">
        <v>0.7</v>
      </c>
      <c r="AD8" s="135">
        <f>AC8*$AC$3</f>
        <v>14676.613704814064</v>
      </c>
      <c r="AE8" s="118"/>
      <c r="AF8" s="118">
        <f>AE8*$AE$3</f>
        <v>0</v>
      </c>
      <c r="AG8" s="118"/>
      <c r="AH8" s="118">
        <f t="shared" ref="AH8:AH11" si="0">AG8*$AG$3</f>
        <v>0</v>
      </c>
      <c r="AI8" s="118"/>
      <c r="AJ8" s="118">
        <f t="shared" ref="AJ8:AJ11" si="1">AI8*$AI$3</f>
        <v>0</v>
      </c>
      <c r="AK8" s="118"/>
      <c r="AL8" s="118">
        <f t="shared" ref="AL8:AL11" si="2">AK8*$AK$3</f>
        <v>0</v>
      </c>
      <c r="AM8" s="125">
        <f t="shared" ref="AM8:AM11" si="3">AA8+AC8+AE8+AG8+AI8+AK8</f>
        <v>1</v>
      </c>
      <c r="AN8" s="123">
        <f t="shared" ref="AN8:AN11" si="4">AB8+AD8+AF8+AH8+AJ8+AL8</f>
        <v>14676.613704814064</v>
      </c>
      <c r="AO8" s="131">
        <f t="shared" ref="AO8:AO11" si="5">$AO$4*AP8</f>
        <v>31535000</v>
      </c>
      <c r="AP8" s="131">
        <f>AP7+30</f>
        <v>1190</v>
      </c>
    </row>
    <row r="9" spans="2:42" x14ac:dyDescent="0.35">
      <c r="Z9" s="118" t="s">
        <v>370</v>
      </c>
      <c r="AA9" s="119">
        <v>0.55000000000000004</v>
      </c>
      <c r="AB9" s="118">
        <f>AA9*$AA$3</f>
        <v>0</v>
      </c>
      <c r="AC9" s="119">
        <v>0.3</v>
      </c>
      <c r="AD9" s="135">
        <f>AC9*$AC$3</f>
        <v>6289.9773020631701</v>
      </c>
      <c r="AE9" s="119">
        <v>0.15</v>
      </c>
      <c r="AF9" s="118">
        <f>AE9*$AE$3</f>
        <v>0</v>
      </c>
      <c r="AG9" s="118"/>
      <c r="AH9" s="118">
        <f t="shared" si="0"/>
        <v>0</v>
      </c>
      <c r="AI9" s="118"/>
      <c r="AJ9" s="118">
        <f t="shared" si="1"/>
        <v>0</v>
      </c>
      <c r="AK9" s="118"/>
      <c r="AL9" s="118">
        <f t="shared" si="2"/>
        <v>0</v>
      </c>
      <c r="AM9" s="123">
        <f t="shared" si="3"/>
        <v>1</v>
      </c>
      <c r="AN9" s="123">
        <f t="shared" si="4"/>
        <v>6289.9773020631701</v>
      </c>
      <c r="AO9" s="131">
        <f t="shared" si="5"/>
        <v>28885000</v>
      </c>
      <c r="AP9" s="131">
        <f>AP7-70</f>
        <v>1090</v>
      </c>
    </row>
    <row r="10" spans="2:42" x14ac:dyDescent="0.35">
      <c r="Z10" s="118" t="s">
        <v>371</v>
      </c>
      <c r="AA10" s="119">
        <v>0.95</v>
      </c>
      <c r="AB10" s="118">
        <f>AA10*$AA$3</f>
        <v>0</v>
      </c>
      <c r="AC10" s="263"/>
      <c r="AD10" s="135">
        <f>AC10*$AC$3</f>
        <v>0</v>
      </c>
      <c r="AE10" s="118"/>
      <c r="AF10" s="118">
        <f>AE10*$AE$3</f>
        <v>0</v>
      </c>
      <c r="AG10" s="263">
        <v>0.05</v>
      </c>
      <c r="AH10" s="118">
        <f t="shared" si="0"/>
        <v>0</v>
      </c>
      <c r="AI10" s="119"/>
      <c r="AJ10" s="118">
        <f t="shared" si="1"/>
        <v>0</v>
      </c>
      <c r="AK10" s="118"/>
      <c r="AL10" s="118">
        <f t="shared" si="2"/>
        <v>0</v>
      </c>
      <c r="AM10" s="123">
        <f t="shared" si="3"/>
        <v>1</v>
      </c>
      <c r="AN10" s="123">
        <f t="shared" si="4"/>
        <v>0</v>
      </c>
      <c r="AO10" s="131">
        <f t="shared" si="5"/>
        <v>19080000</v>
      </c>
      <c r="AP10">
        <v>720</v>
      </c>
    </row>
    <row r="11" spans="2:42" x14ac:dyDescent="0.35">
      <c r="Z11" s="118" t="s">
        <v>373</v>
      </c>
      <c r="AA11" s="119">
        <v>0.65</v>
      </c>
      <c r="AB11" s="118">
        <f>AA11*$AA$3</f>
        <v>0</v>
      </c>
      <c r="AC11" s="119">
        <v>0.15</v>
      </c>
      <c r="AD11" s="135">
        <f>AC11*$AC$3</f>
        <v>3144.9886510315851</v>
      </c>
      <c r="AE11" s="263"/>
      <c r="AF11" s="118">
        <f>AE11*$AE$3</f>
        <v>0</v>
      </c>
      <c r="AG11" s="263">
        <v>0.2</v>
      </c>
      <c r="AH11" s="118">
        <f t="shared" si="0"/>
        <v>0</v>
      </c>
      <c r="AI11" s="118"/>
      <c r="AJ11" s="118">
        <f t="shared" si="1"/>
        <v>0</v>
      </c>
      <c r="AK11" s="118"/>
      <c r="AL11" s="118">
        <f t="shared" si="2"/>
        <v>0</v>
      </c>
      <c r="AM11" s="123">
        <f t="shared" si="3"/>
        <v>1</v>
      </c>
      <c r="AN11" s="123">
        <f t="shared" si="4"/>
        <v>3144.9886510315851</v>
      </c>
      <c r="AO11" s="131">
        <f t="shared" si="5"/>
        <v>0</v>
      </c>
    </row>
    <row r="14" spans="2:42" x14ac:dyDescent="0.35">
      <c r="Z14" s="120" t="s">
        <v>387</v>
      </c>
      <c r="AC14" s="117" t="s">
        <v>48</v>
      </c>
      <c r="AM14" s="127">
        <v>0.53</v>
      </c>
    </row>
    <row r="15" spans="2:42" x14ac:dyDescent="0.35">
      <c r="Z15" s="118" t="s">
        <v>377</v>
      </c>
      <c r="AA15" s="118"/>
      <c r="AB15" s="118">
        <f t="shared" ref="AB15:AB18" si="6">AA15*$AA$3</f>
        <v>0</v>
      </c>
      <c r="AC15" s="119">
        <v>1</v>
      </c>
      <c r="AD15" s="135">
        <f t="shared" ref="AD15:AD18" si="7">AC15*$AC$3</f>
        <v>20966.591006877235</v>
      </c>
      <c r="AE15" s="118"/>
      <c r="AF15" s="118">
        <f t="shared" ref="AF15:AF18" si="8">AE15*$AE$3</f>
        <v>0</v>
      </c>
      <c r="AG15" s="118"/>
      <c r="AH15" s="118">
        <f t="shared" ref="AH15:AH18" si="9">AG15*$AG$3</f>
        <v>0</v>
      </c>
      <c r="AI15" s="118"/>
      <c r="AJ15" s="118">
        <f t="shared" ref="AJ15:AJ18" si="10">AI15*$AI$3</f>
        <v>0</v>
      </c>
      <c r="AK15" s="118"/>
      <c r="AL15" s="118">
        <f t="shared" ref="AL15:AL18" si="11">AK15*$AK$3</f>
        <v>0</v>
      </c>
      <c r="AM15" s="123">
        <f t="shared" ref="AM15:AM18" si="12">AA15+AC15+AE15+AG15+AI15+AK15</f>
        <v>1</v>
      </c>
      <c r="AN15" s="123">
        <f t="shared" ref="AN15:AN18" si="13">AB15+AD15+AF15+AH15+AJ15+AL15</f>
        <v>20966.591006877235</v>
      </c>
      <c r="AO15" s="131">
        <f t="shared" ref="AO15:AO18" si="14">$AO$4*AP15</f>
        <v>30740000</v>
      </c>
      <c r="AP15" s="131">
        <f>AP7</f>
        <v>1160</v>
      </c>
    </row>
    <row r="16" spans="2:42" x14ac:dyDescent="0.35">
      <c r="Z16" s="118" t="s">
        <v>378</v>
      </c>
      <c r="AA16" s="118"/>
      <c r="AB16" s="118">
        <f t="shared" si="6"/>
        <v>0</v>
      </c>
      <c r="AC16" s="119">
        <v>1</v>
      </c>
      <c r="AD16" s="135">
        <f t="shared" si="7"/>
        <v>20966.591006877235</v>
      </c>
      <c r="AE16" s="118"/>
      <c r="AF16" s="118">
        <f t="shared" si="8"/>
        <v>0</v>
      </c>
      <c r="AG16" s="118"/>
      <c r="AH16" s="118">
        <f t="shared" si="9"/>
        <v>0</v>
      </c>
      <c r="AI16" s="118"/>
      <c r="AJ16" s="118">
        <f t="shared" si="10"/>
        <v>0</v>
      </c>
      <c r="AK16" s="118"/>
      <c r="AL16" s="118">
        <f t="shared" si="11"/>
        <v>0</v>
      </c>
      <c r="AM16" s="123">
        <f t="shared" si="12"/>
        <v>1</v>
      </c>
      <c r="AN16" s="123">
        <f t="shared" si="13"/>
        <v>20966.591006877235</v>
      </c>
      <c r="AO16" s="131">
        <f t="shared" si="14"/>
        <v>31535000</v>
      </c>
      <c r="AP16" s="131">
        <f>AP7+30</f>
        <v>1190</v>
      </c>
    </row>
    <row r="17" spans="26:42" x14ac:dyDescent="0.35">
      <c r="Z17" s="118" t="s">
        <v>379</v>
      </c>
      <c r="AA17" s="118"/>
      <c r="AB17" s="118">
        <f t="shared" si="6"/>
        <v>0</v>
      </c>
      <c r="AC17" s="119">
        <v>1</v>
      </c>
      <c r="AD17" s="135">
        <f t="shared" si="7"/>
        <v>20966.591006877235</v>
      </c>
      <c r="AE17" s="118"/>
      <c r="AF17" s="118">
        <f t="shared" si="8"/>
        <v>0</v>
      </c>
      <c r="AG17" s="118"/>
      <c r="AH17" s="118">
        <f t="shared" si="9"/>
        <v>0</v>
      </c>
      <c r="AI17" s="118"/>
      <c r="AJ17" s="118">
        <f t="shared" si="10"/>
        <v>0</v>
      </c>
      <c r="AK17" s="118"/>
      <c r="AL17" s="118">
        <f t="shared" si="11"/>
        <v>0</v>
      </c>
      <c r="AM17" s="123">
        <f t="shared" si="12"/>
        <v>1</v>
      </c>
      <c r="AN17" s="123">
        <f t="shared" si="13"/>
        <v>20966.591006877235</v>
      </c>
      <c r="AO17" s="131">
        <f t="shared" si="14"/>
        <v>33125000</v>
      </c>
      <c r="AP17" s="131">
        <f>AP7+90</f>
        <v>1250</v>
      </c>
    </row>
    <row r="18" spans="26:42" x14ac:dyDescent="0.35">
      <c r="Z18" s="118" t="s">
        <v>380</v>
      </c>
      <c r="AA18" s="118"/>
      <c r="AB18" s="118">
        <f t="shared" si="6"/>
        <v>0</v>
      </c>
      <c r="AC18" s="119">
        <v>1</v>
      </c>
      <c r="AD18" s="135">
        <f t="shared" si="7"/>
        <v>20966.591006877235</v>
      </c>
      <c r="AE18" s="118"/>
      <c r="AF18" s="118">
        <f t="shared" si="8"/>
        <v>0</v>
      </c>
      <c r="AG18" s="118"/>
      <c r="AH18" s="118">
        <f t="shared" si="9"/>
        <v>0</v>
      </c>
      <c r="AI18" s="118"/>
      <c r="AJ18" s="118">
        <f t="shared" si="10"/>
        <v>0</v>
      </c>
      <c r="AK18" s="118"/>
      <c r="AL18" s="118">
        <f t="shared" si="11"/>
        <v>0</v>
      </c>
      <c r="AM18" s="123">
        <f t="shared" si="12"/>
        <v>1</v>
      </c>
      <c r="AN18" s="123">
        <f t="shared" si="13"/>
        <v>20966.591006877235</v>
      </c>
      <c r="AO18" s="131">
        <f t="shared" si="14"/>
        <v>29945000</v>
      </c>
      <c r="AP18" s="131">
        <f>AP7-30</f>
        <v>1130</v>
      </c>
    </row>
    <row r="19" spans="26:42" x14ac:dyDescent="0.35">
      <c r="AD19" s="109"/>
    </row>
    <row r="20" spans="26:42" x14ac:dyDescent="0.35">
      <c r="AD20" s="109"/>
    </row>
    <row r="21" spans="26:42" x14ac:dyDescent="0.35">
      <c r="AD21" s="109"/>
    </row>
    <row r="22" spans="26:42" x14ac:dyDescent="0.35">
      <c r="AD22" s="109"/>
    </row>
    <row r="23" spans="26:42" x14ac:dyDescent="0.35">
      <c r="AD23" s="109"/>
    </row>
    <row r="24" spans="26:42" x14ac:dyDescent="0.35">
      <c r="Z24" s="120" t="s">
        <v>388</v>
      </c>
      <c r="AD24" s="109"/>
      <c r="AM24" s="127">
        <v>0.05</v>
      </c>
    </row>
    <row r="25" spans="26:42" x14ac:dyDescent="0.35">
      <c r="Z25" s="118" t="s">
        <v>368</v>
      </c>
      <c r="AA25" s="118"/>
      <c r="AB25" s="118">
        <f t="shared" ref="AB25:AB29" si="15">AA25*$AA$3</f>
        <v>0</v>
      </c>
      <c r="AC25" s="119">
        <v>0.9</v>
      </c>
      <c r="AD25" s="135">
        <f t="shared" ref="AD25:AD29" si="16">AC25*$AC$3</f>
        <v>18869.931906189511</v>
      </c>
      <c r="AE25" s="119">
        <v>0.1</v>
      </c>
      <c r="AF25" s="118">
        <f t="shared" ref="AF25:AF29" si="17">AE25*$AE$3</f>
        <v>0</v>
      </c>
      <c r="AG25" s="118"/>
      <c r="AH25" s="118">
        <f t="shared" ref="AH25:AH29" si="18">AG25*$AG$3</f>
        <v>0</v>
      </c>
      <c r="AI25" s="118"/>
      <c r="AJ25" s="118">
        <f t="shared" ref="AJ25:AJ29" si="19">AI25*$AI$3</f>
        <v>0</v>
      </c>
      <c r="AK25" s="118"/>
      <c r="AL25" s="118">
        <f t="shared" ref="AL25:AL29" si="20">AK25*$AK$3</f>
        <v>0</v>
      </c>
      <c r="AM25" s="123">
        <f t="shared" ref="AM25:AM29" si="21">AA25+AC25+AE25+AG25+AI25+AK25</f>
        <v>1</v>
      </c>
      <c r="AN25" s="123">
        <f t="shared" ref="AN25:AN29" si="22">AB25+AD25+AF25+AH25+AJ25+AL25</f>
        <v>18869.931906189511</v>
      </c>
      <c r="AO25" s="131">
        <f t="shared" ref="AO25:AO29" si="23">$AO$4*AP25</f>
        <v>30740000</v>
      </c>
      <c r="AP25" s="131">
        <f>AP7</f>
        <v>1160</v>
      </c>
    </row>
    <row r="26" spans="26:42" x14ac:dyDescent="0.35">
      <c r="Z26" s="118" t="s">
        <v>370</v>
      </c>
      <c r="AA26" s="119">
        <v>0.55000000000000004</v>
      </c>
      <c r="AB26" s="118">
        <f t="shared" si="15"/>
        <v>0</v>
      </c>
      <c r="AC26" s="119">
        <v>0.3</v>
      </c>
      <c r="AD26" s="135">
        <f t="shared" si="16"/>
        <v>6289.9773020631701</v>
      </c>
      <c r="AE26" s="119">
        <v>0.15</v>
      </c>
      <c r="AF26" s="118">
        <f t="shared" si="17"/>
        <v>0</v>
      </c>
      <c r="AG26" s="118"/>
      <c r="AH26" s="118">
        <f t="shared" si="18"/>
        <v>0</v>
      </c>
      <c r="AI26" s="118"/>
      <c r="AJ26" s="118">
        <f t="shared" si="19"/>
        <v>0</v>
      </c>
      <c r="AK26" s="118"/>
      <c r="AL26" s="118">
        <f t="shared" si="20"/>
        <v>0</v>
      </c>
      <c r="AM26" s="123">
        <f t="shared" si="21"/>
        <v>1</v>
      </c>
      <c r="AN26" s="123">
        <f t="shared" si="22"/>
        <v>6289.9773020631701</v>
      </c>
      <c r="AO26" s="131">
        <f t="shared" si="23"/>
        <v>28885000</v>
      </c>
      <c r="AP26" s="131">
        <f>AP7-70</f>
        <v>1090</v>
      </c>
    </row>
    <row r="27" spans="26:42" x14ac:dyDescent="0.35">
      <c r="Z27" s="118" t="s">
        <v>386</v>
      </c>
      <c r="AA27" s="118"/>
      <c r="AB27" s="118">
        <f t="shared" si="15"/>
        <v>0</v>
      </c>
      <c r="AC27" s="119">
        <v>0.4</v>
      </c>
      <c r="AD27" s="135">
        <f t="shared" si="16"/>
        <v>8386.6364027508953</v>
      </c>
      <c r="AE27" s="118"/>
      <c r="AF27" s="118">
        <f t="shared" si="17"/>
        <v>0</v>
      </c>
      <c r="AG27" s="119">
        <v>0.5</v>
      </c>
      <c r="AH27" s="118">
        <f t="shared" si="18"/>
        <v>0</v>
      </c>
      <c r="AI27" s="119">
        <v>0.1</v>
      </c>
      <c r="AJ27" s="118">
        <f t="shared" si="19"/>
        <v>0</v>
      </c>
      <c r="AK27" s="118"/>
      <c r="AL27" s="118">
        <f t="shared" si="20"/>
        <v>0</v>
      </c>
      <c r="AM27" s="123">
        <f t="shared" si="21"/>
        <v>1</v>
      </c>
      <c r="AN27" s="123">
        <f t="shared" si="22"/>
        <v>8386.6364027508953</v>
      </c>
      <c r="AO27" s="131">
        <f t="shared" si="23"/>
        <v>30740000</v>
      </c>
      <c r="AP27" s="131">
        <f>AP7</f>
        <v>1160</v>
      </c>
    </row>
    <row r="28" spans="26:42" x14ac:dyDescent="0.35">
      <c r="Z28" s="118" t="s">
        <v>371</v>
      </c>
      <c r="AA28" s="119">
        <v>0.95</v>
      </c>
      <c r="AB28" s="118">
        <f t="shared" si="15"/>
        <v>0</v>
      </c>
      <c r="AC28" s="118"/>
      <c r="AD28" s="135">
        <f t="shared" si="16"/>
        <v>0</v>
      </c>
      <c r="AE28" s="118"/>
      <c r="AF28" s="118">
        <f t="shared" si="17"/>
        <v>0</v>
      </c>
      <c r="AG28" s="119">
        <v>0.05</v>
      </c>
      <c r="AH28" s="118">
        <f t="shared" si="18"/>
        <v>0</v>
      </c>
      <c r="AI28" s="118"/>
      <c r="AJ28" s="118">
        <f t="shared" si="19"/>
        <v>0</v>
      </c>
      <c r="AK28" s="118"/>
      <c r="AL28" s="118">
        <f t="shared" si="20"/>
        <v>0</v>
      </c>
      <c r="AM28" s="123">
        <f t="shared" si="21"/>
        <v>1</v>
      </c>
      <c r="AN28" s="123">
        <f t="shared" si="22"/>
        <v>0</v>
      </c>
      <c r="AO28" s="131">
        <f t="shared" si="23"/>
        <v>19080000</v>
      </c>
      <c r="AP28">
        <f>AP10</f>
        <v>720</v>
      </c>
    </row>
    <row r="29" spans="26:42" x14ac:dyDescent="0.35">
      <c r="Z29" s="118" t="s">
        <v>373</v>
      </c>
      <c r="AA29" s="119">
        <v>0.65</v>
      </c>
      <c r="AB29" s="118">
        <f t="shared" si="15"/>
        <v>0</v>
      </c>
      <c r="AC29" s="119">
        <v>0.15</v>
      </c>
      <c r="AD29" s="135">
        <f t="shared" si="16"/>
        <v>3144.9886510315851</v>
      </c>
      <c r="AE29" s="118"/>
      <c r="AF29" s="118">
        <f t="shared" si="17"/>
        <v>0</v>
      </c>
      <c r="AG29" s="119">
        <v>0.2</v>
      </c>
      <c r="AH29" s="118">
        <f t="shared" si="18"/>
        <v>0</v>
      </c>
      <c r="AI29" s="118"/>
      <c r="AJ29" s="118">
        <f t="shared" si="19"/>
        <v>0</v>
      </c>
      <c r="AK29" s="118"/>
      <c r="AL29" s="118">
        <f t="shared" si="20"/>
        <v>0</v>
      </c>
      <c r="AM29" s="123">
        <f t="shared" si="21"/>
        <v>1</v>
      </c>
      <c r="AN29" s="123">
        <f t="shared" si="22"/>
        <v>3144.9886510315851</v>
      </c>
      <c r="AO29" s="131">
        <f t="shared" si="23"/>
        <v>0</v>
      </c>
    </row>
    <row r="32" spans="26:42" x14ac:dyDescent="0.35">
      <c r="Z32" s="120" t="s">
        <v>389</v>
      </c>
      <c r="AM32" s="127">
        <v>0.02</v>
      </c>
    </row>
    <row r="33" spans="26:42" x14ac:dyDescent="0.35">
      <c r="Z33" s="118" t="s">
        <v>381</v>
      </c>
      <c r="AA33" s="118"/>
      <c r="AB33" s="118">
        <f t="shared" ref="AB33" si="24">AA33*$AA$3</f>
        <v>0</v>
      </c>
      <c r="AC33" s="118"/>
      <c r="AD33" s="118">
        <f>AC33*$AC$3</f>
        <v>0</v>
      </c>
      <c r="AE33" s="118"/>
      <c r="AF33" s="118">
        <f>AE33*$AE$3</f>
        <v>0</v>
      </c>
      <c r="AG33" s="118"/>
      <c r="AH33" s="118"/>
      <c r="AI33" s="118"/>
      <c r="AJ33" s="118">
        <f t="shared" ref="AJ33" si="25">AI33*$AI$3</f>
        <v>0</v>
      </c>
      <c r="AK33" s="119">
        <v>1</v>
      </c>
      <c r="AL33" s="118"/>
      <c r="AM33" s="123">
        <f>AA33+AC33+AE33+AG33+AI33+AK33</f>
        <v>1</v>
      </c>
      <c r="AN33" s="123">
        <f>AB33+AD33+AF33+AH33+AJ33+AL33</f>
        <v>0</v>
      </c>
      <c r="AO33" s="131">
        <f>$AO$4*AP33</f>
        <v>19000500</v>
      </c>
      <c r="AP33">
        <v>717</v>
      </c>
    </row>
    <row r="35" spans="26:42" x14ac:dyDescent="0.35">
      <c r="AK35" s="109">
        <f>'Giá mua Chai-Vảy'!O40</f>
        <v>8000</v>
      </c>
      <c r="AN35" s="134"/>
      <c r="AO35" s="134"/>
      <c r="AP35" s="134"/>
    </row>
    <row r="36" spans="26:42" x14ac:dyDescent="0.35">
      <c r="Z36" s="120" t="s">
        <v>447</v>
      </c>
      <c r="AM36" s="127">
        <v>0.01</v>
      </c>
    </row>
    <row r="37" spans="26:42" x14ac:dyDescent="0.35">
      <c r="Z37" s="118" t="s">
        <v>477</v>
      </c>
      <c r="AA37" s="118"/>
      <c r="AB37" s="118">
        <f t="shared" ref="AB37" si="26">AA37*$AA$3</f>
        <v>0</v>
      </c>
      <c r="AC37" s="118"/>
      <c r="AD37" s="118">
        <f>AC37*$AC$3</f>
        <v>0</v>
      </c>
      <c r="AE37" s="118"/>
      <c r="AF37" s="118">
        <f>AE37*$AE$3</f>
        <v>0</v>
      </c>
      <c r="AG37" s="118"/>
      <c r="AH37" s="118"/>
      <c r="AI37" s="118"/>
      <c r="AJ37" s="118">
        <f t="shared" ref="AJ37" si="27">AI37*$AI$3</f>
        <v>0</v>
      </c>
      <c r="AK37" s="119">
        <v>1</v>
      </c>
      <c r="AL37" s="135">
        <f>AK37*$AK$35</f>
        <v>8000</v>
      </c>
      <c r="AM37" s="123">
        <f>AA37+AC37+AE37+AG37+AI37+AK37</f>
        <v>1</v>
      </c>
      <c r="AN37" s="178">
        <f>AB37+AD37+AF37+AH37+AJ37+AL37</f>
        <v>8000</v>
      </c>
      <c r="AO37" s="176">
        <f>AO$1+AN37</f>
        <v>8000</v>
      </c>
      <c r="AP37" s="195">
        <f t="shared" ref="AP37" si="28">AP$1+AO37</f>
        <v>8000</v>
      </c>
    </row>
  </sheetData>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BA5B-FA8A-485C-A962-0C2E5FDD02AF}">
  <sheetPr>
    <tabColor rgb="FF0000FF"/>
  </sheetPr>
  <dimension ref="B1:AZ39"/>
  <sheetViews>
    <sheetView topLeftCell="D1" zoomScale="85" zoomScaleNormal="85" workbookViewId="0">
      <pane xSplit="17" topLeftCell="U1" activePane="topRight" state="frozen"/>
      <selection activeCell="S1" sqref="S1"/>
      <selection pane="topRight" activeCell="X7" sqref="X7:X11"/>
    </sheetView>
  </sheetViews>
  <sheetFormatPr defaultRowHeight="14.5" outlineLevelCol="1" x14ac:dyDescent="0.35"/>
  <cols>
    <col min="1" max="1" width="3.36328125" customWidth="1"/>
    <col min="4" max="18" width="8.7265625" customWidth="1" outlineLevel="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10.26953125" style="122" customWidth="1"/>
    <col min="34" max="34" width="10.1796875" style="122" bestFit="1" customWidth="1"/>
    <col min="35" max="35" width="11.81640625" bestFit="1" customWidth="1"/>
    <col min="36" max="36" width="7" bestFit="1" customWidth="1"/>
    <col min="37" max="37" width="5.7265625" customWidth="1"/>
    <col min="38" max="38" width="9.54296875" customWidth="1"/>
    <col min="45" max="45" width="4.6328125" customWidth="1"/>
    <col min="46" max="46" width="12.453125" customWidth="1"/>
  </cols>
  <sheetData>
    <row r="1" spans="2:52" ht="15.5" x14ac:dyDescent="0.35">
      <c r="B1" s="113" t="s">
        <v>364</v>
      </c>
      <c r="T1" s="122" t="s">
        <v>448</v>
      </c>
      <c r="U1" s="109">
        <f>'Giá mua Chai-Vảy'!E18</f>
        <v>13500</v>
      </c>
      <c r="W1" s="133">
        <f>'[2]10. 100% chai-&gt;hạt WSS01-iSS01'!$H$9</f>
        <v>15000</v>
      </c>
      <c r="X1" s="133">
        <f>W3-W1-X3</f>
        <v>1249.947702396159</v>
      </c>
      <c r="Y1" s="109">
        <f>'Giá mua Chai-Vảy'!E15</f>
        <v>13500</v>
      </c>
      <c r="AA1" s="109">
        <f>'[2]18. Vảy B5'!$I$9</f>
        <v>12000</v>
      </c>
      <c r="AB1" s="133">
        <f>'[2]18. Vảy B5'!$I$10</f>
        <v>411.68039840493083</v>
      </c>
      <c r="AC1" s="169">
        <f>'[2]16.1 Rửa vảy B7'!$I$9</f>
        <v>7971.0144927536239</v>
      </c>
      <c r="AD1" s="172">
        <f>'[2]16.1 Rửa vảy B7'!$I$10</f>
        <v>84.555434657824762</v>
      </c>
      <c r="AE1" s="109">
        <f>'Giá mua Chai-Vảy'!E16</f>
        <v>12000</v>
      </c>
      <c r="AL1" s="188">
        <f>AL2/$AR$2</f>
        <v>0.3133333333333333</v>
      </c>
      <c r="AM1" s="188">
        <f t="shared" ref="AM1:AR1" si="0">AM2/$AR$2</f>
        <v>0.52</v>
      </c>
      <c r="AN1" s="188">
        <f t="shared" si="0"/>
        <v>2.6666666666666668E-2</v>
      </c>
      <c r="AO1" s="188">
        <f t="shared" si="0"/>
        <v>6.6666666666666666E-2</v>
      </c>
      <c r="AP1" s="188">
        <f t="shared" si="0"/>
        <v>6.6666666666666671E-3</v>
      </c>
      <c r="AQ1" s="188">
        <f t="shared" si="0"/>
        <v>6.6666666666666666E-2</v>
      </c>
      <c r="AR1" s="188">
        <f t="shared" si="0"/>
        <v>1</v>
      </c>
    </row>
    <row r="2" spans="2:52" ht="29" x14ac:dyDescent="0.35">
      <c r="B2" s="114" t="s">
        <v>365</v>
      </c>
      <c r="T2" s="163" t="s">
        <v>450</v>
      </c>
      <c r="W2" s="133">
        <f>'[2]12. 100% vảy-&gt;hạt WSS01-iSS01'!$I$30</f>
        <v>17636.977515423063</v>
      </c>
      <c r="X2" s="133">
        <f>'[2]12. 100% vảy-&gt;hạt WSS01-iSS01'!$I$10</f>
        <v>1636.9775154230633</v>
      </c>
      <c r="AL2" s="69">
        <f>AL6+AL14+AL24+AL33</f>
        <v>4.6999999999999993</v>
      </c>
      <c r="AM2" s="69">
        <f t="shared" ref="AM2:AR2" si="1">AM6+AM14+AM24+AM33</f>
        <v>7.8000000000000007</v>
      </c>
      <c r="AN2" s="69">
        <f t="shared" si="1"/>
        <v>0.4</v>
      </c>
      <c r="AO2" s="69">
        <f t="shared" si="1"/>
        <v>1</v>
      </c>
      <c r="AP2" s="69">
        <f t="shared" si="1"/>
        <v>0.1</v>
      </c>
      <c r="AQ2" s="69">
        <f t="shared" si="1"/>
        <v>1</v>
      </c>
      <c r="AR2" s="69">
        <f t="shared" si="1"/>
        <v>15</v>
      </c>
    </row>
    <row r="3" spans="2:52" ht="29" x14ac:dyDescent="0.35">
      <c r="T3" s="163" t="s">
        <v>449</v>
      </c>
      <c r="U3" s="170">
        <f>U1+X3</f>
        <v>18216.643304481076</v>
      </c>
      <c r="W3" s="132">
        <f>'[2]10. 100% chai-&gt;hạt WSS01-iSS01'!$I$60</f>
        <v>20966.591006877235</v>
      </c>
      <c r="X3" s="171">
        <f>'[2]10. 100% chai-&gt;hạt WSS01-iSS01'!$I$21+'[2]10. 100% chai-&gt;hạt WSS01-iSS01'!$I$37</f>
        <v>4716.6433044810765</v>
      </c>
      <c r="Y3" s="170">
        <f>Y1+X3</f>
        <v>18216.643304481076</v>
      </c>
      <c r="AA3" s="170">
        <f>'[2]18. Vảy B5'!$I$58</f>
        <v>16916.834566301488</v>
      </c>
      <c r="AB3" s="133">
        <f>'[2]18. Vảy B5'!$I$21+'[2]18. Vảy B5'!$I$37</f>
        <v>4505.1541678965586</v>
      </c>
      <c r="AC3" s="170">
        <f>'[2]16.1 Rửa vảy B7'!$I$48</f>
        <v>14341.250211551116</v>
      </c>
      <c r="AD3" s="109">
        <f>'[2]16.1 Rửa vảy B7'!$I$11+'[2]16.1 Rửa vảy B7'!$I$27</f>
        <v>6285.6802841396675</v>
      </c>
      <c r="AE3" s="170">
        <f>AE1+AB3</f>
        <v>16505.154167896559</v>
      </c>
      <c r="AG3" s="122" t="s">
        <v>451</v>
      </c>
      <c r="AH3" s="174"/>
      <c r="AI3" t="s">
        <v>391</v>
      </c>
      <c r="AJ3" t="s">
        <v>393</v>
      </c>
      <c r="AL3" t="s">
        <v>468</v>
      </c>
    </row>
    <row r="4" spans="2:52" x14ac:dyDescent="0.35">
      <c r="T4" s="121" t="s">
        <v>366</v>
      </c>
      <c r="U4" s="115" t="s">
        <v>367</v>
      </c>
      <c r="W4" s="115" t="s">
        <v>374</v>
      </c>
      <c r="Y4" s="115" t="s">
        <v>375</v>
      </c>
      <c r="AA4" s="115" t="s">
        <v>382</v>
      </c>
      <c r="AC4" s="115" t="s">
        <v>384</v>
      </c>
      <c r="AE4" s="115" t="s">
        <v>385</v>
      </c>
      <c r="AG4" s="128" t="s">
        <v>376</v>
      </c>
      <c r="AI4" s="130">
        <v>26500</v>
      </c>
    </row>
    <row r="5" spans="2:52" x14ac:dyDescent="0.35">
      <c r="T5" s="65"/>
      <c r="U5" s="117" t="s">
        <v>57</v>
      </c>
      <c r="V5" s="124" t="s">
        <v>372</v>
      </c>
      <c r="W5" s="117" t="s">
        <v>267</v>
      </c>
      <c r="X5" s="124" t="s">
        <v>372</v>
      </c>
      <c r="Y5" s="117" t="s">
        <v>52</v>
      </c>
      <c r="Z5" s="124" t="s">
        <v>372</v>
      </c>
      <c r="AA5" s="117" t="s">
        <v>55</v>
      </c>
      <c r="AB5" s="124" t="s">
        <v>372</v>
      </c>
      <c r="AC5" s="117" t="s">
        <v>383</v>
      </c>
      <c r="AD5" s="124" t="s">
        <v>372</v>
      </c>
      <c r="AE5" s="117" t="s">
        <v>54</v>
      </c>
      <c r="AF5" s="124" t="s">
        <v>372</v>
      </c>
      <c r="AG5" s="124"/>
      <c r="AH5" s="124" t="s">
        <v>372</v>
      </c>
      <c r="AI5" s="124" t="s">
        <v>372</v>
      </c>
      <c r="AJ5" t="s">
        <v>392</v>
      </c>
      <c r="AL5" s="190" t="str">
        <f>U5</f>
        <v>B6.2</v>
      </c>
      <c r="AM5" s="190" t="str">
        <f>W5</f>
        <v>B1</v>
      </c>
      <c r="AN5" s="190" t="str">
        <f>Y5</f>
        <v>B2.2</v>
      </c>
      <c r="AO5" s="190" t="str">
        <f>AA5</f>
        <v>B5</v>
      </c>
      <c r="AP5" s="190" t="str">
        <f>AC5</f>
        <v>B7</v>
      </c>
      <c r="AQ5" s="190" t="str">
        <f>AE5</f>
        <v>B4</v>
      </c>
      <c r="AR5" s="190"/>
      <c r="AT5" s="190" t="str">
        <f>AL5</f>
        <v>B6.2</v>
      </c>
      <c r="AU5" s="190" t="str">
        <f t="shared" ref="AU5:AZ5" si="2">AM5</f>
        <v>B1</v>
      </c>
      <c r="AV5" s="190" t="str">
        <f t="shared" si="2"/>
        <v>B2.2</v>
      </c>
      <c r="AW5" s="190" t="str">
        <f t="shared" si="2"/>
        <v>B5</v>
      </c>
      <c r="AX5" s="190" t="str">
        <f t="shared" si="2"/>
        <v>B7</v>
      </c>
      <c r="AY5" s="190" t="str">
        <f t="shared" si="2"/>
        <v>B4</v>
      </c>
      <c r="AZ5" s="190">
        <f t="shared" si="2"/>
        <v>0</v>
      </c>
    </row>
    <row r="6" spans="2:52" x14ac:dyDescent="0.35">
      <c r="T6" s="120" t="s">
        <v>390</v>
      </c>
      <c r="AG6" s="129">
        <v>0.3</v>
      </c>
      <c r="AL6" s="189">
        <f>SUM(AL7:AL11)</f>
        <v>2.5499999999999998</v>
      </c>
      <c r="AM6" s="189">
        <f t="shared" ref="AM6:AR6" si="3">SUM(AM7:AM11)</f>
        <v>2.0500000000000003</v>
      </c>
      <c r="AN6" s="189">
        <f t="shared" si="3"/>
        <v>0.15</v>
      </c>
      <c r="AO6" s="189">
        <f t="shared" si="3"/>
        <v>0.25</v>
      </c>
      <c r="AP6" s="189">
        <f t="shared" si="3"/>
        <v>0</v>
      </c>
      <c r="AQ6" s="189">
        <f t="shared" si="3"/>
        <v>0</v>
      </c>
      <c r="AR6" s="189">
        <f t="shared" si="3"/>
        <v>5</v>
      </c>
      <c r="AT6" s="189">
        <f>AL6/AL$2</f>
        <v>0.54255319148936176</v>
      </c>
      <c r="AU6" s="189">
        <f t="shared" ref="AU6:AZ11" si="4">AM6/AM$2</f>
        <v>0.26282051282051283</v>
      </c>
      <c r="AV6" s="189">
        <f t="shared" si="4"/>
        <v>0.37499999999999994</v>
      </c>
      <c r="AW6" s="189">
        <f t="shared" si="4"/>
        <v>0.25</v>
      </c>
      <c r="AX6" s="189">
        <f t="shared" si="4"/>
        <v>0</v>
      </c>
      <c r="AY6" s="189">
        <f t="shared" si="4"/>
        <v>0</v>
      </c>
      <c r="AZ6" s="189">
        <f t="shared" si="4"/>
        <v>0.33333333333333331</v>
      </c>
    </row>
    <row r="7" spans="2:52" x14ac:dyDescent="0.35">
      <c r="T7" s="118" t="s">
        <v>368</v>
      </c>
      <c r="U7" s="119">
        <v>0.1</v>
      </c>
      <c r="V7" s="135">
        <f>U7*$U$3</f>
        <v>1821.6643304481076</v>
      </c>
      <c r="W7" s="119">
        <v>0.9</v>
      </c>
      <c r="X7" s="135">
        <f>W7*$W$3</f>
        <v>18869.931906189511</v>
      </c>
      <c r="Y7" s="118"/>
      <c r="Z7" s="135">
        <f>Y7*$Y$3</f>
        <v>0</v>
      </c>
      <c r="AA7" s="118"/>
      <c r="AB7" s="118">
        <f>AA7*$AA$3</f>
        <v>0</v>
      </c>
      <c r="AC7" s="118"/>
      <c r="AD7" s="118">
        <f>AC7*$AC$3</f>
        <v>0</v>
      </c>
      <c r="AE7" s="118"/>
      <c r="AF7" s="118">
        <f>AE7*$AE$3</f>
        <v>0</v>
      </c>
      <c r="AG7" s="123">
        <f>U7+W7+Y7+AA7+AC7+AE7</f>
        <v>1</v>
      </c>
      <c r="AH7" s="168">
        <f>V7+X7+Z7+AB7+AD7+AF7</f>
        <v>20691.596236637619</v>
      </c>
      <c r="AI7" s="131">
        <f>$AI$4*AJ7</f>
        <v>30740000</v>
      </c>
      <c r="AJ7" s="109">
        <v>1160</v>
      </c>
      <c r="AL7" s="69">
        <f>U7</f>
        <v>0.1</v>
      </c>
      <c r="AM7" s="69">
        <f>W7</f>
        <v>0.9</v>
      </c>
      <c r="AN7" s="110">
        <f>Y7</f>
        <v>0</v>
      </c>
      <c r="AO7" s="110">
        <f>AA7</f>
        <v>0</v>
      </c>
      <c r="AP7" s="110">
        <f>AC7</f>
        <v>0</v>
      </c>
      <c r="AQ7" s="110">
        <f>AE7</f>
        <v>0</v>
      </c>
      <c r="AR7" s="69">
        <f t="shared" ref="AR7:AR11" si="5">SUM(AL7:AQ7)</f>
        <v>1</v>
      </c>
      <c r="AT7" s="110">
        <f t="shared" ref="AT7:AT11" si="6">AL7/AL$2</f>
        <v>2.1276595744680854E-2</v>
      </c>
      <c r="AU7" s="110">
        <f t="shared" si="4"/>
        <v>0.11538461538461538</v>
      </c>
      <c r="AV7" s="110">
        <f t="shared" si="4"/>
        <v>0</v>
      </c>
      <c r="AW7" s="110">
        <f t="shared" si="4"/>
        <v>0</v>
      </c>
      <c r="AX7" s="110">
        <f t="shared" si="4"/>
        <v>0</v>
      </c>
      <c r="AY7" s="110">
        <f t="shared" si="4"/>
        <v>0</v>
      </c>
      <c r="AZ7" s="110">
        <f t="shared" si="4"/>
        <v>6.6666666666666666E-2</v>
      </c>
    </row>
    <row r="8" spans="2:52" x14ac:dyDescent="0.35">
      <c r="T8" s="118" t="s">
        <v>369</v>
      </c>
      <c r="U8" s="126">
        <v>0.3</v>
      </c>
      <c r="V8" s="135">
        <f>U8*$U$3</f>
        <v>5464.9929913443229</v>
      </c>
      <c r="W8" s="126">
        <v>0.7</v>
      </c>
      <c r="X8" s="135">
        <f>W8*$W$3</f>
        <v>14676.613704814064</v>
      </c>
      <c r="Y8" s="118"/>
      <c r="Z8" s="135">
        <f>Y8*$Y$3</f>
        <v>0</v>
      </c>
      <c r="AA8" s="118"/>
      <c r="AB8" s="118">
        <f t="shared" ref="AB8:AB11" si="7">AA8*$AA$3</f>
        <v>0</v>
      </c>
      <c r="AC8" s="118"/>
      <c r="AD8" s="118">
        <f t="shared" ref="AD8:AD11" si="8">AC8*$AC$3</f>
        <v>0</v>
      </c>
      <c r="AE8" s="118"/>
      <c r="AF8" s="118">
        <f t="shared" ref="AF8:AF11" si="9">AE8*$AE$3</f>
        <v>0</v>
      </c>
      <c r="AG8" s="123">
        <f t="shared" ref="AG8:AH11" si="10">U8+W8+Y8+AA8+AC8+AE8</f>
        <v>1</v>
      </c>
      <c r="AH8" s="168">
        <f t="shared" si="10"/>
        <v>20141.606696158386</v>
      </c>
      <c r="AI8" s="131">
        <f t="shared" ref="AI8:AI11" si="11">$AI$4*AJ8</f>
        <v>31535000</v>
      </c>
      <c r="AJ8" s="131">
        <f>AJ7+30</f>
        <v>1190</v>
      </c>
      <c r="AL8" s="69">
        <f t="shared" ref="AL8:AL11" si="12">U8</f>
        <v>0.3</v>
      </c>
      <c r="AM8" s="69">
        <f t="shared" ref="AM8:AM11" si="13">W8</f>
        <v>0.7</v>
      </c>
      <c r="AN8" s="110">
        <f t="shared" ref="AN8:AN11" si="14">Y8</f>
        <v>0</v>
      </c>
      <c r="AO8" s="110">
        <f t="shared" ref="AO8:AO11" si="15">AA8</f>
        <v>0</v>
      </c>
      <c r="AP8" s="110">
        <f t="shared" ref="AP8:AP11" si="16">AC8</f>
        <v>0</v>
      </c>
      <c r="AQ8" s="110">
        <f t="shared" ref="AQ8:AQ11" si="17">AE8</f>
        <v>0</v>
      </c>
      <c r="AR8" s="69">
        <f t="shared" si="5"/>
        <v>1</v>
      </c>
      <c r="AT8" s="110">
        <f t="shared" si="6"/>
        <v>6.3829787234042562E-2</v>
      </c>
      <c r="AU8" s="110">
        <f t="shared" si="4"/>
        <v>8.974358974358973E-2</v>
      </c>
      <c r="AV8" s="110">
        <f t="shared" si="4"/>
        <v>0</v>
      </c>
      <c r="AW8" s="110">
        <f t="shared" si="4"/>
        <v>0</v>
      </c>
      <c r="AX8" s="110">
        <f t="shared" si="4"/>
        <v>0</v>
      </c>
      <c r="AY8" s="110">
        <f t="shared" si="4"/>
        <v>0</v>
      </c>
      <c r="AZ8" s="110">
        <f t="shared" si="4"/>
        <v>6.6666666666666666E-2</v>
      </c>
    </row>
    <row r="9" spans="2:52" x14ac:dyDescent="0.35">
      <c r="T9" s="118" t="s">
        <v>370</v>
      </c>
      <c r="U9" s="119">
        <v>0.55000000000000004</v>
      </c>
      <c r="V9" s="135">
        <f>U9*$U$3</f>
        <v>10019.153817464592</v>
      </c>
      <c r="W9" s="119">
        <v>0.3</v>
      </c>
      <c r="X9" s="135">
        <f>W9*$W$3</f>
        <v>6289.9773020631701</v>
      </c>
      <c r="Y9" s="119">
        <v>0.15</v>
      </c>
      <c r="Z9" s="135">
        <f>Y9*$Y$3</f>
        <v>2732.4964956721615</v>
      </c>
      <c r="AA9" s="118"/>
      <c r="AB9" s="118">
        <f t="shared" si="7"/>
        <v>0</v>
      </c>
      <c r="AC9" s="118"/>
      <c r="AD9" s="118">
        <f t="shared" si="8"/>
        <v>0</v>
      </c>
      <c r="AE9" s="118"/>
      <c r="AF9" s="118">
        <f t="shared" si="9"/>
        <v>0</v>
      </c>
      <c r="AG9" s="123">
        <f t="shared" si="10"/>
        <v>1</v>
      </c>
      <c r="AH9" s="168">
        <f t="shared" si="10"/>
        <v>19041.627615199926</v>
      </c>
      <c r="AI9" s="131">
        <f t="shared" si="11"/>
        <v>28885000</v>
      </c>
      <c r="AJ9" s="131">
        <f>AJ7-70</f>
        <v>1090</v>
      </c>
      <c r="AL9" s="69">
        <f t="shared" si="12"/>
        <v>0.55000000000000004</v>
      </c>
      <c r="AM9" s="69">
        <f t="shared" si="13"/>
        <v>0.3</v>
      </c>
      <c r="AN9" s="110">
        <f t="shared" si="14"/>
        <v>0.15</v>
      </c>
      <c r="AO9" s="110">
        <f t="shared" si="15"/>
        <v>0</v>
      </c>
      <c r="AP9" s="110">
        <f t="shared" si="16"/>
        <v>0</v>
      </c>
      <c r="AQ9" s="110">
        <f t="shared" si="17"/>
        <v>0</v>
      </c>
      <c r="AR9" s="69">
        <f t="shared" si="5"/>
        <v>1</v>
      </c>
      <c r="AT9" s="110">
        <f t="shared" si="6"/>
        <v>0.11702127659574471</v>
      </c>
      <c r="AU9" s="110">
        <f t="shared" si="4"/>
        <v>3.8461538461538457E-2</v>
      </c>
      <c r="AV9" s="110">
        <f t="shared" si="4"/>
        <v>0.37499999999999994</v>
      </c>
      <c r="AW9" s="110">
        <f t="shared" si="4"/>
        <v>0</v>
      </c>
      <c r="AX9" s="110">
        <f t="shared" si="4"/>
        <v>0</v>
      </c>
      <c r="AY9" s="110">
        <f t="shared" si="4"/>
        <v>0</v>
      </c>
      <c r="AZ9" s="110">
        <f t="shared" si="4"/>
        <v>6.6666666666666666E-2</v>
      </c>
    </row>
    <row r="10" spans="2:52" x14ac:dyDescent="0.35">
      <c r="T10" s="118" t="s">
        <v>371</v>
      </c>
      <c r="U10" s="119">
        <v>0.95</v>
      </c>
      <c r="V10" s="135">
        <f>U10*$U$3</f>
        <v>17305.811139257021</v>
      </c>
      <c r="W10" s="263"/>
      <c r="X10" s="265">
        <f>W10*$W$3</f>
        <v>0</v>
      </c>
      <c r="Y10" s="118"/>
      <c r="Z10" s="135">
        <f>Y10*$Y$3</f>
        <v>0</v>
      </c>
      <c r="AA10" s="263">
        <v>0.05</v>
      </c>
      <c r="AB10" s="264">
        <f>AA10*$AA$3</f>
        <v>845.84172831507442</v>
      </c>
      <c r="AC10" s="118"/>
      <c r="AD10" s="118">
        <f t="shared" si="8"/>
        <v>0</v>
      </c>
      <c r="AE10" s="118"/>
      <c r="AF10" s="118">
        <f t="shared" si="9"/>
        <v>0</v>
      </c>
      <c r="AG10" s="123">
        <f t="shared" si="10"/>
        <v>1</v>
      </c>
      <c r="AH10" s="168">
        <f t="shared" si="10"/>
        <v>18151.652867572095</v>
      </c>
      <c r="AI10" s="131">
        <f t="shared" si="11"/>
        <v>19080000</v>
      </c>
      <c r="AJ10" s="131">
        <v>720</v>
      </c>
      <c r="AL10" s="69">
        <f t="shared" si="12"/>
        <v>0.95</v>
      </c>
      <c r="AM10" s="69">
        <f t="shared" si="13"/>
        <v>0</v>
      </c>
      <c r="AN10" s="110">
        <f t="shared" si="14"/>
        <v>0</v>
      </c>
      <c r="AO10" s="110">
        <f t="shared" si="15"/>
        <v>0.05</v>
      </c>
      <c r="AP10" s="110">
        <f t="shared" si="16"/>
        <v>0</v>
      </c>
      <c r="AQ10" s="110">
        <f t="shared" si="17"/>
        <v>0</v>
      </c>
      <c r="AR10" s="69">
        <f t="shared" si="5"/>
        <v>1</v>
      </c>
      <c r="AT10" s="110">
        <f t="shared" si="6"/>
        <v>0.2021276595744681</v>
      </c>
      <c r="AU10" s="110">
        <f t="shared" si="4"/>
        <v>0</v>
      </c>
      <c r="AV10" s="110">
        <f t="shared" si="4"/>
        <v>0</v>
      </c>
      <c r="AW10" s="110">
        <f t="shared" si="4"/>
        <v>0.05</v>
      </c>
      <c r="AX10" s="110">
        <f t="shared" si="4"/>
        <v>0</v>
      </c>
      <c r="AY10" s="110">
        <f t="shared" si="4"/>
        <v>0</v>
      </c>
      <c r="AZ10" s="110">
        <f t="shared" si="4"/>
        <v>6.6666666666666666E-2</v>
      </c>
    </row>
    <row r="11" spans="2:52" x14ac:dyDescent="0.35">
      <c r="T11" s="118" t="s">
        <v>373</v>
      </c>
      <c r="U11" s="119">
        <v>0.65</v>
      </c>
      <c r="V11" s="135">
        <f>U11*$U$3</f>
        <v>11840.8181479127</v>
      </c>
      <c r="W11" s="119">
        <v>0.15</v>
      </c>
      <c r="X11" s="135">
        <f>W11*$W$3</f>
        <v>3144.9886510315851</v>
      </c>
      <c r="Y11" s="263"/>
      <c r="Z11" s="265">
        <f>Y11*$Y$3</f>
        <v>0</v>
      </c>
      <c r="AA11" s="263">
        <v>0.2</v>
      </c>
      <c r="AB11" s="265">
        <f t="shared" si="7"/>
        <v>3383.3669132602977</v>
      </c>
      <c r="AC11" s="118"/>
      <c r="AD11" s="118">
        <f t="shared" si="8"/>
        <v>0</v>
      </c>
      <c r="AE11" s="118"/>
      <c r="AF11" s="118">
        <f t="shared" si="9"/>
        <v>0</v>
      </c>
      <c r="AG11" s="123">
        <f t="shared" si="10"/>
        <v>1</v>
      </c>
      <c r="AH11" s="168">
        <f t="shared" si="10"/>
        <v>18369.173712204582</v>
      </c>
      <c r="AI11" s="131">
        <f t="shared" si="11"/>
        <v>0</v>
      </c>
      <c r="AL11" s="69">
        <f t="shared" si="12"/>
        <v>0.65</v>
      </c>
      <c r="AM11" s="69">
        <f t="shared" si="13"/>
        <v>0.15</v>
      </c>
      <c r="AN11" s="110">
        <f t="shared" si="14"/>
        <v>0</v>
      </c>
      <c r="AO11" s="110">
        <f t="shared" si="15"/>
        <v>0.2</v>
      </c>
      <c r="AP11" s="110">
        <f t="shared" si="16"/>
        <v>0</v>
      </c>
      <c r="AQ11" s="110">
        <f t="shared" si="17"/>
        <v>0</v>
      </c>
      <c r="AR11" s="69">
        <f t="shared" si="5"/>
        <v>1</v>
      </c>
      <c r="AT11" s="110">
        <f t="shared" si="6"/>
        <v>0.13829787234042556</v>
      </c>
      <c r="AU11" s="110">
        <f t="shared" si="4"/>
        <v>1.9230769230769228E-2</v>
      </c>
      <c r="AV11" s="110">
        <f t="shared" si="4"/>
        <v>0</v>
      </c>
      <c r="AW11" s="110">
        <f t="shared" si="4"/>
        <v>0.2</v>
      </c>
      <c r="AX11" s="110">
        <f t="shared" si="4"/>
        <v>0</v>
      </c>
      <c r="AY11" s="110">
        <f t="shared" si="4"/>
        <v>0</v>
      </c>
      <c r="AZ11" s="110">
        <f t="shared" si="4"/>
        <v>6.6666666666666666E-2</v>
      </c>
    </row>
    <row r="14" spans="2:52" x14ac:dyDescent="0.35">
      <c r="T14" s="120" t="s">
        <v>387</v>
      </c>
      <c r="W14" s="117" t="s">
        <v>48</v>
      </c>
      <c r="AG14" s="127">
        <v>0.53</v>
      </c>
      <c r="AL14" s="189">
        <f>SUM(AL15:AL18)</f>
        <v>0</v>
      </c>
      <c r="AM14" s="189">
        <f t="shared" ref="AM14:AR14" si="18">SUM(AM15:AM18)</f>
        <v>4</v>
      </c>
      <c r="AN14" s="189">
        <f t="shared" si="18"/>
        <v>0</v>
      </c>
      <c r="AO14" s="189">
        <f t="shared" si="18"/>
        <v>0</v>
      </c>
      <c r="AP14" s="189">
        <f t="shared" si="18"/>
        <v>0</v>
      </c>
      <c r="AQ14" s="189">
        <f t="shared" si="18"/>
        <v>0</v>
      </c>
      <c r="AR14" s="189">
        <f t="shared" si="18"/>
        <v>4</v>
      </c>
      <c r="AT14" s="189">
        <f>AL14/AL$2</f>
        <v>0</v>
      </c>
      <c r="AU14" s="189">
        <f t="shared" ref="AU14:AU15" si="19">AM14/AM$2</f>
        <v>0.51282051282051277</v>
      </c>
      <c r="AV14" s="189">
        <f t="shared" ref="AV14:AV15" si="20">AN14/AN$2</f>
        <v>0</v>
      </c>
      <c r="AW14" s="189">
        <f t="shared" ref="AW14:AW15" si="21">AO14/AO$2</f>
        <v>0</v>
      </c>
      <c r="AX14" s="189">
        <f t="shared" ref="AX14:AX15" si="22">AP14/AP$2</f>
        <v>0</v>
      </c>
      <c r="AY14" s="189">
        <f t="shared" ref="AY14:AY15" si="23">AQ14/AQ$2</f>
        <v>0</v>
      </c>
      <c r="AZ14" s="189">
        <f t="shared" ref="AZ14:AZ15" si="24">AR14/AR$2</f>
        <v>0.26666666666666666</v>
      </c>
    </row>
    <row r="15" spans="2:52" x14ac:dyDescent="0.35">
      <c r="T15" s="118" t="s">
        <v>377</v>
      </c>
      <c r="U15" s="118"/>
      <c r="V15" s="118">
        <f t="shared" ref="V15:V18" si="25">U15*$U$3</f>
        <v>0</v>
      </c>
      <c r="W15" s="179">
        <v>1</v>
      </c>
      <c r="X15" s="135">
        <f t="shared" ref="X15:X18" si="26">W15*$W$3</f>
        <v>20966.591006877235</v>
      </c>
      <c r="Y15" s="118"/>
      <c r="Z15" s="118">
        <f t="shared" ref="Z15:Z18" si="27">Y15*$Y$3</f>
        <v>0</v>
      </c>
      <c r="AA15" s="118"/>
      <c r="AB15" s="118">
        <f t="shared" ref="AB15:AB18" si="28">AA15*$AA$3</f>
        <v>0</v>
      </c>
      <c r="AC15" s="118"/>
      <c r="AD15" s="118">
        <f t="shared" ref="AD15:AD18" si="29">AC15*$AC$3</f>
        <v>0</v>
      </c>
      <c r="AE15" s="118"/>
      <c r="AF15" s="118">
        <f t="shared" ref="AF15:AF18" si="30">AE15*$AE$3</f>
        <v>0</v>
      </c>
      <c r="AG15" s="123">
        <f t="shared" ref="AG15:AH18" si="31">U15+W15+Y15+AA15+AC15+AE15</f>
        <v>1</v>
      </c>
      <c r="AH15" s="168">
        <f t="shared" si="31"/>
        <v>20966.591006877235</v>
      </c>
      <c r="AI15" s="131">
        <f t="shared" ref="AI15:AI18" si="32">$AI$4*AJ15</f>
        <v>30740000</v>
      </c>
      <c r="AJ15" s="131">
        <f>AJ7</f>
        <v>1160</v>
      </c>
      <c r="AL15" s="69">
        <f t="shared" ref="AL15:AL18" si="33">U15</f>
        <v>0</v>
      </c>
      <c r="AM15" s="69">
        <f t="shared" ref="AM15:AM18" si="34">W15</f>
        <v>1</v>
      </c>
      <c r="AN15" s="110">
        <f t="shared" ref="AN15:AN18" si="35">Y15</f>
        <v>0</v>
      </c>
      <c r="AO15" s="110">
        <f t="shared" ref="AO15:AO18" si="36">AA15</f>
        <v>0</v>
      </c>
      <c r="AP15" s="110">
        <f t="shared" ref="AP15:AP18" si="37">AC15</f>
        <v>0</v>
      </c>
      <c r="AQ15" s="110">
        <f t="shared" ref="AQ15:AQ18" si="38">AE15</f>
        <v>0</v>
      </c>
      <c r="AR15" s="69">
        <f t="shared" ref="AR15:AR18" si="39">SUM(AL15:AQ15)</f>
        <v>1</v>
      </c>
      <c r="AT15" s="110">
        <f t="shared" ref="AT15" si="40">AL15/AL$2</f>
        <v>0</v>
      </c>
      <c r="AU15" s="110">
        <f t="shared" si="19"/>
        <v>0.12820512820512819</v>
      </c>
      <c r="AV15" s="110">
        <f t="shared" si="20"/>
        <v>0</v>
      </c>
      <c r="AW15" s="110">
        <f t="shared" si="21"/>
        <v>0</v>
      </c>
      <c r="AX15" s="110">
        <f t="shared" si="22"/>
        <v>0</v>
      </c>
      <c r="AY15" s="110">
        <f t="shared" si="23"/>
        <v>0</v>
      </c>
      <c r="AZ15" s="110">
        <f t="shared" si="24"/>
        <v>6.6666666666666666E-2</v>
      </c>
    </row>
    <row r="16" spans="2:52" x14ac:dyDescent="0.35">
      <c r="T16" s="118" t="s">
        <v>378</v>
      </c>
      <c r="U16" s="118"/>
      <c r="V16" s="118">
        <f t="shared" si="25"/>
        <v>0</v>
      </c>
      <c r="W16" s="179">
        <v>1</v>
      </c>
      <c r="X16" s="135">
        <f t="shared" si="26"/>
        <v>20966.591006877235</v>
      </c>
      <c r="Y16" s="118"/>
      <c r="Z16" s="118">
        <f t="shared" si="27"/>
        <v>0</v>
      </c>
      <c r="AA16" s="118"/>
      <c r="AB16" s="118">
        <f t="shared" si="28"/>
        <v>0</v>
      </c>
      <c r="AC16" s="118"/>
      <c r="AD16" s="118">
        <f t="shared" si="29"/>
        <v>0</v>
      </c>
      <c r="AE16" s="118"/>
      <c r="AF16" s="118">
        <f t="shared" si="30"/>
        <v>0</v>
      </c>
      <c r="AG16" s="123">
        <f t="shared" si="31"/>
        <v>1</v>
      </c>
      <c r="AH16" s="168">
        <f t="shared" si="31"/>
        <v>20966.591006877235</v>
      </c>
      <c r="AI16" s="131">
        <f t="shared" si="32"/>
        <v>31535000</v>
      </c>
      <c r="AJ16" s="131">
        <f>AJ7+30</f>
        <v>1190</v>
      </c>
      <c r="AL16" s="69">
        <f t="shared" si="33"/>
        <v>0</v>
      </c>
      <c r="AM16" s="69">
        <f t="shared" si="34"/>
        <v>1</v>
      </c>
      <c r="AN16" s="110">
        <f t="shared" si="35"/>
        <v>0</v>
      </c>
      <c r="AO16" s="110">
        <f t="shared" si="36"/>
        <v>0</v>
      </c>
      <c r="AP16" s="110">
        <f t="shared" si="37"/>
        <v>0</v>
      </c>
      <c r="AQ16" s="110">
        <f t="shared" si="38"/>
        <v>0</v>
      </c>
      <c r="AR16" s="69">
        <f t="shared" si="39"/>
        <v>1</v>
      </c>
      <c r="AT16" s="110">
        <f t="shared" ref="AT16:AT18" si="41">AL16/AL$2</f>
        <v>0</v>
      </c>
      <c r="AU16" s="110">
        <f t="shared" ref="AU16:AU18" si="42">AM16/AM$2</f>
        <v>0.12820512820512819</v>
      </c>
      <c r="AV16" s="110">
        <f t="shared" ref="AV16:AV18" si="43">AN16/AN$2</f>
        <v>0</v>
      </c>
      <c r="AW16" s="110">
        <f t="shared" ref="AW16:AW18" si="44">AO16/AO$2</f>
        <v>0</v>
      </c>
      <c r="AX16" s="110">
        <f t="shared" ref="AX16:AX18" si="45">AP16/AP$2</f>
        <v>0</v>
      </c>
      <c r="AY16" s="110">
        <f t="shared" ref="AY16:AY18" si="46">AQ16/AQ$2</f>
        <v>0</v>
      </c>
      <c r="AZ16" s="110">
        <f t="shared" ref="AZ16:AZ18" si="47">AR16/AR$2</f>
        <v>6.6666666666666666E-2</v>
      </c>
    </row>
    <row r="17" spans="20:52" x14ac:dyDescent="0.35">
      <c r="T17" s="118" t="s">
        <v>379</v>
      </c>
      <c r="U17" s="118"/>
      <c r="V17" s="118">
        <f t="shared" si="25"/>
        <v>0</v>
      </c>
      <c r="W17" s="179">
        <v>1</v>
      </c>
      <c r="X17" s="135">
        <f t="shared" si="26"/>
        <v>20966.591006877235</v>
      </c>
      <c r="Y17" s="118"/>
      <c r="Z17" s="118">
        <f t="shared" si="27"/>
        <v>0</v>
      </c>
      <c r="AA17" s="118"/>
      <c r="AB17" s="118">
        <f t="shared" si="28"/>
        <v>0</v>
      </c>
      <c r="AC17" s="118"/>
      <c r="AD17" s="118">
        <f t="shared" si="29"/>
        <v>0</v>
      </c>
      <c r="AE17" s="118"/>
      <c r="AF17" s="118">
        <f t="shared" si="30"/>
        <v>0</v>
      </c>
      <c r="AG17" s="123">
        <f t="shared" si="31"/>
        <v>1</v>
      </c>
      <c r="AH17" s="168">
        <f t="shared" si="31"/>
        <v>20966.591006877235</v>
      </c>
      <c r="AI17" s="131">
        <f t="shared" si="32"/>
        <v>33125000</v>
      </c>
      <c r="AJ17" s="131">
        <f>AJ7+90</f>
        <v>1250</v>
      </c>
      <c r="AL17" s="69">
        <f t="shared" si="33"/>
        <v>0</v>
      </c>
      <c r="AM17" s="69">
        <f t="shared" si="34"/>
        <v>1</v>
      </c>
      <c r="AN17" s="110">
        <f t="shared" si="35"/>
        <v>0</v>
      </c>
      <c r="AO17" s="110">
        <f t="shared" si="36"/>
        <v>0</v>
      </c>
      <c r="AP17" s="110">
        <f t="shared" si="37"/>
        <v>0</v>
      </c>
      <c r="AQ17" s="110">
        <f t="shared" si="38"/>
        <v>0</v>
      </c>
      <c r="AR17" s="69">
        <f t="shared" si="39"/>
        <v>1</v>
      </c>
      <c r="AT17" s="110">
        <f t="shared" si="41"/>
        <v>0</v>
      </c>
      <c r="AU17" s="110">
        <f t="shared" si="42"/>
        <v>0.12820512820512819</v>
      </c>
      <c r="AV17" s="110">
        <f t="shared" si="43"/>
        <v>0</v>
      </c>
      <c r="AW17" s="110">
        <f t="shared" si="44"/>
        <v>0</v>
      </c>
      <c r="AX17" s="110">
        <f t="shared" si="45"/>
        <v>0</v>
      </c>
      <c r="AY17" s="110">
        <f t="shared" si="46"/>
        <v>0</v>
      </c>
      <c r="AZ17" s="110">
        <f t="shared" si="47"/>
        <v>6.6666666666666666E-2</v>
      </c>
    </row>
    <row r="18" spans="20:52" x14ac:dyDescent="0.35">
      <c r="T18" s="118" t="s">
        <v>380</v>
      </c>
      <c r="U18" s="118"/>
      <c r="V18" s="118">
        <f t="shared" si="25"/>
        <v>0</v>
      </c>
      <c r="W18" s="179">
        <v>1</v>
      </c>
      <c r="X18" s="135">
        <f t="shared" si="26"/>
        <v>20966.591006877235</v>
      </c>
      <c r="Y18" s="118"/>
      <c r="Z18" s="118">
        <f t="shared" si="27"/>
        <v>0</v>
      </c>
      <c r="AA18" s="118"/>
      <c r="AB18" s="118">
        <f t="shared" si="28"/>
        <v>0</v>
      </c>
      <c r="AC18" s="118"/>
      <c r="AD18" s="118">
        <f t="shared" si="29"/>
        <v>0</v>
      </c>
      <c r="AE18" s="118"/>
      <c r="AF18" s="118">
        <f t="shared" si="30"/>
        <v>0</v>
      </c>
      <c r="AG18" s="123">
        <f t="shared" si="31"/>
        <v>1</v>
      </c>
      <c r="AH18" s="168">
        <f t="shared" si="31"/>
        <v>20966.591006877235</v>
      </c>
      <c r="AI18" s="131">
        <f t="shared" si="32"/>
        <v>29945000</v>
      </c>
      <c r="AJ18" s="131">
        <f>AJ7-30</f>
        <v>1130</v>
      </c>
      <c r="AL18" s="69">
        <f t="shared" si="33"/>
        <v>0</v>
      </c>
      <c r="AM18" s="69">
        <f t="shared" si="34"/>
        <v>1</v>
      </c>
      <c r="AN18" s="110">
        <f t="shared" si="35"/>
        <v>0</v>
      </c>
      <c r="AO18" s="110">
        <f t="shared" si="36"/>
        <v>0</v>
      </c>
      <c r="AP18" s="110">
        <f t="shared" si="37"/>
        <v>0</v>
      </c>
      <c r="AQ18" s="110">
        <f t="shared" si="38"/>
        <v>0</v>
      </c>
      <c r="AR18" s="69">
        <f t="shared" si="39"/>
        <v>1</v>
      </c>
      <c r="AT18" s="110">
        <f t="shared" si="41"/>
        <v>0</v>
      </c>
      <c r="AU18" s="110">
        <f t="shared" si="42"/>
        <v>0.12820512820512819</v>
      </c>
      <c r="AV18" s="110">
        <f t="shared" si="43"/>
        <v>0</v>
      </c>
      <c r="AW18" s="110">
        <f t="shared" si="44"/>
        <v>0</v>
      </c>
      <c r="AX18" s="110">
        <f t="shared" si="45"/>
        <v>0</v>
      </c>
      <c r="AY18" s="110">
        <f t="shared" si="46"/>
        <v>0</v>
      </c>
      <c r="AZ18" s="110">
        <f t="shared" si="47"/>
        <v>6.6666666666666666E-2</v>
      </c>
    </row>
    <row r="24" spans="20:52" x14ac:dyDescent="0.35">
      <c r="T24" s="120" t="s">
        <v>388</v>
      </c>
      <c r="AG24" s="127">
        <v>0.05</v>
      </c>
      <c r="AL24" s="189">
        <f>SUM(AL25:AL29)</f>
        <v>2.15</v>
      </c>
      <c r="AM24" s="189">
        <f t="shared" ref="AM24:AR24" si="48">SUM(AM25:AM29)</f>
        <v>1.75</v>
      </c>
      <c r="AN24" s="189">
        <f t="shared" si="48"/>
        <v>0.25</v>
      </c>
      <c r="AO24" s="189">
        <f t="shared" si="48"/>
        <v>0.75</v>
      </c>
      <c r="AP24" s="189">
        <f t="shared" si="48"/>
        <v>0.1</v>
      </c>
      <c r="AQ24" s="189">
        <f t="shared" si="48"/>
        <v>0</v>
      </c>
      <c r="AR24" s="189">
        <f t="shared" si="48"/>
        <v>5</v>
      </c>
      <c r="AT24" s="189">
        <f>AL24/AL$2</f>
        <v>0.45744680851063835</v>
      </c>
      <c r="AU24" s="189">
        <f t="shared" ref="AU24:AU26" si="49">AM24/AM$2</f>
        <v>0.22435897435897434</v>
      </c>
      <c r="AV24" s="189">
        <f t="shared" ref="AV24:AV26" si="50">AN24/AN$2</f>
        <v>0.625</v>
      </c>
      <c r="AW24" s="189">
        <f t="shared" ref="AW24:AW26" si="51">AO24/AO$2</f>
        <v>0.75</v>
      </c>
      <c r="AX24" s="189">
        <f t="shared" ref="AX24:AX26" si="52">AP24/AP$2</f>
        <v>1</v>
      </c>
      <c r="AY24" s="189">
        <f t="shared" ref="AY24:AY26" si="53">AQ24/AQ$2</f>
        <v>0</v>
      </c>
      <c r="AZ24" s="189">
        <f t="shared" ref="AZ24:AZ26" si="54">AR24/AR$2</f>
        <v>0.33333333333333331</v>
      </c>
    </row>
    <row r="25" spans="20:52" x14ac:dyDescent="0.35">
      <c r="T25" s="118" t="s">
        <v>368</v>
      </c>
      <c r="U25" s="118"/>
      <c r="V25" s="135">
        <f t="shared" ref="V25:V29" si="55">U25*$U$3</f>
        <v>0</v>
      </c>
      <c r="W25" s="119">
        <v>0.9</v>
      </c>
      <c r="X25" s="135">
        <f t="shared" ref="X25:X29" si="56">W25*$W$3</f>
        <v>18869.931906189511</v>
      </c>
      <c r="Y25" s="119">
        <v>0.1</v>
      </c>
      <c r="Z25" s="135">
        <f t="shared" ref="Z25:Z29" si="57">Y25*$Y$3</f>
        <v>1821.6643304481076</v>
      </c>
      <c r="AA25" s="118"/>
      <c r="AB25" s="135">
        <f t="shared" ref="AB25:AB29" si="58">AA25*$AA$3</f>
        <v>0</v>
      </c>
      <c r="AC25" s="118"/>
      <c r="AD25" s="135">
        <f t="shared" ref="AD25:AD29" si="59">AC25*$AC$3</f>
        <v>0</v>
      </c>
      <c r="AE25" s="118"/>
      <c r="AF25" s="118">
        <f t="shared" ref="AF25:AF29" si="60">AE25*$AE$3</f>
        <v>0</v>
      </c>
      <c r="AG25" s="123">
        <f t="shared" ref="AG25:AH29" si="61">U25+W25+Y25+AA25+AC25+AE25</f>
        <v>1</v>
      </c>
      <c r="AH25" s="168">
        <f t="shared" si="61"/>
        <v>20691.596236637619</v>
      </c>
      <c r="AI25" s="131">
        <f t="shared" ref="AI25:AI29" si="62">$AI$4*AJ25</f>
        <v>30740000</v>
      </c>
      <c r="AJ25" s="131">
        <f>AJ7</f>
        <v>1160</v>
      </c>
      <c r="AL25" s="69">
        <f t="shared" ref="AL25:AL29" si="63">U25</f>
        <v>0</v>
      </c>
      <c r="AM25" s="69">
        <f t="shared" ref="AM25:AM29" si="64">W25</f>
        <v>0.9</v>
      </c>
      <c r="AN25" s="110">
        <f t="shared" ref="AN25:AN29" si="65">Y25</f>
        <v>0.1</v>
      </c>
      <c r="AO25" s="110">
        <f t="shared" ref="AO25:AO29" si="66">AA25</f>
        <v>0</v>
      </c>
      <c r="AP25" s="110">
        <f t="shared" ref="AP25:AP29" si="67">AC25</f>
        <v>0</v>
      </c>
      <c r="AQ25" s="110">
        <f t="shared" ref="AQ25:AQ29" si="68">AE25</f>
        <v>0</v>
      </c>
      <c r="AR25" s="69">
        <f>SUM(AL25:AQ25)</f>
        <v>1</v>
      </c>
      <c r="AT25" s="110">
        <f t="shared" ref="AT25:AT26" si="69">AL25/AL$2</f>
        <v>0</v>
      </c>
      <c r="AU25" s="110">
        <f t="shared" si="49"/>
        <v>0.11538461538461538</v>
      </c>
      <c r="AV25" s="110">
        <f t="shared" si="50"/>
        <v>0.25</v>
      </c>
      <c r="AW25" s="110">
        <f t="shared" si="51"/>
        <v>0</v>
      </c>
      <c r="AX25" s="110">
        <f t="shared" si="52"/>
        <v>0</v>
      </c>
      <c r="AY25" s="110">
        <f t="shared" si="53"/>
        <v>0</v>
      </c>
      <c r="AZ25" s="110">
        <f t="shared" si="54"/>
        <v>6.6666666666666666E-2</v>
      </c>
    </row>
    <row r="26" spans="20:52" x14ac:dyDescent="0.35">
      <c r="T26" s="118" t="s">
        <v>370</v>
      </c>
      <c r="U26" s="119">
        <v>0.55000000000000004</v>
      </c>
      <c r="V26" s="135">
        <f t="shared" si="55"/>
        <v>10019.153817464592</v>
      </c>
      <c r="W26" s="119">
        <v>0.3</v>
      </c>
      <c r="X26" s="135">
        <f t="shared" si="56"/>
        <v>6289.9773020631701</v>
      </c>
      <c r="Y26" s="119">
        <v>0.15</v>
      </c>
      <c r="Z26" s="135">
        <f t="shared" si="57"/>
        <v>2732.4964956721615</v>
      </c>
      <c r="AA26" s="118"/>
      <c r="AB26" s="135">
        <f t="shared" si="58"/>
        <v>0</v>
      </c>
      <c r="AC26" s="118"/>
      <c r="AD26" s="135">
        <f t="shared" si="59"/>
        <v>0</v>
      </c>
      <c r="AE26" s="118"/>
      <c r="AF26" s="118">
        <f t="shared" si="60"/>
        <v>0</v>
      </c>
      <c r="AG26" s="123">
        <f t="shared" si="61"/>
        <v>1</v>
      </c>
      <c r="AH26" s="168">
        <f t="shared" si="61"/>
        <v>19041.627615199926</v>
      </c>
      <c r="AI26" s="131">
        <f t="shared" si="62"/>
        <v>28885000</v>
      </c>
      <c r="AJ26" s="131">
        <f>AJ7-70</f>
        <v>1090</v>
      </c>
      <c r="AL26" s="69">
        <f t="shared" si="63"/>
        <v>0.55000000000000004</v>
      </c>
      <c r="AM26" s="69">
        <f t="shared" si="64"/>
        <v>0.3</v>
      </c>
      <c r="AN26" s="110">
        <f t="shared" si="65"/>
        <v>0.15</v>
      </c>
      <c r="AO26" s="110">
        <f t="shared" si="66"/>
        <v>0</v>
      </c>
      <c r="AP26" s="110">
        <f t="shared" si="67"/>
        <v>0</v>
      </c>
      <c r="AQ26" s="110">
        <f t="shared" si="68"/>
        <v>0</v>
      </c>
      <c r="AR26" s="69">
        <f t="shared" ref="AR26:AR29" si="70">SUM(AL26:AQ26)</f>
        <v>1</v>
      </c>
      <c r="AT26" s="110">
        <f t="shared" si="69"/>
        <v>0.11702127659574471</v>
      </c>
      <c r="AU26" s="110">
        <f t="shared" si="49"/>
        <v>3.8461538461538457E-2</v>
      </c>
      <c r="AV26" s="110">
        <f t="shared" si="50"/>
        <v>0.37499999999999994</v>
      </c>
      <c r="AW26" s="110">
        <f t="shared" si="51"/>
        <v>0</v>
      </c>
      <c r="AX26" s="110">
        <f t="shared" si="52"/>
        <v>0</v>
      </c>
      <c r="AY26" s="110">
        <f t="shared" si="53"/>
        <v>0</v>
      </c>
      <c r="AZ26" s="110">
        <f t="shared" si="54"/>
        <v>6.6666666666666666E-2</v>
      </c>
    </row>
    <row r="27" spans="20:52" x14ac:dyDescent="0.35">
      <c r="T27" s="118" t="s">
        <v>386</v>
      </c>
      <c r="U27" s="118"/>
      <c r="V27" s="135">
        <f t="shared" si="55"/>
        <v>0</v>
      </c>
      <c r="W27" s="119">
        <v>0.4</v>
      </c>
      <c r="X27" s="135">
        <f t="shared" si="56"/>
        <v>8386.6364027508953</v>
      </c>
      <c r="Y27" s="118"/>
      <c r="Z27" s="135">
        <f t="shared" si="57"/>
        <v>0</v>
      </c>
      <c r="AA27" s="119">
        <v>0.5</v>
      </c>
      <c r="AB27" s="135">
        <f t="shared" si="58"/>
        <v>8458.417283150744</v>
      </c>
      <c r="AC27" s="119">
        <v>0.1</v>
      </c>
      <c r="AD27" s="135">
        <f t="shared" si="59"/>
        <v>1434.1250211551117</v>
      </c>
      <c r="AE27" s="118"/>
      <c r="AF27" s="118">
        <f t="shared" si="60"/>
        <v>0</v>
      </c>
      <c r="AG27" s="123">
        <f t="shared" si="61"/>
        <v>1</v>
      </c>
      <c r="AH27" s="168">
        <f t="shared" si="61"/>
        <v>18279.178707056752</v>
      </c>
      <c r="AI27" s="131">
        <f t="shared" si="62"/>
        <v>30740000</v>
      </c>
      <c r="AJ27" s="131">
        <f>AJ7</f>
        <v>1160</v>
      </c>
      <c r="AL27" s="69">
        <f t="shared" si="63"/>
        <v>0</v>
      </c>
      <c r="AM27" s="69">
        <f t="shared" si="64"/>
        <v>0.4</v>
      </c>
      <c r="AN27" s="110">
        <f t="shared" si="65"/>
        <v>0</v>
      </c>
      <c r="AO27" s="110">
        <f t="shared" si="66"/>
        <v>0.5</v>
      </c>
      <c r="AP27" s="110">
        <f t="shared" si="67"/>
        <v>0.1</v>
      </c>
      <c r="AQ27" s="110">
        <f t="shared" si="68"/>
        <v>0</v>
      </c>
      <c r="AR27" s="69">
        <f t="shared" si="70"/>
        <v>1</v>
      </c>
      <c r="AT27" s="110">
        <f t="shared" ref="AT27:AT29" si="71">AL27/AL$2</f>
        <v>0</v>
      </c>
      <c r="AU27" s="110">
        <f t="shared" ref="AU27:AU29" si="72">AM27/AM$2</f>
        <v>5.128205128205128E-2</v>
      </c>
      <c r="AV27" s="110">
        <f t="shared" ref="AV27:AV29" si="73">AN27/AN$2</f>
        <v>0</v>
      </c>
      <c r="AW27" s="110">
        <f t="shared" ref="AW27:AW29" si="74">AO27/AO$2</f>
        <v>0.5</v>
      </c>
      <c r="AX27" s="110">
        <f t="shared" ref="AX27:AX29" si="75">AP27/AP$2</f>
        <v>1</v>
      </c>
      <c r="AY27" s="110">
        <f t="shared" ref="AY27:AY29" si="76">AQ27/AQ$2</f>
        <v>0</v>
      </c>
      <c r="AZ27" s="110">
        <f t="shared" ref="AZ27:AZ29" si="77">AR27/AR$2</f>
        <v>6.6666666666666666E-2</v>
      </c>
    </row>
    <row r="28" spans="20:52" x14ac:dyDescent="0.35">
      <c r="T28" s="118" t="s">
        <v>371</v>
      </c>
      <c r="U28" s="119">
        <v>0.95</v>
      </c>
      <c r="V28" s="135">
        <f t="shared" si="55"/>
        <v>17305.811139257021</v>
      </c>
      <c r="W28" s="118"/>
      <c r="X28" s="135">
        <f t="shared" si="56"/>
        <v>0</v>
      </c>
      <c r="Y28" s="118"/>
      <c r="Z28" s="135">
        <f t="shared" si="57"/>
        <v>0</v>
      </c>
      <c r="AA28" s="119">
        <v>0.05</v>
      </c>
      <c r="AB28" s="135">
        <f t="shared" si="58"/>
        <v>845.84172831507442</v>
      </c>
      <c r="AC28" s="118"/>
      <c r="AD28" s="135">
        <f t="shared" si="59"/>
        <v>0</v>
      </c>
      <c r="AE28" s="118"/>
      <c r="AF28" s="118">
        <f t="shared" si="60"/>
        <v>0</v>
      </c>
      <c r="AG28" s="123">
        <f t="shared" si="61"/>
        <v>1</v>
      </c>
      <c r="AH28" s="168">
        <f t="shared" si="61"/>
        <v>18151.652867572095</v>
      </c>
      <c r="AI28" s="131">
        <f t="shared" si="62"/>
        <v>19080000</v>
      </c>
      <c r="AJ28" s="131">
        <f>AJ10</f>
        <v>720</v>
      </c>
      <c r="AL28" s="69">
        <f t="shared" si="63"/>
        <v>0.95</v>
      </c>
      <c r="AM28" s="69">
        <f t="shared" si="64"/>
        <v>0</v>
      </c>
      <c r="AN28" s="110">
        <f t="shared" si="65"/>
        <v>0</v>
      </c>
      <c r="AO28" s="110">
        <f t="shared" si="66"/>
        <v>0.05</v>
      </c>
      <c r="AP28" s="110">
        <f t="shared" si="67"/>
        <v>0</v>
      </c>
      <c r="AQ28" s="110">
        <f t="shared" si="68"/>
        <v>0</v>
      </c>
      <c r="AR28" s="69">
        <f t="shared" si="70"/>
        <v>1</v>
      </c>
      <c r="AT28" s="110">
        <f t="shared" si="71"/>
        <v>0.2021276595744681</v>
      </c>
      <c r="AU28" s="110">
        <f t="shared" si="72"/>
        <v>0</v>
      </c>
      <c r="AV28" s="110">
        <f t="shared" si="73"/>
        <v>0</v>
      </c>
      <c r="AW28" s="110">
        <f t="shared" si="74"/>
        <v>0.05</v>
      </c>
      <c r="AX28" s="110">
        <f t="shared" si="75"/>
        <v>0</v>
      </c>
      <c r="AY28" s="110">
        <f t="shared" si="76"/>
        <v>0</v>
      </c>
      <c r="AZ28" s="110">
        <f t="shared" si="77"/>
        <v>6.6666666666666666E-2</v>
      </c>
    </row>
    <row r="29" spans="20:52" x14ac:dyDescent="0.35">
      <c r="T29" s="118" t="s">
        <v>373</v>
      </c>
      <c r="U29" s="119">
        <v>0.65</v>
      </c>
      <c r="V29" s="135">
        <f t="shared" si="55"/>
        <v>11840.8181479127</v>
      </c>
      <c r="W29" s="119">
        <v>0.15</v>
      </c>
      <c r="X29" s="135">
        <f t="shared" si="56"/>
        <v>3144.9886510315851</v>
      </c>
      <c r="Y29" s="118"/>
      <c r="Z29" s="135">
        <f t="shared" si="57"/>
        <v>0</v>
      </c>
      <c r="AA29" s="119">
        <v>0.2</v>
      </c>
      <c r="AB29" s="135">
        <f t="shared" si="58"/>
        <v>3383.3669132602977</v>
      </c>
      <c r="AC29" s="118"/>
      <c r="AD29" s="135">
        <f t="shared" si="59"/>
        <v>0</v>
      </c>
      <c r="AE29" s="118"/>
      <c r="AF29" s="118">
        <f t="shared" si="60"/>
        <v>0</v>
      </c>
      <c r="AG29" s="123">
        <f t="shared" si="61"/>
        <v>1</v>
      </c>
      <c r="AH29" s="168">
        <f t="shared" si="61"/>
        <v>18369.173712204582</v>
      </c>
      <c r="AI29" s="131">
        <f t="shared" si="62"/>
        <v>0</v>
      </c>
      <c r="AL29" s="69">
        <f t="shared" si="63"/>
        <v>0.65</v>
      </c>
      <c r="AM29" s="69">
        <f t="shared" si="64"/>
        <v>0.15</v>
      </c>
      <c r="AN29" s="110">
        <f t="shared" si="65"/>
        <v>0</v>
      </c>
      <c r="AO29" s="110">
        <f t="shared" si="66"/>
        <v>0.2</v>
      </c>
      <c r="AP29" s="110">
        <f t="shared" si="67"/>
        <v>0</v>
      </c>
      <c r="AQ29" s="110">
        <f t="shared" si="68"/>
        <v>0</v>
      </c>
      <c r="AR29" s="69">
        <f t="shared" si="70"/>
        <v>1</v>
      </c>
      <c r="AT29" s="110">
        <f t="shared" si="71"/>
        <v>0.13829787234042556</v>
      </c>
      <c r="AU29" s="110">
        <f t="shared" si="72"/>
        <v>1.9230769230769228E-2</v>
      </c>
      <c r="AV29" s="110">
        <f t="shared" si="73"/>
        <v>0</v>
      </c>
      <c r="AW29" s="110">
        <f t="shared" si="74"/>
        <v>0.2</v>
      </c>
      <c r="AX29" s="110">
        <f t="shared" si="75"/>
        <v>0</v>
      </c>
      <c r="AY29" s="110">
        <f t="shared" si="76"/>
        <v>0</v>
      </c>
      <c r="AZ29" s="110">
        <f t="shared" si="77"/>
        <v>6.6666666666666666E-2</v>
      </c>
    </row>
    <row r="32" spans="20:52" x14ac:dyDescent="0.35">
      <c r="T32" s="120" t="s">
        <v>389</v>
      </c>
      <c r="AG32" s="127">
        <v>0.02</v>
      </c>
    </row>
    <row r="33" spans="20:52" x14ac:dyDescent="0.35">
      <c r="T33" s="118" t="s">
        <v>381</v>
      </c>
      <c r="U33" s="118"/>
      <c r="V33" s="118">
        <f t="shared" ref="V33" si="78">U33*$U$3</f>
        <v>0</v>
      </c>
      <c r="W33" s="118"/>
      <c r="X33" s="118">
        <f>W33*$W$3</f>
        <v>0</v>
      </c>
      <c r="Y33" s="118"/>
      <c r="Z33" s="118">
        <f>Y33*$Y$3</f>
        <v>0</v>
      </c>
      <c r="AA33" s="118"/>
      <c r="AB33" s="118"/>
      <c r="AC33" s="118"/>
      <c r="AD33" s="118">
        <f t="shared" ref="AD33" si="79">AC33*$AC$3</f>
        <v>0</v>
      </c>
      <c r="AE33" s="119">
        <v>1</v>
      </c>
      <c r="AF33" s="135">
        <f>AE33*$AE$3</f>
        <v>16505.154167896559</v>
      </c>
      <c r="AG33" s="123">
        <f>U33+W33+Y33+AA33+AC33+AE33</f>
        <v>1</v>
      </c>
      <c r="AH33" s="168">
        <f>V33+X33+Z33+AB33+AD33+AF33</f>
        <v>16505.154167896559</v>
      </c>
      <c r="AI33" s="131">
        <f>$AI$4*AJ33</f>
        <v>19000500</v>
      </c>
      <c r="AJ33">
        <v>717</v>
      </c>
      <c r="AL33" s="189">
        <f t="shared" ref="AL33" si="80">U33</f>
        <v>0</v>
      </c>
      <c r="AM33" s="189">
        <f t="shared" ref="AM33" si="81">W33</f>
        <v>0</v>
      </c>
      <c r="AN33" s="189">
        <f t="shared" ref="AN33" si="82">Y33</f>
        <v>0</v>
      </c>
      <c r="AO33" s="189">
        <f t="shared" ref="AO33" si="83">AA33</f>
        <v>0</v>
      </c>
      <c r="AP33" s="189">
        <f t="shared" ref="AP33" si="84">AC33</f>
        <v>0</v>
      </c>
      <c r="AQ33" s="189">
        <f t="shared" ref="AQ33" si="85">AE33</f>
        <v>1</v>
      </c>
      <c r="AR33" s="189">
        <f t="shared" ref="AR33" si="86">SUM(AL33:AQ33)</f>
        <v>1</v>
      </c>
      <c r="AT33" s="189">
        <f>AL33/AL$2</f>
        <v>0</v>
      </c>
      <c r="AU33" s="189">
        <f t="shared" ref="AU33" si="87">AM33/AM$2</f>
        <v>0</v>
      </c>
      <c r="AV33" s="189">
        <f t="shared" ref="AV33" si="88">AN33/AN$2</f>
        <v>0</v>
      </c>
      <c r="AW33" s="189">
        <f t="shared" ref="AW33" si="89">AO33/AO$2</f>
        <v>0</v>
      </c>
      <c r="AX33" s="189">
        <f t="shared" ref="AX33" si="90">AP33/AP$2</f>
        <v>0</v>
      </c>
      <c r="AY33" s="189">
        <f t="shared" ref="AY33" si="91">AQ33/AQ$2</f>
        <v>1</v>
      </c>
      <c r="AZ33" s="189">
        <f t="shared" ref="AZ33" si="92">AR33/AR$2</f>
        <v>6.6666666666666666E-2</v>
      </c>
    </row>
    <row r="34" spans="20:52" x14ac:dyDescent="0.35">
      <c r="AT34" s="110"/>
      <c r="AU34" s="110"/>
      <c r="AV34" s="110"/>
      <c r="AW34" s="110"/>
      <c r="AX34" s="110"/>
      <c r="AY34" s="110"/>
      <c r="AZ34" s="110"/>
    </row>
    <row r="35" spans="20:52" x14ac:dyDescent="0.35">
      <c r="AE35" s="109">
        <f>'Giá mua Chai-Vảy'!O40</f>
        <v>8000</v>
      </c>
      <c r="AH35" s="134"/>
      <c r="AI35" s="134"/>
      <c r="AJ35" s="134"/>
      <c r="AK35" s="134"/>
      <c r="AL35" s="122"/>
      <c r="AM35" s="122"/>
      <c r="AN35" s="122"/>
      <c r="AO35" s="134"/>
      <c r="AT35" s="110"/>
      <c r="AU35" s="110"/>
      <c r="AV35" s="110"/>
      <c r="AW35" s="110"/>
      <c r="AX35" s="110"/>
      <c r="AY35" s="110"/>
      <c r="AZ35" s="110"/>
    </row>
    <row r="36" spans="20:52" x14ac:dyDescent="0.35">
      <c r="T36" s="120" t="s">
        <v>447</v>
      </c>
      <c r="AG36" s="127">
        <v>0.01</v>
      </c>
      <c r="AK36" s="134"/>
      <c r="AL36" s="122"/>
      <c r="AM36" s="122"/>
      <c r="AN36" s="122"/>
      <c r="AO36" s="134"/>
    </row>
    <row r="37" spans="20:52" x14ac:dyDescent="0.35">
      <c r="T37" s="118" t="s">
        <v>477</v>
      </c>
      <c r="U37" s="118"/>
      <c r="V37" s="118">
        <f t="shared" ref="V37" si="93">U37*$U$3</f>
        <v>0</v>
      </c>
      <c r="W37" s="118"/>
      <c r="X37" s="118">
        <f>W37*$W$3</f>
        <v>0</v>
      </c>
      <c r="Y37" s="118"/>
      <c r="Z37" s="118">
        <f>Y37*$Y$3</f>
        <v>0</v>
      </c>
      <c r="AA37" s="118"/>
      <c r="AB37" s="118"/>
      <c r="AC37" s="118"/>
      <c r="AD37" s="118">
        <f t="shared" ref="AD37" si="94">AC37*$AC$3</f>
        <v>0</v>
      </c>
      <c r="AE37" s="119">
        <v>1</v>
      </c>
      <c r="AF37" s="135">
        <f>AE37*$AE$35</f>
        <v>8000</v>
      </c>
      <c r="AG37" s="123">
        <f>U37+W37+Y37+AA37+AC37+AE37</f>
        <v>1</v>
      </c>
      <c r="AH37" s="178">
        <f>V37+X37+Z37+AB37+AD37+AF37</f>
        <v>8000</v>
      </c>
      <c r="AI37" s="131">
        <f>$AI$4*AJ37</f>
        <v>19500000</v>
      </c>
      <c r="AJ37" s="195">
        <f>19500000/26500</f>
        <v>735.84905660377353</v>
      </c>
      <c r="AK37" s="176">
        <f>AK$1+$W$2</f>
        <v>17636.977515423063</v>
      </c>
      <c r="AL37" s="209">
        <f t="shared" ref="AL37" si="95">AL$1+AK37*$AK$2+AJ37*$AJ$2</f>
        <v>0.3133333333333333</v>
      </c>
      <c r="AM37" s="209">
        <f t="shared" ref="AM37" si="96">AL37+$AM$1</f>
        <v>0.83333333333333326</v>
      </c>
      <c r="AN37" s="209">
        <f t="shared" ref="AN37" si="97">AL37+$AN$1</f>
        <v>0.33999999999999997</v>
      </c>
      <c r="AO37" s="210">
        <f t="shared" ref="AO37" si="98">AM37</f>
        <v>0.83333333333333326</v>
      </c>
      <c r="AP37" s="110">
        <f t="shared" ref="AP37" si="99">$AP$4*AQ37/1000</f>
        <v>0</v>
      </c>
      <c r="AQ37" s="189">
        <f t="shared" ref="AQ37" si="100">AE37</f>
        <v>1</v>
      </c>
      <c r="AR37" s="189">
        <f t="shared" ref="AR37" si="101">SUM(AL37:AQ37)</f>
        <v>3.3199999999999994</v>
      </c>
      <c r="AT37" s="189"/>
      <c r="AU37" s="189"/>
      <c r="AV37" s="189"/>
      <c r="AW37" s="189"/>
      <c r="AX37" s="189"/>
      <c r="AY37" s="189"/>
      <c r="AZ37" s="189"/>
    </row>
    <row r="38" spans="20:52" x14ac:dyDescent="0.35">
      <c r="AT38" s="110"/>
      <c r="AU38" s="110"/>
      <c r="AV38" s="110"/>
      <c r="AW38" s="110"/>
      <c r="AX38" s="110"/>
      <c r="AY38" s="110"/>
      <c r="AZ38" s="110"/>
    </row>
    <row r="39" spans="20:52" x14ac:dyDescent="0.35">
      <c r="AT39" s="110"/>
      <c r="AU39" s="110"/>
      <c r="AV39" s="110"/>
      <c r="AW39" s="110"/>
      <c r="AX39" s="110"/>
      <c r="AY39" s="110"/>
      <c r="AZ39" s="110"/>
    </row>
  </sheetData>
  <hyperlinks>
    <hyperlink ref="AA11" r:id="rId1" display="20@" xr:uid="{77473BA7-F275-4D4A-A0FB-9D171488B57D}"/>
  </hyperlinks>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DEAD-C462-4E75-8752-52644E4CB25F}">
  <sheetPr>
    <tabColor rgb="FFFF0000"/>
  </sheetPr>
  <dimension ref="B1:AP37"/>
  <sheetViews>
    <sheetView topLeftCell="D1" zoomScale="85" zoomScaleNormal="85" workbookViewId="0">
      <pane xSplit="17" topLeftCell="U1" activePane="topRight" state="frozen"/>
      <selection activeCell="S1" sqref="S1"/>
      <selection pane="topRight" activeCell="AE3" sqref="AE3"/>
    </sheetView>
  </sheetViews>
  <sheetFormatPr defaultRowHeight="14.5" outlineLevelCol="1" x14ac:dyDescent="0.35"/>
  <cols>
    <col min="1" max="1" width="3.36328125" customWidth="1"/>
    <col min="4" max="18" width="8.7265625" customWidth="1" outlineLevel="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2" bestFit="1" customWidth="1"/>
    <col min="34" max="34" width="10.1796875" style="122" bestFit="1" customWidth="1"/>
    <col min="35" max="35" width="11.81640625" bestFit="1" customWidth="1"/>
    <col min="36" max="36" width="7" bestFit="1" customWidth="1"/>
  </cols>
  <sheetData>
    <row r="1" spans="2:38" ht="15.5" x14ac:dyDescent="0.35">
      <c r="B1" s="113" t="s">
        <v>364</v>
      </c>
      <c r="T1" s="122" t="s">
        <v>448</v>
      </c>
      <c r="U1" s="109">
        <f>'Giá mua Chai-Vảy (Giá giảm)'!E18</f>
        <v>13000</v>
      </c>
      <c r="W1" s="133">
        <f>'Giá mua Chai-Vảy (Giá giảm)'!E14</f>
        <v>14500</v>
      </c>
      <c r="X1" s="133">
        <f>W3-W1-X3</f>
        <v>1749.947702396159</v>
      </c>
      <c r="Y1" s="109">
        <f>'Giá mua Chai-Vảy (Giá giảm)'!E15</f>
        <v>13000</v>
      </c>
      <c r="AA1" s="109">
        <f>'Giá mua Chai-Vảy (Giá giảm)'!E17</f>
        <v>11500</v>
      </c>
      <c r="AB1" s="133">
        <f>'[2]18. Vảy B5'!$I$10</f>
        <v>411.68039840493083</v>
      </c>
      <c r="AC1" s="169">
        <f>'[2]16.1 Rửa vảy B7'!$I$9</f>
        <v>7971.0144927536239</v>
      </c>
      <c r="AD1" s="172">
        <f>'[2]16.1 Rửa vảy B7'!$I$10</f>
        <v>84.555434657824762</v>
      </c>
      <c r="AE1" s="109">
        <f>'Giá mua Chai-Vảy (Giá giảm)'!E16</f>
        <v>11500</v>
      </c>
    </row>
    <row r="2" spans="2:38" ht="29" x14ac:dyDescent="0.35">
      <c r="B2" s="114" t="s">
        <v>365</v>
      </c>
      <c r="T2" s="163" t="s">
        <v>450</v>
      </c>
      <c r="W2" s="133">
        <f>'[2]12. 100% vảy-&gt;hạt WSS01-iSS01'!$I$30</f>
        <v>17636.977515423063</v>
      </c>
      <c r="X2" s="133">
        <f>'[2]12. 100% vảy-&gt;hạt WSS01-iSS01'!$I$10</f>
        <v>1636.9775154230633</v>
      </c>
    </row>
    <row r="3" spans="2:38" ht="29" x14ac:dyDescent="0.35">
      <c r="T3" s="163" t="s">
        <v>449</v>
      </c>
      <c r="U3" s="170">
        <f>U1+X3</f>
        <v>17716.643304481076</v>
      </c>
      <c r="W3" s="132">
        <f>'[2]10. 100% chai-&gt;hạt WSS01-iSS01'!$I$60</f>
        <v>20966.591006877235</v>
      </c>
      <c r="X3" s="171">
        <f>'[2]10. 100% chai-&gt;hạt WSS01-iSS01'!$I$21+'[2]10. 100% chai-&gt;hạt WSS01-iSS01'!$I$37</f>
        <v>4716.6433044810765</v>
      </c>
      <c r="Y3" s="170">
        <f>Y1+X3</f>
        <v>17716.643304481076</v>
      </c>
      <c r="AA3" s="170">
        <f>'[2]18. Vảy B5'!$I$58</f>
        <v>16916.834566301488</v>
      </c>
      <c r="AB3" s="133">
        <f>'[2]18. Vảy B5'!$I$21+'[2]18. Vảy B5'!$I$37</f>
        <v>4505.1541678965586</v>
      </c>
      <c r="AC3" s="170">
        <f>'[2]16.1 Rửa vảy B7'!$I$48</f>
        <v>14341.250211551116</v>
      </c>
      <c r="AD3" s="109">
        <f>'[2]16.1 Rửa vảy B7'!$I$11+'[2]16.1 Rửa vảy B7'!$I$27</f>
        <v>6285.6802841396675</v>
      </c>
      <c r="AE3" s="170">
        <f>AE1+AB3</f>
        <v>16005.154167896559</v>
      </c>
      <c r="AG3" s="122" t="s">
        <v>451</v>
      </c>
      <c r="AI3" t="s">
        <v>391</v>
      </c>
      <c r="AJ3" t="s">
        <v>393</v>
      </c>
      <c r="AL3" s="134" t="s">
        <v>451</v>
      </c>
    </row>
    <row r="4" spans="2:38" x14ac:dyDescent="0.35">
      <c r="T4" s="121" t="s">
        <v>366</v>
      </c>
      <c r="U4" s="115" t="s">
        <v>367</v>
      </c>
      <c r="W4" s="115" t="s">
        <v>374</v>
      </c>
      <c r="Y4" s="115" t="s">
        <v>375</v>
      </c>
      <c r="AA4" s="115" t="s">
        <v>382</v>
      </c>
      <c r="AC4" s="115" t="s">
        <v>384</v>
      </c>
      <c r="AE4" s="115" t="s">
        <v>385</v>
      </c>
      <c r="AG4" s="128" t="s">
        <v>376</v>
      </c>
      <c r="AI4" s="130">
        <v>26500</v>
      </c>
    </row>
    <row r="5" spans="2:38" x14ac:dyDescent="0.35">
      <c r="T5" s="65"/>
      <c r="U5" s="117" t="s">
        <v>57</v>
      </c>
      <c r="V5" s="124" t="s">
        <v>372</v>
      </c>
      <c r="W5" s="117" t="s">
        <v>267</v>
      </c>
      <c r="X5" s="124" t="s">
        <v>372</v>
      </c>
      <c r="Y5" s="117" t="s">
        <v>52</v>
      </c>
      <c r="Z5" s="124" t="s">
        <v>372</v>
      </c>
      <c r="AA5" s="117" t="s">
        <v>55</v>
      </c>
      <c r="AB5" s="124" t="s">
        <v>372</v>
      </c>
      <c r="AC5" s="117" t="s">
        <v>383</v>
      </c>
      <c r="AD5" s="124" t="s">
        <v>372</v>
      </c>
      <c r="AE5" s="117" t="s">
        <v>54</v>
      </c>
      <c r="AF5" s="124" t="s">
        <v>372</v>
      </c>
      <c r="AG5" s="124"/>
      <c r="AH5" s="124" t="s">
        <v>372</v>
      </c>
      <c r="AI5" s="124" t="s">
        <v>372</v>
      </c>
      <c r="AJ5" t="s">
        <v>392</v>
      </c>
    </row>
    <row r="6" spans="2:38" x14ac:dyDescent="0.35">
      <c r="T6" s="120" t="s">
        <v>390</v>
      </c>
      <c r="AG6" s="129">
        <v>0.3</v>
      </c>
    </row>
    <row r="7" spans="2:38" x14ac:dyDescent="0.35">
      <c r="T7" s="118" t="s">
        <v>368</v>
      </c>
      <c r="U7" s="119">
        <v>0.1</v>
      </c>
      <c r="V7" s="135">
        <f>U7*$U$3</f>
        <v>1771.6643304481076</v>
      </c>
      <c r="W7" s="119">
        <v>0.9</v>
      </c>
      <c r="X7" s="135">
        <f>W7*$W$3</f>
        <v>18869.931906189511</v>
      </c>
      <c r="Y7" s="118"/>
      <c r="Z7" s="135">
        <f>Y7*$Y$3</f>
        <v>0</v>
      </c>
      <c r="AA7" s="118"/>
      <c r="AB7" s="118">
        <f>AA7*$AA$3</f>
        <v>0</v>
      </c>
      <c r="AC7" s="118"/>
      <c r="AD7" s="118">
        <f>AC7*$AC$3</f>
        <v>0</v>
      </c>
      <c r="AE7" s="118"/>
      <c r="AF7" s="118">
        <f>AE7*$AE$3</f>
        <v>0</v>
      </c>
      <c r="AG7" s="123">
        <f>U7+W7+Y7+AA7+AC7+AE7</f>
        <v>1</v>
      </c>
      <c r="AH7" s="168">
        <f>V7+X7+Z7+AB7+AD7+AF7</f>
        <v>20641.596236637619</v>
      </c>
      <c r="AI7" s="131">
        <f>$AI$4*AJ7</f>
        <v>30740000</v>
      </c>
      <c r="AJ7" s="109">
        <v>1160</v>
      </c>
      <c r="AL7" s="172">
        <f>AH7/$AI$4*1000</f>
        <v>778.92815987311769</v>
      </c>
    </row>
    <row r="8" spans="2:38" x14ac:dyDescent="0.35">
      <c r="T8" s="118" t="s">
        <v>369</v>
      </c>
      <c r="U8" s="126">
        <v>0.3</v>
      </c>
      <c r="V8" s="135">
        <f>U8*$U$3</f>
        <v>5314.9929913443229</v>
      </c>
      <c r="W8" s="126">
        <v>0.7</v>
      </c>
      <c r="X8" s="135">
        <f>W8*$W$3</f>
        <v>14676.613704814064</v>
      </c>
      <c r="Y8" s="118"/>
      <c r="Z8" s="135">
        <f>Y8*$Y$3</f>
        <v>0</v>
      </c>
      <c r="AA8" s="118"/>
      <c r="AB8" s="118">
        <f t="shared" ref="AB8:AB11" si="0">AA8*$AA$3</f>
        <v>0</v>
      </c>
      <c r="AC8" s="118"/>
      <c r="AD8" s="118">
        <f t="shared" ref="AD8:AD11" si="1">AC8*$AC$3</f>
        <v>0</v>
      </c>
      <c r="AE8" s="118"/>
      <c r="AF8" s="118">
        <f t="shared" ref="AF8:AF11" si="2">AE8*$AE$3</f>
        <v>0</v>
      </c>
      <c r="AG8" s="125">
        <f t="shared" ref="AG8:AH11" si="3">U8+W8+Y8+AA8+AC8+AE8</f>
        <v>1</v>
      </c>
      <c r="AH8" s="168">
        <f t="shared" si="3"/>
        <v>19991.606696158386</v>
      </c>
      <c r="AI8" s="131">
        <f t="shared" ref="AI8:AI11" si="4">$AI$4*AJ8</f>
        <v>31535000</v>
      </c>
      <c r="AJ8" s="131">
        <f>AJ7+30</f>
        <v>1190</v>
      </c>
      <c r="AL8" s="172">
        <f t="shared" ref="AL8:AL11" si="5">AH8/$AI$4*1000</f>
        <v>754.4002526852222</v>
      </c>
    </row>
    <row r="9" spans="2:38" x14ac:dyDescent="0.35">
      <c r="T9" s="118" t="s">
        <v>370</v>
      </c>
      <c r="U9" s="119">
        <v>0.55000000000000004</v>
      </c>
      <c r="V9" s="135">
        <f>U9*$U$3</f>
        <v>9744.1538174645921</v>
      </c>
      <c r="W9" s="119">
        <v>0.3</v>
      </c>
      <c r="X9" s="135">
        <f>W9*$W$3</f>
        <v>6289.9773020631701</v>
      </c>
      <c r="Y9" s="119">
        <v>0.15</v>
      </c>
      <c r="Z9" s="135">
        <f>Y9*$Y$3</f>
        <v>2657.4964956721615</v>
      </c>
      <c r="AA9" s="118"/>
      <c r="AB9" s="118">
        <f t="shared" si="0"/>
        <v>0</v>
      </c>
      <c r="AC9" s="118"/>
      <c r="AD9" s="118">
        <f t="shared" si="1"/>
        <v>0</v>
      </c>
      <c r="AE9" s="118"/>
      <c r="AF9" s="118">
        <f t="shared" si="2"/>
        <v>0</v>
      </c>
      <c r="AG9" s="123">
        <f t="shared" si="3"/>
        <v>1</v>
      </c>
      <c r="AH9" s="168">
        <f t="shared" si="3"/>
        <v>18691.627615199926</v>
      </c>
      <c r="AI9" s="131">
        <f t="shared" si="4"/>
        <v>28885000</v>
      </c>
      <c r="AJ9" s="131">
        <f>AJ7-70</f>
        <v>1090</v>
      </c>
      <c r="AL9" s="172">
        <f t="shared" si="5"/>
        <v>705.34443830943121</v>
      </c>
    </row>
    <row r="10" spans="2:38" x14ac:dyDescent="0.35">
      <c r="T10" s="118" t="s">
        <v>371</v>
      </c>
      <c r="U10" s="119">
        <v>0.95</v>
      </c>
      <c r="V10" s="135">
        <f>U10*$U$3</f>
        <v>16830.811139257021</v>
      </c>
      <c r="W10" s="263"/>
      <c r="X10" s="265">
        <f>W10*$W$3</f>
        <v>0</v>
      </c>
      <c r="Y10" s="118"/>
      <c r="Z10" s="135">
        <f>Y10*$Y$3</f>
        <v>0</v>
      </c>
      <c r="AA10" s="263">
        <v>0.05</v>
      </c>
      <c r="AB10" s="265">
        <f t="shared" si="0"/>
        <v>845.84172831507442</v>
      </c>
      <c r="AC10" s="118"/>
      <c r="AD10" s="118">
        <f t="shared" si="1"/>
        <v>0</v>
      </c>
      <c r="AE10" s="118"/>
      <c r="AF10" s="118">
        <f t="shared" si="2"/>
        <v>0</v>
      </c>
      <c r="AG10" s="123">
        <f t="shared" si="3"/>
        <v>1</v>
      </c>
      <c r="AH10" s="168">
        <f t="shared" si="3"/>
        <v>17676.652867572095</v>
      </c>
      <c r="AI10" s="131">
        <f t="shared" si="4"/>
        <v>19080000</v>
      </c>
      <c r="AJ10" s="131">
        <v>720</v>
      </c>
      <c r="AL10" s="172">
        <f t="shared" si="5"/>
        <v>667.04350443668284</v>
      </c>
    </row>
    <row r="11" spans="2:38" x14ac:dyDescent="0.35">
      <c r="T11" s="118" t="s">
        <v>373</v>
      </c>
      <c r="U11" s="119">
        <v>0.65</v>
      </c>
      <c r="V11" s="135">
        <f>U11*$U$3</f>
        <v>11515.8181479127</v>
      </c>
      <c r="W11" s="119">
        <v>0.15</v>
      </c>
      <c r="X11" s="135">
        <f>W11*$W$3</f>
        <v>3144.9886510315851</v>
      </c>
      <c r="Y11" s="263"/>
      <c r="Z11" s="265">
        <f>Y11*$Y$3</f>
        <v>0</v>
      </c>
      <c r="AA11" s="263">
        <v>0.2</v>
      </c>
      <c r="AB11" s="265">
        <f t="shared" si="0"/>
        <v>3383.3669132602977</v>
      </c>
      <c r="AC11" s="118"/>
      <c r="AD11" s="118">
        <f t="shared" si="1"/>
        <v>0</v>
      </c>
      <c r="AE11" s="118"/>
      <c r="AF11" s="118">
        <f t="shared" si="2"/>
        <v>0</v>
      </c>
      <c r="AG11" s="123">
        <f t="shared" si="3"/>
        <v>1</v>
      </c>
      <c r="AH11" s="168">
        <f t="shared" si="3"/>
        <v>18044.173712204582</v>
      </c>
      <c r="AI11" s="131">
        <f t="shared" si="4"/>
        <v>16032500</v>
      </c>
      <c r="AJ11" s="184">
        <v>605</v>
      </c>
      <c r="AL11" s="185">
        <f t="shared" si="5"/>
        <v>680.91221555488994</v>
      </c>
    </row>
    <row r="14" spans="2:38" x14ac:dyDescent="0.35">
      <c r="T14" s="120" t="s">
        <v>387</v>
      </c>
      <c r="W14" s="117" t="s">
        <v>48</v>
      </c>
      <c r="AG14" s="127">
        <v>0.53</v>
      </c>
    </row>
    <row r="15" spans="2:38" x14ac:dyDescent="0.35">
      <c r="T15" s="118" t="s">
        <v>377</v>
      </c>
      <c r="U15" s="118"/>
      <c r="V15" s="118">
        <f t="shared" ref="V15:V18" si="6">U15*$U$3</f>
        <v>0</v>
      </c>
      <c r="W15" s="179">
        <v>1</v>
      </c>
      <c r="X15" s="135">
        <f t="shared" ref="X15:X18" si="7">W15*$W$3</f>
        <v>20966.591006877235</v>
      </c>
      <c r="Y15" s="118"/>
      <c r="Z15" s="118">
        <f t="shared" ref="Z15:Z18" si="8">Y15*$Y$3</f>
        <v>0</v>
      </c>
      <c r="AA15" s="118"/>
      <c r="AB15" s="118">
        <f t="shared" ref="AB15:AB18" si="9">AA15*$AA$3</f>
        <v>0</v>
      </c>
      <c r="AC15" s="118"/>
      <c r="AD15" s="118">
        <f t="shared" ref="AD15:AD18" si="10">AC15*$AC$3</f>
        <v>0</v>
      </c>
      <c r="AE15" s="118"/>
      <c r="AF15" s="118">
        <f t="shared" ref="AF15:AF18" si="11">AE15*$AE$3</f>
        <v>0</v>
      </c>
      <c r="AG15" s="123">
        <f t="shared" ref="AG15:AH18" si="12">U15+W15+Y15+AA15+AC15+AE15</f>
        <v>1</v>
      </c>
      <c r="AH15" s="168">
        <f t="shared" si="12"/>
        <v>20966.591006877235</v>
      </c>
      <c r="AI15" s="131">
        <f t="shared" ref="AI15:AI18" si="13">$AI$4*AJ15</f>
        <v>30740000</v>
      </c>
      <c r="AJ15" s="131">
        <f>AJ7</f>
        <v>1160</v>
      </c>
      <c r="AL15" s="172">
        <f t="shared" ref="AL15:AL18" si="14">AH15/$AI$4*1000</f>
        <v>791.1921134670655</v>
      </c>
    </row>
    <row r="16" spans="2:38" x14ac:dyDescent="0.35">
      <c r="T16" s="118" t="s">
        <v>378</v>
      </c>
      <c r="U16" s="118"/>
      <c r="V16" s="118">
        <f t="shared" si="6"/>
        <v>0</v>
      </c>
      <c r="W16" s="179">
        <v>1</v>
      </c>
      <c r="X16" s="135">
        <f t="shared" si="7"/>
        <v>20966.591006877235</v>
      </c>
      <c r="Y16" s="118"/>
      <c r="Z16" s="118">
        <f t="shared" si="8"/>
        <v>0</v>
      </c>
      <c r="AA16" s="118"/>
      <c r="AB16" s="118">
        <f t="shared" si="9"/>
        <v>0</v>
      </c>
      <c r="AC16" s="118"/>
      <c r="AD16" s="118">
        <f t="shared" si="10"/>
        <v>0</v>
      </c>
      <c r="AE16" s="118"/>
      <c r="AF16" s="118">
        <f t="shared" si="11"/>
        <v>0</v>
      </c>
      <c r="AG16" s="123">
        <f t="shared" si="12"/>
        <v>1</v>
      </c>
      <c r="AH16" s="168">
        <f t="shared" si="12"/>
        <v>20966.591006877235</v>
      </c>
      <c r="AI16" s="131">
        <f t="shared" si="13"/>
        <v>31535000</v>
      </c>
      <c r="AJ16" s="131">
        <f>AJ7+30</f>
        <v>1190</v>
      </c>
      <c r="AL16" s="172">
        <f t="shared" si="14"/>
        <v>791.1921134670655</v>
      </c>
    </row>
    <row r="17" spans="20:38" x14ac:dyDescent="0.35">
      <c r="T17" s="118" t="s">
        <v>379</v>
      </c>
      <c r="U17" s="118"/>
      <c r="V17" s="118">
        <f t="shared" si="6"/>
        <v>0</v>
      </c>
      <c r="W17" s="179">
        <v>1</v>
      </c>
      <c r="X17" s="135">
        <f t="shared" si="7"/>
        <v>20966.591006877235</v>
      </c>
      <c r="Y17" s="118"/>
      <c r="Z17" s="118">
        <f t="shared" si="8"/>
        <v>0</v>
      </c>
      <c r="AA17" s="118"/>
      <c r="AB17" s="118">
        <f t="shared" si="9"/>
        <v>0</v>
      </c>
      <c r="AC17" s="118"/>
      <c r="AD17" s="118">
        <f t="shared" si="10"/>
        <v>0</v>
      </c>
      <c r="AE17" s="118"/>
      <c r="AF17" s="118">
        <f t="shared" si="11"/>
        <v>0</v>
      </c>
      <c r="AG17" s="123">
        <f t="shared" si="12"/>
        <v>1</v>
      </c>
      <c r="AH17" s="168">
        <f t="shared" si="12"/>
        <v>20966.591006877235</v>
      </c>
      <c r="AI17" s="131">
        <f t="shared" si="13"/>
        <v>33125000</v>
      </c>
      <c r="AJ17" s="131">
        <f>AJ7+90</f>
        <v>1250</v>
      </c>
      <c r="AL17" s="172">
        <f t="shared" si="14"/>
        <v>791.1921134670655</v>
      </c>
    </row>
    <row r="18" spans="20:38" x14ac:dyDescent="0.35">
      <c r="T18" s="118" t="s">
        <v>380</v>
      </c>
      <c r="U18" s="118"/>
      <c r="V18" s="118">
        <f t="shared" si="6"/>
        <v>0</v>
      </c>
      <c r="W18" s="179">
        <v>1</v>
      </c>
      <c r="X18" s="135">
        <f t="shared" si="7"/>
        <v>20966.591006877235</v>
      </c>
      <c r="Y18" s="118"/>
      <c r="Z18" s="118">
        <f t="shared" si="8"/>
        <v>0</v>
      </c>
      <c r="AA18" s="118"/>
      <c r="AB18" s="118">
        <f t="shared" si="9"/>
        <v>0</v>
      </c>
      <c r="AC18" s="118"/>
      <c r="AD18" s="118">
        <f t="shared" si="10"/>
        <v>0</v>
      </c>
      <c r="AE18" s="118"/>
      <c r="AF18" s="118">
        <f t="shared" si="11"/>
        <v>0</v>
      </c>
      <c r="AG18" s="123">
        <f t="shared" si="12"/>
        <v>1</v>
      </c>
      <c r="AH18" s="168">
        <f t="shared" si="12"/>
        <v>20966.591006877235</v>
      </c>
      <c r="AI18" s="131">
        <f t="shared" si="13"/>
        <v>29945000</v>
      </c>
      <c r="AJ18" s="131">
        <f>AJ7-30</f>
        <v>1130</v>
      </c>
      <c r="AL18" s="172">
        <f t="shared" si="14"/>
        <v>791.1921134670655</v>
      </c>
    </row>
    <row r="24" spans="20:38" x14ac:dyDescent="0.35">
      <c r="T24" s="120" t="s">
        <v>388</v>
      </c>
      <c r="AG24" s="127">
        <v>0.05</v>
      </c>
    </row>
    <row r="25" spans="20:38" x14ac:dyDescent="0.35">
      <c r="T25" s="118" t="s">
        <v>368</v>
      </c>
      <c r="U25" s="118"/>
      <c r="V25" s="135">
        <f t="shared" ref="V25:V29" si="15">U25*$U$3</f>
        <v>0</v>
      </c>
      <c r="W25" s="119">
        <v>0.9</v>
      </c>
      <c r="X25" s="135">
        <f t="shared" ref="X25:X29" si="16">W25*$W$3</f>
        <v>18869.931906189511</v>
      </c>
      <c r="Y25" s="119">
        <v>0.1</v>
      </c>
      <c r="Z25" s="135">
        <f t="shared" ref="Z25:Z29" si="17">Y25*$Y$3</f>
        <v>1771.6643304481076</v>
      </c>
      <c r="AA25" s="118"/>
      <c r="AB25" s="135">
        <f t="shared" ref="AB25:AB29" si="18">AA25*$AA$3</f>
        <v>0</v>
      </c>
      <c r="AC25" s="118"/>
      <c r="AD25" s="135">
        <f t="shared" ref="AD25:AD29" si="19">AC25*$AC$3</f>
        <v>0</v>
      </c>
      <c r="AE25" s="118"/>
      <c r="AF25" s="118">
        <f t="shared" ref="AF25:AF29" si="20">AE25*$AE$3</f>
        <v>0</v>
      </c>
      <c r="AG25" s="123">
        <f t="shared" ref="AG25:AH29" si="21">U25+W25+Y25+AA25+AC25+AE25</f>
        <v>1</v>
      </c>
      <c r="AH25" s="168">
        <f t="shared" si="21"/>
        <v>20641.596236637619</v>
      </c>
      <c r="AI25" s="131">
        <f t="shared" ref="AI25:AI29" si="22">$AI$4*AJ25</f>
        <v>30740000</v>
      </c>
      <c r="AJ25" s="131">
        <f>AJ7</f>
        <v>1160</v>
      </c>
      <c r="AL25" s="172">
        <f t="shared" ref="AL25:AL29" si="23">AH25/$AI$4*1000</f>
        <v>778.92815987311769</v>
      </c>
    </row>
    <row r="26" spans="20:38" x14ac:dyDescent="0.35">
      <c r="T26" s="118" t="s">
        <v>370</v>
      </c>
      <c r="U26" s="119">
        <v>0.55000000000000004</v>
      </c>
      <c r="V26" s="135">
        <f t="shared" si="15"/>
        <v>9744.1538174645921</v>
      </c>
      <c r="W26" s="119">
        <v>0.3</v>
      </c>
      <c r="X26" s="135">
        <f t="shared" si="16"/>
        <v>6289.9773020631701</v>
      </c>
      <c r="Y26" s="119">
        <v>0.15</v>
      </c>
      <c r="Z26" s="135">
        <f t="shared" si="17"/>
        <v>2657.4964956721615</v>
      </c>
      <c r="AA26" s="118"/>
      <c r="AB26" s="135">
        <f t="shared" si="18"/>
        <v>0</v>
      </c>
      <c r="AC26" s="118"/>
      <c r="AD26" s="135">
        <f t="shared" si="19"/>
        <v>0</v>
      </c>
      <c r="AE26" s="118"/>
      <c r="AF26" s="118">
        <f t="shared" si="20"/>
        <v>0</v>
      </c>
      <c r="AG26" s="123">
        <f t="shared" si="21"/>
        <v>1</v>
      </c>
      <c r="AH26" s="168">
        <f t="shared" si="21"/>
        <v>18691.627615199926</v>
      </c>
      <c r="AI26" s="131">
        <f t="shared" si="22"/>
        <v>28885000</v>
      </c>
      <c r="AJ26" s="131">
        <f>AJ7-70</f>
        <v>1090</v>
      </c>
      <c r="AL26" s="172">
        <f t="shared" si="23"/>
        <v>705.34443830943121</v>
      </c>
    </row>
    <row r="27" spans="20:38" x14ac:dyDescent="0.35">
      <c r="T27" s="118" t="s">
        <v>386</v>
      </c>
      <c r="U27" s="118"/>
      <c r="V27" s="135">
        <f t="shared" si="15"/>
        <v>0</v>
      </c>
      <c r="W27" s="119">
        <v>0.4</v>
      </c>
      <c r="X27" s="135">
        <f t="shared" si="16"/>
        <v>8386.6364027508953</v>
      </c>
      <c r="Y27" s="118"/>
      <c r="Z27" s="135">
        <f t="shared" si="17"/>
        <v>0</v>
      </c>
      <c r="AA27" s="119">
        <v>0.5</v>
      </c>
      <c r="AB27" s="135">
        <f t="shared" si="18"/>
        <v>8458.417283150744</v>
      </c>
      <c r="AC27" s="119">
        <v>0.1</v>
      </c>
      <c r="AD27" s="135">
        <f t="shared" si="19"/>
        <v>1434.1250211551117</v>
      </c>
      <c r="AE27" s="118"/>
      <c r="AF27" s="118">
        <f t="shared" si="20"/>
        <v>0</v>
      </c>
      <c r="AG27" s="123">
        <f t="shared" si="21"/>
        <v>1</v>
      </c>
      <c r="AH27" s="168">
        <f t="shared" si="21"/>
        <v>18279.178707056752</v>
      </c>
      <c r="AI27" s="131">
        <f t="shared" si="22"/>
        <v>30740000</v>
      </c>
      <c r="AJ27" s="131">
        <f>AJ7</f>
        <v>1160</v>
      </c>
      <c r="AL27" s="172">
        <f t="shared" si="23"/>
        <v>689.78032856817924</v>
      </c>
    </row>
    <row r="28" spans="20:38" x14ac:dyDescent="0.35">
      <c r="T28" s="118" t="s">
        <v>371</v>
      </c>
      <c r="U28" s="119">
        <v>0.95</v>
      </c>
      <c r="V28" s="135">
        <f t="shared" si="15"/>
        <v>16830.811139257021</v>
      </c>
      <c r="W28" s="118"/>
      <c r="X28" s="135">
        <f t="shared" si="16"/>
        <v>0</v>
      </c>
      <c r="Y28" s="118"/>
      <c r="Z28" s="135">
        <f t="shared" si="17"/>
        <v>0</v>
      </c>
      <c r="AA28" s="119">
        <v>0.05</v>
      </c>
      <c r="AB28" s="135">
        <f t="shared" si="18"/>
        <v>845.84172831507442</v>
      </c>
      <c r="AC28" s="118"/>
      <c r="AD28" s="135">
        <f t="shared" si="19"/>
        <v>0</v>
      </c>
      <c r="AE28" s="118"/>
      <c r="AF28" s="118">
        <f t="shared" si="20"/>
        <v>0</v>
      </c>
      <c r="AG28" s="123">
        <f t="shared" si="21"/>
        <v>1</v>
      </c>
      <c r="AH28" s="168">
        <f t="shared" si="21"/>
        <v>17676.652867572095</v>
      </c>
      <c r="AI28" s="131">
        <f t="shared" si="22"/>
        <v>19080000</v>
      </c>
      <c r="AJ28" s="131">
        <f>AJ10</f>
        <v>720</v>
      </c>
      <c r="AL28" s="172">
        <f t="shared" si="23"/>
        <v>667.04350443668284</v>
      </c>
    </row>
    <row r="29" spans="20:38" x14ac:dyDescent="0.35">
      <c r="T29" s="118" t="s">
        <v>373</v>
      </c>
      <c r="U29" s="119">
        <v>0.65</v>
      </c>
      <c r="V29" s="135">
        <f t="shared" si="15"/>
        <v>11515.8181479127</v>
      </c>
      <c r="W29" s="119">
        <v>0.15</v>
      </c>
      <c r="X29" s="135">
        <f t="shared" si="16"/>
        <v>3144.9886510315851</v>
      </c>
      <c r="Y29" s="118"/>
      <c r="Z29" s="135">
        <f t="shared" si="17"/>
        <v>0</v>
      </c>
      <c r="AA29" s="119">
        <v>0.2</v>
      </c>
      <c r="AB29" s="135">
        <f t="shared" si="18"/>
        <v>3383.3669132602977</v>
      </c>
      <c r="AC29" s="118"/>
      <c r="AD29" s="135">
        <f t="shared" si="19"/>
        <v>0</v>
      </c>
      <c r="AE29" s="118"/>
      <c r="AF29" s="118">
        <f t="shared" si="20"/>
        <v>0</v>
      </c>
      <c r="AG29" s="123">
        <f t="shared" si="21"/>
        <v>1</v>
      </c>
      <c r="AH29" s="168">
        <f t="shared" si="21"/>
        <v>18044.173712204582</v>
      </c>
      <c r="AI29" s="131">
        <f t="shared" si="22"/>
        <v>16032500</v>
      </c>
      <c r="AJ29" s="184">
        <v>605</v>
      </c>
      <c r="AL29" s="185">
        <f t="shared" si="23"/>
        <v>680.91221555488994</v>
      </c>
    </row>
    <row r="32" spans="20:38" x14ac:dyDescent="0.35">
      <c r="T32" s="120" t="s">
        <v>389</v>
      </c>
      <c r="AG32" s="127">
        <v>0.02</v>
      </c>
    </row>
    <row r="33" spans="20:42" x14ac:dyDescent="0.35">
      <c r="T33" s="118" t="s">
        <v>381</v>
      </c>
      <c r="U33" s="118"/>
      <c r="V33" s="118">
        <f t="shared" ref="V33" si="24">U33*$U$3</f>
        <v>0</v>
      </c>
      <c r="W33" s="118"/>
      <c r="X33" s="118">
        <f>W33*$W$3</f>
        <v>0</v>
      </c>
      <c r="Y33" s="118"/>
      <c r="Z33" s="118">
        <f>Y33*$Y$3</f>
        <v>0</v>
      </c>
      <c r="AA33" s="118"/>
      <c r="AB33" s="118"/>
      <c r="AC33" s="118"/>
      <c r="AD33" s="118">
        <f t="shared" ref="AD33" si="25">AC33*$AC$3</f>
        <v>0</v>
      </c>
      <c r="AE33" s="119">
        <v>1</v>
      </c>
      <c r="AF33" s="135">
        <f>AE33*$AE$3</f>
        <v>16005.154167896559</v>
      </c>
      <c r="AG33" s="123">
        <f>U33+W33+Y33+AA33+AC33+AE33</f>
        <v>1</v>
      </c>
      <c r="AH33" s="168">
        <f>V33+X33+Z33+AB33+AD33+AF33</f>
        <v>16005.154167896559</v>
      </c>
      <c r="AI33" s="131">
        <f>$AI$4*AJ33</f>
        <v>19000500</v>
      </c>
      <c r="AJ33">
        <v>717</v>
      </c>
      <c r="AL33" s="172">
        <f>AH33/$AI$4*1000</f>
        <v>603.96808180741732</v>
      </c>
    </row>
    <row r="35" spans="20:42" x14ac:dyDescent="0.35">
      <c r="AE35" s="109">
        <f>'Giá mua Chai-Vảy'!O40</f>
        <v>8000</v>
      </c>
      <c r="AH35" s="134"/>
      <c r="AI35" s="134"/>
      <c r="AJ35" s="134"/>
      <c r="AK35" s="134"/>
      <c r="AL35" s="122"/>
      <c r="AM35" s="122"/>
      <c r="AN35" s="122"/>
      <c r="AO35" s="134"/>
    </row>
    <row r="36" spans="20:42" x14ac:dyDescent="0.35">
      <c r="T36" s="120" t="s">
        <v>447</v>
      </c>
      <c r="AG36" s="127">
        <v>0.01</v>
      </c>
      <c r="AK36" s="134"/>
      <c r="AL36" s="122"/>
      <c r="AM36" s="122"/>
      <c r="AN36" s="122"/>
      <c r="AO36" s="134"/>
    </row>
    <row r="37" spans="20:42" x14ac:dyDescent="0.35">
      <c r="T37" s="118" t="s">
        <v>477</v>
      </c>
      <c r="U37" s="118"/>
      <c r="V37" s="118">
        <f t="shared" ref="V37" si="26">U37*$U$3</f>
        <v>0</v>
      </c>
      <c r="W37" s="118"/>
      <c r="X37" s="118">
        <f>W37*$W$3</f>
        <v>0</v>
      </c>
      <c r="Y37" s="118"/>
      <c r="Z37" s="118">
        <f>Y37*$Y$3</f>
        <v>0</v>
      </c>
      <c r="AA37" s="118"/>
      <c r="AB37" s="118"/>
      <c r="AC37" s="118"/>
      <c r="AD37" s="118">
        <f t="shared" ref="AD37" si="27">AC37*$AC$3</f>
        <v>0</v>
      </c>
      <c r="AE37" s="119">
        <v>1</v>
      </c>
      <c r="AF37" s="135">
        <f>AE37*$AE$35</f>
        <v>8000</v>
      </c>
      <c r="AG37" s="123">
        <f>U37+W37+Y37+AA37+AC37+AE37</f>
        <v>1</v>
      </c>
      <c r="AH37" s="178">
        <f>V37+X37+Z37+AB37+AD37+AF37</f>
        <v>8000</v>
      </c>
      <c r="AI37" s="131">
        <f>$AI$4*AJ37</f>
        <v>19500000</v>
      </c>
      <c r="AJ37" s="195">
        <f>19500000/26500</f>
        <v>735.84905660377353</v>
      </c>
      <c r="AK37" s="176">
        <f>AK$1+$W$2</f>
        <v>17636.977515423063</v>
      </c>
      <c r="AL37" s="173">
        <f t="shared" ref="AL37" si="28">AL$1+AK37*$AK$2+AJ37*$AJ$2</f>
        <v>0</v>
      </c>
      <c r="AM37" s="173">
        <f t="shared" ref="AM37" si="29">AL37+$AM$1</f>
        <v>0</v>
      </c>
      <c r="AN37" s="173">
        <f t="shared" ref="AN37" si="30">AL37+$AN$1</f>
        <v>0</v>
      </c>
      <c r="AO37" s="176">
        <f t="shared" ref="AO37" si="31">AM37</f>
        <v>0</v>
      </c>
      <c r="AP37" s="131">
        <f t="shared" ref="AP37" si="32">$AP$4*AQ37/1000</f>
        <v>0</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F7C0-CAF6-4529-A5FF-DCBCEB6E9959}">
  <sheetPr>
    <tabColor rgb="FF0000FF"/>
  </sheetPr>
  <dimension ref="B1:BR37"/>
  <sheetViews>
    <sheetView topLeftCell="D1" zoomScale="85" zoomScaleNormal="85" workbookViewId="0">
      <pane xSplit="17" topLeftCell="U1" activePane="topRight" state="frozen"/>
      <selection activeCell="S1" sqref="S1"/>
      <selection pane="topRight" activeCell="W3" sqref="W3"/>
    </sheetView>
  </sheetViews>
  <sheetFormatPr defaultRowHeight="14.5" outlineLevelCol="1" x14ac:dyDescent="0.35"/>
  <cols>
    <col min="1" max="1" width="3.36328125" customWidth="1"/>
    <col min="4" max="18" width="8.7265625" customWidth="1" outlineLevel="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2" bestFit="1" customWidth="1"/>
    <col min="34" max="34" width="10.1796875" style="134" bestFit="1" customWidth="1"/>
    <col min="35" max="37" width="10.1796875" style="122" customWidth="1"/>
    <col min="38" max="38" width="10.1796875" style="134" customWidth="1"/>
    <col min="39" max="39" width="11.81640625" bestFit="1" customWidth="1"/>
    <col min="40" max="40" width="7" bestFit="1" customWidth="1"/>
    <col min="44" max="44" width="9.1796875" bestFit="1" customWidth="1"/>
    <col min="45" max="45" width="11" bestFit="1" customWidth="1"/>
    <col min="46" max="46" width="11.6328125" bestFit="1" customWidth="1"/>
    <col min="51" max="51" width="9.1796875" bestFit="1" customWidth="1"/>
    <col min="52" max="52" width="13.26953125" bestFit="1" customWidth="1"/>
  </cols>
  <sheetData>
    <row r="1" spans="2:44" ht="15.5" x14ac:dyDescent="0.35">
      <c r="B1" s="113" t="s">
        <v>364</v>
      </c>
      <c r="T1" s="122" t="s">
        <v>448</v>
      </c>
      <c r="U1" s="109">
        <f>'Giá mua Chai-Vảy'!E18</f>
        <v>13500</v>
      </c>
      <c r="W1" s="133">
        <f>'[2]10. 100% chai-&gt;hạt WSS01-iSS01'!$H$9</f>
        <v>15000</v>
      </c>
      <c r="X1" s="133">
        <f>W3-W1-X3</f>
        <v>1249.947702396159</v>
      </c>
      <c r="Y1" s="109">
        <f>'Giá mua Chai-Vảy'!E15</f>
        <v>13500</v>
      </c>
      <c r="AA1" s="109">
        <f>'[2]18. Vảy B5'!$I$9</f>
        <v>12000</v>
      </c>
      <c r="AB1" s="133">
        <f>'[2]18. Vảy B5'!$I$10</f>
        <v>411.68039840493083</v>
      </c>
      <c r="AC1" s="169">
        <f>'[2]16.1 Rửa vảy B7'!$I$9</f>
        <v>7971.0144927536239</v>
      </c>
      <c r="AD1" s="172">
        <f>'[2]16.1 Rửa vảy B7'!$I$10</f>
        <v>84.555434657824762</v>
      </c>
      <c r="AE1" s="109">
        <f>'Giá mua Chai-Vảy'!E16</f>
        <v>12000</v>
      </c>
      <c r="AI1" s="177">
        <f>'[2]10. 100% chai-&gt;hạt WSS01-iSS01'!$I$61</f>
        <v>3384.4942267911665</v>
      </c>
      <c r="AJ1" s="177">
        <f>'[2]10. 100% chai-&gt;hạt WSS01-iSS01'!$I$83</f>
        <v>1901.1243865009951</v>
      </c>
      <c r="AK1" s="177">
        <f>'[2]11. 100% chai-&gt;hạt iSS01084G'!$I$83</f>
        <v>2331.8861025668875</v>
      </c>
    </row>
    <row r="2" spans="2:44" ht="29" x14ac:dyDescent="0.35">
      <c r="B2" s="114" t="s">
        <v>365</v>
      </c>
      <c r="T2" s="163" t="s">
        <v>450</v>
      </c>
      <c r="W2" s="133">
        <f>'[2]12. 100% vảy-&gt;hạt WSS01-iSS01'!$I$30</f>
        <v>17636.977515423063</v>
      </c>
      <c r="X2" s="133">
        <f>'[2]12. 100% vảy-&gt;hạt WSS01-iSS01'!$I$10</f>
        <v>1636.9775154230633</v>
      </c>
    </row>
    <row r="3" spans="2:44" ht="43.5" x14ac:dyDescent="0.35">
      <c r="T3" s="163" t="s">
        <v>449</v>
      </c>
      <c r="U3" s="170">
        <f>U1+X3</f>
        <v>18216.643304481076</v>
      </c>
      <c r="W3" s="132">
        <f>'[2]10. 100% chai-&gt;hạt WSS01-iSS01'!$I$60</f>
        <v>20966.591006877235</v>
      </c>
      <c r="X3" s="171">
        <f>'[2]10. 100% chai-&gt;hạt WSS01-iSS01'!$I$21+'[2]10. 100% chai-&gt;hạt WSS01-iSS01'!$I$37</f>
        <v>4716.6433044810765</v>
      </c>
      <c r="Y3" s="170">
        <f>Y1+X3</f>
        <v>18216.643304481076</v>
      </c>
      <c r="AA3" s="170">
        <f>'[2]18. Vảy B5'!$I$58</f>
        <v>16916.834566301488</v>
      </c>
      <c r="AB3" s="133">
        <f>'[2]18. Vảy B5'!$I$21+'[2]18. Vảy B5'!$I$37</f>
        <v>4505.1541678965586</v>
      </c>
      <c r="AC3" s="170">
        <f>'[2]16.1 Rửa vảy B7'!$I$48</f>
        <v>14341.250211551116</v>
      </c>
      <c r="AD3" s="109">
        <f>'[2]16.1 Rửa vảy B7'!$I$11+'[2]16.1 Rửa vảy B7'!$I$27</f>
        <v>6285.6802841396675</v>
      </c>
      <c r="AE3" s="170">
        <f>AE1+AB3</f>
        <v>16505.154167896559</v>
      </c>
      <c r="AG3" s="284" t="s">
        <v>451</v>
      </c>
      <c r="AH3" s="284"/>
      <c r="AI3" s="174" t="s">
        <v>452</v>
      </c>
      <c r="AJ3" s="174" t="s">
        <v>453</v>
      </c>
      <c r="AK3" s="174" t="s">
        <v>454</v>
      </c>
      <c r="AL3" s="163" t="s">
        <v>455</v>
      </c>
      <c r="AM3" s="2" t="s">
        <v>391</v>
      </c>
      <c r="AN3" t="s">
        <v>393</v>
      </c>
      <c r="AO3" t="s">
        <v>456</v>
      </c>
      <c r="AP3" t="s">
        <v>457</v>
      </c>
      <c r="AQ3" t="s">
        <v>467</v>
      </c>
      <c r="AR3" t="s">
        <v>464</v>
      </c>
    </row>
    <row r="4" spans="2:44" x14ac:dyDescent="0.35">
      <c r="T4" s="121" t="s">
        <v>366</v>
      </c>
      <c r="U4" s="115" t="s">
        <v>367</v>
      </c>
      <c r="W4" s="115" t="s">
        <v>374</v>
      </c>
      <c r="Y4" s="115" t="s">
        <v>375</v>
      </c>
      <c r="AA4" s="115" t="s">
        <v>382</v>
      </c>
      <c r="AC4" s="115" t="s">
        <v>384</v>
      </c>
      <c r="AE4" s="115" t="s">
        <v>385</v>
      </c>
      <c r="AG4" s="128" t="s">
        <v>376</v>
      </c>
      <c r="AM4" s="130">
        <v>26500</v>
      </c>
    </row>
    <row r="5" spans="2:44" x14ac:dyDescent="0.35">
      <c r="T5" s="65"/>
      <c r="U5" s="117" t="s">
        <v>57</v>
      </c>
      <c r="V5" s="124" t="s">
        <v>372</v>
      </c>
      <c r="W5" s="117" t="s">
        <v>267</v>
      </c>
      <c r="X5" s="124" t="s">
        <v>372</v>
      </c>
      <c r="Y5" s="117" t="s">
        <v>52</v>
      </c>
      <c r="Z5" s="124" t="s">
        <v>372</v>
      </c>
      <c r="AA5" s="117" t="s">
        <v>55</v>
      </c>
      <c r="AB5" s="124" t="s">
        <v>372</v>
      </c>
      <c r="AC5" s="117" t="s">
        <v>383</v>
      </c>
      <c r="AD5" s="124" t="s">
        <v>372</v>
      </c>
      <c r="AE5" s="117" t="s">
        <v>54</v>
      </c>
      <c r="AF5" s="124" t="s">
        <v>372</v>
      </c>
      <c r="AG5" s="124"/>
      <c r="AH5" s="175" t="s">
        <v>372</v>
      </c>
      <c r="AI5" s="124"/>
      <c r="AJ5" s="124"/>
      <c r="AK5" s="124"/>
      <c r="AL5" s="175"/>
      <c r="AM5" s="124" t="s">
        <v>372</v>
      </c>
      <c r="AN5" t="s">
        <v>392</v>
      </c>
    </row>
    <row r="6" spans="2:44" x14ac:dyDescent="0.35">
      <c r="T6" s="120" t="s">
        <v>390</v>
      </c>
      <c r="AG6" s="129">
        <v>0.3</v>
      </c>
    </row>
    <row r="7" spans="2:44" x14ac:dyDescent="0.35">
      <c r="T7" s="118" t="s">
        <v>368</v>
      </c>
      <c r="U7" s="119">
        <v>0.1</v>
      </c>
      <c r="V7" s="135">
        <f>U7*$U$3</f>
        <v>1821.6643304481076</v>
      </c>
      <c r="W7" s="119">
        <v>0.9</v>
      </c>
      <c r="X7" s="135">
        <f>W7*$W$3</f>
        <v>18869.931906189511</v>
      </c>
      <c r="Y7" s="118"/>
      <c r="Z7" s="135">
        <f>Y7*$Y$3</f>
        <v>0</v>
      </c>
      <c r="AA7" s="118"/>
      <c r="AB7" s="118">
        <f>AA7*$AA$3</f>
        <v>0</v>
      </c>
      <c r="AC7" s="118"/>
      <c r="AD7" s="118">
        <f>AC7*$AC$3</f>
        <v>0</v>
      </c>
      <c r="AE7" s="118"/>
      <c r="AF7" s="118">
        <f>AE7*$AE$3</f>
        <v>0</v>
      </c>
      <c r="AG7" s="123">
        <f>U7+W7+Y7+AA7+AC7+AE7</f>
        <v>1</v>
      </c>
      <c r="AH7" s="178">
        <f>V7+X7+Z7+AB7+AD7+AF7</f>
        <v>20691.596236637619</v>
      </c>
      <c r="AI7" s="173">
        <f>$AI$1+AH7</f>
        <v>24076.090463428787</v>
      </c>
      <c r="AJ7" s="173">
        <f>AI7+$AJ$1</f>
        <v>25977.214849929784</v>
      </c>
      <c r="AK7" s="173">
        <f>AI7+$AK$1</f>
        <v>26407.976565995676</v>
      </c>
      <c r="AL7" s="176">
        <f>AJ7</f>
        <v>25977.214849929784</v>
      </c>
      <c r="AM7" s="131">
        <f>$AM$4*AN7/1000</f>
        <v>30740</v>
      </c>
      <c r="AN7" s="109">
        <v>1160</v>
      </c>
      <c r="AO7" s="131">
        <f>AM7-AL7</f>
        <v>4762.7851500702163</v>
      </c>
      <c r="AP7" s="154">
        <f>AO7/AM7</f>
        <v>0.15493770820007211</v>
      </c>
      <c r="AR7" s="109">
        <f>AH7/$AM$4*1000</f>
        <v>780.81495232594784</v>
      </c>
    </row>
    <row r="8" spans="2:44" x14ac:dyDescent="0.35">
      <c r="T8" s="118" t="s">
        <v>369</v>
      </c>
      <c r="U8" s="126">
        <v>0.3</v>
      </c>
      <c r="V8" s="135">
        <f>U8*$U$3</f>
        <v>5464.9929913443229</v>
      </c>
      <c r="W8" s="126">
        <v>0.7</v>
      </c>
      <c r="X8" s="135">
        <f>W8*$W$3</f>
        <v>14676.613704814064</v>
      </c>
      <c r="Y8" s="118"/>
      <c r="Z8" s="135">
        <f>Y8*$Y$3</f>
        <v>0</v>
      </c>
      <c r="AA8" s="118"/>
      <c r="AB8" s="118">
        <f t="shared" ref="AB8:AB11" si="0">AA8*$AA$3</f>
        <v>0</v>
      </c>
      <c r="AC8" s="118"/>
      <c r="AD8" s="118">
        <f t="shared" ref="AD8:AD11" si="1">AC8*$AC$3</f>
        <v>0</v>
      </c>
      <c r="AE8" s="118"/>
      <c r="AF8" s="118">
        <f t="shared" ref="AF8:AF11" si="2">AE8*$AE$3</f>
        <v>0</v>
      </c>
      <c r="AG8" s="125">
        <f t="shared" ref="AG8:AH11" si="3">U8+W8+Y8+AA8+AC8+AE8</f>
        <v>1</v>
      </c>
      <c r="AH8" s="178">
        <f t="shared" si="3"/>
        <v>20141.606696158386</v>
      </c>
      <c r="AI8" s="173">
        <f t="shared" ref="AI8:AI11" si="4">$AI$1+AH8</f>
        <v>23526.100922949554</v>
      </c>
      <c r="AJ8" s="173">
        <f t="shared" ref="AJ8:AJ11" si="5">AI8+$AJ$1</f>
        <v>25427.22530945055</v>
      </c>
      <c r="AK8" s="173">
        <f t="shared" ref="AK8:AK11" si="6">AI8+$AK$1</f>
        <v>25857.987025516442</v>
      </c>
      <c r="AL8" s="176">
        <f t="shared" ref="AL8:AL11" si="7">AJ8</f>
        <v>25427.22530945055</v>
      </c>
      <c r="AM8" s="131">
        <f t="shared" ref="AM8:AM11" si="8">$AM$4*AN8/1000</f>
        <v>31535</v>
      </c>
      <c r="AN8" s="131">
        <f>AN7+30</f>
        <v>1190</v>
      </c>
      <c r="AO8" s="131">
        <f t="shared" ref="AO8:AO11" si="9">AM8-AL8</f>
        <v>6107.7746905494496</v>
      </c>
      <c r="AP8" s="154">
        <f t="shared" ref="AP8:AP11" si="10">AO8/AM8</f>
        <v>0.19368240654984778</v>
      </c>
      <c r="AR8" s="109">
        <f t="shared" ref="AR8:AR11" si="11">AH8/$AM$4*1000</f>
        <v>760.06063004371276</v>
      </c>
    </row>
    <row r="9" spans="2:44" x14ac:dyDescent="0.35">
      <c r="T9" s="118" t="s">
        <v>370</v>
      </c>
      <c r="U9" s="119">
        <v>0.55000000000000004</v>
      </c>
      <c r="V9" s="135">
        <f>U9*$U$3</f>
        <v>10019.153817464592</v>
      </c>
      <c r="W9" s="119">
        <v>0.3</v>
      </c>
      <c r="X9" s="135">
        <f>W9*$W$3</f>
        <v>6289.9773020631701</v>
      </c>
      <c r="Y9" s="119">
        <v>0.15</v>
      </c>
      <c r="Z9" s="135">
        <f>Y9*$Y$3</f>
        <v>2732.4964956721615</v>
      </c>
      <c r="AA9" s="118"/>
      <c r="AB9" s="118">
        <f t="shared" si="0"/>
        <v>0</v>
      </c>
      <c r="AC9" s="118"/>
      <c r="AD9" s="118">
        <f t="shared" si="1"/>
        <v>0</v>
      </c>
      <c r="AE9" s="118"/>
      <c r="AF9" s="118">
        <f t="shared" si="2"/>
        <v>0</v>
      </c>
      <c r="AG9" s="123">
        <f t="shared" si="3"/>
        <v>1</v>
      </c>
      <c r="AH9" s="178">
        <f t="shared" si="3"/>
        <v>19041.627615199926</v>
      </c>
      <c r="AI9" s="173">
        <f t="shared" si="4"/>
        <v>22426.121841991095</v>
      </c>
      <c r="AJ9" s="173">
        <f t="shared" si="5"/>
        <v>24327.246228492091</v>
      </c>
      <c r="AK9" s="173">
        <f t="shared" si="6"/>
        <v>24758.007944557983</v>
      </c>
      <c r="AL9" s="176">
        <f t="shared" si="7"/>
        <v>24327.246228492091</v>
      </c>
      <c r="AM9" s="131">
        <f t="shared" si="8"/>
        <v>28885</v>
      </c>
      <c r="AN9" s="131">
        <f>AN7-70</f>
        <v>1090</v>
      </c>
      <c r="AO9" s="131">
        <f t="shared" si="9"/>
        <v>4557.7537715079088</v>
      </c>
      <c r="AP9" s="154">
        <f t="shared" si="10"/>
        <v>0.15778964069613671</v>
      </c>
      <c r="AR9" s="109">
        <f t="shared" si="11"/>
        <v>718.55198547924249</v>
      </c>
    </row>
    <row r="10" spans="2:44" x14ac:dyDescent="0.35">
      <c r="T10" s="118" t="s">
        <v>371</v>
      </c>
      <c r="U10" s="119">
        <v>0.95</v>
      </c>
      <c r="V10" s="135">
        <f>U10*$U$3</f>
        <v>17305.811139257021</v>
      </c>
      <c r="W10" s="263"/>
      <c r="X10" s="265">
        <f>W10*$W$3</f>
        <v>0</v>
      </c>
      <c r="Y10" s="118"/>
      <c r="Z10" s="135">
        <f>Y10*$Y$3</f>
        <v>0</v>
      </c>
      <c r="AA10" s="263">
        <v>0.05</v>
      </c>
      <c r="AB10" s="265">
        <f t="shared" si="0"/>
        <v>845.84172831507442</v>
      </c>
      <c r="AC10" s="118"/>
      <c r="AD10" s="118">
        <f t="shared" si="1"/>
        <v>0</v>
      </c>
      <c r="AE10" s="118"/>
      <c r="AF10" s="118">
        <f t="shared" si="2"/>
        <v>0</v>
      </c>
      <c r="AG10" s="123">
        <f t="shared" si="3"/>
        <v>1</v>
      </c>
      <c r="AH10" s="178">
        <f t="shared" si="3"/>
        <v>18151.652867572095</v>
      </c>
      <c r="AI10" s="173">
        <f t="shared" si="4"/>
        <v>21536.147094363259</v>
      </c>
      <c r="AJ10" s="173">
        <f t="shared" si="5"/>
        <v>23437.271480864256</v>
      </c>
      <c r="AK10" s="173">
        <f t="shared" si="6"/>
        <v>23868.033196930148</v>
      </c>
      <c r="AL10" s="176">
        <f t="shared" si="7"/>
        <v>23437.271480864256</v>
      </c>
      <c r="AM10" s="131">
        <f t="shared" si="8"/>
        <v>19080</v>
      </c>
      <c r="AN10" s="131">
        <v>720</v>
      </c>
      <c r="AO10" s="131">
        <f t="shared" si="9"/>
        <v>-4357.2714808642559</v>
      </c>
      <c r="AP10" s="154">
        <f t="shared" si="10"/>
        <v>-0.22836852625074716</v>
      </c>
      <c r="AR10" s="109">
        <f t="shared" si="11"/>
        <v>684.9680327385696</v>
      </c>
    </row>
    <row r="11" spans="2:44" x14ac:dyDescent="0.35">
      <c r="T11" s="118" t="s">
        <v>373</v>
      </c>
      <c r="U11" s="119">
        <v>0.65</v>
      </c>
      <c r="V11" s="135">
        <f>U11*$U$3</f>
        <v>11840.8181479127</v>
      </c>
      <c r="W11" s="119">
        <v>0.15</v>
      </c>
      <c r="X11" s="135">
        <f>W11*$W$3</f>
        <v>3144.9886510315851</v>
      </c>
      <c r="Y11" s="263"/>
      <c r="Z11" s="265">
        <f>Y11*$Y$3</f>
        <v>0</v>
      </c>
      <c r="AA11" s="263">
        <v>0.2</v>
      </c>
      <c r="AB11" s="265">
        <f t="shared" si="0"/>
        <v>3383.3669132602977</v>
      </c>
      <c r="AC11" s="118"/>
      <c r="AD11" s="118">
        <f t="shared" si="1"/>
        <v>0</v>
      </c>
      <c r="AE11" s="118"/>
      <c r="AF11" s="118">
        <f t="shared" si="2"/>
        <v>0</v>
      </c>
      <c r="AG11" s="123">
        <f t="shared" si="3"/>
        <v>1</v>
      </c>
      <c r="AH11" s="178">
        <f t="shared" si="3"/>
        <v>18369.173712204582</v>
      </c>
      <c r="AI11" s="173">
        <f t="shared" si="4"/>
        <v>21753.66793899575</v>
      </c>
      <c r="AJ11" s="173">
        <f t="shared" si="5"/>
        <v>23654.792325496746</v>
      </c>
      <c r="AK11" s="173">
        <f t="shared" si="6"/>
        <v>24085.554041562638</v>
      </c>
      <c r="AL11" s="176">
        <f t="shared" si="7"/>
        <v>23654.792325496746</v>
      </c>
      <c r="AM11" s="131">
        <f t="shared" si="8"/>
        <v>25970</v>
      </c>
      <c r="AN11" s="180">
        <v>980</v>
      </c>
      <c r="AO11" s="131">
        <f t="shared" si="9"/>
        <v>2315.2076745032537</v>
      </c>
      <c r="AP11" s="154">
        <f t="shared" si="10"/>
        <v>8.9149313611985123E-2</v>
      </c>
      <c r="AR11" s="109">
        <f t="shared" si="11"/>
        <v>693.17636649828603</v>
      </c>
    </row>
    <row r="14" spans="2:44" x14ac:dyDescent="0.35">
      <c r="T14" s="120" t="s">
        <v>387</v>
      </c>
      <c r="W14" s="117" t="s">
        <v>48</v>
      </c>
      <c r="AG14" s="127">
        <v>0.53</v>
      </c>
    </row>
    <row r="15" spans="2:44" x14ac:dyDescent="0.35">
      <c r="T15" s="118" t="s">
        <v>377</v>
      </c>
      <c r="U15" s="118"/>
      <c r="V15" s="118">
        <f t="shared" ref="V15:V18" si="12">U15*$U$3</f>
        <v>0</v>
      </c>
      <c r="W15" s="179">
        <v>1</v>
      </c>
      <c r="X15" s="135">
        <f t="shared" ref="X15:X18" si="13">W15*$W$3</f>
        <v>20966.591006877235</v>
      </c>
      <c r="Y15" s="118"/>
      <c r="Z15" s="118">
        <f t="shared" ref="Z15:Z18" si="14">Y15*$Y$3</f>
        <v>0</v>
      </c>
      <c r="AA15" s="118"/>
      <c r="AB15" s="118">
        <f t="shared" ref="AB15:AB18" si="15">AA15*$AA$3</f>
        <v>0</v>
      </c>
      <c r="AC15" s="118"/>
      <c r="AD15" s="118">
        <f t="shared" ref="AD15:AD18" si="16">AC15*$AC$3</f>
        <v>0</v>
      </c>
      <c r="AE15" s="118"/>
      <c r="AF15" s="118">
        <f t="shared" ref="AF15:AF18" si="17">AE15*$AE$3</f>
        <v>0</v>
      </c>
      <c r="AG15" s="123">
        <f t="shared" ref="AG15:AH18" si="18">U15+W15+Y15+AA15+AC15+AE15</f>
        <v>1</v>
      </c>
      <c r="AH15" s="178">
        <f t="shared" si="18"/>
        <v>20966.591006877235</v>
      </c>
      <c r="AI15" s="173">
        <f t="shared" ref="AI15:AI18" si="19">$AI$1+AH15</f>
        <v>24351.085233668404</v>
      </c>
      <c r="AJ15" s="173">
        <f t="shared" ref="AJ15:AJ18" si="20">AI15+$AJ$1</f>
        <v>26252.2096201694</v>
      </c>
      <c r="AK15" s="173">
        <f t="shared" ref="AK15:AK18" si="21">AI15+$AK$1</f>
        <v>26682.971336235292</v>
      </c>
      <c r="AL15" s="176">
        <f t="shared" ref="AL15:AL18" si="22">AJ15</f>
        <v>26252.2096201694</v>
      </c>
      <c r="AM15" s="131">
        <f>$AM$4*AN15/1000</f>
        <v>30740</v>
      </c>
      <c r="AN15" s="131">
        <f>AN7</f>
        <v>1160</v>
      </c>
      <c r="AO15" s="131">
        <f t="shared" ref="AO15:AO18" si="23">AM15-AL15</f>
        <v>4487.7903798305997</v>
      </c>
      <c r="AP15" s="154">
        <f t="shared" ref="AP15:AP18" si="24">AO15/AM15</f>
        <v>0.14599187963014312</v>
      </c>
      <c r="AR15" s="109">
        <f t="shared" ref="AR15:AR18" si="25">AH15/$AM$4*1000</f>
        <v>791.1921134670655</v>
      </c>
    </row>
    <row r="16" spans="2:44" x14ac:dyDescent="0.35">
      <c r="T16" s="118" t="s">
        <v>378</v>
      </c>
      <c r="U16" s="118"/>
      <c r="V16" s="118">
        <f t="shared" si="12"/>
        <v>0</v>
      </c>
      <c r="W16" s="179">
        <v>1</v>
      </c>
      <c r="X16" s="135">
        <f t="shared" si="13"/>
        <v>20966.591006877235</v>
      </c>
      <c r="Y16" s="118"/>
      <c r="Z16" s="118">
        <f t="shared" si="14"/>
        <v>0</v>
      </c>
      <c r="AA16" s="118"/>
      <c r="AB16" s="118">
        <f t="shared" si="15"/>
        <v>0</v>
      </c>
      <c r="AC16" s="118"/>
      <c r="AD16" s="118">
        <f t="shared" si="16"/>
        <v>0</v>
      </c>
      <c r="AE16" s="118"/>
      <c r="AF16" s="118">
        <f t="shared" si="17"/>
        <v>0</v>
      </c>
      <c r="AG16" s="123">
        <f t="shared" si="18"/>
        <v>1</v>
      </c>
      <c r="AH16" s="178">
        <f t="shared" si="18"/>
        <v>20966.591006877235</v>
      </c>
      <c r="AI16" s="173">
        <f t="shared" si="19"/>
        <v>24351.085233668404</v>
      </c>
      <c r="AJ16" s="173">
        <f t="shared" si="20"/>
        <v>26252.2096201694</v>
      </c>
      <c r="AK16" s="173">
        <f t="shared" si="21"/>
        <v>26682.971336235292</v>
      </c>
      <c r="AL16" s="176">
        <f t="shared" si="22"/>
        <v>26252.2096201694</v>
      </c>
      <c r="AM16" s="131">
        <f t="shared" ref="AM16:AM18" si="26">$AM$4*AN16/1000</f>
        <v>31535</v>
      </c>
      <c r="AN16" s="131">
        <f>AN7+30</f>
        <v>1190</v>
      </c>
      <c r="AO16" s="131">
        <f t="shared" si="23"/>
        <v>5282.7903798305997</v>
      </c>
      <c r="AP16" s="154">
        <f t="shared" si="24"/>
        <v>0.16752149611005548</v>
      </c>
      <c r="AR16" s="109">
        <f t="shared" si="25"/>
        <v>791.1921134670655</v>
      </c>
    </row>
    <row r="17" spans="20:52" x14ac:dyDescent="0.35">
      <c r="T17" s="118" t="s">
        <v>379</v>
      </c>
      <c r="U17" s="118"/>
      <c r="V17" s="118">
        <f t="shared" si="12"/>
        <v>0</v>
      </c>
      <c r="W17" s="179">
        <v>1</v>
      </c>
      <c r="X17" s="135">
        <f t="shared" si="13"/>
        <v>20966.591006877235</v>
      </c>
      <c r="Y17" s="118"/>
      <c r="Z17" s="118">
        <f t="shared" si="14"/>
        <v>0</v>
      </c>
      <c r="AA17" s="118"/>
      <c r="AB17" s="118">
        <f t="shared" si="15"/>
        <v>0</v>
      </c>
      <c r="AC17" s="118"/>
      <c r="AD17" s="118">
        <f t="shared" si="16"/>
        <v>0</v>
      </c>
      <c r="AE17" s="118"/>
      <c r="AF17" s="118">
        <f t="shared" si="17"/>
        <v>0</v>
      </c>
      <c r="AG17" s="123">
        <f t="shared" si="18"/>
        <v>1</v>
      </c>
      <c r="AH17" s="178">
        <f t="shared" si="18"/>
        <v>20966.591006877235</v>
      </c>
      <c r="AI17" s="173">
        <f t="shared" si="19"/>
        <v>24351.085233668404</v>
      </c>
      <c r="AJ17" s="173">
        <f t="shared" si="20"/>
        <v>26252.2096201694</v>
      </c>
      <c r="AK17" s="173">
        <f t="shared" si="21"/>
        <v>26682.971336235292</v>
      </c>
      <c r="AL17" s="176">
        <f t="shared" si="22"/>
        <v>26252.2096201694</v>
      </c>
      <c r="AM17" s="131">
        <f t="shared" si="26"/>
        <v>33125</v>
      </c>
      <c r="AN17" s="131">
        <f>AN7+90</f>
        <v>1250</v>
      </c>
      <c r="AO17" s="131">
        <f t="shared" si="23"/>
        <v>6872.7903798305997</v>
      </c>
      <c r="AP17" s="154">
        <f t="shared" si="24"/>
        <v>0.20748046429677283</v>
      </c>
      <c r="AR17" s="109">
        <f t="shared" si="25"/>
        <v>791.1921134670655</v>
      </c>
    </row>
    <row r="18" spans="20:52" x14ac:dyDescent="0.35">
      <c r="T18" s="118" t="s">
        <v>380</v>
      </c>
      <c r="U18" s="118"/>
      <c r="V18" s="118">
        <f t="shared" si="12"/>
        <v>0</v>
      </c>
      <c r="W18" s="179">
        <v>1</v>
      </c>
      <c r="X18" s="135">
        <f t="shared" si="13"/>
        <v>20966.591006877235</v>
      </c>
      <c r="Y18" s="118"/>
      <c r="Z18" s="118">
        <f t="shared" si="14"/>
        <v>0</v>
      </c>
      <c r="AA18" s="118"/>
      <c r="AB18" s="118">
        <f t="shared" si="15"/>
        <v>0</v>
      </c>
      <c r="AC18" s="118"/>
      <c r="AD18" s="118">
        <f t="shared" si="16"/>
        <v>0</v>
      </c>
      <c r="AE18" s="118"/>
      <c r="AF18" s="118">
        <f t="shared" si="17"/>
        <v>0</v>
      </c>
      <c r="AG18" s="123">
        <f t="shared" si="18"/>
        <v>1</v>
      </c>
      <c r="AH18" s="178">
        <f t="shared" si="18"/>
        <v>20966.591006877235</v>
      </c>
      <c r="AI18" s="173">
        <f t="shared" si="19"/>
        <v>24351.085233668404</v>
      </c>
      <c r="AJ18" s="173">
        <f t="shared" si="20"/>
        <v>26252.2096201694</v>
      </c>
      <c r="AK18" s="173">
        <f t="shared" si="21"/>
        <v>26682.971336235292</v>
      </c>
      <c r="AL18" s="176">
        <f t="shared" si="22"/>
        <v>26252.2096201694</v>
      </c>
      <c r="AM18" s="131">
        <f t="shared" si="26"/>
        <v>29945</v>
      </c>
      <c r="AN18" s="131">
        <f>AN7-30</f>
        <v>1130</v>
      </c>
      <c r="AO18" s="131">
        <f t="shared" si="23"/>
        <v>3692.7903798305997</v>
      </c>
      <c r="AP18" s="154">
        <f t="shared" si="24"/>
        <v>0.12331909767342127</v>
      </c>
      <c r="AR18" s="109">
        <f t="shared" si="25"/>
        <v>791.1921134670655</v>
      </c>
    </row>
    <row r="24" spans="20:52" x14ac:dyDescent="0.35">
      <c r="T24" s="120" t="s">
        <v>388</v>
      </c>
      <c r="AG24" s="127">
        <v>0.05</v>
      </c>
    </row>
    <row r="25" spans="20:52" x14ac:dyDescent="0.35">
      <c r="T25" s="118" t="s">
        <v>368</v>
      </c>
      <c r="U25" s="118"/>
      <c r="V25" s="135">
        <f t="shared" ref="V25:V29" si="27">U25*$U$3</f>
        <v>0</v>
      </c>
      <c r="W25" s="119">
        <v>0.9</v>
      </c>
      <c r="X25" s="135">
        <f t="shared" ref="X25:X29" si="28">W25*$W$3</f>
        <v>18869.931906189511</v>
      </c>
      <c r="Y25" s="119">
        <v>0.1</v>
      </c>
      <c r="Z25" s="135">
        <f t="shared" ref="Z25:Z29" si="29">Y25*$Y$3</f>
        <v>1821.6643304481076</v>
      </c>
      <c r="AA25" s="118"/>
      <c r="AB25" s="135">
        <f t="shared" ref="AB25:AB29" si="30">AA25*$AA$3</f>
        <v>0</v>
      </c>
      <c r="AC25" s="118"/>
      <c r="AD25" s="135">
        <f t="shared" ref="AD25:AD29" si="31">AC25*$AC$3</f>
        <v>0</v>
      </c>
      <c r="AE25" s="118"/>
      <c r="AF25" s="118">
        <f t="shared" ref="AF25:AF29" si="32">AE25*$AE$3</f>
        <v>0</v>
      </c>
      <c r="AG25" s="123">
        <f t="shared" ref="AG25:AH29" si="33">U25+W25+Y25+AA25+AC25+AE25</f>
        <v>1</v>
      </c>
      <c r="AH25" s="178">
        <f t="shared" si="33"/>
        <v>20691.596236637619</v>
      </c>
      <c r="AI25" s="173">
        <f t="shared" ref="AI25:AI29" si="34">$AI$1+AH25</f>
        <v>24076.090463428787</v>
      </c>
      <c r="AJ25" s="173">
        <f t="shared" ref="AJ25:AJ29" si="35">AI25+$AJ$1</f>
        <v>25977.214849929784</v>
      </c>
      <c r="AK25" s="173">
        <f t="shared" ref="AK25:AK29" si="36">AI25+$AK$1</f>
        <v>26407.976565995676</v>
      </c>
      <c r="AL25" s="176">
        <f t="shared" ref="AL25:AL29" si="37">AJ25</f>
        <v>25977.214849929784</v>
      </c>
      <c r="AM25" s="131">
        <f t="shared" ref="AM25:AM29" si="38">$AM$4*AN25/1000</f>
        <v>30740</v>
      </c>
      <c r="AN25" s="131">
        <f>AN7</f>
        <v>1160</v>
      </c>
      <c r="AO25" s="131">
        <f t="shared" ref="AO25:AO29" si="39">AM25-AL25</f>
        <v>4762.7851500702163</v>
      </c>
      <c r="AP25" s="154">
        <f t="shared" ref="AP25:AP29" si="40">AO25/AM25</f>
        <v>0.15493770820007211</v>
      </c>
      <c r="AR25" s="109">
        <f t="shared" ref="AR25:AR29" si="41">AH25/$AM$4*1000</f>
        <v>780.81495232594784</v>
      </c>
    </row>
    <row r="26" spans="20:52" x14ac:dyDescent="0.35">
      <c r="T26" s="181" t="s">
        <v>370</v>
      </c>
      <c r="U26" s="119">
        <v>0.55000000000000004</v>
      </c>
      <c r="V26" s="135">
        <f t="shared" si="27"/>
        <v>10019.153817464592</v>
      </c>
      <c r="W26" s="119">
        <v>0.3</v>
      </c>
      <c r="X26" s="135">
        <f t="shared" si="28"/>
        <v>6289.9773020631701</v>
      </c>
      <c r="Y26" s="119">
        <v>0.15</v>
      </c>
      <c r="Z26" s="135">
        <f t="shared" si="29"/>
        <v>2732.4964956721615</v>
      </c>
      <c r="AA26" s="118"/>
      <c r="AB26" s="135">
        <f t="shared" si="30"/>
        <v>0</v>
      </c>
      <c r="AC26" s="118"/>
      <c r="AD26" s="135">
        <f t="shared" si="31"/>
        <v>0</v>
      </c>
      <c r="AE26" s="118"/>
      <c r="AF26" s="118">
        <f t="shared" si="32"/>
        <v>0</v>
      </c>
      <c r="AG26" s="123">
        <f t="shared" si="33"/>
        <v>1</v>
      </c>
      <c r="AH26" s="178">
        <f t="shared" si="33"/>
        <v>19041.627615199926</v>
      </c>
      <c r="AI26" s="173">
        <f t="shared" si="34"/>
        <v>22426.121841991095</v>
      </c>
      <c r="AJ26" s="173">
        <f t="shared" si="35"/>
        <v>24327.246228492091</v>
      </c>
      <c r="AK26" s="173">
        <f t="shared" si="36"/>
        <v>24758.007944557983</v>
      </c>
      <c r="AL26" s="176">
        <f t="shared" si="37"/>
        <v>24327.246228492091</v>
      </c>
      <c r="AM26" s="131">
        <f t="shared" si="38"/>
        <v>28885</v>
      </c>
      <c r="AN26" s="131">
        <f>AN7-70</f>
        <v>1090</v>
      </c>
      <c r="AO26" s="131">
        <f t="shared" si="39"/>
        <v>4557.7537715079088</v>
      </c>
      <c r="AP26" s="154">
        <f t="shared" si="40"/>
        <v>0.15778964069613671</v>
      </c>
      <c r="AR26" s="109">
        <f t="shared" si="41"/>
        <v>718.55198547924249</v>
      </c>
      <c r="AT26" s="183">
        <v>1074</v>
      </c>
      <c r="AU26" t="s">
        <v>458</v>
      </c>
      <c r="AV26" t="s">
        <v>459</v>
      </c>
      <c r="AW26" t="s">
        <v>460</v>
      </c>
      <c r="AY26" t="s">
        <v>465</v>
      </c>
      <c r="AZ26" t="s">
        <v>466</v>
      </c>
    </row>
    <row r="27" spans="20:52" x14ac:dyDescent="0.35">
      <c r="T27" s="118" t="s">
        <v>386</v>
      </c>
      <c r="U27" s="118"/>
      <c r="V27" s="135">
        <f t="shared" si="27"/>
        <v>0</v>
      </c>
      <c r="W27" s="119">
        <v>0.4</v>
      </c>
      <c r="X27" s="135">
        <f t="shared" si="28"/>
        <v>8386.6364027508953</v>
      </c>
      <c r="Y27" s="118"/>
      <c r="Z27" s="135">
        <f t="shared" si="29"/>
        <v>0</v>
      </c>
      <c r="AA27" s="119">
        <v>0.5</v>
      </c>
      <c r="AB27" s="135">
        <f t="shared" si="30"/>
        <v>8458.417283150744</v>
      </c>
      <c r="AC27" s="119">
        <v>0.1</v>
      </c>
      <c r="AD27" s="135">
        <f t="shared" si="31"/>
        <v>1434.1250211551117</v>
      </c>
      <c r="AE27" s="118"/>
      <c r="AF27" s="118">
        <f t="shared" si="32"/>
        <v>0</v>
      </c>
      <c r="AG27" s="123">
        <f t="shared" si="33"/>
        <v>1</v>
      </c>
      <c r="AH27" s="178">
        <f t="shared" si="33"/>
        <v>18279.178707056752</v>
      </c>
      <c r="AI27" s="173">
        <f t="shared" si="34"/>
        <v>21663.67293384792</v>
      </c>
      <c r="AJ27" s="173">
        <f t="shared" si="35"/>
        <v>23564.797320348916</v>
      </c>
      <c r="AK27" s="173">
        <f t="shared" si="36"/>
        <v>23995.559036414808</v>
      </c>
      <c r="AL27" s="176">
        <f t="shared" si="37"/>
        <v>23564.797320348916</v>
      </c>
      <c r="AM27" s="131">
        <f t="shared" si="38"/>
        <v>30740</v>
      </c>
      <c r="AN27" s="131">
        <f>AN7</f>
        <v>1160</v>
      </c>
      <c r="AO27" s="131">
        <f t="shared" si="39"/>
        <v>7175.2026796510836</v>
      </c>
      <c r="AP27" s="154">
        <f t="shared" si="40"/>
        <v>0.23341583212918293</v>
      </c>
      <c r="AR27" s="109">
        <f t="shared" si="41"/>
        <v>689.78032856817924</v>
      </c>
    </row>
    <row r="28" spans="20:52" x14ac:dyDescent="0.35">
      <c r="T28" s="181" t="s">
        <v>371</v>
      </c>
      <c r="U28" s="119">
        <v>0.95</v>
      </c>
      <c r="V28" s="135">
        <f t="shared" si="27"/>
        <v>17305.811139257021</v>
      </c>
      <c r="W28" s="118"/>
      <c r="X28" s="135">
        <f t="shared" si="28"/>
        <v>0</v>
      </c>
      <c r="Y28" s="118"/>
      <c r="Z28" s="135">
        <f t="shared" si="29"/>
        <v>0</v>
      </c>
      <c r="AA28" s="119">
        <v>0.05</v>
      </c>
      <c r="AB28" s="135">
        <f t="shared" si="30"/>
        <v>845.84172831507442</v>
      </c>
      <c r="AC28" s="118"/>
      <c r="AD28" s="135">
        <f t="shared" si="31"/>
        <v>0</v>
      </c>
      <c r="AE28" s="118"/>
      <c r="AF28" s="118">
        <f t="shared" si="32"/>
        <v>0</v>
      </c>
      <c r="AG28" s="123">
        <f t="shared" si="33"/>
        <v>1</v>
      </c>
      <c r="AH28" s="178">
        <f t="shared" si="33"/>
        <v>18151.652867572095</v>
      </c>
      <c r="AI28" s="173">
        <f t="shared" si="34"/>
        <v>21536.147094363259</v>
      </c>
      <c r="AJ28" s="173">
        <f t="shared" si="35"/>
        <v>23437.271480864256</v>
      </c>
      <c r="AK28" s="173">
        <f t="shared" si="36"/>
        <v>23868.033196930148</v>
      </c>
      <c r="AL28" s="176">
        <f t="shared" si="37"/>
        <v>23437.271480864256</v>
      </c>
      <c r="AM28" s="131">
        <f t="shared" si="38"/>
        <v>19080</v>
      </c>
      <c r="AN28" s="131">
        <f>AN10</f>
        <v>720</v>
      </c>
      <c r="AO28" s="131">
        <f t="shared" si="39"/>
        <v>-4357.2714808642559</v>
      </c>
      <c r="AP28" s="154">
        <f t="shared" si="40"/>
        <v>-0.22836852625074716</v>
      </c>
      <c r="AR28" s="109">
        <f t="shared" si="41"/>
        <v>684.9680327385696</v>
      </c>
      <c r="AU28" s="180" t="s">
        <v>462</v>
      </c>
      <c r="AV28" t="s">
        <v>461</v>
      </c>
      <c r="AW28" s="182" t="s">
        <v>463</v>
      </c>
    </row>
    <row r="29" spans="20:52" x14ac:dyDescent="0.35">
      <c r="T29" s="118" t="s">
        <v>373</v>
      </c>
      <c r="U29" s="119">
        <v>0.65</v>
      </c>
      <c r="V29" s="135">
        <f t="shared" si="27"/>
        <v>11840.8181479127</v>
      </c>
      <c r="W29" s="119">
        <v>0.15</v>
      </c>
      <c r="X29" s="135">
        <f t="shared" si="28"/>
        <v>3144.9886510315851</v>
      </c>
      <c r="Y29" s="118"/>
      <c r="Z29" s="135">
        <f t="shared" si="29"/>
        <v>0</v>
      </c>
      <c r="AA29" s="119">
        <v>0.2</v>
      </c>
      <c r="AB29" s="135">
        <f t="shared" si="30"/>
        <v>3383.3669132602977</v>
      </c>
      <c r="AC29" s="118"/>
      <c r="AD29" s="135">
        <f t="shared" si="31"/>
        <v>0</v>
      </c>
      <c r="AE29" s="118"/>
      <c r="AF29" s="118">
        <f t="shared" si="32"/>
        <v>0</v>
      </c>
      <c r="AG29" s="123">
        <f t="shared" si="33"/>
        <v>1</v>
      </c>
      <c r="AH29" s="178">
        <f t="shared" si="33"/>
        <v>18369.173712204582</v>
      </c>
      <c r="AI29" s="173">
        <f t="shared" si="34"/>
        <v>21753.66793899575</v>
      </c>
      <c r="AJ29" s="173">
        <f t="shared" si="35"/>
        <v>23654.792325496746</v>
      </c>
      <c r="AK29" s="173">
        <f t="shared" si="36"/>
        <v>24085.554041562638</v>
      </c>
      <c r="AL29" s="176">
        <f t="shared" si="37"/>
        <v>23654.792325496746</v>
      </c>
      <c r="AM29" s="131">
        <f t="shared" si="38"/>
        <v>19080</v>
      </c>
      <c r="AN29" s="180">
        <v>720</v>
      </c>
      <c r="AO29" s="131">
        <f t="shared" si="39"/>
        <v>-4574.7923254967463</v>
      </c>
      <c r="AP29" s="154">
        <f t="shared" si="40"/>
        <v>-0.23976898980590913</v>
      </c>
      <c r="AR29" s="109">
        <f t="shared" si="41"/>
        <v>693.17636649828603</v>
      </c>
      <c r="AS29" s="131">
        <f>AN29-AR29</f>
        <v>26.823633501713971</v>
      </c>
      <c r="AT29" s="186">
        <f>AS29/AN29</f>
        <v>3.7255046530158292E-2</v>
      </c>
    </row>
    <row r="32" spans="20:52" x14ac:dyDescent="0.35">
      <c r="T32" s="120" t="s">
        <v>389</v>
      </c>
      <c r="AG32" s="127">
        <v>0.02</v>
      </c>
    </row>
    <row r="33" spans="20:70" x14ac:dyDescent="0.35">
      <c r="T33" s="118" t="s">
        <v>381</v>
      </c>
      <c r="U33" s="118"/>
      <c r="V33" s="118">
        <f t="shared" ref="V33" si="42">U33*$U$3</f>
        <v>0</v>
      </c>
      <c r="W33" s="118"/>
      <c r="X33" s="118">
        <f>W33*$W$3</f>
        <v>0</v>
      </c>
      <c r="Y33" s="118"/>
      <c r="Z33" s="118">
        <f>Y33*$Y$3</f>
        <v>0</v>
      </c>
      <c r="AA33" s="118"/>
      <c r="AB33" s="118"/>
      <c r="AC33" s="118"/>
      <c r="AD33" s="118">
        <f t="shared" ref="AD33" si="43">AC33*$AC$3</f>
        <v>0</v>
      </c>
      <c r="AE33" s="119">
        <v>1</v>
      </c>
      <c r="AF33" s="135">
        <f>AE33*$AE$3</f>
        <v>16505.154167896559</v>
      </c>
      <c r="AG33" s="123">
        <f>U33+W33+Y33+AA33+AC33+AE33</f>
        <v>1</v>
      </c>
      <c r="AH33" s="178">
        <f>V33+X33+Z33+AB33+AD33+AF33</f>
        <v>16505.154167896559</v>
      </c>
      <c r="AI33" s="173">
        <f t="shared" ref="AI33" si="44">$AI$1+AH33</f>
        <v>19889.648394687727</v>
      </c>
      <c r="AJ33" s="173">
        <f t="shared" ref="AJ33" si="45">AI33+$AJ$1</f>
        <v>21790.772781188723</v>
      </c>
      <c r="AK33" s="173">
        <f t="shared" ref="AK33" si="46">AI33+$AK$1</f>
        <v>22221.534497254615</v>
      </c>
      <c r="AL33" s="176">
        <f t="shared" ref="AL33" si="47">AJ33</f>
        <v>21790.772781188723</v>
      </c>
      <c r="AM33" s="131">
        <f t="shared" ref="AM33" si="48">$AM$4*AN33/1000</f>
        <v>19000.5</v>
      </c>
      <c r="AN33">
        <v>717</v>
      </c>
      <c r="AO33" s="131">
        <f t="shared" ref="AO33" si="49">AM33-AL33</f>
        <v>-2790.2727811887235</v>
      </c>
      <c r="AP33" s="154">
        <f t="shared" ref="AP33" si="50">AO33/AM33</f>
        <v>-0.14685259762578476</v>
      </c>
    </row>
    <row r="35" spans="20:70" x14ac:dyDescent="0.35">
      <c r="AE35" s="109">
        <f>'Giá mua Chai-Vảy'!O40</f>
        <v>8000</v>
      </c>
      <c r="AI35" s="134"/>
      <c r="AJ35" s="134"/>
      <c r="AK35" s="134"/>
      <c r="AL35" s="122"/>
      <c r="AM35" s="122"/>
      <c r="AN35" s="122"/>
      <c r="AO35" s="134"/>
    </row>
    <row r="36" spans="20:70" x14ac:dyDescent="0.35">
      <c r="T36" s="120" t="s">
        <v>447</v>
      </c>
      <c r="AG36" s="127">
        <v>0.01</v>
      </c>
      <c r="AH36" s="122"/>
      <c r="AI36"/>
      <c r="AJ36"/>
      <c r="AK36" s="134"/>
      <c r="AL36" s="122"/>
      <c r="AM36" s="122"/>
      <c r="AN36" s="122"/>
      <c r="AO36" s="134"/>
    </row>
    <row r="37" spans="20:70" x14ac:dyDescent="0.35">
      <c r="T37" s="118" t="s">
        <v>477</v>
      </c>
      <c r="U37" s="118"/>
      <c r="V37" s="118">
        <f t="shared" ref="V37" si="51">U37*$U$3</f>
        <v>0</v>
      </c>
      <c r="W37" s="118"/>
      <c r="X37" s="118">
        <f>W37*$W$3</f>
        <v>0</v>
      </c>
      <c r="Y37" s="118"/>
      <c r="Z37" s="118">
        <f>Y37*$Y$3</f>
        <v>0</v>
      </c>
      <c r="AA37" s="118"/>
      <c r="AB37" s="118"/>
      <c r="AC37" s="118"/>
      <c r="AD37" s="118">
        <f t="shared" ref="AD37" si="52">AC37*$AC$3</f>
        <v>0</v>
      </c>
      <c r="AE37" s="119">
        <v>1</v>
      </c>
      <c r="AF37" s="135">
        <f>AE37*$AE$35</f>
        <v>8000</v>
      </c>
      <c r="AG37" s="123">
        <f>U37+W37+Y37+AA37+AC37+AE37</f>
        <v>1</v>
      </c>
      <c r="AH37" s="178">
        <f>V37+X37+Z37+AB37+AD37+AF37</f>
        <v>8000</v>
      </c>
      <c r="AI37" s="176">
        <f>AI$1+AH37</f>
        <v>11384.494226791167</v>
      </c>
      <c r="AJ37" s="195">
        <f t="shared" ref="AJ37" si="53">AJ$1+AI37</f>
        <v>13285.618613292161</v>
      </c>
      <c r="AK37" s="176">
        <f>AK$1+$W$2</f>
        <v>19968.863617989951</v>
      </c>
      <c r="AL37" s="173">
        <f t="shared" ref="AL37" si="54">AL$1+AK37*$AK$2+AJ37*$AJ$2</f>
        <v>0</v>
      </c>
      <c r="AM37" s="173">
        <f t="shared" ref="AM37" si="55">AL37+$AM$1</f>
        <v>0</v>
      </c>
      <c r="AN37" s="173">
        <f t="shared" ref="AN37" si="56">AL37+$AN$1</f>
        <v>0</v>
      </c>
      <c r="AO37" s="176">
        <f t="shared" ref="AO37" si="57">AM37</f>
        <v>0</v>
      </c>
      <c r="AP37" s="131">
        <f t="shared" ref="AP37" si="58">$AP$4*AQ37/1000</f>
        <v>0</v>
      </c>
      <c r="AQ37" s="131">
        <v>717</v>
      </c>
      <c r="AR37" s="131">
        <f t="shared" ref="AR37" si="59">AP37-AO37</f>
        <v>0</v>
      </c>
      <c r="AS37" s="154" t="e">
        <f t="shared" ref="AS37" si="60">AR37/AP37</f>
        <v>#DIV/0!</v>
      </c>
      <c r="AX37" s="148" t="e">
        <f t="shared" ref="AX37:BF37" si="61">AH37/$AP$4*1000</f>
        <v>#DIV/0!</v>
      </c>
      <c r="AY37" s="199" t="e">
        <f t="shared" si="61"/>
        <v>#DIV/0!</v>
      </c>
      <c r="AZ37" s="199" t="e">
        <f t="shared" si="61"/>
        <v>#DIV/0!</v>
      </c>
      <c r="BA37" s="199" t="e">
        <f t="shared" si="61"/>
        <v>#DIV/0!</v>
      </c>
      <c r="BB37" s="200" t="e">
        <f t="shared" si="61"/>
        <v>#DIV/0!</v>
      </c>
      <c r="BC37" s="200" t="e">
        <f t="shared" si="61"/>
        <v>#DIV/0!</v>
      </c>
      <c r="BD37" s="200" t="e">
        <f t="shared" si="61"/>
        <v>#DIV/0!</v>
      </c>
      <c r="BE37" s="148" t="e">
        <f t="shared" si="61"/>
        <v>#DIV/0!</v>
      </c>
      <c r="BF37" s="201" t="e">
        <f t="shared" si="61"/>
        <v>#DIV/0!</v>
      </c>
      <c r="BG37" s="202" t="e">
        <f t="shared" ref="BG37" si="62">BF37-BE37</f>
        <v>#DIV/0!</v>
      </c>
      <c r="BH37" s="203" t="e">
        <f t="shared" ref="BH37" si="63">BG37/BE37</f>
        <v>#DIV/0!</v>
      </c>
      <c r="BJ37" s="109">
        <f>'Hảo_R&amp;D (Hạt) (full stage)-Chai'!BE37</f>
        <v>781.6010952167635</v>
      </c>
      <c r="BK37" s="109">
        <f>'Hảo_R&amp;D (Hạt) (full stage)-MN'!BE37</f>
        <v>781.6010952167635</v>
      </c>
      <c r="BL37" s="109" t="e">
        <f t="shared" ref="BL37" si="64">BE37</f>
        <v>#DIV/0!</v>
      </c>
      <c r="BM37" s="131">
        <f>BJ37-BK37</f>
        <v>0</v>
      </c>
      <c r="BO37" s="109">
        <f>'Hảo_R&amp;D (Hạt) (full stage)-Chai'!AO37</f>
        <v>20712.429023244233</v>
      </c>
      <c r="BP37" s="109">
        <f>'Hảo_R&amp;D (Hạt) (full stage)-MN'!AO37</f>
        <v>20712.429023244233</v>
      </c>
      <c r="BQ37" s="109">
        <f>AO37</f>
        <v>0</v>
      </c>
      <c r="BR37" s="131">
        <f>BO37-BP37</f>
        <v>0</v>
      </c>
    </row>
  </sheetData>
  <mergeCells count="1">
    <mergeCell ref="AG3:AH3"/>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E2A0-EA9F-4CD7-BC02-8F4216A8AF44}">
  <sheetPr>
    <tabColor rgb="FFFF0000"/>
  </sheetPr>
  <dimension ref="B1:BR37"/>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E5" sqref="E5"/>
    </sheetView>
  </sheetViews>
  <sheetFormatPr defaultRowHeight="14.5" outlineLevelCol="1" x14ac:dyDescent="0.35"/>
  <cols>
    <col min="1" max="1" width="3.36328125" customWidth="1"/>
    <col min="4" max="18" width="8.7265625" customWidth="1" outlineLevel="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2" bestFit="1" customWidth="1"/>
    <col min="34" max="34" width="10.1796875" style="134" bestFit="1" customWidth="1"/>
    <col min="35" max="37" width="10.1796875" style="134" customWidth="1"/>
    <col min="38" max="40" width="10.1796875" style="122" customWidth="1"/>
    <col min="41" max="41" width="10.1796875" style="134" customWidth="1"/>
    <col min="42" max="42" width="11.81640625" bestFit="1" customWidth="1"/>
    <col min="43" max="43" width="7" bestFit="1" customWidth="1"/>
    <col min="47" max="47" width="9.1796875" bestFit="1" customWidth="1"/>
    <col min="48" max="48" width="5.90625" customWidth="1"/>
    <col min="49" max="49" width="11.6328125" bestFit="1" customWidth="1"/>
    <col min="50" max="53" width="8.81640625" bestFit="1" customWidth="1"/>
    <col min="54" max="54" width="9.26953125" bestFit="1" customWidth="1"/>
    <col min="55" max="55" width="10.36328125" customWidth="1"/>
    <col min="56" max="56" width="9.7265625" bestFit="1" customWidth="1"/>
    <col min="57" max="57" width="8.81640625" bestFit="1" customWidth="1"/>
    <col min="58" max="58" width="9.7265625" bestFit="1" customWidth="1"/>
  </cols>
  <sheetData>
    <row r="1" spans="2:60" ht="15.5" x14ac:dyDescent="0.35">
      <c r="B1" s="113" t="s">
        <v>364</v>
      </c>
      <c r="T1" s="122" t="s">
        <v>448</v>
      </c>
      <c r="U1" s="109">
        <f>'Giá mua Chai-Vảy'!E18</f>
        <v>13500</v>
      </c>
      <c r="W1" s="133">
        <f>'[2]10. 100% chai-&gt;hạt WSS01-iSS01'!$H$9</f>
        <v>15000</v>
      </c>
      <c r="X1" s="133">
        <f>W3-W1-X3</f>
        <v>0</v>
      </c>
      <c r="Y1" s="109">
        <f>'Giá mua Chai-Vảy'!E15</f>
        <v>13500</v>
      </c>
      <c r="AA1" s="109">
        <f>'[2]18. Vảy B5'!$I$9</f>
        <v>12000</v>
      </c>
      <c r="AB1" s="133">
        <f>'[2]18. Vảy B5'!$I$10</f>
        <v>411.68039840493083</v>
      </c>
      <c r="AC1" s="169">
        <f>'[2]16.1 Rửa vảy B7'!$I$9</f>
        <v>7971.0144927536239</v>
      </c>
      <c r="AD1" s="172">
        <f>'[2]16.1 Rửa vảy B7'!$I$10</f>
        <v>84.555434657824762</v>
      </c>
      <c r="AE1" s="109">
        <f>'Giá mua Chai-Vảy'!E16</f>
        <v>12000</v>
      </c>
      <c r="AI1" s="194">
        <f>'[2]10. 100% chai-&gt;hạt WSS01-iSS01'!$I$21</f>
        <v>2321.0309940637335</v>
      </c>
      <c r="AJ1" s="171">
        <f>'[2]10. 100% chai-&gt;hạt WSS01-iSS01'!$I$37</f>
        <v>2395.6123104173425</v>
      </c>
      <c r="AK1" s="171">
        <f>'[2]12. 100% vảy-&gt;hạt WSS01-iSS01'!$I$10</f>
        <v>1636.9775154230633</v>
      </c>
      <c r="AL1" s="177">
        <f>'[2]10. 100% chai-&gt;hạt WSS01-iSS01'!$I$61</f>
        <v>3384.4942267911665</v>
      </c>
      <c r="AM1" s="177">
        <f>'[2]10. 100% chai-&gt;hạt WSS01-iSS01'!$I$83</f>
        <v>1901.1243865009951</v>
      </c>
      <c r="AN1" s="177">
        <f>'[2]11. 100% chai-&gt;hạt iSS01084G'!$I$83</f>
        <v>2331.8861025668875</v>
      </c>
      <c r="AO1" s="196">
        <f>AM1/8</f>
        <v>237.64054831262439</v>
      </c>
      <c r="AP1" s="109">
        <f>AN1/10</f>
        <v>233.18861025668875</v>
      </c>
    </row>
    <row r="2" spans="2:60" ht="29" x14ac:dyDescent="0.35">
      <c r="B2" s="114" t="s">
        <v>365</v>
      </c>
      <c r="T2" s="163" t="s">
        <v>450</v>
      </c>
      <c r="W2" s="133">
        <v>16500</v>
      </c>
      <c r="X2" s="133"/>
      <c r="AG2" s="121" t="s">
        <v>472</v>
      </c>
      <c r="AJ2" s="205">
        <v>0.5</v>
      </c>
      <c r="AK2" s="260">
        <v>0.5</v>
      </c>
      <c r="AL2" s="197">
        <f>AL1*1000/$AP$4</f>
        <v>127.71676327513836</v>
      </c>
      <c r="AM2" s="197">
        <f>AM1*1000/$AP$4</f>
        <v>71.740542886829999</v>
      </c>
      <c r="AN2" s="197">
        <f>AN1*1000/$AP$4</f>
        <v>87.995701983656133</v>
      </c>
    </row>
    <row r="3" spans="2:60" ht="58" x14ac:dyDescent="0.35">
      <c r="T3" s="163" t="s">
        <v>449</v>
      </c>
      <c r="U3" s="170">
        <f>U1+X3</f>
        <v>14749.947702396161</v>
      </c>
      <c r="V3" s="133">
        <f>'[2]10. 100% chai-&gt;hạt WSS01-iSS01'!$I$10</f>
        <v>1249.9477023961606</v>
      </c>
      <c r="W3" s="132">
        <f>W1+V3</f>
        <v>16249.947702396161</v>
      </c>
      <c r="X3" s="171">
        <f>V3</f>
        <v>1249.9477023961606</v>
      </c>
      <c r="Y3" s="170">
        <f>Y1+X3</f>
        <v>14749.947702396161</v>
      </c>
      <c r="Z3" s="133">
        <f>V3</f>
        <v>1249.9477023961606</v>
      </c>
      <c r="AA3" s="170">
        <f>AA1+Z3</f>
        <v>13249.947702396161</v>
      </c>
      <c r="AB3" s="133">
        <f>V3</f>
        <v>1249.9477023961606</v>
      </c>
      <c r="AC3" s="170">
        <f>AC1+AB3</f>
        <v>9220.9621951497847</v>
      </c>
      <c r="AD3" s="109">
        <f>V3</f>
        <v>1249.9477023961606</v>
      </c>
      <c r="AE3" s="170">
        <f>AE1+AD3</f>
        <v>13249.947702396161</v>
      </c>
      <c r="AG3" s="284" t="s">
        <v>473</v>
      </c>
      <c r="AH3" s="284"/>
      <c r="AI3" s="191" t="s">
        <v>469</v>
      </c>
      <c r="AJ3" s="262" t="s">
        <v>516</v>
      </c>
      <c r="AK3" s="191" t="s">
        <v>471</v>
      </c>
      <c r="AL3" s="174" t="s">
        <v>452</v>
      </c>
      <c r="AM3" s="174" t="s">
        <v>453</v>
      </c>
      <c r="AN3" s="174" t="s">
        <v>454</v>
      </c>
      <c r="AO3" s="163" t="s">
        <v>455</v>
      </c>
      <c r="AP3" s="2" t="s">
        <v>391</v>
      </c>
      <c r="AQ3" t="s">
        <v>393</v>
      </c>
      <c r="AR3" t="s">
        <v>456</v>
      </c>
      <c r="AS3" t="s">
        <v>457</v>
      </c>
      <c r="AT3" t="s">
        <v>467</v>
      </c>
      <c r="AU3" t="s">
        <v>464</v>
      </c>
      <c r="AW3" s="284" t="s">
        <v>473</v>
      </c>
      <c r="AX3" s="284"/>
      <c r="AY3" s="191" t="s">
        <v>469</v>
      </c>
      <c r="AZ3" s="191" t="s">
        <v>470</v>
      </c>
      <c r="BA3" s="191" t="s">
        <v>471</v>
      </c>
      <c r="BB3" s="174" t="s">
        <v>452</v>
      </c>
      <c r="BC3" s="174" t="s">
        <v>453</v>
      </c>
      <c r="BD3" s="174" t="s">
        <v>454</v>
      </c>
      <c r="BE3" s="163" t="s">
        <v>455</v>
      </c>
      <c r="BF3" s="2" t="s">
        <v>391</v>
      </c>
      <c r="BG3" s="204" t="s">
        <v>456</v>
      </c>
      <c r="BH3" s="3" t="s">
        <v>457</v>
      </c>
    </row>
    <row r="4" spans="2:60" x14ac:dyDescent="0.35">
      <c r="T4" s="121" t="s">
        <v>366</v>
      </c>
      <c r="U4" s="115" t="s">
        <v>367</v>
      </c>
      <c r="W4" s="115" t="s">
        <v>374</v>
      </c>
      <c r="Y4" s="115" t="s">
        <v>375</v>
      </c>
      <c r="AA4" s="115" t="s">
        <v>382</v>
      </c>
      <c r="AC4" s="115" t="s">
        <v>384</v>
      </c>
      <c r="AE4" s="115" t="s">
        <v>385</v>
      </c>
      <c r="AG4" s="128" t="s">
        <v>376</v>
      </c>
      <c r="AI4" s="192"/>
      <c r="AJ4" s="192"/>
      <c r="AK4" s="192"/>
      <c r="AP4" s="130">
        <v>26500</v>
      </c>
      <c r="BG4" s="3"/>
      <c r="BH4" s="3"/>
    </row>
    <row r="5" spans="2:60" x14ac:dyDescent="0.35">
      <c r="T5" s="65"/>
      <c r="U5" s="117" t="s">
        <v>57</v>
      </c>
      <c r="V5" s="124" t="s">
        <v>372</v>
      </c>
      <c r="W5" s="117" t="s">
        <v>267</v>
      </c>
      <c r="X5" s="124" t="s">
        <v>372</v>
      </c>
      <c r="Y5" s="117" t="s">
        <v>52</v>
      </c>
      <c r="Z5" s="124" t="s">
        <v>372</v>
      </c>
      <c r="AA5" s="117" t="s">
        <v>55</v>
      </c>
      <c r="AB5" s="124" t="s">
        <v>372</v>
      </c>
      <c r="AC5" s="117" t="s">
        <v>383</v>
      </c>
      <c r="AD5" s="124" t="s">
        <v>372</v>
      </c>
      <c r="AE5" s="117" t="s">
        <v>54</v>
      </c>
      <c r="AF5" s="124" t="s">
        <v>372</v>
      </c>
      <c r="AG5" s="124"/>
      <c r="AH5" s="175" t="s">
        <v>372</v>
      </c>
      <c r="AI5" s="193" t="s">
        <v>372</v>
      </c>
      <c r="AJ5" s="193" t="s">
        <v>372</v>
      </c>
      <c r="AK5" s="193" t="s">
        <v>372</v>
      </c>
      <c r="AL5" s="124" t="s">
        <v>372</v>
      </c>
      <c r="AM5" s="124" t="s">
        <v>372</v>
      </c>
      <c r="AN5" s="124" t="s">
        <v>372</v>
      </c>
      <c r="AO5" s="175" t="s">
        <v>372</v>
      </c>
      <c r="AP5" s="124" t="s">
        <v>372</v>
      </c>
      <c r="AQ5" t="s">
        <v>392</v>
      </c>
      <c r="BG5" s="3"/>
      <c r="BH5" s="3"/>
    </row>
    <row r="6" spans="2:60" x14ac:dyDescent="0.35">
      <c r="T6" s="120" t="s">
        <v>390</v>
      </c>
      <c r="AG6" s="129">
        <v>0.3</v>
      </c>
      <c r="AK6" s="206"/>
      <c r="BG6" s="3"/>
      <c r="BH6" s="3"/>
    </row>
    <row r="7" spans="2:60" x14ac:dyDescent="0.35">
      <c r="T7" s="118" t="s">
        <v>368</v>
      </c>
      <c r="U7" s="119">
        <v>0.1</v>
      </c>
      <c r="V7" s="135">
        <f>U7*$U$3</f>
        <v>1474.9947702396162</v>
      </c>
      <c r="W7" s="119">
        <v>0.9</v>
      </c>
      <c r="X7" s="135">
        <f>W7*$W$3</f>
        <v>14624.952932156544</v>
      </c>
      <c r="Y7" s="118"/>
      <c r="Z7" s="135">
        <f>Y7*$Y$3</f>
        <v>0</v>
      </c>
      <c r="AA7" s="118"/>
      <c r="AB7" s="118">
        <f>AA7*$AA$3</f>
        <v>0</v>
      </c>
      <c r="AC7" s="118"/>
      <c r="AD7" s="118">
        <f>AC7*$AC$3</f>
        <v>0</v>
      </c>
      <c r="AE7" s="118"/>
      <c r="AF7" s="118">
        <f>AE7*$AE$3</f>
        <v>0</v>
      </c>
      <c r="AG7" s="123">
        <f t="shared" ref="AG7:AH11" si="0">U7+W7+Y7+AA7+AC7+AE7</f>
        <v>1</v>
      </c>
      <c r="AH7" s="178">
        <f t="shared" si="0"/>
        <v>16099.947702396161</v>
      </c>
      <c r="AI7" s="176">
        <f>AI$1+AH7</f>
        <v>18420.978696459893</v>
      </c>
      <c r="AJ7" s="195">
        <f>AJ$1+AI7</f>
        <v>20816.591006877235</v>
      </c>
      <c r="AK7" s="176">
        <f>AK$1+$W$2</f>
        <v>18136.977515423063</v>
      </c>
      <c r="AL7" s="173">
        <f>AL$1+AJ7</f>
        <v>24201.085233668404</v>
      </c>
      <c r="AM7" s="173">
        <f>AL7+$AM$1</f>
        <v>26102.2096201694</v>
      </c>
      <c r="AN7" s="173">
        <f>AL7+$AN$1</f>
        <v>26532.971336235292</v>
      </c>
      <c r="AO7" s="176">
        <f>AM7</f>
        <v>26102.2096201694</v>
      </c>
      <c r="AP7" s="131">
        <f>$AP$4*AQ7/1000</f>
        <v>30740</v>
      </c>
      <c r="AQ7" s="109">
        <v>1160</v>
      </c>
      <c r="AR7" s="131">
        <f>AP7-AO7</f>
        <v>4637.7903798305997</v>
      </c>
      <c r="AS7" s="154">
        <f>AR7/AP7</f>
        <v>0.1508715152840143</v>
      </c>
      <c r="AU7" s="109">
        <f>AH7/$AP$4*1000</f>
        <v>607.54519631683627</v>
      </c>
      <c r="AX7" s="148">
        <f>AH7/$AP$4*1000</f>
        <v>607.54519631683627</v>
      </c>
      <c r="AY7" s="199">
        <f t="shared" ref="AY7:BF7" si="1">AI7/$AP$4*1000</f>
        <v>695.13127156452424</v>
      </c>
      <c r="AZ7" s="199">
        <f t="shared" si="1"/>
        <v>785.53173610857493</v>
      </c>
      <c r="BA7" s="199">
        <f t="shared" si="1"/>
        <v>684.41424586502114</v>
      </c>
      <c r="BB7" s="200">
        <f t="shared" si="1"/>
        <v>913.24849938371335</v>
      </c>
      <c r="BC7" s="200">
        <f t="shared" si="1"/>
        <v>984.98904227054345</v>
      </c>
      <c r="BD7" s="200">
        <f t="shared" si="1"/>
        <v>1001.2442013673694</v>
      </c>
      <c r="BE7" s="148">
        <f t="shared" si="1"/>
        <v>984.98904227054345</v>
      </c>
      <c r="BF7" s="201">
        <f t="shared" si="1"/>
        <v>1160</v>
      </c>
      <c r="BG7" s="202">
        <f>BF7-BE7</f>
        <v>175.01095772945655</v>
      </c>
      <c r="BH7" s="203">
        <f>BG7/BE7</f>
        <v>0.1776780758149662</v>
      </c>
    </row>
    <row r="8" spans="2:60" x14ac:dyDescent="0.35">
      <c r="T8" s="118" t="s">
        <v>369</v>
      </c>
      <c r="U8" s="126">
        <v>0.3</v>
      </c>
      <c r="V8" s="135">
        <f>U8*$U$3</f>
        <v>4424.9843107188481</v>
      </c>
      <c r="W8" s="126">
        <v>0.7</v>
      </c>
      <c r="X8" s="135">
        <f>W8*$W$3</f>
        <v>11374.963391677313</v>
      </c>
      <c r="Y8" s="118"/>
      <c r="Z8" s="135">
        <f>Y8*$Y$3</f>
        <v>0</v>
      </c>
      <c r="AA8" s="118"/>
      <c r="AB8" s="118">
        <f t="shared" ref="AB8:AB11" si="2">AA8*$AA$3</f>
        <v>0</v>
      </c>
      <c r="AC8" s="118"/>
      <c r="AD8" s="118">
        <f t="shared" ref="AD8:AD11" si="3">AC8*$AC$3</f>
        <v>0</v>
      </c>
      <c r="AE8" s="118"/>
      <c r="AF8" s="118">
        <f t="shared" ref="AF8:AF11" si="4">AE8*$AE$3</f>
        <v>0</v>
      </c>
      <c r="AG8" s="125">
        <f t="shared" si="0"/>
        <v>1</v>
      </c>
      <c r="AH8" s="178">
        <f t="shared" si="0"/>
        <v>15799.947702396161</v>
      </c>
      <c r="AI8" s="176">
        <f t="shared" ref="AI8:AJ8" si="5">AI$1+AH8</f>
        <v>18120.978696459893</v>
      </c>
      <c r="AJ8" s="195">
        <f t="shared" si="5"/>
        <v>20516.591006877235</v>
      </c>
      <c r="AK8" s="176">
        <f t="shared" ref="AK8:AK11" si="6">AK$1+$W$2</f>
        <v>18136.977515423063</v>
      </c>
      <c r="AL8" s="173">
        <f t="shared" ref="AL8:AL10" si="7">AL$1+AJ8</f>
        <v>23901.085233668404</v>
      </c>
      <c r="AM8" s="173">
        <f t="shared" ref="AM8:AM10" si="8">AL8+$AM$1</f>
        <v>25802.2096201694</v>
      </c>
      <c r="AN8" s="173">
        <f t="shared" ref="AN8:AN10" si="9">AL8+$AN$1</f>
        <v>26232.971336235292</v>
      </c>
      <c r="AO8" s="176">
        <f t="shared" ref="AO8:AO11" si="10">AM8</f>
        <v>25802.2096201694</v>
      </c>
      <c r="AP8" s="131">
        <f t="shared" ref="AP8:AP10" si="11">$AP$4*AQ8/1000</f>
        <v>31535</v>
      </c>
      <c r="AQ8" s="131">
        <f>AQ7+30</f>
        <v>1190</v>
      </c>
      <c r="AR8" s="131">
        <f t="shared" ref="AR8:AR11" si="12">AP8-AO8</f>
        <v>5732.7903798305997</v>
      </c>
      <c r="AS8" s="154">
        <f t="shared" ref="AS8:AS11" si="13">AR8/AP8</f>
        <v>0.18179135499700649</v>
      </c>
      <c r="AU8" s="109">
        <f t="shared" ref="AU8:AU11" si="14">AH8/$AP$4*1000</f>
        <v>596.22444159985514</v>
      </c>
      <c r="AX8" s="148">
        <f t="shared" ref="AX8:AX11" si="15">AH8/$AP$4*1000</f>
        <v>596.22444159985514</v>
      </c>
      <c r="AY8" s="199">
        <f t="shared" ref="AY8:AY11" si="16">AI8/$AP$4*1000</f>
        <v>683.81051684754311</v>
      </c>
      <c r="AZ8" s="199">
        <f t="shared" ref="AZ8:AZ11" si="17">AJ8/$AP$4*1000</f>
        <v>774.2109813915938</v>
      </c>
      <c r="BA8" s="199">
        <f t="shared" ref="BA8:BA11" si="18">AK8/$AP$4*1000</f>
        <v>684.41424586502114</v>
      </c>
      <c r="BB8" s="200">
        <f t="shared" ref="BB8:BB11" si="19">AL8/$AP$4*1000</f>
        <v>901.92774466673222</v>
      </c>
      <c r="BC8" s="200">
        <f t="shared" ref="BC8:BC11" si="20">AM8/$AP$4*1000</f>
        <v>973.66828755356232</v>
      </c>
      <c r="BD8" s="200">
        <f t="shared" ref="BD8:BD11" si="21">AN8/$AP$4*1000</f>
        <v>989.92344665038831</v>
      </c>
      <c r="BE8" s="148">
        <f t="shared" ref="BE8:BE11" si="22">AO8/$AP$4*1000</f>
        <v>973.66828755356232</v>
      </c>
      <c r="BF8" s="201">
        <f t="shared" ref="BF8:BF11" si="23">AP8/$AP$4*1000</f>
        <v>1190</v>
      </c>
      <c r="BG8" s="202">
        <f t="shared" ref="BG8:BG11" si="24">BF8-BE8</f>
        <v>216.33171244643768</v>
      </c>
      <c r="BH8" s="203">
        <f t="shared" ref="BH8:BH11" si="25">BG8/BE8</f>
        <v>0.22218214890205829</v>
      </c>
    </row>
    <row r="9" spans="2:60" x14ac:dyDescent="0.35">
      <c r="T9" s="118" t="s">
        <v>370</v>
      </c>
      <c r="U9" s="119">
        <v>0.55000000000000004</v>
      </c>
      <c r="V9" s="135">
        <f>U9*$U$3</f>
        <v>8112.4712363178887</v>
      </c>
      <c r="W9" s="119">
        <v>0.3</v>
      </c>
      <c r="X9" s="135">
        <f>W9*$W$3</f>
        <v>4874.9843107188481</v>
      </c>
      <c r="Y9" s="119">
        <v>0.15</v>
      </c>
      <c r="Z9" s="135">
        <f>Y9*$Y$3</f>
        <v>2212.492155359424</v>
      </c>
      <c r="AA9" s="118"/>
      <c r="AB9" s="118">
        <f t="shared" si="2"/>
        <v>0</v>
      </c>
      <c r="AC9" s="118"/>
      <c r="AD9" s="118">
        <f t="shared" si="3"/>
        <v>0</v>
      </c>
      <c r="AE9" s="118"/>
      <c r="AF9" s="118">
        <f t="shared" si="4"/>
        <v>0</v>
      </c>
      <c r="AG9" s="123">
        <f t="shared" si="0"/>
        <v>1</v>
      </c>
      <c r="AH9" s="178">
        <f t="shared" si="0"/>
        <v>15199.947702396163</v>
      </c>
      <c r="AI9" s="176">
        <f t="shared" ref="AI9:AJ9" si="26">AI$1+AH9</f>
        <v>17520.978696459897</v>
      </c>
      <c r="AJ9" s="195">
        <f t="shared" si="26"/>
        <v>19916.591006877239</v>
      </c>
      <c r="AK9" s="176">
        <f t="shared" si="6"/>
        <v>18136.977515423063</v>
      </c>
      <c r="AL9" s="173">
        <f t="shared" si="7"/>
        <v>23301.085233668404</v>
      </c>
      <c r="AM9" s="173">
        <f t="shared" si="8"/>
        <v>25202.2096201694</v>
      </c>
      <c r="AN9" s="173">
        <f t="shared" si="9"/>
        <v>25632.971336235292</v>
      </c>
      <c r="AO9" s="176">
        <f t="shared" si="10"/>
        <v>25202.2096201694</v>
      </c>
      <c r="AP9" s="131">
        <f t="shared" si="11"/>
        <v>28885</v>
      </c>
      <c r="AQ9" s="131">
        <f>AQ7-70</f>
        <v>1090</v>
      </c>
      <c r="AR9" s="131">
        <f t="shared" si="12"/>
        <v>3682.7903798305997</v>
      </c>
      <c r="AS9" s="154">
        <f t="shared" si="13"/>
        <v>0.12749836869761466</v>
      </c>
      <c r="AU9" s="109">
        <f t="shared" si="14"/>
        <v>573.582932165893</v>
      </c>
      <c r="AX9" s="148">
        <f t="shared" si="15"/>
        <v>573.582932165893</v>
      </c>
      <c r="AY9" s="199">
        <f t="shared" si="16"/>
        <v>661.16900741358097</v>
      </c>
      <c r="AZ9" s="199">
        <f t="shared" si="17"/>
        <v>751.56947195763166</v>
      </c>
      <c r="BA9" s="199">
        <f t="shared" si="18"/>
        <v>684.41424586502114</v>
      </c>
      <c r="BB9" s="200">
        <f t="shared" si="19"/>
        <v>879.28623523276997</v>
      </c>
      <c r="BC9" s="200">
        <f t="shared" si="20"/>
        <v>951.02677811960007</v>
      </c>
      <c r="BD9" s="200">
        <f t="shared" si="21"/>
        <v>967.28193721642606</v>
      </c>
      <c r="BE9" s="148">
        <f t="shared" si="22"/>
        <v>951.02677811960007</v>
      </c>
      <c r="BF9" s="201">
        <f t="shared" si="23"/>
        <v>1090</v>
      </c>
      <c r="BG9" s="202">
        <f t="shared" si="24"/>
        <v>138.97322188039993</v>
      </c>
      <c r="BH9" s="203">
        <f t="shared" si="25"/>
        <v>0.14612966225323554</v>
      </c>
    </row>
    <row r="10" spans="2:60" x14ac:dyDescent="0.35">
      <c r="T10" s="118" t="s">
        <v>371</v>
      </c>
      <c r="U10" s="119">
        <v>0.95</v>
      </c>
      <c r="V10" s="135">
        <f>U10*$U$3</f>
        <v>14012.450317276353</v>
      </c>
      <c r="W10" s="263"/>
      <c r="X10" s="265">
        <f>W10*$W$3</f>
        <v>0</v>
      </c>
      <c r="Y10" s="118"/>
      <c r="Z10" s="135">
        <f>Y10*$Y$3</f>
        <v>0</v>
      </c>
      <c r="AA10" s="263">
        <v>0.05</v>
      </c>
      <c r="AB10" s="265">
        <f t="shared" si="2"/>
        <v>662.49738511980809</v>
      </c>
      <c r="AC10" s="118"/>
      <c r="AD10" s="118">
        <f t="shared" si="3"/>
        <v>0</v>
      </c>
      <c r="AE10" s="118"/>
      <c r="AF10" s="118">
        <f t="shared" si="4"/>
        <v>0</v>
      </c>
      <c r="AG10" s="123">
        <f t="shared" si="0"/>
        <v>1</v>
      </c>
      <c r="AH10" s="178">
        <f t="shared" si="0"/>
        <v>14674.947702396161</v>
      </c>
      <c r="AI10" s="176">
        <f t="shared" ref="AI10:AJ10" si="27">AI$1+AH10</f>
        <v>16995.978696459893</v>
      </c>
      <c r="AJ10" s="195">
        <f t="shared" si="27"/>
        <v>19391.591006877235</v>
      </c>
      <c r="AK10" s="176">
        <f t="shared" si="6"/>
        <v>18136.977515423063</v>
      </c>
      <c r="AL10" s="173">
        <f t="shared" si="7"/>
        <v>22776.085233668404</v>
      </c>
      <c r="AM10" s="173">
        <f t="shared" si="8"/>
        <v>24677.2096201694</v>
      </c>
      <c r="AN10" s="173">
        <f t="shared" si="9"/>
        <v>25107.971336235292</v>
      </c>
      <c r="AO10" s="176">
        <f t="shared" si="10"/>
        <v>24677.2096201694</v>
      </c>
      <c r="AP10" s="131">
        <f t="shared" si="11"/>
        <v>19080</v>
      </c>
      <c r="AQ10" s="131">
        <v>720</v>
      </c>
      <c r="AR10" s="131">
        <f t="shared" si="12"/>
        <v>-5597.2096201694003</v>
      </c>
      <c r="AS10" s="154">
        <f t="shared" si="13"/>
        <v>-0.29335480189567087</v>
      </c>
      <c r="AU10" s="109">
        <f t="shared" si="14"/>
        <v>553.77161141117597</v>
      </c>
      <c r="AX10" s="148">
        <f t="shared" si="15"/>
        <v>553.77161141117597</v>
      </c>
      <c r="AY10" s="199">
        <f t="shared" si="16"/>
        <v>641.35768665886394</v>
      </c>
      <c r="AZ10" s="199">
        <f t="shared" si="17"/>
        <v>731.75815120291452</v>
      </c>
      <c r="BA10" s="199">
        <f t="shared" si="18"/>
        <v>684.41424586502114</v>
      </c>
      <c r="BB10" s="200">
        <f t="shared" si="19"/>
        <v>859.47491447805305</v>
      </c>
      <c r="BC10" s="200">
        <f t="shared" si="20"/>
        <v>931.21545736488304</v>
      </c>
      <c r="BD10" s="200">
        <f t="shared" si="21"/>
        <v>947.47061646170914</v>
      </c>
      <c r="BE10" s="148">
        <f t="shared" si="22"/>
        <v>931.21545736488304</v>
      </c>
      <c r="BF10" s="201">
        <f t="shared" si="23"/>
        <v>720</v>
      </c>
      <c r="BG10" s="202">
        <f t="shared" si="24"/>
        <v>-211.21545736488304</v>
      </c>
      <c r="BH10" s="203">
        <f t="shared" si="25"/>
        <v>-0.22681695808891775</v>
      </c>
    </row>
    <row r="11" spans="2:60" x14ac:dyDescent="0.35">
      <c r="T11" s="118" t="s">
        <v>373</v>
      </c>
      <c r="U11" s="119">
        <v>0.65</v>
      </c>
      <c r="V11" s="135">
        <f>U11*$U$3</f>
        <v>9587.4660065575044</v>
      </c>
      <c r="W11" s="119">
        <v>0.15</v>
      </c>
      <c r="X11" s="135">
        <f>W11*$W$3</f>
        <v>2437.492155359424</v>
      </c>
      <c r="Y11" s="263"/>
      <c r="Z11" s="265">
        <f>Y11*$Y$3</f>
        <v>0</v>
      </c>
      <c r="AA11" s="263">
        <v>0.2</v>
      </c>
      <c r="AB11" s="265">
        <f t="shared" si="2"/>
        <v>2649.9895404792323</v>
      </c>
      <c r="AC11" s="118"/>
      <c r="AD11" s="118">
        <f t="shared" si="3"/>
        <v>0</v>
      </c>
      <c r="AE11" s="118"/>
      <c r="AF11" s="118">
        <f t="shared" si="4"/>
        <v>0</v>
      </c>
      <c r="AG11" s="123">
        <f t="shared" si="0"/>
        <v>1</v>
      </c>
      <c r="AH11" s="178">
        <f t="shared" si="0"/>
        <v>14674.947702396163</v>
      </c>
      <c r="AI11" s="176">
        <f t="shared" ref="AI11:AJ11" si="28">AI$1+AH11</f>
        <v>16995.978696459897</v>
      </c>
      <c r="AJ11" s="195">
        <f t="shared" si="28"/>
        <v>19391.591006877239</v>
      </c>
      <c r="AK11" s="176">
        <f t="shared" si="6"/>
        <v>18136.977515423063</v>
      </c>
      <c r="AL11" s="173">
        <f>+AJ11</f>
        <v>19391.591006877239</v>
      </c>
      <c r="AM11" s="173">
        <f>AL11</f>
        <v>19391.591006877239</v>
      </c>
      <c r="AN11" s="173">
        <f>AM11</f>
        <v>19391.591006877239</v>
      </c>
      <c r="AO11" s="176">
        <f t="shared" si="10"/>
        <v>19391.591006877239</v>
      </c>
      <c r="AP11" s="131">
        <f>$AP$4*AQ11/1000</f>
        <v>25970</v>
      </c>
      <c r="AQ11" s="180">
        <v>980</v>
      </c>
      <c r="AR11" s="131">
        <f t="shared" si="12"/>
        <v>6578.4089931227609</v>
      </c>
      <c r="AS11" s="154">
        <f t="shared" si="13"/>
        <v>0.25330800897661765</v>
      </c>
      <c r="AU11" s="109">
        <f t="shared" si="14"/>
        <v>553.77161141117597</v>
      </c>
      <c r="AX11" s="148">
        <f t="shared" si="15"/>
        <v>553.77161141117597</v>
      </c>
      <c r="AY11" s="199">
        <f t="shared" si="16"/>
        <v>641.35768665886405</v>
      </c>
      <c r="AZ11" s="199">
        <f t="shared" si="17"/>
        <v>731.75815120291463</v>
      </c>
      <c r="BA11" s="199">
        <f t="shared" si="18"/>
        <v>684.41424586502114</v>
      </c>
      <c r="BB11" s="200">
        <f t="shared" si="19"/>
        <v>731.75815120291463</v>
      </c>
      <c r="BC11" s="200">
        <f t="shared" si="20"/>
        <v>731.75815120291463</v>
      </c>
      <c r="BD11" s="200">
        <f t="shared" si="21"/>
        <v>731.75815120291463</v>
      </c>
      <c r="BE11" s="148">
        <f t="shared" si="22"/>
        <v>731.75815120291463</v>
      </c>
      <c r="BF11" s="201">
        <f t="shared" si="23"/>
        <v>980</v>
      </c>
      <c r="BG11" s="202">
        <f t="shared" si="24"/>
        <v>248.24184879708537</v>
      </c>
      <c r="BH11" s="203">
        <f t="shared" si="25"/>
        <v>0.33924029187650079</v>
      </c>
    </row>
    <row r="12" spans="2:60" x14ac:dyDescent="0.35">
      <c r="AJ12" s="192"/>
    </row>
    <row r="13" spans="2:60" x14ac:dyDescent="0.35">
      <c r="AJ13" s="192"/>
    </row>
    <row r="14" spans="2:60" x14ac:dyDescent="0.35">
      <c r="T14" s="120" t="s">
        <v>387</v>
      </c>
      <c r="W14" s="117" t="s">
        <v>48</v>
      </c>
      <c r="AG14" s="127">
        <v>0.53</v>
      </c>
      <c r="AJ14" s="192"/>
    </row>
    <row r="15" spans="2:60" x14ac:dyDescent="0.35">
      <c r="T15" s="118" t="s">
        <v>377</v>
      </c>
      <c r="U15" s="118"/>
      <c r="V15" s="118">
        <f t="shared" ref="V15:V18" si="29">U15*$U$3</f>
        <v>0</v>
      </c>
      <c r="W15" s="179">
        <v>1</v>
      </c>
      <c r="X15" s="135">
        <f t="shared" ref="X15:X18" si="30">W15*$W$3</f>
        <v>16249.947702396161</v>
      </c>
      <c r="Y15" s="118"/>
      <c r="Z15" s="118">
        <f t="shared" ref="Z15:Z18" si="31">Y15*$Y$3</f>
        <v>0</v>
      </c>
      <c r="AA15" s="118"/>
      <c r="AB15" s="118">
        <f t="shared" ref="AB15:AB18" si="32">AA15*$AA$3</f>
        <v>0</v>
      </c>
      <c r="AC15" s="118"/>
      <c r="AD15" s="118">
        <f t="shared" ref="AD15:AD18" si="33">AC15*$AC$3</f>
        <v>0</v>
      </c>
      <c r="AE15" s="118"/>
      <c r="AF15" s="118">
        <f t="shared" ref="AF15:AF18" si="34">AE15*$AE$3</f>
        <v>0</v>
      </c>
      <c r="AG15" s="123">
        <f t="shared" ref="AG15:AH18" si="35">U15+W15+Y15+AA15+AC15+AE15</f>
        <v>1</v>
      </c>
      <c r="AH15" s="178">
        <f t="shared" si="35"/>
        <v>16249.947702396161</v>
      </c>
      <c r="AI15" s="176">
        <f t="shared" ref="AI15:AJ15" si="36">AI$1+AH15</f>
        <v>18570.978696459893</v>
      </c>
      <c r="AJ15" s="195">
        <f t="shared" si="36"/>
        <v>20966.591006877235</v>
      </c>
      <c r="AK15" s="176">
        <f t="shared" ref="AK15:AK18" si="37">AK$1+$W$2</f>
        <v>18136.977515423063</v>
      </c>
      <c r="AL15" s="173">
        <f t="shared" ref="AL15:AL18" si="38">AL$1+AJ15</f>
        <v>24351.085233668404</v>
      </c>
      <c r="AM15" s="173">
        <f t="shared" ref="AM15:AM18" si="39">AL15+$AM$1</f>
        <v>26252.2096201694</v>
      </c>
      <c r="AN15" s="173">
        <f t="shared" ref="AN15:AN18" si="40">AL15+$AN$1</f>
        <v>26682.971336235292</v>
      </c>
      <c r="AO15" s="176">
        <f t="shared" ref="AO15:AO18" si="41">AM15</f>
        <v>26252.2096201694</v>
      </c>
      <c r="AP15" s="131">
        <f>$AP$4*AQ15/1000</f>
        <v>30740</v>
      </c>
      <c r="AQ15" s="131">
        <f>AQ7</f>
        <v>1160</v>
      </c>
      <c r="AR15" s="131">
        <f t="shared" ref="AR15:AR18" si="42">AP15-AO15</f>
        <v>4487.7903798305997</v>
      </c>
      <c r="AS15" s="154">
        <f t="shared" ref="AS15:AS18" si="43">AR15/AP15</f>
        <v>0.14599187963014312</v>
      </c>
      <c r="AU15" s="109">
        <f t="shared" ref="AU15:AU18" si="44">AH15/$AP$4*1000</f>
        <v>613.20557367532683</v>
      </c>
      <c r="AX15" s="148">
        <f t="shared" ref="AX15:AX18" si="45">AH15/$AP$4*1000</f>
        <v>613.20557367532683</v>
      </c>
      <c r="AY15" s="199">
        <f t="shared" ref="AY15:AY18" si="46">AI15/$AP$4*1000</f>
        <v>700.7916489230148</v>
      </c>
      <c r="AZ15" s="199">
        <f t="shared" ref="AZ15:AZ18" si="47">AJ15/$AP$4*1000</f>
        <v>791.1921134670655</v>
      </c>
      <c r="BA15" s="199">
        <f t="shared" ref="BA15:BA18" si="48">AK15/$AP$4*1000</f>
        <v>684.41424586502114</v>
      </c>
      <c r="BB15" s="200">
        <f t="shared" ref="BB15:BB18" si="49">AL15/$AP$4*1000</f>
        <v>918.90887674220392</v>
      </c>
      <c r="BC15" s="200">
        <f t="shared" ref="BC15:BC18" si="50">AM15/$AP$4*1000</f>
        <v>990.64941962903401</v>
      </c>
      <c r="BD15" s="200">
        <f t="shared" ref="BD15:BD18" si="51">AN15/$AP$4*1000</f>
        <v>1006.9045787258601</v>
      </c>
      <c r="BE15" s="148">
        <f t="shared" ref="BE15:BE18" si="52">AO15/$AP$4*1000</f>
        <v>990.64941962903401</v>
      </c>
      <c r="BF15" s="201">
        <f t="shared" ref="BF15:BF18" si="53">AP15/$AP$4*1000</f>
        <v>1160</v>
      </c>
      <c r="BG15" s="202">
        <f t="shared" ref="BG15:BG18" si="54">BF15-BE15</f>
        <v>169.35058037096599</v>
      </c>
      <c r="BH15" s="203">
        <f t="shared" ref="BH15:BH18" si="55">BG15/BE15</f>
        <v>0.17094905323255755</v>
      </c>
    </row>
    <row r="16" spans="2:60" x14ac:dyDescent="0.35">
      <c r="T16" s="118" t="s">
        <v>378</v>
      </c>
      <c r="U16" s="118"/>
      <c r="V16" s="118">
        <f t="shared" si="29"/>
        <v>0</v>
      </c>
      <c r="W16" s="179">
        <v>1</v>
      </c>
      <c r="X16" s="135">
        <f t="shared" si="30"/>
        <v>16249.947702396161</v>
      </c>
      <c r="Y16" s="118"/>
      <c r="Z16" s="118">
        <f t="shared" si="31"/>
        <v>0</v>
      </c>
      <c r="AA16" s="118"/>
      <c r="AB16" s="118">
        <f t="shared" si="32"/>
        <v>0</v>
      </c>
      <c r="AC16" s="118"/>
      <c r="AD16" s="118">
        <f t="shared" si="33"/>
        <v>0</v>
      </c>
      <c r="AE16" s="118"/>
      <c r="AF16" s="118">
        <f t="shared" si="34"/>
        <v>0</v>
      </c>
      <c r="AG16" s="123">
        <f t="shared" si="35"/>
        <v>1</v>
      </c>
      <c r="AH16" s="178">
        <f t="shared" si="35"/>
        <v>16249.947702396161</v>
      </c>
      <c r="AI16" s="176">
        <f t="shared" ref="AI16:AJ16" si="56">AI$1+AH16</f>
        <v>18570.978696459893</v>
      </c>
      <c r="AJ16" s="195">
        <f t="shared" si="56"/>
        <v>20966.591006877235</v>
      </c>
      <c r="AK16" s="176">
        <f t="shared" si="37"/>
        <v>18136.977515423063</v>
      </c>
      <c r="AL16" s="173">
        <f t="shared" si="38"/>
        <v>24351.085233668404</v>
      </c>
      <c r="AM16" s="173">
        <f t="shared" si="39"/>
        <v>26252.2096201694</v>
      </c>
      <c r="AN16" s="173">
        <f t="shared" si="40"/>
        <v>26682.971336235292</v>
      </c>
      <c r="AO16" s="176">
        <f t="shared" si="41"/>
        <v>26252.2096201694</v>
      </c>
      <c r="AP16" s="131">
        <f t="shared" ref="AP16:AP18" si="57">$AP$4*AQ16/1000</f>
        <v>31535</v>
      </c>
      <c r="AQ16" s="131">
        <f>AQ7+30</f>
        <v>1190</v>
      </c>
      <c r="AR16" s="131">
        <f t="shared" si="42"/>
        <v>5282.7903798305997</v>
      </c>
      <c r="AS16" s="154">
        <f t="shared" si="43"/>
        <v>0.16752149611005548</v>
      </c>
      <c r="AU16" s="109">
        <f t="shared" si="44"/>
        <v>613.20557367532683</v>
      </c>
      <c r="AX16" s="148">
        <f t="shared" si="45"/>
        <v>613.20557367532683</v>
      </c>
      <c r="AY16" s="199">
        <f t="shared" si="46"/>
        <v>700.7916489230148</v>
      </c>
      <c r="AZ16" s="199">
        <f t="shared" si="47"/>
        <v>791.1921134670655</v>
      </c>
      <c r="BA16" s="199">
        <f t="shared" si="48"/>
        <v>684.41424586502114</v>
      </c>
      <c r="BB16" s="200">
        <f t="shared" si="49"/>
        <v>918.90887674220392</v>
      </c>
      <c r="BC16" s="200">
        <f t="shared" si="50"/>
        <v>990.64941962903401</v>
      </c>
      <c r="BD16" s="200">
        <f t="shared" si="51"/>
        <v>1006.9045787258601</v>
      </c>
      <c r="BE16" s="148">
        <f t="shared" si="52"/>
        <v>990.64941962903401</v>
      </c>
      <c r="BF16" s="201">
        <f t="shared" si="53"/>
        <v>1190</v>
      </c>
      <c r="BG16" s="202">
        <f t="shared" si="54"/>
        <v>199.35058037096599</v>
      </c>
      <c r="BH16" s="203">
        <f t="shared" si="55"/>
        <v>0.20123221840236508</v>
      </c>
    </row>
    <row r="17" spans="20:68" x14ac:dyDescent="0.35">
      <c r="T17" s="118" t="s">
        <v>379</v>
      </c>
      <c r="U17" s="118"/>
      <c r="V17" s="118">
        <f t="shared" si="29"/>
        <v>0</v>
      </c>
      <c r="W17" s="179">
        <v>1</v>
      </c>
      <c r="X17" s="135">
        <f t="shared" si="30"/>
        <v>16249.947702396161</v>
      </c>
      <c r="Y17" s="118"/>
      <c r="Z17" s="118">
        <f t="shared" si="31"/>
        <v>0</v>
      </c>
      <c r="AA17" s="118"/>
      <c r="AB17" s="118">
        <f t="shared" si="32"/>
        <v>0</v>
      </c>
      <c r="AC17" s="118"/>
      <c r="AD17" s="118">
        <f t="shared" si="33"/>
        <v>0</v>
      </c>
      <c r="AE17" s="118"/>
      <c r="AF17" s="118">
        <f t="shared" si="34"/>
        <v>0</v>
      </c>
      <c r="AG17" s="123">
        <f t="shared" si="35"/>
        <v>1</v>
      </c>
      <c r="AH17" s="178">
        <f t="shared" si="35"/>
        <v>16249.947702396161</v>
      </c>
      <c r="AI17" s="176">
        <f t="shared" ref="AI17:AJ17" si="58">AI$1+AH17</f>
        <v>18570.978696459893</v>
      </c>
      <c r="AJ17" s="195">
        <f t="shared" si="58"/>
        <v>20966.591006877235</v>
      </c>
      <c r="AK17" s="176">
        <f t="shared" si="37"/>
        <v>18136.977515423063</v>
      </c>
      <c r="AL17" s="173">
        <f t="shared" si="38"/>
        <v>24351.085233668404</v>
      </c>
      <c r="AM17" s="173">
        <f t="shared" si="39"/>
        <v>26252.2096201694</v>
      </c>
      <c r="AN17" s="173">
        <f t="shared" si="40"/>
        <v>26682.971336235292</v>
      </c>
      <c r="AO17" s="176">
        <f t="shared" si="41"/>
        <v>26252.2096201694</v>
      </c>
      <c r="AP17" s="131">
        <f t="shared" si="57"/>
        <v>33125</v>
      </c>
      <c r="AQ17" s="131">
        <f>AQ7+90</f>
        <v>1250</v>
      </c>
      <c r="AR17" s="131">
        <f t="shared" si="42"/>
        <v>6872.7903798305997</v>
      </c>
      <c r="AS17" s="154">
        <f t="shared" si="43"/>
        <v>0.20748046429677283</v>
      </c>
      <c r="AU17" s="109">
        <f t="shared" si="44"/>
        <v>613.20557367532683</v>
      </c>
      <c r="AX17" s="148">
        <f t="shared" si="45"/>
        <v>613.20557367532683</v>
      </c>
      <c r="AY17" s="199">
        <f t="shared" si="46"/>
        <v>700.7916489230148</v>
      </c>
      <c r="AZ17" s="199">
        <f t="shared" si="47"/>
        <v>791.1921134670655</v>
      </c>
      <c r="BA17" s="199">
        <f t="shared" si="48"/>
        <v>684.41424586502114</v>
      </c>
      <c r="BB17" s="200">
        <f t="shared" si="49"/>
        <v>918.90887674220392</v>
      </c>
      <c r="BC17" s="200">
        <f t="shared" si="50"/>
        <v>990.64941962903401</v>
      </c>
      <c r="BD17" s="200">
        <f t="shared" si="51"/>
        <v>1006.9045787258601</v>
      </c>
      <c r="BE17" s="148">
        <f t="shared" si="52"/>
        <v>990.64941962903401</v>
      </c>
      <c r="BF17" s="201">
        <f t="shared" si="53"/>
        <v>1250</v>
      </c>
      <c r="BG17" s="202">
        <f t="shared" si="54"/>
        <v>259.35058037096599</v>
      </c>
      <c r="BH17" s="203">
        <f t="shared" si="55"/>
        <v>0.26179854874198011</v>
      </c>
    </row>
    <row r="18" spans="20:68" x14ac:dyDescent="0.35">
      <c r="T18" s="118" t="s">
        <v>380</v>
      </c>
      <c r="U18" s="118"/>
      <c r="V18" s="118">
        <f t="shared" si="29"/>
        <v>0</v>
      </c>
      <c r="W18" s="179">
        <v>1</v>
      </c>
      <c r="X18" s="135">
        <f t="shared" si="30"/>
        <v>16249.947702396161</v>
      </c>
      <c r="Y18" s="118"/>
      <c r="Z18" s="118">
        <f t="shared" si="31"/>
        <v>0</v>
      </c>
      <c r="AA18" s="118"/>
      <c r="AB18" s="118">
        <f t="shared" si="32"/>
        <v>0</v>
      </c>
      <c r="AC18" s="118"/>
      <c r="AD18" s="118">
        <f t="shared" si="33"/>
        <v>0</v>
      </c>
      <c r="AE18" s="118"/>
      <c r="AF18" s="118">
        <f t="shared" si="34"/>
        <v>0</v>
      </c>
      <c r="AG18" s="123">
        <f t="shared" si="35"/>
        <v>1</v>
      </c>
      <c r="AH18" s="178">
        <f t="shared" si="35"/>
        <v>16249.947702396161</v>
      </c>
      <c r="AI18" s="176">
        <f t="shared" ref="AI18:AJ18" si="59">AI$1+AH18</f>
        <v>18570.978696459893</v>
      </c>
      <c r="AJ18" s="195">
        <f t="shared" si="59"/>
        <v>20966.591006877235</v>
      </c>
      <c r="AK18" s="176">
        <f t="shared" si="37"/>
        <v>18136.977515423063</v>
      </c>
      <c r="AL18" s="173">
        <f t="shared" si="38"/>
        <v>24351.085233668404</v>
      </c>
      <c r="AM18" s="173">
        <f t="shared" si="39"/>
        <v>26252.2096201694</v>
      </c>
      <c r="AN18" s="173">
        <f t="shared" si="40"/>
        <v>26682.971336235292</v>
      </c>
      <c r="AO18" s="176">
        <f t="shared" si="41"/>
        <v>26252.2096201694</v>
      </c>
      <c r="AP18" s="131">
        <f t="shared" si="57"/>
        <v>29945</v>
      </c>
      <c r="AQ18" s="131">
        <f>AQ7-30</f>
        <v>1130</v>
      </c>
      <c r="AR18" s="131">
        <f t="shared" si="42"/>
        <v>3692.7903798305997</v>
      </c>
      <c r="AS18" s="154">
        <f t="shared" si="43"/>
        <v>0.12331909767342127</v>
      </c>
      <c r="AU18" s="109">
        <f t="shared" si="44"/>
        <v>613.20557367532683</v>
      </c>
      <c r="AX18" s="148">
        <f t="shared" si="45"/>
        <v>613.20557367532683</v>
      </c>
      <c r="AY18" s="199">
        <f t="shared" si="46"/>
        <v>700.7916489230148</v>
      </c>
      <c r="AZ18" s="199">
        <f t="shared" si="47"/>
        <v>791.1921134670655</v>
      </c>
      <c r="BA18" s="199">
        <f t="shared" si="48"/>
        <v>684.41424586502114</v>
      </c>
      <c r="BB18" s="200">
        <f t="shared" si="49"/>
        <v>918.90887674220392</v>
      </c>
      <c r="BC18" s="200">
        <f t="shared" si="50"/>
        <v>990.64941962903401</v>
      </c>
      <c r="BD18" s="200">
        <f t="shared" si="51"/>
        <v>1006.9045787258601</v>
      </c>
      <c r="BE18" s="148">
        <f t="shared" si="52"/>
        <v>990.64941962903401</v>
      </c>
      <c r="BF18" s="201">
        <f t="shared" si="53"/>
        <v>1130</v>
      </c>
      <c r="BG18" s="202">
        <f t="shared" si="54"/>
        <v>139.35058037096599</v>
      </c>
      <c r="BH18" s="203">
        <f t="shared" si="55"/>
        <v>0.14066588806275004</v>
      </c>
    </row>
    <row r="19" spans="20:68" x14ac:dyDescent="0.35">
      <c r="AJ19" s="192"/>
    </row>
    <row r="20" spans="20:68" x14ac:dyDescent="0.35">
      <c r="AJ20" s="192"/>
    </row>
    <row r="21" spans="20:68" x14ac:dyDescent="0.35">
      <c r="AJ21" s="192"/>
    </row>
    <row r="22" spans="20:68" x14ac:dyDescent="0.35">
      <c r="AJ22" s="192"/>
    </row>
    <row r="23" spans="20:68" x14ac:dyDescent="0.35">
      <c r="AJ23" s="192"/>
    </row>
    <row r="24" spans="20:68" x14ac:dyDescent="0.35">
      <c r="T24" s="120" t="s">
        <v>388</v>
      </c>
      <c r="AG24" s="127">
        <v>0.05</v>
      </c>
      <c r="AJ24" s="192"/>
    </row>
    <row r="25" spans="20:68" x14ac:dyDescent="0.35">
      <c r="T25" s="118" t="s">
        <v>368</v>
      </c>
      <c r="U25" s="118"/>
      <c r="V25" s="135">
        <f t="shared" ref="V25:V29" si="60">U25*$U$3</f>
        <v>0</v>
      </c>
      <c r="W25" s="119">
        <v>0.9</v>
      </c>
      <c r="X25" s="135">
        <f t="shared" ref="X25:X29" si="61">W25*$W$3</f>
        <v>14624.952932156544</v>
      </c>
      <c r="Y25" s="119">
        <v>0.1</v>
      </c>
      <c r="Z25" s="135">
        <f t="shared" ref="Z25:Z29" si="62">Y25*$Y$3</f>
        <v>1474.9947702396162</v>
      </c>
      <c r="AA25" s="118"/>
      <c r="AB25" s="135">
        <f t="shared" ref="AB25:AB29" si="63">AA25*$AA$3</f>
        <v>0</v>
      </c>
      <c r="AC25" s="118"/>
      <c r="AD25" s="135">
        <f t="shared" ref="AD25:AD29" si="64">AC25*$AC$3</f>
        <v>0</v>
      </c>
      <c r="AE25" s="118"/>
      <c r="AF25" s="118">
        <f t="shared" ref="AF25:AF29" si="65">AE25*$AE$3</f>
        <v>0</v>
      </c>
      <c r="AG25" s="123">
        <f t="shared" ref="AG25:AH29" si="66">U25+W25+Y25+AA25+AC25+AE25</f>
        <v>1</v>
      </c>
      <c r="AH25" s="178">
        <f t="shared" si="66"/>
        <v>16099.947702396161</v>
      </c>
      <c r="AI25" s="176">
        <f t="shared" ref="AI25:AJ25" si="67">AI$1+AH25</f>
        <v>18420.978696459893</v>
      </c>
      <c r="AJ25" s="195">
        <f t="shared" si="67"/>
        <v>20816.591006877235</v>
      </c>
      <c r="AK25" s="176">
        <f>AK$1+$W$2</f>
        <v>18136.977515423063</v>
      </c>
      <c r="AL25" s="173">
        <f t="shared" ref="AL25:AL28" si="68">AL$1+AJ25</f>
        <v>24201.085233668404</v>
      </c>
      <c r="AM25" s="173">
        <f t="shared" ref="AM25:AM28" si="69">AL25+$AM$1</f>
        <v>26102.2096201694</v>
      </c>
      <c r="AN25" s="173">
        <f t="shared" ref="AN25:AN28" si="70">AL25+$AN$1</f>
        <v>26532.971336235292</v>
      </c>
      <c r="AO25" s="176">
        <f t="shared" ref="AO25:AO29" si="71">AM25</f>
        <v>26102.2096201694</v>
      </c>
      <c r="AP25" s="131">
        <f t="shared" ref="AP25:AP29" si="72">$AP$4*AQ25/1000</f>
        <v>30740</v>
      </c>
      <c r="AQ25" s="131">
        <f>AQ7</f>
        <v>1160</v>
      </c>
      <c r="AR25" s="131">
        <f t="shared" ref="AR25:AR29" si="73">AP25-AO25</f>
        <v>4637.7903798305997</v>
      </c>
      <c r="AS25" s="154">
        <f t="shared" ref="AS25:AS29" si="74">AR25/AP25</f>
        <v>0.1508715152840143</v>
      </c>
      <c r="AU25" s="109">
        <f t="shared" ref="AU25:AU29" si="75">AH25/$AP$4*1000</f>
        <v>607.54519631683627</v>
      </c>
      <c r="AX25" s="148">
        <f t="shared" ref="AX25:AX29" si="76">AH25/$AP$4*1000</f>
        <v>607.54519631683627</v>
      </c>
      <c r="AY25" s="199">
        <f t="shared" ref="AY25:AY29" si="77">AI25/$AP$4*1000</f>
        <v>695.13127156452424</v>
      </c>
      <c r="AZ25" s="199">
        <f t="shared" ref="AZ25:AZ29" si="78">AJ25/$AP$4*1000</f>
        <v>785.53173610857493</v>
      </c>
      <c r="BA25" s="199">
        <f t="shared" ref="BA25:BA29" si="79">AK25/$AP$4*1000</f>
        <v>684.41424586502114</v>
      </c>
      <c r="BB25" s="200">
        <f t="shared" ref="BB25:BB29" si="80">AL25/$AP$4*1000</f>
        <v>913.24849938371335</v>
      </c>
      <c r="BC25" s="200">
        <f t="shared" ref="BC25:BC29" si="81">AM25/$AP$4*1000</f>
        <v>984.98904227054345</v>
      </c>
      <c r="BD25" s="200">
        <f t="shared" ref="BD25:BD29" si="82">AN25/$AP$4*1000</f>
        <v>1001.2442013673694</v>
      </c>
      <c r="BE25" s="148">
        <f t="shared" ref="BE25:BE29" si="83">AO25/$AP$4*1000</f>
        <v>984.98904227054345</v>
      </c>
      <c r="BF25" s="201">
        <f t="shared" ref="BF25:BF29" si="84">AP25/$AP$4*1000</f>
        <v>1160</v>
      </c>
      <c r="BG25" s="202">
        <f t="shared" ref="BG25:BG29" si="85">BF25-BE25</f>
        <v>175.01095772945655</v>
      </c>
      <c r="BH25" s="203">
        <f t="shared" ref="BH25:BH29" si="86">BG25/BE25</f>
        <v>0.1776780758149662</v>
      </c>
    </row>
    <row r="26" spans="20:68" x14ac:dyDescent="0.35">
      <c r="T26" s="181" t="s">
        <v>370</v>
      </c>
      <c r="U26" s="119">
        <v>0.55000000000000004</v>
      </c>
      <c r="V26" s="135">
        <f t="shared" si="60"/>
        <v>8112.4712363178887</v>
      </c>
      <c r="W26" s="119">
        <v>0.3</v>
      </c>
      <c r="X26" s="135">
        <f t="shared" si="61"/>
        <v>4874.9843107188481</v>
      </c>
      <c r="Y26" s="119">
        <v>0.15</v>
      </c>
      <c r="Z26" s="135">
        <f t="shared" si="62"/>
        <v>2212.492155359424</v>
      </c>
      <c r="AA26" s="118"/>
      <c r="AB26" s="135">
        <f t="shared" si="63"/>
        <v>0</v>
      </c>
      <c r="AC26" s="118"/>
      <c r="AD26" s="135">
        <f t="shared" si="64"/>
        <v>0</v>
      </c>
      <c r="AE26" s="118"/>
      <c r="AF26" s="118">
        <f t="shared" si="65"/>
        <v>0</v>
      </c>
      <c r="AG26" s="123">
        <f t="shared" si="66"/>
        <v>1</v>
      </c>
      <c r="AH26" s="178">
        <f t="shared" si="66"/>
        <v>15199.947702396163</v>
      </c>
      <c r="AI26" s="176">
        <f t="shared" ref="AI26:AJ26" si="87">AI$1+AH26</f>
        <v>17520.978696459897</v>
      </c>
      <c r="AJ26" s="195">
        <f t="shared" si="87"/>
        <v>19916.591006877239</v>
      </c>
      <c r="AK26" s="176">
        <f t="shared" ref="AK26:AK29" si="88">AK$1+$W$2</f>
        <v>18136.977515423063</v>
      </c>
      <c r="AL26" s="173">
        <f t="shared" si="68"/>
        <v>23301.085233668404</v>
      </c>
      <c r="AM26" s="173">
        <f t="shared" si="69"/>
        <v>25202.2096201694</v>
      </c>
      <c r="AN26" s="173">
        <f t="shared" si="70"/>
        <v>25632.971336235292</v>
      </c>
      <c r="AO26" s="176">
        <f t="shared" si="71"/>
        <v>25202.2096201694</v>
      </c>
      <c r="AP26" s="131">
        <f t="shared" si="72"/>
        <v>28885</v>
      </c>
      <c r="AQ26" s="131">
        <f>AQ7-70</f>
        <v>1090</v>
      </c>
      <c r="AR26" s="131">
        <f t="shared" si="73"/>
        <v>3682.7903798305997</v>
      </c>
      <c r="AS26" s="154">
        <f t="shared" si="74"/>
        <v>0.12749836869761466</v>
      </c>
      <c r="AU26" s="109">
        <f t="shared" si="75"/>
        <v>573.582932165893</v>
      </c>
      <c r="AX26" s="148">
        <f t="shared" si="76"/>
        <v>573.582932165893</v>
      </c>
      <c r="AY26" s="199">
        <f t="shared" si="77"/>
        <v>661.16900741358097</v>
      </c>
      <c r="AZ26" s="199">
        <f t="shared" si="78"/>
        <v>751.56947195763166</v>
      </c>
      <c r="BA26" s="199">
        <f t="shared" si="79"/>
        <v>684.41424586502114</v>
      </c>
      <c r="BB26" s="200">
        <f t="shared" si="80"/>
        <v>879.28623523276997</v>
      </c>
      <c r="BC26" s="200">
        <f t="shared" si="81"/>
        <v>951.02677811960007</v>
      </c>
      <c r="BD26" s="200">
        <f t="shared" si="82"/>
        <v>967.28193721642606</v>
      </c>
      <c r="BE26" s="148">
        <f t="shared" si="83"/>
        <v>951.02677811960007</v>
      </c>
      <c r="BF26" s="201">
        <f t="shared" si="84"/>
        <v>1090</v>
      </c>
      <c r="BG26" s="202">
        <f t="shared" si="85"/>
        <v>138.97322188039993</v>
      </c>
      <c r="BH26" s="203">
        <f t="shared" si="86"/>
        <v>0.14612966225323554</v>
      </c>
      <c r="BJ26" s="183">
        <v>1074</v>
      </c>
      <c r="BK26" t="s">
        <v>458</v>
      </c>
      <c r="BL26" t="s">
        <v>459</v>
      </c>
      <c r="BM26" t="s">
        <v>460</v>
      </c>
      <c r="BO26" t="s">
        <v>465</v>
      </c>
      <c r="BP26" t="s">
        <v>466</v>
      </c>
    </row>
    <row r="27" spans="20:68" x14ac:dyDescent="0.35">
      <c r="T27" s="118" t="s">
        <v>386</v>
      </c>
      <c r="U27" s="118"/>
      <c r="V27" s="135">
        <f t="shared" si="60"/>
        <v>0</v>
      </c>
      <c r="W27" s="119">
        <v>0.4</v>
      </c>
      <c r="X27" s="135">
        <f t="shared" si="61"/>
        <v>6499.9790809584647</v>
      </c>
      <c r="Y27" s="118"/>
      <c r="Z27" s="135">
        <f t="shared" si="62"/>
        <v>0</v>
      </c>
      <c r="AA27" s="119">
        <v>0.5</v>
      </c>
      <c r="AB27" s="135">
        <f t="shared" si="63"/>
        <v>6624.9738511980804</v>
      </c>
      <c r="AC27" s="119">
        <v>0.1</v>
      </c>
      <c r="AD27" s="135">
        <f t="shared" si="64"/>
        <v>922.09621951497854</v>
      </c>
      <c r="AE27" s="118"/>
      <c r="AF27" s="118">
        <f t="shared" si="65"/>
        <v>0</v>
      </c>
      <c r="AG27" s="123">
        <f t="shared" si="66"/>
        <v>1</v>
      </c>
      <c r="AH27" s="178">
        <f t="shared" si="66"/>
        <v>14047.049151671525</v>
      </c>
      <c r="AI27" s="176">
        <f t="shared" ref="AI27:AJ27" si="89">AI$1+AH27</f>
        <v>16368.080145735257</v>
      </c>
      <c r="AJ27" s="195">
        <f t="shared" si="89"/>
        <v>18763.692456152599</v>
      </c>
      <c r="AK27" s="176">
        <f t="shared" si="88"/>
        <v>18136.977515423063</v>
      </c>
      <c r="AL27" s="173">
        <f t="shared" si="68"/>
        <v>22148.186682943764</v>
      </c>
      <c r="AM27" s="173">
        <f t="shared" si="69"/>
        <v>24049.311069444761</v>
      </c>
      <c r="AN27" s="173">
        <f t="shared" si="70"/>
        <v>24480.072785510652</v>
      </c>
      <c r="AO27" s="176">
        <f t="shared" si="71"/>
        <v>24049.311069444761</v>
      </c>
      <c r="AP27" s="131">
        <f t="shared" si="72"/>
        <v>30740</v>
      </c>
      <c r="AQ27" s="131">
        <f>AQ7</f>
        <v>1160</v>
      </c>
      <c r="AR27" s="131">
        <f t="shared" si="73"/>
        <v>6690.6889305552395</v>
      </c>
      <c r="AS27" s="154">
        <f t="shared" si="74"/>
        <v>0.21765416169665711</v>
      </c>
      <c r="AU27" s="109">
        <f t="shared" si="75"/>
        <v>530.07732647817079</v>
      </c>
      <c r="AX27" s="148">
        <f t="shared" si="76"/>
        <v>530.07732647817079</v>
      </c>
      <c r="AY27" s="199">
        <f t="shared" si="77"/>
        <v>617.66340172585876</v>
      </c>
      <c r="AZ27" s="199">
        <f t="shared" si="78"/>
        <v>708.06386626990934</v>
      </c>
      <c r="BA27" s="199">
        <f t="shared" si="79"/>
        <v>684.41424586502114</v>
      </c>
      <c r="BB27" s="200">
        <f t="shared" si="80"/>
        <v>835.78062954504776</v>
      </c>
      <c r="BC27" s="200">
        <f t="shared" si="81"/>
        <v>907.52117243187774</v>
      </c>
      <c r="BD27" s="200">
        <f t="shared" si="82"/>
        <v>923.77633152870385</v>
      </c>
      <c r="BE27" s="148">
        <f t="shared" si="83"/>
        <v>907.52117243187774</v>
      </c>
      <c r="BF27" s="201">
        <f t="shared" si="84"/>
        <v>1160</v>
      </c>
      <c r="BG27" s="202">
        <f t="shared" si="85"/>
        <v>252.47882756812226</v>
      </c>
      <c r="BH27" s="203">
        <f t="shared" si="86"/>
        <v>0.27820709338555333</v>
      </c>
    </row>
    <row r="28" spans="20:68" x14ac:dyDescent="0.35">
      <c r="T28" s="181" t="s">
        <v>371</v>
      </c>
      <c r="U28" s="119">
        <v>0.95</v>
      </c>
      <c r="V28" s="135">
        <f t="shared" si="60"/>
        <v>14012.450317276353</v>
      </c>
      <c r="W28" s="118"/>
      <c r="X28" s="135">
        <f t="shared" si="61"/>
        <v>0</v>
      </c>
      <c r="Y28" s="118"/>
      <c r="Z28" s="135">
        <f t="shared" si="62"/>
        <v>0</v>
      </c>
      <c r="AA28" s="119">
        <v>0.05</v>
      </c>
      <c r="AB28" s="135">
        <f t="shared" si="63"/>
        <v>662.49738511980809</v>
      </c>
      <c r="AC28" s="118"/>
      <c r="AD28" s="135">
        <f t="shared" si="64"/>
        <v>0</v>
      </c>
      <c r="AE28" s="118"/>
      <c r="AF28" s="118">
        <f t="shared" si="65"/>
        <v>0</v>
      </c>
      <c r="AG28" s="123">
        <f t="shared" si="66"/>
        <v>1</v>
      </c>
      <c r="AH28" s="178">
        <f t="shared" si="66"/>
        <v>14674.947702396161</v>
      </c>
      <c r="AI28" s="176">
        <f t="shared" ref="AI28:AJ28" si="90">AI$1+AH28</f>
        <v>16995.978696459893</v>
      </c>
      <c r="AJ28" s="195">
        <f t="shared" si="90"/>
        <v>19391.591006877235</v>
      </c>
      <c r="AK28" s="176">
        <f t="shared" si="88"/>
        <v>18136.977515423063</v>
      </c>
      <c r="AL28" s="173">
        <f t="shared" si="68"/>
        <v>22776.085233668404</v>
      </c>
      <c r="AM28" s="173">
        <f t="shared" si="69"/>
        <v>24677.2096201694</v>
      </c>
      <c r="AN28" s="173">
        <f t="shared" si="70"/>
        <v>25107.971336235292</v>
      </c>
      <c r="AO28" s="176">
        <f t="shared" si="71"/>
        <v>24677.2096201694</v>
      </c>
      <c r="AP28" s="131">
        <f t="shared" si="72"/>
        <v>19080</v>
      </c>
      <c r="AQ28" s="131">
        <f>AQ10</f>
        <v>720</v>
      </c>
      <c r="AR28" s="131">
        <f t="shared" si="73"/>
        <v>-5597.2096201694003</v>
      </c>
      <c r="AS28" s="154">
        <f t="shared" si="74"/>
        <v>-0.29335480189567087</v>
      </c>
      <c r="AU28" s="109">
        <f t="shared" si="75"/>
        <v>553.77161141117597</v>
      </c>
      <c r="AX28" s="148">
        <f t="shared" si="76"/>
        <v>553.77161141117597</v>
      </c>
      <c r="AY28" s="199">
        <f t="shared" si="77"/>
        <v>641.35768665886394</v>
      </c>
      <c r="AZ28" s="199">
        <f t="shared" si="78"/>
        <v>731.75815120291452</v>
      </c>
      <c r="BA28" s="199">
        <f t="shared" si="79"/>
        <v>684.41424586502114</v>
      </c>
      <c r="BB28" s="200">
        <f t="shared" si="80"/>
        <v>859.47491447805305</v>
      </c>
      <c r="BC28" s="200">
        <f t="shared" si="81"/>
        <v>931.21545736488304</v>
      </c>
      <c r="BD28" s="200">
        <f t="shared" si="82"/>
        <v>947.47061646170914</v>
      </c>
      <c r="BE28" s="148">
        <f t="shared" si="83"/>
        <v>931.21545736488304</v>
      </c>
      <c r="BF28" s="201">
        <f t="shared" si="84"/>
        <v>720</v>
      </c>
      <c r="BG28" s="202">
        <f t="shared" si="85"/>
        <v>-211.21545736488304</v>
      </c>
      <c r="BH28" s="203">
        <f t="shared" si="86"/>
        <v>-0.22681695808891775</v>
      </c>
      <c r="BK28" s="180" t="s">
        <v>462</v>
      </c>
      <c r="BL28" t="s">
        <v>461</v>
      </c>
      <c r="BM28" s="182" t="s">
        <v>463</v>
      </c>
    </row>
    <row r="29" spans="20:68" x14ac:dyDescent="0.35">
      <c r="T29" s="118" t="s">
        <v>373</v>
      </c>
      <c r="U29" s="119">
        <v>0.65</v>
      </c>
      <c r="V29" s="135">
        <f t="shared" si="60"/>
        <v>9587.4660065575044</v>
      </c>
      <c r="W29" s="119">
        <v>0.15</v>
      </c>
      <c r="X29" s="135">
        <f t="shared" si="61"/>
        <v>2437.492155359424</v>
      </c>
      <c r="Y29" s="118"/>
      <c r="Z29" s="135">
        <f t="shared" si="62"/>
        <v>0</v>
      </c>
      <c r="AA29" s="119">
        <v>0.2</v>
      </c>
      <c r="AB29" s="135">
        <f t="shared" si="63"/>
        <v>2649.9895404792323</v>
      </c>
      <c r="AC29" s="118"/>
      <c r="AD29" s="135">
        <f t="shared" si="64"/>
        <v>0</v>
      </c>
      <c r="AE29" s="118"/>
      <c r="AF29" s="118">
        <f t="shared" si="65"/>
        <v>0</v>
      </c>
      <c r="AG29" s="123">
        <f t="shared" si="66"/>
        <v>1</v>
      </c>
      <c r="AH29" s="178">
        <f t="shared" si="66"/>
        <v>14674.947702396163</v>
      </c>
      <c r="AI29" s="176">
        <f t="shared" ref="AI29:AJ29" si="91">AI$1+AH29</f>
        <v>16995.978696459897</v>
      </c>
      <c r="AJ29" s="195">
        <f t="shared" si="91"/>
        <v>19391.591006877239</v>
      </c>
      <c r="AK29" s="176">
        <f t="shared" si="88"/>
        <v>18136.977515423063</v>
      </c>
      <c r="AL29" s="173">
        <f>+AJ29</f>
        <v>19391.591006877239</v>
      </c>
      <c r="AM29" s="173">
        <f>AL29</f>
        <v>19391.591006877239</v>
      </c>
      <c r="AN29" s="173">
        <f>AM29</f>
        <v>19391.591006877239</v>
      </c>
      <c r="AO29" s="176">
        <f t="shared" si="71"/>
        <v>19391.591006877239</v>
      </c>
      <c r="AP29" s="131">
        <f t="shared" si="72"/>
        <v>19080</v>
      </c>
      <c r="AQ29" s="198">
        <v>720</v>
      </c>
      <c r="AR29" s="131">
        <f t="shared" si="73"/>
        <v>-311.59100687723912</v>
      </c>
      <c r="AS29" s="154">
        <f t="shared" si="74"/>
        <v>-1.6330765559603728E-2</v>
      </c>
      <c r="AU29" s="109">
        <f t="shared" si="75"/>
        <v>553.77161141117597</v>
      </c>
      <c r="AX29" s="148">
        <f t="shared" si="76"/>
        <v>553.77161141117597</v>
      </c>
      <c r="AY29" s="199">
        <f t="shared" si="77"/>
        <v>641.35768665886405</v>
      </c>
      <c r="AZ29" s="199">
        <f t="shared" si="78"/>
        <v>731.75815120291463</v>
      </c>
      <c r="BA29" s="199">
        <f t="shared" si="79"/>
        <v>684.41424586502114</v>
      </c>
      <c r="BB29" s="200">
        <f t="shared" si="80"/>
        <v>731.75815120291463</v>
      </c>
      <c r="BC29" s="200">
        <f t="shared" si="81"/>
        <v>731.75815120291463</v>
      </c>
      <c r="BD29" s="200">
        <f t="shared" si="82"/>
        <v>731.75815120291463</v>
      </c>
      <c r="BE29" s="148">
        <f t="shared" si="83"/>
        <v>731.75815120291463</v>
      </c>
      <c r="BF29" s="201">
        <f t="shared" si="84"/>
        <v>720</v>
      </c>
      <c r="BG29" s="202">
        <f t="shared" si="85"/>
        <v>-11.758151202914632</v>
      </c>
      <c r="BH29" s="203">
        <f t="shared" si="86"/>
        <v>-1.6068356988693286E-2</v>
      </c>
      <c r="BI29" s="131">
        <f>AQ29-AU29</f>
        <v>166.22838858882403</v>
      </c>
      <c r="BJ29" s="186">
        <f>BI29/AQ29</f>
        <v>0.23087276192892225</v>
      </c>
    </row>
    <row r="30" spans="20:68" x14ac:dyDescent="0.35">
      <c r="AJ30" s="192"/>
    </row>
    <row r="31" spans="20:68" x14ac:dyDescent="0.35">
      <c r="AJ31" s="192"/>
    </row>
    <row r="32" spans="20:68" x14ac:dyDescent="0.35">
      <c r="T32" s="120" t="s">
        <v>389</v>
      </c>
      <c r="AG32" s="127">
        <v>0.02</v>
      </c>
      <c r="AJ32" s="192"/>
    </row>
    <row r="33" spans="20:70" x14ac:dyDescent="0.35">
      <c r="T33" s="118" t="s">
        <v>381</v>
      </c>
      <c r="U33" s="118"/>
      <c r="V33" s="118">
        <f t="shared" ref="V33" si="92">U33*$U$3</f>
        <v>0</v>
      </c>
      <c r="W33" s="118"/>
      <c r="X33" s="118">
        <f>W33*$W$3</f>
        <v>0</v>
      </c>
      <c r="Y33" s="118"/>
      <c r="Z33" s="118">
        <f>Y33*$Y$3</f>
        <v>0</v>
      </c>
      <c r="AA33" s="118"/>
      <c r="AB33" s="118"/>
      <c r="AC33" s="118"/>
      <c r="AD33" s="118">
        <f t="shared" ref="AD33" si="93">AC33*$AC$3</f>
        <v>0</v>
      </c>
      <c r="AE33" s="119">
        <v>1</v>
      </c>
      <c r="AF33" s="135">
        <f>AE33*$AE$3</f>
        <v>13249.947702396161</v>
      </c>
      <c r="AG33" s="123">
        <f>U33+W33+Y33+AA33+AC33+AE33</f>
        <v>1</v>
      </c>
      <c r="AH33" s="178">
        <f>V33+X33+Z33+AB33+AD33+AF33</f>
        <v>13249.947702396161</v>
      </c>
      <c r="AI33" s="176">
        <f>AI$1+AH33</f>
        <v>15570.978696459893</v>
      </c>
      <c r="AJ33" s="195">
        <f t="shared" ref="AJ33" si="94">AJ$1+AI33</f>
        <v>17966.591006877235</v>
      </c>
      <c r="AK33" s="176">
        <f>AK$1+$W$2</f>
        <v>18136.977515423063</v>
      </c>
      <c r="AL33" s="173">
        <f>AL$1+AJ33</f>
        <v>21351.085233668404</v>
      </c>
      <c r="AM33" s="173">
        <f t="shared" ref="AM33" si="95">AL33+$AM$1</f>
        <v>23252.2096201694</v>
      </c>
      <c r="AN33" s="173">
        <f t="shared" ref="AN33" si="96">AL33+$AN$1</f>
        <v>23682.971336235292</v>
      </c>
      <c r="AO33" s="176">
        <f t="shared" ref="AO33" si="97">AM33</f>
        <v>23252.2096201694</v>
      </c>
      <c r="AP33" s="131">
        <f t="shared" ref="AP33" si="98">$AP$4*AQ33/1000</f>
        <v>19000.5</v>
      </c>
      <c r="AQ33" s="131">
        <v>717</v>
      </c>
      <c r="AR33" s="131">
        <f t="shared" ref="AR33" si="99">AP33-AO33</f>
        <v>-4251.7096201694003</v>
      </c>
      <c r="AS33" s="154">
        <f t="shared" ref="AS33" si="100">AR33/AP33</f>
        <v>-0.22376830189570801</v>
      </c>
      <c r="AX33" s="148">
        <f t="shared" ref="AX33" si="101">AH33/$AP$4*1000</f>
        <v>499.9980265055155</v>
      </c>
      <c r="AY33" s="199">
        <f t="shared" ref="AY33" si="102">AI33/$AP$4*1000</f>
        <v>587.58410175320353</v>
      </c>
      <c r="AZ33" s="199">
        <f t="shared" ref="AZ33" si="103">AJ33/$AP$4*1000</f>
        <v>677.9845662972541</v>
      </c>
      <c r="BA33" s="199">
        <f t="shared" ref="BA33" si="104">AK33/$AP$4*1000</f>
        <v>684.41424586502114</v>
      </c>
      <c r="BB33" s="200">
        <f t="shared" ref="BB33" si="105">AL33/$AP$4*1000</f>
        <v>805.70132957239264</v>
      </c>
      <c r="BC33" s="200">
        <f t="shared" ref="BC33" si="106">AM33/$AP$4*1000</f>
        <v>877.44187245922262</v>
      </c>
      <c r="BD33" s="200">
        <f t="shared" ref="BD33" si="107">AN33/$AP$4*1000</f>
        <v>893.69703155604873</v>
      </c>
      <c r="BE33" s="148">
        <f t="shared" ref="BE33" si="108">AO33/$AP$4*1000</f>
        <v>877.44187245922262</v>
      </c>
      <c r="BF33" s="201">
        <f t="shared" ref="BF33" si="109">AP33/$AP$4*1000</f>
        <v>717</v>
      </c>
      <c r="BG33" s="202">
        <f t="shared" ref="BG33" si="110">BF33-BE33</f>
        <v>-160.44187245922262</v>
      </c>
      <c r="BH33" s="203">
        <f t="shared" ref="BH33" si="111">BG33/BE33</f>
        <v>-0.18285185320544278</v>
      </c>
    </row>
    <row r="35" spans="20:70" x14ac:dyDescent="0.35">
      <c r="AE35" s="109">
        <f>'Giá mua Chai-Vảy'!O40</f>
        <v>8000</v>
      </c>
    </row>
    <row r="36" spans="20:70" x14ac:dyDescent="0.35">
      <c r="T36" s="120" t="s">
        <v>447</v>
      </c>
      <c r="AG36" s="127">
        <v>0.01</v>
      </c>
      <c r="AH36" s="122"/>
      <c r="AI36"/>
      <c r="AJ36"/>
    </row>
    <row r="37" spans="20:70" x14ac:dyDescent="0.35">
      <c r="T37" s="118" t="s">
        <v>477</v>
      </c>
      <c r="U37" s="118"/>
      <c r="V37" s="118">
        <f t="shared" ref="V37" si="112">U37*$U$3</f>
        <v>0</v>
      </c>
      <c r="W37" s="118"/>
      <c r="X37" s="118">
        <f>W37*$W$3</f>
        <v>0</v>
      </c>
      <c r="Y37" s="118"/>
      <c r="Z37" s="118">
        <f>Y37*$Y$3</f>
        <v>0</v>
      </c>
      <c r="AA37" s="118"/>
      <c r="AB37" s="118"/>
      <c r="AC37" s="118"/>
      <c r="AD37" s="118">
        <f t="shared" ref="AD37" si="113">AC37*$AC$3</f>
        <v>0</v>
      </c>
      <c r="AE37" s="119">
        <v>1</v>
      </c>
      <c r="AF37" s="135">
        <f>AE37*$AE$35</f>
        <v>8000</v>
      </c>
      <c r="AG37" s="123">
        <f>U37+W37+Y37+AA37+AC37+AE37</f>
        <v>1</v>
      </c>
      <c r="AH37" s="178">
        <f>V37+X37+Z37+AB37+AD37+AF37</f>
        <v>8000</v>
      </c>
      <c r="AI37" s="176">
        <f>AI$1+AH37</f>
        <v>10321.030994063734</v>
      </c>
      <c r="AJ37" s="195">
        <f t="shared" ref="AJ37" si="114">AJ$1+AI37</f>
        <v>12716.643304481076</v>
      </c>
      <c r="AK37" s="176">
        <f>AK$1+$W$2</f>
        <v>18136.977515423063</v>
      </c>
      <c r="AL37" s="173">
        <f t="shared" ref="AL37" si="115">AL$1+AK37*$AK$2+AJ37*$AJ$2</f>
        <v>18811.304636743236</v>
      </c>
      <c r="AM37" s="173">
        <f t="shared" ref="AM37" si="116">AL37+$AM$1</f>
        <v>20712.429023244233</v>
      </c>
      <c r="AN37" s="173">
        <f t="shared" ref="AN37" si="117">AL37+$AN$1</f>
        <v>21143.190739310125</v>
      </c>
      <c r="AO37" s="176">
        <f t="shared" ref="AO37" si="118">AM37</f>
        <v>20712.429023244233</v>
      </c>
      <c r="AP37" s="131">
        <f t="shared" ref="AP37" si="119">$AP$4*AQ37/1000</f>
        <v>19000.5</v>
      </c>
      <c r="AQ37" s="131">
        <v>717</v>
      </c>
      <c r="AR37" s="131">
        <f t="shared" ref="AR37" si="120">AP37-AO37</f>
        <v>-1711.9290232442327</v>
      </c>
      <c r="AS37" s="154">
        <f t="shared" ref="AS37" si="121">AR37/AP37</f>
        <v>-9.0099156508735706E-2</v>
      </c>
      <c r="AX37" s="148">
        <f t="shared" ref="AX37:BF37" si="122">AH37/$AP$4*1000</f>
        <v>301.88679245283015</v>
      </c>
      <c r="AY37" s="199">
        <f t="shared" si="122"/>
        <v>389.47286770051824</v>
      </c>
      <c r="AZ37" s="199">
        <f t="shared" si="122"/>
        <v>479.87333224456893</v>
      </c>
      <c r="BA37" s="199">
        <f t="shared" si="122"/>
        <v>684.41424586502114</v>
      </c>
      <c r="BB37" s="200">
        <f t="shared" si="122"/>
        <v>709.8605523299334</v>
      </c>
      <c r="BC37" s="200">
        <f t="shared" si="122"/>
        <v>781.6010952167635</v>
      </c>
      <c r="BD37" s="200">
        <f t="shared" si="122"/>
        <v>797.8562543135896</v>
      </c>
      <c r="BE37" s="148">
        <f t="shared" si="122"/>
        <v>781.6010952167635</v>
      </c>
      <c r="BF37" s="201">
        <f t="shared" si="122"/>
        <v>717</v>
      </c>
      <c r="BG37" s="202">
        <f t="shared" ref="BG37" si="123">BF37-BE37</f>
        <v>-64.601095216763497</v>
      </c>
      <c r="BH37" s="203">
        <f t="shared" ref="BH37" si="124">BG37/BE37</f>
        <v>-8.2652257797626943E-2</v>
      </c>
      <c r="BJ37" s="109">
        <f>'Hảo_R&amp;D (Hạt) (full stage)-Chai'!BE37</f>
        <v>781.6010952167635</v>
      </c>
      <c r="BK37" s="109">
        <f>'Hảo_R&amp;D (Hạt) (full stage)-MN'!BE37</f>
        <v>781.6010952167635</v>
      </c>
      <c r="BL37" s="109">
        <f t="shared" ref="BL37" si="125">BE37</f>
        <v>781.6010952167635</v>
      </c>
      <c r="BM37" s="131">
        <f>BJ37-BK37</f>
        <v>0</v>
      </c>
      <c r="BO37" s="109">
        <f>'Hảo_R&amp;D (Hạt) (full stage)-Chai'!AO37</f>
        <v>20712.429023244233</v>
      </c>
      <c r="BP37" s="109">
        <f>'Hảo_R&amp;D (Hạt) (full stage)-MN'!AO37</f>
        <v>20712.429023244233</v>
      </c>
      <c r="BQ37" s="109">
        <f>AO37</f>
        <v>20712.429023244233</v>
      </c>
      <c r="BR37" s="131">
        <f>BO37-BP37</f>
        <v>0</v>
      </c>
    </row>
  </sheetData>
  <mergeCells count="2">
    <mergeCell ref="AG3:AH3"/>
    <mergeCell ref="AW3:AX3"/>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84A39-4EC2-4FB9-9E8E-953B89B207A3}">
  <sheetPr>
    <tabColor rgb="FF0000FF"/>
  </sheetPr>
  <dimension ref="B1:BR37"/>
  <sheetViews>
    <sheetView topLeftCell="D1" zoomScale="85" zoomScaleNormal="85" workbookViewId="0">
      <pane xSplit="17" ySplit="5" topLeftCell="U6" activePane="bottomRight" state="frozen"/>
      <selection activeCell="S1" sqref="S1"/>
      <selection pane="topRight" activeCell="U1" sqref="U1"/>
      <selection pane="bottomLeft" activeCell="S6" sqref="S6"/>
      <selection pane="bottomRight" activeCell="W3" sqref="W3"/>
    </sheetView>
  </sheetViews>
  <sheetFormatPr defaultRowHeight="14.5" outlineLevelCol="1" x14ac:dyDescent="0.35"/>
  <cols>
    <col min="1" max="1" width="3.36328125" customWidth="1"/>
    <col min="4" max="18" width="8.7265625" customWidth="1" outlineLevel="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2" bestFit="1" customWidth="1"/>
    <col min="34" max="34" width="10.1796875" style="134" bestFit="1" customWidth="1"/>
    <col min="35" max="37" width="10.1796875" style="134" customWidth="1"/>
    <col min="38" max="40" width="10.1796875" style="122" customWidth="1"/>
    <col min="41" max="41" width="10.1796875" style="134" customWidth="1"/>
    <col min="42" max="42" width="11.81640625" bestFit="1" customWidth="1"/>
    <col min="43" max="43" width="7" bestFit="1" customWidth="1"/>
    <col min="47" max="47" width="9.1796875" bestFit="1" customWidth="1"/>
    <col min="48" max="48" width="5.90625" customWidth="1"/>
    <col min="49" max="49" width="11.6328125" bestFit="1" customWidth="1"/>
    <col min="50" max="53" width="8.81640625" bestFit="1" customWidth="1"/>
    <col min="54" max="54" width="9.26953125" bestFit="1" customWidth="1"/>
    <col min="55" max="55" width="10.36328125" customWidth="1"/>
    <col min="56" max="56" width="9.7265625" bestFit="1" customWidth="1"/>
    <col min="57" max="57" width="8.81640625" bestFit="1" customWidth="1"/>
    <col min="58" max="58" width="9.7265625" bestFit="1" customWidth="1"/>
  </cols>
  <sheetData>
    <row r="1" spans="2:60" ht="15.5" x14ac:dyDescent="0.35">
      <c r="B1" s="113" t="s">
        <v>364</v>
      </c>
      <c r="T1" s="122" t="s">
        <v>448</v>
      </c>
      <c r="U1" s="109">
        <f>'Giá mua Chai-Vảy'!E18</f>
        <v>13500</v>
      </c>
      <c r="W1" s="133">
        <f>'[2]10. 100% chai-&gt;hạt WSS01-iSS01'!$H$9</f>
        <v>15000</v>
      </c>
      <c r="X1" s="133">
        <f>W3-W1-X3</f>
        <v>0</v>
      </c>
      <c r="Y1" s="109">
        <f>'Giá mua Chai-Vảy'!E15</f>
        <v>13500</v>
      </c>
      <c r="AA1" s="109">
        <f>'[2]18. Vảy B5'!$I$9</f>
        <v>12000</v>
      </c>
      <c r="AB1" s="133">
        <f>'[2]18. Vảy B5'!$I$10</f>
        <v>411.68039840493083</v>
      </c>
      <c r="AC1" s="169">
        <f>'[2]16.1 Rửa vảy B7'!$I$9</f>
        <v>7971.0144927536239</v>
      </c>
      <c r="AD1" s="172">
        <f>'[2]16.1 Rửa vảy B7'!$I$10</f>
        <v>84.555434657824762</v>
      </c>
      <c r="AE1" s="109">
        <f>'Giá mua Chai-Vảy'!E16</f>
        <v>12000</v>
      </c>
      <c r="AI1" s="194">
        <f>'[2]10. 100% chai-&gt;hạt WSS01-iSS01'!$I$21</f>
        <v>2321.0309940637335</v>
      </c>
      <c r="AJ1" s="171">
        <f>'[2]10. 100% chai-&gt;hạt WSS01-iSS01'!$I$37</f>
        <v>2395.6123104173425</v>
      </c>
      <c r="AK1" s="171">
        <f>'[2]12. 100% vảy-&gt;hạt WSS01-iSS01'!$I$10</f>
        <v>1636.9775154230633</v>
      </c>
      <c r="AL1" s="177">
        <f>'[2]10. 100% chai-&gt;hạt WSS01-iSS01'!$I$61</f>
        <v>3384.4942267911665</v>
      </c>
      <c r="AM1" s="177">
        <f>'[2]10. 100% chai-&gt;hạt WSS01-iSS01'!$I$83</f>
        <v>1901.1243865009951</v>
      </c>
      <c r="AN1" s="177">
        <f>'[2]11. 100% chai-&gt;hạt iSS01084G'!$I$83</f>
        <v>2331.8861025668875</v>
      </c>
      <c r="AO1" s="196">
        <f>AM1/8</f>
        <v>237.64054831262439</v>
      </c>
      <c r="AP1" s="109">
        <f>AN1/10</f>
        <v>233.18861025668875</v>
      </c>
    </row>
    <row r="2" spans="2:60" ht="29" x14ac:dyDescent="0.35">
      <c r="B2" s="114" t="s">
        <v>365</v>
      </c>
      <c r="T2" s="163" t="s">
        <v>450</v>
      </c>
      <c r="W2" s="133">
        <v>16500</v>
      </c>
      <c r="X2" s="133"/>
      <c r="AG2" s="121" t="s">
        <v>472</v>
      </c>
      <c r="AJ2" s="205">
        <v>0.5</v>
      </c>
      <c r="AK2" s="260">
        <v>0.5</v>
      </c>
      <c r="AL2" s="197">
        <f>AL1*1000/$AP$4</f>
        <v>127.71676327513836</v>
      </c>
      <c r="AM2" s="197">
        <f>AM1*1000/$AP$4</f>
        <v>71.740542886829999</v>
      </c>
      <c r="AN2" s="197">
        <f>AN1*1000/$AP$4</f>
        <v>87.995701983656133</v>
      </c>
    </row>
    <row r="3" spans="2:60" ht="58" x14ac:dyDescent="0.35">
      <c r="T3" s="163" t="s">
        <v>449</v>
      </c>
      <c r="U3" s="170">
        <f>U1+X3</f>
        <v>14749.947702396161</v>
      </c>
      <c r="V3" s="133">
        <f>'[2]10. 100% chai-&gt;hạt WSS01-iSS01'!$I$10</f>
        <v>1249.9477023961606</v>
      </c>
      <c r="W3" s="132">
        <f>W1+V3</f>
        <v>16249.947702396161</v>
      </c>
      <c r="X3" s="171">
        <f>V3</f>
        <v>1249.9477023961606</v>
      </c>
      <c r="Y3" s="170">
        <f>Y1+X3</f>
        <v>14749.947702396161</v>
      </c>
      <c r="Z3" s="133">
        <f>V3</f>
        <v>1249.9477023961606</v>
      </c>
      <c r="AA3" s="170">
        <f>AA1+Z3</f>
        <v>13249.947702396161</v>
      </c>
      <c r="AB3" s="133">
        <f>V3</f>
        <v>1249.9477023961606</v>
      </c>
      <c r="AC3" s="170">
        <f>AC1+AB3</f>
        <v>9220.9621951497847</v>
      </c>
      <c r="AD3" s="109">
        <f>V3</f>
        <v>1249.9477023961606</v>
      </c>
      <c r="AE3" s="170">
        <f>AE1+AD3</f>
        <v>13249.947702396161</v>
      </c>
      <c r="AG3" s="284" t="s">
        <v>473</v>
      </c>
      <c r="AH3" s="284"/>
      <c r="AI3" s="191" t="s">
        <v>469</v>
      </c>
      <c r="AJ3" s="191" t="s">
        <v>470</v>
      </c>
      <c r="AK3" s="261" t="s">
        <v>471</v>
      </c>
      <c r="AL3" s="174" t="s">
        <v>452</v>
      </c>
      <c r="AM3" s="174" t="s">
        <v>453</v>
      </c>
      <c r="AN3" s="174" t="s">
        <v>454</v>
      </c>
      <c r="AO3" s="163" t="s">
        <v>455</v>
      </c>
      <c r="AP3" s="2" t="s">
        <v>391</v>
      </c>
      <c r="AQ3" t="s">
        <v>393</v>
      </c>
      <c r="AR3" t="s">
        <v>456</v>
      </c>
      <c r="AS3" t="s">
        <v>457</v>
      </c>
      <c r="AT3" t="s">
        <v>467</v>
      </c>
      <c r="AU3" t="s">
        <v>464</v>
      </c>
      <c r="AW3" s="284" t="s">
        <v>473</v>
      </c>
      <c r="AX3" s="284"/>
      <c r="AY3" s="191" t="s">
        <v>469</v>
      </c>
      <c r="AZ3" s="191" t="s">
        <v>470</v>
      </c>
      <c r="BA3" s="191" t="s">
        <v>471</v>
      </c>
      <c r="BB3" s="174" t="s">
        <v>452</v>
      </c>
      <c r="BC3" s="174" t="s">
        <v>453</v>
      </c>
      <c r="BD3" s="174" t="s">
        <v>454</v>
      </c>
      <c r="BE3" s="163" t="s">
        <v>455</v>
      </c>
      <c r="BF3" s="2" t="s">
        <v>391</v>
      </c>
      <c r="BG3" s="204" t="s">
        <v>456</v>
      </c>
      <c r="BH3" s="3" t="s">
        <v>457</v>
      </c>
    </row>
    <row r="4" spans="2:60" x14ac:dyDescent="0.35">
      <c r="T4" s="121" t="s">
        <v>366</v>
      </c>
      <c r="U4" s="115" t="s">
        <v>367</v>
      </c>
      <c r="W4" s="115" t="s">
        <v>374</v>
      </c>
      <c r="Y4" s="115" t="s">
        <v>375</v>
      </c>
      <c r="AA4" s="115" t="s">
        <v>382</v>
      </c>
      <c r="AC4" s="115" t="s">
        <v>384</v>
      </c>
      <c r="AE4" s="115" t="s">
        <v>385</v>
      </c>
      <c r="AG4" s="128" t="s">
        <v>376</v>
      </c>
      <c r="AI4" s="192"/>
      <c r="AJ4" s="192"/>
      <c r="AK4" s="192"/>
      <c r="AP4" s="130">
        <v>26500</v>
      </c>
      <c r="BG4" s="3"/>
      <c r="BH4" s="3"/>
    </row>
    <row r="5" spans="2:60" x14ac:dyDescent="0.35">
      <c r="T5" s="65"/>
      <c r="U5" s="117" t="s">
        <v>57</v>
      </c>
      <c r="V5" s="124" t="s">
        <v>372</v>
      </c>
      <c r="W5" s="117" t="s">
        <v>267</v>
      </c>
      <c r="X5" s="124" t="s">
        <v>372</v>
      </c>
      <c r="Y5" s="117" t="s">
        <v>52</v>
      </c>
      <c r="Z5" s="124" t="s">
        <v>372</v>
      </c>
      <c r="AA5" s="117" t="s">
        <v>55</v>
      </c>
      <c r="AB5" s="124" t="s">
        <v>372</v>
      </c>
      <c r="AC5" s="117" t="s">
        <v>383</v>
      </c>
      <c r="AD5" s="124" t="s">
        <v>372</v>
      </c>
      <c r="AE5" s="117" t="s">
        <v>54</v>
      </c>
      <c r="AF5" s="124" t="s">
        <v>372</v>
      </c>
      <c r="AG5" s="124"/>
      <c r="AH5" s="175" t="s">
        <v>372</v>
      </c>
      <c r="AI5" s="193" t="s">
        <v>372</v>
      </c>
      <c r="AJ5" s="193" t="s">
        <v>372</v>
      </c>
      <c r="AK5" s="193" t="s">
        <v>372</v>
      </c>
      <c r="AL5" s="124" t="s">
        <v>372</v>
      </c>
      <c r="AM5" s="124" t="s">
        <v>372</v>
      </c>
      <c r="AN5" s="124" t="s">
        <v>372</v>
      </c>
      <c r="AO5" s="175" t="s">
        <v>372</v>
      </c>
      <c r="AP5" s="124" t="s">
        <v>372</v>
      </c>
      <c r="AQ5" t="s">
        <v>392</v>
      </c>
      <c r="BG5" s="3"/>
      <c r="BH5" s="3"/>
    </row>
    <row r="6" spans="2:60" x14ac:dyDescent="0.35">
      <c r="T6" s="120" t="s">
        <v>390</v>
      </c>
      <c r="AG6" s="129">
        <v>0.3</v>
      </c>
      <c r="BG6" s="3"/>
      <c r="BH6" s="3"/>
    </row>
    <row r="7" spans="2:60" x14ac:dyDescent="0.35">
      <c r="T7" s="118" t="s">
        <v>368</v>
      </c>
      <c r="U7" s="119">
        <v>0.1</v>
      </c>
      <c r="V7" s="135">
        <f>U7*$U$3</f>
        <v>1474.9947702396162</v>
      </c>
      <c r="W7" s="119">
        <v>0.9</v>
      </c>
      <c r="X7" s="135">
        <f>W7*$W$3</f>
        <v>14624.952932156544</v>
      </c>
      <c r="Y7" s="118"/>
      <c r="Z7" s="135">
        <f>Y7*$Y$3</f>
        <v>0</v>
      </c>
      <c r="AA7" s="118"/>
      <c r="AB7" s="118">
        <f>AA7*$AA$3</f>
        <v>0</v>
      </c>
      <c r="AC7" s="118"/>
      <c r="AD7" s="118">
        <f>AC7*$AC$3</f>
        <v>0</v>
      </c>
      <c r="AE7" s="118"/>
      <c r="AF7" s="118">
        <f>AE7*$AE$3</f>
        <v>0</v>
      </c>
      <c r="AG7" s="123">
        <f t="shared" ref="AG7:AH11" si="0">U7+W7+Y7+AA7+AC7+AE7</f>
        <v>1</v>
      </c>
      <c r="AH7" s="178">
        <f t="shared" si="0"/>
        <v>16099.947702396161</v>
      </c>
      <c r="AI7" s="176">
        <f>AI$1+AH7</f>
        <v>18420.978696459893</v>
      </c>
      <c r="AJ7" s="195">
        <f t="shared" ref="AJ7:AL7" si="1">AJ$1+AI7</f>
        <v>20816.591006877235</v>
      </c>
      <c r="AK7" s="176">
        <f>AK$1+$W$2</f>
        <v>18136.977515423063</v>
      </c>
      <c r="AL7" s="173">
        <f t="shared" si="1"/>
        <v>21521.471742214228</v>
      </c>
      <c r="AM7" s="173">
        <f>AL7+$AM$1</f>
        <v>23422.596128715224</v>
      </c>
      <c r="AN7" s="173">
        <f>AL7+$AN$1</f>
        <v>23853.357844781116</v>
      </c>
      <c r="AO7" s="176">
        <f>AM7</f>
        <v>23422.596128715224</v>
      </c>
      <c r="AP7" s="131">
        <f>$AP$4*AQ7/1000</f>
        <v>30740</v>
      </c>
      <c r="AQ7" s="109">
        <v>1160</v>
      </c>
      <c r="AR7" s="131">
        <f>AP7-AO7</f>
        <v>7317.403871284776</v>
      </c>
      <c r="AS7" s="154">
        <f>AR7/AP7</f>
        <v>0.23804176549397449</v>
      </c>
      <c r="AU7" s="109">
        <f>AH7/$AP$4*1000</f>
        <v>607.54519631683627</v>
      </c>
      <c r="AX7" s="148">
        <f>AH7/$AP$4*1000</f>
        <v>607.54519631683627</v>
      </c>
      <c r="AY7" s="199">
        <f t="shared" ref="AY7:BF11" si="2">AI7/$AP$4*1000</f>
        <v>695.13127156452424</v>
      </c>
      <c r="AZ7" s="199">
        <f t="shared" si="2"/>
        <v>785.53173610857493</v>
      </c>
      <c r="BA7" s="199">
        <f t="shared" si="2"/>
        <v>684.41424586502114</v>
      </c>
      <c r="BB7" s="200">
        <f t="shared" si="2"/>
        <v>812.13100914015956</v>
      </c>
      <c r="BC7" s="200">
        <f t="shared" si="2"/>
        <v>883.87155202698966</v>
      </c>
      <c r="BD7" s="200">
        <f t="shared" si="2"/>
        <v>900.12671112381565</v>
      </c>
      <c r="BE7" s="148">
        <f t="shared" si="2"/>
        <v>883.87155202698966</v>
      </c>
      <c r="BF7" s="201">
        <f t="shared" si="2"/>
        <v>1160</v>
      </c>
      <c r="BG7" s="202">
        <f>BF7-BE7</f>
        <v>276.12844797301034</v>
      </c>
      <c r="BH7" s="203">
        <f>BG7/BE7</f>
        <v>0.31240789155365706</v>
      </c>
    </row>
    <row r="8" spans="2:60" x14ac:dyDescent="0.35">
      <c r="T8" s="118" t="s">
        <v>369</v>
      </c>
      <c r="U8" s="126">
        <v>0.3</v>
      </c>
      <c r="V8" s="135">
        <f>U8*$U$3</f>
        <v>4424.9843107188481</v>
      </c>
      <c r="W8" s="126">
        <v>0.7</v>
      </c>
      <c r="X8" s="135">
        <f>W8*$W$3</f>
        <v>11374.963391677313</v>
      </c>
      <c r="Y8" s="118"/>
      <c r="Z8" s="135">
        <f>Y8*$Y$3</f>
        <v>0</v>
      </c>
      <c r="AA8" s="118"/>
      <c r="AB8" s="118">
        <f t="shared" ref="AB8:AB11" si="3">AA8*$AA$3</f>
        <v>0</v>
      </c>
      <c r="AC8" s="118"/>
      <c r="AD8" s="118">
        <f t="shared" ref="AD8:AD11" si="4">AC8*$AC$3</f>
        <v>0</v>
      </c>
      <c r="AE8" s="118"/>
      <c r="AF8" s="118">
        <f t="shared" ref="AF8:AF11" si="5">AE8*$AE$3</f>
        <v>0</v>
      </c>
      <c r="AG8" s="125">
        <f t="shared" si="0"/>
        <v>1</v>
      </c>
      <c r="AH8" s="178">
        <f t="shared" si="0"/>
        <v>15799.947702396161</v>
      </c>
      <c r="AI8" s="176">
        <f t="shared" ref="AI8:AL11" si="6">AI$1+AH8</f>
        <v>18120.978696459893</v>
      </c>
      <c r="AJ8" s="195">
        <f t="shared" si="6"/>
        <v>20516.591006877235</v>
      </c>
      <c r="AK8" s="176">
        <f t="shared" ref="AK8:AK11" si="7">AK$1+$W$2</f>
        <v>18136.977515423063</v>
      </c>
      <c r="AL8" s="173">
        <f t="shared" si="6"/>
        <v>21521.471742214228</v>
      </c>
      <c r="AM8" s="173">
        <f t="shared" ref="AM8:AM10" si="8">AL8+$AM$1</f>
        <v>23422.596128715224</v>
      </c>
      <c r="AN8" s="173">
        <f t="shared" ref="AN8:AN10" si="9">AL8+$AN$1</f>
        <v>23853.357844781116</v>
      </c>
      <c r="AO8" s="176">
        <f t="shared" ref="AO8:AO11" si="10">AM8</f>
        <v>23422.596128715224</v>
      </c>
      <c r="AP8" s="131">
        <f t="shared" ref="AP8:AP11" si="11">$AP$4*AQ8/1000</f>
        <v>31535</v>
      </c>
      <c r="AQ8" s="131">
        <f>AQ7+30</f>
        <v>1190</v>
      </c>
      <c r="AR8" s="131">
        <f t="shared" ref="AR8:AR11" si="12">AP8-AO8</f>
        <v>8112.403871284776</v>
      </c>
      <c r="AS8" s="154">
        <f t="shared" ref="AS8:AS11" si="13">AR8/AP8</f>
        <v>0.25725079661597516</v>
      </c>
      <c r="AU8" s="109">
        <f t="shared" ref="AU8:AU11" si="14">AH8/$AP$4*1000</f>
        <v>596.22444159985514</v>
      </c>
      <c r="AX8" s="148">
        <f t="shared" ref="AX8:AX11" si="15">AH8/$AP$4*1000</f>
        <v>596.22444159985514</v>
      </c>
      <c r="AY8" s="199">
        <f t="shared" si="2"/>
        <v>683.81051684754311</v>
      </c>
      <c r="AZ8" s="199">
        <f t="shared" si="2"/>
        <v>774.2109813915938</v>
      </c>
      <c r="BA8" s="199">
        <f t="shared" si="2"/>
        <v>684.41424586502114</v>
      </c>
      <c r="BB8" s="200">
        <f t="shared" si="2"/>
        <v>812.13100914015956</v>
      </c>
      <c r="BC8" s="200">
        <f t="shared" si="2"/>
        <v>883.87155202698966</v>
      </c>
      <c r="BD8" s="200">
        <f t="shared" si="2"/>
        <v>900.12671112381565</v>
      </c>
      <c r="BE8" s="148">
        <f t="shared" si="2"/>
        <v>883.87155202698966</v>
      </c>
      <c r="BF8" s="201">
        <f t="shared" si="2"/>
        <v>1190</v>
      </c>
      <c r="BG8" s="202">
        <f t="shared" ref="BG8:BG11" si="16">BF8-BE8</f>
        <v>306.12844797301034</v>
      </c>
      <c r="BH8" s="203">
        <f t="shared" ref="BH8:BH11" si="17">BG8/BE8</f>
        <v>0.34634947495590679</v>
      </c>
    </row>
    <row r="9" spans="2:60" x14ac:dyDescent="0.35">
      <c r="T9" s="118" t="s">
        <v>370</v>
      </c>
      <c r="U9" s="119">
        <v>0.55000000000000004</v>
      </c>
      <c r="V9" s="135">
        <f>U9*$U$3</f>
        <v>8112.4712363178887</v>
      </c>
      <c r="W9" s="119">
        <v>0.3</v>
      </c>
      <c r="X9" s="135">
        <f>W9*$W$3</f>
        <v>4874.9843107188481</v>
      </c>
      <c r="Y9" s="119">
        <v>0.15</v>
      </c>
      <c r="Z9" s="135">
        <f>Y9*$Y$3</f>
        <v>2212.492155359424</v>
      </c>
      <c r="AA9" s="118"/>
      <c r="AB9" s="118">
        <f t="shared" si="3"/>
        <v>0</v>
      </c>
      <c r="AC9" s="118"/>
      <c r="AD9" s="118">
        <f t="shared" si="4"/>
        <v>0</v>
      </c>
      <c r="AE9" s="118"/>
      <c r="AF9" s="118">
        <f t="shared" si="5"/>
        <v>0</v>
      </c>
      <c r="AG9" s="123">
        <f t="shared" si="0"/>
        <v>1</v>
      </c>
      <c r="AH9" s="178">
        <f t="shared" si="0"/>
        <v>15199.947702396163</v>
      </c>
      <c r="AI9" s="176">
        <f t="shared" si="6"/>
        <v>17520.978696459897</v>
      </c>
      <c r="AJ9" s="195">
        <f t="shared" si="6"/>
        <v>19916.591006877239</v>
      </c>
      <c r="AK9" s="176">
        <f t="shared" si="7"/>
        <v>18136.977515423063</v>
      </c>
      <c r="AL9" s="173">
        <f t="shared" si="6"/>
        <v>21521.471742214228</v>
      </c>
      <c r="AM9" s="173">
        <f t="shared" si="8"/>
        <v>23422.596128715224</v>
      </c>
      <c r="AN9" s="173">
        <f t="shared" si="9"/>
        <v>23853.357844781116</v>
      </c>
      <c r="AO9" s="176">
        <f t="shared" si="10"/>
        <v>23422.596128715224</v>
      </c>
      <c r="AP9" s="131">
        <f t="shared" si="11"/>
        <v>28885</v>
      </c>
      <c r="AQ9" s="131">
        <f>AQ7-70</f>
        <v>1090</v>
      </c>
      <c r="AR9" s="131">
        <f t="shared" si="12"/>
        <v>5462.403871284776</v>
      </c>
      <c r="AS9" s="154">
        <f t="shared" si="13"/>
        <v>0.18910866786514716</v>
      </c>
      <c r="AU9" s="109">
        <f t="shared" si="14"/>
        <v>573.582932165893</v>
      </c>
      <c r="AX9" s="148">
        <f t="shared" si="15"/>
        <v>573.582932165893</v>
      </c>
      <c r="AY9" s="199">
        <f t="shared" si="2"/>
        <v>661.16900741358097</v>
      </c>
      <c r="AZ9" s="199">
        <f t="shared" si="2"/>
        <v>751.56947195763166</v>
      </c>
      <c r="BA9" s="199">
        <f t="shared" si="2"/>
        <v>684.41424586502114</v>
      </c>
      <c r="BB9" s="200">
        <f t="shared" si="2"/>
        <v>812.13100914015956</v>
      </c>
      <c r="BC9" s="200">
        <f t="shared" si="2"/>
        <v>883.87155202698966</v>
      </c>
      <c r="BD9" s="200">
        <f t="shared" si="2"/>
        <v>900.12671112381565</v>
      </c>
      <c r="BE9" s="148">
        <f t="shared" si="2"/>
        <v>883.87155202698966</v>
      </c>
      <c r="BF9" s="201">
        <f t="shared" si="2"/>
        <v>1090</v>
      </c>
      <c r="BG9" s="202">
        <f t="shared" si="16"/>
        <v>206.12844797301034</v>
      </c>
      <c r="BH9" s="203">
        <f t="shared" si="17"/>
        <v>0.23321086361507432</v>
      </c>
    </row>
    <row r="10" spans="2:60" x14ac:dyDescent="0.35">
      <c r="T10" s="118" t="s">
        <v>371</v>
      </c>
      <c r="U10" s="119">
        <v>0.95</v>
      </c>
      <c r="V10" s="135">
        <f>U10*$U$3</f>
        <v>14012.450317276353</v>
      </c>
      <c r="W10" s="263"/>
      <c r="X10" s="265">
        <f>W10*$W$3</f>
        <v>0</v>
      </c>
      <c r="Y10" s="118"/>
      <c r="Z10" s="135">
        <f>Y10*$Y$3</f>
        <v>0</v>
      </c>
      <c r="AA10" s="263">
        <v>0.05</v>
      </c>
      <c r="AB10" s="265">
        <f t="shared" si="3"/>
        <v>662.49738511980809</v>
      </c>
      <c r="AC10" s="118"/>
      <c r="AD10" s="118">
        <f t="shared" si="4"/>
        <v>0</v>
      </c>
      <c r="AE10" s="118"/>
      <c r="AF10" s="118">
        <f t="shared" si="5"/>
        <v>0</v>
      </c>
      <c r="AG10" s="123">
        <f t="shared" si="0"/>
        <v>1</v>
      </c>
      <c r="AH10" s="178">
        <f t="shared" si="0"/>
        <v>14674.947702396161</v>
      </c>
      <c r="AI10" s="176">
        <f t="shared" si="6"/>
        <v>16995.978696459893</v>
      </c>
      <c r="AJ10" s="195">
        <f t="shared" si="6"/>
        <v>19391.591006877235</v>
      </c>
      <c r="AK10" s="176">
        <f t="shared" si="7"/>
        <v>18136.977515423063</v>
      </c>
      <c r="AL10" s="173">
        <f t="shared" si="6"/>
        <v>21521.471742214228</v>
      </c>
      <c r="AM10" s="173">
        <f t="shared" si="8"/>
        <v>23422.596128715224</v>
      </c>
      <c r="AN10" s="173">
        <f t="shared" si="9"/>
        <v>23853.357844781116</v>
      </c>
      <c r="AO10" s="176">
        <f t="shared" si="10"/>
        <v>23422.596128715224</v>
      </c>
      <c r="AP10" s="131">
        <f t="shared" si="11"/>
        <v>19080</v>
      </c>
      <c r="AQ10" s="131">
        <v>720</v>
      </c>
      <c r="AR10" s="131">
        <f t="shared" si="12"/>
        <v>-4342.596128715224</v>
      </c>
      <c r="AS10" s="154">
        <f t="shared" si="13"/>
        <v>-0.22759937781526332</v>
      </c>
      <c r="AU10" s="109">
        <f t="shared" si="14"/>
        <v>553.77161141117597</v>
      </c>
      <c r="AX10" s="148">
        <f t="shared" si="15"/>
        <v>553.77161141117597</v>
      </c>
      <c r="AY10" s="199">
        <f t="shared" si="2"/>
        <v>641.35768665886394</v>
      </c>
      <c r="AZ10" s="199">
        <f t="shared" si="2"/>
        <v>731.75815120291452</v>
      </c>
      <c r="BA10" s="199">
        <f t="shared" si="2"/>
        <v>684.41424586502114</v>
      </c>
      <c r="BB10" s="200">
        <f t="shared" si="2"/>
        <v>812.13100914015956</v>
      </c>
      <c r="BC10" s="200">
        <f t="shared" si="2"/>
        <v>883.87155202698966</v>
      </c>
      <c r="BD10" s="200">
        <f t="shared" si="2"/>
        <v>900.12671112381565</v>
      </c>
      <c r="BE10" s="148">
        <f t="shared" si="2"/>
        <v>883.87155202698966</v>
      </c>
      <c r="BF10" s="201">
        <f t="shared" si="2"/>
        <v>720</v>
      </c>
      <c r="BG10" s="202">
        <f t="shared" si="16"/>
        <v>-163.87155202698966</v>
      </c>
      <c r="BH10" s="203">
        <f t="shared" si="17"/>
        <v>-0.18540199834600596</v>
      </c>
    </row>
    <row r="11" spans="2:60" x14ac:dyDescent="0.35">
      <c r="T11" s="118" t="s">
        <v>373</v>
      </c>
      <c r="U11" s="119">
        <v>0.65</v>
      </c>
      <c r="V11" s="135">
        <f>U11*$U$3</f>
        <v>9587.4660065575044</v>
      </c>
      <c r="W11" s="119">
        <v>0.15</v>
      </c>
      <c r="X11" s="135">
        <f>W11*$W$3</f>
        <v>2437.492155359424</v>
      </c>
      <c r="Y11" s="263"/>
      <c r="Z11" s="265">
        <f>Y11*$Y$3</f>
        <v>0</v>
      </c>
      <c r="AA11" s="263">
        <v>0.2</v>
      </c>
      <c r="AB11" s="265">
        <f t="shared" si="3"/>
        <v>2649.9895404792323</v>
      </c>
      <c r="AC11" s="118"/>
      <c r="AD11" s="118">
        <f t="shared" si="4"/>
        <v>0</v>
      </c>
      <c r="AE11" s="118"/>
      <c r="AF11" s="118">
        <f t="shared" si="5"/>
        <v>0</v>
      </c>
      <c r="AG11" s="123">
        <f t="shared" si="0"/>
        <v>1</v>
      </c>
      <c r="AH11" s="178">
        <f t="shared" si="0"/>
        <v>14674.947702396163</v>
      </c>
      <c r="AI11" s="176">
        <f t="shared" si="6"/>
        <v>16995.978696459897</v>
      </c>
      <c r="AJ11" s="195">
        <f t="shared" si="6"/>
        <v>19391.591006877239</v>
      </c>
      <c r="AK11" s="176">
        <f t="shared" si="7"/>
        <v>18136.977515423063</v>
      </c>
      <c r="AL11" s="173">
        <f>+AJ11</f>
        <v>19391.591006877239</v>
      </c>
      <c r="AM11" s="173">
        <f>AL11</f>
        <v>19391.591006877239</v>
      </c>
      <c r="AN11" s="173">
        <f>AM11</f>
        <v>19391.591006877239</v>
      </c>
      <c r="AO11" s="176">
        <f t="shared" si="10"/>
        <v>19391.591006877239</v>
      </c>
      <c r="AP11" s="131">
        <f t="shared" si="11"/>
        <v>25970</v>
      </c>
      <c r="AQ11" s="180">
        <v>980</v>
      </c>
      <c r="AR11" s="131">
        <f t="shared" si="12"/>
        <v>6578.4089931227609</v>
      </c>
      <c r="AS11" s="154">
        <f t="shared" si="13"/>
        <v>0.25330800897661765</v>
      </c>
      <c r="AU11" s="109">
        <f t="shared" si="14"/>
        <v>553.77161141117597</v>
      </c>
      <c r="AX11" s="148">
        <f t="shared" si="15"/>
        <v>553.77161141117597</v>
      </c>
      <c r="AY11" s="199">
        <f t="shared" si="2"/>
        <v>641.35768665886405</v>
      </c>
      <c r="AZ11" s="199">
        <f t="shared" si="2"/>
        <v>731.75815120291463</v>
      </c>
      <c r="BA11" s="199">
        <f t="shared" si="2"/>
        <v>684.41424586502114</v>
      </c>
      <c r="BB11" s="200">
        <f t="shared" si="2"/>
        <v>731.75815120291463</v>
      </c>
      <c r="BC11" s="200">
        <f t="shared" si="2"/>
        <v>731.75815120291463</v>
      </c>
      <c r="BD11" s="200">
        <f t="shared" si="2"/>
        <v>731.75815120291463</v>
      </c>
      <c r="BE11" s="148">
        <f t="shared" si="2"/>
        <v>731.75815120291463</v>
      </c>
      <c r="BF11" s="201">
        <f t="shared" si="2"/>
        <v>980</v>
      </c>
      <c r="BG11" s="202">
        <f t="shared" si="16"/>
        <v>248.24184879708537</v>
      </c>
      <c r="BH11" s="203">
        <f t="shared" si="17"/>
        <v>0.33924029187650079</v>
      </c>
    </row>
    <row r="12" spans="2:60" x14ac:dyDescent="0.35">
      <c r="AJ12" s="192"/>
    </row>
    <row r="13" spans="2:60" x14ac:dyDescent="0.35">
      <c r="AJ13" s="192"/>
    </row>
    <row r="14" spans="2:60" x14ac:dyDescent="0.35">
      <c r="T14" s="120" t="s">
        <v>387</v>
      </c>
      <c r="W14" s="117" t="s">
        <v>48</v>
      </c>
      <c r="AG14" s="127">
        <v>0.53</v>
      </c>
      <c r="AJ14" s="192"/>
    </row>
    <row r="15" spans="2:60" x14ac:dyDescent="0.35">
      <c r="T15" s="118" t="s">
        <v>377</v>
      </c>
      <c r="U15" s="118"/>
      <c r="V15" s="118">
        <f t="shared" ref="V15:V18" si="18">U15*$U$3</f>
        <v>0</v>
      </c>
      <c r="W15" s="179">
        <v>1</v>
      </c>
      <c r="X15" s="135">
        <f t="shared" ref="X15:X18" si="19">W15*$W$3</f>
        <v>16249.947702396161</v>
      </c>
      <c r="Y15" s="118"/>
      <c r="Z15" s="118">
        <f t="shared" ref="Z15:Z18" si="20">Y15*$Y$3</f>
        <v>0</v>
      </c>
      <c r="AA15" s="118"/>
      <c r="AB15" s="118">
        <f t="shared" ref="AB15:AB18" si="21">AA15*$AA$3</f>
        <v>0</v>
      </c>
      <c r="AC15" s="118"/>
      <c r="AD15" s="118">
        <f t="shared" ref="AD15:AD18" si="22">AC15*$AC$3</f>
        <v>0</v>
      </c>
      <c r="AE15" s="118"/>
      <c r="AF15" s="118">
        <f t="shared" ref="AF15:AF18" si="23">AE15*$AE$3</f>
        <v>0</v>
      </c>
      <c r="AG15" s="123">
        <f t="shared" ref="AG15:AH18" si="24">U15+W15+Y15+AA15+AC15+AE15</f>
        <v>1</v>
      </c>
      <c r="AH15" s="178">
        <f t="shared" si="24"/>
        <v>16249.947702396161</v>
      </c>
      <c r="AI15" s="176">
        <f t="shared" ref="AI15:AL18" si="25">AI$1+AH15</f>
        <v>18570.978696459893</v>
      </c>
      <c r="AJ15" s="195">
        <f t="shared" si="25"/>
        <v>20966.591006877235</v>
      </c>
      <c r="AK15" s="176">
        <f t="shared" ref="AK15:AK18" si="26">AK$1+$W$2</f>
        <v>18136.977515423063</v>
      </c>
      <c r="AL15" s="173">
        <f t="shared" si="25"/>
        <v>21521.471742214228</v>
      </c>
      <c r="AM15" s="173">
        <f t="shared" ref="AM15:AM18" si="27">AL15+$AM$1</f>
        <v>23422.596128715224</v>
      </c>
      <c r="AN15" s="173">
        <f t="shared" ref="AN15:AN18" si="28">AL15+$AN$1</f>
        <v>23853.357844781116</v>
      </c>
      <c r="AO15" s="176">
        <f t="shared" ref="AO15:AO18" si="29">AM15</f>
        <v>23422.596128715224</v>
      </c>
      <c r="AP15" s="131">
        <f>$AP$4*AQ15/1000</f>
        <v>30740</v>
      </c>
      <c r="AQ15" s="131">
        <f>AQ7</f>
        <v>1160</v>
      </c>
      <c r="AR15" s="131">
        <f t="shared" ref="AR15:AR18" si="30">AP15-AO15</f>
        <v>7317.403871284776</v>
      </c>
      <c r="AS15" s="154">
        <f t="shared" ref="AS15:AS18" si="31">AR15/AP15</f>
        <v>0.23804176549397449</v>
      </c>
      <c r="AU15" s="109">
        <f t="shared" ref="AU15:AU18" si="32">AH15/$AP$4*1000</f>
        <v>613.20557367532683</v>
      </c>
      <c r="AX15" s="148">
        <f t="shared" ref="AX15:BF18" si="33">AH15/$AP$4*1000</f>
        <v>613.20557367532683</v>
      </c>
      <c r="AY15" s="199">
        <f t="shared" si="33"/>
        <v>700.7916489230148</v>
      </c>
      <c r="AZ15" s="199">
        <f t="shared" si="33"/>
        <v>791.1921134670655</v>
      </c>
      <c r="BA15" s="199">
        <f t="shared" si="33"/>
        <v>684.41424586502114</v>
      </c>
      <c r="BB15" s="200">
        <f t="shared" si="33"/>
        <v>812.13100914015956</v>
      </c>
      <c r="BC15" s="200">
        <f t="shared" si="33"/>
        <v>883.87155202698966</v>
      </c>
      <c r="BD15" s="200">
        <f t="shared" si="33"/>
        <v>900.12671112381565</v>
      </c>
      <c r="BE15" s="148">
        <f t="shared" si="33"/>
        <v>883.87155202698966</v>
      </c>
      <c r="BF15" s="201">
        <f t="shared" si="33"/>
        <v>1160</v>
      </c>
      <c r="BG15" s="202">
        <f t="shared" ref="BG15:BG18" si="34">BF15-BE15</f>
        <v>276.12844797301034</v>
      </c>
      <c r="BH15" s="203">
        <f t="shared" ref="BH15:BH18" si="35">BG15/BE15</f>
        <v>0.31240789155365706</v>
      </c>
    </row>
    <row r="16" spans="2:60" x14ac:dyDescent="0.35">
      <c r="T16" s="118" t="s">
        <v>378</v>
      </c>
      <c r="U16" s="118"/>
      <c r="V16" s="118">
        <f t="shared" si="18"/>
        <v>0</v>
      </c>
      <c r="W16" s="179">
        <v>1</v>
      </c>
      <c r="X16" s="135">
        <f t="shared" si="19"/>
        <v>16249.947702396161</v>
      </c>
      <c r="Y16" s="118"/>
      <c r="Z16" s="118">
        <f t="shared" si="20"/>
        <v>0</v>
      </c>
      <c r="AA16" s="118"/>
      <c r="AB16" s="118">
        <f t="shared" si="21"/>
        <v>0</v>
      </c>
      <c r="AC16" s="118"/>
      <c r="AD16" s="118">
        <f t="shared" si="22"/>
        <v>0</v>
      </c>
      <c r="AE16" s="118"/>
      <c r="AF16" s="118">
        <f t="shared" si="23"/>
        <v>0</v>
      </c>
      <c r="AG16" s="123">
        <f t="shared" si="24"/>
        <v>1</v>
      </c>
      <c r="AH16" s="178">
        <f t="shared" si="24"/>
        <v>16249.947702396161</v>
      </c>
      <c r="AI16" s="176">
        <f t="shared" si="25"/>
        <v>18570.978696459893</v>
      </c>
      <c r="AJ16" s="195">
        <f t="shared" si="25"/>
        <v>20966.591006877235</v>
      </c>
      <c r="AK16" s="176">
        <f t="shared" si="26"/>
        <v>18136.977515423063</v>
      </c>
      <c r="AL16" s="173">
        <f t="shared" si="25"/>
        <v>21521.471742214228</v>
      </c>
      <c r="AM16" s="173">
        <f t="shared" si="27"/>
        <v>23422.596128715224</v>
      </c>
      <c r="AN16" s="173">
        <f t="shared" si="28"/>
        <v>23853.357844781116</v>
      </c>
      <c r="AO16" s="176">
        <f t="shared" si="29"/>
        <v>23422.596128715224</v>
      </c>
      <c r="AP16" s="131">
        <f t="shared" ref="AP16:AP18" si="36">$AP$4*AQ16/1000</f>
        <v>31535</v>
      </c>
      <c r="AQ16" s="131">
        <f>AQ7+30</f>
        <v>1190</v>
      </c>
      <c r="AR16" s="131">
        <f t="shared" si="30"/>
        <v>8112.403871284776</v>
      </c>
      <c r="AS16" s="154">
        <f t="shared" si="31"/>
        <v>0.25725079661597516</v>
      </c>
      <c r="AU16" s="109">
        <f t="shared" si="32"/>
        <v>613.20557367532683</v>
      </c>
      <c r="AX16" s="148">
        <f t="shared" si="33"/>
        <v>613.20557367532683</v>
      </c>
      <c r="AY16" s="199">
        <f t="shared" si="33"/>
        <v>700.7916489230148</v>
      </c>
      <c r="AZ16" s="199">
        <f t="shared" si="33"/>
        <v>791.1921134670655</v>
      </c>
      <c r="BA16" s="199">
        <f t="shared" si="33"/>
        <v>684.41424586502114</v>
      </c>
      <c r="BB16" s="200">
        <f t="shared" si="33"/>
        <v>812.13100914015956</v>
      </c>
      <c r="BC16" s="200">
        <f t="shared" si="33"/>
        <v>883.87155202698966</v>
      </c>
      <c r="BD16" s="200">
        <f t="shared" si="33"/>
        <v>900.12671112381565</v>
      </c>
      <c r="BE16" s="148">
        <f t="shared" si="33"/>
        <v>883.87155202698966</v>
      </c>
      <c r="BF16" s="201">
        <f t="shared" si="33"/>
        <v>1190</v>
      </c>
      <c r="BG16" s="202">
        <f t="shared" si="34"/>
        <v>306.12844797301034</v>
      </c>
      <c r="BH16" s="203">
        <f t="shared" si="35"/>
        <v>0.34634947495590679</v>
      </c>
    </row>
    <row r="17" spans="20:68" x14ac:dyDescent="0.35">
      <c r="T17" s="118" t="s">
        <v>379</v>
      </c>
      <c r="U17" s="118"/>
      <c r="V17" s="118">
        <f t="shared" si="18"/>
        <v>0</v>
      </c>
      <c r="W17" s="179">
        <v>1</v>
      </c>
      <c r="X17" s="135">
        <f t="shared" si="19"/>
        <v>16249.947702396161</v>
      </c>
      <c r="Y17" s="118"/>
      <c r="Z17" s="118">
        <f t="shared" si="20"/>
        <v>0</v>
      </c>
      <c r="AA17" s="118"/>
      <c r="AB17" s="118">
        <f t="shared" si="21"/>
        <v>0</v>
      </c>
      <c r="AC17" s="118"/>
      <c r="AD17" s="118">
        <f t="shared" si="22"/>
        <v>0</v>
      </c>
      <c r="AE17" s="118"/>
      <c r="AF17" s="118">
        <f t="shared" si="23"/>
        <v>0</v>
      </c>
      <c r="AG17" s="123">
        <f t="shared" si="24"/>
        <v>1</v>
      </c>
      <c r="AH17" s="178">
        <f t="shared" si="24"/>
        <v>16249.947702396161</v>
      </c>
      <c r="AI17" s="176">
        <f t="shared" si="25"/>
        <v>18570.978696459893</v>
      </c>
      <c r="AJ17" s="195">
        <f t="shared" si="25"/>
        <v>20966.591006877235</v>
      </c>
      <c r="AK17" s="176">
        <f t="shared" si="26"/>
        <v>18136.977515423063</v>
      </c>
      <c r="AL17" s="173">
        <f t="shared" si="25"/>
        <v>21521.471742214228</v>
      </c>
      <c r="AM17" s="173">
        <f t="shared" si="27"/>
        <v>23422.596128715224</v>
      </c>
      <c r="AN17" s="173">
        <f t="shared" si="28"/>
        <v>23853.357844781116</v>
      </c>
      <c r="AO17" s="176">
        <f t="shared" si="29"/>
        <v>23422.596128715224</v>
      </c>
      <c r="AP17" s="131">
        <f t="shared" si="36"/>
        <v>33125</v>
      </c>
      <c r="AQ17" s="131">
        <f>AQ7+90</f>
        <v>1250</v>
      </c>
      <c r="AR17" s="131">
        <f t="shared" si="30"/>
        <v>9702.403871284776</v>
      </c>
      <c r="AS17" s="154">
        <f t="shared" si="31"/>
        <v>0.29290275837840835</v>
      </c>
      <c r="AU17" s="109">
        <f t="shared" si="32"/>
        <v>613.20557367532683</v>
      </c>
      <c r="AX17" s="148">
        <f t="shared" si="33"/>
        <v>613.20557367532683</v>
      </c>
      <c r="AY17" s="199">
        <f t="shared" si="33"/>
        <v>700.7916489230148</v>
      </c>
      <c r="AZ17" s="199">
        <f t="shared" si="33"/>
        <v>791.1921134670655</v>
      </c>
      <c r="BA17" s="199">
        <f t="shared" si="33"/>
        <v>684.41424586502114</v>
      </c>
      <c r="BB17" s="200">
        <f t="shared" si="33"/>
        <v>812.13100914015956</v>
      </c>
      <c r="BC17" s="200">
        <f t="shared" si="33"/>
        <v>883.87155202698966</v>
      </c>
      <c r="BD17" s="200">
        <f t="shared" si="33"/>
        <v>900.12671112381565</v>
      </c>
      <c r="BE17" s="148">
        <f t="shared" si="33"/>
        <v>883.87155202698966</v>
      </c>
      <c r="BF17" s="201">
        <f t="shared" si="33"/>
        <v>1250</v>
      </c>
      <c r="BG17" s="202">
        <f t="shared" si="34"/>
        <v>366.12844797301034</v>
      </c>
      <c r="BH17" s="203">
        <f t="shared" si="35"/>
        <v>0.41423264176040631</v>
      </c>
    </row>
    <row r="18" spans="20:68" x14ac:dyDescent="0.35">
      <c r="T18" s="118" t="s">
        <v>380</v>
      </c>
      <c r="U18" s="118"/>
      <c r="V18" s="118">
        <f t="shared" si="18"/>
        <v>0</v>
      </c>
      <c r="W18" s="179">
        <v>1</v>
      </c>
      <c r="X18" s="135">
        <f t="shared" si="19"/>
        <v>16249.947702396161</v>
      </c>
      <c r="Y18" s="118"/>
      <c r="Z18" s="118">
        <f t="shared" si="20"/>
        <v>0</v>
      </c>
      <c r="AA18" s="118"/>
      <c r="AB18" s="118">
        <f t="shared" si="21"/>
        <v>0</v>
      </c>
      <c r="AC18" s="118"/>
      <c r="AD18" s="118">
        <f t="shared" si="22"/>
        <v>0</v>
      </c>
      <c r="AE18" s="118"/>
      <c r="AF18" s="118">
        <f t="shared" si="23"/>
        <v>0</v>
      </c>
      <c r="AG18" s="123">
        <f t="shared" si="24"/>
        <v>1</v>
      </c>
      <c r="AH18" s="178">
        <f t="shared" si="24"/>
        <v>16249.947702396161</v>
      </c>
      <c r="AI18" s="176">
        <f t="shared" si="25"/>
        <v>18570.978696459893</v>
      </c>
      <c r="AJ18" s="195">
        <f t="shared" si="25"/>
        <v>20966.591006877235</v>
      </c>
      <c r="AK18" s="176">
        <f t="shared" si="26"/>
        <v>18136.977515423063</v>
      </c>
      <c r="AL18" s="173">
        <f t="shared" si="25"/>
        <v>21521.471742214228</v>
      </c>
      <c r="AM18" s="173">
        <f t="shared" si="27"/>
        <v>23422.596128715224</v>
      </c>
      <c r="AN18" s="173">
        <f t="shared" si="28"/>
        <v>23853.357844781116</v>
      </c>
      <c r="AO18" s="176">
        <f t="shared" si="29"/>
        <v>23422.596128715224</v>
      </c>
      <c r="AP18" s="131">
        <f t="shared" si="36"/>
        <v>29945</v>
      </c>
      <c r="AQ18" s="131">
        <f>AQ7-30</f>
        <v>1130</v>
      </c>
      <c r="AR18" s="131">
        <f t="shared" si="30"/>
        <v>6522.403871284776</v>
      </c>
      <c r="AS18" s="154">
        <f t="shared" si="31"/>
        <v>0.21781278581682337</v>
      </c>
      <c r="AU18" s="109">
        <f t="shared" si="32"/>
        <v>613.20557367532683</v>
      </c>
      <c r="AX18" s="148">
        <f t="shared" si="33"/>
        <v>613.20557367532683</v>
      </c>
      <c r="AY18" s="199">
        <f t="shared" si="33"/>
        <v>700.7916489230148</v>
      </c>
      <c r="AZ18" s="199">
        <f t="shared" si="33"/>
        <v>791.1921134670655</v>
      </c>
      <c r="BA18" s="199">
        <f t="shared" si="33"/>
        <v>684.41424586502114</v>
      </c>
      <c r="BB18" s="200">
        <f t="shared" si="33"/>
        <v>812.13100914015956</v>
      </c>
      <c r="BC18" s="200">
        <f t="shared" si="33"/>
        <v>883.87155202698966</v>
      </c>
      <c r="BD18" s="200">
        <f t="shared" si="33"/>
        <v>900.12671112381565</v>
      </c>
      <c r="BE18" s="148">
        <f t="shared" si="33"/>
        <v>883.87155202698966</v>
      </c>
      <c r="BF18" s="201">
        <f t="shared" si="33"/>
        <v>1130</v>
      </c>
      <c r="BG18" s="202">
        <f t="shared" si="34"/>
        <v>246.12844797301034</v>
      </c>
      <c r="BH18" s="203">
        <f t="shared" si="35"/>
        <v>0.27846630815140733</v>
      </c>
    </row>
    <row r="19" spans="20:68" x14ac:dyDescent="0.35">
      <c r="AJ19" s="192"/>
    </row>
    <row r="20" spans="20:68" x14ac:dyDescent="0.35">
      <c r="AJ20" s="192"/>
    </row>
    <row r="21" spans="20:68" x14ac:dyDescent="0.35">
      <c r="AJ21" s="192"/>
    </row>
    <row r="22" spans="20:68" x14ac:dyDescent="0.35">
      <c r="AJ22" s="192"/>
    </row>
    <row r="23" spans="20:68" x14ac:dyDescent="0.35">
      <c r="AJ23" s="192"/>
    </row>
    <row r="24" spans="20:68" x14ac:dyDescent="0.35">
      <c r="T24" s="120" t="s">
        <v>388</v>
      </c>
      <c r="AG24" s="127">
        <v>0.05</v>
      </c>
      <c r="AJ24" s="192"/>
    </row>
    <row r="25" spans="20:68" x14ac:dyDescent="0.35">
      <c r="T25" s="118" t="s">
        <v>368</v>
      </c>
      <c r="U25" s="118"/>
      <c r="V25" s="135">
        <f t="shared" ref="V25:V29" si="37">U25*$U$3</f>
        <v>0</v>
      </c>
      <c r="W25" s="119">
        <v>0.9</v>
      </c>
      <c r="X25" s="135">
        <f t="shared" ref="X25:X29" si="38">W25*$W$3</f>
        <v>14624.952932156544</v>
      </c>
      <c r="Y25" s="119">
        <v>0.1</v>
      </c>
      <c r="Z25" s="135">
        <f t="shared" ref="Z25:Z29" si="39">Y25*$Y$3</f>
        <v>1474.9947702396162</v>
      </c>
      <c r="AA25" s="118"/>
      <c r="AB25" s="135">
        <f t="shared" ref="AB25:AB29" si="40">AA25*$AA$3</f>
        <v>0</v>
      </c>
      <c r="AC25" s="118"/>
      <c r="AD25" s="135">
        <f t="shared" ref="AD25:AD29" si="41">AC25*$AC$3</f>
        <v>0</v>
      </c>
      <c r="AE25" s="118"/>
      <c r="AF25" s="118">
        <f t="shared" ref="AF25:AF29" si="42">AE25*$AE$3</f>
        <v>0</v>
      </c>
      <c r="AG25" s="123">
        <f t="shared" ref="AG25:AH29" si="43">U25+W25+Y25+AA25+AC25+AE25</f>
        <v>1</v>
      </c>
      <c r="AH25" s="178">
        <f t="shared" si="43"/>
        <v>16099.947702396161</v>
      </c>
      <c r="AI25" s="176">
        <f t="shared" ref="AI25:AL29" si="44">AI$1+AH25</f>
        <v>18420.978696459893</v>
      </c>
      <c r="AJ25" s="195">
        <f t="shared" si="44"/>
        <v>20816.591006877235</v>
      </c>
      <c r="AK25" s="176">
        <f>AK$1+$W$2</f>
        <v>18136.977515423063</v>
      </c>
      <c r="AL25" s="173">
        <f t="shared" si="44"/>
        <v>21521.471742214228</v>
      </c>
      <c r="AM25" s="173">
        <f t="shared" ref="AM25:AM28" si="45">AL25+$AM$1</f>
        <v>23422.596128715224</v>
      </c>
      <c r="AN25" s="173">
        <f t="shared" ref="AN25:AN28" si="46">AL25+$AN$1</f>
        <v>23853.357844781116</v>
      </c>
      <c r="AO25" s="176">
        <f t="shared" ref="AO25:AO29" si="47">AM25</f>
        <v>23422.596128715224</v>
      </c>
      <c r="AP25" s="131">
        <f t="shared" ref="AP25:AP29" si="48">$AP$4*AQ25/1000</f>
        <v>30740</v>
      </c>
      <c r="AQ25" s="131">
        <f>AQ7</f>
        <v>1160</v>
      </c>
      <c r="AR25" s="131">
        <f t="shared" ref="AR25:AR29" si="49">AP25-AO25</f>
        <v>7317.403871284776</v>
      </c>
      <c r="AS25" s="154">
        <f t="shared" ref="AS25:AS29" si="50">AR25/AP25</f>
        <v>0.23804176549397449</v>
      </c>
      <c r="AU25" s="109">
        <f t="shared" ref="AU25:AU29" si="51">AH25/$AP$4*1000</f>
        <v>607.54519631683627</v>
      </c>
      <c r="AX25" s="148">
        <f t="shared" ref="AX25:BF29" si="52">AH25/$AP$4*1000</f>
        <v>607.54519631683627</v>
      </c>
      <c r="AY25" s="199">
        <f t="shared" si="52"/>
        <v>695.13127156452424</v>
      </c>
      <c r="AZ25" s="199">
        <f t="shared" si="52"/>
        <v>785.53173610857493</v>
      </c>
      <c r="BA25" s="199">
        <f t="shared" si="52"/>
        <v>684.41424586502114</v>
      </c>
      <c r="BB25" s="200">
        <f t="shared" si="52"/>
        <v>812.13100914015956</v>
      </c>
      <c r="BC25" s="200">
        <f t="shared" si="52"/>
        <v>883.87155202698966</v>
      </c>
      <c r="BD25" s="200">
        <f t="shared" si="52"/>
        <v>900.12671112381565</v>
      </c>
      <c r="BE25" s="148">
        <f t="shared" si="52"/>
        <v>883.87155202698966</v>
      </c>
      <c r="BF25" s="201">
        <f t="shared" si="52"/>
        <v>1160</v>
      </c>
      <c r="BG25" s="202">
        <f t="shared" ref="BG25:BG29" si="53">BF25-BE25</f>
        <v>276.12844797301034</v>
      </c>
      <c r="BH25" s="203">
        <f t="shared" ref="BH25:BH29" si="54">BG25/BE25</f>
        <v>0.31240789155365706</v>
      </c>
    </row>
    <row r="26" spans="20:68" x14ac:dyDescent="0.35">
      <c r="T26" s="181" t="s">
        <v>370</v>
      </c>
      <c r="U26" s="119">
        <v>0.55000000000000004</v>
      </c>
      <c r="V26" s="135">
        <f t="shared" si="37"/>
        <v>8112.4712363178887</v>
      </c>
      <c r="W26" s="119">
        <v>0.3</v>
      </c>
      <c r="X26" s="135">
        <f t="shared" si="38"/>
        <v>4874.9843107188481</v>
      </c>
      <c r="Y26" s="119">
        <v>0.15</v>
      </c>
      <c r="Z26" s="135">
        <f t="shared" si="39"/>
        <v>2212.492155359424</v>
      </c>
      <c r="AA26" s="118"/>
      <c r="AB26" s="135">
        <f t="shared" si="40"/>
        <v>0</v>
      </c>
      <c r="AC26" s="118"/>
      <c r="AD26" s="135">
        <f t="shared" si="41"/>
        <v>0</v>
      </c>
      <c r="AE26" s="118"/>
      <c r="AF26" s="118">
        <f t="shared" si="42"/>
        <v>0</v>
      </c>
      <c r="AG26" s="123">
        <f t="shared" si="43"/>
        <v>1</v>
      </c>
      <c r="AH26" s="178">
        <f t="shared" si="43"/>
        <v>15199.947702396163</v>
      </c>
      <c r="AI26" s="176">
        <f t="shared" si="44"/>
        <v>17520.978696459897</v>
      </c>
      <c r="AJ26" s="195">
        <f t="shared" si="44"/>
        <v>19916.591006877239</v>
      </c>
      <c r="AK26" s="176">
        <f t="shared" ref="AK26:AK29" si="55">AK$1+$W$2</f>
        <v>18136.977515423063</v>
      </c>
      <c r="AL26" s="173">
        <f t="shared" si="44"/>
        <v>21521.471742214228</v>
      </c>
      <c r="AM26" s="173">
        <f t="shared" si="45"/>
        <v>23422.596128715224</v>
      </c>
      <c r="AN26" s="173">
        <f t="shared" si="46"/>
        <v>23853.357844781116</v>
      </c>
      <c r="AO26" s="176">
        <f t="shared" si="47"/>
        <v>23422.596128715224</v>
      </c>
      <c r="AP26" s="131">
        <f t="shared" si="48"/>
        <v>28885</v>
      </c>
      <c r="AQ26" s="131">
        <f>AQ7-70</f>
        <v>1090</v>
      </c>
      <c r="AR26" s="131">
        <f t="shared" si="49"/>
        <v>5462.403871284776</v>
      </c>
      <c r="AS26" s="154">
        <f t="shared" si="50"/>
        <v>0.18910866786514716</v>
      </c>
      <c r="AU26" s="109">
        <f t="shared" si="51"/>
        <v>573.582932165893</v>
      </c>
      <c r="AX26" s="148">
        <f t="shared" si="52"/>
        <v>573.582932165893</v>
      </c>
      <c r="AY26" s="199">
        <f t="shared" si="52"/>
        <v>661.16900741358097</v>
      </c>
      <c r="AZ26" s="199">
        <f t="shared" si="52"/>
        <v>751.56947195763166</v>
      </c>
      <c r="BA26" s="199">
        <f t="shared" si="52"/>
        <v>684.41424586502114</v>
      </c>
      <c r="BB26" s="200">
        <f t="shared" si="52"/>
        <v>812.13100914015956</v>
      </c>
      <c r="BC26" s="200">
        <f t="shared" si="52"/>
        <v>883.87155202698966</v>
      </c>
      <c r="BD26" s="200">
        <f t="shared" si="52"/>
        <v>900.12671112381565</v>
      </c>
      <c r="BE26" s="148">
        <f t="shared" si="52"/>
        <v>883.87155202698966</v>
      </c>
      <c r="BF26" s="201">
        <f t="shared" si="52"/>
        <v>1090</v>
      </c>
      <c r="BG26" s="202">
        <f t="shared" si="53"/>
        <v>206.12844797301034</v>
      </c>
      <c r="BH26" s="203">
        <f t="shared" si="54"/>
        <v>0.23321086361507432</v>
      </c>
      <c r="BJ26" s="183">
        <v>1074</v>
      </c>
      <c r="BK26" t="s">
        <v>458</v>
      </c>
      <c r="BL26" t="s">
        <v>459</v>
      </c>
      <c r="BM26" t="s">
        <v>460</v>
      </c>
      <c r="BO26" t="s">
        <v>465</v>
      </c>
      <c r="BP26" t="s">
        <v>466</v>
      </c>
    </row>
    <row r="27" spans="20:68" x14ac:dyDescent="0.35">
      <c r="T27" s="118" t="s">
        <v>386</v>
      </c>
      <c r="U27" s="118"/>
      <c r="V27" s="135">
        <f t="shared" si="37"/>
        <v>0</v>
      </c>
      <c r="W27" s="119">
        <v>0.4</v>
      </c>
      <c r="X27" s="135">
        <f t="shared" si="38"/>
        <v>6499.9790809584647</v>
      </c>
      <c r="Y27" s="118"/>
      <c r="Z27" s="135">
        <f t="shared" si="39"/>
        <v>0</v>
      </c>
      <c r="AA27" s="119">
        <v>0.5</v>
      </c>
      <c r="AB27" s="135">
        <f t="shared" si="40"/>
        <v>6624.9738511980804</v>
      </c>
      <c r="AC27" s="119">
        <v>0.1</v>
      </c>
      <c r="AD27" s="135">
        <f t="shared" si="41"/>
        <v>922.09621951497854</v>
      </c>
      <c r="AE27" s="118"/>
      <c r="AF27" s="118">
        <f t="shared" si="42"/>
        <v>0</v>
      </c>
      <c r="AG27" s="123">
        <f t="shared" si="43"/>
        <v>1</v>
      </c>
      <c r="AH27" s="178">
        <f t="shared" si="43"/>
        <v>14047.049151671525</v>
      </c>
      <c r="AI27" s="176">
        <f t="shared" si="44"/>
        <v>16368.080145735257</v>
      </c>
      <c r="AJ27" s="195">
        <f t="shared" si="44"/>
        <v>18763.692456152599</v>
      </c>
      <c r="AK27" s="176">
        <f t="shared" si="55"/>
        <v>18136.977515423063</v>
      </c>
      <c r="AL27" s="173">
        <f t="shared" si="44"/>
        <v>21521.471742214228</v>
      </c>
      <c r="AM27" s="173">
        <f t="shared" si="45"/>
        <v>23422.596128715224</v>
      </c>
      <c r="AN27" s="173">
        <f t="shared" si="46"/>
        <v>23853.357844781116</v>
      </c>
      <c r="AO27" s="176">
        <f t="shared" si="47"/>
        <v>23422.596128715224</v>
      </c>
      <c r="AP27" s="131">
        <f t="shared" si="48"/>
        <v>30740</v>
      </c>
      <c r="AQ27" s="131">
        <f>AQ7</f>
        <v>1160</v>
      </c>
      <c r="AR27" s="131">
        <f t="shared" si="49"/>
        <v>7317.403871284776</v>
      </c>
      <c r="AS27" s="154">
        <f t="shared" si="50"/>
        <v>0.23804176549397449</v>
      </c>
      <c r="AU27" s="109">
        <f t="shared" si="51"/>
        <v>530.07732647817079</v>
      </c>
      <c r="AX27" s="148">
        <f t="shared" si="52"/>
        <v>530.07732647817079</v>
      </c>
      <c r="AY27" s="199">
        <f t="shared" si="52"/>
        <v>617.66340172585876</v>
      </c>
      <c r="AZ27" s="199">
        <f t="shared" si="52"/>
        <v>708.06386626990934</v>
      </c>
      <c r="BA27" s="199">
        <f t="shared" si="52"/>
        <v>684.41424586502114</v>
      </c>
      <c r="BB27" s="200">
        <f t="shared" si="52"/>
        <v>812.13100914015956</v>
      </c>
      <c r="BC27" s="200">
        <f t="shared" si="52"/>
        <v>883.87155202698966</v>
      </c>
      <c r="BD27" s="200">
        <f t="shared" si="52"/>
        <v>900.12671112381565</v>
      </c>
      <c r="BE27" s="148">
        <f t="shared" si="52"/>
        <v>883.87155202698966</v>
      </c>
      <c r="BF27" s="201">
        <f t="shared" si="52"/>
        <v>1160</v>
      </c>
      <c r="BG27" s="202">
        <f t="shared" si="53"/>
        <v>276.12844797301034</v>
      </c>
      <c r="BH27" s="203">
        <f t="shared" si="54"/>
        <v>0.31240789155365706</v>
      </c>
    </row>
    <row r="28" spans="20:68" x14ac:dyDescent="0.35">
      <c r="T28" s="181" t="s">
        <v>371</v>
      </c>
      <c r="U28" s="119">
        <v>0.95</v>
      </c>
      <c r="V28" s="135">
        <f t="shared" si="37"/>
        <v>14012.450317276353</v>
      </c>
      <c r="W28" s="118"/>
      <c r="X28" s="135">
        <f t="shared" si="38"/>
        <v>0</v>
      </c>
      <c r="Y28" s="118"/>
      <c r="Z28" s="135">
        <f t="shared" si="39"/>
        <v>0</v>
      </c>
      <c r="AA28" s="119">
        <v>0.05</v>
      </c>
      <c r="AB28" s="135">
        <f t="shared" si="40"/>
        <v>662.49738511980809</v>
      </c>
      <c r="AC28" s="118"/>
      <c r="AD28" s="135">
        <f t="shared" si="41"/>
        <v>0</v>
      </c>
      <c r="AE28" s="118"/>
      <c r="AF28" s="118">
        <f t="shared" si="42"/>
        <v>0</v>
      </c>
      <c r="AG28" s="123">
        <f t="shared" si="43"/>
        <v>1</v>
      </c>
      <c r="AH28" s="178">
        <f t="shared" si="43"/>
        <v>14674.947702396161</v>
      </c>
      <c r="AI28" s="176">
        <f t="shared" si="44"/>
        <v>16995.978696459893</v>
      </c>
      <c r="AJ28" s="195">
        <f t="shared" si="44"/>
        <v>19391.591006877235</v>
      </c>
      <c r="AK28" s="176">
        <f t="shared" si="55"/>
        <v>18136.977515423063</v>
      </c>
      <c r="AL28" s="173">
        <f t="shared" si="44"/>
        <v>21521.471742214228</v>
      </c>
      <c r="AM28" s="173">
        <f t="shared" si="45"/>
        <v>23422.596128715224</v>
      </c>
      <c r="AN28" s="173">
        <f t="shared" si="46"/>
        <v>23853.357844781116</v>
      </c>
      <c r="AO28" s="176">
        <f t="shared" si="47"/>
        <v>23422.596128715224</v>
      </c>
      <c r="AP28" s="131">
        <f t="shared" si="48"/>
        <v>19080</v>
      </c>
      <c r="AQ28" s="131">
        <f>AQ10</f>
        <v>720</v>
      </c>
      <c r="AR28" s="131">
        <f t="shared" si="49"/>
        <v>-4342.596128715224</v>
      </c>
      <c r="AS28" s="154">
        <f t="shared" si="50"/>
        <v>-0.22759937781526332</v>
      </c>
      <c r="AU28" s="109">
        <f t="shared" si="51"/>
        <v>553.77161141117597</v>
      </c>
      <c r="AX28" s="148">
        <f t="shared" si="52"/>
        <v>553.77161141117597</v>
      </c>
      <c r="AY28" s="199">
        <f t="shared" si="52"/>
        <v>641.35768665886394</v>
      </c>
      <c r="AZ28" s="199">
        <f t="shared" si="52"/>
        <v>731.75815120291452</v>
      </c>
      <c r="BA28" s="199">
        <f t="shared" si="52"/>
        <v>684.41424586502114</v>
      </c>
      <c r="BB28" s="200">
        <f t="shared" si="52"/>
        <v>812.13100914015956</v>
      </c>
      <c r="BC28" s="200">
        <f t="shared" si="52"/>
        <v>883.87155202698966</v>
      </c>
      <c r="BD28" s="200">
        <f t="shared" si="52"/>
        <v>900.12671112381565</v>
      </c>
      <c r="BE28" s="148">
        <f t="shared" si="52"/>
        <v>883.87155202698966</v>
      </c>
      <c r="BF28" s="201">
        <f t="shared" si="52"/>
        <v>720</v>
      </c>
      <c r="BG28" s="202">
        <f t="shared" si="53"/>
        <v>-163.87155202698966</v>
      </c>
      <c r="BH28" s="203">
        <f t="shared" si="54"/>
        <v>-0.18540199834600596</v>
      </c>
      <c r="BK28" s="180" t="s">
        <v>462</v>
      </c>
      <c r="BL28" t="s">
        <v>461</v>
      </c>
      <c r="BM28" s="182" t="s">
        <v>463</v>
      </c>
    </row>
    <row r="29" spans="20:68" x14ac:dyDescent="0.35">
      <c r="T29" s="118" t="s">
        <v>373</v>
      </c>
      <c r="U29" s="119">
        <v>0.65</v>
      </c>
      <c r="V29" s="135">
        <f t="shared" si="37"/>
        <v>9587.4660065575044</v>
      </c>
      <c r="W29" s="119">
        <v>0.15</v>
      </c>
      <c r="X29" s="135">
        <f t="shared" si="38"/>
        <v>2437.492155359424</v>
      </c>
      <c r="Y29" s="118"/>
      <c r="Z29" s="135">
        <f t="shared" si="39"/>
        <v>0</v>
      </c>
      <c r="AA29" s="119">
        <v>0.2</v>
      </c>
      <c r="AB29" s="135">
        <f t="shared" si="40"/>
        <v>2649.9895404792323</v>
      </c>
      <c r="AC29" s="118"/>
      <c r="AD29" s="135">
        <f t="shared" si="41"/>
        <v>0</v>
      </c>
      <c r="AE29" s="118"/>
      <c r="AF29" s="118">
        <f t="shared" si="42"/>
        <v>0</v>
      </c>
      <c r="AG29" s="123">
        <f t="shared" si="43"/>
        <v>1</v>
      </c>
      <c r="AH29" s="178">
        <f t="shared" si="43"/>
        <v>14674.947702396163</v>
      </c>
      <c r="AI29" s="176">
        <f t="shared" si="44"/>
        <v>16995.978696459897</v>
      </c>
      <c r="AJ29" s="195">
        <f t="shared" si="44"/>
        <v>19391.591006877239</v>
      </c>
      <c r="AK29" s="176">
        <f t="shared" si="55"/>
        <v>18136.977515423063</v>
      </c>
      <c r="AL29" s="173">
        <f>+AJ29</f>
        <v>19391.591006877239</v>
      </c>
      <c r="AM29" s="173">
        <f>AL29</f>
        <v>19391.591006877239</v>
      </c>
      <c r="AN29" s="173">
        <f>AM29</f>
        <v>19391.591006877239</v>
      </c>
      <c r="AO29" s="176">
        <f t="shared" si="47"/>
        <v>19391.591006877239</v>
      </c>
      <c r="AP29" s="131">
        <f t="shared" si="48"/>
        <v>19080</v>
      </c>
      <c r="AQ29" s="198">
        <v>720</v>
      </c>
      <c r="AR29" s="131">
        <f t="shared" si="49"/>
        <v>-311.59100687723912</v>
      </c>
      <c r="AS29" s="154">
        <f t="shared" si="50"/>
        <v>-1.6330765559603728E-2</v>
      </c>
      <c r="AU29" s="109">
        <f t="shared" si="51"/>
        <v>553.77161141117597</v>
      </c>
      <c r="AX29" s="148">
        <f t="shared" si="52"/>
        <v>553.77161141117597</v>
      </c>
      <c r="AY29" s="199">
        <f t="shared" si="52"/>
        <v>641.35768665886405</v>
      </c>
      <c r="AZ29" s="199">
        <f t="shared" si="52"/>
        <v>731.75815120291463</v>
      </c>
      <c r="BA29" s="199">
        <f t="shared" si="52"/>
        <v>684.41424586502114</v>
      </c>
      <c r="BB29" s="200">
        <f t="shared" si="52"/>
        <v>731.75815120291463</v>
      </c>
      <c r="BC29" s="200">
        <f t="shared" si="52"/>
        <v>731.75815120291463</v>
      </c>
      <c r="BD29" s="200">
        <f t="shared" si="52"/>
        <v>731.75815120291463</v>
      </c>
      <c r="BE29" s="148">
        <f t="shared" si="52"/>
        <v>731.75815120291463</v>
      </c>
      <c r="BF29" s="201">
        <f t="shared" si="52"/>
        <v>720</v>
      </c>
      <c r="BG29" s="202">
        <f t="shared" si="53"/>
        <v>-11.758151202914632</v>
      </c>
      <c r="BH29" s="203">
        <f t="shared" si="54"/>
        <v>-1.6068356988693286E-2</v>
      </c>
      <c r="BI29" s="131">
        <f>AQ29-AU29</f>
        <v>166.22838858882403</v>
      </c>
      <c r="BJ29" s="186">
        <f>BI29/AQ29</f>
        <v>0.23087276192892225</v>
      </c>
    </row>
    <row r="30" spans="20:68" x14ac:dyDescent="0.35">
      <c r="AJ30" s="192"/>
    </row>
    <row r="31" spans="20:68" x14ac:dyDescent="0.35">
      <c r="AJ31" s="192"/>
    </row>
    <row r="32" spans="20:68" x14ac:dyDescent="0.35">
      <c r="T32" s="120" t="s">
        <v>389</v>
      </c>
      <c r="AG32" s="127">
        <v>0.02</v>
      </c>
      <c r="AJ32" s="192"/>
    </row>
    <row r="33" spans="20:70" x14ac:dyDescent="0.35">
      <c r="T33" s="118" t="s">
        <v>381</v>
      </c>
      <c r="U33" s="118"/>
      <c r="V33" s="118">
        <f t="shared" ref="V33" si="56">U33*$U$3</f>
        <v>0</v>
      </c>
      <c r="W33" s="118"/>
      <c r="X33" s="118">
        <f>W33*$W$3</f>
        <v>0</v>
      </c>
      <c r="Y33" s="118"/>
      <c r="Z33" s="118">
        <f>Y33*$Y$3</f>
        <v>0</v>
      </c>
      <c r="AA33" s="118"/>
      <c r="AB33" s="118"/>
      <c r="AC33" s="118"/>
      <c r="AD33" s="118">
        <f t="shared" ref="AD33" si="57">AC33*$AC$3</f>
        <v>0</v>
      </c>
      <c r="AE33" s="119">
        <v>1</v>
      </c>
      <c r="AF33" s="135">
        <f>AE33*$AE$3</f>
        <v>13249.947702396161</v>
      </c>
      <c r="AG33" s="123">
        <f>U33+W33+Y33+AA33+AC33+AE33</f>
        <v>1</v>
      </c>
      <c r="AH33" s="178">
        <f>V33+X33+Z33+AB33+AD33+AF33</f>
        <v>13249.947702396161</v>
      </c>
      <c r="AI33" s="176">
        <f>AI$1+AH33</f>
        <v>15570.978696459893</v>
      </c>
      <c r="AJ33" s="195">
        <f t="shared" ref="AJ33:AL33" si="58">AJ$1+AI33</f>
        <v>17966.591006877235</v>
      </c>
      <c r="AK33" s="176">
        <f>AK$1+$W$2</f>
        <v>18136.977515423063</v>
      </c>
      <c r="AL33" s="173">
        <f t="shared" si="58"/>
        <v>21521.471742214228</v>
      </c>
      <c r="AM33" s="173">
        <f t="shared" ref="AM33" si="59">AL33+$AM$1</f>
        <v>23422.596128715224</v>
      </c>
      <c r="AN33" s="173">
        <f t="shared" ref="AN33" si="60">AL33+$AN$1</f>
        <v>23853.357844781116</v>
      </c>
      <c r="AO33" s="176">
        <f t="shared" ref="AO33" si="61">AM33</f>
        <v>23422.596128715224</v>
      </c>
      <c r="AP33" s="131">
        <f t="shared" ref="AP33" si="62">$AP$4*AQ33/1000</f>
        <v>19000.5</v>
      </c>
      <c r="AQ33" s="131">
        <v>717</v>
      </c>
      <c r="AR33" s="131">
        <f t="shared" ref="AR33" si="63">AP33-AO33</f>
        <v>-4422.096128715224</v>
      </c>
      <c r="AS33" s="154">
        <f t="shared" ref="AS33" si="64">AR33/AP33</f>
        <v>-0.23273577688562005</v>
      </c>
      <c r="AX33" s="148">
        <f t="shared" ref="AX33:BF33" si="65">AH33/$AP$4*1000</f>
        <v>499.9980265055155</v>
      </c>
      <c r="AY33" s="199">
        <f t="shared" si="65"/>
        <v>587.58410175320353</v>
      </c>
      <c r="AZ33" s="199">
        <f t="shared" si="65"/>
        <v>677.9845662972541</v>
      </c>
      <c r="BA33" s="199">
        <f t="shared" si="65"/>
        <v>684.41424586502114</v>
      </c>
      <c r="BB33" s="200">
        <f t="shared" si="65"/>
        <v>812.13100914015956</v>
      </c>
      <c r="BC33" s="200">
        <f t="shared" si="65"/>
        <v>883.87155202698966</v>
      </c>
      <c r="BD33" s="200">
        <f t="shared" si="65"/>
        <v>900.12671112381565</v>
      </c>
      <c r="BE33" s="148">
        <f t="shared" si="65"/>
        <v>883.87155202698966</v>
      </c>
      <c r="BF33" s="201">
        <f t="shared" si="65"/>
        <v>717</v>
      </c>
      <c r="BG33" s="202">
        <f t="shared" ref="BG33" si="66">BF33-BE33</f>
        <v>-166.87155202698966</v>
      </c>
      <c r="BH33" s="203">
        <f t="shared" ref="BH33" si="67">BG33/BE33</f>
        <v>-0.18879615668623093</v>
      </c>
    </row>
    <row r="35" spans="20:70" x14ac:dyDescent="0.35">
      <c r="AE35" s="109">
        <f>'Giá mua Chai-Vảy'!O40</f>
        <v>8000</v>
      </c>
    </row>
    <row r="36" spans="20:70" x14ac:dyDescent="0.35">
      <c r="T36" s="120" t="s">
        <v>447</v>
      </c>
      <c r="AG36" s="127">
        <v>0.01</v>
      </c>
      <c r="AH36" s="122"/>
      <c r="AI36"/>
      <c r="AJ36"/>
    </row>
    <row r="37" spans="20:70" x14ac:dyDescent="0.35">
      <c r="T37" s="118" t="s">
        <v>477</v>
      </c>
      <c r="U37" s="118"/>
      <c r="V37" s="118">
        <f t="shared" ref="V37" si="68">U37*$U$3</f>
        <v>0</v>
      </c>
      <c r="W37" s="118"/>
      <c r="X37" s="118">
        <f>W37*$W$3</f>
        <v>0</v>
      </c>
      <c r="Y37" s="118"/>
      <c r="Z37" s="118">
        <f>Y37*$Y$3</f>
        <v>0</v>
      </c>
      <c r="AA37" s="118"/>
      <c r="AB37" s="118"/>
      <c r="AC37" s="118"/>
      <c r="AD37" s="118">
        <f t="shared" ref="AD37" si="69">AC37*$AC$3</f>
        <v>0</v>
      </c>
      <c r="AE37" s="119">
        <v>1</v>
      </c>
      <c r="AF37" s="135">
        <f>AE37*$AE$35</f>
        <v>8000</v>
      </c>
      <c r="AG37" s="123">
        <f>U37+W37+Y37+AA37+AC37+AE37</f>
        <v>1</v>
      </c>
      <c r="AH37" s="178">
        <f>V37+X37+Z37+AB37+AD37+AF37</f>
        <v>8000</v>
      </c>
      <c r="AI37" s="176">
        <f>AI$1+AH37</f>
        <v>10321.030994063734</v>
      </c>
      <c r="AJ37" s="195">
        <f t="shared" ref="AJ37" si="70">AJ$1+AI37</f>
        <v>12716.643304481076</v>
      </c>
      <c r="AK37" s="176">
        <f>AK$1+$W$2</f>
        <v>18136.977515423063</v>
      </c>
      <c r="AL37" s="173">
        <f t="shared" ref="AL37" si="71">AL$1+AK37*$AK$2+AJ37*$AJ$2</f>
        <v>18811.304636743236</v>
      </c>
      <c r="AM37" s="173">
        <f t="shared" ref="AM37" si="72">AL37+$AM$1</f>
        <v>20712.429023244233</v>
      </c>
      <c r="AN37" s="173">
        <f t="shared" ref="AN37" si="73">AL37+$AN$1</f>
        <v>21143.190739310125</v>
      </c>
      <c r="AO37" s="176">
        <f t="shared" ref="AO37" si="74">AM37</f>
        <v>20712.429023244233</v>
      </c>
      <c r="AP37" s="131">
        <f t="shared" ref="AP37" si="75">$AP$4*AQ37/1000</f>
        <v>19000.5</v>
      </c>
      <c r="AQ37" s="131">
        <v>717</v>
      </c>
      <c r="AR37" s="131">
        <f t="shared" ref="AR37" si="76">AP37-AO37</f>
        <v>-1711.9290232442327</v>
      </c>
      <c r="AS37" s="154">
        <f t="shared" ref="AS37" si="77">AR37/AP37</f>
        <v>-9.0099156508735706E-2</v>
      </c>
      <c r="AX37" s="148">
        <f t="shared" ref="AX37:BF37" si="78">AH37/$AP$4*1000</f>
        <v>301.88679245283015</v>
      </c>
      <c r="AY37" s="199">
        <f t="shared" si="78"/>
        <v>389.47286770051824</v>
      </c>
      <c r="AZ37" s="199">
        <f t="shared" si="78"/>
        <v>479.87333224456893</v>
      </c>
      <c r="BA37" s="199">
        <f t="shared" si="78"/>
        <v>684.41424586502114</v>
      </c>
      <c r="BB37" s="200">
        <f t="shared" si="78"/>
        <v>709.8605523299334</v>
      </c>
      <c r="BC37" s="200">
        <f t="shared" si="78"/>
        <v>781.6010952167635</v>
      </c>
      <c r="BD37" s="200">
        <f t="shared" si="78"/>
        <v>797.8562543135896</v>
      </c>
      <c r="BE37" s="148">
        <f t="shared" si="78"/>
        <v>781.6010952167635</v>
      </c>
      <c r="BF37" s="201">
        <f t="shared" si="78"/>
        <v>717</v>
      </c>
      <c r="BG37" s="202">
        <f t="shared" ref="BG37" si="79">BF37-BE37</f>
        <v>-64.601095216763497</v>
      </c>
      <c r="BH37" s="203">
        <f t="shared" ref="BH37" si="80">BG37/BE37</f>
        <v>-8.2652257797626943E-2</v>
      </c>
      <c r="BJ37" s="109">
        <f>'Hảo_R&amp;D (Hạt) (full stage)-Chai'!BE37</f>
        <v>781.6010952167635</v>
      </c>
      <c r="BK37" s="109">
        <f>'Hảo_R&amp;D (Hạt) (full stage)-MN'!BE37</f>
        <v>781.6010952167635</v>
      </c>
      <c r="BL37" s="109">
        <f t="shared" ref="BL37" si="81">BE37</f>
        <v>781.6010952167635</v>
      </c>
      <c r="BM37" s="131">
        <f>BJ37-BK37</f>
        <v>0</v>
      </c>
      <c r="BO37" s="109">
        <f>'Hảo_R&amp;D (Hạt) (full stage)-Chai'!AO37</f>
        <v>20712.429023244233</v>
      </c>
      <c r="BP37" s="109">
        <f>'Hảo_R&amp;D (Hạt) (full stage)-MN'!AO37</f>
        <v>20712.429023244233</v>
      </c>
      <c r="BQ37" s="109">
        <f>AO37</f>
        <v>20712.429023244233</v>
      </c>
      <c r="BR37" s="131">
        <f>BO37-BP37</f>
        <v>0</v>
      </c>
    </row>
  </sheetData>
  <mergeCells count="2">
    <mergeCell ref="AG3:AH3"/>
    <mergeCell ref="AW3:AX3"/>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EEC90-01F3-4CAC-9289-06674449A7CA}">
  <sheetPr>
    <tabColor rgb="FFFFFF00"/>
  </sheetPr>
  <dimension ref="B1:BZ37"/>
  <sheetViews>
    <sheetView topLeftCell="D1" zoomScale="85" zoomScaleNormal="85" workbookViewId="0">
      <pane xSplit="17" ySplit="5" topLeftCell="U24" activePane="bottomRight" state="frozen"/>
      <selection activeCell="S1" sqref="S1"/>
      <selection pane="topRight" activeCell="U1" sqref="U1"/>
      <selection pane="bottomLeft" activeCell="S6" sqref="S6"/>
      <selection pane="bottomRight" activeCell="U3" sqref="U3"/>
    </sheetView>
  </sheetViews>
  <sheetFormatPr defaultRowHeight="14.5" outlineLevelCol="1" x14ac:dyDescent="0.35"/>
  <cols>
    <col min="1" max="1" width="3.36328125" customWidth="1"/>
    <col min="4" max="18" width="8.7265625" customWidth="1" outlineLevel="1"/>
    <col min="20" max="20" width="21.1796875" bestFit="1" customWidth="1"/>
    <col min="21" max="22" width="10.1796875" bestFit="1" customWidth="1"/>
    <col min="24" max="24" width="10.81640625" bestFit="1" customWidth="1"/>
    <col min="25" max="25" width="10.1796875" bestFit="1" customWidth="1"/>
    <col min="26" max="26" width="9.1796875" bestFit="1" customWidth="1"/>
    <col min="27" max="27" width="10.1796875" bestFit="1" customWidth="1"/>
    <col min="28" max="30" width="9.1796875" bestFit="1" customWidth="1"/>
    <col min="31" max="32" width="10.1796875" bestFit="1" customWidth="1"/>
    <col min="33" max="33" width="5.6328125" style="122" bestFit="1" customWidth="1"/>
    <col min="34" max="34" width="10.1796875" style="134" bestFit="1" customWidth="1"/>
    <col min="35" max="37" width="10.1796875" style="134" customWidth="1"/>
    <col min="38" max="40" width="10.1796875" style="122" customWidth="1"/>
    <col min="41" max="41" width="10.1796875" style="134" customWidth="1"/>
    <col min="42" max="42" width="11.81640625" bestFit="1" customWidth="1"/>
    <col min="43" max="43" width="7" bestFit="1" customWidth="1"/>
    <col min="47" max="47" width="9.1796875" bestFit="1" customWidth="1"/>
    <col min="48" max="48" width="5.90625" customWidth="1"/>
    <col min="49" max="49" width="11.6328125" bestFit="1" customWidth="1"/>
    <col min="50" max="53" width="8.81640625" bestFit="1" customWidth="1"/>
    <col min="54" max="54" width="9.26953125" bestFit="1" customWidth="1"/>
    <col min="55" max="55" width="10.36328125" customWidth="1"/>
    <col min="56" max="56" width="9.7265625" bestFit="1" customWidth="1"/>
    <col min="57" max="57" width="8.81640625" bestFit="1" customWidth="1"/>
    <col min="58" max="58" width="9.7265625" bestFit="1" customWidth="1"/>
    <col min="62" max="62" width="9.7265625" bestFit="1" customWidth="1"/>
    <col min="63" max="64" width="8.81640625" bestFit="1" customWidth="1"/>
  </cols>
  <sheetData>
    <row r="1" spans="2:70" ht="15.5" x14ac:dyDescent="0.35">
      <c r="B1" s="113" t="s">
        <v>364</v>
      </c>
      <c r="T1" s="122" t="s">
        <v>448</v>
      </c>
      <c r="U1" s="109">
        <f>'Giá mua Chai-Vảy'!E18</f>
        <v>13500</v>
      </c>
      <c r="W1" s="133">
        <f>'[2]10. 100% chai-&gt;hạt WSS01-iSS01'!$H$9</f>
        <v>15000</v>
      </c>
      <c r="X1" s="133">
        <f>W3-W1-X3</f>
        <v>0</v>
      </c>
      <c r="Y1" s="109">
        <f>'Giá mua Chai-Vảy'!E15</f>
        <v>13500</v>
      </c>
      <c r="AA1" s="109">
        <f>'[2]18. Vảy B5'!$I$9</f>
        <v>12000</v>
      </c>
      <c r="AB1" s="133">
        <f>'[2]18. Vảy B5'!$I$10</f>
        <v>411.68039840493083</v>
      </c>
      <c r="AC1" s="169">
        <f>'[2]16.1 Rửa vảy B7'!$I$9</f>
        <v>7971.0144927536239</v>
      </c>
      <c r="AD1" s="172">
        <f>'[2]16.1 Rửa vảy B7'!$I$10</f>
        <v>84.555434657824762</v>
      </c>
      <c r="AE1" s="109">
        <f>'Giá mua Chai-Vảy'!E16</f>
        <v>12000</v>
      </c>
      <c r="AI1" s="194">
        <f>'[2]10. 100% chai-&gt;hạt WSS01-iSS01'!$I$21</f>
        <v>2321.0309940637335</v>
      </c>
      <c r="AJ1" s="171">
        <f>'[2]10. 100% chai-&gt;hạt WSS01-iSS01'!$I$37</f>
        <v>2395.6123104173425</v>
      </c>
      <c r="AK1" s="171">
        <f>'[2]12. 100% vảy-&gt;hạt WSS01-iSS01'!$I$10</f>
        <v>1636.9775154230633</v>
      </c>
      <c r="AL1" s="177">
        <f>'[2]10. 100% chai-&gt;hạt WSS01-iSS01'!$I$61</f>
        <v>3384.4942267911665</v>
      </c>
      <c r="AM1" s="177">
        <f>'[2]10. 100% chai-&gt;hạt WSS01-iSS01'!$I$83</f>
        <v>1901.1243865009951</v>
      </c>
      <c r="AN1" s="177">
        <f>'[2]11. 100% chai-&gt;hạt iSS01084G'!$I$83</f>
        <v>2331.8861025668875</v>
      </c>
      <c r="AO1" s="196">
        <f>AM1/8</f>
        <v>237.64054831262439</v>
      </c>
      <c r="AP1" s="109">
        <f>AN1/10</f>
        <v>233.18861025668875</v>
      </c>
      <c r="AY1" s="131">
        <f t="shared" ref="AY1:BD1" si="0">AI1/$AP$4*1000</f>
        <v>87.586075247688044</v>
      </c>
      <c r="AZ1" s="131">
        <f t="shared" si="0"/>
        <v>90.400464544050664</v>
      </c>
      <c r="BA1" s="131">
        <f t="shared" si="0"/>
        <v>61.772736431058995</v>
      </c>
      <c r="BB1" s="131">
        <f t="shared" si="0"/>
        <v>127.71676327513836</v>
      </c>
      <c r="BC1" s="131">
        <f t="shared" si="0"/>
        <v>71.740542886829999</v>
      </c>
      <c r="BD1" s="131">
        <f t="shared" si="0"/>
        <v>87.995701983656133</v>
      </c>
      <c r="BE1" s="131">
        <f>SUM(AY1:BC1)</f>
        <v>439.21658238476607</v>
      </c>
    </row>
    <row r="2" spans="2:70" ht="29" x14ac:dyDescent="0.35">
      <c r="B2" s="114" t="s">
        <v>365</v>
      </c>
      <c r="T2" s="163" t="s">
        <v>450</v>
      </c>
      <c r="W2" s="133">
        <v>16500</v>
      </c>
      <c r="X2" s="133"/>
      <c r="AG2" s="121" t="s">
        <v>472</v>
      </c>
      <c r="AJ2" s="205">
        <v>0.5</v>
      </c>
      <c r="AK2" s="260">
        <v>0.5</v>
      </c>
      <c r="AL2" s="197">
        <f>AL1*1000/$AP$4</f>
        <v>127.71676327513836</v>
      </c>
      <c r="AM2" s="197">
        <f>AM1*1000/$AP$4</f>
        <v>71.740542886829999</v>
      </c>
      <c r="AN2" s="197">
        <f>AN1*1000/$AP$4</f>
        <v>87.995701983656133</v>
      </c>
      <c r="AO2" s="163" t="s">
        <v>515</v>
      </c>
      <c r="BD2" s="131">
        <f>BD1-BC1</f>
        <v>16.255159096826134</v>
      </c>
    </row>
    <row r="3" spans="2:70" ht="58" x14ac:dyDescent="0.35">
      <c r="T3" s="163" t="s">
        <v>449</v>
      </c>
      <c r="U3" s="170">
        <f>U1+X3</f>
        <v>14749.947702396161</v>
      </c>
      <c r="V3" s="133">
        <f>'[2]10. 100% chai-&gt;hạt WSS01-iSS01'!$I$10</f>
        <v>1249.9477023961606</v>
      </c>
      <c r="W3" s="132">
        <f>W1+V3</f>
        <v>16249.947702396161</v>
      </c>
      <c r="X3" s="171">
        <f>V3</f>
        <v>1249.9477023961606</v>
      </c>
      <c r="Y3" s="170">
        <f>Y1+X3</f>
        <v>14749.947702396161</v>
      </c>
      <c r="Z3" s="133">
        <f>V3</f>
        <v>1249.9477023961606</v>
      </c>
      <c r="AA3" s="170">
        <f>AA1+Z3</f>
        <v>13249.947702396161</v>
      </c>
      <c r="AB3" s="133">
        <f>V3</f>
        <v>1249.9477023961606</v>
      </c>
      <c r="AC3" s="170">
        <f>AC1+AB3</f>
        <v>9220.9621951497847</v>
      </c>
      <c r="AD3" s="109">
        <f>V3</f>
        <v>1249.9477023961606</v>
      </c>
      <c r="AE3" s="170">
        <f>AE1+AD3</f>
        <v>13249.947702396161</v>
      </c>
      <c r="AG3" s="284" t="s">
        <v>473</v>
      </c>
      <c r="AH3" s="284"/>
      <c r="AI3" s="191" t="s">
        <v>469</v>
      </c>
      <c r="AJ3" s="262" t="s">
        <v>470</v>
      </c>
      <c r="AK3" s="261" t="s">
        <v>471</v>
      </c>
      <c r="AL3" s="174" t="s">
        <v>452</v>
      </c>
      <c r="AM3" s="174" t="s">
        <v>453</v>
      </c>
      <c r="AN3" s="174" t="s">
        <v>454</v>
      </c>
      <c r="AO3" s="163" t="s">
        <v>455</v>
      </c>
      <c r="AP3" s="2" t="s">
        <v>391</v>
      </c>
      <c r="AQ3" t="s">
        <v>393</v>
      </c>
      <c r="AR3" t="s">
        <v>456</v>
      </c>
      <c r="AS3" t="s">
        <v>457</v>
      </c>
      <c r="AT3" t="s">
        <v>467</v>
      </c>
      <c r="AU3" t="s">
        <v>464</v>
      </c>
      <c r="AW3" s="284" t="s">
        <v>473</v>
      </c>
      <c r="AX3" s="284"/>
      <c r="AY3" s="191" t="s">
        <v>469</v>
      </c>
      <c r="AZ3" s="191" t="s">
        <v>470</v>
      </c>
      <c r="BA3" s="191" t="s">
        <v>471</v>
      </c>
      <c r="BB3" s="174" t="s">
        <v>452</v>
      </c>
      <c r="BC3" s="174" t="s">
        <v>453</v>
      </c>
      <c r="BD3" s="174" t="s">
        <v>454</v>
      </c>
      <c r="BE3" s="163" t="s">
        <v>455</v>
      </c>
      <c r="BF3" s="2" t="s">
        <v>391</v>
      </c>
      <c r="BG3" s="204" t="s">
        <v>456</v>
      </c>
      <c r="BH3" s="3" t="s">
        <v>457</v>
      </c>
      <c r="BI3" s="208" t="s">
        <v>476</v>
      </c>
      <c r="BJ3" s="207" t="s">
        <v>404</v>
      </c>
      <c r="BK3" s="207" t="s">
        <v>475</v>
      </c>
      <c r="BL3" s="207" t="s">
        <v>474</v>
      </c>
      <c r="BM3" s="259" t="s">
        <v>514</v>
      </c>
      <c r="BN3" s="208" t="s">
        <v>476</v>
      </c>
      <c r="BO3" s="207" t="s">
        <v>404</v>
      </c>
      <c r="BP3" s="207" t="s">
        <v>475</v>
      </c>
      <c r="BQ3" s="207" t="s">
        <v>474</v>
      </c>
    </row>
    <row r="4" spans="2:70" x14ac:dyDescent="0.35">
      <c r="T4" s="121" t="s">
        <v>366</v>
      </c>
      <c r="U4" s="115" t="s">
        <v>367</v>
      </c>
      <c r="W4" s="115" t="s">
        <v>374</v>
      </c>
      <c r="Y4" s="115" t="s">
        <v>375</v>
      </c>
      <c r="AA4" s="115" t="s">
        <v>382</v>
      </c>
      <c r="AC4" s="115" t="s">
        <v>384</v>
      </c>
      <c r="AE4" s="115" t="s">
        <v>385</v>
      </c>
      <c r="AG4" s="128" t="s">
        <v>376</v>
      </c>
      <c r="AI4" s="192"/>
      <c r="AJ4" s="206">
        <f>AJ9-AK9</f>
        <v>1779.6134914541763</v>
      </c>
      <c r="AK4" s="192"/>
      <c r="AP4" s="130">
        <v>26500</v>
      </c>
      <c r="BG4" s="3"/>
      <c r="BH4" s="3"/>
    </row>
    <row r="5" spans="2:70" x14ac:dyDescent="0.35">
      <c r="T5" s="65"/>
      <c r="U5" s="117" t="s">
        <v>57</v>
      </c>
      <c r="V5" s="124" t="s">
        <v>372</v>
      </c>
      <c r="W5" s="117" t="s">
        <v>267</v>
      </c>
      <c r="X5" s="124" t="s">
        <v>372</v>
      </c>
      <c r="Y5" s="117" t="s">
        <v>52</v>
      </c>
      <c r="Z5" s="124" t="s">
        <v>372</v>
      </c>
      <c r="AA5" s="117" t="s">
        <v>55</v>
      </c>
      <c r="AB5" s="124" t="s">
        <v>372</v>
      </c>
      <c r="AC5" s="117" t="s">
        <v>383</v>
      </c>
      <c r="AD5" s="124" t="s">
        <v>372</v>
      </c>
      <c r="AE5" s="117" t="s">
        <v>54</v>
      </c>
      <c r="AF5" s="124" t="s">
        <v>372</v>
      </c>
      <c r="AG5" s="124"/>
      <c r="AH5" s="175" t="s">
        <v>372</v>
      </c>
      <c r="AI5" s="193" t="s">
        <v>372</v>
      </c>
      <c r="AJ5" s="193" t="s">
        <v>372</v>
      </c>
      <c r="AK5" s="193" t="s">
        <v>372</v>
      </c>
      <c r="AL5" s="124" t="s">
        <v>372</v>
      </c>
      <c r="AM5" s="124" t="s">
        <v>372</v>
      </c>
      <c r="AN5" s="124" t="s">
        <v>372</v>
      </c>
      <c r="AO5" s="175" t="s">
        <v>372</v>
      </c>
      <c r="AP5" s="124" t="s">
        <v>372</v>
      </c>
      <c r="AQ5" t="s">
        <v>392</v>
      </c>
      <c r="BG5" s="3"/>
      <c r="BH5" s="3"/>
    </row>
    <row r="6" spans="2:70" x14ac:dyDescent="0.35">
      <c r="T6" s="120" t="s">
        <v>390</v>
      </c>
      <c r="AG6" s="129">
        <v>0.3</v>
      </c>
      <c r="BG6" s="3"/>
      <c r="BH6" s="3"/>
    </row>
    <row r="7" spans="2:70" x14ac:dyDescent="0.35">
      <c r="T7" s="118" t="s">
        <v>368</v>
      </c>
      <c r="U7" s="119">
        <v>0.1</v>
      </c>
      <c r="V7" s="135">
        <f>U7*$U$3</f>
        <v>1474.9947702396162</v>
      </c>
      <c r="W7" s="119">
        <v>0.9</v>
      </c>
      <c r="X7" s="135">
        <f>W7*$W$3</f>
        <v>14624.952932156544</v>
      </c>
      <c r="Y7" s="118"/>
      <c r="Z7" s="135">
        <f>Y7*$Y$3</f>
        <v>0</v>
      </c>
      <c r="AA7" s="118"/>
      <c r="AB7" s="118">
        <f>AA7*$AA$3</f>
        <v>0</v>
      </c>
      <c r="AC7" s="118"/>
      <c r="AD7" s="118">
        <f>AC7*$AC$3</f>
        <v>0</v>
      </c>
      <c r="AE7" s="118"/>
      <c r="AF7" s="118">
        <f>AE7*$AE$3</f>
        <v>0</v>
      </c>
      <c r="AG7" s="123">
        <f t="shared" ref="AG7:AH11" si="1">U7+W7+Y7+AA7+AC7+AE7</f>
        <v>1</v>
      </c>
      <c r="AH7" s="178">
        <f>V7+X7+Z7+AB7+AD7+AF7</f>
        <v>16099.947702396161</v>
      </c>
      <c r="AI7" s="176">
        <f>AI$1+AH7</f>
        <v>18420.978696459893</v>
      </c>
      <c r="AJ7" s="195">
        <f t="shared" ref="AJ7" si="2">AJ$1+AI7</f>
        <v>20816.591006877235</v>
      </c>
      <c r="AK7" s="176">
        <f>AK$1+$W$2</f>
        <v>18136.977515423063</v>
      </c>
      <c r="AL7" s="173">
        <f>AL$1+AK7*$AK$2+AJ7*$AJ$2</f>
        <v>22861.278487941316</v>
      </c>
      <c r="AM7" s="173">
        <f>AL7+$AM$1</f>
        <v>24762.402874442312</v>
      </c>
      <c r="AN7" s="173">
        <f>AL7+$AN$1</f>
        <v>25193.164590508204</v>
      </c>
      <c r="AO7" s="176">
        <f>AM7</f>
        <v>24762.402874442312</v>
      </c>
      <c r="AP7" s="131">
        <f>$AP$4*AQ7/1000</f>
        <v>30740</v>
      </c>
      <c r="AQ7" s="109">
        <v>1160</v>
      </c>
      <c r="AR7" s="131">
        <f>AP7-AO7</f>
        <v>5977.5971255576878</v>
      </c>
      <c r="AS7" s="154">
        <f>AR7/AP7</f>
        <v>0.19445664038899441</v>
      </c>
      <c r="AU7" s="109">
        <f>AH7/$AP$4*1000</f>
        <v>607.54519631683627</v>
      </c>
      <c r="AX7" s="148">
        <f>AH7/$AP$4*1000</f>
        <v>607.54519631683627</v>
      </c>
      <c r="AY7" s="199">
        <f t="shared" ref="AY7:BF12" si="3">AI7/$AP$4*1000</f>
        <v>695.13127156452424</v>
      </c>
      <c r="AZ7" s="199">
        <f t="shared" si="3"/>
        <v>785.53173610857493</v>
      </c>
      <c r="BA7" s="199">
        <f t="shared" si="3"/>
        <v>684.41424586502114</v>
      </c>
      <c r="BB7" s="200">
        <f t="shared" si="3"/>
        <v>862.6897542619364</v>
      </c>
      <c r="BC7" s="200">
        <f t="shared" si="3"/>
        <v>934.4302971487665</v>
      </c>
      <c r="BD7" s="200">
        <f t="shared" si="3"/>
        <v>950.6854562455926</v>
      </c>
      <c r="BE7" s="148">
        <f>AO7/$AP$4*1000</f>
        <v>934.4302971487665</v>
      </c>
      <c r="BF7" s="201">
        <f t="shared" si="3"/>
        <v>1160</v>
      </c>
      <c r="BG7" s="202">
        <f>BF7-BE7</f>
        <v>225.5697028512335</v>
      </c>
      <c r="BH7" s="203">
        <f>BG7/BE7</f>
        <v>0.24139810485545671</v>
      </c>
      <c r="BJ7" s="109">
        <f>'Hảo_R&amp;D (Hạt) (full stage)-Chai'!BE7</f>
        <v>984.98904227054345</v>
      </c>
      <c r="BK7" s="109">
        <f>'Hảo_R&amp;D (Hạt) (full stage)-MN'!BE7</f>
        <v>883.87155202698966</v>
      </c>
      <c r="BL7" s="109">
        <f>BE7</f>
        <v>934.4302971487665</v>
      </c>
      <c r="BM7" s="131">
        <f>BJ7-BK7</f>
        <v>101.11749024355379</v>
      </c>
      <c r="BO7" s="109">
        <f>'Hảo_R&amp;D (Hạt) (full stage)-Chai'!AO7</f>
        <v>26102.2096201694</v>
      </c>
      <c r="BP7" s="109">
        <f>'Hảo_R&amp;D (Hạt) (full stage)-MN'!AO7</f>
        <v>23422.596128715224</v>
      </c>
      <c r="BQ7" s="109">
        <f>AO7</f>
        <v>24762.402874442312</v>
      </c>
      <c r="BR7" s="131">
        <f>BO7-BP7</f>
        <v>2679.6134914541763</v>
      </c>
    </row>
    <row r="8" spans="2:70" x14ac:dyDescent="0.35">
      <c r="T8" s="118" t="s">
        <v>369</v>
      </c>
      <c r="U8" s="126">
        <v>0.3</v>
      </c>
      <c r="V8" s="135">
        <f>U8*$U$3</f>
        <v>4424.9843107188481</v>
      </c>
      <c r="W8" s="126">
        <v>0.7</v>
      </c>
      <c r="X8" s="135">
        <f>W8*$W$3</f>
        <v>11374.963391677313</v>
      </c>
      <c r="Y8" s="118"/>
      <c r="Z8" s="135">
        <f>Y8*$Y$3</f>
        <v>0</v>
      </c>
      <c r="AA8" s="118"/>
      <c r="AB8" s="118">
        <f t="shared" ref="AB8:AB11" si="4">AA8*$AA$3</f>
        <v>0</v>
      </c>
      <c r="AC8" s="118"/>
      <c r="AD8" s="118">
        <f t="shared" ref="AD8:AD11" si="5">AC8*$AC$3</f>
        <v>0</v>
      </c>
      <c r="AE8" s="118"/>
      <c r="AF8" s="118">
        <f t="shared" ref="AF8:AF11" si="6">AE8*$AE$3</f>
        <v>0</v>
      </c>
      <c r="AG8" s="125">
        <f t="shared" si="1"/>
        <v>1</v>
      </c>
      <c r="AH8" s="178">
        <f t="shared" si="1"/>
        <v>15799.947702396161</v>
      </c>
      <c r="AI8" s="176">
        <f t="shared" ref="AI8:AJ11" si="7">AI$1+AH8</f>
        <v>18120.978696459893</v>
      </c>
      <c r="AJ8" s="195">
        <f t="shared" si="7"/>
        <v>20516.591006877235</v>
      </c>
      <c r="AK8" s="176">
        <f t="shared" ref="AK8:AK11" si="8">AK$1+$W$2</f>
        <v>18136.977515423063</v>
      </c>
      <c r="AL8" s="173">
        <f t="shared" ref="AL8:AL11" si="9">AL$1+AK8*$AK$2+AJ8*$AJ$2</f>
        <v>22711.278487941316</v>
      </c>
      <c r="AM8" s="173">
        <f t="shared" ref="AM8:AM10" si="10">AL8+$AM$1</f>
        <v>24612.402874442312</v>
      </c>
      <c r="AN8" s="173">
        <f t="shared" ref="AN8:AN10" si="11">AL8+$AN$1</f>
        <v>25043.164590508204</v>
      </c>
      <c r="AO8" s="176">
        <f t="shared" ref="AO8:AO11" si="12">AM8</f>
        <v>24612.402874442312</v>
      </c>
      <c r="AP8" s="131">
        <f t="shared" ref="AP8:AP11" si="13">$AP$4*AQ8/1000</f>
        <v>31535</v>
      </c>
      <c r="AQ8" s="131">
        <f>AQ7+30</f>
        <v>1190</v>
      </c>
      <c r="AR8" s="131">
        <f t="shared" ref="AR8:AR11" si="14">AP8-AO8</f>
        <v>6922.5971255576878</v>
      </c>
      <c r="AS8" s="154">
        <f t="shared" ref="AS8:AS11" si="15">AR8/AP8</f>
        <v>0.2195210758064908</v>
      </c>
      <c r="AU8" s="109">
        <f t="shared" ref="AU8:AU11" si="16">AH8/$AP$4*1000</f>
        <v>596.22444159985514</v>
      </c>
      <c r="AX8" s="148">
        <f t="shared" ref="AX8:AX11" si="17">AH8/$AP$4*1000</f>
        <v>596.22444159985514</v>
      </c>
      <c r="AY8" s="199">
        <f t="shared" si="3"/>
        <v>683.81051684754311</v>
      </c>
      <c r="AZ8" s="199">
        <f t="shared" si="3"/>
        <v>774.2109813915938</v>
      </c>
      <c r="BA8" s="199">
        <f t="shared" si="3"/>
        <v>684.41424586502114</v>
      </c>
      <c r="BB8" s="200">
        <f t="shared" si="3"/>
        <v>857.02937690344584</v>
      </c>
      <c r="BC8" s="200">
        <f t="shared" si="3"/>
        <v>928.76991979027594</v>
      </c>
      <c r="BD8" s="200">
        <f t="shared" si="3"/>
        <v>945.02507888710204</v>
      </c>
      <c r="BE8" s="148">
        <f t="shared" si="3"/>
        <v>928.76991979027594</v>
      </c>
      <c r="BF8" s="201">
        <f t="shared" si="3"/>
        <v>1190</v>
      </c>
      <c r="BG8" s="202">
        <f t="shared" ref="BG8:BG11" si="18">BF8-BE8</f>
        <v>261.23008020972406</v>
      </c>
      <c r="BH8" s="203">
        <f t="shared" ref="BH8:BH11" si="19">BG8/BE8</f>
        <v>0.28126457871149835</v>
      </c>
      <c r="BJ8" s="109">
        <f>'Hảo_R&amp;D (Hạt) (full stage)-Chai'!BE8</f>
        <v>973.66828755356232</v>
      </c>
      <c r="BK8" s="109">
        <f>'Hảo_R&amp;D (Hạt) (full stage)-MN'!BE8</f>
        <v>883.87155202698966</v>
      </c>
      <c r="BL8" s="109">
        <f t="shared" ref="BL8:BL11" si="20">BE8</f>
        <v>928.76991979027594</v>
      </c>
      <c r="BM8" s="131">
        <f t="shared" ref="BM8:BM11" si="21">BJ8-BK8</f>
        <v>89.796735526572661</v>
      </c>
      <c r="BO8" s="109">
        <f>'Hảo_R&amp;D (Hạt) (full stage)-Chai'!AO8</f>
        <v>25802.2096201694</v>
      </c>
      <c r="BP8" s="109">
        <f>'Hảo_R&amp;D (Hạt) (full stage)-MN'!AO8</f>
        <v>23422.596128715224</v>
      </c>
      <c r="BQ8" s="109">
        <f t="shared" ref="BQ8:BQ11" si="22">AO8</f>
        <v>24612.402874442312</v>
      </c>
      <c r="BR8" s="131">
        <f t="shared" ref="BR8:BR11" si="23">BO8-BP8</f>
        <v>2379.6134914541763</v>
      </c>
    </row>
    <row r="9" spans="2:70" x14ac:dyDescent="0.35">
      <c r="T9" s="118" t="s">
        <v>370</v>
      </c>
      <c r="U9" s="119">
        <v>0.55000000000000004</v>
      </c>
      <c r="V9" s="135">
        <f>U9*$U$3</f>
        <v>8112.4712363178887</v>
      </c>
      <c r="W9" s="119">
        <v>0.3</v>
      </c>
      <c r="X9" s="135">
        <f>W9*$W$3</f>
        <v>4874.9843107188481</v>
      </c>
      <c r="Y9" s="119">
        <v>0.15</v>
      </c>
      <c r="Z9" s="135">
        <f>Y9*$Y$3</f>
        <v>2212.492155359424</v>
      </c>
      <c r="AA9" s="118"/>
      <c r="AB9" s="118">
        <f t="shared" si="4"/>
        <v>0</v>
      </c>
      <c r="AC9" s="118"/>
      <c r="AD9" s="118">
        <f t="shared" si="5"/>
        <v>0</v>
      </c>
      <c r="AE9" s="118"/>
      <c r="AF9" s="118">
        <f t="shared" si="6"/>
        <v>0</v>
      </c>
      <c r="AG9" s="123">
        <f t="shared" si="1"/>
        <v>1</v>
      </c>
      <c r="AH9" s="178">
        <f t="shared" si="1"/>
        <v>15199.947702396163</v>
      </c>
      <c r="AI9" s="176">
        <f t="shared" si="7"/>
        <v>17520.978696459897</v>
      </c>
      <c r="AJ9" s="195">
        <f t="shared" si="7"/>
        <v>19916.591006877239</v>
      </c>
      <c r="AK9" s="176">
        <f t="shared" si="8"/>
        <v>18136.977515423063</v>
      </c>
      <c r="AL9" s="173">
        <f t="shared" si="9"/>
        <v>22411.278487941316</v>
      </c>
      <c r="AM9" s="173">
        <f t="shared" si="10"/>
        <v>24312.402874442312</v>
      </c>
      <c r="AN9" s="173">
        <f t="shared" si="11"/>
        <v>24743.164590508204</v>
      </c>
      <c r="AO9" s="176">
        <f t="shared" si="12"/>
        <v>24312.402874442312</v>
      </c>
      <c r="AP9" s="131">
        <f t="shared" si="13"/>
        <v>28885</v>
      </c>
      <c r="AQ9" s="131">
        <f>AQ7-70</f>
        <v>1090</v>
      </c>
      <c r="AR9" s="131">
        <f t="shared" si="14"/>
        <v>4572.5971255576878</v>
      </c>
      <c r="AS9" s="154">
        <f t="shared" si="15"/>
        <v>0.15830351828138092</v>
      </c>
      <c r="AU9" s="109">
        <f t="shared" si="16"/>
        <v>573.582932165893</v>
      </c>
      <c r="AX9" s="148">
        <f t="shared" si="17"/>
        <v>573.582932165893</v>
      </c>
      <c r="AY9" s="199">
        <f t="shared" si="3"/>
        <v>661.16900741358097</v>
      </c>
      <c r="AZ9" s="199">
        <f t="shared" si="3"/>
        <v>751.56947195763166</v>
      </c>
      <c r="BA9" s="199">
        <f t="shared" si="3"/>
        <v>684.41424586502114</v>
      </c>
      <c r="BB9" s="200">
        <f t="shared" si="3"/>
        <v>845.70862218646471</v>
      </c>
      <c r="BC9" s="200">
        <f t="shared" si="3"/>
        <v>917.44916507329481</v>
      </c>
      <c r="BD9" s="200">
        <f t="shared" si="3"/>
        <v>933.70432417012091</v>
      </c>
      <c r="BE9" s="148">
        <f t="shared" si="3"/>
        <v>917.44916507329481</v>
      </c>
      <c r="BF9" s="201">
        <f t="shared" si="3"/>
        <v>1090</v>
      </c>
      <c r="BG9" s="202">
        <f t="shared" si="18"/>
        <v>172.55083492670519</v>
      </c>
      <c r="BH9" s="203">
        <f t="shared" si="19"/>
        <v>0.18807672566023878</v>
      </c>
      <c r="BJ9" s="109">
        <f>'Hảo_R&amp;D (Hạt) (full stage)-Chai'!BE9</f>
        <v>951.02677811960007</v>
      </c>
      <c r="BK9" s="109">
        <f>'Hảo_R&amp;D (Hạt) (full stage)-MN'!BE9</f>
        <v>883.87155202698966</v>
      </c>
      <c r="BL9" s="109">
        <f t="shared" si="20"/>
        <v>917.44916507329481</v>
      </c>
      <c r="BM9" s="131">
        <f t="shared" si="21"/>
        <v>67.155226092610405</v>
      </c>
      <c r="BO9" s="109">
        <f>'Hảo_R&amp;D (Hạt) (full stage)-Chai'!AO9</f>
        <v>25202.2096201694</v>
      </c>
      <c r="BP9" s="109">
        <f>'Hảo_R&amp;D (Hạt) (full stage)-MN'!AO9</f>
        <v>23422.596128715224</v>
      </c>
      <c r="BQ9" s="109">
        <f t="shared" si="22"/>
        <v>24312.402874442312</v>
      </c>
      <c r="BR9" s="131">
        <f t="shared" si="23"/>
        <v>1779.6134914541763</v>
      </c>
    </row>
    <row r="10" spans="2:70" x14ac:dyDescent="0.35">
      <c r="T10" s="118" t="s">
        <v>371</v>
      </c>
      <c r="U10" s="119">
        <v>0.95</v>
      </c>
      <c r="V10" s="135">
        <f>U10*$U$3</f>
        <v>14012.450317276353</v>
      </c>
      <c r="W10" s="263"/>
      <c r="X10" s="265">
        <f>W10*$W$3</f>
        <v>0</v>
      </c>
      <c r="Y10" s="118"/>
      <c r="Z10" s="135">
        <f>Y10*$Y$3</f>
        <v>0</v>
      </c>
      <c r="AA10" s="263">
        <v>0.05</v>
      </c>
      <c r="AB10" s="265">
        <f t="shared" si="4"/>
        <v>662.49738511980809</v>
      </c>
      <c r="AC10" s="118"/>
      <c r="AD10" s="118">
        <f t="shared" si="5"/>
        <v>0</v>
      </c>
      <c r="AE10" s="118"/>
      <c r="AF10" s="118">
        <f t="shared" si="6"/>
        <v>0</v>
      </c>
      <c r="AG10" s="123">
        <f t="shared" si="1"/>
        <v>1</v>
      </c>
      <c r="AH10" s="178">
        <f t="shared" si="1"/>
        <v>14674.947702396161</v>
      </c>
      <c r="AI10" s="176">
        <f t="shared" si="7"/>
        <v>16995.978696459893</v>
      </c>
      <c r="AJ10" s="195">
        <f t="shared" si="7"/>
        <v>19391.591006877235</v>
      </c>
      <c r="AK10" s="176">
        <f t="shared" si="8"/>
        <v>18136.977515423063</v>
      </c>
      <c r="AL10" s="173">
        <f t="shared" si="9"/>
        <v>22148.778487941316</v>
      </c>
      <c r="AM10" s="173">
        <f t="shared" si="10"/>
        <v>24049.902874442312</v>
      </c>
      <c r="AN10" s="173">
        <f t="shared" si="11"/>
        <v>24480.664590508204</v>
      </c>
      <c r="AO10" s="176">
        <f t="shared" si="12"/>
        <v>24049.902874442312</v>
      </c>
      <c r="AP10" s="131">
        <f t="shared" si="13"/>
        <v>19080</v>
      </c>
      <c r="AQ10" s="131">
        <v>720</v>
      </c>
      <c r="AR10" s="131">
        <f t="shared" si="14"/>
        <v>-4969.9028744423122</v>
      </c>
      <c r="AS10" s="154">
        <f t="shared" si="15"/>
        <v>-0.26047708985546708</v>
      </c>
      <c r="AU10" s="109">
        <f t="shared" si="16"/>
        <v>553.77161141117597</v>
      </c>
      <c r="AX10" s="148">
        <f t="shared" si="17"/>
        <v>553.77161141117597</v>
      </c>
      <c r="AY10" s="199">
        <f t="shared" si="3"/>
        <v>641.35768665886394</v>
      </c>
      <c r="AZ10" s="199">
        <f t="shared" si="3"/>
        <v>731.75815120291452</v>
      </c>
      <c r="BA10" s="199">
        <f t="shared" si="3"/>
        <v>684.41424586502114</v>
      </c>
      <c r="BB10" s="200">
        <f t="shared" si="3"/>
        <v>835.80296180910625</v>
      </c>
      <c r="BC10" s="200">
        <f t="shared" si="3"/>
        <v>907.54350469593624</v>
      </c>
      <c r="BD10" s="200">
        <f t="shared" si="3"/>
        <v>923.79866379276245</v>
      </c>
      <c r="BE10" s="148">
        <f t="shared" si="3"/>
        <v>907.54350469593624</v>
      </c>
      <c r="BF10" s="201">
        <f t="shared" si="3"/>
        <v>720</v>
      </c>
      <c r="BG10" s="202">
        <f t="shared" si="18"/>
        <v>-187.54350469593624</v>
      </c>
      <c r="BH10" s="203">
        <f t="shared" si="19"/>
        <v>-0.20664960271934391</v>
      </c>
      <c r="BJ10" s="109">
        <f>'Hảo_R&amp;D (Hạt) (full stage)-Chai'!BE10</f>
        <v>931.21545736488304</v>
      </c>
      <c r="BK10" s="109">
        <f>'Hảo_R&amp;D (Hạt) (full stage)-MN'!BE10</f>
        <v>883.87155202698966</v>
      </c>
      <c r="BL10" s="109">
        <f t="shared" si="20"/>
        <v>907.54350469593624</v>
      </c>
      <c r="BM10" s="131">
        <f t="shared" si="21"/>
        <v>47.343905337893375</v>
      </c>
      <c r="BO10" s="109">
        <f>'Hảo_R&amp;D (Hạt) (full stage)-Chai'!AO10</f>
        <v>24677.2096201694</v>
      </c>
      <c r="BP10" s="109">
        <f>'Hảo_R&amp;D (Hạt) (full stage)-MN'!AO10</f>
        <v>23422.596128715224</v>
      </c>
      <c r="BQ10" s="109">
        <f t="shared" si="22"/>
        <v>24049.902874442312</v>
      </c>
      <c r="BR10" s="131">
        <f t="shared" si="23"/>
        <v>1254.6134914541763</v>
      </c>
    </row>
    <row r="11" spans="2:70" x14ac:dyDescent="0.35">
      <c r="T11" s="118" t="s">
        <v>373</v>
      </c>
      <c r="U11" s="119">
        <v>0.65</v>
      </c>
      <c r="V11" s="135">
        <f>U11*$U$3</f>
        <v>9587.4660065575044</v>
      </c>
      <c r="W11" s="119">
        <v>0.15</v>
      </c>
      <c r="X11" s="135">
        <f>W11*$W$3</f>
        <v>2437.492155359424</v>
      </c>
      <c r="Y11" s="263"/>
      <c r="Z11" s="265">
        <f>Y11*$Y$3</f>
        <v>0</v>
      </c>
      <c r="AA11" s="263">
        <v>0.2</v>
      </c>
      <c r="AB11" s="265">
        <f t="shared" si="4"/>
        <v>2649.9895404792323</v>
      </c>
      <c r="AC11" s="118"/>
      <c r="AD11" s="118">
        <f t="shared" si="5"/>
        <v>0</v>
      </c>
      <c r="AE11" s="118"/>
      <c r="AF11" s="118">
        <f t="shared" si="6"/>
        <v>0</v>
      </c>
      <c r="AG11" s="123">
        <f t="shared" si="1"/>
        <v>1</v>
      </c>
      <c r="AH11" s="178">
        <f t="shared" si="1"/>
        <v>14674.947702396163</v>
      </c>
      <c r="AI11" s="176">
        <f t="shared" si="7"/>
        <v>16995.978696459897</v>
      </c>
      <c r="AJ11" s="195">
        <f t="shared" si="7"/>
        <v>19391.591006877239</v>
      </c>
      <c r="AK11" s="176">
        <f t="shared" si="8"/>
        <v>18136.977515423063</v>
      </c>
      <c r="AL11" s="173">
        <f t="shared" si="9"/>
        <v>22148.778487941316</v>
      </c>
      <c r="AM11" s="173">
        <f>AL11</f>
        <v>22148.778487941316</v>
      </c>
      <c r="AN11" s="173">
        <f>AM11</f>
        <v>22148.778487941316</v>
      </c>
      <c r="AO11" s="176">
        <f t="shared" si="12"/>
        <v>22148.778487941316</v>
      </c>
      <c r="AP11" s="131">
        <f t="shared" si="13"/>
        <v>25970</v>
      </c>
      <c r="AQ11" s="180">
        <v>980</v>
      </c>
      <c r="AR11" s="131">
        <f t="shared" si="14"/>
        <v>3821.2215120586843</v>
      </c>
      <c r="AS11" s="154">
        <f t="shared" si="15"/>
        <v>0.14713983488866708</v>
      </c>
      <c r="AU11" s="109">
        <f t="shared" si="16"/>
        <v>553.77161141117597</v>
      </c>
      <c r="AX11" s="148">
        <f t="shared" si="17"/>
        <v>553.77161141117597</v>
      </c>
      <c r="AY11" s="199">
        <f t="shared" si="3"/>
        <v>641.35768665886405</v>
      </c>
      <c r="AZ11" s="199">
        <f t="shared" si="3"/>
        <v>731.75815120291463</v>
      </c>
      <c r="BA11" s="199">
        <f t="shared" si="3"/>
        <v>684.41424586502114</v>
      </c>
      <c r="BB11" s="200">
        <f t="shared" si="3"/>
        <v>835.80296180910625</v>
      </c>
      <c r="BC11" s="200">
        <f t="shared" si="3"/>
        <v>835.80296180910625</v>
      </c>
      <c r="BD11" s="200">
        <f t="shared" si="3"/>
        <v>835.80296180910625</v>
      </c>
      <c r="BE11" s="148">
        <f t="shared" si="3"/>
        <v>835.80296180910625</v>
      </c>
      <c r="BF11" s="201">
        <f t="shared" si="3"/>
        <v>980</v>
      </c>
      <c r="BG11" s="202">
        <f t="shared" si="18"/>
        <v>144.19703819089375</v>
      </c>
      <c r="BH11" s="203">
        <f t="shared" si="19"/>
        <v>0.17252515817696723</v>
      </c>
      <c r="BJ11" s="109">
        <f>'Hảo_R&amp;D (Hạt) (full stage)-Chai'!BE11</f>
        <v>731.75815120291463</v>
      </c>
      <c r="BK11" s="109">
        <f>'Hảo_R&amp;D (Hạt) (full stage)-MN'!BE11</f>
        <v>731.75815120291463</v>
      </c>
      <c r="BL11" s="109">
        <f t="shared" si="20"/>
        <v>835.80296180910625</v>
      </c>
      <c r="BM11" s="131">
        <f t="shared" si="21"/>
        <v>0</v>
      </c>
      <c r="BO11" s="109">
        <f>'Hảo_R&amp;D (Hạt) (full stage)-Chai'!AO11</f>
        <v>19391.591006877239</v>
      </c>
      <c r="BP11" s="109">
        <f>'Hảo_R&amp;D (Hạt) (full stage)-MN'!AO11</f>
        <v>19391.591006877239</v>
      </c>
      <c r="BQ11" s="109">
        <f t="shared" si="22"/>
        <v>22148.778487941316</v>
      </c>
      <c r="BR11" s="131">
        <f t="shared" si="23"/>
        <v>0</v>
      </c>
    </row>
    <row r="12" spans="2:70" x14ac:dyDescent="0.35">
      <c r="AJ12" s="192"/>
      <c r="AK12" s="206"/>
      <c r="BA12" s="199">
        <f t="shared" si="3"/>
        <v>0</v>
      </c>
    </row>
    <row r="13" spans="2:70" x14ac:dyDescent="0.35">
      <c r="AJ13" s="192"/>
    </row>
    <row r="14" spans="2:70" x14ac:dyDescent="0.35">
      <c r="T14" s="120" t="s">
        <v>387</v>
      </c>
      <c r="W14" s="117" t="s">
        <v>48</v>
      </c>
      <c r="AG14" s="127">
        <v>0.53</v>
      </c>
      <c r="AJ14" s="192"/>
    </row>
    <row r="15" spans="2:70" x14ac:dyDescent="0.35">
      <c r="T15" s="118" t="s">
        <v>377</v>
      </c>
      <c r="U15" s="118"/>
      <c r="V15" s="118">
        <f t="shared" ref="V15:V18" si="24">U15*$U$3</f>
        <v>0</v>
      </c>
      <c r="W15" s="179">
        <v>1</v>
      </c>
      <c r="X15" s="135">
        <f t="shared" ref="X15:X18" si="25">W15*$W$3</f>
        <v>16249.947702396161</v>
      </c>
      <c r="Y15" s="118"/>
      <c r="Z15" s="118">
        <f t="shared" ref="Z15:Z18" si="26">Y15*$Y$3</f>
        <v>0</v>
      </c>
      <c r="AA15" s="118"/>
      <c r="AB15" s="118">
        <f t="shared" ref="AB15:AB18" si="27">AA15*$AA$3</f>
        <v>0</v>
      </c>
      <c r="AC15" s="118"/>
      <c r="AD15" s="118">
        <f t="shared" ref="AD15:AD18" si="28">AC15*$AC$3</f>
        <v>0</v>
      </c>
      <c r="AE15" s="118"/>
      <c r="AF15" s="118">
        <f t="shared" ref="AF15:AF18" si="29">AE15*$AE$3</f>
        <v>0</v>
      </c>
      <c r="AG15" s="123">
        <f t="shared" ref="AG15:AH18" si="30">U15+W15+Y15+AA15+AC15+AE15</f>
        <v>1</v>
      </c>
      <c r="AH15" s="178">
        <f t="shared" si="30"/>
        <v>16249.947702396161</v>
      </c>
      <c r="AI15" s="176">
        <f t="shared" ref="AI15:AJ18" si="31">AI$1+AH15</f>
        <v>18570.978696459893</v>
      </c>
      <c r="AJ15" s="195">
        <f t="shared" si="31"/>
        <v>20966.591006877235</v>
      </c>
      <c r="AK15" s="176">
        <f t="shared" ref="AK15:AK18" si="32">AK$1+$W$2</f>
        <v>18136.977515423063</v>
      </c>
      <c r="AL15" s="173">
        <f t="shared" ref="AL15:AL18" si="33">AL$1+AK15*$AK$2+AJ15*$AJ$2</f>
        <v>22936.278487941316</v>
      </c>
      <c r="AM15" s="173">
        <f t="shared" ref="AM15:AM18" si="34">AL15+$AM$1</f>
        <v>24837.402874442312</v>
      </c>
      <c r="AN15" s="173">
        <f t="shared" ref="AN15:AN18" si="35">AL15+$AN$1</f>
        <v>25268.164590508204</v>
      </c>
      <c r="AO15" s="176">
        <f t="shared" ref="AO15:AO18" si="36">AM15</f>
        <v>24837.402874442312</v>
      </c>
      <c r="AP15" s="131">
        <f>$AP$4*AQ15/1000</f>
        <v>30740</v>
      </c>
      <c r="AQ15" s="131">
        <f>AQ7</f>
        <v>1160</v>
      </c>
      <c r="AR15" s="131">
        <f t="shared" ref="AR15:AR18" si="37">AP15-AO15</f>
        <v>5902.5971255576878</v>
      </c>
      <c r="AS15" s="154">
        <f t="shared" ref="AS15:AS18" si="38">AR15/AP15</f>
        <v>0.19201682256205882</v>
      </c>
      <c r="AU15" s="109">
        <f t="shared" ref="AU15:AU18" si="39">AH15/$AP$4*1000</f>
        <v>613.20557367532683</v>
      </c>
      <c r="AX15" s="148">
        <f t="shared" ref="AX15:BF18" si="40">AH15/$AP$4*1000</f>
        <v>613.20557367532683</v>
      </c>
      <c r="AY15" s="199">
        <f t="shared" si="40"/>
        <v>700.7916489230148</v>
      </c>
      <c r="AZ15" s="199">
        <f t="shared" si="40"/>
        <v>791.1921134670655</v>
      </c>
      <c r="BA15" s="199">
        <f t="shared" si="40"/>
        <v>684.41424586502114</v>
      </c>
      <c r="BB15" s="200">
        <f t="shared" si="40"/>
        <v>865.51994294118174</v>
      </c>
      <c r="BC15" s="200">
        <f t="shared" si="40"/>
        <v>937.26048582801184</v>
      </c>
      <c r="BD15" s="200">
        <f t="shared" si="40"/>
        <v>953.51564492483783</v>
      </c>
      <c r="BE15" s="148">
        <f t="shared" si="40"/>
        <v>937.26048582801184</v>
      </c>
      <c r="BF15" s="201">
        <f t="shared" si="40"/>
        <v>1160</v>
      </c>
      <c r="BG15" s="202">
        <f t="shared" ref="BG15:BG18" si="41">BF15-BE15</f>
        <v>222.73951417198816</v>
      </c>
      <c r="BH15" s="203">
        <f t="shared" ref="BH15:BH18" si="42">BG15/BE15</f>
        <v>0.23764953024261076</v>
      </c>
      <c r="BJ15" s="109">
        <f>'Hảo_R&amp;D (Hạt) (full stage)-Chai'!BE15</f>
        <v>990.64941962903401</v>
      </c>
      <c r="BK15" s="109">
        <f>'Hảo_R&amp;D (Hạt) (full stage)-MN'!BE15</f>
        <v>883.87155202698966</v>
      </c>
      <c r="BL15" s="109">
        <f t="shared" ref="BL15:BL18" si="43">BE15</f>
        <v>937.26048582801184</v>
      </c>
      <c r="BM15" s="131">
        <f t="shared" ref="BM15:BM18" si="44">BJ15-BK15</f>
        <v>106.77786760204435</v>
      </c>
      <c r="BO15" s="109">
        <f>'Hảo_R&amp;D (Hạt) (full stage)-Chai'!AO15</f>
        <v>26252.2096201694</v>
      </c>
      <c r="BP15" s="109">
        <f>'Hảo_R&amp;D (Hạt) (full stage)-MN'!AO15</f>
        <v>23422.596128715224</v>
      </c>
      <c r="BQ15" s="109">
        <f t="shared" ref="BQ15:BQ18" si="45">AO15</f>
        <v>24837.402874442312</v>
      </c>
      <c r="BR15" s="131">
        <f t="shared" ref="BR15:BR18" si="46">BO15-BP15</f>
        <v>2829.6134914541763</v>
      </c>
    </row>
    <row r="16" spans="2:70" x14ac:dyDescent="0.35">
      <c r="T16" s="118" t="s">
        <v>378</v>
      </c>
      <c r="U16" s="118"/>
      <c r="V16" s="118">
        <f t="shared" si="24"/>
        <v>0</v>
      </c>
      <c r="W16" s="179">
        <v>1</v>
      </c>
      <c r="X16" s="135">
        <f t="shared" si="25"/>
        <v>16249.947702396161</v>
      </c>
      <c r="Y16" s="118"/>
      <c r="Z16" s="118">
        <f t="shared" si="26"/>
        <v>0</v>
      </c>
      <c r="AA16" s="118"/>
      <c r="AB16" s="118">
        <f t="shared" si="27"/>
        <v>0</v>
      </c>
      <c r="AC16" s="118"/>
      <c r="AD16" s="118">
        <f t="shared" si="28"/>
        <v>0</v>
      </c>
      <c r="AE16" s="118"/>
      <c r="AF16" s="118">
        <f t="shared" si="29"/>
        <v>0</v>
      </c>
      <c r="AG16" s="123">
        <f t="shared" si="30"/>
        <v>1</v>
      </c>
      <c r="AH16" s="178">
        <f t="shared" si="30"/>
        <v>16249.947702396161</v>
      </c>
      <c r="AI16" s="176">
        <f t="shared" si="31"/>
        <v>18570.978696459893</v>
      </c>
      <c r="AJ16" s="195">
        <f t="shared" si="31"/>
        <v>20966.591006877235</v>
      </c>
      <c r="AK16" s="176">
        <f t="shared" si="32"/>
        <v>18136.977515423063</v>
      </c>
      <c r="AL16" s="173">
        <f t="shared" si="33"/>
        <v>22936.278487941316</v>
      </c>
      <c r="AM16" s="173">
        <f t="shared" si="34"/>
        <v>24837.402874442312</v>
      </c>
      <c r="AN16" s="173">
        <f t="shared" si="35"/>
        <v>25268.164590508204</v>
      </c>
      <c r="AO16" s="176">
        <f t="shared" si="36"/>
        <v>24837.402874442312</v>
      </c>
      <c r="AP16" s="131">
        <f t="shared" ref="AP16:AP18" si="47">$AP$4*AQ16/1000</f>
        <v>31535</v>
      </c>
      <c r="AQ16" s="131">
        <f>AQ7+30</f>
        <v>1190</v>
      </c>
      <c r="AR16" s="131">
        <f t="shared" si="37"/>
        <v>6697.5971255576878</v>
      </c>
      <c r="AS16" s="154">
        <f t="shared" si="38"/>
        <v>0.21238614636301531</v>
      </c>
      <c r="AU16" s="109">
        <f t="shared" si="39"/>
        <v>613.20557367532683</v>
      </c>
      <c r="AX16" s="148">
        <f t="shared" si="40"/>
        <v>613.20557367532683</v>
      </c>
      <c r="AY16" s="199">
        <f t="shared" si="40"/>
        <v>700.7916489230148</v>
      </c>
      <c r="AZ16" s="199">
        <f t="shared" si="40"/>
        <v>791.1921134670655</v>
      </c>
      <c r="BA16" s="199">
        <f t="shared" si="40"/>
        <v>684.41424586502114</v>
      </c>
      <c r="BB16" s="200">
        <f t="shared" si="40"/>
        <v>865.51994294118174</v>
      </c>
      <c r="BC16" s="200">
        <f t="shared" si="40"/>
        <v>937.26048582801184</v>
      </c>
      <c r="BD16" s="200">
        <f t="shared" si="40"/>
        <v>953.51564492483783</v>
      </c>
      <c r="BE16" s="148">
        <f t="shared" si="40"/>
        <v>937.26048582801184</v>
      </c>
      <c r="BF16" s="201">
        <f t="shared" si="40"/>
        <v>1190</v>
      </c>
      <c r="BG16" s="202">
        <f t="shared" si="41"/>
        <v>252.73951417198816</v>
      </c>
      <c r="BH16" s="203">
        <f t="shared" si="42"/>
        <v>0.2696577077488852</v>
      </c>
      <c r="BJ16" s="109">
        <f>'Hảo_R&amp;D (Hạt) (full stage)-Chai'!BE16</f>
        <v>990.64941962903401</v>
      </c>
      <c r="BK16" s="109">
        <f>'Hảo_R&amp;D (Hạt) (full stage)-MN'!BE16</f>
        <v>883.87155202698966</v>
      </c>
      <c r="BL16" s="109">
        <f t="shared" si="43"/>
        <v>937.26048582801184</v>
      </c>
      <c r="BM16" s="131">
        <f t="shared" si="44"/>
        <v>106.77786760204435</v>
      </c>
      <c r="BO16" s="109">
        <f>'Hảo_R&amp;D (Hạt) (full stage)-Chai'!AO16</f>
        <v>26252.2096201694</v>
      </c>
      <c r="BP16" s="109">
        <f>'Hảo_R&amp;D (Hạt) (full stage)-MN'!AO16</f>
        <v>23422.596128715224</v>
      </c>
      <c r="BQ16" s="109">
        <f t="shared" si="45"/>
        <v>24837.402874442312</v>
      </c>
      <c r="BR16" s="131">
        <f t="shared" si="46"/>
        <v>2829.6134914541763</v>
      </c>
    </row>
    <row r="17" spans="20:78" x14ac:dyDescent="0.35">
      <c r="T17" s="118" t="s">
        <v>379</v>
      </c>
      <c r="U17" s="118"/>
      <c r="V17" s="118">
        <f t="shared" si="24"/>
        <v>0</v>
      </c>
      <c r="W17" s="179">
        <v>1</v>
      </c>
      <c r="X17" s="135">
        <f t="shared" si="25"/>
        <v>16249.947702396161</v>
      </c>
      <c r="Y17" s="118"/>
      <c r="Z17" s="118">
        <f t="shared" si="26"/>
        <v>0</v>
      </c>
      <c r="AA17" s="118"/>
      <c r="AB17" s="118">
        <f t="shared" si="27"/>
        <v>0</v>
      </c>
      <c r="AC17" s="118"/>
      <c r="AD17" s="118">
        <f t="shared" si="28"/>
        <v>0</v>
      </c>
      <c r="AE17" s="118"/>
      <c r="AF17" s="118">
        <f t="shared" si="29"/>
        <v>0</v>
      </c>
      <c r="AG17" s="123">
        <f t="shared" si="30"/>
        <v>1</v>
      </c>
      <c r="AH17" s="178">
        <f t="shared" si="30"/>
        <v>16249.947702396161</v>
      </c>
      <c r="AI17" s="176">
        <f t="shared" si="31"/>
        <v>18570.978696459893</v>
      </c>
      <c r="AJ17" s="195">
        <f t="shared" si="31"/>
        <v>20966.591006877235</v>
      </c>
      <c r="AK17" s="176">
        <f t="shared" si="32"/>
        <v>18136.977515423063</v>
      </c>
      <c r="AL17" s="173">
        <f t="shared" si="33"/>
        <v>22936.278487941316</v>
      </c>
      <c r="AM17" s="173">
        <f t="shared" si="34"/>
        <v>24837.402874442312</v>
      </c>
      <c r="AN17" s="173">
        <f t="shared" si="35"/>
        <v>25268.164590508204</v>
      </c>
      <c r="AO17" s="176">
        <f t="shared" si="36"/>
        <v>24837.402874442312</v>
      </c>
      <c r="AP17" s="131">
        <f t="shared" si="47"/>
        <v>33125</v>
      </c>
      <c r="AQ17" s="131">
        <f>AQ7+90</f>
        <v>1250</v>
      </c>
      <c r="AR17" s="131">
        <f t="shared" si="37"/>
        <v>8287.5971255576878</v>
      </c>
      <c r="AS17" s="154">
        <f t="shared" si="38"/>
        <v>0.2501916113375906</v>
      </c>
      <c r="AU17" s="109">
        <f t="shared" si="39"/>
        <v>613.20557367532683</v>
      </c>
      <c r="AX17" s="148">
        <f t="shared" si="40"/>
        <v>613.20557367532683</v>
      </c>
      <c r="AY17" s="199">
        <f t="shared" si="40"/>
        <v>700.7916489230148</v>
      </c>
      <c r="AZ17" s="199">
        <f t="shared" si="40"/>
        <v>791.1921134670655</v>
      </c>
      <c r="BA17" s="199">
        <f t="shared" si="40"/>
        <v>684.41424586502114</v>
      </c>
      <c r="BB17" s="200">
        <f t="shared" si="40"/>
        <v>865.51994294118174</v>
      </c>
      <c r="BC17" s="200">
        <f t="shared" si="40"/>
        <v>937.26048582801184</v>
      </c>
      <c r="BD17" s="200">
        <f t="shared" si="40"/>
        <v>953.51564492483783</v>
      </c>
      <c r="BE17" s="148">
        <f t="shared" si="40"/>
        <v>937.26048582801184</v>
      </c>
      <c r="BF17" s="201">
        <f t="shared" si="40"/>
        <v>1250</v>
      </c>
      <c r="BG17" s="202">
        <f t="shared" si="41"/>
        <v>312.73951417198816</v>
      </c>
      <c r="BH17" s="203">
        <f t="shared" si="42"/>
        <v>0.33367406276143402</v>
      </c>
      <c r="BJ17" s="109">
        <f>'Hảo_R&amp;D (Hạt) (full stage)-Chai'!BE17</f>
        <v>990.64941962903401</v>
      </c>
      <c r="BK17" s="109">
        <f>'Hảo_R&amp;D (Hạt) (full stage)-MN'!BE17</f>
        <v>883.87155202698966</v>
      </c>
      <c r="BL17" s="109">
        <f t="shared" si="43"/>
        <v>937.26048582801184</v>
      </c>
      <c r="BM17" s="131">
        <f t="shared" si="44"/>
        <v>106.77786760204435</v>
      </c>
      <c r="BO17" s="109">
        <f>'Hảo_R&amp;D (Hạt) (full stage)-Chai'!AO17</f>
        <v>26252.2096201694</v>
      </c>
      <c r="BP17" s="109">
        <f>'Hảo_R&amp;D (Hạt) (full stage)-MN'!AO17</f>
        <v>23422.596128715224</v>
      </c>
      <c r="BQ17" s="109">
        <f t="shared" si="45"/>
        <v>24837.402874442312</v>
      </c>
      <c r="BR17" s="131">
        <f t="shared" si="46"/>
        <v>2829.6134914541763</v>
      </c>
    </row>
    <row r="18" spans="20:78" x14ac:dyDescent="0.35">
      <c r="T18" s="118" t="s">
        <v>380</v>
      </c>
      <c r="U18" s="118"/>
      <c r="V18" s="118">
        <f t="shared" si="24"/>
        <v>0</v>
      </c>
      <c r="W18" s="179">
        <v>1</v>
      </c>
      <c r="X18" s="135">
        <f t="shared" si="25"/>
        <v>16249.947702396161</v>
      </c>
      <c r="Y18" s="118"/>
      <c r="Z18" s="118">
        <f t="shared" si="26"/>
        <v>0</v>
      </c>
      <c r="AA18" s="118"/>
      <c r="AB18" s="118">
        <f t="shared" si="27"/>
        <v>0</v>
      </c>
      <c r="AC18" s="118"/>
      <c r="AD18" s="118">
        <f t="shared" si="28"/>
        <v>0</v>
      </c>
      <c r="AE18" s="118"/>
      <c r="AF18" s="118">
        <f t="shared" si="29"/>
        <v>0</v>
      </c>
      <c r="AG18" s="123">
        <f t="shared" si="30"/>
        <v>1</v>
      </c>
      <c r="AH18" s="178">
        <f t="shared" si="30"/>
        <v>16249.947702396161</v>
      </c>
      <c r="AI18" s="176">
        <f t="shared" si="31"/>
        <v>18570.978696459893</v>
      </c>
      <c r="AJ18" s="195">
        <f t="shared" si="31"/>
        <v>20966.591006877235</v>
      </c>
      <c r="AK18" s="176">
        <f t="shared" si="32"/>
        <v>18136.977515423063</v>
      </c>
      <c r="AL18" s="173">
        <f t="shared" si="33"/>
        <v>22936.278487941316</v>
      </c>
      <c r="AM18" s="173">
        <f t="shared" si="34"/>
        <v>24837.402874442312</v>
      </c>
      <c r="AN18" s="173">
        <f t="shared" si="35"/>
        <v>25268.164590508204</v>
      </c>
      <c r="AO18" s="176">
        <f t="shared" si="36"/>
        <v>24837.402874442312</v>
      </c>
      <c r="AP18" s="131">
        <f t="shared" si="47"/>
        <v>29945</v>
      </c>
      <c r="AQ18" s="131">
        <f>AQ7-30</f>
        <v>1130</v>
      </c>
      <c r="AR18" s="131">
        <f t="shared" si="37"/>
        <v>5107.5971255576878</v>
      </c>
      <c r="AS18" s="154">
        <f t="shared" si="38"/>
        <v>0.17056594174512232</v>
      </c>
      <c r="AU18" s="109">
        <f t="shared" si="39"/>
        <v>613.20557367532683</v>
      </c>
      <c r="AX18" s="148">
        <f t="shared" si="40"/>
        <v>613.20557367532683</v>
      </c>
      <c r="AY18" s="199">
        <f t="shared" si="40"/>
        <v>700.7916489230148</v>
      </c>
      <c r="AZ18" s="199">
        <f t="shared" si="40"/>
        <v>791.1921134670655</v>
      </c>
      <c r="BA18" s="199">
        <f t="shared" si="40"/>
        <v>684.41424586502114</v>
      </c>
      <c r="BB18" s="200">
        <f t="shared" si="40"/>
        <v>865.51994294118174</v>
      </c>
      <c r="BC18" s="200">
        <f t="shared" si="40"/>
        <v>937.26048582801184</v>
      </c>
      <c r="BD18" s="200">
        <f t="shared" si="40"/>
        <v>953.51564492483783</v>
      </c>
      <c r="BE18" s="148">
        <f t="shared" si="40"/>
        <v>937.26048582801184</v>
      </c>
      <c r="BF18" s="201">
        <f t="shared" si="40"/>
        <v>1130</v>
      </c>
      <c r="BG18" s="202">
        <f t="shared" si="41"/>
        <v>192.73951417198816</v>
      </c>
      <c r="BH18" s="203">
        <f t="shared" si="42"/>
        <v>0.20564135273633635</v>
      </c>
      <c r="BJ18" s="109">
        <f>'Hảo_R&amp;D (Hạt) (full stage)-Chai'!BE18</f>
        <v>990.64941962903401</v>
      </c>
      <c r="BK18" s="109">
        <f>'Hảo_R&amp;D (Hạt) (full stage)-MN'!BE18</f>
        <v>883.87155202698966</v>
      </c>
      <c r="BL18" s="109">
        <f t="shared" si="43"/>
        <v>937.26048582801184</v>
      </c>
      <c r="BM18" s="131">
        <f t="shared" si="44"/>
        <v>106.77786760204435</v>
      </c>
      <c r="BO18" s="109">
        <f>'Hảo_R&amp;D (Hạt) (full stage)-Chai'!AO18</f>
        <v>26252.2096201694</v>
      </c>
      <c r="BP18" s="109">
        <f>'Hảo_R&amp;D (Hạt) (full stage)-MN'!AO18</f>
        <v>23422.596128715224</v>
      </c>
      <c r="BQ18" s="109">
        <f t="shared" si="45"/>
        <v>24837.402874442312</v>
      </c>
      <c r="BR18" s="131">
        <f t="shared" si="46"/>
        <v>2829.6134914541763</v>
      </c>
    </row>
    <row r="19" spans="20:78" x14ac:dyDescent="0.35">
      <c r="AJ19" s="192"/>
    </row>
    <row r="20" spans="20:78" x14ac:dyDescent="0.35">
      <c r="AJ20" s="192"/>
    </row>
    <row r="21" spans="20:78" x14ac:dyDescent="0.35">
      <c r="AJ21" s="192"/>
    </row>
    <row r="22" spans="20:78" x14ac:dyDescent="0.35">
      <c r="AJ22" s="192"/>
    </row>
    <row r="23" spans="20:78" x14ac:dyDescent="0.35">
      <c r="AJ23" s="192"/>
    </row>
    <row r="24" spans="20:78" x14ac:dyDescent="0.35">
      <c r="T24" s="120" t="s">
        <v>388</v>
      </c>
      <c r="AG24" s="127">
        <v>0.05</v>
      </c>
      <c r="AJ24" s="192"/>
    </row>
    <row r="25" spans="20:78" x14ac:dyDescent="0.35">
      <c r="T25" s="118" t="s">
        <v>368</v>
      </c>
      <c r="U25" s="118"/>
      <c r="V25" s="135">
        <f t="shared" ref="V25:V29" si="48">U25*$U$3</f>
        <v>0</v>
      </c>
      <c r="W25" s="119">
        <v>0.9</v>
      </c>
      <c r="X25" s="135">
        <f t="shared" ref="X25:X29" si="49">W25*$W$3</f>
        <v>14624.952932156544</v>
      </c>
      <c r="Y25" s="119">
        <v>0.1</v>
      </c>
      <c r="Z25" s="135">
        <f t="shared" ref="Z25:Z29" si="50">Y25*$Y$3</f>
        <v>1474.9947702396162</v>
      </c>
      <c r="AA25" s="118"/>
      <c r="AB25" s="135">
        <f t="shared" ref="AB25:AB29" si="51">AA25*$AA$3</f>
        <v>0</v>
      </c>
      <c r="AC25" s="118"/>
      <c r="AD25" s="135">
        <f t="shared" ref="AD25:AD29" si="52">AC25*$AC$3</f>
        <v>0</v>
      </c>
      <c r="AE25" s="118"/>
      <c r="AF25" s="118">
        <f t="shared" ref="AF25:AF29" si="53">AE25*$AE$3</f>
        <v>0</v>
      </c>
      <c r="AG25" s="123">
        <f t="shared" ref="AG25:AH29" si="54">U25+W25+Y25+AA25+AC25+AE25</f>
        <v>1</v>
      </c>
      <c r="AH25" s="178">
        <f t="shared" si="54"/>
        <v>16099.947702396161</v>
      </c>
      <c r="AI25" s="176">
        <f t="shared" ref="AI25:AJ29" si="55">AI$1+AH25</f>
        <v>18420.978696459893</v>
      </c>
      <c r="AJ25" s="195">
        <f t="shared" si="55"/>
        <v>20816.591006877235</v>
      </c>
      <c r="AK25" s="176">
        <f>AK$1+$W$2</f>
        <v>18136.977515423063</v>
      </c>
      <c r="AL25" s="173">
        <f t="shared" ref="AL25:AL29" si="56">AL$1+AK25*$AK$2+AJ25*$AJ$2</f>
        <v>22861.278487941316</v>
      </c>
      <c r="AM25" s="173">
        <f t="shared" ref="AM25:AM28" si="57">AL25+$AM$1</f>
        <v>24762.402874442312</v>
      </c>
      <c r="AN25" s="173">
        <f t="shared" ref="AN25:AN28" si="58">AL25+$AN$1</f>
        <v>25193.164590508204</v>
      </c>
      <c r="AO25" s="176">
        <f t="shared" ref="AO25:AO29" si="59">AM25</f>
        <v>24762.402874442312</v>
      </c>
      <c r="AP25" s="131">
        <f t="shared" ref="AP25:AP29" si="60">$AP$4*AQ25/1000</f>
        <v>30740</v>
      </c>
      <c r="AQ25" s="131">
        <f>AQ7</f>
        <v>1160</v>
      </c>
      <c r="AR25" s="131">
        <f t="shared" ref="AR25:AR29" si="61">AP25-AO25</f>
        <v>5977.5971255576878</v>
      </c>
      <c r="AS25" s="154">
        <f t="shared" ref="AS25:AS29" si="62">AR25/AP25</f>
        <v>0.19445664038899441</v>
      </c>
      <c r="AU25" s="109">
        <f t="shared" ref="AU25:AU29" si="63">AH25/$AP$4*1000</f>
        <v>607.54519631683627</v>
      </c>
      <c r="AX25" s="148">
        <f t="shared" ref="AX25:BF29" si="64">AH25/$AP$4*1000</f>
        <v>607.54519631683627</v>
      </c>
      <c r="AY25" s="199">
        <f t="shared" si="64"/>
        <v>695.13127156452424</v>
      </c>
      <c r="AZ25" s="199">
        <f t="shared" si="64"/>
        <v>785.53173610857493</v>
      </c>
      <c r="BA25" s="199">
        <f t="shared" si="64"/>
        <v>684.41424586502114</v>
      </c>
      <c r="BB25" s="200">
        <f t="shared" si="64"/>
        <v>862.6897542619364</v>
      </c>
      <c r="BC25" s="200">
        <f t="shared" si="64"/>
        <v>934.4302971487665</v>
      </c>
      <c r="BD25" s="200">
        <f t="shared" si="64"/>
        <v>950.6854562455926</v>
      </c>
      <c r="BE25" s="148">
        <f t="shared" si="64"/>
        <v>934.4302971487665</v>
      </c>
      <c r="BF25" s="201">
        <f t="shared" si="64"/>
        <v>1160</v>
      </c>
      <c r="BG25" s="202">
        <f t="shared" ref="BG25:BG29" si="65">BF25-BE25</f>
        <v>225.5697028512335</v>
      </c>
      <c r="BH25" s="203">
        <f t="shared" ref="BH25:BH29" si="66">BG25/BE25</f>
        <v>0.24139810485545671</v>
      </c>
      <c r="BJ25" s="109">
        <f>'Hảo_R&amp;D (Hạt) (full stage)-Chai'!BE25</f>
        <v>984.98904227054345</v>
      </c>
      <c r="BK25" s="109">
        <f>'Hảo_R&amp;D (Hạt) (full stage)-MN'!BE25</f>
        <v>883.87155202698966</v>
      </c>
      <c r="BL25" s="109">
        <f t="shared" ref="BL25:BL29" si="67">BE25</f>
        <v>934.4302971487665</v>
      </c>
      <c r="BM25" s="131">
        <f>BJ25-BK25</f>
        <v>101.11749024355379</v>
      </c>
      <c r="BO25" s="109">
        <f>'Hảo_R&amp;D (Hạt) (full stage)-Chai'!AO25</f>
        <v>26102.2096201694</v>
      </c>
      <c r="BP25" s="109">
        <f>'Hảo_R&amp;D (Hạt) (full stage)-MN'!AO25</f>
        <v>23422.596128715224</v>
      </c>
      <c r="BQ25" s="109">
        <f t="shared" ref="BQ25:BQ29" si="68">AO25</f>
        <v>24762.402874442312</v>
      </c>
      <c r="BR25" s="131">
        <f t="shared" ref="BR25:BR29" si="69">BO25-BP25</f>
        <v>2679.6134914541763</v>
      </c>
    </row>
    <row r="26" spans="20:78" x14ac:dyDescent="0.35">
      <c r="T26" s="181" t="s">
        <v>370</v>
      </c>
      <c r="U26" s="119">
        <v>0.55000000000000004</v>
      </c>
      <c r="V26" s="135">
        <f t="shared" si="48"/>
        <v>8112.4712363178887</v>
      </c>
      <c r="W26" s="119">
        <v>0.3</v>
      </c>
      <c r="X26" s="135">
        <f t="shared" si="49"/>
        <v>4874.9843107188481</v>
      </c>
      <c r="Y26" s="119">
        <v>0.15</v>
      </c>
      <c r="Z26" s="135">
        <f t="shared" si="50"/>
        <v>2212.492155359424</v>
      </c>
      <c r="AA26" s="118"/>
      <c r="AB26" s="135">
        <f t="shared" si="51"/>
        <v>0</v>
      </c>
      <c r="AC26" s="118"/>
      <c r="AD26" s="135">
        <f t="shared" si="52"/>
        <v>0</v>
      </c>
      <c r="AE26" s="118"/>
      <c r="AF26" s="118">
        <f t="shared" si="53"/>
        <v>0</v>
      </c>
      <c r="AG26" s="123">
        <f t="shared" si="54"/>
        <v>1</v>
      </c>
      <c r="AH26" s="178">
        <f t="shared" si="54"/>
        <v>15199.947702396163</v>
      </c>
      <c r="AI26" s="176">
        <f t="shared" si="55"/>
        <v>17520.978696459897</v>
      </c>
      <c r="AJ26" s="195">
        <f t="shared" si="55"/>
        <v>19916.591006877239</v>
      </c>
      <c r="AK26" s="176">
        <f t="shared" ref="AK26:AK29" si="70">AK$1+$W$2</f>
        <v>18136.977515423063</v>
      </c>
      <c r="AL26" s="173">
        <f t="shared" si="56"/>
        <v>22411.278487941316</v>
      </c>
      <c r="AM26" s="173">
        <f t="shared" si="57"/>
        <v>24312.402874442312</v>
      </c>
      <c r="AN26" s="173">
        <f t="shared" si="58"/>
        <v>24743.164590508204</v>
      </c>
      <c r="AO26" s="176">
        <f t="shared" si="59"/>
        <v>24312.402874442312</v>
      </c>
      <c r="AP26" s="131">
        <f t="shared" si="60"/>
        <v>28885</v>
      </c>
      <c r="AQ26" s="131">
        <f>AQ7-70</f>
        <v>1090</v>
      </c>
      <c r="AR26" s="131">
        <f t="shared" si="61"/>
        <v>4572.5971255576878</v>
      </c>
      <c r="AS26" s="154">
        <f t="shared" si="62"/>
        <v>0.15830351828138092</v>
      </c>
      <c r="AU26" s="109">
        <f t="shared" si="63"/>
        <v>573.582932165893</v>
      </c>
      <c r="AX26" s="148">
        <f t="shared" si="64"/>
        <v>573.582932165893</v>
      </c>
      <c r="AY26" s="199">
        <f t="shared" si="64"/>
        <v>661.16900741358097</v>
      </c>
      <c r="AZ26" s="199">
        <f t="shared" si="64"/>
        <v>751.56947195763166</v>
      </c>
      <c r="BA26" s="199">
        <f t="shared" si="64"/>
        <v>684.41424586502114</v>
      </c>
      <c r="BB26" s="200">
        <f t="shared" si="64"/>
        <v>845.70862218646471</v>
      </c>
      <c r="BC26" s="200">
        <f t="shared" si="64"/>
        <v>917.44916507329481</v>
      </c>
      <c r="BD26" s="200">
        <f t="shared" si="64"/>
        <v>933.70432417012091</v>
      </c>
      <c r="BE26" s="148">
        <f t="shared" si="64"/>
        <v>917.44916507329481</v>
      </c>
      <c r="BF26" s="201">
        <f t="shared" si="64"/>
        <v>1090</v>
      </c>
      <c r="BG26" s="202">
        <f t="shared" si="65"/>
        <v>172.55083492670519</v>
      </c>
      <c r="BH26" s="203">
        <f t="shared" si="66"/>
        <v>0.18807672566023878</v>
      </c>
      <c r="BJ26" s="109">
        <f>'Hảo_R&amp;D (Hạt) (full stage)-Chai'!BE26</f>
        <v>951.02677811960007</v>
      </c>
      <c r="BK26" s="109">
        <f>'Hảo_R&amp;D (Hạt) (full stage)-MN'!BE26</f>
        <v>883.87155202698966</v>
      </c>
      <c r="BL26" s="109">
        <f t="shared" si="67"/>
        <v>917.44916507329481</v>
      </c>
      <c r="BM26" s="131">
        <f t="shared" ref="BM26:BM29" si="71">BJ26-BK26</f>
        <v>67.155226092610405</v>
      </c>
      <c r="BO26" s="109">
        <f>'Hảo_R&amp;D (Hạt) (full stage)-Chai'!AO26</f>
        <v>25202.2096201694</v>
      </c>
      <c r="BP26" s="109">
        <f>'Hảo_R&amp;D (Hạt) (full stage)-MN'!AO26</f>
        <v>23422.596128715224</v>
      </c>
      <c r="BQ26" s="109">
        <f t="shared" si="68"/>
        <v>24312.402874442312</v>
      </c>
      <c r="BR26" s="131">
        <f t="shared" si="69"/>
        <v>1779.6134914541763</v>
      </c>
      <c r="BT26" s="183">
        <v>1074</v>
      </c>
      <c r="BU26" t="s">
        <v>458</v>
      </c>
      <c r="BV26" t="s">
        <v>459</v>
      </c>
      <c r="BW26" t="s">
        <v>460</v>
      </c>
      <c r="BY26" t="s">
        <v>465</v>
      </c>
      <c r="BZ26" t="s">
        <v>466</v>
      </c>
    </row>
    <row r="27" spans="20:78" x14ac:dyDescent="0.35">
      <c r="T27" s="118" t="s">
        <v>386</v>
      </c>
      <c r="U27" s="118"/>
      <c r="V27" s="135">
        <f t="shared" si="48"/>
        <v>0</v>
      </c>
      <c r="W27" s="119">
        <v>0.4</v>
      </c>
      <c r="X27" s="135">
        <f t="shared" si="49"/>
        <v>6499.9790809584647</v>
      </c>
      <c r="Y27" s="118"/>
      <c r="Z27" s="135">
        <f t="shared" si="50"/>
        <v>0</v>
      </c>
      <c r="AA27" s="119">
        <v>0.5</v>
      </c>
      <c r="AB27" s="135">
        <f t="shared" si="51"/>
        <v>6624.9738511980804</v>
      </c>
      <c r="AC27" s="119">
        <v>0.1</v>
      </c>
      <c r="AD27" s="135">
        <f t="shared" si="52"/>
        <v>922.09621951497854</v>
      </c>
      <c r="AE27" s="118"/>
      <c r="AF27" s="118">
        <f t="shared" si="53"/>
        <v>0</v>
      </c>
      <c r="AG27" s="123">
        <f t="shared" si="54"/>
        <v>1</v>
      </c>
      <c r="AH27" s="178">
        <f t="shared" si="54"/>
        <v>14047.049151671525</v>
      </c>
      <c r="AI27" s="176">
        <f t="shared" si="55"/>
        <v>16368.080145735257</v>
      </c>
      <c r="AJ27" s="195">
        <f t="shared" si="55"/>
        <v>18763.692456152599</v>
      </c>
      <c r="AK27" s="176">
        <f t="shared" si="70"/>
        <v>18136.977515423063</v>
      </c>
      <c r="AL27" s="173">
        <f t="shared" si="56"/>
        <v>21834.829212578996</v>
      </c>
      <c r="AM27" s="173">
        <f t="shared" si="57"/>
        <v>23735.953599079992</v>
      </c>
      <c r="AN27" s="173">
        <f t="shared" si="58"/>
        <v>24166.715315145884</v>
      </c>
      <c r="AO27" s="176">
        <f t="shared" si="59"/>
        <v>23735.953599079992</v>
      </c>
      <c r="AP27" s="131">
        <f t="shared" si="60"/>
        <v>30740</v>
      </c>
      <c r="AQ27" s="131">
        <f>AQ7</f>
        <v>1160</v>
      </c>
      <c r="AR27" s="131">
        <f t="shared" si="61"/>
        <v>7004.0464009200077</v>
      </c>
      <c r="AS27" s="154">
        <f t="shared" si="62"/>
        <v>0.22784796359531581</v>
      </c>
      <c r="AU27" s="109">
        <f t="shared" si="63"/>
        <v>530.07732647817079</v>
      </c>
      <c r="AX27" s="148">
        <f t="shared" si="64"/>
        <v>530.07732647817079</v>
      </c>
      <c r="AY27" s="199">
        <f t="shared" si="64"/>
        <v>617.66340172585876</v>
      </c>
      <c r="AZ27" s="199">
        <f t="shared" si="64"/>
        <v>708.06386626990934</v>
      </c>
      <c r="BA27" s="199">
        <f t="shared" si="64"/>
        <v>684.41424586502114</v>
      </c>
      <c r="BB27" s="200">
        <f t="shared" si="64"/>
        <v>823.9558193426036</v>
      </c>
      <c r="BC27" s="200">
        <f t="shared" si="64"/>
        <v>895.6963622294337</v>
      </c>
      <c r="BD27" s="200">
        <f t="shared" si="64"/>
        <v>911.95152132625981</v>
      </c>
      <c r="BE27" s="148">
        <f t="shared" si="64"/>
        <v>895.6963622294337</v>
      </c>
      <c r="BF27" s="201">
        <f t="shared" si="64"/>
        <v>1160</v>
      </c>
      <c r="BG27" s="202">
        <f t="shared" si="65"/>
        <v>264.3036377705663</v>
      </c>
      <c r="BH27" s="203">
        <f t="shared" si="66"/>
        <v>0.29508173630704621</v>
      </c>
      <c r="BJ27" s="109">
        <f>'Hảo_R&amp;D (Hạt) (full stage)-Chai'!BE27</f>
        <v>907.52117243187774</v>
      </c>
      <c r="BK27" s="109">
        <f>'Hảo_R&amp;D (Hạt) (full stage)-MN'!BE27</f>
        <v>883.87155202698966</v>
      </c>
      <c r="BL27" s="109">
        <f t="shared" si="67"/>
        <v>895.6963622294337</v>
      </c>
      <c r="BM27" s="131">
        <f t="shared" si="71"/>
        <v>23.649620404888083</v>
      </c>
      <c r="BO27" s="109">
        <f>'Hảo_R&amp;D (Hạt) (full stage)-Chai'!AO27</f>
        <v>24049.311069444761</v>
      </c>
      <c r="BP27" s="109">
        <f>'Hảo_R&amp;D (Hạt) (full stage)-MN'!AO27</f>
        <v>23422.596128715224</v>
      </c>
      <c r="BQ27" s="109">
        <f t="shared" si="68"/>
        <v>23735.953599079992</v>
      </c>
      <c r="BR27" s="131">
        <f t="shared" si="69"/>
        <v>626.71494072953647</v>
      </c>
    </row>
    <row r="28" spans="20:78" x14ac:dyDescent="0.35">
      <c r="T28" s="181" t="s">
        <v>371</v>
      </c>
      <c r="U28" s="119">
        <v>0.95</v>
      </c>
      <c r="V28" s="135">
        <f t="shared" si="48"/>
        <v>14012.450317276353</v>
      </c>
      <c r="W28" s="118"/>
      <c r="X28" s="135">
        <f t="shared" si="49"/>
        <v>0</v>
      </c>
      <c r="Y28" s="118"/>
      <c r="Z28" s="135">
        <f t="shared" si="50"/>
        <v>0</v>
      </c>
      <c r="AA28" s="119">
        <v>0.05</v>
      </c>
      <c r="AB28" s="135">
        <f t="shared" si="51"/>
        <v>662.49738511980809</v>
      </c>
      <c r="AC28" s="118"/>
      <c r="AD28" s="135">
        <f t="shared" si="52"/>
        <v>0</v>
      </c>
      <c r="AE28" s="118"/>
      <c r="AF28" s="118">
        <f t="shared" si="53"/>
        <v>0</v>
      </c>
      <c r="AG28" s="123">
        <f t="shared" si="54"/>
        <v>1</v>
      </c>
      <c r="AH28" s="178">
        <f t="shared" si="54"/>
        <v>14674.947702396161</v>
      </c>
      <c r="AI28" s="176">
        <f t="shared" si="55"/>
        <v>16995.978696459893</v>
      </c>
      <c r="AJ28" s="195">
        <f t="shared" si="55"/>
        <v>19391.591006877235</v>
      </c>
      <c r="AK28" s="176">
        <f t="shared" si="70"/>
        <v>18136.977515423063</v>
      </c>
      <c r="AL28" s="173">
        <f t="shared" si="56"/>
        <v>22148.778487941316</v>
      </c>
      <c r="AM28" s="173">
        <f t="shared" si="57"/>
        <v>24049.902874442312</v>
      </c>
      <c r="AN28" s="173">
        <f t="shared" si="58"/>
        <v>24480.664590508204</v>
      </c>
      <c r="AO28" s="176">
        <f t="shared" si="59"/>
        <v>24049.902874442312</v>
      </c>
      <c r="AP28" s="131">
        <f t="shared" si="60"/>
        <v>19080</v>
      </c>
      <c r="AQ28" s="131">
        <f>AQ10</f>
        <v>720</v>
      </c>
      <c r="AR28" s="131">
        <f t="shared" si="61"/>
        <v>-4969.9028744423122</v>
      </c>
      <c r="AS28" s="154">
        <f t="shared" si="62"/>
        <v>-0.26047708985546708</v>
      </c>
      <c r="AU28" s="109">
        <f t="shared" si="63"/>
        <v>553.77161141117597</v>
      </c>
      <c r="AX28" s="148">
        <f t="shared" si="64"/>
        <v>553.77161141117597</v>
      </c>
      <c r="AY28" s="199">
        <f t="shared" si="64"/>
        <v>641.35768665886394</v>
      </c>
      <c r="AZ28" s="199">
        <f t="shared" si="64"/>
        <v>731.75815120291452</v>
      </c>
      <c r="BA28" s="199">
        <f t="shared" si="64"/>
        <v>684.41424586502114</v>
      </c>
      <c r="BB28" s="200">
        <f t="shared" si="64"/>
        <v>835.80296180910625</v>
      </c>
      <c r="BC28" s="200">
        <f t="shared" si="64"/>
        <v>907.54350469593624</v>
      </c>
      <c r="BD28" s="200">
        <f t="shared" si="64"/>
        <v>923.79866379276245</v>
      </c>
      <c r="BE28" s="148">
        <f t="shared" si="64"/>
        <v>907.54350469593624</v>
      </c>
      <c r="BF28" s="201">
        <f t="shared" si="64"/>
        <v>720</v>
      </c>
      <c r="BG28" s="202">
        <f t="shared" si="65"/>
        <v>-187.54350469593624</v>
      </c>
      <c r="BH28" s="203">
        <f t="shared" si="66"/>
        <v>-0.20664960271934391</v>
      </c>
      <c r="BJ28" s="109">
        <f>'Hảo_R&amp;D (Hạt) (full stage)-Chai'!BE28</f>
        <v>931.21545736488304</v>
      </c>
      <c r="BK28" s="109">
        <f>'Hảo_R&amp;D (Hạt) (full stage)-MN'!BE28</f>
        <v>883.87155202698966</v>
      </c>
      <c r="BL28" s="109">
        <f t="shared" si="67"/>
        <v>907.54350469593624</v>
      </c>
      <c r="BM28" s="131">
        <f t="shared" si="71"/>
        <v>47.343905337893375</v>
      </c>
      <c r="BO28" s="109">
        <f>'Hảo_R&amp;D (Hạt) (full stage)-Chai'!AO28</f>
        <v>24677.2096201694</v>
      </c>
      <c r="BP28" s="109">
        <f>'Hảo_R&amp;D (Hạt) (full stage)-MN'!AO28</f>
        <v>23422.596128715224</v>
      </c>
      <c r="BQ28" s="109">
        <f t="shared" si="68"/>
        <v>24049.902874442312</v>
      </c>
      <c r="BR28" s="131">
        <f t="shared" si="69"/>
        <v>1254.6134914541763</v>
      </c>
      <c r="BU28" s="180" t="s">
        <v>462</v>
      </c>
      <c r="BV28" t="s">
        <v>461</v>
      </c>
      <c r="BW28" s="182" t="s">
        <v>463</v>
      </c>
    </row>
    <row r="29" spans="20:78" x14ac:dyDescent="0.35">
      <c r="T29" s="118" t="s">
        <v>373</v>
      </c>
      <c r="U29" s="119">
        <v>0.65</v>
      </c>
      <c r="V29" s="135">
        <f t="shared" si="48"/>
        <v>9587.4660065575044</v>
      </c>
      <c r="W29" s="119">
        <v>0.15</v>
      </c>
      <c r="X29" s="135">
        <f t="shared" si="49"/>
        <v>2437.492155359424</v>
      </c>
      <c r="Y29" s="118"/>
      <c r="Z29" s="135">
        <f t="shared" si="50"/>
        <v>0</v>
      </c>
      <c r="AA29" s="119">
        <v>0.2</v>
      </c>
      <c r="AB29" s="135">
        <f t="shared" si="51"/>
        <v>2649.9895404792323</v>
      </c>
      <c r="AC29" s="118"/>
      <c r="AD29" s="135">
        <f t="shared" si="52"/>
        <v>0</v>
      </c>
      <c r="AE29" s="118"/>
      <c r="AF29" s="118">
        <f t="shared" si="53"/>
        <v>0</v>
      </c>
      <c r="AG29" s="123">
        <f t="shared" si="54"/>
        <v>1</v>
      </c>
      <c r="AH29" s="178">
        <f t="shared" si="54"/>
        <v>14674.947702396163</v>
      </c>
      <c r="AI29" s="176">
        <f t="shared" si="55"/>
        <v>16995.978696459897</v>
      </c>
      <c r="AJ29" s="195">
        <f t="shared" si="55"/>
        <v>19391.591006877239</v>
      </c>
      <c r="AK29" s="176">
        <f t="shared" si="70"/>
        <v>18136.977515423063</v>
      </c>
      <c r="AL29" s="173">
        <f t="shared" si="56"/>
        <v>22148.778487941316</v>
      </c>
      <c r="AM29" s="173">
        <f>AL29</f>
        <v>22148.778487941316</v>
      </c>
      <c r="AN29" s="173">
        <f>AM29</f>
        <v>22148.778487941316</v>
      </c>
      <c r="AO29" s="176">
        <f t="shared" si="59"/>
        <v>22148.778487941316</v>
      </c>
      <c r="AP29" s="131">
        <f t="shared" si="60"/>
        <v>19080</v>
      </c>
      <c r="AQ29" s="198">
        <v>720</v>
      </c>
      <c r="AR29" s="131">
        <f t="shared" si="61"/>
        <v>-3068.7784879413157</v>
      </c>
      <c r="AS29" s="154">
        <f t="shared" si="62"/>
        <v>-0.16083744695709201</v>
      </c>
      <c r="AU29" s="109">
        <f t="shared" si="63"/>
        <v>553.77161141117597</v>
      </c>
      <c r="AX29" s="148">
        <f t="shared" si="64"/>
        <v>553.77161141117597</v>
      </c>
      <c r="AY29" s="199">
        <f t="shared" si="64"/>
        <v>641.35768665886405</v>
      </c>
      <c r="AZ29" s="199">
        <f t="shared" si="64"/>
        <v>731.75815120291463</v>
      </c>
      <c r="BA29" s="199">
        <f t="shared" si="64"/>
        <v>684.41424586502114</v>
      </c>
      <c r="BB29" s="200">
        <f t="shared" si="64"/>
        <v>835.80296180910625</v>
      </c>
      <c r="BC29" s="200">
        <f t="shared" si="64"/>
        <v>835.80296180910625</v>
      </c>
      <c r="BD29" s="200">
        <f t="shared" si="64"/>
        <v>835.80296180910625</v>
      </c>
      <c r="BE29" s="148">
        <f t="shared" si="64"/>
        <v>835.80296180910625</v>
      </c>
      <c r="BF29" s="201">
        <f t="shared" si="64"/>
        <v>720</v>
      </c>
      <c r="BG29" s="202">
        <f t="shared" si="65"/>
        <v>-115.80296180910625</v>
      </c>
      <c r="BH29" s="203">
        <f t="shared" si="66"/>
        <v>-0.13855294501284041</v>
      </c>
      <c r="BJ29" s="109">
        <f>'Hảo_R&amp;D (Hạt) (full stage)-Chai'!BE29</f>
        <v>731.75815120291463</v>
      </c>
      <c r="BK29" s="109">
        <f>'Hảo_R&amp;D (Hạt) (full stage)-MN'!BE29</f>
        <v>731.75815120291463</v>
      </c>
      <c r="BL29" s="109">
        <f t="shared" si="67"/>
        <v>835.80296180910625</v>
      </c>
      <c r="BM29" s="131">
        <f t="shared" si="71"/>
        <v>0</v>
      </c>
      <c r="BO29" s="109">
        <f>'Hảo_R&amp;D (Hạt) (full stage)-Chai'!AO29</f>
        <v>19391.591006877239</v>
      </c>
      <c r="BP29" s="109">
        <f>'Hảo_R&amp;D (Hạt) (full stage)-MN'!AO29</f>
        <v>19391.591006877239</v>
      </c>
      <c r="BQ29" s="109">
        <f t="shared" si="68"/>
        <v>22148.778487941316</v>
      </c>
      <c r="BR29" s="131">
        <f t="shared" si="69"/>
        <v>0</v>
      </c>
      <c r="BS29" s="131">
        <f>AQ29-AU29</f>
        <v>166.22838858882403</v>
      </c>
      <c r="BT29" s="186">
        <f>BS29/AQ29</f>
        <v>0.23087276192892225</v>
      </c>
    </row>
    <row r="30" spans="20:78" x14ac:dyDescent="0.35">
      <c r="AJ30" s="192"/>
    </row>
    <row r="31" spans="20:78" x14ac:dyDescent="0.35">
      <c r="AJ31" s="192"/>
    </row>
    <row r="32" spans="20:78" x14ac:dyDescent="0.35">
      <c r="T32" s="120" t="s">
        <v>389</v>
      </c>
      <c r="AG32" s="127">
        <v>0.02</v>
      </c>
      <c r="AJ32" s="192"/>
    </row>
    <row r="33" spans="20:70" x14ac:dyDescent="0.35">
      <c r="T33" s="118" t="s">
        <v>381</v>
      </c>
      <c r="U33" s="118"/>
      <c r="V33" s="118">
        <f t="shared" ref="V33" si="72">U33*$U$3</f>
        <v>0</v>
      </c>
      <c r="W33" s="118"/>
      <c r="X33" s="118">
        <f>W33*$W$3</f>
        <v>0</v>
      </c>
      <c r="Y33" s="118"/>
      <c r="Z33" s="118">
        <f>Y33*$Y$3</f>
        <v>0</v>
      </c>
      <c r="AA33" s="118"/>
      <c r="AB33" s="118"/>
      <c r="AC33" s="118"/>
      <c r="AD33" s="118">
        <f t="shared" ref="AD33" si="73">AC33*$AC$3</f>
        <v>0</v>
      </c>
      <c r="AE33" s="119">
        <v>1</v>
      </c>
      <c r="AF33" s="135">
        <f>AE33*$AE$3</f>
        <v>13249.947702396161</v>
      </c>
      <c r="AG33" s="123">
        <f>U33+W33+Y33+AA33+AC33+AE33</f>
        <v>1</v>
      </c>
      <c r="AH33" s="178">
        <f>V33+X33+Z33+AB33+AD33+AF33</f>
        <v>13249.947702396161</v>
      </c>
      <c r="AI33" s="176">
        <f>AI$1+AH33</f>
        <v>15570.978696459893</v>
      </c>
      <c r="AJ33" s="195">
        <f t="shared" ref="AJ33" si="74">AJ$1+AI33</f>
        <v>17966.591006877235</v>
      </c>
      <c r="AK33" s="176">
        <f>AK$1+$W$2</f>
        <v>18136.977515423063</v>
      </c>
      <c r="AL33" s="173">
        <f t="shared" ref="AL33" si="75">AL$1+AK33*$AK$2+AJ33*$AJ$2</f>
        <v>21436.278487941316</v>
      </c>
      <c r="AM33" s="173">
        <f t="shared" ref="AM33" si="76">AL33+$AM$1</f>
        <v>23337.402874442312</v>
      </c>
      <c r="AN33" s="173">
        <f t="shared" ref="AN33" si="77">AL33+$AN$1</f>
        <v>23768.164590508204</v>
      </c>
      <c r="AO33" s="176">
        <f t="shared" ref="AO33" si="78">AM33</f>
        <v>23337.402874442312</v>
      </c>
      <c r="AP33" s="131">
        <f t="shared" ref="AP33" si="79">$AP$4*AQ33/1000</f>
        <v>19000.5</v>
      </c>
      <c r="AQ33" s="131">
        <v>717</v>
      </c>
      <c r="AR33" s="131">
        <f t="shared" ref="AR33" si="80">AP33-AO33</f>
        <v>-4336.9028744423122</v>
      </c>
      <c r="AS33" s="154">
        <f t="shared" ref="AS33" si="81">AR33/AP33</f>
        <v>-0.22825203939066405</v>
      </c>
      <c r="AX33" s="148">
        <f t="shared" ref="AX33:BF33" si="82">AH33/$AP$4*1000</f>
        <v>499.9980265055155</v>
      </c>
      <c r="AY33" s="199">
        <f t="shared" si="82"/>
        <v>587.58410175320353</v>
      </c>
      <c r="AZ33" s="199">
        <f t="shared" si="82"/>
        <v>677.9845662972541</v>
      </c>
      <c r="BA33" s="199">
        <f t="shared" si="82"/>
        <v>684.41424586502114</v>
      </c>
      <c r="BB33" s="200">
        <f t="shared" si="82"/>
        <v>808.9161693562761</v>
      </c>
      <c r="BC33" s="200">
        <f t="shared" si="82"/>
        <v>880.6567122431062</v>
      </c>
      <c r="BD33" s="200">
        <f t="shared" si="82"/>
        <v>896.91187133993219</v>
      </c>
      <c r="BE33" s="148">
        <f t="shared" si="82"/>
        <v>880.6567122431062</v>
      </c>
      <c r="BF33" s="201">
        <f t="shared" si="82"/>
        <v>717</v>
      </c>
      <c r="BG33" s="202">
        <f t="shared" ref="BG33" si="83">BF33-BE33</f>
        <v>-163.6567122431062</v>
      </c>
      <c r="BH33" s="203">
        <f t="shared" ref="BH33" si="84">BG33/BE33</f>
        <v>-0.18583485479405351</v>
      </c>
      <c r="BJ33" s="109">
        <f>'Hảo_R&amp;D (Hạt) (full stage)-Chai'!BE33</f>
        <v>877.44187245922262</v>
      </c>
      <c r="BK33" s="109">
        <f>'Hảo_R&amp;D (Hạt) (full stage)-MN'!BE33</f>
        <v>883.87155202698966</v>
      </c>
      <c r="BL33" s="109">
        <f t="shared" ref="BL33" si="85">BE33</f>
        <v>880.6567122431062</v>
      </c>
      <c r="BM33" s="131">
        <f>BJ33-BK33</f>
        <v>-6.4296795677670389</v>
      </c>
      <c r="BO33" s="109">
        <f>'Hảo_R&amp;D (Hạt) (full stage)-Chai'!AO33</f>
        <v>23252.2096201694</v>
      </c>
      <c r="BP33" s="109">
        <f>'Hảo_R&amp;D (Hạt) (full stage)-MN'!AO33</f>
        <v>23422.596128715224</v>
      </c>
      <c r="BQ33" s="109">
        <f>AO33</f>
        <v>23337.402874442312</v>
      </c>
      <c r="BR33" s="131">
        <f>BO33-BP33</f>
        <v>-170.38650854582374</v>
      </c>
    </row>
    <row r="35" spans="20:70" x14ac:dyDescent="0.35">
      <c r="AE35" s="148">
        <f>'Giá mua Chai-Vảy'!O40</f>
        <v>8000</v>
      </c>
    </row>
    <row r="36" spans="20:70" x14ac:dyDescent="0.35">
      <c r="T36" s="120" t="s">
        <v>447</v>
      </c>
      <c r="AG36" s="127">
        <v>0.01</v>
      </c>
      <c r="AH36" s="122"/>
      <c r="AI36"/>
      <c r="AJ36"/>
    </row>
    <row r="37" spans="20:70" x14ac:dyDescent="0.35">
      <c r="T37" s="118" t="s">
        <v>477</v>
      </c>
      <c r="U37" s="118"/>
      <c r="V37" s="118">
        <f t="shared" ref="V37" si="86">U37*$U$3</f>
        <v>0</v>
      </c>
      <c r="W37" s="118"/>
      <c r="X37" s="118">
        <f>W37*$W$3</f>
        <v>0</v>
      </c>
      <c r="Y37" s="118"/>
      <c r="Z37" s="118">
        <f>Y37*$Y$3</f>
        <v>0</v>
      </c>
      <c r="AA37" s="118"/>
      <c r="AB37" s="118"/>
      <c r="AC37" s="118"/>
      <c r="AD37" s="118">
        <f t="shared" ref="AD37" si="87">AC37*$AC$3</f>
        <v>0</v>
      </c>
      <c r="AE37" s="119">
        <v>1</v>
      </c>
      <c r="AF37" s="135">
        <f>AE37*$AE$35</f>
        <v>8000</v>
      </c>
      <c r="AG37" s="123">
        <f>U37+W37+Y37+AA37+AC37+AE37</f>
        <v>1</v>
      </c>
      <c r="AH37" s="178">
        <f>V37+X37+Z37+AB37+AD37+AF37</f>
        <v>8000</v>
      </c>
      <c r="AI37" s="176">
        <f>AI$1+AH37</f>
        <v>10321.030994063734</v>
      </c>
      <c r="AJ37" s="195">
        <f t="shared" ref="AJ37" si="88">AJ$1+AI37</f>
        <v>12716.643304481076</v>
      </c>
      <c r="AK37" s="176">
        <f>AK$1+$W$2</f>
        <v>18136.977515423063</v>
      </c>
      <c r="AL37" s="173">
        <f t="shared" ref="AL37" si="89">AL$1+AK37*$AK$2+AJ37*$AJ$2</f>
        <v>18811.304636743236</v>
      </c>
      <c r="AM37" s="173">
        <f t="shared" ref="AM37" si="90">AL37+$AM$1</f>
        <v>20712.429023244233</v>
      </c>
      <c r="AN37" s="173">
        <f t="shared" ref="AN37" si="91">AL37+$AN$1</f>
        <v>21143.190739310125</v>
      </c>
      <c r="AO37" s="176">
        <f t="shared" ref="AO37" si="92">AM37</f>
        <v>20712.429023244233</v>
      </c>
      <c r="AP37" s="131">
        <f t="shared" ref="AP37" si="93">$AP$4*AQ37/1000</f>
        <v>19000.5</v>
      </c>
      <c r="AQ37" s="131">
        <v>717</v>
      </c>
      <c r="AR37" s="131">
        <f t="shared" ref="AR37" si="94">AP37-AO37</f>
        <v>-1711.9290232442327</v>
      </c>
      <c r="AS37" s="154">
        <f t="shared" ref="AS37" si="95">AR37/AP37</f>
        <v>-9.0099156508735706E-2</v>
      </c>
      <c r="AX37" s="148">
        <f t="shared" ref="AX37" si="96">AH37/$AP$4*1000</f>
        <v>301.88679245283015</v>
      </c>
      <c r="AY37" s="199">
        <f t="shared" ref="AY37" si="97">AI37/$AP$4*1000</f>
        <v>389.47286770051824</v>
      </c>
      <c r="AZ37" s="199">
        <f t="shared" ref="AZ37" si="98">AJ37/$AP$4*1000</f>
        <v>479.87333224456893</v>
      </c>
      <c r="BA37" s="199">
        <f t="shared" ref="BA37" si="99">AK37/$AP$4*1000</f>
        <v>684.41424586502114</v>
      </c>
      <c r="BB37" s="200">
        <f t="shared" ref="BB37" si="100">AL37/$AP$4*1000</f>
        <v>709.8605523299334</v>
      </c>
      <c r="BC37" s="200">
        <f t="shared" ref="BC37" si="101">AM37/$AP$4*1000</f>
        <v>781.6010952167635</v>
      </c>
      <c r="BD37" s="200">
        <f t="shared" ref="BD37" si="102">AN37/$AP$4*1000</f>
        <v>797.8562543135896</v>
      </c>
      <c r="BE37" s="148">
        <f t="shared" ref="BE37" si="103">AO37/$AP$4*1000</f>
        <v>781.6010952167635</v>
      </c>
      <c r="BF37" s="201">
        <f t="shared" ref="BF37" si="104">AP37/$AP$4*1000</f>
        <v>717</v>
      </c>
      <c r="BG37" s="202">
        <f t="shared" ref="BG37" si="105">BF37-BE37</f>
        <v>-64.601095216763497</v>
      </c>
      <c r="BH37" s="203">
        <f t="shared" ref="BH37" si="106">BG37/BE37</f>
        <v>-8.2652257797626943E-2</v>
      </c>
      <c r="BJ37" s="109">
        <f>'Hảo_R&amp;D (Hạt) (full stage)-Chai'!BE37</f>
        <v>781.6010952167635</v>
      </c>
      <c r="BK37" s="109">
        <f>'Hảo_R&amp;D (Hạt) (full stage)-MN'!BE37</f>
        <v>781.6010952167635</v>
      </c>
      <c r="BL37" s="109">
        <f t="shared" ref="BL37" si="107">BE37</f>
        <v>781.6010952167635</v>
      </c>
      <c r="BM37" s="131">
        <f>BJ37-BK37</f>
        <v>0</v>
      </c>
      <c r="BO37" s="109">
        <f>'Hảo_R&amp;D (Hạt) (full stage)-Chai'!AO37</f>
        <v>20712.429023244233</v>
      </c>
      <c r="BP37" s="109">
        <f>'Hảo_R&amp;D (Hạt) (full stage)-MN'!AO37</f>
        <v>20712.429023244233</v>
      </c>
      <c r="BQ37" s="109">
        <f>AO37</f>
        <v>20712.429023244233</v>
      </c>
      <c r="BR37" s="131">
        <f>BO37-BP37</f>
        <v>0</v>
      </c>
    </row>
  </sheetData>
  <mergeCells count="2">
    <mergeCell ref="AG3:AH3"/>
    <mergeCell ref="AW3:AX3"/>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3876-698B-43F8-9065-DC6FE2F5BFA5}">
  <sheetPr>
    <tabColor theme="5" tint="0.39997558519241921"/>
  </sheetPr>
  <dimension ref="A3:U25"/>
  <sheetViews>
    <sheetView topLeftCell="F1" zoomScale="55" zoomScaleNormal="55" workbookViewId="0">
      <selection activeCell="F19" sqref="F19"/>
    </sheetView>
  </sheetViews>
  <sheetFormatPr defaultRowHeight="14.5" x14ac:dyDescent="0.35"/>
  <cols>
    <col min="2" max="2" width="39.90625" customWidth="1"/>
    <col min="3" max="3" width="8.1796875" customWidth="1"/>
    <col min="4" max="4" width="9.81640625" customWidth="1"/>
    <col min="5" max="5" width="12.1796875" customWidth="1"/>
    <col min="6" max="6" width="10.7265625" customWidth="1"/>
    <col min="8" max="8" width="6.7265625" customWidth="1"/>
    <col min="9" max="9" width="22.08984375" customWidth="1"/>
    <col min="10" max="10" width="6.453125" customWidth="1"/>
    <col min="12" max="12" width="7.36328125" customWidth="1"/>
    <col min="13" max="13" width="14.08984375" customWidth="1"/>
    <col min="14" max="14" width="4.6328125" bestFit="1" customWidth="1"/>
    <col min="15" max="15" width="2.90625" bestFit="1" customWidth="1"/>
    <col min="16" max="16" width="4.453125" bestFit="1" customWidth="1"/>
    <col min="17" max="17" width="13.08984375" customWidth="1"/>
    <col min="18" max="18" width="10" customWidth="1"/>
    <col min="19" max="19" width="5.36328125" bestFit="1" customWidth="1"/>
    <col min="20" max="20" width="7.7265625" bestFit="1" customWidth="1"/>
    <col min="21" max="21" width="5.1796875" bestFit="1" customWidth="1"/>
  </cols>
  <sheetData>
    <row r="3" spans="1:21" ht="29" x14ac:dyDescent="0.35">
      <c r="M3" t="s">
        <v>327</v>
      </c>
      <c r="N3" t="s">
        <v>328</v>
      </c>
      <c r="P3" s="69"/>
      <c r="R3" s="74" t="s">
        <v>336</v>
      </c>
    </row>
    <row r="4" spans="1:21" x14ac:dyDescent="0.35">
      <c r="A4" s="67" t="s">
        <v>47</v>
      </c>
      <c r="D4" s="285" t="s">
        <v>293</v>
      </c>
      <c r="E4" s="286"/>
      <c r="F4" s="286"/>
      <c r="K4" s="68" t="s">
        <v>324</v>
      </c>
      <c r="L4" s="68"/>
      <c r="M4" s="77" t="s">
        <v>48</v>
      </c>
      <c r="N4" t="s">
        <v>6</v>
      </c>
      <c r="O4" t="s">
        <v>326</v>
      </c>
      <c r="P4" s="69">
        <v>0.05</v>
      </c>
      <c r="Q4" s="73" t="s">
        <v>335</v>
      </c>
      <c r="R4" t="s">
        <v>337</v>
      </c>
      <c r="S4" t="s">
        <v>338</v>
      </c>
      <c r="T4" t="s">
        <v>339</v>
      </c>
      <c r="U4" t="s">
        <v>36</v>
      </c>
    </row>
    <row r="5" spans="1:21" x14ac:dyDescent="0.35">
      <c r="D5" t="s">
        <v>323</v>
      </c>
      <c r="E5" t="s">
        <v>321</v>
      </c>
      <c r="F5" t="s">
        <v>322</v>
      </c>
      <c r="N5" t="s">
        <v>10</v>
      </c>
      <c r="O5" t="s">
        <v>326</v>
      </c>
      <c r="P5" s="69">
        <v>0.1</v>
      </c>
    </row>
    <row r="6" spans="1:21" ht="16" x14ac:dyDescent="0.4">
      <c r="A6" s="7" t="s">
        <v>264</v>
      </c>
      <c r="B6" s="8" t="s">
        <v>265</v>
      </c>
      <c r="C6" s="108" t="s">
        <v>361</v>
      </c>
    </row>
    <row r="7" spans="1:21" ht="16" x14ac:dyDescent="0.35">
      <c r="A7" s="89" t="s">
        <v>47</v>
      </c>
      <c r="B7" s="90" t="s">
        <v>266</v>
      </c>
      <c r="C7" s="70"/>
      <c r="M7" s="76" t="s">
        <v>325</v>
      </c>
      <c r="N7" t="s">
        <v>6</v>
      </c>
      <c r="O7" t="s">
        <v>326</v>
      </c>
      <c r="P7" s="69">
        <v>0.05</v>
      </c>
      <c r="Q7" s="73" t="s">
        <v>335</v>
      </c>
      <c r="R7" t="s">
        <v>340</v>
      </c>
      <c r="S7" t="s">
        <v>341</v>
      </c>
      <c r="T7" t="s">
        <v>342</v>
      </c>
    </row>
    <row r="8" spans="1:21" ht="16" x14ac:dyDescent="0.35">
      <c r="A8" s="84" t="s">
        <v>267</v>
      </c>
      <c r="B8" s="96" t="s">
        <v>307</v>
      </c>
      <c r="C8" s="70">
        <v>20</v>
      </c>
      <c r="N8" t="s">
        <v>10</v>
      </c>
      <c r="O8" t="s">
        <v>326</v>
      </c>
      <c r="P8" s="69">
        <v>0.1</v>
      </c>
    </row>
    <row r="9" spans="1:21" ht="16" x14ac:dyDescent="0.35">
      <c r="A9" s="85" t="s">
        <v>51</v>
      </c>
      <c r="B9" s="86" t="s">
        <v>304</v>
      </c>
      <c r="C9" s="70">
        <v>13</v>
      </c>
      <c r="D9">
        <v>560</v>
      </c>
      <c r="E9" s="109">
        <f>D9*1000000/C9</f>
        <v>43076923.07692308</v>
      </c>
      <c r="N9" t="s">
        <v>13</v>
      </c>
      <c r="O9" t="s">
        <v>326</v>
      </c>
      <c r="P9" s="69">
        <v>0.15</v>
      </c>
    </row>
    <row r="10" spans="1:21" ht="16" x14ac:dyDescent="0.35">
      <c r="A10" s="59" t="s">
        <v>52</v>
      </c>
      <c r="B10" s="60" t="s">
        <v>305</v>
      </c>
      <c r="C10" s="70">
        <v>10</v>
      </c>
      <c r="D10">
        <v>8</v>
      </c>
      <c r="E10" s="109">
        <f>D10*1000000/C10</f>
        <v>800000</v>
      </c>
      <c r="F10" s="110">
        <f>E10/($E$10+$E$9)</f>
        <v>1.82328190743338E-2</v>
      </c>
    </row>
    <row r="11" spans="1:21" ht="16" x14ac:dyDescent="0.35">
      <c r="A11" s="87" t="s">
        <v>53</v>
      </c>
      <c r="B11" s="88" t="s">
        <v>308</v>
      </c>
      <c r="C11" s="70"/>
      <c r="F11" s="69">
        <v>0.6</v>
      </c>
      <c r="I11" s="69">
        <v>0.4</v>
      </c>
      <c r="M11" s="81" t="s">
        <v>329</v>
      </c>
    </row>
    <row r="12" spans="1:21" ht="29" x14ac:dyDescent="0.35">
      <c r="A12" s="63" t="s">
        <v>54</v>
      </c>
      <c r="B12" s="64" t="s">
        <v>268</v>
      </c>
      <c r="C12" s="71"/>
      <c r="E12" s="95" t="s">
        <v>356</v>
      </c>
      <c r="G12" s="94" t="s">
        <v>355</v>
      </c>
      <c r="I12" s="93" t="s">
        <v>304</v>
      </c>
      <c r="K12" t="s">
        <v>357</v>
      </c>
    </row>
    <row r="13" spans="1:21" ht="16" x14ac:dyDescent="0.35">
      <c r="A13" s="61" t="s">
        <v>55</v>
      </c>
      <c r="B13" s="62" t="s">
        <v>269</v>
      </c>
      <c r="C13" s="72"/>
      <c r="D13" s="77" t="s">
        <v>330</v>
      </c>
      <c r="E13" s="75" t="s">
        <v>331</v>
      </c>
      <c r="F13" s="65" t="s">
        <v>334</v>
      </c>
      <c r="G13" s="75" t="s">
        <v>53</v>
      </c>
      <c r="H13" s="65" t="s">
        <v>334</v>
      </c>
      <c r="I13" s="75" t="s">
        <v>51</v>
      </c>
      <c r="J13" s="65" t="s">
        <v>334</v>
      </c>
      <c r="K13" s="75" t="s">
        <v>332</v>
      </c>
      <c r="L13" s="65" t="s">
        <v>333</v>
      </c>
      <c r="M13" s="78">
        <v>1</v>
      </c>
      <c r="Q13" s="82" t="s">
        <v>351</v>
      </c>
    </row>
    <row r="14" spans="1:21" ht="58" x14ac:dyDescent="0.35">
      <c r="A14" s="91" t="s">
        <v>270</v>
      </c>
      <c r="B14" s="92" t="s">
        <v>271</v>
      </c>
      <c r="C14" s="70"/>
      <c r="E14" s="287" t="s">
        <v>360</v>
      </c>
      <c r="F14" s="287"/>
      <c r="G14" s="287"/>
      <c r="I14" s="107">
        <v>0.192</v>
      </c>
      <c r="Q14" s="74" t="s">
        <v>350</v>
      </c>
    </row>
    <row r="15" spans="1:21" ht="16" x14ac:dyDescent="0.35">
      <c r="A15" s="9" t="s">
        <v>56</v>
      </c>
      <c r="B15" s="10" t="s">
        <v>352</v>
      </c>
      <c r="C15" s="70"/>
      <c r="D15" s="76" t="s">
        <v>343</v>
      </c>
      <c r="E15" s="75" t="s">
        <v>344</v>
      </c>
      <c r="F15" s="65" t="s">
        <v>334</v>
      </c>
      <c r="G15" s="75" t="s">
        <v>345</v>
      </c>
      <c r="H15" s="65" t="s">
        <v>334</v>
      </c>
      <c r="I15" s="75" t="s">
        <v>346</v>
      </c>
      <c r="J15" s="65" t="s">
        <v>334</v>
      </c>
      <c r="K15" s="75" t="s">
        <v>332</v>
      </c>
      <c r="L15" s="65" t="s">
        <v>333</v>
      </c>
      <c r="M15" s="78">
        <v>1</v>
      </c>
    </row>
    <row r="16" spans="1:21" ht="18" customHeight="1" x14ac:dyDescent="0.35">
      <c r="A16" s="97" t="s">
        <v>57</v>
      </c>
      <c r="B16" s="98" t="s">
        <v>353</v>
      </c>
      <c r="C16" s="70"/>
      <c r="E16" s="79" t="s">
        <v>349</v>
      </c>
      <c r="G16" s="66" t="s">
        <v>348</v>
      </c>
      <c r="I16" s="80" t="s">
        <v>347</v>
      </c>
    </row>
    <row r="17" spans="1:21" ht="16" x14ac:dyDescent="0.35">
      <c r="A17" s="9"/>
      <c r="B17" s="10"/>
      <c r="C17" s="70"/>
      <c r="G17" s="83">
        <f>100-45-15</f>
        <v>40</v>
      </c>
      <c r="Q17">
        <v>1</v>
      </c>
      <c r="R17">
        <v>2</v>
      </c>
      <c r="S17">
        <v>3</v>
      </c>
      <c r="T17">
        <v>4</v>
      </c>
      <c r="U17">
        <v>5</v>
      </c>
    </row>
    <row r="18" spans="1:21" ht="16" x14ac:dyDescent="0.35">
      <c r="A18" s="9"/>
      <c r="B18" s="10"/>
      <c r="C18" s="70"/>
      <c r="Q18" s="111" t="s">
        <v>362</v>
      </c>
      <c r="R18" s="111"/>
      <c r="S18" s="111"/>
      <c r="T18" s="111"/>
      <c r="U18" s="111"/>
    </row>
    <row r="19" spans="1:21" ht="16" x14ac:dyDescent="0.35">
      <c r="A19" s="9"/>
      <c r="B19" s="10"/>
      <c r="Q19" s="112"/>
      <c r="R19" s="111" t="s">
        <v>362</v>
      </c>
      <c r="S19" s="111"/>
      <c r="T19" s="111"/>
      <c r="U19" s="111"/>
    </row>
    <row r="20" spans="1:21" ht="16" x14ac:dyDescent="0.35">
      <c r="A20" s="61" t="s">
        <v>58</v>
      </c>
      <c r="B20" s="62" t="s">
        <v>272</v>
      </c>
      <c r="Q20" s="112" t="s">
        <v>267</v>
      </c>
      <c r="R20" s="112"/>
      <c r="S20" s="111" t="s">
        <v>362</v>
      </c>
      <c r="T20" s="111"/>
      <c r="U20" s="111"/>
    </row>
    <row r="21" spans="1:21" ht="16" x14ac:dyDescent="0.35">
      <c r="A21" s="61" t="s">
        <v>260</v>
      </c>
      <c r="B21" s="62" t="s">
        <v>273</v>
      </c>
      <c r="Q21" s="112" t="s">
        <v>363</v>
      </c>
      <c r="R21" s="112" t="s">
        <v>267</v>
      </c>
      <c r="S21" s="112"/>
      <c r="T21" s="111" t="s">
        <v>362</v>
      </c>
      <c r="U21" s="111"/>
    </row>
    <row r="22" spans="1:21" ht="16" x14ac:dyDescent="0.35">
      <c r="A22" s="61" t="s">
        <v>274</v>
      </c>
      <c r="B22" s="62" t="s">
        <v>275</v>
      </c>
      <c r="Q22" s="112"/>
      <c r="R22" s="112" t="s">
        <v>363</v>
      </c>
      <c r="S22" s="112" t="s">
        <v>267</v>
      </c>
      <c r="T22" s="112"/>
      <c r="U22" s="111" t="s">
        <v>362</v>
      </c>
    </row>
    <row r="23" spans="1:21" ht="16" x14ac:dyDescent="0.35">
      <c r="A23" s="11" t="s">
        <v>276</v>
      </c>
      <c r="B23" s="12" t="s">
        <v>277</v>
      </c>
      <c r="Q23" s="112"/>
      <c r="R23" s="112"/>
      <c r="S23" s="112" t="s">
        <v>363</v>
      </c>
      <c r="T23" s="112" t="s">
        <v>267</v>
      </c>
      <c r="U23" s="112"/>
    </row>
    <row r="24" spans="1:21" x14ac:dyDescent="0.35">
      <c r="Q24" s="112"/>
      <c r="R24" s="112"/>
      <c r="S24" s="112"/>
      <c r="T24" s="112" t="s">
        <v>363</v>
      </c>
      <c r="U24" s="112" t="s">
        <v>267</v>
      </c>
    </row>
    <row r="25" spans="1:21" x14ac:dyDescent="0.35">
      <c r="Q25" s="112"/>
      <c r="R25" s="112"/>
      <c r="S25" s="112"/>
      <c r="T25" s="112"/>
      <c r="U25" s="112" t="s">
        <v>363</v>
      </c>
    </row>
  </sheetData>
  <mergeCells count="2">
    <mergeCell ref="D4:F4"/>
    <mergeCell ref="E14:G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5933F-CBD4-42A1-B656-83854007E63B}">
  <sheetPr>
    <tabColor rgb="FF00B050"/>
  </sheetPr>
  <dimension ref="A1:I82"/>
  <sheetViews>
    <sheetView showGridLines="0" zoomScale="70" zoomScaleNormal="70" workbookViewId="0">
      <pane xSplit="4" ySplit="4" topLeftCell="E12" activePane="bottomRight" state="frozen"/>
      <selection pane="topRight" activeCell="E1" sqref="E1"/>
      <selection pane="bottomLeft" activeCell="A5" sqref="A5"/>
      <selection pane="bottomRight" activeCell="I17" sqref="I17"/>
    </sheetView>
  </sheetViews>
  <sheetFormatPr defaultRowHeight="16" outlineLevelRow="2" x14ac:dyDescent="0.35"/>
  <cols>
    <col min="1" max="1" width="4.54296875" style="1" customWidth="1"/>
    <col min="2" max="2" width="11.81640625" style="3" customWidth="1"/>
    <col min="3" max="3" width="12.26953125" style="49" customWidth="1"/>
    <col min="4" max="4" width="32.36328125" style="45" customWidth="1"/>
    <col min="5" max="5" width="50.7265625" style="4" customWidth="1"/>
    <col min="6" max="6" width="17.6328125" style="1" customWidth="1"/>
    <col min="7" max="7" width="40" style="1" customWidth="1"/>
    <col min="8" max="8" width="45.6328125" style="1" customWidth="1"/>
    <col min="9" max="16384" width="8.7265625" style="1"/>
  </cols>
  <sheetData>
    <row r="1" spans="1:9" x14ac:dyDescent="0.35">
      <c r="F1" s="6"/>
    </row>
    <row r="2" spans="1:9" ht="21" x14ac:dyDescent="0.35">
      <c r="A2" s="56"/>
      <c r="B2" s="57" t="s">
        <v>1</v>
      </c>
      <c r="E2" s="52"/>
      <c r="F2" s="53"/>
      <c r="G2" s="45"/>
      <c r="H2" s="45"/>
    </row>
    <row r="3" spans="1:9" x14ac:dyDescent="0.4">
      <c r="A3" s="45"/>
      <c r="B3" s="49"/>
      <c r="C3" s="50" t="s">
        <v>258</v>
      </c>
      <c r="D3" s="46">
        <v>45985</v>
      </c>
      <c r="E3" s="52"/>
      <c r="F3" s="53"/>
      <c r="G3" s="45"/>
      <c r="H3" s="45"/>
    </row>
    <row r="4" spans="1:9" s="5" customFormat="1" ht="32" x14ac:dyDescent="0.35">
      <c r="A4" s="13" t="s">
        <v>0</v>
      </c>
      <c r="B4" s="13" t="s">
        <v>71</v>
      </c>
      <c r="C4" s="13" t="s">
        <v>72</v>
      </c>
      <c r="D4" s="14" t="s">
        <v>2</v>
      </c>
      <c r="E4" s="15" t="s">
        <v>3</v>
      </c>
      <c r="F4" s="13" t="s">
        <v>256</v>
      </c>
      <c r="G4" s="13" t="s">
        <v>156</v>
      </c>
      <c r="H4" s="13" t="s">
        <v>16</v>
      </c>
    </row>
    <row r="5" spans="1:9" x14ac:dyDescent="0.35">
      <c r="A5" s="51" t="s">
        <v>6</v>
      </c>
      <c r="B5" s="51"/>
      <c r="C5" s="51"/>
      <c r="D5" s="47" t="s">
        <v>7</v>
      </c>
      <c r="E5" s="54"/>
      <c r="F5" s="55"/>
      <c r="G5" s="55"/>
      <c r="H5" s="55"/>
    </row>
    <row r="6" spans="1:9" s="2" customFormat="1" x14ac:dyDescent="0.35">
      <c r="A6" s="16" t="s">
        <v>4</v>
      </c>
      <c r="B6" s="16"/>
      <c r="C6" s="16"/>
      <c r="D6" s="17" t="s">
        <v>8</v>
      </c>
      <c r="E6" s="18"/>
      <c r="F6" s="19"/>
      <c r="G6" s="19"/>
      <c r="H6" s="19"/>
    </row>
    <row r="7" spans="1:9" s="25" customFormat="1" ht="80.5" customHeight="1" outlineLevel="1" x14ac:dyDescent="0.35">
      <c r="A7" s="21">
        <f t="shared" ref="A7:A22" si="0">ROW()-ROW($A$6)</f>
        <v>1</v>
      </c>
      <c r="B7" s="22"/>
      <c r="C7" s="22" t="s">
        <v>47</v>
      </c>
      <c r="D7" s="23" t="s">
        <v>17</v>
      </c>
      <c r="E7" s="20" t="s">
        <v>290</v>
      </c>
      <c r="F7" s="24" t="s">
        <v>279</v>
      </c>
      <c r="G7" s="27" t="s">
        <v>314</v>
      </c>
      <c r="H7" s="23" t="s">
        <v>281</v>
      </c>
    </row>
    <row r="8" spans="1:9" s="25" customFormat="1" ht="80" outlineLevel="1" x14ac:dyDescent="0.35">
      <c r="A8" s="21">
        <f t="shared" si="0"/>
        <v>2</v>
      </c>
      <c r="B8" s="22"/>
      <c r="C8" s="22" t="s">
        <v>47</v>
      </c>
      <c r="D8" s="23" t="s">
        <v>18</v>
      </c>
      <c r="E8" s="20" t="s">
        <v>291</v>
      </c>
      <c r="F8" s="24" t="s">
        <v>279</v>
      </c>
      <c r="G8" s="27" t="s">
        <v>314</v>
      </c>
      <c r="H8" s="24"/>
    </row>
    <row r="9" spans="1:9" s="25" customFormat="1" ht="7.5" hidden="1" customHeight="1" outlineLevel="2" x14ac:dyDescent="0.35">
      <c r="A9" s="21">
        <f t="shared" si="0"/>
        <v>3</v>
      </c>
      <c r="B9" s="22"/>
      <c r="C9" s="22"/>
      <c r="D9" s="23" t="s">
        <v>263</v>
      </c>
      <c r="E9" s="26" t="s">
        <v>280</v>
      </c>
      <c r="F9" s="24"/>
      <c r="G9" s="24"/>
      <c r="H9" s="24"/>
    </row>
    <row r="10" spans="1:9" s="25" customFormat="1" ht="99" customHeight="1" outlineLevel="1" collapsed="1" x14ac:dyDescent="0.35">
      <c r="A10" s="21">
        <f t="shared" si="0"/>
        <v>4</v>
      </c>
      <c r="B10" s="22"/>
      <c r="C10" s="28" t="s">
        <v>283</v>
      </c>
      <c r="D10" s="48" t="s">
        <v>278</v>
      </c>
      <c r="E10" s="20" t="s">
        <v>297</v>
      </c>
      <c r="F10" s="24" t="s">
        <v>279</v>
      </c>
      <c r="G10" s="27" t="s">
        <v>314</v>
      </c>
      <c r="H10" s="27" t="s">
        <v>289</v>
      </c>
    </row>
    <row r="11" spans="1:9" s="25" customFormat="1" ht="80" outlineLevel="1" x14ac:dyDescent="0.35">
      <c r="A11" s="21">
        <f t="shared" si="0"/>
        <v>5</v>
      </c>
      <c r="B11" s="102" t="s">
        <v>20</v>
      </c>
      <c r="C11" s="22" t="s">
        <v>48</v>
      </c>
      <c r="D11" s="48" t="s">
        <v>14</v>
      </c>
      <c r="E11" s="20" t="s">
        <v>306</v>
      </c>
      <c r="F11" s="24" t="s">
        <v>65</v>
      </c>
      <c r="G11" s="27" t="s">
        <v>358</v>
      </c>
      <c r="H11" s="27" t="s">
        <v>288</v>
      </c>
      <c r="I11" s="25" t="s">
        <v>299</v>
      </c>
    </row>
    <row r="12" spans="1:9" s="25" customFormat="1" ht="154.5" customHeight="1" outlineLevel="1" x14ac:dyDescent="0.35">
      <c r="A12" s="21">
        <f t="shared" si="0"/>
        <v>6</v>
      </c>
      <c r="B12" s="22" t="s">
        <v>21</v>
      </c>
      <c r="C12" s="28" t="s">
        <v>282</v>
      </c>
      <c r="D12" s="48" t="s">
        <v>15</v>
      </c>
      <c r="E12" s="20" t="s">
        <v>300</v>
      </c>
      <c r="F12" s="24" t="s">
        <v>65</v>
      </c>
      <c r="G12" s="27" t="s">
        <v>359</v>
      </c>
      <c r="H12" s="23" t="s">
        <v>287</v>
      </c>
    </row>
    <row r="13" spans="1:9" s="25" customFormat="1" ht="96" outlineLevel="1" x14ac:dyDescent="0.35">
      <c r="A13" s="21">
        <f t="shared" si="0"/>
        <v>7</v>
      </c>
      <c r="B13" s="22" t="s">
        <v>49</v>
      </c>
      <c r="C13" s="28" t="s">
        <v>286</v>
      </c>
      <c r="D13" s="58" t="s">
        <v>50</v>
      </c>
      <c r="E13" s="20" t="s">
        <v>298</v>
      </c>
      <c r="F13" s="24" t="s">
        <v>293</v>
      </c>
      <c r="G13" s="27" t="s">
        <v>313</v>
      </c>
      <c r="H13" s="27" t="s">
        <v>354</v>
      </c>
    </row>
    <row r="14" spans="1:9" s="25" customFormat="1" ht="63.5" customHeight="1" outlineLevel="1" x14ac:dyDescent="0.35">
      <c r="A14" s="21">
        <f t="shared" si="0"/>
        <v>8</v>
      </c>
      <c r="B14" s="22">
        <v>150000004</v>
      </c>
      <c r="C14" s="22" t="s">
        <v>51</v>
      </c>
      <c r="D14" s="48" t="s">
        <v>23</v>
      </c>
      <c r="E14" s="20" t="s">
        <v>292</v>
      </c>
      <c r="F14" s="24" t="s">
        <v>64</v>
      </c>
      <c r="G14" s="27" t="s">
        <v>315</v>
      </c>
      <c r="H14" s="24"/>
    </row>
    <row r="15" spans="1:9" s="25" customFormat="1" outlineLevel="1" x14ac:dyDescent="0.35">
      <c r="A15" s="21">
        <f t="shared" si="0"/>
        <v>9</v>
      </c>
      <c r="B15" s="22" t="s">
        <v>24</v>
      </c>
      <c r="C15" s="22" t="s">
        <v>52</v>
      </c>
      <c r="D15" s="48" t="s">
        <v>22</v>
      </c>
      <c r="E15" s="20" t="s">
        <v>59</v>
      </c>
      <c r="F15" s="24" t="s">
        <v>294</v>
      </c>
      <c r="G15" s="99" t="s">
        <v>319</v>
      </c>
      <c r="H15" s="24"/>
    </row>
    <row r="16" spans="1:9" s="25" customFormat="1" outlineLevel="1" x14ac:dyDescent="0.35">
      <c r="A16" s="21">
        <f t="shared" si="0"/>
        <v>10</v>
      </c>
      <c r="B16" s="22">
        <v>150000005</v>
      </c>
      <c r="C16" s="22" t="s">
        <v>53</v>
      </c>
      <c r="D16" s="48" t="s">
        <v>25</v>
      </c>
      <c r="E16" s="20" t="s">
        <v>309</v>
      </c>
      <c r="F16" s="24" t="s">
        <v>294</v>
      </c>
      <c r="G16" s="99" t="s">
        <v>319</v>
      </c>
      <c r="H16" s="24" t="s">
        <v>257</v>
      </c>
    </row>
    <row r="17" spans="1:9" s="25" customFormat="1" outlineLevel="1" x14ac:dyDescent="0.35">
      <c r="A17" s="21">
        <f t="shared" si="0"/>
        <v>11</v>
      </c>
      <c r="B17" s="22" t="s">
        <v>26</v>
      </c>
      <c r="C17" s="22" t="s">
        <v>54</v>
      </c>
      <c r="D17" s="48" t="s">
        <v>27</v>
      </c>
      <c r="E17" s="20" t="s">
        <v>62</v>
      </c>
      <c r="F17" s="24" t="s">
        <v>294</v>
      </c>
      <c r="G17" s="99" t="s">
        <v>319</v>
      </c>
      <c r="H17" s="105" t="s">
        <v>63</v>
      </c>
      <c r="I17" s="211" t="s">
        <v>478</v>
      </c>
    </row>
    <row r="18" spans="1:9" s="25" customFormat="1" outlineLevel="1" x14ac:dyDescent="0.35">
      <c r="A18" s="21">
        <f t="shared" si="0"/>
        <v>12</v>
      </c>
      <c r="B18" s="22" t="s">
        <v>28</v>
      </c>
      <c r="C18" s="22" t="s">
        <v>55</v>
      </c>
      <c r="D18" s="48" t="s">
        <v>29</v>
      </c>
      <c r="E18" s="20" t="s">
        <v>30</v>
      </c>
      <c r="F18" s="24" t="s">
        <v>294</v>
      </c>
      <c r="G18" s="99" t="s">
        <v>319</v>
      </c>
      <c r="H18" s="24"/>
    </row>
    <row r="19" spans="1:9" s="25" customFormat="1" ht="32" outlineLevel="1" x14ac:dyDescent="0.35">
      <c r="A19" s="21">
        <f t="shared" si="0"/>
        <v>13</v>
      </c>
      <c r="B19" s="22" t="s">
        <v>31</v>
      </c>
      <c r="C19" s="22" t="s">
        <v>56</v>
      </c>
      <c r="D19" s="48" t="s">
        <v>32</v>
      </c>
      <c r="E19" s="20" t="s">
        <v>60</v>
      </c>
      <c r="F19" s="23" t="s">
        <v>64</v>
      </c>
      <c r="G19" s="27" t="s">
        <v>315</v>
      </c>
      <c r="H19" s="24" t="s">
        <v>61</v>
      </c>
    </row>
    <row r="20" spans="1:9" s="25" customFormat="1" ht="32" outlineLevel="1" x14ac:dyDescent="0.35">
      <c r="A20" s="21">
        <f t="shared" si="0"/>
        <v>14</v>
      </c>
      <c r="B20" s="22" t="s">
        <v>33</v>
      </c>
      <c r="C20" s="22" t="s">
        <v>57</v>
      </c>
      <c r="D20" s="48" t="s">
        <v>19</v>
      </c>
      <c r="E20" s="20" t="s">
        <v>320</v>
      </c>
      <c r="F20" s="24" t="s">
        <v>294</v>
      </c>
      <c r="G20" s="100" t="s">
        <v>316</v>
      </c>
      <c r="H20" s="24"/>
      <c r="I20" s="211" t="s">
        <v>478</v>
      </c>
    </row>
    <row r="21" spans="1:9" s="25" customFormat="1" ht="48" outlineLevel="1" x14ac:dyDescent="0.35">
      <c r="A21" s="21">
        <f t="shared" si="0"/>
        <v>15</v>
      </c>
      <c r="B21" s="22" t="s">
        <v>34</v>
      </c>
      <c r="C21" s="22" t="s">
        <v>58</v>
      </c>
      <c r="D21" s="48" t="s">
        <v>35</v>
      </c>
      <c r="E21" s="20" t="s">
        <v>66</v>
      </c>
      <c r="F21" s="24" t="s">
        <v>36</v>
      </c>
      <c r="G21" s="27" t="s">
        <v>312</v>
      </c>
      <c r="H21" s="24" t="s">
        <v>259</v>
      </c>
    </row>
    <row r="22" spans="1:9" s="25" customFormat="1" ht="69" customHeight="1" outlineLevel="1" x14ac:dyDescent="0.35">
      <c r="A22" s="21">
        <f t="shared" si="0"/>
        <v>16</v>
      </c>
      <c r="B22" s="22">
        <v>150000017</v>
      </c>
      <c r="C22" s="22" t="s">
        <v>260</v>
      </c>
      <c r="D22" s="48" t="s">
        <v>261</v>
      </c>
      <c r="E22" s="20" t="s">
        <v>262</v>
      </c>
      <c r="F22" s="24" t="s">
        <v>293</v>
      </c>
      <c r="G22" s="100" t="s">
        <v>311</v>
      </c>
      <c r="H22" s="23" t="s">
        <v>296</v>
      </c>
    </row>
    <row r="23" spans="1:9" s="2" customFormat="1" x14ac:dyDescent="0.35">
      <c r="A23" s="16" t="s">
        <v>5</v>
      </c>
      <c r="B23" s="16"/>
      <c r="C23" s="16"/>
      <c r="D23" s="17" t="s">
        <v>9</v>
      </c>
      <c r="E23" s="18"/>
      <c r="F23" s="19"/>
      <c r="G23" s="19"/>
      <c r="H23" s="19"/>
    </row>
    <row r="24" spans="1:9" s="30" customFormat="1" ht="48" outlineLevel="1" x14ac:dyDescent="0.35">
      <c r="A24" s="21">
        <f>ROW()-ROW($A$23)</f>
        <v>1</v>
      </c>
      <c r="B24" s="22" t="s">
        <v>37</v>
      </c>
      <c r="C24" s="22" t="s">
        <v>237</v>
      </c>
      <c r="D24" s="23" t="s">
        <v>38</v>
      </c>
      <c r="E24" s="20" t="s">
        <v>248</v>
      </c>
      <c r="F24" s="24" t="s">
        <v>64</v>
      </c>
      <c r="G24" s="27" t="s">
        <v>317</v>
      </c>
      <c r="H24" s="29"/>
    </row>
    <row r="25" spans="1:9" s="30" customFormat="1" ht="32" outlineLevel="1" x14ac:dyDescent="0.35">
      <c r="A25" s="21">
        <f t="shared" ref="A25:A29" si="1">ROW()-ROW($A$23)</f>
        <v>2</v>
      </c>
      <c r="B25" s="22">
        <v>150000189</v>
      </c>
      <c r="C25" s="22" t="s">
        <v>238</v>
      </c>
      <c r="D25" s="23" t="s">
        <v>68</v>
      </c>
      <c r="E25" s="20" t="s">
        <v>284</v>
      </c>
      <c r="F25" s="24" t="s">
        <v>64</v>
      </c>
      <c r="G25" s="24" t="s">
        <v>246</v>
      </c>
      <c r="H25" s="23" t="s">
        <v>247</v>
      </c>
    </row>
    <row r="26" spans="1:9" s="30" customFormat="1" ht="32" outlineLevel="1" x14ac:dyDescent="0.35">
      <c r="A26" s="21">
        <f t="shared" si="1"/>
        <v>3</v>
      </c>
      <c r="B26" s="22" t="s">
        <v>39</v>
      </c>
      <c r="C26" s="22" t="s">
        <v>239</v>
      </c>
      <c r="D26" s="23" t="s">
        <v>67</v>
      </c>
      <c r="E26" s="20" t="s">
        <v>285</v>
      </c>
      <c r="F26" s="24" t="s">
        <v>64</v>
      </c>
      <c r="G26" s="24" t="s">
        <v>246</v>
      </c>
      <c r="H26" s="29"/>
    </row>
    <row r="27" spans="1:9" s="30" customFormat="1" outlineLevel="1" x14ac:dyDescent="0.35">
      <c r="A27" s="21">
        <f t="shared" si="1"/>
        <v>4</v>
      </c>
      <c r="B27" s="22" t="s">
        <v>40</v>
      </c>
      <c r="C27" s="22" t="s">
        <v>240</v>
      </c>
      <c r="D27" s="23" t="s">
        <v>41</v>
      </c>
      <c r="E27" s="20" t="s">
        <v>194</v>
      </c>
      <c r="F27" s="24" t="s">
        <v>64</v>
      </c>
      <c r="G27" s="24" t="s">
        <v>249</v>
      </c>
      <c r="H27" s="29"/>
    </row>
    <row r="28" spans="1:9" s="30" customFormat="1" ht="32" outlineLevel="1" x14ac:dyDescent="0.35">
      <c r="A28" s="21">
        <f t="shared" si="1"/>
        <v>5</v>
      </c>
      <c r="B28" s="101" t="s">
        <v>44</v>
      </c>
      <c r="C28" s="101" t="s">
        <v>242</v>
      </c>
      <c r="D28" s="103" t="s">
        <v>45</v>
      </c>
      <c r="E28" s="104" t="s">
        <v>196</v>
      </c>
      <c r="F28" s="105" t="s">
        <v>295</v>
      </c>
      <c r="G28" s="106" t="s">
        <v>310</v>
      </c>
      <c r="H28" s="29"/>
    </row>
    <row r="29" spans="1:9" s="30" customFormat="1" ht="32" outlineLevel="1" x14ac:dyDescent="0.35">
      <c r="A29" s="21">
        <f t="shared" si="1"/>
        <v>6</v>
      </c>
      <c r="B29" s="22" t="s">
        <v>42</v>
      </c>
      <c r="C29" s="22" t="s">
        <v>241</v>
      </c>
      <c r="D29" s="23" t="s">
        <v>43</v>
      </c>
      <c r="E29" s="20" t="s">
        <v>195</v>
      </c>
      <c r="F29" s="24"/>
      <c r="G29" s="23" t="s">
        <v>250</v>
      </c>
      <c r="H29" s="29"/>
    </row>
    <row r="30" spans="1:9" x14ac:dyDescent="0.35">
      <c r="A30" s="51" t="s">
        <v>10</v>
      </c>
      <c r="B30" s="51"/>
      <c r="C30" s="51"/>
      <c r="D30" s="47" t="s">
        <v>11</v>
      </c>
      <c r="E30" s="54"/>
      <c r="F30" s="55"/>
      <c r="G30" s="55"/>
      <c r="H30" s="55"/>
    </row>
    <row r="31" spans="1:9" s="2" customFormat="1" x14ac:dyDescent="0.35">
      <c r="A31" s="16" t="s">
        <v>4</v>
      </c>
      <c r="B31" s="16"/>
      <c r="C31" s="16"/>
      <c r="D31" s="17" t="s">
        <v>253</v>
      </c>
      <c r="E31" s="18"/>
      <c r="F31" s="19"/>
      <c r="G31" s="19" t="s">
        <v>251</v>
      </c>
      <c r="H31" s="19"/>
    </row>
    <row r="32" spans="1:9" s="25" customFormat="1" outlineLevel="1" x14ac:dyDescent="0.35">
      <c r="A32" s="21">
        <f>ROW()-ROW($A$31)</f>
        <v>1</v>
      </c>
      <c r="B32" s="22" t="s">
        <v>77</v>
      </c>
      <c r="C32" s="22" t="s">
        <v>222</v>
      </c>
      <c r="D32" s="24" t="s">
        <v>78</v>
      </c>
      <c r="E32" s="26" t="s">
        <v>209</v>
      </c>
      <c r="F32" s="24"/>
      <c r="G32" s="24" t="s">
        <v>251</v>
      </c>
      <c r="H32" s="24" t="s">
        <v>210</v>
      </c>
    </row>
    <row r="33" spans="1:8" s="25" customFormat="1" outlineLevel="1" x14ac:dyDescent="0.35">
      <c r="A33" s="21">
        <f t="shared" ref="A33:A57" si="2">ROW()-ROW($A$31)</f>
        <v>2</v>
      </c>
      <c r="B33" s="22" t="s">
        <v>69</v>
      </c>
      <c r="C33" s="22" t="s">
        <v>223</v>
      </c>
      <c r="D33" s="24" t="s">
        <v>70</v>
      </c>
      <c r="E33" s="26" t="s">
        <v>119</v>
      </c>
      <c r="F33" s="24"/>
      <c r="G33" s="24" t="s">
        <v>251</v>
      </c>
      <c r="H33" s="24"/>
    </row>
    <row r="34" spans="1:8" s="25" customFormat="1" outlineLevel="1" x14ac:dyDescent="0.35">
      <c r="A34" s="21">
        <f t="shared" si="2"/>
        <v>3</v>
      </c>
      <c r="B34" s="22" t="s">
        <v>73</v>
      </c>
      <c r="C34" s="22" t="s">
        <v>224</v>
      </c>
      <c r="D34" s="23" t="s">
        <v>74</v>
      </c>
      <c r="E34" s="26" t="s">
        <v>120</v>
      </c>
      <c r="F34" s="24"/>
      <c r="G34" s="24" t="s">
        <v>251</v>
      </c>
      <c r="H34" s="24"/>
    </row>
    <row r="35" spans="1:8" s="25" customFormat="1" outlineLevel="1" x14ac:dyDescent="0.35">
      <c r="A35" s="21">
        <f t="shared" si="2"/>
        <v>4</v>
      </c>
      <c r="B35" s="22" t="s">
        <v>75</v>
      </c>
      <c r="C35" s="22" t="s">
        <v>225</v>
      </c>
      <c r="D35" s="24" t="s">
        <v>76</v>
      </c>
      <c r="E35" s="26" t="s">
        <v>121</v>
      </c>
      <c r="F35" s="24"/>
      <c r="G35" s="24" t="s">
        <v>251</v>
      </c>
      <c r="H35" s="23" t="s">
        <v>200</v>
      </c>
    </row>
    <row r="36" spans="1:8" s="25" customFormat="1" outlineLevel="1" x14ac:dyDescent="0.35">
      <c r="A36" s="21">
        <f t="shared" si="2"/>
        <v>5</v>
      </c>
      <c r="B36" s="22" t="s">
        <v>122</v>
      </c>
      <c r="C36" s="22" t="s">
        <v>226</v>
      </c>
      <c r="D36" s="24" t="s">
        <v>123</v>
      </c>
      <c r="E36" s="26" t="s">
        <v>124</v>
      </c>
      <c r="F36" s="24"/>
      <c r="G36" s="24" t="s">
        <v>251</v>
      </c>
      <c r="H36" s="24"/>
    </row>
    <row r="37" spans="1:8" s="25" customFormat="1" outlineLevel="1" x14ac:dyDescent="0.35">
      <c r="A37" s="21">
        <f t="shared" si="2"/>
        <v>6</v>
      </c>
      <c r="B37" s="22" t="s">
        <v>125</v>
      </c>
      <c r="C37" s="22" t="s">
        <v>227</v>
      </c>
      <c r="D37" s="24" t="s">
        <v>126</v>
      </c>
      <c r="E37" s="26" t="s">
        <v>127</v>
      </c>
      <c r="F37" s="24"/>
      <c r="G37" s="24" t="s">
        <v>251</v>
      </c>
      <c r="H37" s="24"/>
    </row>
    <row r="38" spans="1:8" s="25" customFormat="1" outlineLevel="1" x14ac:dyDescent="0.35">
      <c r="A38" s="21">
        <f t="shared" si="2"/>
        <v>7</v>
      </c>
      <c r="B38" s="22" t="s">
        <v>128</v>
      </c>
      <c r="C38" s="22" t="s">
        <v>228</v>
      </c>
      <c r="D38" s="24" t="s">
        <v>129</v>
      </c>
      <c r="E38" s="26" t="s">
        <v>130</v>
      </c>
      <c r="F38" s="24"/>
      <c r="G38" s="24" t="s">
        <v>251</v>
      </c>
      <c r="H38" s="24"/>
    </row>
    <row r="39" spans="1:8" s="25" customFormat="1" outlineLevel="1" x14ac:dyDescent="0.35">
      <c r="A39" s="21">
        <f t="shared" si="2"/>
        <v>8</v>
      </c>
      <c r="B39" s="22" t="s">
        <v>131</v>
      </c>
      <c r="C39" s="22" t="s">
        <v>229</v>
      </c>
      <c r="D39" s="24" t="s">
        <v>132</v>
      </c>
      <c r="E39" s="26" t="s">
        <v>201</v>
      </c>
      <c r="F39" s="24"/>
      <c r="G39" s="24" t="s">
        <v>251</v>
      </c>
      <c r="H39" s="24"/>
    </row>
    <row r="40" spans="1:8" s="25" customFormat="1" outlineLevel="1" x14ac:dyDescent="0.35">
      <c r="A40" s="21">
        <f t="shared" si="2"/>
        <v>9</v>
      </c>
      <c r="B40" s="22" t="s">
        <v>133</v>
      </c>
      <c r="C40" s="22" t="s">
        <v>230</v>
      </c>
      <c r="D40" s="24" t="s">
        <v>134</v>
      </c>
      <c r="E40" s="26" t="s">
        <v>202</v>
      </c>
      <c r="F40" s="24"/>
      <c r="G40" s="24" t="s">
        <v>251</v>
      </c>
      <c r="H40" s="24"/>
    </row>
    <row r="41" spans="1:8" s="25" customFormat="1" outlineLevel="1" x14ac:dyDescent="0.35">
      <c r="A41" s="21">
        <f t="shared" si="2"/>
        <v>10</v>
      </c>
      <c r="B41" s="22" t="s">
        <v>135</v>
      </c>
      <c r="C41" s="22" t="s">
        <v>231</v>
      </c>
      <c r="D41" s="24" t="s">
        <v>136</v>
      </c>
      <c r="E41" s="26" t="s">
        <v>205</v>
      </c>
      <c r="F41" s="24"/>
      <c r="G41" s="24" t="s">
        <v>251</v>
      </c>
      <c r="H41" s="24"/>
    </row>
    <row r="42" spans="1:8" s="25" customFormat="1" outlineLevel="1" x14ac:dyDescent="0.35">
      <c r="A42" s="21">
        <f t="shared" si="2"/>
        <v>11</v>
      </c>
      <c r="B42" s="22" t="s">
        <v>137</v>
      </c>
      <c r="C42" s="22" t="s">
        <v>232</v>
      </c>
      <c r="D42" s="24" t="s">
        <v>138</v>
      </c>
      <c r="E42" s="26" t="s">
        <v>203</v>
      </c>
      <c r="F42" s="24"/>
      <c r="G42" s="24" t="s">
        <v>251</v>
      </c>
      <c r="H42" s="24"/>
    </row>
    <row r="43" spans="1:8" s="25" customFormat="1" outlineLevel="1" x14ac:dyDescent="0.35">
      <c r="A43" s="21">
        <f t="shared" si="2"/>
        <v>12</v>
      </c>
      <c r="B43" s="22" t="s">
        <v>139</v>
      </c>
      <c r="C43" s="22" t="s">
        <v>233</v>
      </c>
      <c r="D43" s="24" t="s">
        <v>140</v>
      </c>
      <c r="E43" s="26" t="s">
        <v>204</v>
      </c>
      <c r="F43" s="24"/>
      <c r="G43" s="24" t="s">
        <v>251</v>
      </c>
      <c r="H43" s="24"/>
    </row>
    <row r="44" spans="1:8" s="25" customFormat="1" outlineLevel="1" x14ac:dyDescent="0.35">
      <c r="A44" s="21">
        <f t="shared" si="2"/>
        <v>13</v>
      </c>
      <c r="B44" s="22" t="s">
        <v>141</v>
      </c>
      <c r="C44" s="22" t="s">
        <v>234</v>
      </c>
      <c r="D44" s="24" t="s">
        <v>142</v>
      </c>
      <c r="E44" s="26" t="s">
        <v>206</v>
      </c>
      <c r="F44" s="24"/>
      <c r="G44" s="24" t="s">
        <v>251</v>
      </c>
      <c r="H44" s="24"/>
    </row>
    <row r="45" spans="1:8" s="25" customFormat="1" outlineLevel="1" x14ac:dyDescent="0.35">
      <c r="A45" s="21">
        <f t="shared" si="2"/>
        <v>14</v>
      </c>
      <c r="B45" s="22" t="s">
        <v>143</v>
      </c>
      <c r="C45" s="22" t="s">
        <v>235</v>
      </c>
      <c r="D45" s="24" t="s">
        <v>144</v>
      </c>
      <c r="E45" s="26" t="s">
        <v>207</v>
      </c>
      <c r="F45" s="24"/>
      <c r="G45" s="24" t="s">
        <v>251</v>
      </c>
      <c r="H45" s="24"/>
    </row>
    <row r="46" spans="1:8" s="25" customFormat="1" outlineLevel="1" x14ac:dyDescent="0.35">
      <c r="A46" s="21">
        <f t="shared" si="2"/>
        <v>15</v>
      </c>
      <c r="B46" s="22" t="s">
        <v>145</v>
      </c>
      <c r="C46" s="22" t="s">
        <v>236</v>
      </c>
      <c r="D46" s="24" t="s">
        <v>146</v>
      </c>
      <c r="E46" s="26" t="s">
        <v>208</v>
      </c>
      <c r="F46" s="24"/>
      <c r="G46" s="24" t="s">
        <v>251</v>
      </c>
      <c r="H46" s="24"/>
    </row>
    <row r="47" spans="1:8" s="2" customFormat="1" x14ac:dyDescent="0.35">
      <c r="A47" s="16" t="s">
        <v>5</v>
      </c>
      <c r="B47" s="16"/>
      <c r="C47" s="16"/>
      <c r="D47" s="17" t="s">
        <v>254</v>
      </c>
      <c r="E47" s="18"/>
      <c r="F47" s="19"/>
      <c r="G47" s="19" t="s">
        <v>251</v>
      </c>
      <c r="H47" s="19"/>
    </row>
    <row r="48" spans="1:8" s="25" customFormat="1" outlineLevel="1" x14ac:dyDescent="0.35">
      <c r="A48" s="21">
        <f t="shared" si="2"/>
        <v>17</v>
      </c>
      <c r="B48" s="22" t="s">
        <v>107</v>
      </c>
      <c r="C48" s="22" t="s">
        <v>221</v>
      </c>
      <c r="D48" s="24" t="s">
        <v>108</v>
      </c>
      <c r="E48" s="26" t="s">
        <v>155</v>
      </c>
      <c r="F48" s="24"/>
      <c r="G48" s="24" t="s">
        <v>318</v>
      </c>
      <c r="H48" s="24"/>
    </row>
    <row r="49" spans="1:8" s="25" customFormat="1" ht="48" outlineLevel="1" x14ac:dyDescent="0.35">
      <c r="A49" s="21">
        <f t="shared" si="2"/>
        <v>18</v>
      </c>
      <c r="B49" s="22" t="s">
        <v>89</v>
      </c>
      <c r="C49" s="22" t="s">
        <v>147</v>
      </c>
      <c r="D49" s="24" t="s">
        <v>90</v>
      </c>
      <c r="E49" s="26" t="s">
        <v>211</v>
      </c>
      <c r="F49" s="24"/>
      <c r="G49" s="27" t="s">
        <v>317</v>
      </c>
      <c r="H49" s="24"/>
    </row>
    <row r="50" spans="1:8" s="25" customFormat="1" ht="32" outlineLevel="1" x14ac:dyDescent="0.35">
      <c r="A50" s="21">
        <f t="shared" si="2"/>
        <v>19</v>
      </c>
      <c r="B50" s="22" t="s">
        <v>91</v>
      </c>
      <c r="C50" s="22" t="s">
        <v>148</v>
      </c>
      <c r="D50" s="24" t="s">
        <v>92</v>
      </c>
      <c r="E50" s="20" t="s">
        <v>212</v>
      </c>
      <c r="F50" s="24"/>
      <c r="G50" s="24" t="s">
        <v>315</v>
      </c>
      <c r="H50" s="24"/>
    </row>
    <row r="51" spans="1:8" s="25" customFormat="1" outlineLevel="1" x14ac:dyDescent="0.35">
      <c r="A51" s="21">
        <f t="shared" si="2"/>
        <v>20</v>
      </c>
      <c r="B51" s="22" t="s">
        <v>93</v>
      </c>
      <c r="C51" s="22" t="s">
        <v>149</v>
      </c>
      <c r="D51" s="24" t="s">
        <v>94</v>
      </c>
      <c r="E51" s="26" t="s">
        <v>213</v>
      </c>
      <c r="F51" s="24"/>
      <c r="G51" s="24" t="s">
        <v>315</v>
      </c>
      <c r="H51" s="24"/>
    </row>
    <row r="52" spans="1:8" s="25" customFormat="1" ht="32" outlineLevel="1" x14ac:dyDescent="0.35">
      <c r="A52" s="21">
        <f t="shared" si="2"/>
        <v>21</v>
      </c>
      <c r="B52" s="22" t="s">
        <v>95</v>
      </c>
      <c r="C52" s="22" t="s">
        <v>150</v>
      </c>
      <c r="D52" s="24" t="s">
        <v>96</v>
      </c>
      <c r="E52" s="20" t="s">
        <v>214</v>
      </c>
      <c r="F52" s="24"/>
      <c r="G52" s="24" t="s">
        <v>315</v>
      </c>
      <c r="H52" s="24"/>
    </row>
    <row r="53" spans="1:8" s="25" customFormat="1" outlineLevel="1" x14ac:dyDescent="0.35">
      <c r="A53" s="21">
        <f t="shared" si="2"/>
        <v>22</v>
      </c>
      <c r="B53" s="22" t="s">
        <v>97</v>
      </c>
      <c r="C53" s="22" t="s">
        <v>151</v>
      </c>
      <c r="D53" s="24" t="s">
        <v>98</v>
      </c>
      <c r="E53" s="26" t="s">
        <v>215</v>
      </c>
      <c r="F53" s="24"/>
      <c r="G53" s="24" t="s">
        <v>315</v>
      </c>
      <c r="H53" s="24"/>
    </row>
    <row r="54" spans="1:8" s="25" customFormat="1" outlineLevel="1" x14ac:dyDescent="0.35">
      <c r="A54" s="21">
        <f t="shared" si="2"/>
        <v>23</v>
      </c>
      <c r="B54" s="22" t="s">
        <v>99</v>
      </c>
      <c r="C54" s="22" t="s">
        <v>152</v>
      </c>
      <c r="D54" s="24" t="s">
        <v>100</v>
      </c>
      <c r="E54" s="26" t="s">
        <v>216</v>
      </c>
      <c r="F54" s="24"/>
      <c r="G54" s="24" t="s">
        <v>315</v>
      </c>
      <c r="H54" s="24"/>
    </row>
    <row r="55" spans="1:8" s="25" customFormat="1" ht="48" outlineLevel="1" x14ac:dyDescent="0.35">
      <c r="A55" s="21">
        <f t="shared" si="2"/>
        <v>24</v>
      </c>
      <c r="B55" s="22" t="s">
        <v>101</v>
      </c>
      <c r="C55" s="22" t="s">
        <v>153</v>
      </c>
      <c r="D55" s="24" t="s">
        <v>102</v>
      </c>
      <c r="E55" s="20" t="s">
        <v>217</v>
      </c>
      <c r="F55" s="24"/>
      <c r="G55" s="27" t="s">
        <v>317</v>
      </c>
      <c r="H55" s="24"/>
    </row>
    <row r="56" spans="1:8" s="25" customFormat="1" outlineLevel="1" x14ac:dyDescent="0.35">
      <c r="A56" s="21">
        <f t="shared" si="2"/>
        <v>25</v>
      </c>
      <c r="B56" s="22" t="s">
        <v>103</v>
      </c>
      <c r="C56" s="22" t="s">
        <v>154</v>
      </c>
      <c r="D56" s="24" t="s">
        <v>104</v>
      </c>
      <c r="E56" s="20" t="s">
        <v>218</v>
      </c>
      <c r="F56" s="24"/>
      <c r="G56" s="24" t="s">
        <v>315</v>
      </c>
      <c r="H56" s="24"/>
    </row>
    <row r="57" spans="1:8" s="25" customFormat="1" outlineLevel="1" x14ac:dyDescent="0.35">
      <c r="A57" s="21">
        <f t="shared" si="2"/>
        <v>26</v>
      </c>
      <c r="B57" s="22" t="s">
        <v>105</v>
      </c>
      <c r="C57" s="22" t="s">
        <v>220</v>
      </c>
      <c r="D57" s="24" t="s">
        <v>106</v>
      </c>
      <c r="E57" s="20" t="s">
        <v>219</v>
      </c>
      <c r="F57" s="24"/>
      <c r="G57" s="24" t="s">
        <v>315</v>
      </c>
      <c r="H57" s="24"/>
    </row>
    <row r="58" spans="1:8" s="2" customFormat="1" x14ac:dyDescent="0.35">
      <c r="A58" s="16" t="s">
        <v>255</v>
      </c>
      <c r="B58" s="16"/>
      <c r="C58" s="16"/>
      <c r="D58" s="17" t="s">
        <v>12</v>
      </c>
      <c r="E58" s="18"/>
      <c r="F58" s="19"/>
      <c r="G58" s="19" t="s">
        <v>251</v>
      </c>
      <c r="H58" s="19"/>
    </row>
    <row r="59" spans="1:8" s="25" customFormat="1" outlineLevel="1" x14ac:dyDescent="0.35">
      <c r="A59" s="21">
        <f>ROW()-ROW($A$58)</f>
        <v>1</v>
      </c>
      <c r="B59" s="22" t="s">
        <v>81</v>
      </c>
      <c r="C59" s="22"/>
      <c r="D59" s="24" t="s">
        <v>82</v>
      </c>
      <c r="E59" s="26"/>
      <c r="F59" s="24" t="s">
        <v>293</v>
      </c>
      <c r="G59" s="24" t="s">
        <v>318</v>
      </c>
      <c r="H59" s="23" t="s">
        <v>245</v>
      </c>
    </row>
    <row r="60" spans="1:8" s="25" customFormat="1" ht="32" outlineLevel="1" x14ac:dyDescent="0.35">
      <c r="A60" s="21">
        <f t="shared" ref="A60:A68" si="3">ROW()-ROW($A$58)</f>
        <v>2</v>
      </c>
      <c r="B60" s="22" t="s">
        <v>79</v>
      </c>
      <c r="C60" s="22"/>
      <c r="D60" s="24" t="s">
        <v>80</v>
      </c>
      <c r="E60" s="26"/>
      <c r="F60" s="24" t="s">
        <v>293</v>
      </c>
      <c r="G60" s="99" t="s">
        <v>319</v>
      </c>
      <c r="H60" s="23" t="s">
        <v>303</v>
      </c>
    </row>
    <row r="61" spans="1:8" s="25" customFormat="1" outlineLevel="1" x14ac:dyDescent="0.35">
      <c r="A61" s="21">
        <f t="shared" si="3"/>
        <v>3</v>
      </c>
      <c r="B61" s="22" t="s">
        <v>87</v>
      </c>
      <c r="C61" s="22"/>
      <c r="D61" s="24" t="s">
        <v>88</v>
      </c>
      <c r="E61" s="26" t="s">
        <v>243</v>
      </c>
      <c r="F61" s="24" t="s">
        <v>295</v>
      </c>
      <c r="G61" s="99" t="s">
        <v>319</v>
      </c>
      <c r="H61" s="24" t="s">
        <v>302</v>
      </c>
    </row>
    <row r="62" spans="1:8" s="25" customFormat="1" ht="32" outlineLevel="1" x14ac:dyDescent="0.35">
      <c r="A62" s="21">
        <f t="shared" si="3"/>
        <v>4</v>
      </c>
      <c r="B62" s="22" t="s">
        <v>85</v>
      </c>
      <c r="C62" s="22"/>
      <c r="D62" s="24" t="s">
        <v>86</v>
      </c>
      <c r="E62" s="20" t="s">
        <v>301</v>
      </c>
      <c r="F62" s="24"/>
      <c r="G62" s="24" t="s">
        <v>251</v>
      </c>
      <c r="H62" s="24"/>
    </row>
    <row r="63" spans="1:8" s="25" customFormat="1" outlineLevel="1" x14ac:dyDescent="0.35">
      <c r="A63" s="21">
        <f t="shared" si="3"/>
        <v>5</v>
      </c>
      <c r="B63" s="22" t="s">
        <v>83</v>
      </c>
      <c r="C63" s="22"/>
      <c r="D63" s="24" t="s">
        <v>84</v>
      </c>
      <c r="E63" s="26"/>
      <c r="F63" s="24"/>
      <c r="G63" s="24" t="s">
        <v>251</v>
      </c>
      <c r="H63" s="24"/>
    </row>
    <row r="64" spans="1:8" s="25" customFormat="1" outlineLevel="1" x14ac:dyDescent="0.35">
      <c r="A64" s="21">
        <f t="shared" si="3"/>
        <v>6</v>
      </c>
      <c r="B64" s="22" t="s">
        <v>109</v>
      </c>
      <c r="C64" s="22"/>
      <c r="D64" s="24" t="s">
        <v>110</v>
      </c>
      <c r="E64" s="26"/>
      <c r="F64" s="24"/>
      <c r="G64" s="24" t="s">
        <v>251</v>
      </c>
      <c r="H64" s="24"/>
    </row>
    <row r="65" spans="1:8" s="25" customFormat="1" outlineLevel="1" x14ac:dyDescent="0.35">
      <c r="A65" s="21">
        <f t="shared" si="3"/>
        <v>7</v>
      </c>
      <c r="B65" s="22" t="s">
        <v>111</v>
      </c>
      <c r="C65" s="22"/>
      <c r="D65" s="24" t="s">
        <v>112</v>
      </c>
      <c r="E65" s="26"/>
      <c r="F65" s="24"/>
      <c r="G65" s="24" t="s">
        <v>251</v>
      </c>
      <c r="H65" s="24"/>
    </row>
    <row r="66" spans="1:8" s="25" customFormat="1" outlineLevel="1" x14ac:dyDescent="0.35">
      <c r="A66" s="21">
        <f t="shared" si="3"/>
        <v>8</v>
      </c>
      <c r="B66" s="22" t="s">
        <v>113</v>
      </c>
      <c r="C66" s="22"/>
      <c r="D66" s="24" t="s">
        <v>114</v>
      </c>
      <c r="E66" s="26"/>
      <c r="F66" s="24"/>
      <c r="G66" s="24" t="s">
        <v>251</v>
      </c>
      <c r="H66" s="24"/>
    </row>
    <row r="67" spans="1:8" s="25" customFormat="1" outlineLevel="1" x14ac:dyDescent="0.35">
      <c r="A67" s="21">
        <f t="shared" si="3"/>
        <v>9</v>
      </c>
      <c r="B67" s="22" t="s">
        <v>115</v>
      </c>
      <c r="C67" s="22"/>
      <c r="D67" s="24" t="s">
        <v>116</v>
      </c>
      <c r="E67" s="26" t="s">
        <v>244</v>
      </c>
      <c r="F67" s="24"/>
      <c r="G67" s="24" t="s">
        <v>251</v>
      </c>
      <c r="H67" s="24"/>
    </row>
    <row r="68" spans="1:8" s="25" customFormat="1" outlineLevel="1" x14ac:dyDescent="0.35">
      <c r="A68" s="21">
        <f t="shared" si="3"/>
        <v>10</v>
      </c>
      <c r="B68" s="22" t="s">
        <v>117</v>
      </c>
      <c r="C68" s="22"/>
      <c r="D68" s="24" t="s">
        <v>118</v>
      </c>
      <c r="E68" s="26"/>
      <c r="F68" s="24"/>
      <c r="G68" s="24" t="s">
        <v>251</v>
      </c>
      <c r="H68" s="24"/>
    </row>
    <row r="69" spans="1:8" x14ac:dyDescent="0.35">
      <c r="A69" s="51" t="s">
        <v>13</v>
      </c>
      <c r="B69" s="51"/>
      <c r="C69" s="51"/>
      <c r="D69" s="47" t="s">
        <v>46</v>
      </c>
      <c r="E69" s="54"/>
      <c r="F69" s="55"/>
      <c r="G69" s="55"/>
      <c r="H69" s="55"/>
    </row>
    <row r="70" spans="1:8" s="25" customFormat="1" ht="32" outlineLevel="1" x14ac:dyDescent="0.35">
      <c r="A70" s="21">
        <f>ROW()-ROW($A$69)</f>
        <v>1</v>
      </c>
      <c r="B70" s="22" t="s">
        <v>171</v>
      </c>
      <c r="C70" s="22" t="s">
        <v>184</v>
      </c>
      <c r="D70" s="26" t="s">
        <v>172</v>
      </c>
      <c r="E70" s="20" t="s">
        <v>198</v>
      </c>
      <c r="F70" s="24"/>
      <c r="G70" s="24" t="s">
        <v>252</v>
      </c>
      <c r="H70" s="24"/>
    </row>
    <row r="71" spans="1:8" s="25" customFormat="1" ht="32" outlineLevel="1" x14ac:dyDescent="0.35">
      <c r="A71" s="21">
        <f t="shared" ref="A71:A79" si="4">ROW()-ROW($A$69)</f>
        <v>2</v>
      </c>
      <c r="B71" s="22" t="s">
        <v>173</v>
      </c>
      <c r="C71" s="22" t="s">
        <v>185</v>
      </c>
      <c r="D71" s="26" t="s">
        <v>174</v>
      </c>
      <c r="E71" s="20" t="s">
        <v>199</v>
      </c>
      <c r="F71" s="24"/>
      <c r="G71" s="24" t="s">
        <v>252</v>
      </c>
      <c r="H71" s="24"/>
    </row>
    <row r="72" spans="1:8" s="25" customFormat="1" outlineLevel="1" x14ac:dyDescent="0.35">
      <c r="A72" s="21">
        <f t="shared" si="4"/>
        <v>3</v>
      </c>
      <c r="B72" s="22" t="s">
        <v>159</v>
      </c>
      <c r="C72" s="22" t="s">
        <v>178</v>
      </c>
      <c r="D72" s="26" t="s">
        <v>160</v>
      </c>
      <c r="E72" s="26" t="s">
        <v>187</v>
      </c>
      <c r="F72" s="24"/>
      <c r="G72" s="24" t="s">
        <v>252</v>
      </c>
      <c r="H72" s="24"/>
    </row>
    <row r="73" spans="1:8" s="25" customFormat="1" outlineLevel="1" x14ac:dyDescent="0.35">
      <c r="A73" s="21">
        <f t="shared" si="4"/>
        <v>4</v>
      </c>
      <c r="B73" s="22" t="s">
        <v>157</v>
      </c>
      <c r="C73" s="22" t="s">
        <v>177</v>
      </c>
      <c r="D73" s="26" t="s">
        <v>158</v>
      </c>
      <c r="E73" s="26" t="s">
        <v>188</v>
      </c>
      <c r="F73" s="24"/>
      <c r="G73" s="24" t="s">
        <v>252</v>
      </c>
      <c r="H73" s="24"/>
    </row>
    <row r="74" spans="1:8" s="25" customFormat="1" outlineLevel="1" x14ac:dyDescent="0.35">
      <c r="A74" s="21">
        <f t="shared" si="4"/>
        <v>5</v>
      </c>
      <c r="B74" s="22" t="s">
        <v>169</v>
      </c>
      <c r="C74" s="22" t="s">
        <v>183</v>
      </c>
      <c r="D74" s="26" t="s">
        <v>170</v>
      </c>
      <c r="E74" s="26" t="s">
        <v>189</v>
      </c>
      <c r="F74" s="24"/>
      <c r="G74" s="24" t="s">
        <v>252</v>
      </c>
      <c r="H74" s="24"/>
    </row>
    <row r="75" spans="1:8" s="25" customFormat="1" outlineLevel="1" x14ac:dyDescent="0.35">
      <c r="A75" s="21">
        <f t="shared" si="4"/>
        <v>6</v>
      </c>
      <c r="B75" s="22" t="s">
        <v>165</v>
      </c>
      <c r="C75" s="22" t="s">
        <v>181</v>
      </c>
      <c r="D75" s="26" t="s">
        <v>166</v>
      </c>
      <c r="E75" s="26" t="s">
        <v>190</v>
      </c>
      <c r="F75" s="24"/>
      <c r="G75" s="24" t="s">
        <v>252</v>
      </c>
      <c r="H75" s="24"/>
    </row>
    <row r="76" spans="1:8" s="25" customFormat="1" outlineLevel="1" x14ac:dyDescent="0.35">
      <c r="A76" s="21">
        <f t="shared" si="4"/>
        <v>7</v>
      </c>
      <c r="B76" s="22" t="s">
        <v>167</v>
      </c>
      <c r="C76" s="22" t="s">
        <v>182</v>
      </c>
      <c r="D76" s="26" t="s">
        <v>168</v>
      </c>
      <c r="E76" s="26" t="s">
        <v>191</v>
      </c>
      <c r="F76" s="24"/>
      <c r="G76" s="24" t="s">
        <v>252</v>
      </c>
      <c r="H76" s="24"/>
    </row>
    <row r="77" spans="1:8" s="25" customFormat="1" outlineLevel="1" x14ac:dyDescent="0.35">
      <c r="A77" s="21">
        <f t="shared" si="4"/>
        <v>8</v>
      </c>
      <c r="B77" s="22" t="s">
        <v>161</v>
      </c>
      <c r="C77" s="22" t="s">
        <v>179</v>
      </c>
      <c r="D77" s="26" t="s">
        <v>162</v>
      </c>
      <c r="E77" s="26" t="s">
        <v>193</v>
      </c>
      <c r="F77" s="24"/>
      <c r="G77" s="24" t="s">
        <v>252</v>
      </c>
      <c r="H77" s="24"/>
    </row>
    <row r="78" spans="1:8" s="25" customFormat="1" outlineLevel="1" x14ac:dyDescent="0.35">
      <c r="A78" s="21">
        <f t="shared" si="4"/>
        <v>9</v>
      </c>
      <c r="B78" s="22" t="s">
        <v>163</v>
      </c>
      <c r="C78" s="22" t="s">
        <v>180</v>
      </c>
      <c r="D78" s="26" t="s">
        <v>164</v>
      </c>
      <c r="E78" s="26" t="s">
        <v>192</v>
      </c>
      <c r="F78" s="24"/>
      <c r="G78" s="24" t="s">
        <v>252</v>
      </c>
      <c r="H78" s="24"/>
    </row>
    <row r="79" spans="1:8" s="25" customFormat="1" outlineLevel="1" x14ac:dyDescent="0.35">
      <c r="A79" s="21">
        <f t="shared" si="4"/>
        <v>10</v>
      </c>
      <c r="B79" s="22" t="s">
        <v>175</v>
      </c>
      <c r="C79" s="22" t="s">
        <v>186</v>
      </c>
      <c r="D79" s="26" t="s">
        <v>176</v>
      </c>
      <c r="E79" s="26" t="s">
        <v>197</v>
      </c>
      <c r="F79" s="24"/>
      <c r="G79" s="24" t="s">
        <v>252</v>
      </c>
      <c r="H79" s="24"/>
    </row>
    <row r="80" spans="1:8" s="25" customFormat="1" x14ac:dyDescent="0.35">
      <c r="A80" s="31"/>
      <c r="B80" s="32"/>
      <c r="C80" s="32"/>
      <c r="D80" s="33"/>
      <c r="E80" s="34"/>
      <c r="F80" s="35"/>
      <c r="G80" s="35"/>
      <c r="H80" s="35"/>
    </row>
    <row r="81" spans="1:8" s="25" customFormat="1" x14ac:dyDescent="0.35">
      <c r="A81" s="36"/>
      <c r="B81" s="37"/>
      <c r="C81" s="37"/>
      <c r="D81" s="38"/>
      <c r="E81" s="39"/>
      <c r="F81" s="40"/>
      <c r="G81" s="40"/>
      <c r="H81" s="40"/>
    </row>
    <row r="82" spans="1:8" s="25" customFormat="1" x14ac:dyDescent="0.35">
      <c r="A82" s="41"/>
      <c r="B82" s="41"/>
      <c r="C82" s="41"/>
      <c r="D82" s="42"/>
      <c r="E82" s="43"/>
      <c r="F82" s="44"/>
      <c r="G82" s="44"/>
      <c r="H82" s="44"/>
    </row>
  </sheetData>
  <hyperlinks>
    <hyperlink ref="D11" location="'02. HÌNH ẢNH _ CHAI PET'!B26" display="Chai B1" xr:uid="{1E3B54D1-E178-4966-89E9-45E1FEF65BA5}"/>
    <hyperlink ref="D12" location="'02. HÌNH ẢNH _ CHAI PET'!B44" display="Chai B1 không phân loại" xr:uid="{91E40258-1C6F-40C2-81FD-05B58AE47255}"/>
    <hyperlink ref="D14" location="'02. HÌNH ẢNH _ CHAI PET'!B63" display="Chai PET B2.1" xr:uid="{EFFC9693-9795-4DC0-9808-E1792E31982C}"/>
    <hyperlink ref="D15" location="'02. HÌNH ẢNH _ CHAI PET'!B81" display="Chai PET B2.2" xr:uid="{99CB7547-EE87-49E0-A910-24825A289D58}"/>
    <hyperlink ref="D16" location="'02. HÌNH ẢNH _ CHAI PET'!B95" display="Chai PET B3" xr:uid="{ABEAD36A-D0F6-46D1-ABDB-37849EB5BD1F}"/>
    <hyperlink ref="D17" location="'02. HÌNH ẢNH _ CHAI PET'!B114" display="Chai PET B4" xr:uid="{4DB4D3F8-0413-4C69-86B7-5E94D1F1AB32}"/>
    <hyperlink ref="D18" location="'02. HÌNH ẢNH _ CHAI PET'!B131" display="Chai PET B5" xr:uid="{3DEAA263-78FC-4677-8E28-889B1572389F}"/>
    <hyperlink ref="D19" location="'02. HÌNH ẢNH _ CHAI PET'!B146" display="Chai PET B6.1" xr:uid="{744F5F25-F6F0-452C-878D-E7001926BA64}"/>
    <hyperlink ref="D20" location="'02. HÌNH ẢNH _ CHAI PET'!B163" display="Chai PET B6.2" xr:uid="{FE02E7B2-0D89-4D67-A5CC-339FAE5338B8}"/>
    <hyperlink ref="D10" location="'02. HÌNH ẢNH _ CHAI PET'!B234" display="Chai PET B1.4" xr:uid="{F86F0679-AFD1-4831-B3FF-1FF00EB7C81D}"/>
    <hyperlink ref="D21" location="'02. HÌNH ẢNH _ CHAI PET'!B187" display="Chai PET B7.1" xr:uid="{13D304A5-90F9-4569-A1DE-EE28A3A22AFA}"/>
    <hyperlink ref="D22" location="'02. HÌNH ẢNH _ CHAI PET'!B201" display="Chai PET B7.2" xr:uid="{E1EEC993-738A-45FA-856A-F7CF4016A354}"/>
    <hyperlink ref="D13" location="'02. HÌNH ẢNH _ CHAI PET'!B273" display="Chai PET B1.3" xr:uid="{9C0EC291-DDC9-4196-BD36-7BC6B92822F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Sheet2</vt:lpstr>
      <vt:lpstr>GAP</vt:lpstr>
      <vt:lpstr>Giá mua Chai-Vảy</vt:lpstr>
      <vt:lpstr>Giá mua Chai-Vảy (Giá giảm)</vt:lpstr>
      <vt:lpstr>Hảo_R&amp;D</vt:lpstr>
      <vt:lpstr>Hảo_R&amp;D (Vảy sạch)</vt:lpstr>
      <vt:lpstr>Hảo_R&amp;D (Vảy sạch) (giảm giá)</vt:lpstr>
      <vt:lpstr>Hảo_R&amp;D (Hạt)</vt:lpstr>
      <vt:lpstr>Hảo_R&amp;D (Hạt) (full stage)-Chai</vt:lpstr>
      <vt:lpstr>Hảo_R&amp;D (Hạt) (full stage)-MN</vt:lpstr>
      <vt:lpstr>Hảo_R&amp;D (Hạt-Full stage-Mix)</vt:lpstr>
      <vt:lpstr>Phượng_QC</vt:lpstr>
      <vt:lpstr>01. ĐỊNH NGHĨA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Tâm, Lưu Thị Minh</dc:creator>
  <cp:lastModifiedBy>Cư, Lê Hoành</cp:lastModifiedBy>
  <dcterms:created xsi:type="dcterms:W3CDTF">2025-01-15T02:42:05Z</dcterms:created>
  <dcterms:modified xsi:type="dcterms:W3CDTF">2026-03-26T13:11:18Z</dcterms:modified>
</cp:coreProperties>
</file>