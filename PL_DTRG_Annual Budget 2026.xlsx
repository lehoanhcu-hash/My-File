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"/>
    </mc:Choice>
  </mc:AlternateContent>
  <xr:revisionPtr revIDLastSave="288" documentId="8_{56232594-7AD6-4968-9BA3-5963A1CD98C8}" xr6:coauthVersionLast="47" xr6:coauthVersionMax="47" xr10:uidLastSave="{1E9C7FFC-EFE3-4491-9B6C-9EAA543B28B8}"/>
  <bookViews>
    <workbookView xWindow="-120" yWindow="-120" windowWidth="29040" windowHeight="15720" tabRatio="918" activeTab="1" xr2:uid="{1D33B650-343A-43CA-84CD-98657E25A17D}"/>
  </bookViews>
  <sheets>
    <sheet name="SO SÁNH" sheetId="88" r:id="rId1"/>
    <sheet name="Consol PL-DTRG" sheetId="83" r:id="rId2"/>
    <sheet name="PL-KH26-DTR" sheetId="30" r:id="rId3"/>
    <sheet name="PL-KH26-DongLam" sheetId="82" r:id="rId4"/>
    <sheet name="PL-KH26-KhanhNga" sheetId="81" r:id="rId5"/>
    <sheet name="PL-KH26-DaiLoc" sheetId="80" r:id="rId6"/>
    <sheet name="PL-KH26-TanDaiPhat" sheetId="84" r:id="rId7"/>
    <sheet name="Consol PL-DTRG-Cũ" sheetId="8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88" l="1"/>
  <c r="X7" i="88"/>
  <c r="W10" i="88"/>
  <c r="X10" i="88" s="1"/>
  <c r="W12" i="88"/>
  <c r="X12" i="88" s="1"/>
  <c r="W14" i="88"/>
  <c r="X14" i="88"/>
  <c r="W36" i="88"/>
  <c r="X36" i="88"/>
  <c r="W43" i="88"/>
  <c r="X43" i="88"/>
  <c r="W46" i="88"/>
  <c r="X46" i="88" s="1"/>
  <c r="V25" i="88"/>
  <c r="V47" i="88"/>
  <c r="V46" i="88"/>
  <c r="V43" i="88"/>
  <c r="V42" i="88"/>
  <c r="V40" i="88"/>
  <c r="V39" i="88"/>
  <c r="W39" i="88" s="1"/>
  <c r="X39" i="88" s="1"/>
  <c r="V38" i="88"/>
  <c r="V37" i="88"/>
  <c r="V36" i="88"/>
  <c r="V35" i="88"/>
  <c r="V34" i="88"/>
  <c r="V33" i="88"/>
  <c r="V24" i="88"/>
  <c r="V23" i="88"/>
  <c r="V22" i="88"/>
  <c r="V16" i="88"/>
  <c r="V15" i="88"/>
  <c r="V14" i="88"/>
  <c r="V12" i="88"/>
  <c r="V11" i="88"/>
  <c r="V9" i="88" s="1"/>
  <c r="V10" i="88"/>
  <c r="V8" i="88"/>
  <c r="V7" i="88"/>
  <c r="V6" i="88"/>
  <c r="V30" i="88"/>
  <c r="V32" i="88"/>
  <c r="V44" i="88"/>
  <c r="V5" i="88"/>
  <c r="V13" i="88"/>
  <c r="V18" i="88"/>
  <c r="V20" i="88"/>
  <c r="U25" i="88"/>
  <c r="W25" i="88" s="1"/>
  <c r="X25" i="88" s="1"/>
  <c r="U47" i="88"/>
  <c r="W47" i="88" s="1"/>
  <c r="X47" i="88" s="1"/>
  <c r="U46" i="88"/>
  <c r="U43" i="88"/>
  <c r="U42" i="88"/>
  <c r="U44" i="88" s="1"/>
  <c r="W44" i="88" s="1"/>
  <c r="X44" i="88" s="1"/>
  <c r="U40" i="88"/>
  <c r="W40" i="88" s="1"/>
  <c r="X40" i="88" s="1"/>
  <c r="U39" i="88"/>
  <c r="U38" i="88"/>
  <c r="W38" i="88" s="1"/>
  <c r="X38" i="88" s="1"/>
  <c r="U37" i="88"/>
  <c r="W37" i="88" s="1"/>
  <c r="X37" i="88" s="1"/>
  <c r="U36" i="88"/>
  <c r="U35" i="88"/>
  <c r="W35" i="88" s="1"/>
  <c r="X35" i="88" s="1"/>
  <c r="U34" i="88"/>
  <c r="W34" i="88" s="1"/>
  <c r="X34" i="88" s="1"/>
  <c r="U33" i="88"/>
  <c r="U32" i="88" s="1"/>
  <c r="W32" i="88" s="1"/>
  <c r="X32" i="88" s="1"/>
  <c r="U24" i="88"/>
  <c r="W24" i="88" s="1"/>
  <c r="X24" i="88" s="1"/>
  <c r="U23" i="88"/>
  <c r="W23" i="88" s="1"/>
  <c r="X23" i="88" s="1"/>
  <c r="U22" i="88"/>
  <c r="W22" i="88" s="1"/>
  <c r="X22" i="88" s="1"/>
  <c r="U16" i="88"/>
  <c r="W16" i="88" s="1"/>
  <c r="X16" i="88" s="1"/>
  <c r="U15" i="88"/>
  <c r="W15" i="88" s="1"/>
  <c r="X15" i="88" s="1"/>
  <c r="U14" i="88"/>
  <c r="U18" i="88" s="1"/>
  <c r="U12" i="88"/>
  <c r="U11" i="88"/>
  <c r="W11" i="88" s="1"/>
  <c r="X11" i="88" s="1"/>
  <c r="U10" i="88"/>
  <c r="U8" i="88"/>
  <c r="W8" i="88" s="1"/>
  <c r="X8" i="88" s="1"/>
  <c r="U7" i="88"/>
  <c r="U6" i="88"/>
  <c r="U5" i="88" s="1"/>
  <c r="W5" i="88" s="1"/>
  <c r="X5" i="88" s="1"/>
  <c r="U29" i="88"/>
  <c r="U9" i="88"/>
  <c r="W9" i="88" s="1"/>
  <c r="X9" i="88" s="1"/>
  <c r="U19" i="88"/>
  <c r="U20" i="88"/>
  <c r="U30" i="88" s="1"/>
  <c r="W30" i="88" s="1"/>
  <c r="X30" i="88" s="1"/>
  <c r="Q26" i="88"/>
  <c r="N6" i="88"/>
  <c r="R6" i="88" s="1"/>
  <c r="M7" i="88"/>
  <c r="Q7" i="88" s="1"/>
  <c r="N7" i="88"/>
  <c r="R7" i="88" s="1"/>
  <c r="O11" i="88"/>
  <c r="S11" i="88" s="1"/>
  <c r="O12" i="88"/>
  <c r="S12" i="88" s="1"/>
  <c r="L25" i="88"/>
  <c r="P25" i="88" s="1"/>
  <c r="M25" i="88"/>
  <c r="Q25" i="88" s="1"/>
  <c r="N25" i="88"/>
  <c r="R25" i="88" s="1"/>
  <c r="O25" i="88"/>
  <c r="S25" i="88" s="1"/>
  <c r="L26" i="88"/>
  <c r="P26" i="88" s="1"/>
  <c r="M26" i="88"/>
  <c r="N26" i="88"/>
  <c r="R26" i="88" s="1"/>
  <c r="O26" i="88"/>
  <c r="S26" i="88" s="1"/>
  <c r="N36" i="88"/>
  <c r="R36" i="88" s="1"/>
  <c r="M37" i="88"/>
  <c r="Q37" i="88" s="1"/>
  <c r="O39" i="88"/>
  <c r="S39" i="88" s="1"/>
  <c r="K47" i="88"/>
  <c r="K46" i="88"/>
  <c r="K43" i="88"/>
  <c r="K42" i="88"/>
  <c r="K44" i="88" s="1"/>
  <c r="K40" i="88"/>
  <c r="K39" i="88"/>
  <c r="K38" i="88"/>
  <c r="K37" i="88"/>
  <c r="K36" i="88"/>
  <c r="K35" i="88"/>
  <c r="K34" i="88"/>
  <c r="K33" i="88"/>
  <c r="K32" i="88" s="1"/>
  <c r="K24" i="88"/>
  <c r="O24" i="88" s="1"/>
  <c r="S24" i="88" s="1"/>
  <c r="K23" i="88"/>
  <c r="K22" i="88"/>
  <c r="K16" i="88"/>
  <c r="K15" i="88"/>
  <c r="K14" i="88"/>
  <c r="K12" i="88"/>
  <c r="K11" i="88"/>
  <c r="K10" i="88"/>
  <c r="K9" i="88" s="1"/>
  <c r="K8" i="88"/>
  <c r="K7" i="88"/>
  <c r="K6" i="88"/>
  <c r="K5" i="88"/>
  <c r="J47" i="88"/>
  <c r="J46" i="88"/>
  <c r="J43" i="88"/>
  <c r="J42" i="88"/>
  <c r="J44" i="88" s="1"/>
  <c r="J40" i="88"/>
  <c r="J39" i="88"/>
  <c r="N39" i="88" s="1"/>
  <c r="R39" i="88" s="1"/>
  <c r="J38" i="88"/>
  <c r="J37" i="88"/>
  <c r="J36" i="88"/>
  <c r="J35" i="88"/>
  <c r="H35" i="88" s="1"/>
  <c r="J34" i="88"/>
  <c r="H34" i="88" s="1"/>
  <c r="J33" i="88"/>
  <c r="J32" i="88" s="1"/>
  <c r="J24" i="88"/>
  <c r="J23" i="88"/>
  <c r="J22" i="88"/>
  <c r="J21" i="88" s="1"/>
  <c r="J16" i="88"/>
  <c r="J15" i="88"/>
  <c r="J14" i="88"/>
  <c r="J12" i="88"/>
  <c r="J11" i="88"/>
  <c r="J10" i="88"/>
  <c r="J8" i="88"/>
  <c r="J7" i="88"/>
  <c r="J6" i="88"/>
  <c r="I47" i="88"/>
  <c r="H47" i="88" s="1"/>
  <c r="I46" i="88"/>
  <c r="I43" i="88"/>
  <c r="H43" i="88" s="1"/>
  <c r="I42" i="88"/>
  <c r="H42" i="88" s="1"/>
  <c r="I40" i="88"/>
  <c r="I39" i="88"/>
  <c r="I38" i="88"/>
  <c r="I37" i="88"/>
  <c r="I36" i="88"/>
  <c r="H36" i="88" s="1"/>
  <c r="I35" i="88"/>
  <c r="I34" i="88"/>
  <c r="I33" i="88"/>
  <c r="I24" i="88"/>
  <c r="I23" i="88"/>
  <c r="I22" i="88"/>
  <c r="H22" i="88" s="1"/>
  <c r="I16" i="88"/>
  <c r="I20" i="88" s="1"/>
  <c r="I30" i="88" s="1"/>
  <c r="I15" i="88"/>
  <c r="I14" i="88"/>
  <c r="I13" i="88" s="1"/>
  <c r="I12" i="88"/>
  <c r="I11" i="88"/>
  <c r="I10" i="88"/>
  <c r="I8" i="88"/>
  <c r="I7" i="88"/>
  <c r="I6" i="88"/>
  <c r="H6" i="88"/>
  <c r="H7" i="88"/>
  <c r="H8" i="88"/>
  <c r="I19" i="88"/>
  <c r="I29" i="88" s="1"/>
  <c r="G47" i="88"/>
  <c r="G46" i="88"/>
  <c r="G43" i="88"/>
  <c r="G42" i="88"/>
  <c r="G40" i="88"/>
  <c r="O40" i="88" s="1"/>
  <c r="S40" i="88" s="1"/>
  <c r="G39" i="88"/>
  <c r="G38" i="88"/>
  <c r="G37" i="88"/>
  <c r="G36" i="88"/>
  <c r="O36" i="88" s="1"/>
  <c r="S36" i="88" s="1"/>
  <c r="G35" i="88"/>
  <c r="O35" i="88" s="1"/>
  <c r="S35" i="88" s="1"/>
  <c r="G34" i="88"/>
  <c r="G33" i="88"/>
  <c r="O33" i="88" s="1"/>
  <c r="S33" i="88" s="1"/>
  <c r="G24" i="88"/>
  <c r="G23" i="88"/>
  <c r="G22" i="88"/>
  <c r="G16" i="88"/>
  <c r="O16" i="88" s="1"/>
  <c r="S16" i="88" s="1"/>
  <c r="G15" i="88"/>
  <c r="G14" i="88"/>
  <c r="G12" i="88"/>
  <c r="G11" i="88"/>
  <c r="G10" i="88"/>
  <c r="O10" i="88" s="1"/>
  <c r="S10" i="88" s="1"/>
  <c r="G8" i="88"/>
  <c r="G7" i="88"/>
  <c r="O7" i="88" s="1"/>
  <c r="S7" i="88" s="1"/>
  <c r="G6" i="88"/>
  <c r="O6" i="88" s="1"/>
  <c r="S6" i="88" s="1"/>
  <c r="G20" i="88"/>
  <c r="F47" i="88"/>
  <c r="F46" i="88"/>
  <c r="N46" i="88" s="1"/>
  <c r="R46" i="88" s="1"/>
  <c r="F43" i="88"/>
  <c r="F42" i="88"/>
  <c r="F40" i="88"/>
  <c r="N40" i="88" s="1"/>
  <c r="R40" i="88" s="1"/>
  <c r="F39" i="88"/>
  <c r="F38" i="88"/>
  <c r="F37" i="88"/>
  <c r="F36" i="88"/>
  <c r="F35" i="88"/>
  <c r="N35" i="88" s="1"/>
  <c r="R35" i="88" s="1"/>
  <c r="F34" i="88"/>
  <c r="N34" i="88" s="1"/>
  <c r="R34" i="88" s="1"/>
  <c r="F33" i="88"/>
  <c r="N33" i="88" s="1"/>
  <c r="R33" i="88" s="1"/>
  <c r="F24" i="88"/>
  <c r="N24" i="88" s="1"/>
  <c r="R24" i="88" s="1"/>
  <c r="F23" i="88"/>
  <c r="N23" i="88" s="1"/>
  <c r="R23" i="88" s="1"/>
  <c r="F22" i="88"/>
  <c r="F16" i="88"/>
  <c r="N16" i="88" s="1"/>
  <c r="R16" i="88" s="1"/>
  <c r="F15" i="88"/>
  <c r="N15" i="88" s="1"/>
  <c r="R15" i="88" s="1"/>
  <c r="F14" i="88"/>
  <c r="F12" i="88"/>
  <c r="F11" i="88"/>
  <c r="F10" i="88"/>
  <c r="F8" i="88"/>
  <c r="F7" i="88"/>
  <c r="F6" i="88"/>
  <c r="E46" i="88"/>
  <c r="E47" i="88"/>
  <c r="E42" i="88"/>
  <c r="E43" i="88"/>
  <c r="M43" i="88" s="1"/>
  <c r="Q43" i="88" s="1"/>
  <c r="E33" i="88"/>
  <c r="E34" i="88"/>
  <c r="M34" i="88" s="1"/>
  <c r="Q34" i="88" s="1"/>
  <c r="E35" i="88"/>
  <c r="E36" i="88"/>
  <c r="M36" i="88" s="1"/>
  <c r="Q36" i="88" s="1"/>
  <c r="E37" i="88"/>
  <c r="E38" i="88"/>
  <c r="E39" i="88"/>
  <c r="E40" i="88"/>
  <c r="M40" i="88" s="1"/>
  <c r="Q40" i="88" s="1"/>
  <c r="E22" i="88"/>
  <c r="E21" i="88" s="1"/>
  <c r="E23" i="88"/>
  <c r="M23" i="88" s="1"/>
  <c r="Q23" i="88" s="1"/>
  <c r="E24" i="88"/>
  <c r="M24" i="88" s="1"/>
  <c r="Q24" i="88" s="1"/>
  <c r="E14" i="88"/>
  <c r="E15" i="88"/>
  <c r="M15" i="88" s="1"/>
  <c r="Q15" i="88" s="1"/>
  <c r="E16" i="88"/>
  <c r="D16" i="88" s="1"/>
  <c r="E10" i="88"/>
  <c r="E11" i="88"/>
  <c r="E12" i="88"/>
  <c r="E6" i="88"/>
  <c r="E5" i="88" s="1"/>
  <c r="E7" i="88"/>
  <c r="E8" i="88"/>
  <c r="M8" i="88" s="1"/>
  <c r="Q8" i="88" s="1"/>
  <c r="C5" i="86"/>
  <c r="D5" i="86"/>
  <c r="E5" i="86"/>
  <c r="F5" i="86"/>
  <c r="G5" i="86"/>
  <c r="H5" i="86"/>
  <c r="I5" i="86"/>
  <c r="J5" i="86"/>
  <c r="K5" i="86"/>
  <c r="L5" i="86"/>
  <c r="M5" i="86"/>
  <c r="N5" i="86"/>
  <c r="O5" i="86"/>
  <c r="Q5" i="86"/>
  <c r="R5" i="86"/>
  <c r="S5" i="86"/>
  <c r="T5" i="86"/>
  <c r="U5" i="86"/>
  <c r="V5" i="86"/>
  <c r="W5" i="86"/>
  <c r="X5" i="86"/>
  <c r="Y5" i="86"/>
  <c r="Z5" i="86"/>
  <c r="AA5" i="86"/>
  <c r="AB5" i="86"/>
  <c r="AC5" i="86"/>
  <c r="AE5" i="86"/>
  <c r="AF5" i="86"/>
  <c r="AG5" i="86"/>
  <c r="AH5" i="86"/>
  <c r="AI5" i="86"/>
  <c r="AJ5" i="86"/>
  <c r="AK5" i="86"/>
  <c r="AL5" i="86"/>
  <c r="AM5" i="86"/>
  <c r="AN5" i="86"/>
  <c r="AO5" i="86"/>
  <c r="AP5" i="86"/>
  <c r="AQ5" i="86"/>
  <c r="AS5" i="86"/>
  <c r="AT5" i="86"/>
  <c r="AU5" i="86"/>
  <c r="AV5" i="86"/>
  <c r="AW5" i="86"/>
  <c r="AX5" i="86"/>
  <c r="AY5" i="86"/>
  <c r="AZ5" i="86"/>
  <c r="BA5" i="86"/>
  <c r="BB5" i="86"/>
  <c r="BC5" i="86"/>
  <c r="BD5" i="86"/>
  <c r="BE5" i="86"/>
  <c r="BG5" i="86"/>
  <c r="BH5" i="86"/>
  <c r="BI5" i="86"/>
  <c r="BJ5" i="86"/>
  <c r="BK5" i="86"/>
  <c r="BL5" i="86"/>
  <c r="BM5" i="86"/>
  <c r="BN5" i="86"/>
  <c r="BO5" i="86"/>
  <c r="BP5" i="86"/>
  <c r="BQ5" i="86"/>
  <c r="BR5" i="86"/>
  <c r="BS5" i="86"/>
  <c r="BU5" i="86"/>
  <c r="BV5" i="86"/>
  <c r="BW5" i="86"/>
  <c r="BX5" i="86"/>
  <c r="BY5" i="86"/>
  <c r="BZ5" i="86"/>
  <c r="CA5" i="86"/>
  <c r="CB5" i="86"/>
  <c r="CC5" i="86"/>
  <c r="CD5" i="86"/>
  <c r="CE5" i="86"/>
  <c r="CF5" i="86"/>
  <c r="CG5" i="86"/>
  <c r="CI5" i="86"/>
  <c r="CJ5" i="86"/>
  <c r="CK5" i="86"/>
  <c r="CL5" i="86"/>
  <c r="CM5" i="86"/>
  <c r="CN5" i="86"/>
  <c r="CO5" i="86"/>
  <c r="CP5" i="86"/>
  <c r="CQ5" i="86"/>
  <c r="CR5" i="86"/>
  <c r="CS5" i="86"/>
  <c r="CT5" i="86"/>
  <c r="CU5" i="86"/>
  <c r="CW5" i="86"/>
  <c r="CX5" i="86"/>
  <c r="CY5" i="86"/>
  <c r="CZ5" i="86"/>
  <c r="DA5" i="86"/>
  <c r="DB5" i="86"/>
  <c r="DC5" i="86"/>
  <c r="DD5" i="86"/>
  <c r="DE5" i="86"/>
  <c r="DF5" i="86"/>
  <c r="DG5" i="86"/>
  <c r="DH5" i="86"/>
  <c r="DI5" i="86"/>
  <c r="DK5" i="86"/>
  <c r="DL5" i="86"/>
  <c r="DM5" i="86"/>
  <c r="DN5" i="86"/>
  <c r="DO5" i="86"/>
  <c r="DP5" i="86"/>
  <c r="DQ5" i="86"/>
  <c r="DR5" i="86"/>
  <c r="DS5" i="86"/>
  <c r="DT5" i="86"/>
  <c r="DU5" i="86"/>
  <c r="DV5" i="86"/>
  <c r="DW5" i="86"/>
  <c r="DY5" i="86"/>
  <c r="DZ5" i="86"/>
  <c r="EA5" i="86"/>
  <c r="EB5" i="86"/>
  <c r="EC5" i="86"/>
  <c r="ED5" i="86"/>
  <c r="EE5" i="86"/>
  <c r="EF5" i="86"/>
  <c r="EG5" i="86"/>
  <c r="EH5" i="86"/>
  <c r="EI5" i="86"/>
  <c r="EJ5" i="86"/>
  <c r="EK5" i="86"/>
  <c r="C6" i="86"/>
  <c r="D6" i="86"/>
  <c r="E6" i="86"/>
  <c r="F6" i="86"/>
  <c r="G6" i="86"/>
  <c r="H6" i="86"/>
  <c r="I6" i="86"/>
  <c r="J6" i="86"/>
  <c r="K6" i="86"/>
  <c r="L6" i="86"/>
  <c r="M6" i="86"/>
  <c r="N6" i="86"/>
  <c r="O6" i="86"/>
  <c r="AC6" i="86"/>
  <c r="AE6" i="86"/>
  <c r="AF6" i="86"/>
  <c r="AG6" i="86"/>
  <c r="AH6" i="86"/>
  <c r="AI6" i="86"/>
  <c r="AJ6" i="86"/>
  <c r="AK6" i="86"/>
  <c r="AL6" i="86"/>
  <c r="AM6" i="86"/>
  <c r="AN6" i="86"/>
  <c r="AO6" i="86"/>
  <c r="AP6" i="86"/>
  <c r="AQ6" i="86"/>
  <c r="BE6" i="86"/>
  <c r="BG6" i="86"/>
  <c r="BH6" i="86"/>
  <c r="BI6" i="86"/>
  <c r="BJ6" i="86"/>
  <c r="BK6" i="86"/>
  <c r="BL6" i="86"/>
  <c r="BM6" i="86"/>
  <c r="BN6" i="86"/>
  <c r="BO6" i="86"/>
  <c r="BP6" i="86"/>
  <c r="BQ6" i="86"/>
  <c r="BR6" i="86"/>
  <c r="BS6" i="86"/>
  <c r="CG6" i="86"/>
  <c r="CU6" i="86"/>
  <c r="DI6" i="86"/>
  <c r="DW6" i="86"/>
  <c r="EK6" i="86"/>
  <c r="C7" i="86"/>
  <c r="D7" i="86"/>
  <c r="E7" i="86"/>
  <c r="F7" i="86"/>
  <c r="G7" i="86"/>
  <c r="H7" i="86"/>
  <c r="I7" i="86"/>
  <c r="J7" i="86"/>
  <c r="K7" i="86"/>
  <c r="L7" i="86"/>
  <c r="M7" i="86"/>
  <c r="N7" i="86"/>
  <c r="O7" i="86"/>
  <c r="Q7" i="86"/>
  <c r="R7" i="86"/>
  <c r="S7" i="86"/>
  <c r="T7" i="86"/>
  <c r="U7" i="86"/>
  <c r="V7" i="86"/>
  <c r="W7" i="86"/>
  <c r="X7" i="86"/>
  <c r="Y7" i="86"/>
  <c r="Z7" i="86"/>
  <c r="AA7" i="86"/>
  <c r="AB7" i="86"/>
  <c r="AC7" i="86"/>
  <c r="AE7" i="86"/>
  <c r="AF7" i="86"/>
  <c r="AG7" i="86"/>
  <c r="AH7" i="86"/>
  <c r="AI7" i="86"/>
  <c r="AJ7" i="86"/>
  <c r="AK7" i="86"/>
  <c r="AL7" i="86"/>
  <c r="AM7" i="86"/>
  <c r="AN7" i="86"/>
  <c r="AO7" i="86"/>
  <c r="AP7" i="86"/>
  <c r="AQ7" i="86"/>
  <c r="BE7" i="86"/>
  <c r="BG7" i="86"/>
  <c r="BH7" i="86"/>
  <c r="BI7" i="86"/>
  <c r="BJ7" i="86"/>
  <c r="BK7" i="86"/>
  <c r="BL7" i="86"/>
  <c r="BM7" i="86"/>
  <c r="BN7" i="86"/>
  <c r="BO7" i="86"/>
  <c r="BP7" i="86"/>
  <c r="BQ7" i="86"/>
  <c r="BR7" i="86"/>
  <c r="BS7" i="86"/>
  <c r="CG7" i="86"/>
  <c r="CU7" i="86"/>
  <c r="DI7" i="86"/>
  <c r="DW7" i="86"/>
  <c r="EK7" i="86"/>
  <c r="C8" i="86"/>
  <c r="D8" i="86"/>
  <c r="E8" i="86"/>
  <c r="F8" i="86"/>
  <c r="G8" i="86"/>
  <c r="H8" i="86"/>
  <c r="I8" i="86"/>
  <c r="J8" i="86"/>
  <c r="K8" i="86"/>
  <c r="L8" i="86"/>
  <c r="M8" i="86"/>
  <c r="N8" i="86"/>
  <c r="O8" i="86"/>
  <c r="AC8" i="86"/>
  <c r="AE8" i="86"/>
  <c r="AF8" i="86"/>
  <c r="AG8" i="86"/>
  <c r="AH8" i="86"/>
  <c r="AI8" i="86"/>
  <c r="AJ8" i="86"/>
  <c r="AK8" i="86"/>
  <c r="AL8" i="86"/>
  <c r="AM8" i="86"/>
  <c r="AN8" i="86"/>
  <c r="AO8" i="86"/>
  <c r="AP8" i="86"/>
  <c r="AQ8" i="86"/>
  <c r="BE8" i="86"/>
  <c r="BG8" i="86"/>
  <c r="BH8" i="86"/>
  <c r="BI8" i="86"/>
  <c r="BJ8" i="86"/>
  <c r="BK8" i="86"/>
  <c r="BL8" i="86"/>
  <c r="BM8" i="86"/>
  <c r="BN8" i="86"/>
  <c r="BO8" i="86"/>
  <c r="BP8" i="86"/>
  <c r="BQ8" i="86"/>
  <c r="BR8" i="86"/>
  <c r="BS8" i="86"/>
  <c r="CG8" i="86"/>
  <c r="CU8" i="86"/>
  <c r="DI8" i="86"/>
  <c r="DW8" i="86"/>
  <c r="EK8" i="86"/>
  <c r="C9" i="86"/>
  <c r="D9" i="86"/>
  <c r="E9" i="86"/>
  <c r="F9" i="86"/>
  <c r="G9" i="86"/>
  <c r="H9" i="86"/>
  <c r="I9" i="86"/>
  <c r="J9" i="86"/>
  <c r="K9" i="86"/>
  <c r="L9" i="86"/>
  <c r="M9" i="86"/>
  <c r="N9" i="86"/>
  <c r="O9" i="86"/>
  <c r="Q9" i="86"/>
  <c r="R9" i="86"/>
  <c r="S9" i="86"/>
  <c r="T9" i="86"/>
  <c r="U9" i="86"/>
  <c r="V9" i="86"/>
  <c r="W9" i="86"/>
  <c r="X9" i="86"/>
  <c r="Y9" i="86"/>
  <c r="Z9" i="86"/>
  <c r="AA9" i="86"/>
  <c r="AB9" i="86"/>
  <c r="AC9" i="86"/>
  <c r="AE9" i="86"/>
  <c r="AF9" i="86"/>
  <c r="AG9" i="86"/>
  <c r="AH9" i="86"/>
  <c r="AI9" i="86"/>
  <c r="AJ9" i="86"/>
  <c r="AK9" i="86"/>
  <c r="AL9" i="86"/>
  <c r="AM9" i="86"/>
  <c r="AN9" i="86"/>
  <c r="AO9" i="86"/>
  <c r="AP9" i="86"/>
  <c r="AQ9" i="86"/>
  <c r="AS9" i="86"/>
  <c r="AT9" i="86"/>
  <c r="AU9" i="86"/>
  <c r="AV9" i="86"/>
  <c r="AW9" i="86"/>
  <c r="AX9" i="86"/>
  <c r="AY9" i="86"/>
  <c r="AZ9" i="86"/>
  <c r="BA9" i="86"/>
  <c r="BB9" i="86"/>
  <c r="BC9" i="86"/>
  <c r="BD9" i="86"/>
  <c r="BE9" i="86"/>
  <c r="BG9" i="86"/>
  <c r="BH9" i="86"/>
  <c r="BI9" i="86"/>
  <c r="BJ9" i="86"/>
  <c r="BK9" i="86"/>
  <c r="BL9" i="86"/>
  <c r="BM9" i="86"/>
  <c r="BN9" i="86"/>
  <c r="BO9" i="86"/>
  <c r="BP9" i="86"/>
  <c r="BQ9" i="86"/>
  <c r="BR9" i="86"/>
  <c r="BS9" i="86"/>
  <c r="BU9" i="86"/>
  <c r="BV9" i="86"/>
  <c r="BW9" i="86"/>
  <c r="BX9" i="86"/>
  <c r="BY9" i="86"/>
  <c r="BZ9" i="86"/>
  <c r="CA9" i="86"/>
  <c r="CB9" i="86"/>
  <c r="CC9" i="86"/>
  <c r="CD9" i="86"/>
  <c r="CE9" i="86"/>
  <c r="CF9" i="86"/>
  <c r="CG9" i="86"/>
  <c r="CI9" i="86"/>
  <c r="CJ9" i="86"/>
  <c r="CK9" i="86"/>
  <c r="CL9" i="86"/>
  <c r="CM9" i="86"/>
  <c r="CN9" i="86"/>
  <c r="CO9" i="86"/>
  <c r="CP9" i="86"/>
  <c r="CQ9" i="86"/>
  <c r="CR9" i="86"/>
  <c r="CS9" i="86"/>
  <c r="CT9" i="86"/>
  <c r="CU9" i="86"/>
  <c r="CW9" i="86"/>
  <c r="CX9" i="86"/>
  <c r="CY9" i="86"/>
  <c r="CZ9" i="86"/>
  <c r="DA9" i="86"/>
  <c r="DB9" i="86"/>
  <c r="DC9" i="86"/>
  <c r="DD9" i="86"/>
  <c r="DE9" i="86"/>
  <c r="DF9" i="86"/>
  <c r="DG9" i="86"/>
  <c r="DH9" i="86"/>
  <c r="DI9" i="86"/>
  <c r="DK9" i="86"/>
  <c r="DL9" i="86"/>
  <c r="DM9" i="86"/>
  <c r="DN9" i="86"/>
  <c r="DO9" i="86"/>
  <c r="DP9" i="86"/>
  <c r="DQ9" i="86"/>
  <c r="DR9" i="86"/>
  <c r="DS9" i="86"/>
  <c r="DT9" i="86"/>
  <c r="DU9" i="86"/>
  <c r="DV9" i="86"/>
  <c r="DW9" i="86"/>
  <c r="DY9" i="86"/>
  <c r="DZ9" i="86"/>
  <c r="EA9" i="86"/>
  <c r="EB9" i="86"/>
  <c r="EC9" i="86"/>
  <c r="ED9" i="86"/>
  <c r="EE9" i="86"/>
  <c r="EF9" i="86"/>
  <c r="EG9" i="86"/>
  <c r="EH9" i="86"/>
  <c r="EI9" i="86"/>
  <c r="EJ9" i="86"/>
  <c r="EK9" i="86"/>
  <c r="C10" i="86"/>
  <c r="D10" i="86"/>
  <c r="E10" i="86"/>
  <c r="F10" i="86"/>
  <c r="G10" i="86"/>
  <c r="H10" i="86"/>
  <c r="I10" i="86"/>
  <c r="J10" i="86"/>
  <c r="K10" i="86"/>
  <c r="L10" i="86"/>
  <c r="M10" i="86"/>
  <c r="N10" i="86"/>
  <c r="O10" i="86"/>
  <c r="AC10" i="86"/>
  <c r="AE10" i="86"/>
  <c r="AF10" i="86"/>
  <c r="AG10" i="86"/>
  <c r="AH10" i="86"/>
  <c r="AI10" i="86"/>
  <c r="AJ10" i="86"/>
  <c r="AK10" i="86"/>
  <c r="AL10" i="86"/>
  <c r="AM10" i="86"/>
  <c r="AN10" i="86"/>
  <c r="AO10" i="86"/>
  <c r="AP10" i="86"/>
  <c r="AQ10" i="86"/>
  <c r="BE10" i="86"/>
  <c r="BG10" i="86"/>
  <c r="BH10" i="86"/>
  <c r="BI10" i="86"/>
  <c r="BJ10" i="86"/>
  <c r="BK10" i="86"/>
  <c r="BL10" i="86"/>
  <c r="BM10" i="86"/>
  <c r="BN10" i="86"/>
  <c r="BO10" i="86"/>
  <c r="BP10" i="86"/>
  <c r="BQ10" i="86"/>
  <c r="BR10" i="86"/>
  <c r="BS10" i="86"/>
  <c r="CG10" i="86"/>
  <c r="CU10" i="86"/>
  <c r="DI10" i="86"/>
  <c r="DW10" i="86"/>
  <c r="EK10" i="86"/>
  <c r="C11" i="86"/>
  <c r="D11" i="86"/>
  <c r="E11" i="86"/>
  <c r="F11" i="86"/>
  <c r="G11" i="86"/>
  <c r="H11" i="86"/>
  <c r="I11" i="86"/>
  <c r="J11" i="86"/>
  <c r="K11" i="86"/>
  <c r="L11" i="86"/>
  <c r="M11" i="86"/>
  <c r="N11" i="86"/>
  <c r="O11" i="86"/>
  <c r="Q11" i="86"/>
  <c r="R11" i="86"/>
  <c r="S11" i="86"/>
  <c r="T11" i="86"/>
  <c r="U11" i="86"/>
  <c r="V11" i="86"/>
  <c r="W11" i="86"/>
  <c r="X11" i="86"/>
  <c r="Y11" i="86"/>
  <c r="Z11" i="86"/>
  <c r="AA11" i="86"/>
  <c r="AB11" i="86"/>
  <c r="AC11" i="86"/>
  <c r="AE11" i="86"/>
  <c r="AF11" i="86"/>
  <c r="AG11" i="86"/>
  <c r="AH11" i="86"/>
  <c r="AI11" i="86"/>
  <c r="AJ11" i="86"/>
  <c r="AK11" i="86"/>
  <c r="AL11" i="86"/>
  <c r="AM11" i="86"/>
  <c r="AN11" i="86"/>
  <c r="AO11" i="86"/>
  <c r="AP11" i="86"/>
  <c r="AQ11" i="86"/>
  <c r="BE11" i="86"/>
  <c r="BG11" i="86"/>
  <c r="BH11" i="86"/>
  <c r="BI11" i="86"/>
  <c r="BJ11" i="86"/>
  <c r="BK11" i="86"/>
  <c r="BL11" i="86"/>
  <c r="BM11" i="86"/>
  <c r="BN11" i="86"/>
  <c r="BO11" i="86"/>
  <c r="BP11" i="86"/>
  <c r="BQ11" i="86"/>
  <c r="BR11" i="86"/>
  <c r="BS11" i="86"/>
  <c r="CG11" i="86"/>
  <c r="CU11" i="86"/>
  <c r="DI11" i="86"/>
  <c r="DW11" i="86"/>
  <c r="EK11" i="86"/>
  <c r="C12" i="86"/>
  <c r="D12" i="86"/>
  <c r="E12" i="86"/>
  <c r="F12" i="86"/>
  <c r="G12" i="86"/>
  <c r="H12" i="86"/>
  <c r="I12" i="86"/>
  <c r="J12" i="86"/>
  <c r="K12" i="86"/>
  <c r="L12" i="86"/>
  <c r="M12" i="86"/>
  <c r="N12" i="86"/>
  <c r="O12" i="86"/>
  <c r="AC12" i="86"/>
  <c r="AE12" i="86"/>
  <c r="AF12" i="86"/>
  <c r="AG12" i="86"/>
  <c r="AH12" i="86"/>
  <c r="AI12" i="86"/>
  <c r="AJ12" i="86"/>
  <c r="AK12" i="86"/>
  <c r="AL12" i="86"/>
  <c r="AM12" i="86"/>
  <c r="AN12" i="86"/>
  <c r="AO12" i="86"/>
  <c r="AP12" i="86"/>
  <c r="AQ12" i="86"/>
  <c r="BE12" i="86"/>
  <c r="BG12" i="86"/>
  <c r="BH12" i="86"/>
  <c r="BI12" i="86"/>
  <c r="BJ12" i="86"/>
  <c r="BK12" i="86"/>
  <c r="BL12" i="86"/>
  <c r="BM12" i="86"/>
  <c r="BN12" i="86"/>
  <c r="BO12" i="86"/>
  <c r="BP12" i="86"/>
  <c r="BQ12" i="86"/>
  <c r="BR12" i="86"/>
  <c r="BS12" i="86"/>
  <c r="CG12" i="86"/>
  <c r="CU12" i="86"/>
  <c r="DI12" i="86"/>
  <c r="DW12" i="86"/>
  <c r="EK12" i="86"/>
  <c r="C13" i="86"/>
  <c r="D13" i="86"/>
  <c r="E13" i="86"/>
  <c r="F13" i="86"/>
  <c r="G13" i="86"/>
  <c r="H13" i="86"/>
  <c r="I13" i="86"/>
  <c r="J13" i="86"/>
  <c r="K13" i="86"/>
  <c r="L13" i="86"/>
  <c r="M13" i="86"/>
  <c r="N13" i="86"/>
  <c r="O13" i="86"/>
  <c r="Q13" i="86"/>
  <c r="R13" i="86"/>
  <c r="S13" i="86"/>
  <c r="T13" i="86"/>
  <c r="U13" i="86"/>
  <c r="V13" i="86"/>
  <c r="W13" i="86"/>
  <c r="X13" i="86"/>
  <c r="Y13" i="86"/>
  <c r="Z13" i="86"/>
  <c r="AA13" i="86"/>
  <c r="AB13" i="86"/>
  <c r="AC13" i="86"/>
  <c r="AE13" i="86"/>
  <c r="AF13" i="86"/>
  <c r="AG13" i="86"/>
  <c r="AH13" i="86"/>
  <c r="AI13" i="86"/>
  <c r="AJ13" i="86"/>
  <c r="AK13" i="86"/>
  <c r="AL13" i="86"/>
  <c r="AM13" i="86"/>
  <c r="AN13" i="86"/>
  <c r="AO13" i="86"/>
  <c r="AP13" i="86"/>
  <c r="AQ13" i="86"/>
  <c r="AS13" i="86"/>
  <c r="AT13" i="86"/>
  <c r="AU13" i="86"/>
  <c r="AV13" i="86"/>
  <c r="AW13" i="86"/>
  <c r="AX13" i="86"/>
  <c r="AY13" i="86"/>
  <c r="AZ13" i="86"/>
  <c r="BA13" i="86"/>
  <c r="BB13" i="86"/>
  <c r="BC13" i="86"/>
  <c r="BD13" i="86"/>
  <c r="BE13" i="86"/>
  <c r="BG13" i="86"/>
  <c r="BH13" i="86"/>
  <c r="BI13" i="86"/>
  <c r="BJ13" i="86"/>
  <c r="BK13" i="86"/>
  <c r="BL13" i="86"/>
  <c r="BM13" i="86"/>
  <c r="BN13" i="86"/>
  <c r="BO13" i="86"/>
  <c r="BP13" i="86"/>
  <c r="BQ13" i="86"/>
  <c r="BR13" i="86"/>
  <c r="BS13" i="86"/>
  <c r="BU13" i="86"/>
  <c r="BV13" i="86"/>
  <c r="BW13" i="86"/>
  <c r="BX13" i="86"/>
  <c r="BY13" i="86"/>
  <c r="BZ13" i="86"/>
  <c r="CA13" i="86"/>
  <c r="CB13" i="86"/>
  <c r="CC13" i="86"/>
  <c r="CD13" i="86"/>
  <c r="CE13" i="86"/>
  <c r="CF13" i="86"/>
  <c r="CG13" i="86"/>
  <c r="CI13" i="86"/>
  <c r="CJ13" i="86"/>
  <c r="CK13" i="86"/>
  <c r="CL13" i="86"/>
  <c r="CM13" i="86"/>
  <c r="CN13" i="86"/>
  <c r="CO13" i="86"/>
  <c r="CP13" i="86"/>
  <c r="CQ13" i="86"/>
  <c r="CR13" i="86"/>
  <c r="CS13" i="86"/>
  <c r="CT13" i="86"/>
  <c r="CU13" i="86"/>
  <c r="CW13" i="86"/>
  <c r="CX13" i="86"/>
  <c r="CY13" i="86"/>
  <c r="CZ13" i="86"/>
  <c r="DA13" i="86"/>
  <c r="DB13" i="86"/>
  <c r="DC13" i="86"/>
  <c r="DD13" i="86"/>
  <c r="DE13" i="86"/>
  <c r="DF13" i="86"/>
  <c r="DG13" i="86"/>
  <c r="DH13" i="86"/>
  <c r="DI13" i="86"/>
  <c r="DK13" i="86"/>
  <c r="DL13" i="86"/>
  <c r="DM13" i="86"/>
  <c r="DN13" i="86"/>
  <c r="DO13" i="86"/>
  <c r="DP13" i="86"/>
  <c r="DQ13" i="86"/>
  <c r="DR13" i="86"/>
  <c r="DS13" i="86"/>
  <c r="DT13" i="86"/>
  <c r="DU13" i="86"/>
  <c r="DV13" i="86"/>
  <c r="DW13" i="86"/>
  <c r="DY13" i="86"/>
  <c r="DZ13" i="86"/>
  <c r="EA13" i="86"/>
  <c r="EB13" i="86"/>
  <c r="EC13" i="86"/>
  <c r="ED13" i="86"/>
  <c r="EE13" i="86"/>
  <c r="EF13" i="86"/>
  <c r="EG13" i="86"/>
  <c r="EH13" i="86"/>
  <c r="EI13" i="86"/>
  <c r="EJ13" i="86"/>
  <c r="EK13" i="86"/>
  <c r="C14" i="86"/>
  <c r="D14" i="86"/>
  <c r="E14" i="86"/>
  <c r="F14" i="86"/>
  <c r="G14" i="86"/>
  <c r="H14" i="86"/>
  <c r="I14" i="86"/>
  <c r="J14" i="86"/>
  <c r="K14" i="86"/>
  <c r="L14" i="86"/>
  <c r="M14" i="86"/>
  <c r="N14" i="86"/>
  <c r="O14" i="86"/>
  <c r="AC14" i="86"/>
  <c r="AE14" i="86"/>
  <c r="AF14" i="86"/>
  <c r="AG14" i="86"/>
  <c r="AH14" i="86"/>
  <c r="AI14" i="86"/>
  <c r="AJ14" i="86"/>
  <c r="AK14" i="86"/>
  <c r="AL14" i="86"/>
  <c r="AM14" i="86"/>
  <c r="AN14" i="86"/>
  <c r="AO14" i="86"/>
  <c r="AP14" i="86"/>
  <c r="AQ14" i="86"/>
  <c r="BE14" i="86"/>
  <c r="BG14" i="86"/>
  <c r="BH14" i="86"/>
  <c r="BI14" i="86"/>
  <c r="BJ14" i="86"/>
  <c r="BK14" i="86"/>
  <c r="BL14" i="86"/>
  <c r="BM14" i="86"/>
  <c r="BN14" i="86"/>
  <c r="BO14" i="86"/>
  <c r="BP14" i="86"/>
  <c r="BQ14" i="86"/>
  <c r="BR14" i="86"/>
  <c r="BS14" i="86"/>
  <c r="CG14" i="86"/>
  <c r="CU14" i="86"/>
  <c r="DI14" i="86"/>
  <c r="DW14" i="86"/>
  <c r="EK14" i="86"/>
  <c r="C15" i="86"/>
  <c r="D15" i="86"/>
  <c r="E15" i="86"/>
  <c r="F15" i="86"/>
  <c r="G15" i="86"/>
  <c r="H15" i="86"/>
  <c r="I15" i="86"/>
  <c r="J15" i="86"/>
  <c r="K15" i="86"/>
  <c r="L15" i="86"/>
  <c r="M15" i="86"/>
  <c r="N15" i="86"/>
  <c r="O15" i="86"/>
  <c r="AC15" i="86"/>
  <c r="AE15" i="86"/>
  <c r="AF15" i="86"/>
  <c r="AG15" i="86"/>
  <c r="AH15" i="86"/>
  <c r="AI15" i="86"/>
  <c r="AJ15" i="86"/>
  <c r="AK15" i="86"/>
  <c r="AL15" i="86"/>
  <c r="AM15" i="86"/>
  <c r="AN15" i="86"/>
  <c r="AO15" i="86"/>
  <c r="AP15" i="86"/>
  <c r="AQ15" i="86"/>
  <c r="BE15" i="86"/>
  <c r="BG15" i="86"/>
  <c r="BH15" i="86"/>
  <c r="BI15" i="86"/>
  <c r="BJ15" i="86"/>
  <c r="BK15" i="86"/>
  <c r="BL15" i="86"/>
  <c r="BM15" i="86"/>
  <c r="BN15" i="86"/>
  <c r="BO15" i="86"/>
  <c r="BP15" i="86"/>
  <c r="BQ15" i="86"/>
  <c r="BR15" i="86"/>
  <c r="BS15" i="86"/>
  <c r="CG15" i="86"/>
  <c r="CU15" i="86"/>
  <c r="DI15" i="86"/>
  <c r="DW15" i="86"/>
  <c r="EK15" i="86"/>
  <c r="C16" i="86"/>
  <c r="D16" i="86"/>
  <c r="E16" i="86"/>
  <c r="F16" i="86"/>
  <c r="G16" i="86"/>
  <c r="H16" i="86"/>
  <c r="I16" i="86"/>
  <c r="J16" i="86"/>
  <c r="K16" i="86"/>
  <c r="L16" i="86"/>
  <c r="M16" i="86"/>
  <c r="N16" i="86"/>
  <c r="O16" i="86"/>
  <c r="AC16" i="86"/>
  <c r="AE16" i="86"/>
  <c r="AF16" i="86"/>
  <c r="AG16" i="86"/>
  <c r="AH16" i="86"/>
  <c r="AI16" i="86"/>
  <c r="AJ16" i="86"/>
  <c r="AK16" i="86"/>
  <c r="AL16" i="86"/>
  <c r="AM16" i="86"/>
  <c r="AN16" i="86"/>
  <c r="AO16" i="86"/>
  <c r="AP16" i="86"/>
  <c r="AQ16" i="86"/>
  <c r="BE16" i="86"/>
  <c r="BG16" i="86"/>
  <c r="BH16" i="86"/>
  <c r="BI16" i="86"/>
  <c r="BJ16" i="86"/>
  <c r="BK16" i="86"/>
  <c r="BL16" i="86"/>
  <c r="BM16" i="86"/>
  <c r="BN16" i="86"/>
  <c r="BO16" i="86"/>
  <c r="BP16" i="86"/>
  <c r="BQ16" i="86"/>
  <c r="BR16" i="86"/>
  <c r="BS16" i="86"/>
  <c r="CG16" i="86"/>
  <c r="CU16" i="86"/>
  <c r="DI16" i="86"/>
  <c r="DW16" i="86"/>
  <c r="EK16" i="86"/>
  <c r="C17" i="86"/>
  <c r="D17" i="86"/>
  <c r="E17" i="86"/>
  <c r="F17" i="86"/>
  <c r="G17" i="86"/>
  <c r="H17" i="86"/>
  <c r="I17" i="86"/>
  <c r="J17" i="86"/>
  <c r="K17" i="86"/>
  <c r="L17" i="86"/>
  <c r="M17" i="86"/>
  <c r="N17" i="86"/>
  <c r="O17" i="86"/>
  <c r="Q17" i="86"/>
  <c r="R17" i="86"/>
  <c r="S17" i="86"/>
  <c r="T17" i="86"/>
  <c r="U17" i="86"/>
  <c r="V17" i="86"/>
  <c r="W17" i="86"/>
  <c r="X17" i="86"/>
  <c r="Y17" i="86"/>
  <c r="Z17" i="86"/>
  <c r="AA17" i="86"/>
  <c r="AB17" i="86"/>
  <c r="AC17" i="86"/>
  <c r="AE17" i="86"/>
  <c r="AF17" i="86"/>
  <c r="AG17" i="86"/>
  <c r="AH17" i="86"/>
  <c r="AI17" i="86"/>
  <c r="AJ17" i="86"/>
  <c r="AK17" i="86"/>
  <c r="AL17" i="86"/>
  <c r="AM17" i="86"/>
  <c r="AN17" i="86"/>
  <c r="AO17" i="86"/>
  <c r="AP17" i="86"/>
  <c r="AQ17" i="86"/>
  <c r="AS17" i="86"/>
  <c r="AT17" i="86"/>
  <c r="AU17" i="86"/>
  <c r="AV17" i="86"/>
  <c r="AW17" i="86"/>
  <c r="AX17" i="86"/>
  <c r="AY17" i="86"/>
  <c r="AZ17" i="86"/>
  <c r="BA17" i="86"/>
  <c r="BB17" i="86"/>
  <c r="BC17" i="86"/>
  <c r="BD17" i="86"/>
  <c r="BE17" i="86"/>
  <c r="BG17" i="86"/>
  <c r="BH17" i="86"/>
  <c r="BI17" i="86"/>
  <c r="BJ17" i="86"/>
  <c r="BK17" i="86"/>
  <c r="BL17" i="86"/>
  <c r="BM17" i="86"/>
  <c r="BN17" i="86"/>
  <c r="BO17" i="86"/>
  <c r="BP17" i="86"/>
  <c r="BQ17" i="86"/>
  <c r="BR17" i="86"/>
  <c r="BS17" i="86"/>
  <c r="BU17" i="86"/>
  <c r="BV17" i="86"/>
  <c r="BW17" i="86"/>
  <c r="BX17" i="86"/>
  <c r="BY17" i="86"/>
  <c r="BZ17" i="86"/>
  <c r="CA17" i="86"/>
  <c r="CB17" i="86"/>
  <c r="CC17" i="86"/>
  <c r="CD17" i="86"/>
  <c r="CE17" i="86"/>
  <c r="CF17" i="86"/>
  <c r="CG17" i="86"/>
  <c r="CI17" i="86"/>
  <c r="CJ17" i="86"/>
  <c r="CK17" i="86"/>
  <c r="CL17" i="86"/>
  <c r="CM17" i="86"/>
  <c r="CN17" i="86"/>
  <c r="CO17" i="86"/>
  <c r="CP17" i="86"/>
  <c r="CQ17" i="86"/>
  <c r="CR17" i="86"/>
  <c r="CS17" i="86"/>
  <c r="CT17" i="86"/>
  <c r="CU17" i="86"/>
  <c r="CW17" i="86"/>
  <c r="CX17" i="86"/>
  <c r="CY17" i="86"/>
  <c r="CZ17" i="86"/>
  <c r="DA17" i="86"/>
  <c r="DB17" i="86"/>
  <c r="DC17" i="86"/>
  <c r="DD17" i="86"/>
  <c r="DE17" i="86"/>
  <c r="DF17" i="86"/>
  <c r="DG17" i="86"/>
  <c r="DH17" i="86"/>
  <c r="DI17" i="86"/>
  <c r="DK17" i="86"/>
  <c r="DL17" i="86"/>
  <c r="DM17" i="86"/>
  <c r="DN17" i="86"/>
  <c r="DO17" i="86"/>
  <c r="DP17" i="86"/>
  <c r="DQ17" i="86"/>
  <c r="DR17" i="86"/>
  <c r="DS17" i="86"/>
  <c r="DT17" i="86"/>
  <c r="DU17" i="86"/>
  <c r="DV17" i="86"/>
  <c r="DW17" i="86"/>
  <c r="DY17" i="86"/>
  <c r="DZ17" i="86"/>
  <c r="EA17" i="86"/>
  <c r="EB17" i="86"/>
  <c r="EC17" i="86"/>
  <c r="ED17" i="86"/>
  <c r="EE17" i="86"/>
  <c r="EF17" i="86"/>
  <c r="EG17" i="86"/>
  <c r="EH17" i="86"/>
  <c r="EI17" i="86"/>
  <c r="EJ17" i="86"/>
  <c r="EK17" i="86"/>
  <c r="C18" i="86"/>
  <c r="D18" i="86"/>
  <c r="E18" i="86"/>
  <c r="F18" i="86"/>
  <c r="G18" i="86"/>
  <c r="H18" i="86"/>
  <c r="I18" i="86"/>
  <c r="J18" i="86"/>
  <c r="K18" i="86"/>
  <c r="L18" i="86"/>
  <c r="M18" i="86"/>
  <c r="N18" i="86"/>
  <c r="O18" i="86"/>
  <c r="Q18" i="86"/>
  <c r="R18" i="86"/>
  <c r="S18" i="86"/>
  <c r="T18" i="86"/>
  <c r="U18" i="86"/>
  <c r="V18" i="86"/>
  <c r="W18" i="86"/>
  <c r="X18" i="86"/>
  <c r="Y18" i="86"/>
  <c r="Z18" i="86"/>
  <c r="AA18" i="86"/>
  <c r="AB18" i="86"/>
  <c r="AC18" i="86"/>
  <c r="AE18" i="86"/>
  <c r="AF18" i="86"/>
  <c r="AG18" i="86"/>
  <c r="AH18" i="86"/>
  <c r="AI18" i="86"/>
  <c r="AJ18" i="86"/>
  <c r="AK18" i="86"/>
  <c r="AL18" i="86"/>
  <c r="AM18" i="86"/>
  <c r="AN18" i="86"/>
  <c r="AO18" i="86"/>
  <c r="AP18" i="86"/>
  <c r="AQ18" i="86"/>
  <c r="AS18" i="86"/>
  <c r="AT18" i="86"/>
  <c r="AU18" i="86"/>
  <c r="AV18" i="86"/>
  <c r="AW18" i="86"/>
  <c r="AX18" i="86"/>
  <c r="AY18" i="86"/>
  <c r="AZ18" i="86"/>
  <c r="BA18" i="86"/>
  <c r="BB18" i="86"/>
  <c r="BC18" i="86"/>
  <c r="BD18" i="86"/>
  <c r="BE18" i="86"/>
  <c r="BG18" i="86"/>
  <c r="BH18" i="86"/>
  <c r="BI18" i="86"/>
  <c r="BJ18" i="86"/>
  <c r="BK18" i="86"/>
  <c r="BL18" i="86"/>
  <c r="BM18" i="86"/>
  <c r="BN18" i="86"/>
  <c r="BO18" i="86"/>
  <c r="BP18" i="86"/>
  <c r="BQ18" i="86"/>
  <c r="BR18" i="86"/>
  <c r="BS18" i="86"/>
  <c r="BU18" i="86"/>
  <c r="BV18" i="86"/>
  <c r="BW18" i="86"/>
  <c r="BX18" i="86"/>
  <c r="BY18" i="86"/>
  <c r="BZ18" i="86"/>
  <c r="CA18" i="86"/>
  <c r="CB18" i="86"/>
  <c r="CC18" i="86"/>
  <c r="CD18" i="86"/>
  <c r="CE18" i="86"/>
  <c r="CF18" i="86"/>
  <c r="CG18" i="86"/>
  <c r="CI18" i="86"/>
  <c r="CJ18" i="86"/>
  <c r="CK18" i="86"/>
  <c r="CL18" i="86"/>
  <c r="CM18" i="86"/>
  <c r="CN18" i="86"/>
  <c r="CO18" i="86"/>
  <c r="CP18" i="86"/>
  <c r="CQ18" i="86"/>
  <c r="CR18" i="86"/>
  <c r="CS18" i="86"/>
  <c r="CT18" i="86"/>
  <c r="CU18" i="86"/>
  <c r="CW18" i="86"/>
  <c r="CX18" i="86"/>
  <c r="CY18" i="86"/>
  <c r="CZ18" i="86"/>
  <c r="DA18" i="86"/>
  <c r="DB18" i="86"/>
  <c r="DC18" i="86"/>
  <c r="DD18" i="86"/>
  <c r="DE18" i="86"/>
  <c r="DF18" i="86"/>
  <c r="DG18" i="86"/>
  <c r="DH18" i="86"/>
  <c r="DI18" i="86"/>
  <c r="DK18" i="86"/>
  <c r="DL18" i="86"/>
  <c r="DM18" i="86"/>
  <c r="DN18" i="86"/>
  <c r="DO18" i="86"/>
  <c r="DP18" i="86"/>
  <c r="DQ18" i="86"/>
  <c r="DR18" i="86"/>
  <c r="DS18" i="86"/>
  <c r="DT18" i="86"/>
  <c r="DU18" i="86"/>
  <c r="DV18" i="86"/>
  <c r="DW18" i="86"/>
  <c r="DY18" i="86"/>
  <c r="DZ18" i="86"/>
  <c r="EA18" i="86"/>
  <c r="EB18" i="86"/>
  <c r="EC18" i="86"/>
  <c r="ED18" i="86"/>
  <c r="EE18" i="86"/>
  <c r="EF18" i="86"/>
  <c r="EG18" i="86"/>
  <c r="EH18" i="86"/>
  <c r="EI18" i="86"/>
  <c r="EJ18" i="86"/>
  <c r="EK18" i="86"/>
  <c r="C19" i="86"/>
  <c r="D19" i="86"/>
  <c r="E19" i="86"/>
  <c r="F19" i="86"/>
  <c r="G19" i="86"/>
  <c r="H19" i="86"/>
  <c r="I19" i="86"/>
  <c r="J19" i="86"/>
  <c r="K19" i="86"/>
  <c r="L19" i="86"/>
  <c r="M19" i="86"/>
  <c r="N19" i="86"/>
  <c r="O19" i="86"/>
  <c r="Q19" i="86"/>
  <c r="R19" i="86"/>
  <c r="S19" i="86"/>
  <c r="T19" i="86"/>
  <c r="U19" i="86"/>
  <c r="V19" i="86"/>
  <c r="W19" i="86"/>
  <c r="X19" i="86"/>
  <c r="Y19" i="86"/>
  <c r="Z19" i="86"/>
  <c r="AA19" i="86"/>
  <c r="AB19" i="86"/>
  <c r="AC19" i="86"/>
  <c r="AE19" i="86"/>
  <c r="AF19" i="86"/>
  <c r="AG19" i="86"/>
  <c r="AH19" i="86"/>
  <c r="AI19" i="86"/>
  <c r="AJ19" i="86"/>
  <c r="AK19" i="86"/>
  <c r="AL19" i="86"/>
  <c r="AM19" i="86"/>
  <c r="AN19" i="86"/>
  <c r="AO19" i="86"/>
  <c r="AP19" i="86"/>
  <c r="AQ19" i="86"/>
  <c r="AS19" i="86"/>
  <c r="AT19" i="86"/>
  <c r="AU19" i="86"/>
  <c r="AV19" i="86"/>
  <c r="AW19" i="86"/>
  <c r="AX19" i="86"/>
  <c r="AY19" i="86"/>
  <c r="AZ19" i="86"/>
  <c r="BA19" i="86"/>
  <c r="BB19" i="86"/>
  <c r="BC19" i="86"/>
  <c r="BD19" i="86"/>
  <c r="BE19" i="86"/>
  <c r="BG19" i="86"/>
  <c r="BH19" i="86"/>
  <c r="BI19" i="86"/>
  <c r="BJ19" i="86"/>
  <c r="BK19" i="86"/>
  <c r="BL19" i="86"/>
  <c r="BM19" i="86"/>
  <c r="BN19" i="86"/>
  <c r="BO19" i="86"/>
  <c r="BP19" i="86"/>
  <c r="BQ19" i="86"/>
  <c r="BR19" i="86"/>
  <c r="BS19" i="86"/>
  <c r="BU19" i="86"/>
  <c r="BV19" i="86"/>
  <c r="BW19" i="86"/>
  <c r="BX19" i="86"/>
  <c r="BY19" i="86"/>
  <c r="BZ19" i="86"/>
  <c r="CA19" i="86"/>
  <c r="CB19" i="86"/>
  <c r="CC19" i="86"/>
  <c r="CD19" i="86"/>
  <c r="CE19" i="86"/>
  <c r="CF19" i="86"/>
  <c r="CG19" i="86"/>
  <c r="CI19" i="86"/>
  <c r="CJ19" i="86"/>
  <c r="CK19" i="86"/>
  <c r="CL19" i="86"/>
  <c r="CM19" i="86"/>
  <c r="CN19" i="86"/>
  <c r="CO19" i="86"/>
  <c r="CP19" i="86"/>
  <c r="CQ19" i="86"/>
  <c r="CR19" i="86"/>
  <c r="CS19" i="86"/>
  <c r="CT19" i="86"/>
  <c r="CU19" i="86"/>
  <c r="CW19" i="86"/>
  <c r="CX19" i="86"/>
  <c r="CY19" i="86"/>
  <c r="CZ19" i="86"/>
  <c r="DA19" i="86"/>
  <c r="DB19" i="86"/>
  <c r="DC19" i="86"/>
  <c r="DD19" i="86"/>
  <c r="DE19" i="86"/>
  <c r="DF19" i="86"/>
  <c r="DG19" i="86"/>
  <c r="DH19" i="86"/>
  <c r="DI19" i="86"/>
  <c r="DK19" i="86"/>
  <c r="DL19" i="86"/>
  <c r="DM19" i="86"/>
  <c r="DN19" i="86"/>
  <c r="DO19" i="86"/>
  <c r="DP19" i="86"/>
  <c r="DQ19" i="86"/>
  <c r="DR19" i="86"/>
  <c r="DS19" i="86"/>
  <c r="DT19" i="86"/>
  <c r="DU19" i="86"/>
  <c r="DV19" i="86"/>
  <c r="DW19" i="86"/>
  <c r="DY19" i="86"/>
  <c r="DZ19" i="86"/>
  <c r="EA19" i="86"/>
  <c r="EB19" i="86"/>
  <c r="EC19" i="86"/>
  <c r="ED19" i="86"/>
  <c r="EE19" i="86"/>
  <c r="EF19" i="86"/>
  <c r="EG19" i="86"/>
  <c r="EH19" i="86"/>
  <c r="EI19" i="86"/>
  <c r="EJ19" i="86"/>
  <c r="EK19" i="86"/>
  <c r="C20" i="86"/>
  <c r="D20" i="86"/>
  <c r="E20" i="86"/>
  <c r="F20" i="86"/>
  <c r="G20" i="86"/>
  <c r="H20" i="86"/>
  <c r="I20" i="86"/>
  <c r="J20" i="86"/>
  <c r="K20" i="86"/>
  <c r="L20" i="86"/>
  <c r="M20" i="86"/>
  <c r="N20" i="86"/>
  <c r="O20" i="86"/>
  <c r="Q20" i="86"/>
  <c r="R20" i="86"/>
  <c r="S20" i="86"/>
  <c r="T20" i="86"/>
  <c r="U20" i="86"/>
  <c r="V20" i="86"/>
  <c r="W20" i="86"/>
  <c r="X20" i="86"/>
  <c r="Y20" i="86"/>
  <c r="Z20" i="86"/>
  <c r="AA20" i="86"/>
  <c r="AB20" i="86"/>
  <c r="AC20" i="86"/>
  <c r="AE20" i="86"/>
  <c r="AF20" i="86"/>
  <c r="AG20" i="86"/>
  <c r="AH20" i="86"/>
  <c r="AI20" i="86"/>
  <c r="AJ20" i="86"/>
  <c r="AK20" i="86"/>
  <c r="AL20" i="86"/>
  <c r="AM20" i="86"/>
  <c r="AN20" i="86"/>
  <c r="AO20" i="86"/>
  <c r="AP20" i="86"/>
  <c r="AQ20" i="86"/>
  <c r="AS20" i="86"/>
  <c r="AT20" i="86"/>
  <c r="AU20" i="86"/>
  <c r="AV20" i="86"/>
  <c r="AW20" i="86"/>
  <c r="AX20" i="86"/>
  <c r="AY20" i="86"/>
  <c r="AZ20" i="86"/>
  <c r="BA20" i="86"/>
  <c r="BB20" i="86"/>
  <c r="BC20" i="86"/>
  <c r="BD20" i="86"/>
  <c r="BE20" i="86"/>
  <c r="BG20" i="86"/>
  <c r="BH20" i="86"/>
  <c r="BI20" i="86"/>
  <c r="BJ20" i="86"/>
  <c r="BK20" i="86"/>
  <c r="BL20" i="86"/>
  <c r="BM20" i="86"/>
  <c r="BN20" i="86"/>
  <c r="BO20" i="86"/>
  <c r="BP20" i="86"/>
  <c r="BQ20" i="86"/>
  <c r="BR20" i="86"/>
  <c r="BS20" i="86"/>
  <c r="BU20" i="86"/>
  <c r="BV20" i="86"/>
  <c r="BW20" i="86"/>
  <c r="BX20" i="86"/>
  <c r="BY20" i="86"/>
  <c r="BZ20" i="86"/>
  <c r="CA20" i="86"/>
  <c r="CB20" i="86"/>
  <c r="CC20" i="86"/>
  <c r="CD20" i="86"/>
  <c r="CE20" i="86"/>
  <c r="CF20" i="86"/>
  <c r="CG20" i="86"/>
  <c r="CI20" i="86"/>
  <c r="CJ20" i="86"/>
  <c r="CK20" i="86"/>
  <c r="CL20" i="86"/>
  <c r="CM20" i="86"/>
  <c r="CN20" i="86"/>
  <c r="CO20" i="86"/>
  <c r="CP20" i="86"/>
  <c r="CQ20" i="86"/>
  <c r="CR20" i="86"/>
  <c r="CS20" i="86"/>
  <c r="CT20" i="86"/>
  <c r="CU20" i="86"/>
  <c r="CW20" i="86"/>
  <c r="CX20" i="86"/>
  <c r="CY20" i="86"/>
  <c r="CZ20" i="86"/>
  <c r="DA20" i="86"/>
  <c r="DB20" i="86"/>
  <c r="DC20" i="86"/>
  <c r="DD20" i="86"/>
  <c r="DE20" i="86"/>
  <c r="DF20" i="86"/>
  <c r="DG20" i="86"/>
  <c r="DH20" i="86"/>
  <c r="DI20" i="86"/>
  <c r="DK20" i="86"/>
  <c r="DL20" i="86"/>
  <c r="DM20" i="86"/>
  <c r="DN20" i="86"/>
  <c r="DO20" i="86"/>
  <c r="DP20" i="86"/>
  <c r="DQ20" i="86"/>
  <c r="DR20" i="86"/>
  <c r="DS20" i="86"/>
  <c r="DT20" i="86"/>
  <c r="DU20" i="86"/>
  <c r="DV20" i="86"/>
  <c r="DW20" i="86"/>
  <c r="DY20" i="86"/>
  <c r="DZ20" i="86"/>
  <c r="EA20" i="86"/>
  <c r="EB20" i="86"/>
  <c r="EC20" i="86"/>
  <c r="ED20" i="86"/>
  <c r="EE20" i="86"/>
  <c r="EF20" i="86"/>
  <c r="EG20" i="86"/>
  <c r="EH20" i="86"/>
  <c r="EI20" i="86"/>
  <c r="EJ20" i="86"/>
  <c r="EK20" i="86"/>
  <c r="AE21" i="86"/>
  <c r="AF21" i="86"/>
  <c r="AG21" i="86"/>
  <c r="AH21" i="86"/>
  <c r="AI21" i="86"/>
  <c r="AJ21" i="86"/>
  <c r="AK21" i="86"/>
  <c r="AL21" i="86"/>
  <c r="AM21" i="86"/>
  <c r="AN21" i="86"/>
  <c r="AO21" i="86"/>
  <c r="AP21" i="86"/>
  <c r="AQ21" i="86"/>
  <c r="AS21" i="86"/>
  <c r="AT21" i="86"/>
  <c r="AU21" i="86"/>
  <c r="AV21" i="86"/>
  <c r="AW21" i="86"/>
  <c r="AX21" i="86"/>
  <c r="AY21" i="86"/>
  <c r="AZ21" i="86"/>
  <c r="BA21" i="86"/>
  <c r="BB21" i="86"/>
  <c r="BC21" i="86"/>
  <c r="BD21" i="86"/>
  <c r="BE21" i="86"/>
  <c r="BG21" i="86"/>
  <c r="BH21" i="86"/>
  <c r="BI21" i="86"/>
  <c r="BJ21" i="86"/>
  <c r="BK21" i="86"/>
  <c r="BL21" i="86"/>
  <c r="BM21" i="86"/>
  <c r="BN21" i="86"/>
  <c r="BO21" i="86"/>
  <c r="BP21" i="86"/>
  <c r="BQ21" i="86"/>
  <c r="BR21" i="86"/>
  <c r="BS21" i="86"/>
  <c r="BU21" i="86"/>
  <c r="BV21" i="86"/>
  <c r="BW21" i="86"/>
  <c r="BX21" i="86"/>
  <c r="BY21" i="86"/>
  <c r="BZ21" i="86"/>
  <c r="CA21" i="86"/>
  <c r="CB21" i="86"/>
  <c r="CC21" i="86"/>
  <c r="CD21" i="86"/>
  <c r="CE21" i="86"/>
  <c r="CF21" i="86"/>
  <c r="CG21" i="86"/>
  <c r="CI21" i="86"/>
  <c r="CJ21" i="86"/>
  <c r="CK21" i="86"/>
  <c r="CL21" i="86"/>
  <c r="CM21" i="86"/>
  <c r="CN21" i="86"/>
  <c r="CO21" i="86"/>
  <c r="CP21" i="86"/>
  <c r="CQ21" i="86"/>
  <c r="CR21" i="86"/>
  <c r="CS21" i="86"/>
  <c r="CT21" i="86"/>
  <c r="CU21" i="86"/>
  <c r="CW21" i="86"/>
  <c r="CX21" i="86"/>
  <c r="CY21" i="86"/>
  <c r="CZ21" i="86"/>
  <c r="DA21" i="86"/>
  <c r="DB21" i="86"/>
  <c r="DC21" i="86"/>
  <c r="DD21" i="86"/>
  <c r="DE21" i="86"/>
  <c r="DF21" i="86"/>
  <c r="DG21" i="86"/>
  <c r="DH21" i="86"/>
  <c r="DI21" i="86"/>
  <c r="DK21" i="86"/>
  <c r="DL21" i="86"/>
  <c r="DM21" i="86"/>
  <c r="DN21" i="86"/>
  <c r="DO21" i="86"/>
  <c r="DP21" i="86"/>
  <c r="DQ21" i="86"/>
  <c r="DR21" i="86"/>
  <c r="DS21" i="86"/>
  <c r="DT21" i="86"/>
  <c r="DU21" i="86"/>
  <c r="DV21" i="86"/>
  <c r="DW21" i="86"/>
  <c r="DY21" i="86"/>
  <c r="DZ21" i="86"/>
  <c r="EA21" i="86"/>
  <c r="EB21" i="86"/>
  <c r="EC21" i="86"/>
  <c r="ED21" i="86"/>
  <c r="EE21" i="86"/>
  <c r="EF21" i="86"/>
  <c r="EG21" i="86"/>
  <c r="EH21" i="86"/>
  <c r="EI21" i="86"/>
  <c r="EJ21" i="86"/>
  <c r="EK21" i="86"/>
  <c r="C22" i="86"/>
  <c r="D22" i="86"/>
  <c r="E22" i="86"/>
  <c r="F22" i="86"/>
  <c r="G22" i="86"/>
  <c r="H22" i="86"/>
  <c r="I22" i="86"/>
  <c r="J22" i="86"/>
  <c r="K22" i="86"/>
  <c r="L22" i="86"/>
  <c r="M22" i="86"/>
  <c r="N22" i="86"/>
  <c r="O22" i="86"/>
  <c r="AC22" i="86"/>
  <c r="AE22" i="86"/>
  <c r="AF22" i="86"/>
  <c r="AG22" i="86"/>
  <c r="AH22" i="86"/>
  <c r="AI22" i="86"/>
  <c r="AJ22" i="86"/>
  <c r="AK22" i="86"/>
  <c r="AL22" i="86"/>
  <c r="AM22" i="86"/>
  <c r="AN22" i="86"/>
  <c r="AO22" i="86"/>
  <c r="AP22" i="86"/>
  <c r="AQ22" i="86"/>
  <c r="BE22" i="86"/>
  <c r="BG22" i="86"/>
  <c r="BH22" i="86"/>
  <c r="BI22" i="86"/>
  <c r="BJ22" i="86"/>
  <c r="BK22" i="86"/>
  <c r="BL22" i="86"/>
  <c r="BM22" i="86"/>
  <c r="BN22" i="86"/>
  <c r="BO22" i="86"/>
  <c r="BP22" i="86"/>
  <c r="BQ22" i="86"/>
  <c r="BR22" i="86"/>
  <c r="BS22" i="86"/>
  <c r="CG22" i="86"/>
  <c r="CU22" i="86"/>
  <c r="DI22" i="86"/>
  <c r="DW22" i="86"/>
  <c r="EK22" i="86"/>
  <c r="C23" i="86"/>
  <c r="D23" i="86"/>
  <c r="E23" i="86"/>
  <c r="F23" i="86"/>
  <c r="G23" i="86"/>
  <c r="H23" i="86"/>
  <c r="I23" i="86"/>
  <c r="J23" i="86"/>
  <c r="K23" i="86"/>
  <c r="L23" i="86"/>
  <c r="M23" i="86"/>
  <c r="N23" i="86"/>
  <c r="O23" i="86"/>
  <c r="Q23" i="86"/>
  <c r="R23" i="86"/>
  <c r="S23" i="86"/>
  <c r="T23" i="86"/>
  <c r="U23" i="86"/>
  <c r="V23" i="86"/>
  <c r="W23" i="86"/>
  <c r="X23" i="86"/>
  <c r="Y23" i="86"/>
  <c r="Z23" i="86"/>
  <c r="AA23" i="86"/>
  <c r="AB23" i="86"/>
  <c r="AC23" i="86"/>
  <c r="AE23" i="86"/>
  <c r="AF23" i="86"/>
  <c r="AG23" i="86"/>
  <c r="AH23" i="86"/>
  <c r="AI23" i="86"/>
  <c r="AJ23" i="86"/>
  <c r="AK23" i="86"/>
  <c r="AL23" i="86"/>
  <c r="AM23" i="86"/>
  <c r="AN23" i="86"/>
  <c r="AO23" i="86"/>
  <c r="AP23" i="86"/>
  <c r="AQ23" i="86"/>
  <c r="BE23" i="86"/>
  <c r="BG23" i="86"/>
  <c r="BH23" i="86"/>
  <c r="BI23" i="86"/>
  <c r="BJ23" i="86"/>
  <c r="BK23" i="86"/>
  <c r="BL23" i="86"/>
  <c r="BM23" i="86"/>
  <c r="BN23" i="86"/>
  <c r="BO23" i="86"/>
  <c r="BP23" i="86"/>
  <c r="BQ23" i="86"/>
  <c r="BR23" i="86"/>
  <c r="BS23" i="86"/>
  <c r="CG23" i="86"/>
  <c r="CU23" i="86"/>
  <c r="DI23" i="86"/>
  <c r="DW23" i="86"/>
  <c r="EK23" i="86"/>
  <c r="C24" i="86"/>
  <c r="D24" i="86"/>
  <c r="E24" i="86"/>
  <c r="F24" i="86"/>
  <c r="G24" i="86"/>
  <c r="H24" i="86"/>
  <c r="I24" i="86"/>
  <c r="J24" i="86"/>
  <c r="K24" i="86"/>
  <c r="L24" i="86"/>
  <c r="M24" i="86"/>
  <c r="N24" i="86"/>
  <c r="O24" i="86"/>
  <c r="AC24" i="86"/>
  <c r="AE24" i="86"/>
  <c r="AF24" i="86"/>
  <c r="AG24" i="86"/>
  <c r="AH24" i="86"/>
  <c r="AI24" i="86"/>
  <c r="AJ24" i="86"/>
  <c r="AK24" i="86"/>
  <c r="AL24" i="86"/>
  <c r="AM24" i="86"/>
  <c r="AN24" i="86"/>
  <c r="AO24" i="86"/>
  <c r="AP24" i="86"/>
  <c r="AQ24" i="86"/>
  <c r="BE24" i="86"/>
  <c r="BG24" i="86"/>
  <c r="BH24" i="86"/>
  <c r="BI24" i="86"/>
  <c r="BJ24" i="86"/>
  <c r="BK24" i="86"/>
  <c r="BL24" i="86"/>
  <c r="BM24" i="86"/>
  <c r="BN24" i="86"/>
  <c r="BO24" i="86"/>
  <c r="BP24" i="86"/>
  <c r="BQ24" i="86"/>
  <c r="BR24" i="86"/>
  <c r="BS24" i="86"/>
  <c r="CG24" i="86"/>
  <c r="CU24" i="86"/>
  <c r="DI24" i="86"/>
  <c r="DW24" i="86"/>
  <c r="EK24" i="86"/>
  <c r="C25" i="86"/>
  <c r="Q26" i="86"/>
  <c r="C26" i="86" s="1"/>
  <c r="R26" i="86"/>
  <c r="S25" i="86" s="1"/>
  <c r="S26" i="86"/>
  <c r="T26" i="86"/>
  <c r="U26" i="86"/>
  <c r="G26" i="86" s="1"/>
  <c r="V26" i="86"/>
  <c r="H26" i="86" s="1"/>
  <c r="W26" i="86"/>
  <c r="X26" i="86"/>
  <c r="Y26" i="86"/>
  <c r="Z25" i="86" s="1"/>
  <c r="Z26" i="86"/>
  <c r="L26" i="86" s="1"/>
  <c r="AA26" i="86"/>
  <c r="AB25" i="86" s="1"/>
  <c r="AB26" i="86"/>
  <c r="AC26" i="86" s="1"/>
  <c r="AC21" i="86" s="1"/>
  <c r="AQ26" i="86"/>
  <c r="BE26" i="86"/>
  <c r="BS26" i="86"/>
  <c r="CG26" i="86"/>
  <c r="CU26" i="86"/>
  <c r="DI26" i="86"/>
  <c r="DW26" i="86"/>
  <c r="EK26" i="86"/>
  <c r="AE27" i="86"/>
  <c r="AF27" i="86"/>
  <c r="AG27" i="86"/>
  <c r="AH27" i="86"/>
  <c r="AI27" i="86"/>
  <c r="AJ27" i="86"/>
  <c r="AK27" i="86"/>
  <c r="AL27" i="86"/>
  <c r="AM27" i="86"/>
  <c r="AN27" i="86"/>
  <c r="AO27" i="86"/>
  <c r="AP27" i="86"/>
  <c r="AQ27" i="86"/>
  <c r="AS27" i="86"/>
  <c r="AT27" i="86"/>
  <c r="AU27" i="86"/>
  <c r="AV27" i="86"/>
  <c r="AW27" i="86"/>
  <c r="AX27" i="86"/>
  <c r="AY27" i="86"/>
  <c r="AZ27" i="86"/>
  <c r="BA27" i="86"/>
  <c r="BB27" i="86"/>
  <c r="BC27" i="86"/>
  <c r="BD27" i="86"/>
  <c r="BE27" i="86"/>
  <c r="BG27" i="86"/>
  <c r="BH27" i="86"/>
  <c r="BI27" i="86"/>
  <c r="BJ27" i="86"/>
  <c r="BK27" i="86"/>
  <c r="BL27" i="86"/>
  <c r="BM27" i="86"/>
  <c r="BN27" i="86"/>
  <c r="BO27" i="86"/>
  <c r="BP27" i="86"/>
  <c r="BQ27" i="86"/>
  <c r="BR27" i="86"/>
  <c r="BS27" i="86"/>
  <c r="BU27" i="86"/>
  <c r="BV27" i="86"/>
  <c r="BW27" i="86"/>
  <c r="BX27" i="86"/>
  <c r="BY27" i="86"/>
  <c r="BZ27" i="86"/>
  <c r="CA27" i="86"/>
  <c r="CB27" i="86"/>
  <c r="CC27" i="86"/>
  <c r="CD27" i="86"/>
  <c r="CE27" i="86"/>
  <c r="CF27" i="86"/>
  <c r="CG27" i="86"/>
  <c r="CI27" i="86"/>
  <c r="CJ27" i="86"/>
  <c r="CK27" i="86"/>
  <c r="CL27" i="86"/>
  <c r="CM27" i="86"/>
  <c r="CN27" i="86"/>
  <c r="CO27" i="86"/>
  <c r="CP27" i="86"/>
  <c r="CQ27" i="86"/>
  <c r="CR27" i="86"/>
  <c r="CS27" i="86"/>
  <c r="CT27" i="86"/>
  <c r="CU27" i="86"/>
  <c r="CW27" i="86"/>
  <c r="CX27" i="86"/>
  <c r="CY27" i="86"/>
  <c r="CZ27" i="86"/>
  <c r="DA27" i="86"/>
  <c r="DB27" i="86"/>
  <c r="DC27" i="86"/>
  <c r="DD27" i="86"/>
  <c r="DE27" i="86"/>
  <c r="DF27" i="86"/>
  <c r="DG27" i="86"/>
  <c r="DH27" i="86"/>
  <c r="DI27" i="86"/>
  <c r="DK27" i="86"/>
  <c r="DL27" i="86"/>
  <c r="DM27" i="86"/>
  <c r="DN27" i="86"/>
  <c r="DO27" i="86"/>
  <c r="DP27" i="86"/>
  <c r="DQ27" i="86"/>
  <c r="DR27" i="86"/>
  <c r="DS27" i="86"/>
  <c r="DT27" i="86"/>
  <c r="DU27" i="86"/>
  <c r="DV27" i="86"/>
  <c r="DW27" i="86"/>
  <c r="DY27" i="86"/>
  <c r="DZ27" i="86"/>
  <c r="EA27" i="86"/>
  <c r="EB27" i="86"/>
  <c r="EC27" i="86"/>
  <c r="ED27" i="86"/>
  <c r="EE27" i="86"/>
  <c r="EF27" i="86"/>
  <c r="EG27" i="86"/>
  <c r="EH27" i="86"/>
  <c r="EI27" i="86"/>
  <c r="EJ27" i="86"/>
  <c r="EK27" i="86"/>
  <c r="AE28" i="86"/>
  <c r="AF28" i="86"/>
  <c r="AG28" i="86"/>
  <c r="AH28" i="86"/>
  <c r="AI28" i="86"/>
  <c r="AJ28" i="86"/>
  <c r="AK28" i="86"/>
  <c r="AL28" i="86"/>
  <c r="AM28" i="86"/>
  <c r="AN28" i="86"/>
  <c r="AO28" i="86"/>
  <c r="AP28" i="86"/>
  <c r="AQ28" i="86"/>
  <c r="AS28" i="86"/>
  <c r="AT28" i="86"/>
  <c r="AU28" i="86"/>
  <c r="AV28" i="86"/>
  <c r="AW28" i="86"/>
  <c r="AX28" i="86"/>
  <c r="AY28" i="86"/>
  <c r="AZ28" i="86"/>
  <c r="BA28" i="86"/>
  <c r="BB28" i="86"/>
  <c r="BC28" i="86"/>
  <c r="BD28" i="86"/>
  <c r="BE28" i="86"/>
  <c r="BG28" i="86"/>
  <c r="BH28" i="86"/>
  <c r="BI28" i="86"/>
  <c r="BJ28" i="86"/>
  <c r="BK28" i="86"/>
  <c r="BL28" i="86"/>
  <c r="BM28" i="86"/>
  <c r="BN28" i="86"/>
  <c r="BO28" i="86"/>
  <c r="BP28" i="86"/>
  <c r="BQ28" i="86"/>
  <c r="BR28" i="86"/>
  <c r="BS28" i="86"/>
  <c r="BU28" i="86"/>
  <c r="BV28" i="86"/>
  <c r="BW28" i="86"/>
  <c r="BX28" i="86"/>
  <c r="BY28" i="86"/>
  <c r="BZ28" i="86"/>
  <c r="CA28" i="86"/>
  <c r="CB28" i="86"/>
  <c r="CC28" i="86"/>
  <c r="CD28" i="86"/>
  <c r="CE28" i="86"/>
  <c r="CF28" i="86"/>
  <c r="CG28" i="86"/>
  <c r="CI28" i="86"/>
  <c r="CJ28" i="86"/>
  <c r="CK28" i="86"/>
  <c r="CL28" i="86"/>
  <c r="CM28" i="86"/>
  <c r="CN28" i="86"/>
  <c r="CO28" i="86"/>
  <c r="CP28" i="86"/>
  <c r="CQ28" i="86"/>
  <c r="CR28" i="86"/>
  <c r="CS28" i="86"/>
  <c r="CT28" i="86"/>
  <c r="CU28" i="86"/>
  <c r="CW28" i="86"/>
  <c r="CX28" i="86"/>
  <c r="CY28" i="86"/>
  <c r="CZ28" i="86"/>
  <c r="DA28" i="86"/>
  <c r="DB28" i="86"/>
  <c r="DC28" i="86"/>
  <c r="DD28" i="86"/>
  <c r="DE28" i="86"/>
  <c r="DF28" i="86"/>
  <c r="DG28" i="86"/>
  <c r="DH28" i="86"/>
  <c r="DI28" i="86"/>
  <c r="DK28" i="86"/>
  <c r="DL28" i="86"/>
  <c r="DM28" i="86"/>
  <c r="DN28" i="86"/>
  <c r="DO28" i="86"/>
  <c r="DP28" i="86"/>
  <c r="DQ28" i="86"/>
  <c r="DR28" i="86"/>
  <c r="DS28" i="86"/>
  <c r="DT28" i="86"/>
  <c r="DU28" i="86"/>
  <c r="DV28" i="86"/>
  <c r="DW28" i="86"/>
  <c r="DY28" i="86"/>
  <c r="DZ28" i="86"/>
  <c r="EA28" i="86"/>
  <c r="EB28" i="86"/>
  <c r="EC28" i="86"/>
  <c r="ED28" i="86"/>
  <c r="EE28" i="86"/>
  <c r="EF28" i="86"/>
  <c r="EG28" i="86"/>
  <c r="EH28" i="86"/>
  <c r="EI28" i="86"/>
  <c r="EJ28" i="86"/>
  <c r="EK28" i="86"/>
  <c r="C29" i="86"/>
  <c r="D29" i="86"/>
  <c r="E29" i="86"/>
  <c r="F29" i="86"/>
  <c r="G29" i="86"/>
  <c r="H29" i="86"/>
  <c r="I29" i="86"/>
  <c r="J29" i="86"/>
  <c r="K29" i="86"/>
  <c r="L29" i="86"/>
  <c r="M29" i="86"/>
  <c r="N29" i="86"/>
  <c r="O29" i="86"/>
  <c r="Q29" i="86"/>
  <c r="R29" i="86"/>
  <c r="S29" i="86"/>
  <c r="T29" i="86"/>
  <c r="U29" i="86"/>
  <c r="V29" i="86"/>
  <c r="W29" i="86"/>
  <c r="X29" i="86"/>
  <c r="Y29" i="86"/>
  <c r="Z29" i="86"/>
  <c r="AA29" i="86"/>
  <c r="AB29" i="86"/>
  <c r="AC29" i="86"/>
  <c r="AE29" i="86"/>
  <c r="AF29" i="86"/>
  <c r="AG29" i="86"/>
  <c r="AH29" i="86"/>
  <c r="AI29" i="86"/>
  <c r="AJ29" i="86"/>
  <c r="AK29" i="86"/>
  <c r="AL29" i="86"/>
  <c r="AM29" i="86"/>
  <c r="AN29" i="86"/>
  <c r="AO29" i="86"/>
  <c r="AP29" i="86"/>
  <c r="AQ29" i="86"/>
  <c r="AS29" i="86"/>
  <c r="AT29" i="86"/>
  <c r="AU29" i="86"/>
  <c r="AV29" i="86"/>
  <c r="AW29" i="86"/>
  <c r="AX29" i="86"/>
  <c r="AY29" i="86"/>
  <c r="AZ29" i="86"/>
  <c r="BA29" i="86"/>
  <c r="BB29" i="86"/>
  <c r="BC29" i="86"/>
  <c r="BD29" i="86"/>
  <c r="BE29" i="86"/>
  <c r="BG29" i="86"/>
  <c r="BH29" i="86"/>
  <c r="BI29" i="86"/>
  <c r="BJ29" i="86"/>
  <c r="BK29" i="86"/>
  <c r="BL29" i="86"/>
  <c r="BM29" i="86"/>
  <c r="BN29" i="86"/>
  <c r="BO29" i="86"/>
  <c r="BP29" i="86"/>
  <c r="BQ29" i="86"/>
  <c r="BR29" i="86"/>
  <c r="BS29" i="86"/>
  <c r="BU29" i="86"/>
  <c r="BV29" i="86"/>
  <c r="BW29" i="86"/>
  <c r="BX29" i="86"/>
  <c r="BY29" i="86"/>
  <c r="BZ29" i="86"/>
  <c r="CA29" i="86"/>
  <c r="CB29" i="86"/>
  <c r="CC29" i="86"/>
  <c r="CD29" i="86"/>
  <c r="CE29" i="86"/>
  <c r="CF29" i="86"/>
  <c r="CG29" i="86"/>
  <c r="CI29" i="86"/>
  <c r="CJ29" i="86"/>
  <c r="CK29" i="86"/>
  <c r="CL29" i="86"/>
  <c r="CM29" i="86"/>
  <c r="CN29" i="86"/>
  <c r="CO29" i="86"/>
  <c r="CP29" i="86"/>
  <c r="CQ29" i="86"/>
  <c r="CR29" i="86"/>
  <c r="CS29" i="86"/>
  <c r="CT29" i="86"/>
  <c r="CU29" i="86"/>
  <c r="CW29" i="86"/>
  <c r="CX29" i="86"/>
  <c r="CY29" i="86"/>
  <c r="CZ29" i="86"/>
  <c r="DA29" i="86"/>
  <c r="DB29" i="86"/>
  <c r="DC29" i="86"/>
  <c r="DD29" i="86"/>
  <c r="DE29" i="86"/>
  <c r="DF29" i="86"/>
  <c r="DG29" i="86"/>
  <c r="DH29" i="86"/>
  <c r="DI29" i="86"/>
  <c r="DK29" i="86"/>
  <c r="DL29" i="86"/>
  <c r="DM29" i="86"/>
  <c r="DN29" i="86"/>
  <c r="DO29" i="86"/>
  <c r="DP29" i="86"/>
  <c r="DQ29" i="86"/>
  <c r="DR29" i="86"/>
  <c r="DS29" i="86"/>
  <c r="DT29" i="86"/>
  <c r="DU29" i="86"/>
  <c r="DV29" i="86"/>
  <c r="DW29" i="86"/>
  <c r="DY29" i="86"/>
  <c r="DZ29" i="86"/>
  <c r="EA29" i="86"/>
  <c r="EB29" i="86"/>
  <c r="EC29" i="86"/>
  <c r="ED29" i="86"/>
  <c r="EE29" i="86"/>
  <c r="EF29" i="86"/>
  <c r="EG29" i="86"/>
  <c r="EH29" i="86"/>
  <c r="EI29" i="86"/>
  <c r="EJ29" i="86"/>
  <c r="EK29" i="86"/>
  <c r="C30" i="86"/>
  <c r="D30" i="86"/>
  <c r="E30" i="86"/>
  <c r="F30" i="86"/>
  <c r="G30" i="86"/>
  <c r="H30" i="86"/>
  <c r="I30" i="86"/>
  <c r="J30" i="86"/>
  <c r="K30" i="86"/>
  <c r="L30" i="86"/>
  <c r="M30" i="86"/>
  <c r="N30" i="86"/>
  <c r="O30" i="86"/>
  <c r="Q30" i="86"/>
  <c r="R30" i="86"/>
  <c r="S30" i="86"/>
  <c r="T30" i="86"/>
  <c r="U30" i="86"/>
  <c r="V30" i="86"/>
  <c r="W30" i="86"/>
  <c r="X30" i="86"/>
  <c r="Y30" i="86"/>
  <c r="Z30" i="86"/>
  <c r="AA30" i="86"/>
  <c r="AB30" i="86"/>
  <c r="AC30" i="86"/>
  <c r="AE30" i="86"/>
  <c r="AF30" i="86"/>
  <c r="AG30" i="86"/>
  <c r="AH30" i="86"/>
  <c r="AI30" i="86"/>
  <c r="AJ30" i="86"/>
  <c r="AK30" i="86"/>
  <c r="AL30" i="86"/>
  <c r="AM30" i="86"/>
  <c r="AN30" i="86"/>
  <c r="AO30" i="86"/>
  <c r="AP30" i="86"/>
  <c r="AQ30" i="86"/>
  <c r="AS30" i="86"/>
  <c r="AT30" i="86"/>
  <c r="AU30" i="86"/>
  <c r="AV30" i="86"/>
  <c r="AW30" i="86"/>
  <c r="AX30" i="86"/>
  <c r="AY30" i="86"/>
  <c r="AZ30" i="86"/>
  <c r="BA30" i="86"/>
  <c r="BB30" i="86"/>
  <c r="BC30" i="86"/>
  <c r="BD30" i="86"/>
  <c r="BE30" i="86"/>
  <c r="BG30" i="86"/>
  <c r="BH30" i="86"/>
  <c r="BI30" i="86"/>
  <c r="BJ30" i="86"/>
  <c r="BK30" i="86"/>
  <c r="BL30" i="86"/>
  <c r="BM30" i="86"/>
  <c r="BN30" i="86"/>
  <c r="BO30" i="86"/>
  <c r="BP30" i="86"/>
  <c r="BQ30" i="86"/>
  <c r="BR30" i="86"/>
  <c r="BS30" i="86"/>
  <c r="BU30" i="86"/>
  <c r="BV30" i="86"/>
  <c r="BW30" i="86"/>
  <c r="BX30" i="86"/>
  <c r="BY30" i="86"/>
  <c r="BZ30" i="86"/>
  <c r="CA30" i="86"/>
  <c r="CB30" i="86"/>
  <c r="CC30" i="86"/>
  <c r="CD30" i="86"/>
  <c r="CE30" i="86"/>
  <c r="CF30" i="86"/>
  <c r="CG30" i="86"/>
  <c r="CI30" i="86"/>
  <c r="CJ30" i="86"/>
  <c r="CK30" i="86"/>
  <c r="CL30" i="86"/>
  <c r="CM30" i="86"/>
  <c r="CN30" i="86"/>
  <c r="CO30" i="86"/>
  <c r="CP30" i="86"/>
  <c r="CQ30" i="86"/>
  <c r="CR30" i="86"/>
  <c r="CS30" i="86"/>
  <c r="CT30" i="86"/>
  <c r="CU30" i="86"/>
  <c r="CW30" i="86"/>
  <c r="CX30" i="86"/>
  <c r="CY30" i="86"/>
  <c r="CZ30" i="86"/>
  <c r="DA30" i="86"/>
  <c r="DB30" i="86"/>
  <c r="DC30" i="86"/>
  <c r="DD30" i="86"/>
  <c r="DE30" i="86"/>
  <c r="DF30" i="86"/>
  <c r="DG30" i="86"/>
  <c r="DH30" i="86"/>
  <c r="DI30" i="86"/>
  <c r="DK30" i="86"/>
  <c r="DL30" i="86"/>
  <c r="DM30" i="86"/>
  <c r="DN30" i="86"/>
  <c r="DO30" i="86"/>
  <c r="DP30" i="86"/>
  <c r="DQ30" i="86"/>
  <c r="DR30" i="86"/>
  <c r="DS30" i="86"/>
  <c r="DT30" i="86"/>
  <c r="DU30" i="86"/>
  <c r="DV30" i="86"/>
  <c r="DW30" i="86"/>
  <c r="DY30" i="86"/>
  <c r="DZ30" i="86"/>
  <c r="EA30" i="86"/>
  <c r="EB30" i="86"/>
  <c r="EC30" i="86"/>
  <c r="ED30" i="86"/>
  <c r="EE30" i="86"/>
  <c r="EF30" i="86"/>
  <c r="EG30" i="86"/>
  <c r="EH30" i="86"/>
  <c r="EI30" i="86"/>
  <c r="EJ30" i="86"/>
  <c r="EK30" i="86"/>
  <c r="C31" i="86"/>
  <c r="D31" i="86"/>
  <c r="E31" i="86"/>
  <c r="F31" i="86"/>
  <c r="G31" i="86"/>
  <c r="H31" i="86"/>
  <c r="I31" i="86"/>
  <c r="J31" i="86"/>
  <c r="K31" i="86"/>
  <c r="L31" i="86"/>
  <c r="M31" i="86"/>
  <c r="N31" i="86"/>
  <c r="O31" i="86"/>
  <c r="Q31" i="86"/>
  <c r="R31" i="86"/>
  <c r="S31" i="86"/>
  <c r="T31" i="86"/>
  <c r="U31" i="86"/>
  <c r="V31" i="86"/>
  <c r="W31" i="86"/>
  <c r="X31" i="86"/>
  <c r="Y31" i="86"/>
  <c r="Z31" i="86"/>
  <c r="AA31" i="86"/>
  <c r="AB31" i="86"/>
  <c r="AC31" i="86"/>
  <c r="AE31" i="86"/>
  <c r="AF31" i="86"/>
  <c r="AG31" i="86"/>
  <c r="AH31" i="86"/>
  <c r="AI31" i="86"/>
  <c r="AJ31" i="86"/>
  <c r="AK31" i="86"/>
  <c r="AL31" i="86"/>
  <c r="AM31" i="86"/>
  <c r="AN31" i="86"/>
  <c r="AO31" i="86"/>
  <c r="AP31" i="86"/>
  <c r="AQ31" i="86"/>
  <c r="AS31" i="86"/>
  <c r="AT31" i="86"/>
  <c r="AU31" i="86"/>
  <c r="AV31" i="86"/>
  <c r="AW31" i="86"/>
  <c r="AX31" i="86"/>
  <c r="AY31" i="86"/>
  <c r="AZ31" i="86"/>
  <c r="BA31" i="86"/>
  <c r="BB31" i="86"/>
  <c r="BC31" i="86"/>
  <c r="BD31" i="86"/>
  <c r="BE31" i="86"/>
  <c r="BG31" i="86"/>
  <c r="BH31" i="86"/>
  <c r="BI31" i="86"/>
  <c r="BJ31" i="86"/>
  <c r="BK31" i="86"/>
  <c r="BL31" i="86"/>
  <c r="BM31" i="86"/>
  <c r="BN31" i="86"/>
  <c r="BO31" i="86"/>
  <c r="BP31" i="86"/>
  <c r="BQ31" i="86"/>
  <c r="BR31" i="86"/>
  <c r="BS31" i="86"/>
  <c r="BU31" i="86"/>
  <c r="BV31" i="86"/>
  <c r="BW31" i="86"/>
  <c r="BX31" i="86"/>
  <c r="BY31" i="86"/>
  <c r="BZ31" i="86"/>
  <c r="CA31" i="86"/>
  <c r="CB31" i="86"/>
  <c r="CC31" i="86"/>
  <c r="CD31" i="86"/>
  <c r="CE31" i="86"/>
  <c r="CF31" i="86"/>
  <c r="CG31" i="86"/>
  <c r="CI31" i="86"/>
  <c r="CJ31" i="86"/>
  <c r="CK31" i="86"/>
  <c r="CL31" i="86"/>
  <c r="CM31" i="86"/>
  <c r="CN31" i="86"/>
  <c r="CO31" i="86"/>
  <c r="CP31" i="86"/>
  <c r="CQ31" i="86"/>
  <c r="CR31" i="86"/>
  <c r="CS31" i="86"/>
  <c r="CT31" i="86"/>
  <c r="CU31" i="86"/>
  <c r="CW31" i="86"/>
  <c r="CX31" i="86"/>
  <c r="CY31" i="86"/>
  <c r="CZ31" i="86"/>
  <c r="DA31" i="86"/>
  <c r="DB31" i="86"/>
  <c r="DC31" i="86"/>
  <c r="DD31" i="86"/>
  <c r="DE31" i="86"/>
  <c r="DF31" i="86"/>
  <c r="DG31" i="86"/>
  <c r="DH31" i="86"/>
  <c r="DI31" i="86"/>
  <c r="DK31" i="86"/>
  <c r="DL31" i="86"/>
  <c r="DM31" i="86"/>
  <c r="DN31" i="86"/>
  <c r="DO31" i="86"/>
  <c r="DP31" i="86"/>
  <c r="DQ31" i="86"/>
  <c r="DR31" i="86"/>
  <c r="DS31" i="86"/>
  <c r="DT31" i="86"/>
  <c r="DU31" i="86"/>
  <c r="DV31" i="86"/>
  <c r="DW31" i="86"/>
  <c r="DY31" i="86"/>
  <c r="DZ31" i="86"/>
  <c r="EA31" i="86"/>
  <c r="EB31" i="86"/>
  <c r="EC31" i="86"/>
  <c r="ED31" i="86"/>
  <c r="EE31" i="86"/>
  <c r="EF31" i="86"/>
  <c r="EG31" i="86"/>
  <c r="EH31" i="86"/>
  <c r="EI31" i="86"/>
  <c r="EJ31" i="86"/>
  <c r="EK31" i="86"/>
  <c r="C32" i="86"/>
  <c r="D32" i="86"/>
  <c r="E32" i="86"/>
  <c r="F32" i="86"/>
  <c r="G32" i="86"/>
  <c r="H32" i="86"/>
  <c r="I32" i="86"/>
  <c r="J32" i="86"/>
  <c r="K32" i="86"/>
  <c r="L32" i="86"/>
  <c r="M32" i="86"/>
  <c r="N32" i="86"/>
  <c r="O32" i="86"/>
  <c r="AC32" i="86"/>
  <c r="AQ32" i="86"/>
  <c r="BE32" i="86"/>
  <c r="BG32" i="86"/>
  <c r="BH32" i="86"/>
  <c r="BI32" i="86"/>
  <c r="BJ32" i="86"/>
  <c r="BK32" i="86"/>
  <c r="BL32" i="86"/>
  <c r="BM32" i="86"/>
  <c r="BN32" i="86"/>
  <c r="BO32" i="86"/>
  <c r="BP32" i="86"/>
  <c r="BQ32" i="86"/>
  <c r="BR32" i="86"/>
  <c r="BS32" i="86"/>
  <c r="CG32" i="86"/>
  <c r="CU32" i="86"/>
  <c r="DI32" i="86"/>
  <c r="DW32" i="86"/>
  <c r="EK32" i="86"/>
  <c r="C33" i="86"/>
  <c r="D33" i="86"/>
  <c r="E33" i="86"/>
  <c r="F33" i="86"/>
  <c r="G33" i="86"/>
  <c r="H33" i="86"/>
  <c r="I33" i="86"/>
  <c r="J33" i="86"/>
  <c r="K33" i="86"/>
  <c r="L33" i="86"/>
  <c r="M33" i="86"/>
  <c r="N33" i="86"/>
  <c r="O33" i="86"/>
  <c r="AC33" i="86"/>
  <c r="AQ33" i="86"/>
  <c r="BE33" i="86"/>
  <c r="BG33" i="86"/>
  <c r="BH33" i="86"/>
  <c r="BI33" i="86"/>
  <c r="BJ33" i="86"/>
  <c r="BK33" i="86"/>
  <c r="BL33" i="86"/>
  <c r="BM33" i="86"/>
  <c r="BN33" i="86"/>
  <c r="BO33" i="86"/>
  <c r="BP33" i="86"/>
  <c r="BQ33" i="86"/>
  <c r="BR33" i="86"/>
  <c r="BS33" i="86"/>
  <c r="CG33" i="86"/>
  <c r="CU33" i="86"/>
  <c r="DI33" i="86"/>
  <c r="DW33" i="86"/>
  <c r="EK33" i="86"/>
  <c r="C34" i="86"/>
  <c r="D34" i="86"/>
  <c r="E34" i="86"/>
  <c r="F34" i="86"/>
  <c r="G34" i="86"/>
  <c r="H34" i="86"/>
  <c r="I34" i="86"/>
  <c r="J34" i="86"/>
  <c r="K34" i="86"/>
  <c r="L34" i="86"/>
  <c r="M34" i="86"/>
  <c r="N34" i="86"/>
  <c r="O34" i="86"/>
  <c r="AC34" i="86"/>
  <c r="AQ34" i="86"/>
  <c r="BE34" i="86"/>
  <c r="BG34" i="86"/>
  <c r="BH34" i="86"/>
  <c r="BI34" i="86"/>
  <c r="BJ34" i="86"/>
  <c r="BK34" i="86"/>
  <c r="BL34" i="86"/>
  <c r="BM34" i="86"/>
  <c r="BN34" i="86"/>
  <c r="BO34" i="86"/>
  <c r="BP34" i="86"/>
  <c r="BQ34" i="86"/>
  <c r="BR34" i="86"/>
  <c r="BS34" i="86"/>
  <c r="CG34" i="86"/>
  <c r="CU34" i="86"/>
  <c r="DI34" i="86"/>
  <c r="DW34" i="86"/>
  <c r="EK34" i="86"/>
  <c r="C35" i="86"/>
  <c r="D35" i="86"/>
  <c r="E35" i="86"/>
  <c r="F35" i="86"/>
  <c r="G35" i="86"/>
  <c r="H35" i="86"/>
  <c r="I35" i="86"/>
  <c r="J35" i="86"/>
  <c r="K35" i="86"/>
  <c r="L35" i="86"/>
  <c r="M35" i="86"/>
  <c r="N35" i="86"/>
  <c r="O35" i="86"/>
  <c r="AC35" i="86"/>
  <c r="AE35" i="86"/>
  <c r="AF35" i="86"/>
  <c r="AG35" i="86"/>
  <c r="AH35" i="86"/>
  <c r="AI35" i="86"/>
  <c r="AJ35" i="86"/>
  <c r="AK35" i="86"/>
  <c r="AL35" i="86"/>
  <c r="AM35" i="86"/>
  <c r="AN35" i="86"/>
  <c r="AO35" i="86"/>
  <c r="AP35" i="86"/>
  <c r="AQ35" i="86"/>
  <c r="BE35" i="86"/>
  <c r="BG35" i="86"/>
  <c r="BH35" i="86"/>
  <c r="BI35" i="86"/>
  <c r="BJ35" i="86"/>
  <c r="BK35" i="86"/>
  <c r="BL35" i="86"/>
  <c r="BM35" i="86"/>
  <c r="BN35" i="86"/>
  <c r="BO35" i="86"/>
  <c r="BP35" i="86"/>
  <c r="BQ35" i="86"/>
  <c r="BR35" i="86"/>
  <c r="BS35" i="86"/>
  <c r="CG35" i="86"/>
  <c r="CU35" i="86"/>
  <c r="DI35" i="86"/>
  <c r="DW35" i="86"/>
  <c r="EK35" i="86"/>
  <c r="C36" i="86"/>
  <c r="D36" i="86"/>
  <c r="E36" i="86"/>
  <c r="F36" i="86"/>
  <c r="G36" i="86"/>
  <c r="H36" i="86"/>
  <c r="I36" i="86"/>
  <c r="J36" i="86"/>
  <c r="K36" i="86"/>
  <c r="L36" i="86"/>
  <c r="M36" i="86"/>
  <c r="N36" i="86"/>
  <c r="O36" i="86"/>
  <c r="AC36" i="86"/>
  <c r="AE36" i="86"/>
  <c r="AF36" i="86"/>
  <c r="AG36" i="86"/>
  <c r="AH36" i="86"/>
  <c r="AI36" i="86"/>
  <c r="AJ36" i="86"/>
  <c r="AK36" i="86"/>
  <c r="AL36" i="86"/>
  <c r="AM36" i="86"/>
  <c r="AN36" i="86"/>
  <c r="AO36" i="86"/>
  <c r="AP36" i="86"/>
  <c r="AQ36" i="86"/>
  <c r="BE36" i="86"/>
  <c r="BG36" i="86"/>
  <c r="BH36" i="86"/>
  <c r="BI36" i="86"/>
  <c r="BJ36" i="86"/>
  <c r="BK36" i="86"/>
  <c r="BL36" i="86"/>
  <c r="BM36" i="86"/>
  <c r="BN36" i="86"/>
  <c r="BO36" i="86"/>
  <c r="BP36" i="86"/>
  <c r="BQ36" i="86"/>
  <c r="BR36" i="86"/>
  <c r="BS36" i="86"/>
  <c r="CG36" i="86"/>
  <c r="CU36" i="86"/>
  <c r="DI36" i="86"/>
  <c r="DW36" i="86"/>
  <c r="EK36" i="86"/>
  <c r="C37" i="86"/>
  <c r="D37" i="86"/>
  <c r="E37" i="86"/>
  <c r="F37" i="86"/>
  <c r="G37" i="86"/>
  <c r="H37" i="86"/>
  <c r="I37" i="86"/>
  <c r="J37" i="86"/>
  <c r="K37" i="86"/>
  <c r="L37" i="86"/>
  <c r="M37" i="86"/>
  <c r="N37" i="86"/>
  <c r="O37" i="86"/>
  <c r="AC37" i="86"/>
  <c r="AE37" i="86"/>
  <c r="AF37" i="86"/>
  <c r="AG37" i="86"/>
  <c r="AH37" i="86"/>
  <c r="AI37" i="86"/>
  <c r="AJ37" i="86"/>
  <c r="AK37" i="86"/>
  <c r="AL37" i="86"/>
  <c r="AM37" i="86"/>
  <c r="AN37" i="86"/>
  <c r="AO37" i="86"/>
  <c r="AP37" i="86"/>
  <c r="AQ37" i="86"/>
  <c r="BE37" i="86"/>
  <c r="BG37" i="86"/>
  <c r="BH37" i="86"/>
  <c r="BI37" i="86"/>
  <c r="BJ37" i="86"/>
  <c r="BK37" i="86"/>
  <c r="BL37" i="86"/>
  <c r="BM37" i="86"/>
  <c r="BN37" i="86"/>
  <c r="BO37" i="86"/>
  <c r="BP37" i="86"/>
  <c r="BQ37" i="86"/>
  <c r="BR37" i="86"/>
  <c r="BS37" i="86"/>
  <c r="CG37" i="86"/>
  <c r="CU37" i="86"/>
  <c r="DI37" i="86"/>
  <c r="DW37" i="86"/>
  <c r="EK37" i="86"/>
  <c r="C38" i="86"/>
  <c r="D38" i="86"/>
  <c r="E38" i="86"/>
  <c r="F38" i="86"/>
  <c r="G38" i="86"/>
  <c r="H38" i="86"/>
  <c r="I38" i="86"/>
  <c r="J38" i="86"/>
  <c r="K38" i="86"/>
  <c r="L38" i="86"/>
  <c r="M38" i="86"/>
  <c r="N38" i="86"/>
  <c r="O38" i="86"/>
  <c r="AC38" i="86"/>
  <c r="AE38" i="86"/>
  <c r="AF38" i="86"/>
  <c r="AG38" i="86"/>
  <c r="AH38" i="86"/>
  <c r="AI38" i="86"/>
  <c r="AJ38" i="86"/>
  <c r="AK38" i="86"/>
  <c r="AL38" i="86"/>
  <c r="AM38" i="86"/>
  <c r="AN38" i="86"/>
  <c r="AO38" i="86"/>
  <c r="AP38" i="86"/>
  <c r="AQ38" i="86"/>
  <c r="BE38" i="86"/>
  <c r="BG38" i="86"/>
  <c r="BH38" i="86"/>
  <c r="BI38" i="86"/>
  <c r="BJ38" i="86"/>
  <c r="BK38" i="86"/>
  <c r="BL38" i="86"/>
  <c r="BM38" i="86"/>
  <c r="BN38" i="86"/>
  <c r="BO38" i="86"/>
  <c r="BP38" i="86"/>
  <c r="BQ38" i="86"/>
  <c r="BR38" i="86"/>
  <c r="BS38" i="86"/>
  <c r="CG38" i="86"/>
  <c r="CU38" i="86"/>
  <c r="DI38" i="86"/>
  <c r="DW38" i="86"/>
  <c r="EK38" i="86"/>
  <c r="C39" i="86"/>
  <c r="D39" i="86"/>
  <c r="E39" i="86"/>
  <c r="F39" i="86"/>
  <c r="G39" i="86"/>
  <c r="H39" i="86"/>
  <c r="I39" i="86"/>
  <c r="J39" i="86"/>
  <c r="K39" i="86"/>
  <c r="L39" i="86"/>
  <c r="M39" i="86"/>
  <c r="N39" i="86"/>
  <c r="O39" i="86"/>
  <c r="AC39" i="86"/>
  <c r="AE39" i="86"/>
  <c r="AF39" i="86"/>
  <c r="AG39" i="86"/>
  <c r="AH39" i="86"/>
  <c r="AI39" i="86"/>
  <c r="AJ39" i="86"/>
  <c r="AK39" i="86"/>
  <c r="AL39" i="86"/>
  <c r="AM39" i="86"/>
  <c r="AN39" i="86"/>
  <c r="AO39" i="86"/>
  <c r="AP39" i="86"/>
  <c r="AQ39" i="86"/>
  <c r="BE39" i="86"/>
  <c r="BG39" i="86"/>
  <c r="BH39" i="86"/>
  <c r="BI39" i="86"/>
  <c r="BJ39" i="86"/>
  <c r="BK39" i="86"/>
  <c r="BL39" i="86"/>
  <c r="BM39" i="86"/>
  <c r="BN39" i="86"/>
  <c r="BO39" i="86"/>
  <c r="BP39" i="86"/>
  <c r="BQ39" i="86"/>
  <c r="BR39" i="86"/>
  <c r="BS39" i="86"/>
  <c r="CG39" i="86"/>
  <c r="CU39" i="86"/>
  <c r="DI39" i="86"/>
  <c r="DW39" i="86"/>
  <c r="EK39" i="86"/>
  <c r="AE40" i="86"/>
  <c r="AF40" i="86"/>
  <c r="AG40" i="86"/>
  <c r="AH40" i="86"/>
  <c r="AI40" i="86"/>
  <c r="AJ40" i="86"/>
  <c r="AK40" i="86"/>
  <c r="AL40" i="86"/>
  <c r="AM40" i="86"/>
  <c r="AN40" i="86"/>
  <c r="AO40" i="86"/>
  <c r="AP40" i="86"/>
  <c r="AQ40" i="86"/>
  <c r="AS40" i="86"/>
  <c r="AT40" i="86"/>
  <c r="AU40" i="86"/>
  <c r="AV40" i="86"/>
  <c r="AW40" i="86"/>
  <c r="AX40" i="86"/>
  <c r="AY40" i="86"/>
  <c r="AZ40" i="86"/>
  <c r="BA40" i="86"/>
  <c r="BB40" i="86"/>
  <c r="BC40" i="86"/>
  <c r="BD40" i="86"/>
  <c r="BE40" i="86"/>
  <c r="BG40" i="86"/>
  <c r="BH40" i="86"/>
  <c r="BI40" i="86"/>
  <c r="BJ40" i="86"/>
  <c r="BK40" i="86"/>
  <c r="BL40" i="86"/>
  <c r="BM40" i="86"/>
  <c r="BN40" i="86"/>
  <c r="BO40" i="86"/>
  <c r="BP40" i="86"/>
  <c r="BQ40" i="86"/>
  <c r="BR40" i="86"/>
  <c r="BS40" i="86"/>
  <c r="BU40" i="86"/>
  <c r="BV40" i="86"/>
  <c r="BW40" i="86"/>
  <c r="BX40" i="86"/>
  <c r="BY40" i="86"/>
  <c r="BZ40" i="86"/>
  <c r="CA40" i="86"/>
  <c r="CB40" i="86"/>
  <c r="CC40" i="86"/>
  <c r="CD40" i="86"/>
  <c r="CE40" i="86"/>
  <c r="CF40" i="86"/>
  <c r="CG40" i="86"/>
  <c r="CI40" i="86"/>
  <c r="CJ40" i="86"/>
  <c r="CK40" i="86"/>
  <c r="CL40" i="86"/>
  <c r="CM40" i="86"/>
  <c r="CN40" i="86"/>
  <c r="CO40" i="86"/>
  <c r="CP40" i="86"/>
  <c r="CQ40" i="86"/>
  <c r="CR40" i="86"/>
  <c r="CS40" i="86"/>
  <c r="CT40" i="86"/>
  <c r="CU40" i="86"/>
  <c r="CW40" i="86"/>
  <c r="CX40" i="86"/>
  <c r="CY40" i="86"/>
  <c r="CZ40" i="86"/>
  <c r="DA40" i="86"/>
  <c r="DB40" i="86"/>
  <c r="DC40" i="86"/>
  <c r="DD40" i="86"/>
  <c r="DE40" i="86"/>
  <c r="DF40" i="86"/>
  <c r="DG40" i="86"/>
  <c r="DH40" i="86"/>
  <c r="DI40" i="86"/>
  <c r="DK40" i="86"/>
  <c r="DL40" i="86"/>
  <c r="DM40" i="86"/>
  <c r="DN40" i="86"/>
  <c r="DO40" i="86"/>
  <c r="DP40" i="86"/>
  <c r="DQ40" i="86"/>
  <c r="DR40" i="86"/>
  <c r="DS40" i="86"/>
  <c r="DT40" i="86"/>
  <c r="DU40" i="86"/>
  <c r="DV40" i="86"/>
  <c r="DW40" i="86"/>
  <c r="DY40" i="86"/>
  <c r="DZ40" i="86"/>
  <c r="EA40" i="86"/>
  <c r="EB40" i="86"/>
  <c r="EC40" i="86"/>
  <c r="ED40" i="86"/>
  <c r="EE40" i="86"/>
  <c r="EF40" i="86"/>
  <c r="EG40" i="86"/>
  <c r="EH40" i="86"/>
  <c r="EI40" i="86"/>
  <c r="EJ40" i="86"/>
  <c r="EK40" i="86"/>
  <c r="C41" i="86"/>
  <c r="D41" i="86"/>
  <c r="E41" i="86"/>
  <c r="F41" i="86"/>
  <c r="G41" i="86"/>
  <c r="H41" i="86"/>
  <c r="I41" i="86"/>
  <c r="J41" i="86"/>
  <c r="K41" i="86"/>
  <c r="L41" i="86"/>
  <c r="M41" i="86"/>
  <c r="N41" i="86"/>
  <c r="O41" i="86"/>
  <c r="AC41" i="86"/>
  <c r="AE41" i="86"/>
  <c r="AF41" i="86"/>
  <c r="AG41" i="86"/>
  <c r="AH41" i="86"/>
  <c r="AI41" i="86"/>
  <c r="AJ41" i="86"/>
  <c r="AK41" i="86"/>
  <c r="AL41" i="86"/>
  <c r="AM41" i="86"/>
  <c r="AN41" i="86"/>
  <c r="AO41" i="86"/>
  <c r="AP41" i="86"/>
  <c r="AQ41" i="86"/>
  <c r="BE41" i="86"/>
  <c r="BG41" i="86"/>
  <c r="BH41" i="86"/>
  <c r="BI41" i="86"/>
  <c r="BJ41" i="86"/>
  <c r="BK41" i="86"/>
  <c r="BL41" i="86"/>
  <c r="BM41" i="86"/>
  <c r="BN41" i="86"/>
  <c r="BO41" i="86"/>
  <c r="BP41" i="86"/>
  <c r="BQ41" i="86"/>
  <c r="BR41" i="86"/>
  <c r="BS41" i="86"/>
  <c r="CG41" i="86"/>
  <c r="CU41" i="86"/>
  <c r="DI41" i="86"/>
  <c r="DW41" i="86"/>
  <c r="EK41" i="86"/>
  <c r="C42" i="86"/>
  <c r="D42" i="86"/>
  <c r="E42" i="86"/>
  <c r="F42" i="86"/>
  <c r="G42" i="86"/>
  <c r="H42" i="86"/>
  <c r="I42" i="86"/>
  <c r="J42" i="86"/>
  <c r="K42" i="86"/>
  <c r="L42" i="86"/>
  <c r="M42" i="86"/>
  <c r="N42" i="86"/>
  <c r="O42" i="86"/>
  <c r="AC42" i="86"/>
  <c r="AE42" i="86"/>
  <c r="AF42" i="86"/>
  <c r="AG42" i="86"/>
  <c r="AH42" i="86"/>
  <c r="AI42" i="86"/>
  <c r="AJ42" i="86"/>
  <c r="AK42" i="86"/>
  <c r="AL42" i="86"/>
  <c r="AM42" i="86"/>
  <c r="AN42" i="86"/>
  <c r="AO42" i="86"/>
  <c r="AP42" i="86"/>
  <c r="AQ42" i="86"/>
  <c r="BE42" i="86"/>
  <c r="BG42" i="86"/>
  <c r="BH42" i="86"/>
  <c r="BI42" i="86"/>
  <c r="BJ42" i="86"/>
  <c r="BK42" i="86"/>
  <c r="BL42" i="86"/>
  <c r="BM42" i="86"/>
  <c r="BN42" i="86"/>
  <c r="BO42" i="86"/>
  <c r="BP42" i="86"/>
  <c r="BQ42" i="86"/>
  <c r="BR42" i="86"/>
  <c r="BS42" i="86"/>
  <c r="CG42" i="86"/>
  <c r="CU42" i="86"/>
  <c r="DI42" i="86"/>
  <c r="DW42" i="86"/>
  <c r="EK42" i="86"/>
  <c r="C43" i="86"/>
  <c r="D43" i="86"/>
  <c r="E43" i="86"/>
  <c r="F43" i="86"/>
  <c r="G43" i="86"/>
  <c r="H43" i="86"/>
  <c r="I43" i="86"/>
  <c r="J43" i="86"/>
  <c r="K43" i="86"/>
  <c r="L43" i="86"/>
  <c r="M43" i="86"/>
  <c r="N43" i="86"/>
  <c r="O43" i="86"/>
  <c r="Q43" i="86"/>
  <c r="R43" i="86"/>
  <c r="S43" i="86"/>
  <c r="T43" i="86"/>
  <c r="U43" i="86"/>
  <c r="V43" i="86"/>
  <c r="W43" i="86"/>
  <c r="X43" i="86"/>
  <c r="Y43" i="86"/>
  <c r="Z43" i="86"/>
  <c r="AA43" i="86"/>
  <c r="AB43" i="86"/>
  <c r="AC43" i="86"/>
  <c r="AE43" i="86"/>
  <c r="AF43" i="86"/>
  <c r="AG43" i="86"/>
  <c r="AH43" i="86"/>
  <c r="AI43" i="86"/>
  <c r="AJ43" i="86"/>
  <c r="AK43" i="86"/>
  <c r="AL43" i="86"/>
  <c r="AM43" i="86"/>
  <c r="AN43" i="86"/>
  <c r="AO43" i="86"/>
  <c r="AP43" i="86"/>
  <c r="AQ43" i="86"/>
  <c r="AS43" i="86"/>
  <c r="AT43" i="86"/>
  <c r="AU43" i="86"/>
  <c r="AV43" i="86"/>
  <c r="AW43" i="86"/>
  <c r="AX43" i="86"/>
  <c r="AY43" i="86"/>
  <c r="AZ43" i="86"/>
  <c r="BA43" i="86"/>
  <c r="BB43" i="86"/>
  <c r="BC43" i="86"/>
  <c r="BD43" i="86"/>
  <c r="BE43" i="86"/>
  <c r="BG43" i="86"/>
  <c r="BH43" i="86"/>
  <c r="BI43" i="86"/>
  <c r="BJ43" i="86"/>
  <c r="BK43" i="86"/>
  <c r="BL43" i="86"/>
  <c r="BM43" i="86"/>
  <c r="BN43" i="86"/>
  <c r="BO43" i="86"/>
  <c r="BP43" i="86"/>
  <c r="BQ43" i="86"/>
  <c r="BR43" i="86"/>
  <c r="BS43" i="86"/>
  <c r="BU43" i="86"/>
  <c r="BV43" i="86"/>
  <c r="BW43" i="86"/>
  <c r="BX43" i="86"/>
  <c r="BY43" i="86"/>
  <c r="BZ43" i="86"/>
  <c r="CA43" i="86"/>
  <c r="CB43" i="86"/>
  <c r="CC43" i="86"/>
  <c r="CD43" i="86"/>
  <c r="CE43" i="86"/>
  <c r="CF43" i="86"/>
  <c r="CG43" i="86"/>
  <c r="CI43" i="86"/>
  <c r="CJ43" i="86"/>
  <c r="CK43" i="86"/>
  <c r="CL43" i="86"/>
  <c r="CM43" i="86"/>
  <c r="CN43" i="86"/>
  <c r="CO43" i="86"/>
  <c r="CP43" i="86"/>
  <c r="CQ43" i="86"/>
  <c r="CR43" i="86"/>
  <c r="CS43" i="86"/>
  <c r="CT43" i="86"/>
  <c r="CU43" i="86"/>
  <c r="CW43" i="86"/>
  <c r="CX43" i="86"/>
  <c r="CY43" i="86"/>
  <c r="CZ43" i="86"/>
  <c r="DA43" i="86"/>
  <c r="DB43" i="86"/>
  <c r="DC43" i="86"/>
  <c r="DD43" i="86"/>
  <c r="DE43" i="86"/>
  <c r="DF43" i="86"/>
  <c r="DG43" i="86"/>
  <c r="DH43" i="86"/>
  <c r="DI43" i="86"/>
  <c r="DK43" i="86"/>
  <c r="DL43" i="86"/>
  <c r="DM43" i="86"/>
  <c r="DN43" i="86"/>
  <c r="DO43" i="86"/>
  <c r="DP43" i="86"/>
  <c r="DQ43" i="86"/>
  <c r="DR43" i="86"/>
  <c r="DS43" i="86"/>
  <c r="DT43" i="86"/>
  <c r="DU43" i="86"/>
  <c r="DV43" i="86"/>
  <c r="DW43" i="86"/>
  <c r="DY43" i="86"/>
  <c r="DZ43" i="86"/>
  <c r="EA43" i="86"/>
  <c r="EB43" i="86"/>
  <c r="EC43" i="86"/>
  <c r="ED43" i="86"/>
  <c r="EE43" i="86"/>
  <c r="EF43" i="86"/>
  <c r="EG43" i="86"/>
  <c r="EH43" i="86"/>
  <c r="EI43" i="86"/>
  <c r="EJ43" i="86"/>
  <c r="EK43" i="86"/>
  <c r="AE44" i="86"/>
  <c r="AF44" i="86"/>
  <c r="AG44" i="86"/>
  <c r="AH44" i="86"/>
  <c r="AI44" i="86"/>
  <c r="AJ44" i="86"/>
  <c r="AK44" i="86"/>
  <c r="AL44" i="86"/>
  <c r="AM44" i="86"/>
  <c r="AN44" i="86"/>
  <c r="AO44" i="86"/>
  <c r="AP44" i="86"/>
  <c r="AQ44" i="86"/>
  <c r="AS44" i="86"/>
  <c r="AT44" i="86"/>
  <c r="AU44" i="86"/>
  <c r="AV44" i="86"/>
  <c r="AW44" i="86"/>
  <c r="AX44" i="86"/>
  <c r="AY44" i="86"/>
  <c r="AZ44" i="86"/>
  <c r="BA44" i="86"/>
  <c r="BB44" i="86"/>
  <c r="BC44" i="86"/>
  <c r="BD44" i="86"/>
  <c r="BE44" i="86"/>
  <c r="BG44" i="86"/>
  <c r="BH44" i="86"/>
  <c r="BI44" i="86"/>
  <c r="BJ44" i="86"/>
  <c r="BK44" i="86"/>
  <c r="BL44" i="86"/>
  <c r="BM44" i="86"/>
  <c r="BN44" i="86"/>
  <c r="BO44" i="86"/>
  <c r="BP44" i="86"/>
  <c r="BQ44" i="86"/>
  <c r="BR44" i="86"/>
  <c r="BS44" i="86"/>
  <c r="BU44" i="86"/>
  <c r="BV44" i="86"/>
  <c r="BW44" i="86"/>
  <c r="BX44" i="86"/>
  <c r="BY44" i="86"/>
  <c r="BZ44" i="86"/>
  <c r="CA44" i="86"/>
  <c r="CB44" i="86"/>
  <c r="CC44" i="86"/>
  <c r="CD44" i="86"/>
  <c r="CE44" i="86"/>
  <c r="CF44" i="86"/>
  <c r="CG44" i="86"/>
  <c r="CI44" i="86"/>
  <c r="CJ44" i="86"/>
  <c r="CK44" i="86"/>
  <c r="CL44" i="86"/>
  <c r="CM44" i="86"/>
  <c r="CN44" i="86"/>
  <c r="CO44" i="86"/>
  <c r="CP44" i="86"/>
  <c r="CQ44" i="86"/>
  <c r="CR44" i="86"/>
  <c r="CS44" i="86"/>
  <c r="CT44" i="86"/>
  <c r="CU44" i="86"/>
  <c r="CW44" i="86"/>
  <c r="CX44" i="86"/>
  <c r="CY44" i="86"/>
  <c r="CZ44" i="86"/>
  <c r="DA44" i="86"/>
  <c r="DB44" i="86"/>
  <c r="DC44" i="86"/>
  <c r="DD44" i="86"/>
  <c r="DE44" i="86"/>
  <c r="DF44" i="86"/>
  <c r="DG44" i="86"/>
  <c r="DH44" i="86"/>
  <c r="DI44" i="86"/>
  <c r="DK44" i="86"/>
  <c r="DL44" i="86"/>
  <c r="DM44" i="86"/>
  <c r="DN44" i="86"/>
  <c r="DO44" i="86"/>
  <c r="DP44" i="86"/>
  <c r="DQ44" i="86"/>
  <c r="DR44" i="86"/>
  <c r="DS44" i="86"/>
  <c r="DT44" i="86"/>
  <c r="DU44" i="86"/>
  <c r="DV44" i="86"/>
  <c r="DW44" i="86"/>
  <c r="DY44" i="86"/>
  <c r="DZ44" i="86"/>
  <c r="EA44" i="86"/>
  <c r="EB44" i="86"/>
  <c r="EC44" i="86"/>
  <c r="ED44" i="86"/>
  <c r="EE44" i="86"/>
  <c r="EF44" i="86"/>
  <c r="EG44" i="86"/>
  <c r="EH44" i="86"/>
  <c r="EI44" i="86"/>
  <c r="EJ44" i="86"/>
  <c r="EK44" i="86"/>
  <c r="C45" i="86"/>
  <c r="D45" i="86"/>
  <c r="E45" i="86"/>
  <c r="F45" i="86"/>
  <c r="G45" i="86"/>
  <c r="H45" i="86"/>
  <c r="I45" i="86"/>
  <c r="J45" i="86"/>
  <c r="K45" i="86"/>
  <c r="L45" i="86"/>
  <c r="M45" i="86"/>
  <c r="N45" i="86"/>
  <c r="O45" i="86"/>
  <c r="AC45" i="86"/>
  <c r="AE45" i="86"/>
  <c r="AF45" i="86"/>
  <c r="AG45" i="86"/>
  <c r="AH45" i="86"/>
  <c r="AI45" i="86"/>
  <c r="AJ45" i="86"/>
  <c r="AK45" i="86"/>
  <c r="AL45" i="86"/>
  <c r="AM45" i="86"/>
  <c r="AN45" i="86"/>
  <c r="AO45" i="86"/>
  <c r="AP45" i="86"/>
  <c r="AQ45" i="86"/>
  <c r="BE45" i="86"/>
  <c r="BG45" i="86"/>
  <c r="BH45" i="86"/>
  <c r="BI45" i="86"/>
  <c r="BJ45" i="86"/>
  <c r="BK45" i="86"/>
  <c r="BL45" i="86"/>
  <c r="BM45" i="86"/>
  <c r="BN45" i="86"/>
  <c r="BO45" i="86"/>
  <c r="BP45" i="86"/>
  <c r="BQ45" i="86"/>
  <c r="BR45" i="86"/>
  <c r="BS45" i="86"/>
  <c r="CG45" i="86"/>
  <c r="CU45" i="86"/>
  <c r="DI45" i="86"/>
  <c r="DW45" i="86"/>
  <c r="EK45" i="86"/>
  <c r="C46" i="86"/>
  <c r="D46" i="86"/>
  <c r="E46" i="86"/>
  <c r="F46" i="86"/>
  <c r="G46" i="86"/>
  <c r="H46" i="86"/>
  <c r="I46" i="86"/>
  <c r="J46" i="86"/>
  <c r="K46" i="86"/>
  <c r="L46" i="86"/>
  <c r="M46" i="86"/>
  <c r="N46" i="86"/>
  <c r="O46" i="86"/>
  <c r="AC46" i="86"/>
  <c r="AE46" i="86"/>
  <c r="AF46" i="86"/>
  <c r="AG46" i="86"/>
  <c r="AH46" i="86"/>
  <c r="AI46" i="86"/>
  <c r="AJ46" i="86"/>
  <c r="AK46" i="86"/>
  <c r="AL46" i="86"/>
  <c r="AM46" i="86"/>
  <c r="AN46" i="86"/>
  <c r="AO46" i="86"/>
  <c r="AP46" i="86"/>
  <c r="AQ46" i="86"/>
  <c r="BE46" i="86"/>
  <c r="BG46" i="86"/>
  <c r="BH46" i="86"/>
  <c r="BI46" i="86"/>
  <c r="BJ46" i="86"/>
  <c r="BK46" i="86"/>
  <c r="BL46" i="86"/>
  <c r="BM46" i="86"/>
  <c r="BN46" i="86"/>
  <c r="BO46" i="86"/>
  <c r="BP46" i="86"/>
  <c r="BQ46" i="86"/>
  <c r="BR46" i="86"/>
  <c r="BS46" i="86"/>
  <c r="CG46" i="86"/>
  <c r="CU46" i="86"/>
  <c r="DI46" i="86"/>
  <c r="DW46" i="86"/>
  <c r="EK46" i="86"/>
  <c r="AE47" i="86"/>
  <c r="AF47" i="86"/>
  <c r="AG47" i="86"/>
  <c r="AH47" i="86"/>
  <c r="AI47" i="86"/>
  <c r="AJ47" i="86"/>
  <c r="AK47" i="86"/>
  <c r="AL47" i="86"/>
  <c r="AM47" i="86"/>
  <c r="AN47" i="86"/>
  <c r="AO47" i="86"/>
  <c r="AP47" i="86"/>
  <c r="AQ47" i="86"/>
  <c r="AS47" i="86"/>
  <c r="AT47" i="86"/>
  <c r="AU47" i="86"/>
  <c r="AV47" i="86"/>
  <c r="AW47" i="86"/>
  <c r="AX47" i="86"/>
  <c r="AY47" i="86"/>
  <c r="AZ47" i="86"/>
  <c r="BA47" i="86"/>
  <c r="BB47" i="86"/>
  <c r="BC47" i="86"/>
  <c r="BD47" i="86"/>
  <c r="BE47" i="86"/>
  <c r="BG47" i="86"/>
  <c r="BH47" i="86"/>
  <c r="BI47" i="86"/>
  <c r="BJ47" i="86"/>
  <c r="BK47" i="86"/>
  <c r="BL47" i="86"/>
  <c r="BM47" i="86"/>
  <c r="BN47" i="86"/>
  <c r="BO47" i="86"/>
  <c r="BP47" i="86"/>
  <c r="BQ47" i="86"/>
  <c r="BR47" i="86"/>
  <c r="BS47" i="86"/>
  <c r="BU47" i="86"/>
  <c r="BV47" i="86"/>
  <c r="BW47" i="86"/>
  <c r="BX47" i="86"/>
  <c r="BY47" i="86"/>
  <c r="BZ47" i="86"/>
  <c r="CA47" i="86"/>
  <c r="CB47" i="86"/>
  <c r="CC47" i="86"/>
  <c r="CD47" i="86"/>
  <c r="CE47" i="86"/>
  <c r="CF47" i="86"/>
  <c r="CG47" i="86"/>
  <c r="CI47" i="86"/>
  <c r="CJ47" i="86"/>
  <c r="CK47" i="86"/>
  <c r="CL47" i="86"/>
  <c r="CM47" i="86"/>
  <c r="CN47" i="86"/>
  <c r="CO47" i="86"/>
  <c r="CP47" i="86"/>
  <c r="CQ47" i="86"/>
  <c r="CR47" i="86"/>
  <c r="CS47" i="86"/>
  <c r="CT47" i="86"/>
  <c r="CU47" i="86"/>
  <c r="CW47" i="86"/>
  <c r="CX47" i="86"/>
  <c r="CY47" i="86"/>
  <c r="CZ47" i="86"/>
  <c r="DA47" i="86"/>
  <c r="DB47" i="86"/>
  <c r="DC47" i="86"/>
  <c r="DD47" i="86"/>
  <c r="DE47" i="86"/>
  <c r="DF47" i="86"/>
  <c r="DG47" i="86"/>
  <c r="DH47" i="86"/>
  <c r="DI47" i="86"/>
  <c r="DK47" i="86"/>
  <c r="DL47" i="86"/>
  <c r="DM47" i="86"/>
  <c r="DN47" i="86"/>
  <c r="DO47" i="86"/>
  <c r="DP47" i="86"/>
  <c r="DQ47" i="86"/>
  <c r="DR47" i="86"/>
  <c r="DS47" i="86"/>
  <c r="DT47" i="86"/>
  <c r="DU47" i="86"/>
  <c r="DV47" i="86"/>
  <c r="DW47" i="86"/>
  <c r="DY47" i="86"/>
  <c r="DZ47" i="86"/>
  <c r="EA47" i="86"/>
  <c r="EB47" i="86"/>
  <c r="EC47" i="86"/>
  <c r="ED47" i="86"/>
  <c r="EE47" i="86"/>
  <c r="EF47" i="86"/>
  <c r="EG47" i="86"/>
  <c r="EH47" i="86"/>
  <c r="EI47" i="86"/>
  <c r="EJ47" i="86"/>
  <c r="EK47" i="86"/>
  <c r="W29" i="88" l="1"/>
  <c r="X29" i="88" s="1"/>
  <c r="W18" i="88"/>
  <c r="X18" i="88" s="1"/>
  <c r="U17" i="88"/>
  <c r="O32" i="88"/>
  <c r="S32" i="88" s="1"/>
  <c r="H24" i="88"/>
  <c r="F5" i="88"/>
  <c r="H23" i="88"/>
  <c r="V19" i="88"/>
  <c r="V29" i="88" s="1"/>
  <c r="H33" i="88"/>
  <c r="H32" i="88" s="1"/>
  <c r="O38" i="88"/>
  <c r="S38" i="88" s="1"/>
  <c r="M22" i="88"/>
  <c r="Q22" i="88" s="1"/>
  <c r="M46" i="88"/>
  <c r="Q46" i="88" s="1"/>
  <c r="W42" i="88"/>
  <c r="X42" i="88" s="1"/>
  <c r="W20" i="88"/>
  <c r="X20" i="88" s="1"/>
  <c r="W6" i="88"/>
  <c r="X6" i="88" s="1"/>
  <c r="U13" i="88"/>
  <c r="W13" i="88" s="1"/>
  <c r="X13" i="88" s="1"/>
  <c r="D39" i="88"/>
  <c r="N37" i="88"/>
  <c r="R37" i="88" s="1"/>
  <c r="W33" i="88"/>
  <c r="X33" i="88" s="1"/>
  <c r="I44" i="88"/>
  <c r="H44" i="88" s="1"/>
  <c r="H14" i="88"/>
  <c r="I18" i="88"/>
  <c r="I17" i="88" s="1"/>
  <c r="J13" i="88"/>
  <c r="H15" i="88"/>
  <c r="K21" i="88"/>
  <c r="N22" i="88"/>
  <c r="R22" i="88" s="1"/>
  <c r="N47" i="88"/>
  <c r="R47" i="88" s="1"/>
  <c r="G32" i="88"/>
  <c r="H40" i="88"/>
  <c r="H46" i="88"/>
  <c r="O23" i="88"/>
  <c r="S23" i="88" s="1"/>
  <c r="D23" i="88"/>
  <c r="M14" i="88"/>
  <c r="Q14" i="88" s="1"/>
  <c r="E13" i="88"/>
  <c r="M13" i="88" s="1"/>
  <c r="Q13" i="88" s="1"/>
  <c r="D47" i="88"/>
  <c r="L47" i="88" s="1"/>
  <c r="P47" i="88" s="1"/>
  <c r="M47" i="88"/>
  <c r="Q47" i="88" s="1"/>
  <c r="H38" i="88"/>
  <c r="D42" i="88"/>
  <c r="L42" i="88" s="1"/>
  <c r="P42" i="88" s="1"/>
  <c r="M42" i="88"/>
  <c r="Q42" i="88" s="1"/>
  <c r="O20" i="88"/>
  <c r="S20" i="88" s="1"/>
  <c r="M16" i="88"/>
  <c r="Q16" i="88" s="1"/>
  <c r="J5" i="88"/>
  <c r="N8" i="88"/>
  <c r="R8" i="88" s="1"/>
  <c r="N10" i="88"/>
  <c r="R10" i="88" s="1"/>
  <c r="J9" i="88"/>
  <c r="J18" i="88"/>
  <c r="J19" i="88"/>
  <c r="J29" i="88" s="1"/>
  <c r="N11" i="88"/>
  <c r="R11" i="88" s="1"/>
  <c r="M10" i="88"/>
  <c r="Q10" i="88" s="1"/>
  <c r="E18" i="88"/>
  <c r="E28" i="88" s="1"/>
  <c r="E32" i="88"/>
  <c r="M33" i="88"/>
  <c r="Q33" i="88" s="1"/>
  <c r="H11" i="88"/>
  <c r="H19" i="88" s="1"/>
  <c r="H39" i="88"/>
  <c r="L39" i="88" s="1"/>
  <c r="P39" i="88" s="1"/>
  <c r="M39" i="88"/>
  <c r="Q39" i="88" s="1"/>
  <c r="J20" i="88"/>
  <c r="J30" i="88" s="1"/>
  <c r="H12" i="88"/>
  <c r="N38" i="88"/>
  <c r="R38" i="88" s="1"/>
  <c r="K13" i="88"/>
  <c r="K18" i="88"/>
  <c r="M38" i="88"/>
  <c r="Q38" i="88" s="1"/>
  <c r="G13" i="88"/>
  <c r="O13" i="88" s="1"/>
  <c r="S13" i="88" s="1"/>
  <c r="O14" i="88"/>
  <c r="S14" i="88" s="1"/>
  <c r="O42" i="88"/>
  <c r="S42" i="88" s="1"/>
  <c r="G44" i="88"/>
  <c r="O44" i="88" s="1"/>
  <c r="S44" i="88" s="1"/>
  <c r="N12" i="88"/>
  <c r="R12" i="88" s="1"/>
  <c r="D15" i="88"/>
  <c r="L15" i="88" s="1"/>
  <c r="P15" i="88" s="1"/>
  <c r="O15" i="88"/>
  <c r="S15" i="88" s="1"/>
  <c r="O43" i="88"/>
  <c r="S43" i="88" s="1"/>
  <c r="M6" i="88"/>
  <c r="Q6" i="88" s="1"/>
  <c r="D6" i="88"/>
  <c r="L6" i="88" s="1"/>
  <c r="P6" i="88" s="1"/>
  <c r="F13" i="88"/>
  <c r="N14" i="88"/>
  <c r="R14" i="88" s="1"/>
  <c r="N42" i="88"/>
  <c r="R42" i="88" s="1"/>
  <c r="O46" i="88"/>
  <c r="S46" i="88" s="1"/>
  <c r="M35" i="88"/>
  <c r="Q35" i="88" s="1"/>
  <c r="F44" i="88"/>
  <c r="N44" i="88" s="1"/>
  <c r="R44" i="88" s="1"/>
  <c r="N43" i="88"/>
  <c r="R43" i="88" s="1"/>
  <c r="G21" i="88"/>
  <c r="O21" i="88" s="1"/>
  <c r="S21" i="88" s="1"/>
  <c r="O22" i="88"/>
  <c r="S22" i="88" s="1"/>
  <c r="O47" i="88"/>
  <c r="S47" i="88" s="1"/>
  <c r="E20" i="88"/>
  <c r="M12" i="88"/>
  <c r="Q12" i="88" s="1"/>
  <c r="D12" i="88"/>
  <c r="E9" i="88"/>
  <c r="D11" i="88"/>
  <c r="M11" i="88"/>
  <c r="Q11" i="88" s="1"/>
  <c r="E19" i="88"/>
  <c r="F20" i="88"/>
  <c r="F17" i="88" s="1"/>
  <c r="H37" i="88"/>
  <c r="D34" i="88"/>
  <c r="L34" i="88" s="1"/>
  <c r="P34" i="88" s="1"/>
  <c r="D22" i="88"/>
  <c r="L22" i="88" s="1"/>
  <c r="P22" i="88" s="1"/>
  <c r="D35" i="88"/>
  <c r="L35" i="88" s="1"/>
  <c r="P35" i="88" s="1"/>
  <c r="H16" i="88"/>
  <c r="H13" i="88" s="1"/>
  <c r="O8" i="88"/>
  <c r="S8" i="88" s="1"/>
  <c r="O37" i="88"/>
  <c r="S37" i="88" s="1"/>
  <c r="O34" i="88"/>
  <c r="S34" i="88" s="1"/>
  <c r="F18" i="88"/>
  <c r="G18" i="88"/>
  <c r="K19" i="88"/>
  <c r="K29" i="88" s="1"/>
  <c r="F19" i="88"/>
  <c r="G19" i="88"/>
  <c r="K20" i="88"/>
  <c r="K30" i="88" s="1"/>
  <c r="F32" i="88"/>
  <c r="N32" i="88" s="1"/>
  <c r="R32" i="88" s="1"/>
  <c r="D40" i="88"/>
  <c r="L40" i="88" s="1"/>
  <c r="P40" i="88" s="1"/>
  <c r="H5" i="88"/>
  <c r="H21" i="88"/>
  <c r="H29" i="88"/>
  <c r="I28" i="88"/>
  <c r="I27" i="88" s="1"/>
  <c r="I9" i="88"/>
  <c r="I21" i="88"/>
  <c r="M21" i="88" s="1"/>
  <c r="Q21" i="88" s="1"/>
  <c r="I5" i="88"/>
  <c r="M5" i="88" s="1"/>
  <c r="Q5" i="88" s="1"/>
  <c r="H10" i="88"/>
  <c r="I32" i="88"/>
  <c r="G30" i="88"/>
  <c r="O30" i="88" s="1"/>
  <c r="S30" i="88" s="1"/>
  <c r="G28" i="88"/>
  <c r="G17" i="88"/>
  <c r="D24" i="88"/>
  <c r="L24" i="88" s="1"/>
  <c r="P24" i="88" s="1"/>
  <c r="G9" i="88"/>
  <c r="O9" i="88" s="1"/>
  <c r="S9" i="88" s="1"/>
  <c r="D7" i="88"/>
  <c r="L7" i="88" s="1"/>
  <c r="P7" i="88" s="1"/>
  <c r="G5" i="88"/>
  <c r="O5" i="88" s="1"/>
  <c r="S5" i="88" s="1"/>
  <c r="D8" i="88"/>
  <c r="D46" i="88"/>
  <c r="L46" i="88" s="1"/>
  <c r="P46" i="88" s="1"/>
  <c r="D33" i="88"/>
  <c r="D38" i="88"/>
  <c r="D36" i="88"/>
  <c r="L36" i="88" s="1"/>
  <c r="P36" i="88" s="1"/>
  <c r="F28" i="88"/>
  <c r="F21" i="88"/>
  <c r="N21" i="88" s="1"/>
  <c r="R21" i="88" s="1"/>
  <c r="D14" i="88"/>
  <c r="D43" i="88"/>
  <c r="L43" i="88" s="1"/>
  <c r="P43" i="88" s="1"/>
  <c r="F9" i="88"/>
  <c r="N9" i="88" s="1"/>
  <c r="R9" i="88" s="1"/>
  <c r="D37" i="88"/>
  <c r="L37" i="88" s="1"/>
  <c r="P37" i="88" s="1"/>
  <c r="D10" i="88"/>
  <c r="E44" i="88"/>
  <c r="D20" i="88"/>
  <c r="N26" i="86"/>
  <c r="O26" i="86" s="1"/>
  <c r="M26" i="86"/>
  <c r="K26" i="86"/>
  <c r="W25" i="86"/>
  <c r="W28" i="86" s="1"/>
  <c r="W27" i="86" s="1"/>
  <c r="W40" i="86" s="1"/>
  <c r="W44" i="86" s="1"/>
  <c r="W47" i="86" s="1"/>
  <c r="AB21" i="86"/>
  <c r="R25" i="86"/>
  <c r="R21" i="86" s="1"/>
  <c r="AC28" i="86"/>
  <c r="AC27" i="86" s="1"/>
  <c r="AC40" i="86" s="1"/>
  <c r="AC44" i="86" s="1"/>
  <c r="AC47" i="86" s="1"/>
  <c r="Y25" i="86"/>
  <c r="K25" i="86" s="1"/>
  <c r="J26" i="86"/>
  <c r="X25" i="86"/>
  <c r="X28" i="86" s="1"/>
  <c r="X27" i="86" s="1"/>
  <c r="X40" i="86" s="1"/>
  <c r="X44" i="86" s="1"/>
  <c r="X47" i="86" s="1"/>
  <c r="I26" i="86"/>
  <c r="T25" i="86"/>
  <c r="T21" i="86" s="1"/>
  <c r="E26" i="86"/>
  <c r="AB28" i="86"/>
  <c r="AB27" i="86" s="1"/>
  <c r="AB40" i="86" s="1"/>
  <c r="AB44" i="86" s="1"/>
  <c r="AB47" i="86" s="1"/>
  <c r="U25" i="86"/>
  <c r="U28" i="86" s="1"/>
  <c r="U27" i="86" s="1"/>
  <c r="U40" i="86" s="1"/>
  <c r="U44" i="86" s="1"/>
  <c r="U47" i="86" s="1"/>
  <c r="F26" i="86"/>
  <c r="N25" i="86"/>
  <c r="D26" i="86"/>
  <c r="C21" i="86"/>
  <c r="C28" i="86"/>
  <c r="C27" i="86" s="1"/>
  <c r="C40" i="86" s="1"/>
  <c r="C44" i="86" s="1"/>
  <c r="C47" i="86" s="1"/>
  <c r="L25" i="86"/>
  <c r="Z28" i="86"/>
  <c r="Z27" i="86" s="1"/>
  <c r="Z40" i="86" s="1"/>
  <c r="Z44" i="86" s="1"/>
  <c r="Z47" i="86" s="1"/>
  <c r="Z21" i="86"/>
  <c r="S21" i="86"/>
  <c r="E25" i="86"/>
  <c r="S28" i="86"/>
  <c r="S27" i="86" s="1"/>
  <c r="S40" i="86" s="1"/>
  <c r="S44" i="86" s="1"/>
  <c r="S47" i="86" s="1"/>
  <c r="AA25" i="86"/>
  <c r="Q28" i="86"/>
  <c r="Q27" i="86" s="1"/>
  <c r="Q40" i="86" s="1"/>
  <c r="Q44" i="86" s="1"/>
  <c r="Q47" i="86" s="1"/>
  <c r="V25" i="86"/>
  <c r="Q21" i="86"/>
  <c r="DV46" i="83"/>
  <c r="DU46" i="83"/>
  <c r="DT46" i="83"/>
  <c r="AN46" i="83" s="1"/>
  <c r="DS46" i="83"/>
  <c r="DR46" i="83"/>
  <c r="AL46" i="83" s="1"/>
  <c r="J46" i="83" s="1"/>
  <c r="DQ46" i="83"/>
  <c r="DP46" i="83"/>
  <c r="DO46" i="83"/>
  <c r="DN46" i="83"/>
  <c r="AH46" i="83" s="1"/>
  <c r="F46" i="83" s="1"/>
  <c r="DM46" i="83"/>
  <c r="DL46" i="83"/>
  <c r="DK46" i="83"/>
  <c r="AE46" i="83" s="1"/>
  <c r="C46" i="83" s="1"/>
  <c r="BD46" i="83"/>
  <c r="BC46" i="83"/>
  <c r="AO46" i="83" s="1"/>
  <c r="M46" i="83" s="1"/>
  <c r="BB46" i="83"/>
  <c r="BA46" i="83"/>
  <c r="AZ46" i="83"/>
  <c r="AY46" i="83"/>
  <c r="AK46" i="83" s="1"/>
  <c r="AX46" i="83"/>
  <c r="AW46" i="83"/>
  <c r="AI46" i="83" s="1"/>
  <c r="AV46" i="83"/>
  <c r="AU46" i="83"/>
  <c r="AT46" i="83"/>
  <c r="AS46" i="83"/>
  <c r="DV45" i="83"/>
  <c r="AP45" i="83" s="1"/>
  <c r="N45" i="83" s="1"/>
  <c r="DU45" i="83"/>
  <c r="DT45" i="83"/>
  <c r="DS45" i="83"/>
  <c r="DR45" i="83"/>
  <c r="DQ45" i="83"/>
  <c r="DP45" i="83"/>
  <c r="DO45" i="83"/>
  <c r="DN45" i="83"/>
  <c r="DM45" i="83"/>
  <c r="DL45" i="83"/>
  <c r="DK45" i="83"/>
  <c r="BD45" i="83"/>
  <c r="BC45" i="83"/>
  <c r="BB45" i="83"/>
  <c r="BA45" i="83"/>
  <c r="AZ45" i="83"/>
  <c r="AL45" i="83" s="1"/>
  <c r="J45" i="83" s="1"/>
  <c r="AY45" i="83"/>
  <c r="AX45" i="83"/>
  <c r="AJ45" i="83" s="1"/>
  <c r="H45" i="83" s="1"/>
  <c r="AW45" i="83"/>
  <c r="AV45" i="83"/>
  <c r="AU45" i="83"/>
  <c r="AG45" i="83" s="1"/>
  <c r="E45" i="83" s="1"/>
  <c r="AT45" i="83"/>
  <c r="AS45" i="83"/>
  <c r="DV42" i="83"/>
  <c r="DU42" i="83"/>
  <c r="DT42" i="83"/>
  <c r="AN42" i="83" s="1"/>
  <c r="L42" i="83" s="1"/>
  <c r="DS42" i="83"/>
  <c r="DR42" i="83"/>
  <c r="DR43" i="83" s="1"/>
  <c r="DQ42" i="83"/>
  <c r="DP42" i="83"/>
  <c r="DP43" i="83" s="1"/>
  <c r="DO42" i="83"/>
  <c r="DN42" i="83"/>
  <c r="DN43" i="83" s="1"/>
  <c r="DM42" i="83"/>
  <c r="DM43" i="83" s="1"/>
  <c r="DL42" i="83"/>
  <c r="AF42" i="83" s="1"/>
  <c r="D42" i="83" s="1"/>
  <c r="DK42" i="83"/>
  <c r="DK43" i="83" s="1"/>
  <c r="BD42" i="83"/>
  <c r="BC42" i="83"/>
  <c r="BB42" i="83"/>
  <c r="BA42" i="83"/>
  <c r="AZ42" i="83"/>
  <c r="AY42" i="83"/>
  <c r="AX42" i="83"/>
  <c r="AW42" i="83"/>
  <c r="AI42" i="83" s="1"/>
  <c r="AV42" i="83"/>
  <c r="AU42" i="83"/>
  <c r="AT42" i="83"/>
  <c r="AS42" i="83"/>
  <c r="DV41" i="83"/>
  <c r="DU41" i="83"/>
  <c r="DT41" i="83"/>
  <c r="DT43" i="83" s="1"/>
  <c r="DS41" i="83"/>
  <c r="DR41" i="83"/>
  <c r="DQ41" i="83"/>
  <c r="DQ43" i="83" s="1"/>
  <c r="DP41" i="83"/>
  <c r="DO41" i="83"/>
  <c r="DN41" i="83"/>
  <c r="DM41" i="83"/>
  <c r="DL41" i="83"/>
  <c r="DK41" i="83"/>
  <c r="BD41" i="83"/>
  <c r="BD43" i="83" s="1"/>
  <c r="BC41" i="83"/>
  <c r="BB41" i="83"/>
  <c r="BB43" i="83" s="1"/>
  <c r="BA41" i="83"/>
  <c r="AZ41" i="83"/>
  <c r="AY41" i="83"/>
  <c r="AY43" i="83" s="1"/>
  <c r="AX41" i="83"/>
  <c r="AX43" i="83" s="1"/>
  <c r="AW41" i="83"/>
  <c r="AW43" i="83" s="1"/>
  <c r="AV41" i="83"/>
  <c r="AU41" i="83"/>
  <c r="AT41" i="83"/>
  <c r="AS41" i="83"/>
  <c r="DV39" i="83"/>
  <c r="DU39" i="83"/>
  <c r="DT39" i="83"/>
  <c r="DS39" i="83"/>
  <c r="DR39" i="83"/>
  <c r="DQ39" i="83"/>
  <c r="DP39" i="83"/>
  <c r="DO39" i="83"/>
  <c r="DN39" i="83"/>
  <c r="DM39" i="83"/>
  <c r="DL39" i="83"/>
  <c r="DK39" i="83"/>
  <c r="DH39" i="83"/>
  <c r="DG39" i="83"/>
  <c r="DF39" i="83"/>
  <c r="DE39" i="83"/>
  <c r="BO39" i="83" s="1"/>
  <c r="DD39" i="83"/>
  <c r="DC39" i="83"/>
  <c r="DB39" i="83"/>
  <c r="DA39" i="83"/>
  <c r="CZ39" i="83"/>
  <c r="BJ39" i="83" s="1"/>
  <c r="CY39" i="83"/>
  <c r="CX39" i="83"/>
  <c r="CW39" i="83"/>
  <c r="CT39" i="83"/>
  <c r="AP39" i="83" s="1"/>
  <c r="N39" i="83" s="1"/>
  <c r="CS39" i="83"/>
  <c r="BQ39" i="83" s="1"/>
  <c r="CR39" i="83"/>
  <c r="CQ39" i="83"/>
  <c r="CP39" i="83"/>
  <c r="CO39" i="83"/>
  <c r="CN39" i="83"/>
  <c r="CM39" i="83"/>
  <c r="CU39" i="83" s="1"/>
  <c r="CL39" i="83"/>
  <c r="CK39" i="83"/>
  <c r="CJ39" i="83"/>
  <c r="CI39" i="83"/>
  <c r="CF39" i="83"/>
  <c r="CE39" i="83"/>
  <c r="CD39" i="83"/>
  <c r="CC39" i="83"/>
  <c r="CB39" i="83"/>
  <c r="BN39" i="83" s="1"/>
  <c r="CA39" i="83"/>
  <c r="BZ39" i="83"/>
  <c r="BL39" i="83" s="1"/>
  <c r="BY39" i="83"/>
  <c r="BX39" i="83"/>
  <c r="BW39" i="83"/>
  <c r="BI39" i="83" s="1"/>
  <c r="BV39" i="83"/>
  <c r="BU39" i="83"/>
  <c r="BD39" i="83"/>
  <c r="BC39" i="83"/>
  <c r="BB39" i="83"/>
  <c r="BA39" i="83"/>
  <c r="AZ39" i="83"/>
  <c r="AY39" i="83"/>
  <c r="AX39" i="83"/>
  <c r="AW39" i="83"/>
  <c r="AV39" i="83"/>
  <c r="AH39" i="83" s="1"/>
  <c r="F39" i="83" s="1"/>
  <c r="AU39" i="83"/>
  <c r="AT39" i="83"/>
  <c r="AS39" i="83"/>
  <c r="DV38" i="83"/>
  <c r="DU38" i="83"/>
  <c r="DT38" i="83"/>
  <c r="DS38" i="83"/>
  <c r="DR38" i="83"/>
  <c r="DQ38" i="83"/>
  <c r="DP38" i="83"/>
  <c r="DO38" i="83"/>
  <c r="DN38" i="83"/>
  <c r="DM38" i="83"/>
  <c r="DL38" i="83"/>
  <c r="DK38" i="83"/>
  <c r="DH38" i="83"/>
  <c r="AP38" i="83" s="1"/>
  <c r="N38" i="83" s="1"/>
  <c r="DG38" i="83"/>
  <c r="BQ38" i="83" s="1"/>
  <c r="DF38" i="83"/>
  <c r="AN38" i="83" s="1"/>
  <c r="L38" i="83" s="1"/>
  <c r="DE38" i="83"/>
  <c r="BO38" i="83" s="1"/>
  <c r="DD38" i="83"/>
  <c r="DC38" i="83"/>
  <c r="DB38" i="83"/>
  <c r="DA38" i="83"/>
  <c r="DI38" i="83" s="1"/>
  <c r="CZ38" i="83"/>
  <c r="CY38" i="83"/>
  <c r="CX38" i="83"/>
  <c r="CW38" i="83"/>
  <c r="CT38" i="83"/>
  <c r="CS38" i="83"/>
  <c r="CR38" i="83"/>
  <c r="CQ38" i="83"/>
  <c r="CP38" i="83"/>
  <c r="AL38" i="83" s="1"/>
  <c r="J38" i="83" s="1"/>
  <c r="CO38" i="83"/>
  <c r="CN38" i="83"/>
  <c r="CM38" i="83"/>
  <c r="CL38" i="83"/>
  <c r="CK38" i="83"/>
  <c r="AG38" i="83" s="1"/>
  <c r="E38" i="83" s="1"/>
  <c r="CJ38" i="83"/>
  <c r="CI38" i="83"/>
  <c r="CU38" i="83" s="1"/>
  <c r="CF38" i="83"/>
  <c r="CE38" i="83"/>
  <c r="CD38" i="83"/>
  <c r="CC38" i="83"/>
  <c r="CB38" i="83"/>
  <c r="CA38" i="83"/>
  <c r="BZ38" i="83"/>
  <c r="BY38" i="83"/>
  <c r="BX38" i="83"/>
  <c r="BJ38" i="83" s="1"/>
  <c r="BW38" i="83"/>
  <c r="BV38" i="83"/>
  <c r="BH38" i="83" s="1"/>
  <c r="BU38" i="83"/>
  <c r="BD38" i="83"/>
  <c r="BC38" i="83"/>
  <c r="AO38" i="83" s="1"/>
  <c r="M38" i="83" s="1"/>
  <c r="BB38" i="83"/>
  <c r="BA38" i="83"/>
  <c r="AZ38" i="83"/>
  <c r="AY38" i="83"/>
  <c r="AX38" i="83"/>
  <c r="AW38" i="83"/>
  <c r="AV38" i="83"/>
  <c r="AU38" i="83"/>
  <c r="AT38" i="83"/>
  <c r="AS38" i="83"/>
  <c r="DV37" i="83"/>
  <c r="AP37" i="83" s="1"/>
  <c r="N37" i="83" s="1"/>
  <c r="DU37" i="83"/>
  <c r="DT37" i="83"/>
  <c r="AN37" i="83" s="1"/>
  <c r="L37" i="83" s="1"/>
  <c r="DS37" i="83"/>
  <c r="DR37" i="83"/>
  <c r="DQ37" i="83"/>
  <c r="DP37" i="83"/>
  <c r="DO37" i="83"/>
  <c r="DN37" i="83"/>
  <c r="AH37" i="83" s="1"/>
  <c r="DM37" i="83"/>
  <c r="DL37" i="83"/>
  <c r="AF37" i="83" s="1"/>
  <c r="D37" i="83" s="1"/>
  <c r="DK37" i="83"/>
  <c r="BD37" i="83"/>
  <c r="BC37" i="83"/>
  <c r="BB37" i="83"/>
  <c r="BA37" i="83"/>
  <c r="AZ37" i="83"/>
  <c r="AY37" i="83"/>
  <c r="AX37" i="83"/>
  <c r="AJ37" i="83" s="1"/>
  <c r="H37" i="83" s="1"/>
  <c r="AW37" i="83"/>
  <c r="AI37" i="83" s="1"/>
  <c r="G37" i="83" s="1"/>
  <c r="AV37" i="83"/>
  <c r="AU37" i="83"/>
  <c r="AG37" i="83" s="1"/>
  <c r="E37" i="83" s="1"/>
  <c r="AT37" i="83"/>
  <c r="AS37" i="83"/>
  <c r="DV36" i="83"/>
  <c r="DU36" i="83"/>
  <c r="DT36" i="83"/>
  <c r="DS36" i="83"/>
  <c r="DR36" i="83"/>
  <c r="DQ36" i="83"/>
  <c r="DP36" i="83"/>
  <c r="DO36" i="83"/>
  <c r="DN36" i="83"/>
  <c r="DM36" i="83"/>
  <c r="AG36" i="83" s="1"/>
  <c r="E36" i="83" s="1"/>
  <c r="DL36" i="83"/>
  <c r="DK36" i="83"/>
  <c r="BD36" i="83"/>
  <c r="BC36" i="83"/>
  <c r="AO36" i="83" s="1"/>
  <c r="M36" i="83" s="1"/>
  <c r="BB36" i="83"/>
  <c r="BA36" i="83"/>
  <c r="AM36" i="83" s="1"/>
  <c r="K36" i="83" s="1"/>
  <c r="AZ36" i="83"/>
  <c r="AY36" i="83"/>
  <c r="AX36" i="83"/>
  <c r="AW36" i="83"/>
  <c r="AV36" i="83"/>
  <c r="AU36" i="83"/>
  <c r="AT36" i="83"/>
  <c r="AS36" i="83"/>
  <c r="DV35" i="83"/>
  <c r="AP35" i="83" s="1"/>
  <c r="N35" i="83" s="1"/>
  <c r="DU35" i="83"/>
  <c r="DT35" i="83"/>
  <c r="DS35" i="83"/>
  <c r="DR35" i="83"/>
  <c r="DQ35" i="83"/>
  <c r="DP35" i="83"/>
  <c r="DO35" i="83"/>
  <c r="DN35" i="83"/>
  <c r="DM35" i="83"/>
  <c r="DL35" i="83"/>
  <c r="DK35" i="83"/>
  <c r="CT35" i="83"/>
  <c r="CS35" i="83"/>
  <c r="CR35" i="83"/>
  <c r="BP35" i="83" s="1"/>
  <c r="CQ35" i="83"/>
  <c r="CP35" i="83"/>
  <c r="CO35" i="83"/>
  <c r="CN35" i="83"/>
  <c r="BL35" i="83" s="1"/>
  <c r="CM35" i="83"/>
  <c r="CL35" i="83"/>
  <c r="CK35" i="83"/>
  <c r="CJ35" i="83"/>
  <c r="CI35" i="83"/>
  <c r="CF35" i="83"/>
  <c r="CE35" i="83"/>
  <c r="CD35" i="83"/>
  <c r="CC35" i="83"/>
  <c r="CB35" i="83"/>
  <c r="CA35" i="83"/>
  <c r="BZ35" i="83"/>
  <c r="BY35" i="83"/>
  <c r="BX35" i="83"/>
  <c r="AH35" i="83" s="1"/>
  <c r="F35" i="83" s="1"/>
  <c r="BW35" i="83"/>
  <c r="BV35" i="83"/>
  <c r="BH35" i="83" s="1"/>
  <c r="BU35" i="83"/>
  <c r="BD35" i="83"/>
  <c r="BC35" i="83"/>
  <c r="AO35" i="83" s="1"/>
  <c r="M35" i="83" s="1"/>
  <c r="BB35" i="83"/>
  <c r="BA35" i="83"/>
  <c r="AM35" i="83" s="1"/>
  <c r="K35" i="83" s="1"/>
  <c r="AZ35" i="83"/>
  <c r="AY35" i="83"/>
  <c r="AX35" i="83"/>
  <c r="AW35" i="83"/>
  <c r="AV35" i="83"/>
  <c r="AU35" i="83"/>
  <c r="AT35" i="83"/>
  <c r="AS35" i="83"/>
  <c r="DH23" i="83"/>
  <c r="DH21" i="83" s="1"/>
  <c r="DG23" i="83"/>
  <c r="BQ23" i="83" s="1"/>
  <c r="DF23" i="83"/>
  <c r="DF21" i="83" s="1"/>
  <c r="DE23" i="83"/>
  <c r="DE21" i="83" s="1"/>
  <c r="DD23" i="83"/>
  <c r="DC23" i="83"/>
  <c r="DB23" i="83"/>
  <c r="DA23" i="83"/>
  <c r="DI23" i="83" s="1"/>
  <c r="CZ23" i="83"/>
  <c r="CY23" i="83"/>
  <c r="CX23" i="83"/>
  <c r="CW23" i="83"/>
  <c r="CT23" i="83"/>
  <c r="CS23" i="83"/>
  <c r="CR23" i="83"/>
  <c r="CR21" i="83" s="1"/>
  <c r="CQ23" i="83"/>
  <c r="CP23" i="83"/>
  <c r="CO23" i="83"/>
  <c r="CN23" i="83"/>
  <c r="CN21" i="83" s="1"/>
  <c r="CM23" i="83"/>
  <c r="CL23" i="83"/>
  <c r="CK23" i="83"/>
  <c r="CK21" i="83" s="1"/>
  <c r="CJ23" i="83"/>
  <c r="CI23" i="83"/>
  <c r="CF23" i="83"/>
  <c r="CE23" i="83"/>
  <c r="CD23" i="83"/>
  <c r="CC23" i="83"/>
  <c r="CB23" i="83"/>
  <c r="CA23" i="83"/>
  <c r="BZ23" i="83"/>
  <c r="BY23" i="83"/>
  <c r="BX23" i="83"/>
  <c r="BW23" i="83"/>
  <c r="BV23" i="83"/>
  <c r="BU23" i="83"/>
  <c r="BD22" i="83"/>
  <c r="BC22" i="83"/>
  <c r="BB22" i="83"/>
  <c r="BA22" i="83"/>
  <c r="AZ22" i="83"/>
  <c r="AY22" i="83"/>
  <c r="AX22" i="83"/>
  <c r="AJ22" i="83" s="1"/>
  <c r="AW22" i="83"/>
  <c r="AV22" i="83"/>
  <c r="AH22" i="83" s="1"/>
  <c r="AU22" i="83"/>
  <c r="AT22" i="83"/>
  <c r="AS22" i="83"/>
  <c r="DH11" i="83"/>
  <c r="DG11" i="83"/>
  <c r="DF11" i="83"/>
  <c r="DF19" i="83" s="1"/>
  <c r="DE11" i="83"/>
  <c r="DD11" i="83"/>
  <c r="DC11" i="83"/>
  <c r="DB11" i="83"/>
  <c r="DA11" i="83"/>
  <c r="CZ11" i="83"/>
  <c r="CY11" i="83"/>
  <c r="CX11" i="83"/>
  <c r="CW11" i="83"/>
  <c r="CT11" i="83"/>
  <c r="CS11" i="83"/>
  <c r="CS19" i="83" s="1"/>
  <c r="CS29" i="83" s="1"/>
  <c r="CR11" i="83"/>
  <c r="CQ11" i="83"/>
  <c r="CP11" i="83"/>
  <c r="CO11" i="83"/>
  <c r="CN11" i="83"/>
  <c r="CN19" i="83" s="1"/>
  <c r="CM11" i="83"/>
  <c r="CL11" i="83"/>
  <c r="CK11" i="83"/>
  <c r="CJ11" i="83"/>
  <c r="CI11" i="83"/>
  <c r="CF11" i="83"/>
  <c r="CE11" i="83"/>
  <c r="CD11" i="83"/>
  <c r="CC11" i="83"/>
  <c r="CB11" i="83"/>
  <c r="CB19" i="83" s="1"/>
  <c r="CB29" i="83" s="1"/>
  <c r="CA11" i="83"/>
  <c r="BZ11" i="83"/>
  <c r="BY11" i="83"/>
  <c r="BX11" i="83"/>
  <c r="BW11" i="83"/>
  <c r="BV11" i="83"/>
  <c r="AF11" i="83" s="1"/>
  <c r="BU11" i="83"/>
  <c r="BD10" i="83"/>
  <c r="BC10" i="83"/>
  <c r="BB10" i="83"/>
  <c r="BA10" i="83"/>
  <c r="AZ10" i="83"/>
  <c r="AY10" i="83"/>
  <c r="AX10" i="83"/>
  <c r="AW10" i="83"/>
  <c r="AV10" i="83"/>
  <c r="AU10" i="83"/>
  <c r="AT10" i="83"/>
  <c r="AS10" i="83"/>
  <c r="DH7" i="83"/>
  <c r="BR7" i="83" s="1"/>
  <c r="DG7" i="83"/>
  <c r="BQ7" i="83" s="1"/>
  <c r="BQ5" i="83" s="1"/>
  <c r="DF7" i="83"/>
  <c r="DF5" i="83" s="1"/>
  <c r="DE7" i="83"/>
  <c r="BO7" i="83" s="1"/>
  <c r="DD7" i="83"/>
  <c r="DC7" i="83"/>
  <c r="DC5" i="83" s="1"/>
  <c r="DB7" i="83"/>
  <c r="DA7" i="83"/>
  <c r="DA5" i="83" s="1"/>
  <c r="CZ7" i="83"/>
  <c r="CY7" i="83"/>
  <c r="CX7" i="83"/>
  <c r="CW7" i="83"/>
  <c r="CT7" i="83"/>
  <c r="CS7" i="83"/>
  <c r="CS5" i="83" s="1"/>
  <c r="CR7" i="83"/>
  <c r="CQ7" i="83"/>
  <c r="CP7" i="83"/>
  <c r="BN7" i="83" s="1"/>
  <c r="BN5" i="83" s="1"/>
  <c r="CO7" i="83"/>
  <c r="CN7" i="83"/>
  <c r="CM7" i="83"/>
  <c r="CL7" i="83"/>
  <c r="CK7" i="83"/>
  <c r="CK5" i="83" s="1"/>
  <c r="CJ7" i="83"/>
  <c r="CI7" i="83"/>
  <c r="CF7" i="83"/>
  <c r="CE7" i="83"/>
  <c r="CD7" i="83"/>
  <c r="CC7" i="83"/>
  <c r="CB7" i="83"/>
  <c r="CA7" i="83"/>
  <c r="BZ7" i="83"/>
  <c r="BY7" i="83"/>
  <c r="BX7" i="83"/>
  <c r="AH7" i="83" s="1"/>
  <c r="T7" i="83" s="1"/>
  <c r="F7" i="83" s="1"/>
  <c r="BW7" i="83"/>
  <c r="BI7" i="83" s="1"/>
  <c r="BV7" i="83"/>
  <c r="AF7" i="83" s="1"/>
  <c r="R7" i="83" s="1"/>
  <c r="D7" i="83" s="1"/>
  <c r="BU7" i="83"/>
  <c r="AS6" i="83"/>
  <c r="EK46" i="83"/>
  <c r="DI46" i="83"/>
  <c r="CU46" i="83"/>
  <c r="CG46" i="83"/>
  <c r="BR46" i="83"/>
  <c r="BQ46" i="83"/>
  <c r="BP46" i="83"/>
  <c r="BO46" i="83"/>
  <c r="BN46" i="83"/>
  <c r="BM46" i="83"/>
  <c r="BL46" i="83"/>
  <c r="BK46" i="83"/>
  <c r="BJ46" i="83"/>
  <c r="BI46" i="83"/>
  <c r="BH46" i="83"/>
  <c r="BG46" i="83"/>
  <c r="AP46" i="83"/>
  <c r="AC46" i="83"/>
  <c r="N46" i="83"/>
  <c r="L46" i="83"/>
  <c r="I46" i="83"/>
  <c r="G46" i="83"/>
  <c r="EK45" i="83"/>
  <c r="DI45" i="83"/>
  <c r="CU45" i="83"/>
  <c r="CG45" i="83"/>
  <c r="BR45" i="83"/>
  <c r="BQ45" i="83"/>
  <c r="BP45" i="83"/>
  <c r="BO45" i="83"/>
  <c r="BN45" i="83"/>
  <c r="BM45" i="83"/>
  <c r="BL45" i="83"/>
  <c r="BS45" i="83" s="1"/>
  <c r="BK45" i="83"/>
  <c r="BJ45" i="83"/>
  <c r="BI45" i="83"/>
  <c r="BH45" i="83"/>
  <c r="BG45" i="83"/>
  <c r="AM45" i="83"/>
  <c r="K45" i="83" s="1"/>
  <c r="AK45" i="83"/>
  <c r="I45" i="83" s="1"/>
  <c r="AH45" i="83"/>
  <c r="F45" i="83" s="1"/>
  <c r="AF45" i="83"/>
  <c r="D45" i="83" s="1"/>
  <c r="AC45" i="83"/>
  <c r="EJ43" i="83"/>
  <c r="EI43" i="83"/>
  <c r="EH43" i="83"/>
  <c r="EG43" i="83"/>
  <c r="EF43" i="83"/>
  <c r="EE43" i="83"/>
  <c r="ED43" i="83"/>
  <c r="EC43" i="83"/>
  <c r="EB43" i="83"/>
  <c r="EA43" i="83"/>
  <c r="DZ43" i="83"/>
  <c r="DY43" i="83"/>
  <c r="DI43" i="83"/>
  <c r="DH43" i="83"/>
  <c r="DG43" i="83"/>
  <c r="DF43" i="83"/>
  <c r="DE43" i="83"/>
  <c r="DD43" i="83"/>
  <c r="DC43" i="83"/>
  <c r="DB43" i="83"/>
  <c r="DA43" i="83"/>
  <c r="CZ43" i="83"/>
  <c r="CY43" i="83"/>
  <c r="CX43" i="83"/>
  <c r="CW43" i="83"/>
  <c r="CT43" i="83"/>
  <c r="CS43" i="83"/>
  <c r="CR43" i="83"/>
  <c r="CQ43" i="83"/>
  <c r="CP43" i="83"/>
  <c r="CO43" i="83"/>
  <c r="CN43" i="83"/>
  <c r="CM43" i="83"/>
  <c r="CL43" i="83"/>
  <c r="CK43" i="83"/>
  <c r="CJ43" i="83"/>
  <c r="CI43" i="83"/>
  <c r="CF43" i="83"/>
  <c r="CE43" i="83"/>
  <c r="CD43" i="83"/>
  <c r="CC43" i="83"/>
  <c r="CB43" i="83"/>
  <c r="CA43" i="83"/>
  <c r="BZ43" i="83"/>
  <c r="BY43" i="83"/>
  <c r="BX43" i="83"/>
  <c r="BW43" i="83"/>
  <c r="BV43" i="83"/>
  <c r="BU43" i="83"/>
  <c r="BK43" i="83"/>
  <c r="AV43" i="83"/>
  <c r="AB43" i="83"/>
  <c r="AA43" i="83"/>
  <c r="Z43" i="83"/>
  <c r="Y43" i="83"/>
  <c r="X43" i="83"/>
  <c r="W43" i="83"/>
  <c r="V43" i="83"/>
  <c r="U43" i="83"/>
  <c r="T43" i="83"/>
  <c r="S43" i="83"/>
  <c r="R43" i="83"/>
  <c r="Q43" i="83"/>
  <c r="EK42" i="83"/>
  <c r="EK43" i="83" s="1"/>
  <c r="DI42" i="83"/>
  <c r="CU42" i="83"/>
  <c r="CG42" i="83"/>
  <c r="BR42" i="83"/>
  <c r="BQ42" i="83"/>
  <c r="BP42" i="83"/>
  <c r="BP43" i="83" s="1"/>
  <c r="BO42" i="83"/>
  <c r="BN42" i="83"/>
  <c r="BM42" i="83"/>
  <c r="BL42" i="83"/>
  <c r="BK42" i="83"/>
  <c r="BJ42" i="83"/>
  <c r="BJ43" i="83" s="1"/>
  <c r="BI42" i="83"/>
  <c r="BI43" i="83" s="1"/>
  <c r="BH42" i="83"/>
  <c r="BH43" i="83" s="1"/>
  <c r="BG42" i="83"/>
  <c r="BS42" i="83" s="1"/>
  <c r="AP42" i="83"/>
  <c r="N42" i="83" s="1"/>
  <c r="AK42" i="83"/>
  <c r="AC42" i="83"/>
  <c r="I42" i="83"/>
  <c r="G42" i="83"/>
  <c r="EK41" i="83"/>
  <c r="DI41" i="83"/>
  <c r="CU41" i="83"/>
  <c r="CU43" i="83" s="1"/>
  <c r="CG41" i="83"/>
  <c r="CG43" i="83" s="1"/>
  <c r="BR41" i="83"/>
  <c r="BR43" i="83" s="1"/>
  <c r="BQ41" i="83"/>
  <c r="BQ43" i="83" s="1"/>
  <c r="BP41" i="83"/>
  <c r="BO41" i="83"/>
  <c r="BO43" i="83" s="1"/>
  <c r="BN41" i="83"/>
  <c r="BN43" i="83" s="1"/>
  <c r="BM41" i="83"/>
  <c r="BL41" i="83"/>
  <c r="BK41" i="83"/>
  <c r="BJ41" i="83"/>
  <c r="BI41" i="83"/>
  <c r="BH41" i="83"/>
  <c r="BG41" i="83"/>
  <c r="AK41" i="83"/>
  <c r="AH41" i="83"/>
  <c r="AF41" i="83"/>
  <c r="AC41" i="83"/>
  <c r="AC43" i="83" s="1"/>
  <c r="EK39" i="83"/>
  <c r="BR39" i="83"/>
  <c r="AF39" i="83"/>
  <c r="D39" i="83" s="1"/>
  <c r="AC39" i="83"/>
  <c r="EK38" i="83"/>
  <c r="AC38" i="83"/>
  <c r="EK37" i="83"/>
  <c r="DI37" i="83"/>
  <c r="CU37" i="83"/>
  <c r="CG37" i="83"/>
  <c r="BS37" i="83"/>
  <c r="BR37" i="83"/>
  <c r="BQ37" i="83"/>
  <c r="BP37" i="83"/>
  <c r="BO37" i="83"/>
  <c r="BN37" i="83"/>
  <c r="BM37" i="83"/>
  <c r="BL37" i="83"/>
  <c r="BK37" i="83"/>
  <c r="BJ37" i="83"/>
  <c r="BI37" i="83"/>
  <c r="BH37" i="83"/>
  <c r="BG37" i="83"/>
  <c r="AM37" i="83"/>
  <c r="K37" i="83" s="1"/>
  <c r="AL37" i="83"/>
  <c r="J37" i="83" s="1"/>
  <c r="AK37" i="83"/>
  <c r="I37" i="83" s="1"/>
  <c r="AC37" i="83"/>
  <c r="F37" i="83"/>
  <c r="EK36" i="83"/>
  <c r="DI36" i="83"/>
  <c r="CU36" i="83"/>
  <c r="CG36" i="83"/>
  <c r="BR36" i="83"/>
  <c r="BQ36" i="83"/>
  <c r="BP36" i="83"/>
  <c r="BO36" i="83"/>
  <c r="BN36" i="83"/>
  <c r="BM36" i="83"/>
  <c r="BL36" i="83"/>
  <c r="BK36" i="83"/>
  <c r="BJ36" i="83"/>
  <c r="BI36" i="83"/>
  <c r="BH36" i="83"/>
  <c r="BG36" i="83"/>
  <c r="AP36" i="83"/>
  <c r="AN36" i="83"/>
  <c r="AL36" i="83"/>
  <c r="AK36" i="83"/>
  <c r="AI36" i="83"/>
  <c r="AC36" i="83"/>
  <c r="N36" i="83"/>
  <c r="L36" i="83"/>
  <c r="J36" i="83"/>
  <c r="I36" i="83"/>
  <c r="G36" i="83"/>
  <c r="EK35" i="83"/>
  <c r="DI35" i="83"/>
  <c r="BR35" i="83"/>
  <c r="BO35" i="83"/>
  <c r="BJ35" i="83"/>
  <c r="BI35" i="83"/>
  <c r="AE35" i="83"/>
  <c r="AC35" i="83"/>
  <c r="EK34" i="83"/>
  <c r="DW34" i="83"/>
  <c r="DI34" i="83"/>
  <c r="CU34" i="83"/>
  <c r="CG34" i="83"/>
  <c r="BR34" i="83"/>
  <c r="BQ34" i="83"/>
  <c r="BP34" i="83"/>
  <c r="BP31" i="83" s="1"/>
  <c r="BO34" i="83"/>
  <c r="BN34" i="83"/>
  <c r="BN31" i="83" s="1"/>
  <c r="BM34" i="83"/>
  <c r="BL34" i="83"/>
  <c r="BK34" i="83"/>
  <c r="BJ34" i="83"/>
  <c r="BJ31" i="83" s="1"/>
  <c r="BI34" i="83"/>
  <c r="BH34" i="83"/>
  <c r="BG34" i="83"/>
  <c r="BE34" i="83"/>
  <c r="AQ34" i="83"/>
  <c r="AC34" i="83"/>
  <c r="N34" i="83"/>
  <c r="M34" i="83"/>
  <c r="L34" i="83"/>
  <c r="K34" i="83"/>
  <c r="J34" i="83"/>
  <c r="I34" i="83"/>
  <c r="H34" i="83"/>
  <c r="G34" i="83"/>
  <c r="F34" i="83"/>
  <c r="E34" i="83"/>
  <c r="D34" i="83"/>
  <c r="C34" i="83"/>
  <c r="EK33" i="83"/>
  <c r="DW33" i="83"/>
  <c r="DI33" i="83"/>
  <c r="CU33" i="83"/>
  <c r="CU31" i="83" s="1"/>
  <c r="CG33" i="83"/>
  <c r="BR33" i="83"/>
  <c r="BQ33" i="83"/>
  <c r="BP33" i="83"/>
  <c r="BO33" i="83"/>
  <c r="BN33" i="83"/>
  <c r="BM33" i="83"/>
  <c r="BL33" i="83"/>
  <c r="BK33" i="83"/>
  <c r="BJ33" i="83"/>
  <c r="BI33" i="83"/>
  <c r="BH33" i="83"/>
  <c r="BG33" i="83"/>
  <c r="BE33" i="83"/>
  <c r="AQ33" i="83"/>
  <c r="AQ31" i="83" s="1"/>
  <c r="AC33" i="83"/>
  <c r="N33" i="83"/>
  <c r="M33" i="83"/>
  <c r="L33" i="83"/>
  <c r="K33" i="83"/>
  <c r="J33" i="83"/>
  <c r="I33" i="83"/>
  <c r="H33" i="83"/>
  <c r="G33" i="83"/>
  <c r="F33" i="83"/>
  <c r="E33" i="83"/>
  <c r="D33" i="83"/>
  <c r="C33" i="83"/>
  <c r="EK32" i="83"/>
  <c r="DW32" i="83"/>
  <c r="DI32" i="83"/>
  <c r="CU32" i="83"/>
  <c r="CG32" i="83"/>
  <c r="CG31" i="83" s="1"/>
  <c r="BR32" i="83"/>
  <c r="BR31" i="83" s="1"/>
  <c r="BQ32" i="83"/>
  <c r="BQ31" i="83" s="1"/>
  <c r="BP32" i="83"/>
  <c r="BO32" i="83"/>
  <c r="BO31" i="83" s="1"/>
  <c r="BN32" i="83"/>
  <c r="BM32" i="83"/>
  <c r="BL32" i="83"/>
  <c r="BK32" i="83"/>
  <c r="BK31" i="83" s="1"/>
  <c r="BJ32" i="83"/>
  <c r="BI32" i="83"/>
  <c r="BH32" i="83"/>
  <c r="BG32" i="83"/>
  <c r="BG31" i="83" s="1"/>
  <c r="BE32" i="83"/>
  <c r="AQ32" i="83"/>
  <c r="AC32" i="83"/>
  <c r="AC31" i="83" s="1"/>
  <c r="N32" i="83"/>
  <c r="M32" i="83"/>
  <c r="M31" i="83" s="1"/>
  <c r="L32" i="83"/>
  <c r="L31" i="83" s="1"/>
  <c r="K32" i="83"/>
  <c r="J32" i="83"/>
  <c r="J31" i="83" s="1"/>
  <c r="I32" i="83"/>
  <c r="I31" i="83" s="1"/>
  <c r="H32" i="83"/>
  <c r="G32" i="83"/>
  <c r="F32" i="83"/>
  <c r="F31" i="83" s="1"/>
  <c r="E32" i="83"/>
  <c r="D32" i="83"/>
  <c r="C32" i="83"/>
  <c r="EK31" i="83"/>
  <c r="EJ31" i="83"/>
  <c r="EI31" i="83"/>
  <c r="EH31" i="83"/>
  <c r="EG31" i="83"/>
  <c r="EF31" i="83"/>
  <c r="EE31" i="83"/>
  <c r="ED31" i="83"/>
  <c r="EC31" i="83"/>
  <c r="EB31" i="83"/>
  <c r="EA31" i="83"/>
  <c r="DZ31" i="83"/>
  <c r="DY31" i="83"/>
  <c r="DV31" i="83"/>
  <c r="DU31" i="83"/>
  <c r="DT31" i="83"/>
  <c r="DS31" i="83"/>
  <c r="DR31" i="83"/>
  <c r="DQ31" i="83"/>
  <c r="DP31" i="83"/>
  <c r="DO31" i="83"/>
  <c r="DN31" i="83"/>
  <c r="DM31" i="83"/>
  <c r="DL31" i="83"/>
  <c r="DK31" i="83"/>
  <c r="DH31" i="83"/>
  <c r="DG31" i="83"/>
  <c r="DF31" i="83"/>
  <c r="DE31" i="83"/>
  <c r="DD31" i="83"/>
  <c r="DC31" i="83"/>
  <c r="DB31" i="83"/>
  <c r="DA31" i="83"/>
  <c r="CZ31" i="83"/>
  <c r="CY31" i="83"/>
  <c r="CX31" i="83"/>
  <c r="CW31" i="83"/>
  <c r="CT31" i="83"/>
  <c r="CS31" i="83"/>
  <c r="CR31" i="83"/>
  <c r="CQ31" i="83"/>
  <c r="CP31" i="83"/>
  <c r="CO31" i="83"/>
  <c r="CN31" i="83"/>
  <c r="CM31" i="83"/>
  <c r="CL31" i="83"/>
  <c r="CK31" i="83"/>
  <c r="CJ31" i="83"/>
  <c r="CI31" i="83"/>
  <c r="CF31" i="83"/>
  <c r="CE31" i="83"/>
  <c r="CD31" i="83"/>
  <c r="CC31" i="83"/>
  <c r="CB31" i="83"/>
  <c r="CA31" i="83"/>
  <c r="BZ31" i="83"/>
  <c r="BY31" i="83"/>
  <c r="BX31" i="83"/>
  <c r="BW31" i="83"/>
  <c r="BV31" i="83"/>
  <c r="BU31" i="83"/>
  <c r="BM31" i="83"/>
  <c r="BL31" i="83"/>
  <c r="BI31" i="83"/>
  <c r="BH31" i="83"/>
  <c r="BD31" i="83"/>
  <c r="BC31" i="83"/>
  <c r="BB31" i="83"/>
  <c r="BA31" i="83"/>
  <c r="AZ31" i="83"/>
  <c r="AY31" i="83"/>
  <c r="AX31" i="83"/>
  <c r="AW31" i="83"/>
  <c r="AV31" i="83"/>
  <c r="AU31" i="83"/>
  <c r="AT31" i="83"/>
  <c r="AS31" i="83"/>
  <c r="AP31" i="83"/>
  <c r="AO31" i="83"/>
  <c r="AN31" i="83"/>
  <c r="AM31" i="83"/>
  <c r="AL31" i="83"/>
  <c r="AK31" i="83"/>
  <c r="AJ31" i="83"/>
  <c r="AI31" i="83"/>
  <c r="AH31" i="83"/>
  <c r="AG31" i="83"/>
  <c r="AF31" i="83"/>
  <c r="AE31" i="83"/>
  <c r="AB31" i="83"/>
  <c r="AA31" i="83"/>
  <c r="Z31" i="83"/>
  <c r="Y31" i="83"/>
  <c r="X31" i="83"/>
  <c r="W31" i="83"/>
  <c r="V31" i="83"/>
  <c r="U31" i="83"/>
  <c r="T31" i="83"/>
  <c r="S31" i="83"/>
  <c r="R31" i="83"/>
  <c r="Q31" i="83"/>
  <c r="N31" i="83"/>
  <c r="K31" i="83"/>
  <c r="H31" i="83"/>
  <c r="G31" i="83"/>
  <c r="E31" i="83"/>
  <c r="D31" i="83"/>
  <c r="EH30" i="83"/>
  <c r="EG30" i="83"/>
  <c r="EG27" i="83" s="1"/>
  <c r="EG40" i="83" s="1"/>
  <c r="EG44" i="83" s="1"/>
  <c r="EG47" i="83" s="1"/>
  <c r="DZ30" i="83"/>
  <c r="DE30" i="83"/>
  <c r="DC30" i="83"/>
  <c r="DA30" i="83"/>
  <c r="CZ30" i="83"/>
  <c r="CW30" i="83"/>
  <c r="CQ30" i="83"/>
  <c r="CN30" i="83"/>
  <c r="CL30" i="83"/>
  <c r="CJ30" i="83"/>
  <c r="CI30" i="83"/>
  <c r="BZ30" i="83"/>
  <c r="BA30" i="83"/>
  <c r="AY30" i="83"/>
  <c r="AX30" i="83"/>
  <c r="AB30" i="83"/>
  <c r="AA30" i="83"/>
  <c r="Z30" i="83"/>
  <c r="Y30" i="83"/>
  <c r="EJ29" i="83"/>
  <c r="EB29" i="83"/>
  <c r="EA29" i="83"/>
  <c r="DZ29" i="83"/>
  <c r="DR29" i="83"/>
  <c r="DQ29" i="83"/>
  <c r="DP29" i="83"/>
  <c r="DO29" i="83"/>
  <c r="DM29" i="83"/>
  <c r="DL29" i="83"/>
  <c r="CZ29" i="83"/>
  <c r="CW29" i="83"/>
  <c r="CT29" i="83"/>
  <c r="CJ29" i="83"/>
  <c r="CC29" i="83"/>
  <c r="BE29" i="83"/>
  <c r="BC29" i="83"/>
  <c r="AZ29" i="83"/>
  <c r="AZ27" i="83" s="1"/>
  <c r="AZ40" i="83" s="1"/>
  <c r="AT29" i="83"/>
  <c r="EJ28" i="83"/>
  <c r="EJ27" i="83" s="1"/>
  <c r="EJ40" i="83" s="1"/>
  <c r="ED28" i="83"/>
  <c r="EC28" i="83"/>
  <c r="EA28" i="83"/>
  <c r="EA27" i="83" s="1"/>
  <c r="EA40" i="83" s="1"/>
  <c r="EA44" i="83" s="1"/>
  <c r="EA47" i="83" s="1"/>
  <c r="DT28" i="83"/>
  <c r="DS28" i="83"/>
  <c r="DS27" i="83" s="1"/>
  <c r="DR28" i="83"/>
  <c r="DC28" i="83"/>
  <c r="CZ28" i="83"/>
  <c r="CY28" i="83"/>
  <c r="CU28" i="83"/>
  <c r="CT28" i="83"/>
  <c r="CT27" i="83" s="1"/>
  <c r="CT40" i="83" s="1"/>
  <c r="CT44" i="83" s="1"/>
  <c r="CT47" i="83" s="1"/>
  <c r="CR28" i="83"/>
  <c r="CP28" i="83"/>
  <c r="CN28" i="83"/>
  <c r="CM28" i="83"/>
  <c r="CD28" i="83"/>
  <c r="BV28" i="83"/>
  <c r="AZ28" i="83"/>
  <c r="AW28" i="83"/>
  <c r="AU28" i="83"/>
  <c r="AN28" i="83"/>
  <c r="DV27" i="83"/>
  <c r="CY27" i="83"/>
  <c r="CY40" i="83" s="1"/>
  <c r="CY44" i="83" s="1"/>
  <c r="CY47" i="83" s="1"/>
  <c r="AW27" i="83"/>
  <c r="AW40" i="83" s="1"/>
  <c r="AW44" i="83" s="1"/>
  <c r="AW47" i="83" s="1"/>
  <c r="EK26" i="83"/>
  <c r="DW26" i="83"/>
  <c r="DI26" i="83"/>
  <c r="CU26" i="83"/>
  <c r="CG26" i="83"/>
  <c r="BS26" i="83"/>
  <c r="BE26" i="83"/>
  <c r="AQ26" i="83"/>
  <c r="C25" i="83"/>
  <c r="EK24" i="83"/>
  <c r="EK21" i="83" s="1"/>
  <c r="DW24" i="83"/>
  <c r="DI24" i="83"/>
  <c r="CU24" i="83"/>
  <c r="CG24" i="83"/>
  <c r="BS24" i="83"/>
  <c r="BR24" i="83"/>
  <c r="BQ24" i="83"/>
  <c r="BP24" i="83"/>
  <c r="BO24" i="83"/>
  <c r="BN24" i="83"/>
  <c r="BM24" i="83"/>
  <c r="BL24" i="83"/>
  <c r="BK24" i="83"/>
  <c r="BJ24" i="83"/>
  <c r="BI24" i="83"/>
  <c r="BH24" i="83"/>
  <c r="BG24" i="83"/>
  <c r="BE24" i="83"/>
  <c r="AP24" i="83"/>
  <c r="AO24" i="83"/>
  <c r="AN24" i="83"/>
  <c r="L24" i="83" s="1"/>
  <c r="AM24" i="83"/>
  <c r="K24" i="83" s="1"/>
  <c r="AL24" i="83"/>
  <c r="AK24" i="83"/>
  <c r="AJ24" i="83"/>
  <c r="H24" i="83" s="1"/>
  <c r="AI24" i="83"/>
  <c r="AH24" i="83"/>
  <c r="F24" i="83" s="1"/>
  <c r="AG24" i="83"/>
  <c r="AF24" i="83"/>
  <c r="D24" i="83" s="1"/>
  <c r="AE24" i="83"/>
  <c r="C24" i="83" s="1"/>
  <c r="AC24" i="83"/>
  <c r="N24" i="83"/>
  <c r="J24" i="83"/>
  <c r="I24" i="83"/>
  <c r="G24" i="83"/>
  <c r="E24" i="83"/>
  <c r="EK23" i="83"/>
  <c r="DW23" i="83"/>
  <c r="BE23" i="83"/>
  <c r="AM23" i="83"/>
  <c r="EK22" i="83"/>
  <c r="DW22" i="83"/>
  <c r="DI22" i="83"/>
  <c r="CU22" i="83"/>
  <c r="CG22" i="83"/>
  <c r="BR22" i="83"/>
  <c r="BQ22" i="83"/>
  <c r="BP22" i="83"/>
  <c r="BO22" i="83"/>
  <c r="BN22" i="83"/>
  <c r="BM22" i="83"/>
  <c r="BL22" i="83"/>
  <c r="BK22" i="83"/>
  <c r="BJ22" i="83"/>
  <c r="BI22" i="83"/>
  <c r="BH22" i="83"/>
  <c r="BG22" i="83"/>
  <c r="AP22" i="83"/>
  <c r="AN22" i="83"/>
  <c r="AL22" i="83"/>
  <c r="AK22" i="83"/>
  <c r="I22" i="83" s="1"/>
  <c r="AI22" i="83"/>
  <c r="G22" i="83" s="1"/>
  <c r="AG22" i="83"/>
  <c r="E22" i="83" s="1"/>
  <c r="AE22" i="83"/>
  <c r="AC22" i="83"/>
  <c r="L22" i="83"/>
  <c r="J22" i="83"/>
  <c r="H22" i="83"/>
  <c r="F22" i="83"/>
  <c r="C22" i="83"/>
  <c r="EJ21" i="83"/>
  <c r="EI21" i="83"/>
  <c r="EH21" i="83"/>
  <c r="EG21" i="83"/>
  <c r="EF21" i="83"/>
  <c r="EE21" i="83"/>
  <c r="ED21" i="83"/>
  <c r="EC21" i="83"/>
  <c r="EB21" i="83"/>
  <c r="EA21" i="83"/>
  <c r="DZ21" i="83"/>
  <c r="DY21" i="83"/>
  <c r="DV21" i="83"/>
  <c r="DU21" i="83"/>
  <c r="DT21" i="83"/>
  <c r="DS21" i="83"/>
  <c r="DR21" i="83"/>
  <c r="DQ21" i="83"/>
  <c r="DP21" i="83"/>
  <c r="DO21" i="83"/>
  <c r="DN21" i="83"/>
  <c r="DM21" i="83"/>
  <c r="DL21" i="83"/>
  <c r="DK21" i="83"/>
  <c r="DD21" i="83"/>
  <c r="DC21" i="83"/>
  <c r="DB21" i="83"/>
  <c r="CZ21" i="83"/>
  <c r="CY21" i="83"/>
  <c r="CX21" i="83"/>
  <c r="CW21" i="83"/>
  <c r="CT21" i="83"/>
  <c r="CS21" i="83"/>
  <c r="CQ21" i="83"/>
  <c r="CL21" i="83"/>
  <c r="CJ21" i="83"/>
  <c r="CF21" i="83"/>
  <c r="CE21" i="83"/>
  <c r="CD21" i="83"/>
  <c r="CC21" i="83"/>
  <c r="CB21" i="83"/>
  <c r="CA21" i="83"/>
  <c r="BY21" i="83"/>
  <c r="BD21" i="83"/>
  <c r="BB21" i="83"/>
  <c r="AZ21" i="83"/>
  <c r="AY21" i="83"/>
  <c r="AX21" i="83"/>
  <c r="AW21" i="83"/>
  <c r="AV21" i="83"/>
  <c r="AU21" i="83"/>
  <c r="AS21" i="83"/>
  <c r="EJ20" i="83"/>
  <c r="EJ30" i="83" s="1"/>
  <c r="EI20" i="83"/>
  <c r="EI30" i="83" s="1"/>
  <c r="EH20" i="83"/>
  <c r="EG20" i="83"/>
  <c r="EF20" i="83"/>
  <c r="EF30" i="83" s="1"/>
  <c r="EE20" i="83"/>
  <c r="EE30" i="83" s="1"/>
  <c r="ED20" i="83"/>
  <c r="ED30" i="83" s="1"/>
  <c r="EC20" i="83"/>
  <c r="EC30" i="83" s="1"/>
  <c r="EB20" i="83"/>
  <c r="EB30" i="83" s="1"/>
  <c r="EA20" i="83"/>
  <c r="EA30" i="83" s="1"/>
  <c r="DZ20" i="83"/>
  <c r="DY20" i="83"/>
  <c r="DY30" i="83" s="1"/>
  <c r="DW20" i="83"/>
  <c r="DW30" i="83" s="1"/>
  <c r="DV20" i="83"/>
  <c r="DV30" i="83" s="1"/>
  <c r="DU20" i="83"/>
  <c r="DU30" i="83" s="1"/>
  <c r="DT20" i="83"/>
  <c r="DT30" i="83" s="1"/>
  <c r="DS20" i="83"/>
  <c r="DS30" i="83" s="1"/>
  <c r="DR20" i="83"/>
  <c r="DR30" i="83" s="1"/>
  <c r="DQ20" i="83"/>
  <c r="DQ30" i="83" s="1"/>
  <c r="DP20" i="83"/>
  <c r="DP30" i="83" s="1"/>
  <c r="DO20" i="83"/>
  <c r="DO30" i="83" s="1"/>
  <c r="DN20" i="83"/>
  <c r="DN30" i="83" s="1"/>
  <c r="DM20" i="83"/>
  <c r="DM30" i="83" s="1"/>
  <c r="DL20" i="83"/>
  <c r="DL30" i="83" s="1"/>
  <c r="DK20" i="83"/>
  <c r="DK30" i="83" s="1"/>
  <c r="DH20" i="83"/>
  <c r="DH30" i="83" s="1"/>
  <c r="DG20" i="83"/>
  <c r="DG30" i="83" s="1"/>
  <c r="DF20" i="83"/>
  <c r="DF30" i="83" s="1"/>
  <c r="DE20" i="83"/>
  <c r="DD20" i="83"/>
  <c r="DD30" i="83" s="1"/>
  <c r="DC20" i="83"/>
  <c r="DB20" i="83"/>
  <c r="DB30" i="83" s="1"/>
  <c r="DA20" i="83"/>
  <c r="CZ20" i="83"/>
  <c r="CY20" i="83"/>
  <c r="CY30" i="83" s="1"/>
  <c r="CX20" i="83"/>
  <c r="CX30" i="83" s="1"/>
  <c r="CW20" i="83"/>
  <c r="CU20" i="83"/>
  <c r="CT20" i="83"/>
  <c r="CT30" i="83" s="1"/>
  <c r="CS20" i="83"/>
  <c r="CS30" i="83" s="1"/>
  <c r="CR20" i="83"/>
  <c r="CR30" i="83" s="1"/>
  <c r="CQ20" i="83"/>
  <c r="CP20" i="83"/>
  <c r="CP30" i="83" s="1"/>
  <c r="CO20" i="83"/>
  <c r="CO30" i="83" s="1"/>
  <c r="CN20" i="83"/>
  <c r="CM20" i="83"/>
  <c r="CM30" i="83" s="1"/>
  <c r="CL20" i="83"/>
  <c r="CK20" i="83"/>
  <c r="CK30" i="83" s="1"/>
  <c r="CJ20" i="83"/>
  <c r="CI20" i="83"/>
  <c r="CF20" i="83"/>
  <c r="CF30" i="83" s="1"/>
  <c r="CE20" i="83"/>
  <c r="CE30" i="83" s="1"/>
  <c r="CD20" i="83"/>
  <c r="CD30" i="83" s="1"/>
  <c r="CC20" i="83"/>
  <c r="CC30" i="83" s="1"/>
  <c r="CB20" i="83"/>
  <c r="CB30" i="83" s="1"/>
  <c r="CA20" i="83"/>
  <c r="CA30" i="83" s="1"/>
  <c r="BZ20" i="83"/>
  <c r="BY20" i="83"/>
  <c r="BY30" i="83" s="1"/>
  <c r="BX20" i="83"/>
  <c r="BX30" i="83" s="1"/>
  <c r="BW20" i="83"/>
  <c r="BW30" i="83" s="1"/>
  <c r="BV20" i="83"/>
  <c r="BV30" i="83" s="1"/>
  <c r="BU20" i="83"/>
  <c r="BU30" i="83" s="1"/>
  <c r="BM20" i="83"/>
  <c r="BM30" i="83" s="1"/>
  <c r="BL20" i="83"/>
  <c r="BL30" i="83" s="1"/>
  <c r="BK20" i="83"/>
  <c r="BK30" i="83" s="1"/>
  <c r="BD20" i="83"/>
  <c r="BD30" i="83" s="1"/>
  <c r="BC20" i="83"/>
  <c r="BC30" i="83" s="1"/>
  <c r="BB20" i="83"/>
  <c r="BB30" i="83" s="1"/>
  <c r="BA20" i="83"/>
  <c r="AZ20" i="83"/>
  <c r="AZ30" i="83" s="1"/>
  <c r="AY20" i="83"/>
  <c r="AX20" i="83"/>
  <c r="AW20" i="83"/>
  <c r="AW30" i="83" s="1"/>
  <c r="AV20" i="83"/>
  <c r="AV30" i="83" s="1"/>
  <c r="AU20" i="83"/>
  <c r="AU30" i="83" s="1"/>
  <c r="AU27" i="83" s="1"/>
  <c r="AU40" i="83" s="1"/>
  <c r="AT20" i="83"/>
  <c r="AT30" i="83" s="1"/>
  <c r="AS20" i="83"/>
  <c r="AL20" i="83"/>
  <c r="AL30" i="83" s="1"/>
  <c r="AJ20" i="83"/>
  <c r="AJ30" i="83" s="1"/>
  <c r="AB20" i="83"/>
  <c r="AA20" i="83"/>
  <c r="Z20" i="83"/>
  <c r="Y20" i="83"/>
  <c r="X20" i="83"/>
  <c r="X30" i="83" s="1"/>
  <c r="W20" i="83"/>
  <c r="W30" i="83" s="1"/>
  <c r="V20" i="83"/>
  <c r="V30" i="83" s="1"/>
  <c r="U20" i="83"/>
  <c r="U30" i="83" s="1"/>
  <c r="T20" i="83"/>
  <c r="T30" i="83" s="1"/>
  <c r="S20" i="83"/>
  <c r="S30" i="83" s="1"/>
  <c r="R20" i="83"/>
  <c r="R30" i="83" s="1"/>
  <c r="Q20" i="83"/>
  <c r="Q30" i="83" s="1"/>
  <c r="EJ19" i="83"/>
  <c r="EI19" i="83"/>
  <c r="EI29" i="83" s="1"/>
  <c r="EH19" i="83"/>
  <c r="EH29" i="83" s="1"/>
  <c r="EG19" i="83"/>
  <c r="EG29" i="83" s="1"/>
  <c r="EF19" i="83"/>
  <c r="EF29" i="83" s="1"/>
  <c r="EE19" i="83"/>
  <c r="EE29" i="83" s="1"/>
  <c r="ED19" i="83"/>
  <c r="ED29" i="83" s="1"/>
  <c r="EC19" i="83"/>
  <c r="EC29" i="83" s="1"/>
  <c r="EB19" i="83"/>
  <c r="EA19" i="83"/>
  <c r="DZ19" i="83"/>
  <c r="DY19" i="83"/>
  <c r="DY29" i="83" s="1"/>
  <c r="DV19" i="83"/>
  <c r="DV29" i="83" s="1"/>
  <c r="DU19" i="83"/>
  <c r="DU29" i="83" s="1"/>
  <c r="DT19" i="83"/>
  <c r="DS19" i="83"/>
  <c r="DS29" i="83" s="1"/>
  <c r="DR19" i="83"/>
  <c r="DR17" i="83" s="1"/>
  <c r="DQ19" i="83"/>
  <c r="DP19" i="83"/>
  <c r="DO19" i="83"/>
  <c r="DN19" i="83"/>
  <c r="DN29" i="83" s="1"/>
  <c r="DM19" i="83"/>
  <c r="DL19" i="83"/>
  <c r="DK19" i="83"/>
  <c r="DK29" i="83" s="1"/>
  <c r="DD19" i="83"/>
  <c r="DD29" i="83" s="1"/>
  <c r="DB19" i="83"/>
  <c r="CZ19" i="83"/>
  <c r="CZ17" i="83" s="1"/>
  <c r="CY19" i="83"/>
  <c r="CY29" i="83" s="1"/>
  <c r="CX19" i="83"/>
  <c r="CX29" i="83" s="1"/>
  <c r="CW19" i="83"/>
  <c r="CT19" i="83"/>
  <c r="CQ19" i="83"/>
  <c r="CQ29" i="83" s="1"/>
  <c r="CP19" i="83"/>
  <c r="CP29" i="83" s="1"/>
  <c r="CL19" i="83"/>
  <c r="CL29" i="83" s="1"/>
  <c r="CJ19" i="83"/>
  <c r="CF19" i="83"/>
  <c r="CF29" i="83" s="1"/>
  <c r="CE19" i="83"/>
  <c r="CE29" i="83" s="1"/>
  <c r="CD19" i="83"/>
  <c r="CC19" i="83"/>
  <c r="CA19" i="83"/>
  <c r="CA29" i="83" s="1"/>
  <c r="BY19" i="83"/>
  <c r="BY29" i="83" s="1"/>
  <c r="BD19" i="83"/>
  <c r="BD29" i="83" s="1"/>
  <c r="BC19" i="83"/>
  <c r="BB19" i="83"/>
  <c r="BB29" i="83" s="1"/>
  <c r="BA19" i="83"/>
  <c r="BA29" i="83" s="1"/>
  <c r="AZ19" i="83"/>
  <c r="AZ17" i="83" s="1"/>
  <c r="AY19" i="83"/>
  <c r="AY29" i="83" s="1"/>
  <c r="AX19" i="83"/>
  <c r="AX29" i="83" s="1"/>
  <c r="AW19" i="83"/>
  <c r="AW29" i="83" s="1"/>
  <c r="AV19" i="83"/>
  <c r="AV29" i="83" s="1"/>
  <c r="AU19" i="83"/>
  <c r="AU29" i="83" s="1"/>
  <c r="AT19" i="83"/>
  <c r="AS19" i="83"/>
  <c r="AS29" i="83" s="1"/>
  <c r="EJ18" i="83"/>
  <c r="EI18" i="83"/>
  <c r="EH18" i="83"/>
  <c r="EG18" i="83"/>
  <c r="EG28" i="83" s="1"/>
  <c r="EF18" i="83"/>
  <c r="EE18" i="83"/>
  <c r="EE28" i="83" s="1"/>
  <c r="ED18" i="83"/>
  <c r="EC18" i="83"/>
  <c r="EB18" i="83"/>
  <c r="EB28" i="83" s="1"/>
  <c r="EA18" i="83"/>
  <c r="EA17" i="83" s="1"/>
  <c r="DZ18" i="83"/>
  <c r="DZ28" i="83" s="1"/>
  <c r="DY18" i="83"/>
  <c r="DY17" i="83" s="1"/>
  <c r="DW18" i="83"/>
  <c r="DV18" i="83"/>
  <c r="DV28" i="83" s="1"/>
  <c r="DU18" i="83"/>
  <c r="DT18" i="83"/>
  <c r="DS18" i="83"/>
  <c r="DR18" i="83"/>
  <c r="DQ18" i="83"/>
  <c r="DP18" i="83"/>
  <c r="DO18" i="83"/>
  <c r="DN18" i="83"/>
  <c r="DN28" i="83" s="1"/>
  <c r="DM18" i="83"/>
  <c r="DM28" i="83" s="1"/>
  <c r="DL18" i="83"/>
  <c r="DL28" i="83" s="1"/>
  <c r="DK18" i="83"/>
  <c r="DK28" i="83" s="1"/>
  <c r="DI18" i="83"/>
  <c r="DH18" i="83"/>
  <c r="DH28" i="83" s="1"/>
  <c r="DG18" i="83"/>
  <c r="DF18" i="83"/>
  <c r="DF28" i="83" s="1"/>
  <c r="DE18" i="83"/>
  <c r="DE28" i="83" s="1"/>
  <c r="DD18" i="83"/>
  <c r="DD28" i="83" s="1"/>
  <c r="DD27" i="83" s="1"/>
  <c r="DD40" i="83" s="1"/>
  <c r="DD44" i="83" s="1"/>
  <c r="DD47" i="83" s="1"/>
  <c r="DC18" i="83"/>
  <c r="DB18" i="83"/>
  <c r="DB28" i="83" s="1"/>
  <c r="DA18" i="83"/>
  <c r="CZ18" i="83"/>
  <c r="CY18" i="83"/>
  <c r="CX18" i="83"/>
  <c r="CX17" i="83" s="1"/>
  <c r="CW18" i="83"/>
  <c r="CT18" i="83"/>
  <c r="CS18" i="83"/>
  <c r="CR18" i="83"/>
  <c r="CQ18" i="83"/>
  <c r="CQ28" i="83" s="1"/>
  <c r="CQ27" i="83" s="1"/>
  <c r="CQ40" i="83" s="1"/>
  <c r="CQ44" i="83" s="1"/>
  <c r="CQ47" i="83" s="1"/>
  <c r="CP18" i="83"/>
  <c r="CO18" i="83"/>
  <c r="CN18" i="83"/>
  <c r="CM18" i="83"/>
  <c r="CL18" i="83"/>
  <c r="CL28" i="83" s="1"/>
  <c r="CL27" i="83" s="1"/>
  <c r="CL40" i="83" s="1"/>
  <c r="CL44" i="83" s="1"/>
  <c r="CL47" i="83" s="1"/>
  <c r="CK18" i="83"/>
  <c r="CK28" i="83" s="1"/>
  <c r="CJ18" i="83"/>
  <c r="CJ28" i="83" s="1"/>
  <c r="CI18" i="83"/>
  <c r="CF18" i="83"/>
  <c r="CE18" i="83"/>
  <c r="CD18" i="83"/>
  <c r="CC18" i="83"/>
  <c r="CC28" i="83" s="1"/>
  <c r="CC27" i="83" s="1"/>
  <c r="CC40" i="83" s="1"/>
  <c r="CC44" i="83" s="1"/>
  <c r="CC47" i="83" s="1"/>
  <c r="CB18" i="83"/>
  <c r="CA18" i="83"/>
  <c r="BZ18" i="83"/>
  <c r="BY18" i="83"/>
  <c r="BX18" i="83"/>
  <c r="BW18" i="83"/>
  <c r="BV18" i="83"/>
  <c r="BU18" i="83"/>
  <c r="BU28" i="83" s="1"/>
  <c r="BJ18" i="83"/>
  <c r="BJ28" i="83" s="1"/>
  <c r="BI18" i="83"/>
  <c r="BI28" i="83" s="1"/>
  <c r="BH18" i="83"/>
  <c r="BH28" i="83" s="1"/>
  <c r="BG18" i="83"/>
  <c r="BD18" i="83"/>
  <c r="BB18" i="83"/>
  <c r="BB28" i="83" s="1"/>
  <c r="BB27" i="83" s="1"/>
  <c r="BB40" i="83" s="1"/>
  <c r="BB44" i="83" s="1"/>
  <c r="BB47" i="83" s="1"/>
  <c r="AZ18" i="83"/>
  <c r="AY18" i="83"/>
  <c r="AY28" i="83" s="1"/>
  <c r="AX18" i="83"/>
  <c r="AW18" i="83"/>
  <c r="AV18" i="83"/>
  <c r="AV28" i="83" s="1"/>
  <c r="AU18" i="83"/>
  <c r="AS18" i="83"/>
  <c r="AS28" i="83" s="1"/>
  <c r="AP18" i="83"/>
  <c r="AN18" i="83"/>
  <c r="AB18" i="83"/>
  <c r="AA18" i="83"/>
  <c r="Z18" i="83"/>
  <c r="Y18" i="83"/>
  <c r="X18" i="83"/>
  <c r="W18" i="83"/>
  <c r="V18" i="83"/>
  <c r="U18" i="83"/>
  <c r="T18" i="83"/>
  <c r="S18" i="83"/>
  <c r="R18" i="83"/>
  <c r="Q18" i="83"/>
  <c r="EJ17" i="83"/>
  <c r="EG17" i="83"/>
  <c r="EE17" i="83"/>
  <c r="ED17" i="83"/>
  <c r="EC17" i="83"/>
  <c r="DZ17" i="83"/>
  <c r="DV17" i="83"/>
  <c r="DM17" i="83"/>
  <c r="DK17" i="83"/>
  <c r="DD17" i="83"/>
  <c r="CQ17" i="83"/>
  <c r="CP17" i="83"/>
  <c r="CL17" i="83"/>
  <c r="CJ17" i="83"/>
  <c r="AV17" i="83"/>
  <c r="EK16" i="83"/>
  <c r="DW16" i="83"/>
  <c r="DW13" i="83" s="1"/>
  <c r="DI16" i="83"/>
  <c r="CU16" i="83"/>
  <c r="CG16" i="83"/>
  <c r="BS16" i="83"/>
  <c r="BR16" i="83"/>
  <c r="BQ16" i="83"/>
  <c r="BQ20" i="83" s="1"/>
  <c r="BQ30" i="83" s="1"/>
  <c r="BP16" i="83"/>
  <c r="BO16" i="83"/>
  <c r="BN16" i="83"/>
  <c r="BM16" i="83"/>
  <c r="BL16" i="83"/>
  <c r="BK16" i="83"/>
  <c r="BJ16" i="83"/>
  <c r="BJ13" i="83" s="1"/>
  <c r="BI16" i="83"/>
  <c r="BH16" i="83"/>
  <c r="BH20" i="83" s="1"/>
  <c r="BH30" i="83" s="1"/>
  <c r="BG16" i="83"/>
  <c r="BG13" i="83" s="1"/>
  <c r="BE16" i="83"/>
  <c r="AP16" i="83"/>
  <c r="AP20" i="83" s="1"/>
  <c r="AP30" i="83" s="1"/>
  <c r="AO16" i="83"/>
  <c r="AN16" i="83"/>
  <c r="AM16" i="83"/>
  <c r="AM20" i="83" s="1"/>
  <c r="AL16" i="83"/>
  <c r="AK16" i="83"/>
  <c r="AJ16" i="83"/>
  <c r="H16" i="83" s="1"/>
  <c r="AI16" i="83"/>
  <c r="AH16" i="83"/>
  <c r="F16" i="83" s="1"/>
  <c r="AG16" i="83"/>
  <c r="AF16" i="83"/>
  <c r="D16" i="83" s="1"/>
  <c r="AE16" i="83"/>
  <c r="AC16" i="83"/>
  <c r="K16" i="83"/>
  <c r="K20" i="83" s="1"/>
  <c r="K30" i="83" s="1"/>
  <c r="J16" i="83"/>
  <c r="I16" i="83"/>
  <c r="G16" i="83"/>
  <c r="EK15" i="83"/>
  <c r="DW15" i="83"/>
  <c r="DI15" i="83"/>
  <c r="CU15" i="83"/>
  <c r="CU13" i="83" s="1"/>
  <c r="CG15" i="83"/>
  <c r="BR15" i="83"/>
  <c r="BQ15" i="83"/>
  <c r="BP15" i="83"/>
  <c r="BO15" i="83"/>
  <c r="BN15" i="83"/>
  <c r="BM15" i="83"/>
  <c r="BL15" i="83"/>
  <c r="BK15" i="83"/>
  <c r="BJ15" i="83"/>
  <c r="BI15" i="83"/>
  <c r="BH15" i="83"/>
  <c r="BG15" i="83"/>
  <c r="BE15" i="83"/>
  <c r="AP15" i="83"/>
  <c r="AO15" i="83"/>
  <c r="AN15" i="83"/>
  <c r="AM15" i="83"/>
  <c r="AL15" i="83"/>
  <c r="AK15" i="83"/>
  <c r="I15" i="83" s="1"/>
  <c r="AJ15" i="83"/>
  <c r="AI15" i="83"/>
  <c r="AH15" i="83"/>
  <c r="AG15" i="83"/>
  <c r="AF15" i="83"/>
  <c r="D15" i="83" s="1"/>
  <c r="AE15" i="83"/>
  <c r="AC15" i="83"/>
  <c r="M15" i="83"/>
  <c r="J15" i="83"/>
  <c r="J13" i="83" s="1"/>
  <c r="H15" i="83"/>
  <c r="G15" i="83"/>
  <c r="F15" i="83"/>
  <c r="F13" i="83" s="1"/>
  <c r="E15" i="83"/>
  <c r="C15" i="83"/>
  <c r="EK14" i="83"/>
  <c r="DW14" i="83"/>
  <c r="DI14" i="83"/>
  <c r="CU14" i="83"/>
  <c r="CG14" i="83"/>
  <c r="BR14" i="83"/>
  <c r="BQ14" i="83"/>
  <c r="BP14" i="83"/>
  <c r="BP13" i="83" s="1"/>
  <c r="BO14" i="83"/>
  <c r="BN14" i="83"/>
  <c r="BM14" i="83"/>
  <c r="BM13" i="83" s="1"/>
  <c r="BL14" i="83"/>
  <c r="BK14" i="83"/>
  <c r="BJ14" i="83"/>
  <c r="BI14" i="83"/>
  <c r="BH14" i="83"/>
  <c r="BG14" i="83"/>
  <c r="BE14" i="83"/>
  <c r="AP14" i="83"/>
  <c r="AO14" i="83"/>
  <c r="AN14" i="83"/>
  <c r="L14" i="83" s="1"/>
  <c r="AM14" i="83"/>
  <c r="AL14" i="83"/>
  <c r="J14" i="83" s="1"/>
  <c r="AK14" i="83"/>
  <c r="AJ14" i="83"/>
  <c r="AI14" i="83"/>
  <c r="G14" i="83" s="1"/>
  <c r="AH14" i="83"/>
  <c r="AG14" i="83"/>
  <c r="AF14" i="83"/>
  <c r="AE14" i="83"/>
  <c r="AC14" i="83"/>
  <c r="N14" i="83"/>
  <c r="M14" i="83"/>
  <c r="K14" i="83"/>
  <c r="F14" i="83"/>
  <c r="D14" i="83"/>
  <c r="EK13" i="83"/>
  <c r="EJ13" i="83"/>
  <c r="EI13" i="83"/>
  <c r="EH13" i="83"/>
  <c r="EG13" i="83"/>
  <c r="EF13" i="83"/>
  <c r="EE13" i="83"/>
  <c r="ED13" i="83"/>
  <c r="EC13" i="83"/>
  <c r="EB13" i="83"/>
  <c r="EA13" i="83"/>
  <c r="DZ13" i="83"/>
  <c r="DY13" i="83"/>
  <c r="DV13" i="83"/>
  <c r="DU13" i="83"/>
  <c r="DT13" i="83"/>
  <c r="DS13" i="83"/>
  <c r="DR13" i="83"/>
  <c r="DQ13" i="83"/>
  <c r="DP13" i="83"/>
  <c r="DO13" i="83"/>
  <c r="DN13" i="83"/>
  <c r="DM13" i="83"/>
  <c r="DL13" i="83"/>
  <c r="DK13" i="83"/>
  <c r="DH13" i="83"/>
  <c r="DG13" i="83"/>
  <c r="DF13" i="83"/>
  <c r="DE13" i="83"/>
  <c r="DD13" i="83"/>
  <c r="DC13" i="83"/>
  <c r="DB13" i="83"/>
  <c r="DA13" i="83"/>
  <c r="CZ13" i="83"/>
  <c r="CY13" i="83"/>
  <c r="CX13" i="83"/>
  <c r="CW13" i="83"/>
  <c r="CT13" i="83"/>
  <c r="CS13" i="83"/>
  <c r="CR13" i="83"/>
  <c r="CQ13" i="83"/>
  <c r="CP13" i="83"/>
  <c r="CO13" i="83"/>
  <c r="CN13" i="83"/>
  <c r="CM13" i="83"/>
  <c r="CL13" i="83"/>
  <c r="CK13" i="83"/>
  <c r="CJ13" i="83"/>
  <c r="CI13" i="83"/>
  <c r="CF13" i="83"/>
  <c r="CE13" i="83"/>
  <c r="CD13" i="83"/>
  <c r="CC13" i="83"/>
  <c r="CB13" i="83"/>
  <c r="CA13" i="83"/>
  <c r="BZ13" i="83"/>
  <c r="BY13" i="83"/>
  <c r="BX13" i="83"/>
  <c r="BW13" i="83"/>
  <c r="BV13" i="83"/>
  <c r="BU13" i="83"/>
  <c r="BR13" i="83"/>
  <c r="BQ13" i="83"/>
  <c r="BO13" i="83"/>
  <c r="BN13" i="83"/>
  <c r="BL13" i="83"/>
  <c r="BD13" i="83"/>
  <c r="BC13" i="83"/>
  <c r="BB13" i="83"/>
  <c r="BA13" i="83"/>
  <c r="AZ13" i="83"/>
  <c r="AY13" i="83"/>
  <c r="AX13" i="83"/>
  <c r="AW13" i="83"/>
  <c r="AV13" i="83"/>
  <c r="AU13" i="83"/>
  <c r="AT13" i="83"/>
  <c r="AS13" i="83"/>
  <c r="AI13" i="83"/>
  <c r="AF13" i="83"/>
  <c r="AC13" i="83"/>
  <c r="AB13" i="83"/>
  <c r="AA13" i="83"/>
  <c r="Z13" i="83"/>
  <c r="Y13" i="83"/>
  <c r="X13" i="83"/>
  <c r="W13" i="83"/>
  <c r="V13" i="83"/>
  <c r="U13" i="83"/>
  <c r="T13" i="83"/>
  <c r="S13" i="83"/>
  <c r="R13" i="83"/>
  <c r="Q13" i="83"/>
  <c r="G13" i="83"/>
  <c r="EK12" i="83"/>
  <c r="EK20" i="83" s="1"/>
  <c r="EK30" i="83" s="1"/>
  <c r="DW12" i="83"/>
  <c r="DI12" i="83"/>
  <c r="DI20" i="83" s="1"/>
  <c r="DI30" i="83" s="1"/>
  <c r="CU12" i="83"/>
  <c r="CG12" i="83"/>
  <c r="BR12" i="83"/>
  <c r="BR20" i="83" s="1"/>
  <c r="BR30" i="83" s="1"/>
  <c r="BQ12" i="83"/>
  <c r="BP12" i="83"/>
  <c r="BP20" i="83" s="1"/>
  <c r="BP30" i="83" s="1"/>
  <c r="BO12" i="83"/>
  <c r="BO20" i="83" s="1"/>
  <c r="BO30" i="83" s="1"/>
  <c r="BN12" i="83"/>
  <c r="BN20" i="83" s="1"/>
  <c r="BN30" i="83" s="1"/>
  <c r="BM12" i="83"/>
  <c r="BL12" i="83"/>
  <c r="BS12" i="83" s="1"/>
  <c r="BS20" i="83" s="1"/>
  <c r="BS30" i="83" s="1"/>
  <c r="BK12" i="83"/>
  <c r="BJ12" i="83"/>
  <c r="BI12" i="83"/>
  <c r="BH12" i="83"/>
  <c r="BG12" i="83"/>
  <c r="BE12" i="83"/>
  <c r="BE20" i="83" s="1"/>
  <c r="BE30" i="83" s="1"/>
  <c r="AP12" i="83"/>
  <c r="AO12" i="83"/>
  <c r="AN12" i="83"/>
  <c r="L12" i="83" s="1"/>
  <c r="AM12" i="83"/>
  <c r="AL12" i="83"/>
  <c r="AK12" i="83"/>
  <c r="I12" i="83" s="1"/>
  <c r="AJ12" i="83"/>
  <c r="AI12" i="83"/>
  <c r="G12" i="83" s="1"/>
  <c r="G20" i="83" s="1"/>
  <c r="G30" i="83" s="1"/>
  <c r="AH12" i="83"/>
  <c r="AH20" i="83" s="1"/>
  <c r="AH30" i="83" s="1"/>
  <c r="AG12" i="83"/>
  <c r="AF12" i="83"/>
  <c r="AE12" i="83"/>
  <c r="AC12" i="83"/>
  <c r="AC20" i="83" s="1"/>
  <c r="AC30" i="83" s="1"/>
  <c r="N12" i="83"/>
  <c r="M12" i="83"/>
  <c r="K12" i="83"/>
  <c r="J12" i="83"/>
  <c r="H12" i="83"/>
  <c r="H20" i="83" s="1"/>
  <c r="H30" i="83" s="1"/>
  <c r="E12" i="83"/>
  <c r="D12" i="83"/>
  <c r="D20" i="83" s="1"/>
  <c r="D30" i="83" s="1"/>
  <c r="C12" i="83"/>
  <c r="EK11" i="83"/>
  <c r="EK19" i="83" s="1"/>
  <c r="EK29" i="83" s="1"/>
  <c r="DW11" i="83"/>
  <c r="BN11" i="83"/>
  <c r="BN19" i="83" s="1"/>
  <c r="BM11" i="83"/>
  <c r="BM19" i="83" s="1"/>
  <c r="BJ11" i="83"/>
  <c r="BI11" i="83"/>
  <c r="BH11" i="83"/>
  <c r="BE11" i="83"/>
  <c r="BE19" i="83" s="1"/>
  <c r="EK10" i="83"/>
  <c r="DW10" i="83"/>
  <c r="DI10" i="83"/>
  <c r="CU10" i="83"/>
  <c r="CU18" i="83" s="1"/>
  <c r="CG10" i="83"/>
  <c r="CG18" i="83" s="1"/>
  <c r="BR10" i="83"/>
  <c r="BQ10" i="83"/>
  <c r="BQ18" i="83" s="1"/>
  <c r="BQ28" i="83" s="1"/>
  <c r="BP10" i="83"/>
  <c r="BO10" i="83"/>
  <c r="BN10" i="83"/>
  <c r="BM10" i="83"/>
  <c r="BM18" i="83" s="1"/>
  <c r="BL10" i="83"/>
  <c r="BK10" i="83"/>
  <c r="BJ10" i="83"/>
  <c r="BI10" i="83"/>
  <c r="BH10" i="83"/>
  <c r="BG10" i="83"/>
  <c r="AP10" i="83"/>
  <c r="AN10" i="83"/>
  <c r="AL10" i="83"/>
  <c r="AK10" i="83"/>
  <c r="AK18" i="83" s="1"/>
  <c r="AJ10" i="83"/>
  <c r="AI10" i="83"/>
  <c r="AH10" i="83"/>
  <c r="AG10" i="83"/>
  <c r="AE10" i="83"/>
  <c r="AC10" i="83"/>
  <c r="AC18" i="83" s="1"/>
  <c r="N10" i="83"/>
  <c r="L10" i="83"/>
  <c r="L18" i="83" s="1"/>
  <c r="E10" i="83"/>
  <c r="C10" i="83"/>
  <c r="EJ9" i="83"/>
  <c r="EI9" i="83"/>
  <c r="EH9" i="83"/>
  <c r="EG9" i="83"/>
  <c r="EF9" i="83"/>
  <c r="EE9" i="83"/>
  <c r="ED9" i="83"/>
  <c r="EC9" i="83"/>
  <c r="EB9" i="83"/>
  <c r="EA9" i="83"/>
  <c r="DZ9" i="83"/>
  <c r="DY9" i="83"/>
  <c r="DV9" i="83"/>
  <c r="DU9" i="83"/>
  <c r="DT9" i="83"/>
  <c r="DS9" i="83"/>
  <c r="DR9" i="83"/>
  <c r="DQ9" i="83"/>
  <c r="DP9" i="83"/>
  <c r="DO9" i="83"/>
  <c r="DN9" i="83"/>
  <c r="DM9" i="83"/>
  <c r="DL9" i="83"/>
  <c r="DK9" i="83"/>
  <c r="DF9" i="83"/>
  <c r="DD9" i="83"/>
  <c r="DB9" i="83"/>
  <c r="CZ9" i="83"/>
  <c r="CY9" i="83"/>
  <c r="CX9" i="83"/>
  <c r="CW9" i="83"/>
  <c r="CT9" i="83"/>
  <c r="CS9" i="83"/>
  <c r="CQ9" i="83"/>
  <c r="CM9" i="83"/>
  <c r="CL9" i="83"/>
  <c r="CJ9" i="83"/>
  <c r="CF9" i="83"/>
  <c r="CE9" i="83"/>
  <c r="CD9" i="83"/>
  <c r="CC9" i="83"/>
  <c r="CB9" i="83"/>
  <c r="CA9" i="83"/>
  <c r="BY9" i="83"/>
  <c r="BD9" i="83"/>
  <c r="BB9" i="83"/>
  <c r="AZ9" i="83"/>
  <c r="AY9" i="83"/>
  <c r="AX9" i="83"/>
  <c r="AW9" i="83"/>
  <c r="AV9" i="83"/>
  <c r="AU9" i="83"/>
  <c r="AS9" i="83"/>
  <c r="EK8" i="83"/>
  <c r="DW8" i="83"/>
  <c r="DI8" i="83"/>
  <c r="CU8" i="83"/>
  <c r="CG8" i="83"/>
  <c r="BR8" i="83"/>
  <c r="BQ8" i="83"/>
  <c r="BP8" i="83"/>
  <c r="BO8" i="83"/>
  <c r="BN8" i="83"/>
  <c r="BM8" i="83"/>
  <c r="BL8" i="83"/>
  <c r="BK8" i="83"/>
  <c r="BJ8" i="83"/>
  <c r="BI8" i="83"/>
  <c r="BH8" i="83"/>
  <c r="BG8" i="83"/>
  <c r="BE8" i="83"/>
  <c r="AP8" i="83"/>
  <c r="AO8" i="83"/>
  <c r="M8" i="83" s="1"/>
  <c r="AN8" i="83"/>
  <c r="L8" i="83" s="1"/>
  <c r="AM8" i="83"/>
  <c r="K8" i="83" s="1"/>
  <c r="AL8" i="83"/>
  <c r="J8" i="83" s="1"/>
  <c r="AK8" i="83"/>
  <c r="I8" i="83" s="1"/>
  <c r="AJ8" i="83"/>
  <c r="H8" i="83" s="1"/>
  <c r="AI8" i="83"/>
  <c r="AH8" i="83"/>
  <c r="F8" i="83" s="1"/>
  <c r="AG8" i="83"/>
  <c r="AF8" i="83"/>
  <c r="AE8" i="83"/>
  <c r="AC8" i="83"/>
  <c r="N8" i="83"/>
  <c r="G8" i="83"/>
  <c r="E8" i="83"/>
  <c r="D8" i="83"/>
  <c r="C8" i="83"/>
  <c r="EK7" i="83"/>
  <c r="EK5" i="83" s="1"/>
  <c r="DW7" i="83"/>
  <c r="DI7" i="83"/>
  <c r="DI5" i="83" s="1"/>
  <c r="CG7" i="83"/>
  <c r="CG5" i="83" s="1"/>
  <c r="BM7" i="83"/>
  <c r="BE7" i="83"/>
  <c r="AM7" i="83"/>
  <c r="AM5" i="83" s="1"/>
  <c r="AL7" i="83"/>
  <c r="AG7" i="83"/>
  <c r="Y7" i="83"/>
  <c r="X7" i="83"/>
  <c r="EK6" i="83"/>
  <c r="DW6" i="83"/>
  <c r="DW5" i="83" s="1"/>
  <c r="DI6" i="83"/>
  <c r="CU6" i="83"/>
  <c r="CG6" i="83"/>
  <c r="BR6" i="83"/>
  <c r="BQ6" i="83"/>
  <c r="BP6" i="83"/>
  <c r="BO6" i="83"/>
  <c r="BN6" i="83"/>
  <c r="BM6" i="83"/>
  <c r="BL6" i="83"/>
  <c r="BK6" i="83"/>
  <c r="BJ6" i="83"/>
  <c r="BI6" i="83"/>
  <c r="BH6" i="83"/>
  <c r="BG6" i="83"/>
  <c r="BE6" i="83"/>
  <c r="BE5" i="83" s="1"/>
  <c r="AP6" i="83"/>
  <c r="AO6" i="83"/>
  <c r="M6" i="83" s="1"/>
  <c r="AN6" i="83"/>
  <c r="AM6" i="83"/>
  <c r="AL6" i="83"/>
  <c r="AK6" i="83"/>
  <c r="I6" i="83" s="1"/>
  <c r="AJ6" i="83"/>
  <c r="AI6" i="83"/>
  <c r="AH6" i="83"/>
  <c r="AG6" i="83"/>
  <c r="E6" i="83" s="1"/>
  <c r="AF6" i="83"/>
  <c r="AE6" i="83"/>
  <c r="AQ6" i="83" s="1"/>
  <c r="AC6" i="83"/>
  <c r="N6" i="83"/>
  <c r="L6" i="83"/>
  <c r="K6" i="83"/>
  <c r="H6" i="83"/>
  <c r="G6" i="83"/>
  <c r="F6" i="83"/>
  <c r="D6" i="83"/>
  <c r="EJ5" i="83"/>
  <c r="EI5" i="83"/>
  <c r="EH5" i="83"/>
  <c r="EG5" i="83"/>
  <c r="EF5" i="83"/>
  <c r="EE5" i="83"/>
  <c r="ED5" i="83"/>
  <c r="EC5" i="83"/>
  <c r="EB5" i="83"/>
  <c r="EA5" i="83"/>
  <c r="DZ5" i="83"/>
  <c r="DY5" i="83"/>
  <c r="DV5" i="83"/>
  <c r="DU5" i="83"/>
  <c r="DT5" i="83"/>
  <c r="DS5" i="83"/>
  <c r="DR5" i="83"/>
  <c r="DQ5" i="83"/>
  <c r="DP5" i="83"/>
  <c r="DO5" i="83"/>
  <c r="DN5" i="83"/>
  <c r="DM5" i="83"/>
  <c r="DL5" i="83"/>
  <c r="DK5" i="83"/>
  <c r="DH5" i="83"/>
  <c r="DG5" i="83"/>
  <c r="DD5" i="83"/>
  <c r="DB5" i="83"/>
  <c r="CZ5" i="83"/>
  <c r="CY5" i="83"/>
  <c r="CX5" i="83"/>
  <c r="CW5" i="83"/>
  <c r="CT5" i="83"/>
  <c r="CQ5" i="83"/>
  <c r="CP5" i="83"/>
  <c r="CO5" i="83"/>
  <c r="CN5" i="83"/>
  <c r="CM5" i="83"/>
  <c r="CL5" i="83"/>
  <c r="CJ5" i="83"/>
  <c r="CF5" i="83"/>
  <c r="CE5" i="83"/>
  <c r="CD5" i="83"/>
  <c r="CC5" i="83"/>
  <c r="CB5" i="83"/>
  <c r="CA5" i="83"/>
  <c r="BZ5" i="83"/>
  <c r="BY5" i="83"/>
  <c r="BX5" i="83"/>
  <c r="BW5" i="83"/>
  <c r="BV5" i="83"/>
  <c r="BD5" i="83"/>
  <c r="BC5" i="83"/>
  <c r="BB5" i="83"/>
  <c r="BA5" i="83"/>
  <c r="AZ5" i="83"/>
  <c r="AY5" i="83"/>
  <c r="AX5" i="83"/>
  <c r="AW5" i="83"/>
  <c r="AV5" i="83"/>
  <c r="AU5" i="83"/>
  <c r="AT5" i="83"/>
  <c r="AS5" i="83"/>
  <c r="I31" i="88" l="1"/>
  <c r="N13" i="88"/>
  <c r="R13" i="88" s="1"/>
  <c r="L23" i="88"/>
  <c r="P23" i="88" s="1"/>
  <c r="W19" i="88"/>
  <c r="X19" i="88" s="1"/>
  <c r="V17" i="88"/>
  <c r="N18" i="88"/>
  <c r="R18" i="88" s="1"/>
  <c r="M18" i="88"/>
  <c r="Q18" i="88" s="1"/>
  <c r="O28" i="86"/>
  <c r="O27" i="86" s="1"/>
  <c r="O40" i="86" s="1"/>
  <c r="O44" i="86" s="1"/>
  <c r="O47" i="86" s="1"/>
  <c r="V26" i="88"/>
  <c r="H20" i="88"/>
  <c r="H30" i="88" s="1"/>
  <c r="W17" i="88"/>
  <c r="X17" i="88" s="1"/>
  <c r="N5" i="88"/>
  <c r="R5" i="88" s="1"/>
  <c r="E30" i="88"/>
  <c r="M30" i="88" s="1"/>
  <c r="Q30" i="88" s="1"/>
  <c r="M20" i="88"/>
  <c r="Q20" i="88" s="1"/>
  <c r="D21" i="88"/>
  <c r="L21" i="88" s="1"/>
  <c r="P21" i="88" s="1"/>
  <c r="G29" i="88"/>
  <c r="O29" i="88" s="1"/>
  <c r="S29" i="88" s="1"/>
  <c r="O19" i="88"/>
  <c r="S19" i="88" s="1"/>
  <c r="L16" i="88"/>
  <c r="P16" i="88" s="1"/>
  <c r="F29" i="88"/>
  <c r="N29" i="88" s="1"/>
  <c r="R29" i="88" s="1"/>
  <c r="N19" i="88"/>
  <c r="R19" i="88" s="1"/>
  <c r="E17" i="88"/>
  <c r="M17" i="88" s="1"/>
  <c r="Q17" i="88" s="1"/>
  <c r="L38" i="88"/>
  <c r="P38" i="88" s="1"/>
  <c r="E29" i="88"/>
  <c r="M29" i="88" s="1"/>
  <c r="Q29" i="88" s="1"/>
  <c r="M19" i="88"/>
  <c r="Q19" i="88" s="1"/>
  <c r="D19" i="88"/>
  <c r="D32" i="88"/>
  <c r="L32" i="88" s="1"/>
  <c r="P32" i="88" s="1"/>
  <c r="L33" i="88"/>
  <c r="P33" i="88" s="1"/>
  <c r="K28" i="88"/>
  <c r="K27" i="88" s="1"/>
  <c r="K17" i="88"/>
  <c r="O17" i="88" s="1"/>
  <c r="S17" i="88" s="1"/>
  <c r="D30" i="88"/>
  <c r="L30" i="88" s="1"/>
  <c r="P30" i="88" s="1"/>
  <c r="L20" i="88"/>
  <c r="P20" i="88" s="1"/>
  <c r="O18" i="88"/>
  <c r="S18" i="88" s="1"/>
  <c r="L11" i="88"/>
  <c r="P11" i="88" s="1"/>
  <c r="D13" i="88"/>
  <c r="L13" i="88" s="1"/>
  <c r="P13" i="88" s="1"/>
  <c r="L14" i="88"/>
  <c r="P14" i="88" s="1"/>
  <c r="F27" i="88"/>
  <c r="F31" i="88" s="1"/>
  <c r="M32" i="88"/>
  <c r="Q32" i="88" s="1"/>
  <c r="D44" i="88"/>
  <c r="L44" i="88" s="1"/>
  <c r="P44" i="88" s="1"/>
  <c r="M44" i="88"/>
  <c r="Q44" i="88" s="1"/>
  <c r="D5" i="88"/>
  <c r="L5" i="88" s="1"/>
  <c r="P5" i="88" s="1"/>
  <c r="L8" i="88"/>
  <c r="P8" i="88" s="1"/>
  <c r="M9" i="88"/>
  <c r="Q9" i="88" s="1"/>
  <c r="J28" i="88"/>
  <c r="J27" i="88" s="1"/>
  <c r="J17" i="88"/>
  <c r="N17" i="88" s="1"/>
  <c r="R17" i="88" s="1"/>
  <c r="M28" i="88"/>
  <c r="Q28" i="88" s="1"/>
  <c r="F30" i="88"/>
  <c r="N30" i="88" s="1"/>
  <c r="R30" i="88" s="1"/>
  <c r="N20" i="88"/>
  <c r="R20" i="88" s="1"/>
  <c r="D9" i="88"/>
  <c r="L10" i="88"/>
  <c r="P10" i="88" s="1"/>
  <c r="L12" i="88"/>
  <c r="P12" i="88" s="1"/>
  <c r="H18" i="88"/>
  <c r="H9" i="88"/>
  <c r="I41" i="88"/>
  <c r="I45" i="88" s="1"/>
  <c r="I48" i="88" s="1"/>
  <c r="D18" i="88"/>
  <c r="O21" i="86"/>
  <c r="W21" i="86"/>
  <c r="I25" i="86"/>
  <c r="I28" i="86" s="1"/>
  <c r="I27" i="86" s="1"/>
  <c r="I40" i="86" s="1"/>
  <c r="I44" i="86" s="1"/>
  <c r="I47" i="86" s="1"/>
  <c r="J25" i="86"/>
  <c r="J21" i="86" s="1"/>
  <c r="F25" i="86"/>
  <c r="F28" i="86" s="1"/>
  <c r="F27" i="86" s="1"/>
  <c r="F40" i="86" s="1"/>
  <c r="F44" i="86" s="1"/>
  <c r="F47" i="86" s="1"/>
  <c r="U21" i="86"/>
  <c r="G25" i="86"/>
  <c r="G21" i="86" s="1"/>
  <c r="T28" i="86"/>
  <c r="T27" i="86" s="1"/>
  <c r="T40" i="86" s="1"/>
  <c r="T44" i="86" s="1"/>
  <c r="T47" i="86" s="1"/>
  <c r="D25" i="86"/>
  <c r="D28" i="86" s="1"/>
  <c r="D27" i="86" s="1"/>
  <c r="D40" i="86" s="1"/>
  <c r="D44" i="86" s="1"/>
  <c r="D47" i="86" s="1"/>
  <c r="X21" i="86"/>
  <c r="Y21" i="86"/>
  <c r="Y28" i="86"/>
  <c r="Y27" i="86" s="1"/>
  <c r="Y40" i="86" s="1"/>
  <c r="Y44" i="86" s="1"/>
  <c r="Y47" i="86" s="1"/>
  <c r="R28" i="86"/>
  <c r="R27" i="86" s="1"/>
  <c r="R40" i="86" s="1"/>
  <c r="R44" i="86" s="1"/>
  <c r="R47" i="86" s="1"/>
  <c r="C1" i="86"/>
  <c r="N21" i="86"/>
  <c r="N28" i="86"/>
  <c r="N27" i="86" s="1"/>
  <c r="N40" i="86" s="1"/>
  <c r="N44" i="86" s="1"/>
  <c r="N47" i="86" s="1"/>
  <c r="V28" i="86"/>
  <c r="V27" i="86" s="1"/>
  <c r="V40" i="86" s="1"/>
  <c r="V44" i="86" s="1"/>
  <c r="V47" i="86" s="1"/>
  <c r="V21" i="86"/>
  <c r="H25" i="86"/>
  <c r="K28" i="86"/>
  <c r="K27" i="86" s="1"/>
  <c r="K40" i="86" s="1"/>
  <c r="K44" i="86" s="1"/>
  <c r="K47" i="86" s="1"/>
  <c r="K21" i="86"/>
  <c r="AA21" i="86"/>
  <c r="M25" i="86"/>
  <c r="AA28" i="86"/>
  <c r="AA27" i="86" s="1"/>
  <c r="AA40" i="86" s="1"/>
  <c r="AA44" i="86" s="1"/>
  <c r="AA47" i="86" s="1"/>
  <c r="L21" i="86"/>
  <c r="L28" i="86"/>
  <c r="L27" i="86" s="1"/>
  <c r="L40" i="86" s="1"/>
  <c r="L44" i="86" s="1"/>
  <c r="L47" i="86" s="1"/>
  <c r="E21" i="86"/>
  <c r="E28" i="86"/>
  <c r="E27" i="86" s="1"/>
  <c r="E40" i="86" s="1"/>
  <c r="E44" i="86" s="1"/>
  <c r="E47" i="86" s="1"/>
  <c r="AK28" i="83"/>
  <c r="AS30" i="83"/>
  <c r="AS17" i="83"/>
  <c r="O24" i="83"/>
  <c r="CU7" i="83"/>
  <c r="CU5" i="83" s="1"/>
  <c r="CI5" i="83"/>
  <c r="AE7" i="83"/>
  <c r="BA9" i="83"/>
  <c r="BA18" i="83"/>
  <c r="AM10" i="83"/>
  <c r="CU11" i="83"/>
  <c r="CI19" i="83"/>
  <c r="CI29" i="83" s="1"/>
  <c r="CI9" i="83"/>
  <c r="DI11" i="83"/>
  <c r="DI19" i="83" s="1"/>
  <c r="DI29" i="83" s="1"/>
  <c r="DA19" i="83"/>
  <c r="DA29" i="83" s="1"/>
  <c r="BK11" i="83"/>
  <c r="BK19" i="83" s="1"/>
  <c r="AM22" i="83"/>
  <c r="BA21" i="83"/>
  <c r="CU23" i="83"/>
  <c r="CI21" i="83"/>
  <c r="CU35" i="83"/>
  <c r="BG35" i="83"/>
  <c r="BE37" i="83"/>
  <c r="AE37" i="83"/>
  <c r="AM38" i="83"/>
  <c r="K38" i="83" s="1"/>
  <c r="BE38" i="83"/>
  <c r="BG39" i="83"/>
  <c r="CG39" i="83"/>
  <c r="AE41" i="83"/>
  <c r="AS43" i="83"/>
  <c r="BE41" i="83"/>
  <c r="BE43" i="83" s="1"/>
  <c r="DO43" i="83"/>
  <c r="AI41" i="83"/>
  <c r="BA43" i="83"/>
  <c r="AM42" i="83"/>
  <c r="K42" i="83" s="1"/>
  <c r="AE45" i="83"/>
  <c r="BE45" i="83"/>
  <c r="AM46" i="83"/>
  <c r="K46" i="83" s="1"/>
  <c r="BE46" i="83"/>
  <c r="EE27" i="83"/>
  <c r="EE40" i="83" s="1"/>
  <c r="EE44" i="83" s="1"/>
  <c r="EE47" i="83" s="1"/>
  <c r="AU44" i="83"/>
  <c r="AU47" i="83" s="1"/>
  <c r="CP27" i="83"/>
  <c r="CP40" i="83" s="1"/>
  <c r="CP44" i="83" s="1"/>
  <c r="CP47" i="83" s="1"/>
  <c r="T5" i="83"/>
  <c r="AZ44" i="83"/>
  <c r="AZ47" i="83" s="1"/>
  <c r="BO5" i="83"/>
  <c r="DA9" i="83"/>
  <c r="M24" i="83"/>
  <c r="AQ24" i="83"/>
  <c r="R11" i="83"/>
  <c r="AF19" i="83"/>
  <c r="CN29" i="83"/>
  <c r="CN27" i="83" s="1"/>
  <c r="CN40" i="83" s="1"/>
  <c r="CN44" i="83" s="1"/>
  <c r="CN47" i="83" s="1"/>
  <c r="CN17" i="83"/>
  <c r="F5" i="83"/>
  <c r="E18" i="83"/>
  <c r="M20" i="83"/>
  <c r="M30" i="83" s="1"/>
  <c r="O8" i="83"/>
  <c r="BK9" i="83"/>
  <c r="BK18" i="83"/>
  <c r="C35" i="83"/>
  <c r="N18" i="83"/>
  <c r="AF43" i="83"/>
  <c r="D41" i="83"/>
  <c r="D43" i="83" s="1"/>
  <c r="BH19" i="83"/>
  <c r="BH9" i="83"/>
  <c r="DA21" i="83"/>
  <c r="BN18" i="83"/>
  <c r="BN9" i="83"/>
  <c r="BI19" i="83"/>
  <c r="BI9" i="83"/>
  <c r="CD17" i="83"/>
  <c r="CD29" i="83"/>
  <c r="CD27" i="83" s="1"/>
  <c r="CD40" i="83" s="1"/>
  <c r="CD44" i="83" s="1"/>
  <c r="CD47" i="83" s="1"/>
  <c r="AG18" i="83"/>
  <c r="BJ9" i="83"/>
  <c r="BJ19" i="83"/>
  <c r="CO28" i="83"/>
  <c r="CO17" i="83"/>
  <c r="DG28" i="83"/>
  <c r="DG27" i="83" s="1"/>
  <c r="DG40" i="83" s="1"/>
  <c r="DG44" i="83" s="1"/>
  <c r="DG47" i="83" s="1"/>
  <c r="DY28" i="83"/>
  <c r="DY27" i="83" s="1"/>
  <c r="DY40" i="83" s="1"/>
  <c r="DY44" i="83" s="1"/>
  <c r="DY47" i="83" s="1"/>
  <c r="X5" i="83"/>
  <c r="J7" i="83"/>
  <c r="AQ14" i="83"/>
  <c r="AE13" i="83"/>
  <c r="C14" i="83"/>
  <c r="K7" i="83"/>
  <c r="Y5" i="83"/>
  <c r="BY28" i="83"/>
  <c r="BY27" i="83" s="1"/>
  <c r="BY40" i="83" s="1"/>
  <c r="BY44" i="83" s="1"/>
  <c r="BY47" i="83" s="1"/>
  <c r="BY17" i="83"/>
  <c r="DI28" i="83"/>
  <c r="DI27" i="83" s="1"/>
  <c r="DI17" i="83"/>
  <c r="BW28" i="83"/>
  <c r="BW27" i="83" s="1"/>
  <c r="BW40" i="83" s="1"/>
  <c r="BW44" i="83" s="1"/>
  <c r="BW47" i="83" s="1"/>
  <c r="EC27" i="83"/>
  <c r="EC40" i="83" s="1"/>
  <c r="EC44" i="83" s="1"/>
  <c r="EC47" i="83" s="1"/>
  <c r="S7" i="83"/>
  <c r="AG5" i="83"/>
  <c r="AG13" i="83"/>
  <c r="E14" i="83"/>
  <c r="L16" i="83"/>
  <c r="L20" i="83" s="1"/>
  <c r="L30" i="83" s="1"/>
  <c r="AN20" i="83"/>
  <c r="AN30" i="83" s="1"/>
  <c r="ED27" i="83"/>
  <c r="ED40" i="83" s="1"/>
  <c r="ED44" i="83" s="1"/>
  <c r="ED47" i="83" s="1"/>
  <c r="AF35" i="83"/>
  <c r="D35" i="83" s="1"/>
  <c r="F41" i="83"/>
  <c r="F43" i="83" s="1"/>
  <c r="BC18" i="83"/>
  <c r="AO10" i="83"/>
  <c r="BC9" i="83"/>
  <c r="CK9" i="83"/>
  <c r="CK19" i="83"/>
  <c r="DC9" i="83"/>
  <c r="DC19" i="83"/>
  <c r="BC21" i="83"/>
  <c r="AO22" i="83"/>
  <c r="AG41" i="83"/>
  <c r="AU43" i="83"/>
  <c r="AO42" i="83"/>
  <c r="M42" i="83" s="1"/>
  <c r="BC43" i="83"/>
  <c r="AE18" i="83"/>
  <c r="BM28" i="83"/>
  <c r="BM17" i="83"/>
  <c r="BL11" i="83"/>
  <c r="AY27" i="83"/>
  <c r="AY40" i="83" s="1"/>
  <c r="AY44" i="83" s="1"/>
  <c r="AY47" i="83" s="1"/>
  <c r="DG21" i="83"/>
  <c r="BM21" i="83"/>
  <c r="EJ44" i="83"/>
  <c r="EJ47" i="83" s="1"/>
  <c r="AJ41" i="83"/>
  <c r="BG7" i="83"/>
  <c r="AI7" i="83"/>
  <c r="U7" i="83" s="1"/>
  <c r="CG11" i="83"/>
  <c r="CG19" i="83" s="1"/>
  <c r="BU19" i="83"/>
  <c r="AE11" i="83"/>
  <c r="CM19" i="83"/>
  <c r="AI11" i="83"/>
  <c r="AM11" i="83"/>
  <c r="DE19" i="83"/>
  <c r="DE9" i="83"/>
  <c r="BU21" i="83"/>
  <c r="BG23" i="83"/>
  <c r="AE23" i="83"/>
  <c r="CG23" i="83"/>
  <c r="CG21" i="83" s="1"/>
  <c r="BK23" i="83"/>
  <c r="BK21" i="83" s="1"/>
  <c r="CM21" i="83"/>
  <c r="AI23" i="83"/>
  <c r="CG35" i="83"/>
  <c r="AI35" i="83"/>
  <c r="G35" i="83" s="1"/>
  <c r="BK35" i="83"/>
  <c r="AE36" i="83"/>
  <c r="DW36" i="83"/>
  <c r="BG38" i="83"/>
  <c r="BK38" i="83"/>
  <c r="AI38" i="83"/>
  <c r="G38" i="83" s="1"/>
  <c r="AE39" i="83"/>
  <c r="BE39" i="83"/>
  <c r="BK39" i="83"/>
  <c r="AI39" i="83"/>
  <c r="G39" i="83" s="1"/>
  <c r="AM39" i="83"/>
  <c r="K39" i="83" s="1"/>
  <c r="DW39" i="83"/>
  <c r="DS43" i="83"/>
  <c r="AM41" i="83"/>
  <c r="AI45" i="83"/>
  <c r="G45" i="83" s="1"/>
  <c r="M16" i="83"/>
  <c r="M13" i="83" s="1"/>
  <c r="AO13" i="83"/>
  <c r="BW21" i="83"/>
  <c r="AG23" i="83"/>
  <c r="AG21" i="83" s="1"/>
  <c r="BN23" i="83"/>
  <c r="AL23" i="83"/>
  <c r="CP21" i="83"/>
  <c r="AQ15" i="83"/>
  <c r="AH13" i="83"/>
  <c r="AN7" i="83"/>
  <c r="BP7" i="83"/>
  <c r="BP5" i="83" s="1"/>
  <c r="CR5" i="83"/>
  <c r="AF10" i="83"/>
  <c r="AT18" i="83"/>
  <c r="CR19" i="83"/>
  <c r="AN11" i="83"/>
  <c r="CR9" i="83"/>
  <c r="BP11" i="83"/>
  <c r="BP19" i="83" s="1"/>
  <c r="BP29" i="83" s="1"/>
  <c r="AF22" i="83"/>
  <c r="AT21" i="83"/>
  <c r="BL23" i="83"/>
  <c r="BL21" i="83" s="1"/>
  <c r="BZ21" i="83"/>
  <c r="AJ23" i="83"/>
  <c r="AJ21" i="83" s="1"/>
  <c r="BE35" i="83"/>
  <c r="AF36" i="83"/>
  <c r="D36" i="83" s="1"/>
  <c r="BE36" i="83"/>
  <c r="AF38" i="83"/>
  <c r="D38" i="83" s="1"/>
  <c r="BL38" i="83"/>
  <c r="BP39" i="83"/>
  <c r="DN27" i="83"/>
  <c r="DN40" i="83" s="1"/>
  <c r="DN44" i="83" s="1"/>
  <c r="DN47" i="83" s="1"/>
  <c r="DU43" i="83"/>
  <c r="AO41" i="83"/>
  <c r="EF28" i="83"/>
  <c r="EF27" i="83" s="1"/>
  <c r="EF40" i="83" s="1"/>
  <c r="EF44" i="83" s="1"/>
  <c r="EF47" i="83" s="1"/>
  <c r="EF17" i="83"/>
  <c r="AL11" i="83"/>
  <c r="AL9" i="83" s="1"/>
  <c r="CP9" i="83"/>
  <c r="AL41" i="83"/>
  <c r="AZ43" i="83"/>
  <c r="AP23" i="83"/>
  <c r="AP21" i="83" s="1"/>
  <c r="DF29" i="83"/>
  <c r="DF27" i="83" s="1"/>
  <c r="DF40" i="83" s="1"/>
  <c r="DF44" i="83" s="1"/>
  <c r="DF47" i="83" s="1"/>
  <c r="DF17" i="83"/>
  <c r="AK23" i="83"/>
  <c r="CO21" i="83"/>
  <c r="BP18" i="83"/>
  <c r="DH19" i="83"/>
  <c r="BR11" i="83"/>
  <c r="BR19" i="83" s="1"/>
  <c r="DH9" i="83"/>
  <c r="DV43" i="83"/>
  <c r="AP41" i="83"/>
  <c r="N16" i="83"/>
  <c r="N20" i="83" s="1"/>
  <c r="N30" i="83" s="1"/>
  <c r="AJ39" i="83"/>
  <c r="H39" i="83" s="1"/>
  <c r="CG28" i="83"/>
  <c r="CG17" i="83"/>
  <c r="BM5" i="83"/>
  <c r="AI5" i="83"/>
  <c r="BH7" i="83"/>
  <c r="DI9" i="83"/>
  <c r="F12" i="83"/>
  <c r="F20" i="83" s="1"/>
  <c r="F30" i="83" s="1"/>
  <c r="BE13" i="83"/>
  <c r="AQ16" i="83"/>
  <c r="C16" i="83"/>
  <c r="BM23" i="83"/>
  <c r="BM29" i="83" s="1"/>
  <c r="CG38" i="83"/>
  <c r="DW46" i="83"/>
  <c r="I41" i="83"/>
  <c r="I43" i="83" s="1"/>
  <c r="AK43" i="83"/>
  <c r="I14" i="83"/>
  <c r="I13" i="83" s="1"/>
  <c r="AK13" i="83"/>
  <c r="AG35" i="83"/>
  <c r="E35" i="83" s="1"/>
  <c r="DW19" i="83"/>
  <c r="DW29" i="83" s="1"/>
  <c r="DW9" i="83"/>
  <c r="BS8" i="83"/>
  <c r="CC17" i="83"/>
  <c r="DI13" i="83"/>
  <c r="C6" i="83"/>
  <c r="AJ5" i="83"/>
  <c r="BE10" i="83"/>
  <c r="AP11" i="83"/>
  <c r="AP28" i="83"/>
  <c r="DU28" i="83"/>
  <c r="DU27" i="83" s="1"/>
  <c r="DU40" i="83" s="1"/>
  <c r="DU44" i="83" s="1"/>
  <c r="DU47" i="83" s="1"/>
  <c r="DU17" i="83"/>
  <c r="BG20" i="83"/>
  <c r="BG30" i="83" s="1"/>
  <c r="AI21" i="83"/>
  <c r="BE22" i="83"/>
  <c r="BE21" i="83" s="1"/>
  <c r="BO23" i="83"/>
  <c r="BO21" i="83" s="1"/>
  <c r="DR27" i="83"/>
  <c r="DR40" i="83" s="1"/>
  <c r="DR44" i="83" s="1"/>
  <c r="DR47" i="83" s="1"/>
  <c r="BM43" i="83"/>
  <c r="BS41" i="83"/>
  <c r="BS43" i="83" s="1"/>
  <c r="AH42" i="83"/>
  <c r="F42" i="83" s="1"/>
  <c r="BS46" i="83"/>
  <c r="BH5" i="83"/>
  <c r="AH9" i="83"/>
  <c r="F10" i="83"/>
  <c r="AK7" i="83"/>
  <c r="AO11" i="83"/>
  <c r="BQ11" i="83"/>
  <c r="DG19" i="83"/>
  <c r="DG29" i="83" s="1"/>
  <c r="DG9" i="83"/>
  <c r="AI18" i="83"/>
  <c r="G10" i="83"/>
  <c r="BX19" i="83"/>
  <c r="BX29" i="83" s="1"/>
  <c r="BX9" i="83"/>
  <c r="AH11" i="83"/>
  <c r="AH18" i="83"/>
  <c r="CN9" i="83"/>
  <c r="DI39" i="83"/>
  <c r="BV9" i="83"/>
  <c r="BV19" i="83"/>
  <c r="AF23" i="83"/>
  <c r="BH23" i="83"/>
  <c r="BH21" i="83" s="1"/>
  <c r="BV21" i="83"/>
  <c r="BO9" i="83"/>
  <c r="BO18" i="83"/>
  <c r="BB17" i="83"/>
  <c r="CW17" i="83"/>
  <c r="CW28" i="83"/>
  <c r="CW27" i="83" s="1"/>
  <c r="CW40" i="83" s="1"/>
  <c r="CW44" i="83" s="1"/>
  <c r="CW47" i="83" s="1"/>
  <c r="AN41" i="83"/>
  <c r="BW9" i="83"/>
  <c r="BW19" i="83"/>
  <c r="BW29" i="83" s="1"/>
  <c r="AG11" i="83"/>
  <c r="CO19" i="83"/>
  <c r="CO29" i="83" s="1"/>
  <c r="CO9" i="83"/>
  <c r="AK35" i="83"/>
  <c r="I35" i="83" s="1"/>
  <c r="BM35" i="83"/>
  <c r="BI38" i="83"/>
  <c r="AK38" i="83"/>
  <c r="I38" i="83" s="1"/>
  <c r="AG39" i="83"/>
  <c r="E39" i="83" s="1"/>
  <c r="AK39" i="83"/>
  <c r="I39" i="83" s="1"/>
  <c r="BM39" i="83"/>
  <c r="AF5" i="83"/>
  <c r="BD28" i="83"/>
  <c r="BD27" i="83" s="1"/>
  <c r="BD40" i="83" s="1"/>
  <c r="BD44" i="83" s="1"/>
  <c r="BD47" i="83" s="1"/>
  <c r="BD17" i="83"/>
  <c r="DO17" i="83"/>
  <c r="DO28" i="83"/>
  <c r="DO27" i="83" s="1"/>
  <c r="DO40" i="83" s="1"/>
  <c r="DO44" i="83" s="1"/>
  <c r="DO47" i="83" s="1"/>
  <c r="BP21" i="83"/>
  <c r="AO23" i="83"/>
  <c r="BJ23" i="83"/>
  <c r="BJ21" i="83" s="1"/>
  <c r="AH23" i="83"/>
  <c r="AH21" i="83" s="1"/>
  <c r="BX21" i="83"/>
  <c r="AL35" i="83"/>
  <c r="J35" i="83" s="1"/>
  <c r="BN35" i="83"/>
  <c r="AO7" i="83"/>
  <c r="AJ18" i="83"/>
  <c r="AJ9" i="83"/>
  <c r="H10" i="83"/>
  <c r="AL13" i="83"/>
  <c r="CE28" i="83"/>
  <c r="CE27" i="83" s="1"/>
  <c r="CE40" i="83" s="1"/>
  <c r="CE44" i="83" s="1"/>
  <c r="CE47" i="83" s="1"/>
  <c r="CE17" i="83"/>
  <c r="AE38" i="83"/>
  <c r="DW38" i="83"/>
  <c r="AH5" i="83"/>
  <c r="AP7" i="83"/>
  <c r="AB7" i="83" s="1"/>
  <c r="AK9" i="83"/>
  <c r="I10" i="83"/>
  <c r="I20" i="83"/>
  <c r="I30" i="83" s="1"/>
  <c r="D13" i="83"/>
  <c r="BG28" i="83"/>
  <c r="AI20" i="83"/>
  <c r="AI30" i="83" s="1"/>
  <c r="AL21" i="83"/>
  <c r="CX28" i="83"/>
  <c r="CX27" i="83" s="1"/>
  <c r="CX40" i="83" s="1"/>
  <c r="CX44" i="83" s="1"/>
  <c r="CX47" i="83" s="1"/>
  <c r="AJ7" i="83"/>
  <c r="V7" i="83" s="1"/>
  <c r="BL7" i="83"/>
  <c r="BZ19" i="83"/>
  <c r="BZ29" i="83" s="1"/>
  <c r="BZ9" i="83"/>
  <c r="AJ11" i="83"/>
  <c r="BL5" i="83"/>
  <c r="BM9" i="83"/>
  <c r="AL18" i="83"/>
  <c r="J10" i="83"/>
  <c r="DN17" i="83"/>
  <c r="BR38" i="83"/>
  <c r="CJ27" i="83"/>
  <c r="CJ40" i="83" s="1"/>
  <c r="CJ44" i="83" s="1"/>
  <c r="CJ47" i="83" s="1"/>
  <c r="AK20" i="83"/>
  <c r="AK30" i="83" s="1"/>
  <c r="CU30" i="83"/>
  <c r="N22" i="83"/>
  <c r="CU21" i="83"/>
  <c r="BI23" i="83"/>
  <c r="BI21" i="83" s="1"/>
  <c r="AE42" i="83"/>
  <c r="DE5" i="83"/>
  <c r="D5" i="83"/>
  <c r="BJ7" i="83"/>
  <c r="BJ5" i="83" s="1"/>
  <c r="AQ8" i="83"/>
  <c r="AT9" i="83"/>
  <c r="BU9" i="83"/>
  <c r="EK9" i="83"/>
  <c r="EK18" i="83"/>
  <c r="J20" i="83"/>
  <c r="J30" i="83" s="1"/>
  <c r="CG20" i="83"/>
  <c r="CG30" i="83" s="1"/>
  <c r="BH13" i="83"/>
  <c r="BS14" i="83"/>
  <c r="BS13" i="83" s="1"/>
  <c r="K15" i="83"/>
  <c r="O15" i="83" s="1"/>
  <c r="AM13" i="83"/>
  <c r="E16" i="83"/>
  <c r="AG20" i="83"/>
  <c r="AG30" i="83" s="1"/>
  <c r="AY17" i="83"/>
  <c r="AO20" i="83"/>
  <c r="AO30" i="83" s="1"/>
  <c r="BS22" i="83"/>
  <c r="BP23" i="83"/>
  <c r="DS40" i="83"/>
  <c r="DS44" i="83" s="1"/>
  <c r="DS47" i="83" s="1"/>
  <c r="BS32" i="83"/>
  <c r="BS33" i="83"/>
  <c r="BS34" i="83"/>
  <c r="R5" i="83"/>
  <c r="BU5" i="83"/>
  <c r="J6" i="83"/>
  <c r="J5" i="83" s="1"/>
  <c r="AL5" i="83"/>
  <c r="BK7" i="83"/>
  <c r="BK5" i="83" s="1"/>
  <c r="BG11" i="83"/>
  <c r="AQ12" i="83"/>
  <c r="AQ20" i="83" s="1"/>
  <c r="AQ30" i="83" s="1"/>
  <c r="BI13" i="83"/>
  <c r="EB17" i="83"/>
  <c r="DW28" i="83"/>
  <c r="DW27" i="83" s="1"/>
  <c r="DW17" i="83"/>
  <c r="DB17" i="83"/>
  <c r="DB29" i="83"/>
  <c r="DB27" i="83" s="1"/>
  <c r="DB40" i="83" s="1"/>
  <c r="DB44" i="83" s="1"/>
  <c r="DB47" i="83" s="1"/>
  <c r="BJ20" i="83"/>
  <c r="BJ30" i="83" s="1"/>
  <c r="DT27" i="83"/>
  <c r="DT40" i="83" s="1"/>
  <c r="DT44" i="83" s="1"/>
  <c r="DT47" i="83" s="1"/>
  <c r="DW42" i="83"/>
  <c r="BE42" i="83"/>
  <c r="AT43" i="83"/>
  <c r="AN45" i="83"/>
  <c r="L45" i="83" s="1"/>
  <c r="AF46" i="83"/>
  <c r="D46" i="83" s="1"/>
  <c r="O46" i="83" s="1"/>
  <c r="BS6" i="83"/>
  <c r="BS10" i="83"/>
  <c r="BK13" i="83"/>
  <c r="AN13" i="83"/>
  <c r="BX28" i="83"/>
  <c r="BX27" i="83" s="1"/>
  <c r="BX40" i="83" s="1"/>
  <c r="BX44" i="83" s="1"/>
  <c r="BX47" i="83" s="1"/>
  <c r="BX17" i="83"/>
  <c r="DZ27" i="83"/>
  <c r="DZ40" i="83" s="1"/>
  <c r="DZ44" i="83" s="1"/>
  <c r="DZ47" i="83" s="1"/>
  <c r="BI5" i="83"/>
  <c r="E20" i="83"/>
  <c r="E30" i="83" s="1"/>
  <c r="AP13" i="83"/>
  <c r="N15" i="83"/>
  <c r="AX17" i="83"/>
  <c r="AX28" i="83"/>
  <c r="AX27" i="83" s="1"/>
  <c r="AX40" i="83" s="1"/>
  <c r="AX44" i="83" s="1"/>
  <c r="AX47" i="83" s="1"/>
  <c r="BZ28" i="83"/>
  <c r="BZ27" i="83" s="1"/>
  <c r="BZ40" i="83" s="1"/>
  <c r="BZ44" i="83" s="1"/>
  <c r="BZ47" i="83" s="1"/>
  <c r="BZ17" i="83"/>
  <c r="DK27" i="83"/>
  <c r="DK40" i="83" s="1"/>
  <c r="DK44" i="83" s="1"/>
  <c r="DK47" i="83" s="1"/>
  <c r="EB27" i="83"/>
  <c r="EB40" i="83" s="1"/>
  <c r="EB44" i="83" s="1"/>
  <c r="EB47" i="83" s="1"/>
  <c r="BQ21" i="83"/>
  <c r="CA17" i="83"/>
  <c r="CA28" i="83"/>
  <c r="CA27" i="83" s="1"/>
  <c r="CA40" i="83" s="1"/>
  <c r="CA44" i="83" s="1"/>
  <c r="CA47" i="83" s="1"/>
  <c r="CS28" i="83"/>
  <c r="CS27" i="83" s="1"/>
  <c r="CS40" i="83" s="1"/>
  <c r="CS44" i="83" s="1"/>
  <c r="CS47" i="83" s="1"/>
  <c r="CS17" i="83"/>
  <c r="DL27" i="83"/>
  <c r="DL40" i="83" s="1"/>
  <c r="DL44" i="83" s="1"/>
  <c r="DL47" i="83" s="1"/>
  <c r="CZ27" i="83"/>
  <c r="CZ40" i="83" s="1"/>
  <c r="CZ44" i="83" s="1"/>
  <c r="CZ47" i="83" s="1"/>
  <c r="BL18" i="83"/>
  <c r="AJ13" i="83"/>
  <c r="H14" i="83"/>
  <c r="H13" i="83" s="1"/>
  <c r="L15" i="83"/>
  <c r="L13" i="83" s="1"/>
  <c r="DL17" i="83"/>
  <c r="CB17" i="83"/>
  <c r="CB28" i="83"/>
  <c r="CB27" i="83" s="1"/>
  <c r="CB40" i="83" s="1"/>
  <c r="CB44" i="83" s="1"/>
  <c r="CB47" i="83" s="1"/>
  <c r="CT17" i="83"/>
  <c r="DT29" i="83"/>
  <c r="DT17" i="83"/>
  <c r="C20" i="83"/>
  <c r="C30" i="83" s="1"/>
  <c r="DM27" i="83"/>
  <c r="DM40" i="83" s="1"/>
  <c r="DM44" i="83" s="1"/>
  <c r="DM47" i="83" s="1"/>
  <c r="AK11" i="83"/>
  <c r="AO39" i="83"/>
  <c r="M39" i="83" s="1"/>
  <c r="AO45" i="83"/>
  <c r="M45" i="83" s="1"/>
  <c r="CY17" i="83"/>
  <c r="O33" i="83"/>
  <c r="BR5" i="83"/>
  <c r="BR9" i="83"/>
  <c r="BR18" i="83"/>
  <c r="DQ17" i="83"/>
  <c r="EH28" i="83"/>
  <c r="EH27" i="83" s="1"/>
  <c r="EH40" i="83" s="1"/>
  <c r="EH44" i="83" s="1"/>
  <c r="EH47" i="83" s="1"/>
  <c r="EH17" i="83"/>
  <c r="DP17" i="83"/>
  <c r="C31" i="83"/>
  <c r="O32" i="83"/>
  <c r="O34" i="83"/>
  <c r="K5" i="83"/>
  <c r="AE20" i="83"/>
  <c r="AE30" i="83" s="1"/>
  <c r="BI20" i="83"/>
  <c r="BI30" i="83" s="1"/>
  <c r="BS15" i="83"/>
  <c r="AU17" i="83"/>
  <c r="CI17" i="83"/>
  <c r="CI28" i="83"/>
  <c r="CI27" i="83" s="1"/>
  <c r="CI40" i="83" s="1"/>
  <c r="CI44" i="83" s="1"/>
  <c r="CI47" i="83" s="1"/>
  <c r="DA28" i="83"/>
  <c r="DA27" i="83" s="1"/>
  <c r="DA40" i="83" s="1"/>
  <c r="DA44" i="83" s="1"/>
  <c r="DA47" i="83" s="1"/>
  <c r="DA17" i="83"/>
  <c r="EI28" i="83"/>
  <c r="EI27" i="83" s="1"/>
  <c r="EI40" i="83" s="1"/>
  <c r="EI44" i="83" s="1"/>
  <c r="EI47" i="83" s="1"/>
  <c r="EI17" i="83"/>
  <c r="DI21" i="83"/>
  <c r="AS27" i="83"/>
  <c r="AS40" i="83" s="1"/>
  <c r="AS44" i="83" s="1"/>
  <c r="AS47" i="83" s="1"/>
  <c r="CF17" i="83"/>
  <c r="CF28" i="83"/>
  <c r="CF27" i="83" s="1"/>
  <c r="CF40" i="83" s="1"/>
  <c r="CF44" i="83" s="1"/>
  <c r="CF47" i="83" s="1"/>
  <c r="CG9" i="83"/>
  <c r="AF20" i="83"/>
  <c r="AF30" i="83" s="1"/>
  <c r="K13" i="83"/>
  <c r="CG13" i="83"/>
  <c r="AV27" i="83"/>
  <c r="AV40" i="83" s="1"/>
  <c r="AV44" i="83" s="1"/>
  <c r="AV47" i="83" s="1"/>
  <c r="DS17" i="83"/>
  <c r="DV40" i="83"/>
  <c r="DV44" i="83" s="1"/>
  <c r="DV47" i="83" s="1"/>
  <c r="DP28" i="83"/>
  <c r="DP27" i="83" s="1"/>
  <c r="DP40" i="83" s="1"/>
  <c r="DP44" i="83" s="1"/>
  <c r="DP47" i="83" s="1"/>
  <c r="AW17" i="83"/>
  <c r="DQ28" i="83"/>
  <c r="DQ27" i="83" s="1"/>
  <c r="DQ40" i="83" s="1"/>
  <c r="DQ44" i="83" s="1"/>
  <c r="DQ47" i="83" s="1"/>
  <c r="BO11" i="83"/>
  <c r="BO19" i="83" s="1"/>
  <c r="BO29" i="83" s="1"/>
  <c r="DW45" i="83"/>
  <c r="BS36" i="83"/>
  <c r="AN23" i="83"/>
  <c r="AN21" i="83" s="1"/>
  <c r="AJ35" i="83"/>
  <c r="H35" i="83" s="1"/>
  <c r="AN35" i="83"/>
  <c r="L35" i="83" s="1"/>
  <c r="AJ36" i="83"/>
  <c r="H36" i="83" s="1"/>
  <c r="AJ38" i="83"/>
  <c r="H38" i="83" s="1"/>
  <c r="BP38" i="83"/>
  <c r="AN39" i="83"/>
  <c r="L39" i="83" s="1"/>
  <c r="BH39" i="83"/>
  <c r="DL43" i="83"/>
  <c r="AJ42" i="83"/>
  <c r="H42" i="83" s="1"/>
  <c r="AJ46" i="83"/>
  <c r="H46" i="83" s="1"/>
  <c r="DI31" i="83"/>
  <c r="AM30" i="83"/>
  <c r="DW21" i="83"/>
  <c r="BE31" i="83"/>
  <c r="DW31" i="83"/>
  <c r="BL43" i="83"/>
  <c r="AO37" i="83"/>
  <c r="M37" i="83" s="1"/>
  <c r="BM38" i="83"/>
  <c r="AG42" i="83"/>
  <c r="E42" i="83" s="1"/>
  <c r="AG46" i="83"/>
  <c r="E46" i="83" s="1"/>
  <c r="AK21" i="83"/>
  <c r="BR23" i="83"/>
  <c r="BR21" i="83" s="1"/>
  <c r="AH36" i="83"/>
  <c r="F36" i="83" s="1"/>
  <c r="AH38" i="83"/>
  <c r="F38" i="83" s="1"/>
  <c r="BN38" i="83"/>
  <c r="AL39" i="83"/>
  <c r="J39" i="83" s="1"/>
  <c r="DW35" i="83"/>
  <c r="DW37" i="83"/>
  <c r="DW41" i="83"/>
  <c r="AL42" i="83"/>
  <c r="J42" i="83" s="1"/>
  <c r="BQ35" i="83"/>
  <c r="BG43" i="83"/>
  <c r="J41" i="88" l="1"/>
  <c r="J45" i="88" s="1"/>
  <c r="J48" i="88" s="1"/>
  <c r="J31" i="88"/>
  <c r="V21" i="88"/>
  <c r="V28" i="88"/>
  <c r="V27" i="88" s="1"/>
  <c r="N28" i="88"/>
  <c r="R28" i="88" s="1"/>
  <c r="O28" i="88"/>
  <c r="S28" i="88" s="1"/>
  <c r="I52" i="88"/>
  <c r="I49" i="88"/>
  <c r="L9" i="88"/>
  <c r="P9" i="88" s="1"/>
  <c r="K41" i="88"/>
  <c r="K45" i="88" s="1"/>
  <c r="K48" i="88" s="1"/>
  <c r="K31" i="88"/>
  <c r="F41" i="88"/>
  <c r="N27" i="88"/>
  <c r="R27" i="88" s="1"/>
  <c r="E27" i="88"/>
  <c r="E31" i="88" s="1"/>
  <c r="D17" i="88"/>
  <c r="L18" i="88"/>
  <c r="P18" i="88" s="1"/>
  <c r="G27" i="88"/>
  <c r="G31" i="88" s="1"/>
  <c r="D29" i="88"/>
  <c r="L29" i="88" s="1"/>
  <c r="P29" i="88" s="1"/>
  <c r="L19" i="88"/>
  <c r="P19" i="88" s="1"/>
  <c r="H28" i="88"/>
  <c r="H27" i="88" s="1"/>
  <c r="H17" i="88"/>
  <c r="D28" i="88"/>
  <c r="F21" i="86"/>
  <c r="I21" i="86"/>
  <c r="G28" i="86"/>
  <c r="G27" i="86" s="1"/>
  <c r="G40" i="86" s="1"/>
  <c r="G44" i="86" s="1"/>
  <c r="G47" i="86" s="1"/>
  <c r="J28" i="86"/>
  <c r="J27" i="86" s="1"/>
  <c r="J40" i="86" s="1"/>
  <c r="J44" i="86" s="1"/>
  <c r="J47" i="86" s="1"/>
  <c r="D21" i="86"/>
  <c r="H28" i="86"/>
  <c r="H27" i="86" s="1"/>
  <c r="H40" i="86" s="1"/>
  <c r="H44" i="86" s="1"/>
  <c r="H47" i="86" s="1"/>
  <c r="H21" i="86"/>
  <c r="M21" i="86"/>
  <c r="M28" i="86"/>
  <c r="M27" i="86" s="1"/>
  <c r="M40" i="86" s="1"/>
  <c r="M44" i="86" s="1"/>
  <c r="M47" i="86" s="1"/>
  <c r="BS23" i="83"/>
  <c r="BS21" i="83" s="1"/>
  <c r="CK17" i="83"/>
  <c r="CK29" i="83"/>
  <c r="CK27" i="83" s="1"/>
  <c r="CK40" i="83" s="1"/>
  <c r="CK44" i="83" s="1"/>
  <c r="CK47" i="83" s="1"/>
  <c r="AK5" i="83"/>
  <c r="W7" i="83"/>
  <c r="CO27" i="83"/>
  <c r="CO40" i="83" s="1"/>
  <c r="CO44" i="83" s="1"/>
  <c r="CO47" i="83" s="1"/>
  <c r="BS39" i="83"/>
  <c r="CU19" i="83"/>
  <c r="CU9" i="83"/>
  <c r="BL28" i="83"/>
  <c r="BL27" i="83" s="1"/>
  <c r="BL40" i="83" s="1"/>
  <c r="BL44" i="83" s="1"/>
  <c r="BL47" i="83" s="1"/>
  <c r="BL17" i="83"/>
  <c r="BV29" i="83"/>
  <c r="BV27" i="83" s="1"/>
  <c r="BV40" i="83" s="1"/>
  <c r="BV44" i="83" s="1"/>
  <c r="BV47" i="83" s="1"/>
  <c r="BV17" i="83"/>
  <c r="F18" i="83"/>
  <c r="AP19" i="83"/>
  <c r="AP9" i="83"/>
  <c r="AB11" i="83"/>
  <c r="J41" i="83"/>
  <c r="J43" i="83" s="1"/>
  <c r="AL43" i="83"/>
  <c r="C39" i="83"/>
  <c r="O39" i="83" s="1"/>
  <c r="AQ39" i="83"/>
  <c r="BL19" i="83"/>
  <c r="BL29" i="83" s="1"/>
  <c r="BL9" i="83"/>
  <c r="DI40" i="83"/>
  <c r="DI44" i="83" s="1"/>
  <c r="DI47" i="83" s="1"/>
  <c r="DI48" i="83" s="1"/>
  <c r="BW17" i="83"/>
  <c r="K10" i="83"/>
  <c r="AM9" i="83"/>
  <c r="AM18" i="83"/>
  <c r="DE29" i="83"/>
  <c r="DE27" i="83" s="1"/>
  <c r="DE40" i="83" s="1"/>
  <c r="DE44" i="83" s="1"/>
  <c r="DE47" i="83" s="1"/>
  <c r="DE17" i="83"/>
  <c r="BA17" i="83"/>
  <c r="BA28" i="83"/>
  <c r="BA27" i="83" s="1"/>
  <c r="BA40" i="83" s="1"/>
  <c r="BA44" i="83" s="1"/>
  <c r="BA47" i="83" s="1"/>
  <c r="BG19" i="83"/>
  <c r="BS11" i="83"/>
  <c r="BS19" i="83" s="1"/>
  <c r="BS29" i="83" s="1"/>
  <c r="BG9" i="83"/>
  <c r="AO5" i="83"/>
  <c r="AA7" i="83"/>
  <c r="AL19" i="83"/>
  <c r="AL29" i="83" s="1"/>
  <c r="X11" i="83"/>
  <c r="AB5" i="83"/>
  <c r="N7" i="83"/>
  <c r="N5" i="83" s="1"/>
  <c r="S11" i="83"/>
  <c r="AG19" i="83"/>
  <c r="AG29" i="83" s="1"/>
  <c r="O6" i="83"/>
  <c r="N41" i="83"/>
  <c r="N43" i="83" s="1"/>
  <c r="AP43" i="83"/>
  <c r="AI19" i="83"/>
  <c r="AI29" i="83" s="1"/>
  <c r="U11" i="83"/>
  <c r="AE17" i="83"/>
  <c r="AE28" i="83"/>
  <c r="AE27" i="83" s="1"/>
  <c r="AE40" i="83" s="1"/>
  <c r="AE44" i="83" s="1"/>
  <c r="AE47" i="83" s="1"/>
  <c r="AG17" i="83"/>
  <c r="AG28" i="83"/>
  <c r="AG27" i="83" s="1"/>
  <c r="AG40" i="83" s="1"/>
  <c r="Q7" i="83"/>
  <c r="AQ7" i="83"/>
  <c r="AQ5" i="83" s="1"/>
  <c r="AE5" i="83"/>
  <c r="W11" i="83"/>
  <c r="AK19" i="83"/>
  <c r="AH28" i="83"/>
  <c r="CM29" i="83"/>
  <c r="CM27" i="83" s="1"/>
  <c r="CM40" i="83" s="1"/>
  <c r="CM44" i="83" s="1"/>
  <c r="CM47" i="83" s="1"/>
  <c r="CM17" i="83"/>
  <c r="AH43" i="83"/>
  <c r="AG9" i="83"/>
  <c r="AF29" i="83"/>
  <c r="BS35" i="83"/>
  <c r="C42" i="83"/>
  <c r="O42" i="83" s="1"/>
  <c r="AQ42" i="83"/>
  <c r="T11" i="83"/>
  <c r="AH19" i="83"/>
  <c r="AH29" i="83" s="1"/>
  <c r="AO43" i="83"/>
  <c r="M41" i="83"/>
  <c r="M43" i="83" s="1"/>
  <c r="AQ36" i="83"/>
  <c r="C36" i="83"/>
  <c r="O36" i="83" s="1"/>
  <c r="Q11" i="83"/>
  <c r="AQ11" i="83"/>
  <c r="AQ19" i="83" s="1"/>
  <c r="AE9" i="83"/>
  <c r="AE19" i="83"/>
  <c r="AE29" i="83" s="1"/>
  <c r="R9" i="83"/>
  <c r="R19" i="83"/>
  <c r="D11" i="83"/>
  <c r="D19" i="83" s="1"/>
  <c r="R23" i="83"/>
  <c r="D23" i="83" s="1"/>
  <c r="AE21" i="83"/>
  <c r="AQ23" i="83"/>
  <c r="AO19" i="83"/>
  <c r="AO29" i="83" s="1"/>
  <c r="AA11" i="83"/>
  <c r="BE9" i="83"/>
  <c r="BE18" i="83"/>
  <c r="BH29" i="83"/>
  <c r="BH27" i="83" s="1"/>
  <c r="BH40" i="83" s="1"/>
  <c r="BH44" i="83" s="1"/>
  <c r="BH47" i="83" s="1"/>
  <c r="BH17" i="83"/>
  <c r="D22" i="83"/>
  <c r="AF21" i="83"/>
  <c r="AQ22" i="83"/>
  <c r="O14" i="83"/>
  <c r="C13" i="83"/>
  <c r="C18" i="83"/>
  <c r="AQ38" i="83"/>
  <c r="C38" i="83"/>
  <c r="O38" i="83" s="1"/>
  <c r="CR29" i="83"/>
  <c r="CR27" i="83" s="1"/>
  <c r="CR40" i="83" s="1"/>
  <c r="CR44" i="83" s="1"/>
  <c r="CR47" i="83" s="1"/>
  <c r="CR17" i="83"/>
  <c r="C45" i="83"/>
  <c r="O45" i="83" s="1"/>
  <c r="AQ45" i="83"/>
  <c r="DH29" i="83"/>
  <c r="DH27" i="83" s="1"/>
  <c r="DH40" i="83" s="1"/>
  <c r="DH44" i="83" s="1"/>
  <c r="DH47" i="83" s="1"/>
  <c r="DH17" i="83"/>
  <c r="AQ13" i="83"/>
  <c r="C41" i="83"/>
  <c r="AE43" i="83"/>
  <c r="AQ41" i="83"/>
  <c r="J18" i="83"/>
  <c r="AL28" i="83"/>
  <c r="AQ37" i="83"/>
  <c r="C37" i="83"/>
  <c r="O37" i="83" s="1"/>
  <c r="BS38" i="83"/>
  <c r="AP5" i="83"/>
  <c r="L41" i="83"/>
  <c r="L43" i="83" s="1"/>
  <c r="AN43" i="83"/>
  <c r="O16" i="83"/>
  <c r="DW40" i="83"/>
  <c r="DW44" i="83" s="1"/>
  <c r="DW47" i="83" s="1"/>
  <c r="DW48" i="83" s="1"/>
  <c r="EK17" i="83"/>
  <c r="EK28" i="83"/>
  <c r="EK27" i="83" s="1"/>
  <c r="EK40" i="83" s="1"/>
  <c r="EK44" i="83" s="1"/>
  <c r="EK47" i="83" s="1"/>
  <c r="G18" i="83"/>
  <c r="BP28" i="83"/>
  <c r="BP27" i="83" s="1"/>
  <c r="BP40" i="83" s="1"/>
  <c r="BP44" i="83" s="1"/>
  <c r="BP47" i="83" s="1"/>
  <c r="BP17" i="83"/>
  <c r="AQ10" i="83"/>
  <c r="D10" i="83"/>
  <c r="AF9" i="83"/>
  <c r="AF18" i="83"/>
  <c r="G7" i="83"/>
  <c r="G5" i="83" s="1"/>
  <c r="U5" i="83"/>
  <c r="AQ35" i="83"/>
  <c r="AQ46" i="83"/>
  <c r="BM27" i="83"/>
  <c r="BM40" i="83" s="1"/>
  <c r="BM44" i="83" s="1"/>
  <c r="BM47" i="83" s="1"/>
  <c r="O31" i="83"/>
  <c r="AN9" i="83"/>
  <c r="AN19" i="83"/>
  <c r="Z11" i="83"/>
  <c r="O35" i="83"/>
  <c r="BG21" i="83"/>
  <c r="H7" i="83"/>
  <c r="H5" i="83" s="1"/>
  <c r="V5" i="83"/>
  <c r="AI28" i="83"/>
  <c r="AI27" i="83" s="1"/>
  <c r="AI40" i="83" s="1"/>
  <c r="AI44" i="83" s="1"/>
  <c r="AI47" i="83" s="1"/>
  <c r="AI17" i="83"/>
  <c r="AM43" i="83"/>
  <c r="K41" i="83"/>
  <c r="K43" i="83" s="1"/>
  <c r="BS7" i="83"/>
  <c r="BS5" i="83" s="1"/>
  <c r="BG5" i="83"/>
  <c r="AG43" i="83"/>
  <c r="E41" i="83"/>
  <c r="E43" i="83" s="1"/>
  <c r="E13" i="83"/>
  <c r="BI29" i="83"/>
  <c r="BI27" i="83" s="1"/>
  <c r="BI40" i="83" s="1"/>
  <c r="BI44" i="83" s="1"/>
  <c r="BI47" i="83" s="1"/>
  <c r="BI17" i="83"/>
  <c r="BK28" i="83"/>
  <c r="BK27" i="83" s="1"/>
  <c r="BK40" i="83" s="1"/>
  <c r="BK44" i="83" s="1"/>
  <c r="BK47" i="83" s="1"/>
  <c r="BK17" i="83"/>
  <c r="G41" i="83"/>
  <c r="G43" i="83" s="1"/>
  <c r="AI43" i="83"/>
  <c r="AM21" i="83"/>
  <c r="K22" i="83"/>
  <c r="BQ19" i="83"/>
  <c r="BQ9" i="83"/>
  <c r="I18" i="83"/>
  <c r="BJ29" i="83"/>
  <c r="BJ27" i="83" s="1"/>
  <c r="BJ40" i="83" s="1"/>
  <c r="BJ44" i="83" s="1"/>
  <c r="BJ47" i="83" s="1"/>
  <c r="BJ17" i="83"/>
  <c r="AM19" i="83"/>
  <c r="AM29" i="83" s="1"/>
  <c r="Y11" i="83"/>
  <c r="DW43" i="83"/>
  <c r="BS31" i="83"/>
  <c r="N13" i="83"/>
  <c r="AJ19" i="83"/>
  <c r="AJ29" i="83" s="1"/>
  <c r="V11" i="83"/>
  <c r="BR29" i="83"/>
  <c r="BU29" i="83"/>
  <c r="BU27" i="83" s="1"/>
  <c r="BU40" i="83" s="1"/>
  <c r="BU44" i="83" s="1"/>
  <c r="BU47" i="83" s="1"/>
  <c r="BU17" i="83"/>
  <c r="AT17" i="83"/>
  <c r="AT28" i="83"/>
  <c r="AT27" i="83" s="1"/>
  <c r="AT40" i="83" s="1"/>
  <c r="AT44" i="83" s="1"/>
  <c r="AT47" i="83" s="1"/>
  <c r="CG29" i="83"/>
  <c r="CG27" i="83" s="1"/>
  <c r="CG40" i="83" s="1"/>
  <c r="CG44" i="83" s="1"/>
  <c r="CG47" i="83" s="1"/>
  <c r="CG48" i="83" s="1"/>
  <c r="O12" i="83"/>
  <c r="H18" i="83"/>
  <c r="AI9" i="83"/>
  <c r="H41" i="83"/>
  <c r="H43" i="83" s="1"/>
  <c r="AJ43" i="83"/>
  <c r="AO21" i="83"/>
  <c r="M22" i="83"/>
  <c r="BK29" i="83"/>
  <c r="M10" i="83"/>
  <c r="AO9" i="83"/>
  <c r="AO18" i="83"/>
  <c r="BC28" i="83"/>
  <c r="BC27" i="83" s="1"/>
  <c r="BC40" i="83" s="1"/>
  <c r="BC44" i="83" s="1"/>
  <c r="BC47" i="83" s="1"/>
  <c r="BC17" i="83"/>
  <c r="BS9" i="83"/>
  <c r="BS18" i="83"/>
  <c r="BO17" i="83"/>
  <c r="BO28" i="83"/>
  <c r="BO27" i="83" s="1"/>
  <c r="BO40" i="83" s="1"/>
  <c r="BO44" i="83" s="1"/>
  <c r="BO47" i="83" s="1"/>
  <c r="BP9" i="83"/>
  <c r="AN5" i="83"/>
  <c r="Z7" i="83"/>
  <c r="BN28" i="83"/>
  <c r="BN17" i="83"/>
  <c r="BN21" i="83"/>
  <c r="BN29" i="83"/>
  <c r="BR28" i="83"/>
  <c r="BR27" i="83" s="1"/>
  <c r="BR40" i="83" s="1"/>
  <c r="BR44" i="83" s="1"/>
  <c r="BR47" i="83" s="1"/>
  <c r="BR17" i="83"/>
  <c r="AJ17" i="83"/>
  <c r="AJ28" i="83"/>
  <c r="AJ27" i="83" s="1"/>
  <c r="AJ40" i="83" s="1"/>
  <c r="AJ44" i="83" s="1"/>
  <c r="AJ47" i="83" s="1"/>
  <c r="DC29" i="83"/>
  <c r="DC27" i="83" s="1"/>
  <c r="DC40" i="83" s="1"/>
  <c r="DC44" i="83" s="1"/>
  <c r="DC47" i="83" s="1"/>
  <c r="DC17" i="83"/>
  <c r="E7" i="83"/>
  <c r="E5" i="83" s="1"/>
  <c r="S5" i="83"/>
  <c r="DG17" i="83"/>
  <c r="K52" i="88" l="1"/>
  <c r="K49" i="88"/>
  <c r="J52" i="88"/>
  <c r="J49" i="88"/>
  <c r="H41" i="88"/>
  <c r="H45" i="88" s="1"/>
  <c r="H48" i="88" s="1"/>
  <c r="H31" i="88"/>
  <c r="V41" i="88"/>
  <c r="V45" i="88" s="1"/>
  <c r="V48" i="88" s="1"/>
  <c r="V31" i="88"/>
  <c r="G41" i="88"/>
  <c r="O27" i="88"/>
  <c r="S27" i="88" s="1"/>
  <c r="L17" i="88"/>
  <c r="P17" i="88" s="1"/>
  <c r="E41" i="88"/>
  <c r="M27" i="88"/>
  <c r="Q27" i="88" s="1"/>
  <c r="D27" i="88"/>
  <c r="D31" i="88" s="1"/>
  <c r="L31" i="88" s="1"/>
  <c r="L28" i="88"/>
  <c r="P28" i="88" s="1"/>
  <c r="F45" i="88"/>
  <c r="N41" i="88"/>
  <c r="R41" i="88" s="1"/>
  <c r="W26" i="83"/>
  <c r="Y23" i="83"/>
  <c r="K23" i="83" s="1"/>
  <c r="Y19" i="83"/>
  <c r="Y9" i="83"/>
  <c r="K11" i="83"/>
  <c r="K19" i="83" s="1"/>
  <c r="K29" i="83" s="1"/>
  <c r="O20" i="83"/>
  <c r="O30" i="83" s="1"/>
  <c r="AK29" i="83"/>
  <c r="X26" i="83" s="1"/>
  <c r="AK17" i="83"/>
  <c r="K18" i="83"/>
  <c r="K9" i="83"/>
  <c r="AA23" i="83"/>
  <c r="M23" i="83" s="1"/>
  <c r="M11" i="83"/>
  <c r="M19" i="83" s="1"/>
  <c r="M29" i="83" s="1"/>
  <c r="AA9" i="83"/>
  <c r="AA19" i="83"/>
  <c r="BS28" i="83"/>
  <c r="BS27" i="83" s="1"/>
  <c r="BS40" i="83" s="1"/>
  <c r="BS44" i="83" s="1"/>
  <c r="BS47" i="83" s="1"/>
  <c r="BS17" i="83"/>
  <c r="AL27" i="83"/>
  <c r="AL40" i="83" s="1"/>
  <c r="AL44" i="83" s="1"/>
  <c r="AL47" i="83" s="1"/>
  <c r="AL17" i="83"/>
  <c r="BG29" i="83"/>
  <c r="BG27" i="83" s="1"/>
  <c r="BG40" i="83" s="1"/>
  <c r="BG44" i="83" s="1"/>
  <c r="BG47" i="83" s="1"/>
  <c r="BG17" i="83"/>
  <c r="O13" i="83"/>
  <c r="AQ21" i="83"/>
  <c r="W5" i="83"/>
  <c r="I7" i="83"/>
  <c r="I5" i="83" s="1"/>
  <c r="Y26" i="83"/>
  <c r="AQ43" i="83"/>
  <c r="AQ29" i="83"/>
  <c r="Z5" i="83"/>
  <c r="L7" i="83"/>
  <c r="L5" i="83" s="1"/>
  <c r="E11" i="83"/>
  <c r="S19" i="83"/>
  <c r="S9" i="83"/>
  <c r="S23" i="83"/>
  <c r="E23" i="83" s="1"/>
  <c r="T9" i="83"/>
  <c r="T19" i="83"/>
  <c r="F11" i="83"/>
  <c r="T23" i="83"/>
  <c r="F23" i="83" s="1"/>
  <c r="X19" i="83"/>
  <c r="X23" i="83"/>
  <c r="J23" i="83" s="1"/>
  <c r="X9" i="83"/>
  <c r="J11" i="83"/>
  <c r="Q5" i="83"/>
  <c r="AC7" i="83"/>
  <c r="AC5" i="83" s="1"/>
  <c r="C7" i="83"/>
  <c r="AG44" i="83"/>
  <c r="AG47" i="83" s="1"/>
  <c r="AF28" i="83"/>
  <c r="AF27" i="83" s="1"/>
  <c r="AF40" i="83" s="1"/>
  <c r="AF44" i="83" s="1"/>
  <c r="AF47" i="83" s="1"/>
  <c r="AF17" i="83"/>
  <c r="CU29" i="83"/>
  <c r="CU27" i="83" s="1"/>
  <c r="CU40" i="83" s="1"/>
  <c r="CU44" i="83" s="1"/>
  <c r="CU47" i="83" s="1"/>
  <c r="CU48" i="83" s="1"/>
  <c r="CU17" i="83"/>
  <c r="D18" i="83"/>
  <c r="D9" i="83"/>
  <c r="O10" i="83"/>
  <c r="R17" i="83"/>
  <c r="R29" i="83"/>
  <c r="U19" i="83"/>
  <c r="G11" i="83"/>
  <c r="U23" i="83"/>
  <c r="G23" i="83" s="1"/>
  <c r="U9" i="83"/>
  <c r="R26" i="83"/>
  <c r="Q26" i="83"/>
  <c r="S26" i="83"/>
  <c r="T26" i="83"/>
  <c r="M18" i="83"/>
  <c r="Z23" i="83"/>
  <c r="L23" i="83" s="1"/>
  <c r="Z19" i="83"/>
  <c r="Z9" i="83"/>
  <c r="L11" i="83"/>
  <c r="C11" i="83"/>
  <c r="Q9" i="83"/>
  <c r="AC11" i="83"/>
  <c r="Q19" i="83"/>
  <c r="Q23" i="83"/>
  <c r="BE28" i="83"/>
  <c r="BE27" i="83" s="1"/>
  <c r="BE40" i="83" s="1"/>
  <c r="BE44" i="83" s="1"/>
  <c r="BE47" i="83" s="1"/>
  <c r="BE17" i="83"/>
  <c r="W23" i="83"/>
  <c r="I23" i="83" s="1"/>
  <c r="W19" i="83"/>
  <c r="I11" i="83"/>
  <c r="W9" i="83"/>
  <c r="AA26" i="83"/>
  <c r="M7" i="83"/>
  <c r="M5" i="83" s="1"/>
  <c r="AA5" i="83"/>
  <c r="BQ29" i="83"/>
  <c r="BQ27" i="83" s="1"/>
  <c r="BQ40" i="83" s="1"/>
  <c r="BQ44" i="83" s="1"/>
  <c r="BQ47" i="83" s="1"/>
  <c r="BQ17" i="83"/>
  <c r="D29" i="83"/>
  <c r="U26" i="83"/>
  <c r="AO28" i="83"/>
  <c r="AO27" i="83" s="1"/>
  <c r="AO40" i="83" s="1"/>
  <c r="AO44" i="83" s="1"/>
  <c r="AO47" i="83" s="1"/>
  <c r="AO17" i="83"/>
  <c r="AQ18" i="83"/>
  <c r="AQ9" i="83"/>
  <c r="V19" i="83"/>
  <c r="V9" i="83"/>
  <c r="V23" i="83"/>
  <c r="H23" i="83" s="1"/>
  <c r="H11" i="83"/>
  <c r="O22" i="83"/>
  <c r="AB19" i="83"/>
  <c r="AB23" i="83"/>
  <c r="N23" i="83" s="1"/>
  <c r="N11" i="83"/>
  <c r="AB9" i="83"/>
  <c r="AN29" i="83"/>
  <c r="AN27" i="83" s="1"/>
  <c r="AN40" i="83" s="1"/>
  <c r="AN44" i="83" s="1"/>
  <c r="AN47" i="83" s="1"/>
  <c r="AN17" i="83"/>
  <c r="O41" i="83"/>
  <c r="O43" i="83" s="1"/>
  <c r="C43" i="83"/>
  <c r="AH17" i="83"/>
  <c r="BN27" i="83"/>
  <c r="BN40" i="83" s="1"/>
  <c r="BN44" i="83" s="1"/>
  <c r="BN47" i="83" s="1"/>
  <c r="AH27" i="83"/>
  <c r="AH40" i="83" s="1"/>
  <c r="AH44" i="83" s="1"/>
  <c r="AH47" i="83" s="1"/>
  <c r="V26" i="83"/>
  <c r="AM17" i="83"/>
  <c r="AM28" i="83"/>
  <c r="AM27" i="83" s="1"/>
  <c r="AM40" i="83" s="1"/>
  <c r="AM44" i="83" s="1"/>
  <c r="AM47" i="83" s="1"/>
  <c r="AP29" i="83"/>
  <c r="AP27" i="83" s="1"/>
  <c r="AP40" i="83" s="1"/>
  <c r="AP44" i="83" s="1"/>
  <c r="AP47" i="83" s="1"/>
  <c r="AP17" i="83"/>
  <c r="V49" i="88" l="1"/>
  <c r="V52" i="88"/>
  <c r="H52" i="88"/>
  <c r="H49" i="88"/>
  <c r="F48" i="88"/>
  <c r="F49" i="88" s="1"/>
  <c r="N45" i="88"/>
  <c r="R45" i="88" s="1"/>
  <c r="D41" i="88"/>
  <c r="L27" i="88"/>
  <c r="P27" i="88" s="1"/>
  <c r="E45" i="88"/>
  <c r="M41" i="88"/>
  <c r="Q41" i="88" s="1"/>
  <c r="G45" i="88"/>
  <c r="O41" i="88"/>
  <c r="S41" i="88" s="1"/>
  <c r="Y25" i="83"/>
  <c r="J26" i="83"/>
  <c r="Q29" i="83"/>
  <c r="Q17" i="83"/>
  <c r="AC9" i="83"/>
  <c r="AC19" i="83"/>
  <c r="U29" i="83"/>
  <c r="U17" i="83"/>
  <c r="T29" i="83"/>
  <c r="T17" i="83"/>
  <c r="K17" i="83"/>
  <c r="AB26" i="83"/>
  <c r="M17" i="83"/>
  <c r="U25" i="83"/>
  <c r="F26" i="83"/>
  <c r="W29" i="83"/>
  <c r="W17" i="83"/>
  <c r="C26" i="83"/>
  <c r="R25" i="83"/>
  <c r="Q21" i="83"/>
  <c r="Q28" i="83"/>
  <c r="Q27" i="83" s="1"/>
  <c r="Q40" i="83" s="1"/>
  <c r="Q44" i="83" s="1"/>
  <c r="Q47" i="83" s="1"/>
  <c r="I26" i="83"/>
  <c r="X25" i="83"/>
  <c r="J19" i="83"/>
  <c r="J9" i="83"/>
  <c r="G26" i="83"/>
  <c r="V25" i="83"/>
  <c r="G19" i="83"/>
  <c r="G9" i="83"/>
  <c r="AA29" i="83"/>
  <c r="AA17" i="83"/>
  <c r="C19" i="83"/>
  <c r="O11" i="83"/>
  <c r="O19" i="83" s="1"/>
  <c r="O29" i="83" s="1"/>
  <c r="C9" i="83"/>
  <c r="O18" i="83"/>
  <c r="F19" i="83"/>
  <c r="F9" i="83"/>
  <c r="W25" i="83"/>
  <c r="H26" i="83"/>
  <c r="M26" i="83"/>
  <c r="AB25" i="83"/>
  <c r="Z26" i="83"/>
  <c r="AK27" i="83"/>
  <c r="AK40" i="83" s="1"/>
  <c r="AK44" i="83" s="1"/>
  <c r="AK47" i="83" s="1"/>
  <c r="S25" i="83"/>
  <c r="D26" i="83"/>
  <c r="N19" i="83"/>
  <c r="N9" i="83"/>
  <c r="AB29" i="83"/>
  <c r="AB17" i="83"/>
  <c r="Z25" i="83"/>
  <c r="K26" i="83"/>
  <c r="L19" i="83"/>
  <c r="L9" i="83"/>
  <c r="X29" i="83"/>
  <c r="X17" i="83"/>
  <c r="Z29" i="83"/>
  <c r="Z17" i="83"/>
  <c r="H19" i="83"/>
  <c r="H9" i="83"/>
  <c r="M9" i="83"/>
  <c r="D17" i="83"/>
  <c r="V29" i="83"/>
  <c r="V17" i="83"/>
  <c r="I19" i="83"/>
  <c r="I9" i="83"/>
  <c r="T25" i="83"/>
  <c r="E26" i="83"/>
  <c r="AQ28" i="83"/>
  <c r="AQ27" i="83" s="1"/>
  <c r="AQ40" i="83" s="1"/>
  <c r="AQ44" i="83" s="1"/>
  <c r="AQ47" i="83" s="1"/>
  <c r="AQ17" i="83"/>
  <c r="S29" i="83"/>
  <c r="S17" i="83"/>
  <c r="O7" i="83"/>
  <c r="O5" i="83" s="1"/>
  <c r="C5" i="83"/>
  <c r="E19" i="83"/>
  <c r="E9" i="83"/>
  <c r="Y29" i="83"/>
  <c r="Y17" i="83"/>
  <c r="C23" i="83"/>
  <c r="O23" i="83" s="1"/>
  <c r="AC23" i="83"/>
  <c r="BS48" i="83"/>
  <c r="G48" i="88" l="1"/>
  <c r="G49" i="88" s="1"/>
  <c r="O45" i="88"/>
  <c r="S45" i="88" s="1"/>
  <c r="E48" i="88"/>
  <c r="E49" i="88" s="1"/>
  <c r="M45" i="88"/>
  <c r="Q45" i="88" s="1"/>
  <c r="D45" i="88"/>
  <c r="L41" i="88"/>
  <c r="P41" i="88" s="1"/>
  <c r="F52" i="88"/>
  <c r="N48" i="88"/>
  <c r="R48" i="88" s="1"/>
  <c r="J29" i="83"/>
  <c r="J17" i="83"/>
  <c r="E29" i="83"/>
  <c r="E17" i="83"/>
  <c r="H25" i="83"/>
  <c r="V21" i="83"/>
  <c r="V28" i="83"/>
  <c r="V27" i="83" s="1"/>
  <c r="V40" i="83" s="1"/>
  <c r="V44" i="83" s="1"/>
  <c r="V47" i="83" s="1"/>
  <c r="F25" i="83"/>
  <c r="T21" i="83"/>
  <c r="T28" i="83"/>
  <c r="T27" i="83" s="1"/>
  <c r="T40" i="83" s="1"/>
  <c r="T44" i="83" s="1"/>
  <c r="T47" i="83" s="1"/>
  <c r="AC29" i="83"/>
  <c r="AC17" i="83"/>
  <c r="L25" i="83"/>
  <c r="Z21" i="83"/>
  <c r="Z28" i="83"/>
  <c r="Z27" i="83" s="1"/>
  <c r="Z40" i="83" s="1"/>
  <c r="Z44" i="83" s="1"/>
  <c r="Z47" i="83" s="1"/>
  <c r="O9" i="83"/>
  <c r="R21" i="83"/>
  <c r="D25" i="83"/>
  <c r="R28" i="83"/>
  <c r="R27" i="83" s="1"/>
  <c r="R40" i="83" s="1"/>
  <c r="R44" i="83" s="1"/>
  <c r="R47" i="83" s="1"/>
  <c r="U21" i="83"/>
  <c r="G25" i="83"/>
  <c r="U28" i="83"/>
  <c r="U27" i="83" s="1"/>
  <c r="U40" i="83" s="1"/>
  <c r="U44" i="83" s="1"/>
  <c r="U47" i="83" s="1"/>
  <c r="N26" i="83"/>
  <c r="O26" i="83" s="1"/>
  <c r="AC26" i="83"/>
  <c r="E25" i="83"/>
  <c r="S21" i="83"/>
  <c r="S28" i="83"/>
  <c r="S27" i="83" s="1"/>
  <c r="S40" i="83" s="1"/>
  <c r="S44" i="83" s="1"/>
  <c r="S47" i="83" s="1"/>
  <c r="L26" i="83"/>
  <c r="AA25" i="83"/>
  <c r="H29" i="83"/>
  <c r="H17" i="83"/>
  <c r="N25" i="83"/>
  <c r="AB21" i="83"/>
  <c r="AB28" i="83"/>
  <c r="AB27" i="83" s="1"/>
  <c r="AB40" i="83" s="1"/>
  <c r="AB44" i="83" s="1"/>
  <c r="AB47" i="83" s="1"/>
  <c r="I25" i="83"/>
  <c r="W21" i="83"/>
  <c r="W28" i="83"/>
  <c r="W27" i="83" s="1"/>
  <c r="W40" i="83" s="1"/>
  <c r="W44" i="83" s="1"/>
  <c r="W47" i="83" s="1"/>
  <c r="X21" i="83"/>
  <c r="J25" i="83"/>
  <c r="X28" i="83"/>
  <c r="X27" i="83" s="1"/>
  <c r="X40" i="83" s="1"/>
  <c r="X44" i="83" s="1"/>
  <c r="X47" i="83" s="1"/>
  <c r="F29" i="83"/>
  <c r="F17" i="83"/>
  <c r="O17" i="83"/>
  <c r="I29" i="83"/>
  <c r="I17" i="83"/>
  <c r="C21" i="83"/>
  <c r="C28" i="83"/>
  <c r="C27" i="83" s="1"/>
  <c r="C40" i="83" s="1"/>
  <c r="C44" i="83" s="1"/>
  <c r="C47" i="83" s="1"/>
  <c r="C29" i="83"/>
  <c r="C17" i="83"/>
  <c r="G29" i="83"/>
  <c r="G17" i="83"/>
  <c r="L29" i="83"/>
  <c r="L17" i="83"/>
  <c r="N29" i="83"/>
  <c r="N17" i="83"/>
  <c r="K25" i="83"/>
  <c r="Y21" i="83"/>
  <c r="Y28" i="83"/>
  <c r="Y27" i="83" s="1"/>
  <c r="Y40" i="83" s="1"/>
  <c r="Y44" i="83" s="1"/>
  <c r="Y47" i="83" s="1"/>
  <c r="O21" i="83" l="1"/>
  <c r="U26" i="88"/>
  <c r="D48" i="88"/>
  <c r="D49" i="88" s="1"/>
  <c r="L45" i="88"/>
  <c r="P45" i="88" s="1"/>
  <c r="M48" i="88"/>
  <c r="Q48" i="88" s="1"/>
  <c r="E52" i="88"/>
  <c r="G52" i="88"/>
  <c r="O48" i="88"/>
  <c r="S48" i="88" s="1"/>
  <c r="O28" i="83"/>
  <c r="O27" i="83" s="1"/>
  <c r="O40" i="83" s="1"/>
  <c r="O44" i="83" s="1"/>
  <c r="O47" i="83" s="1"/>
  <c r="AA21" i="83"/>
  <c r="M25" i="83"/>
  <c r="AA28" i="83"/>
  <c r="AA27" i="83" s="1"/>
  <c r="AA40" i="83" s="1"/>
  <c r="AA44" i="83" s="1"/>
  <c r="AA47" i="83" s="1"/>
  <c r="L21" i="83"/>
  <c r="L28" i="83"/>
  <c r="L27" i="83" s="1"/>
  <c r="L40" i="83" s="1"/>
  <c r="L44" i="83" s="1"/>
  <c r="L47" i="83" s="1"/>
  <c r="K21" i="83"/>
  <c r="K28" i="83"/>
  <c r="K27" i="83" s="1"/>
  <c r="K40" i="83" s="1"/>
  <c r="K44" i="83" s="1"/>
  <c r="K47" i="83" s="1"/>
  <c r="E21" i="83"/>
  <c r="E28" i="83"/>
  <c r="E27" i="83" s="1"/>
  <c r="E40" i="83" s="1"/>
  <c r="E44" i="83" s="1"/>
  <c r="E47" i="83" s="1"/>
  <c r="AC21" i="83"/>
  <c r="AC28" i="83"/>
  <c r="AC27" i="83" s="1"/>
  <c r="AC40" i="83" s="1"/>
  <c r="AC44" i="83" s="1"/>
  <c r="AC47" i="83" s="1"/>
  <c r="F21" i="83"/>
  <c r="F28" i="83"/>
  <c r="F27" i="83" s="1"/>
  <c r="F40" i="83" s="1"/>
  <c r="F44" i="83" s="1"/>
  <c r="F47" i="83" s="1"/>
  <c r="J21" i="83"/>
  <c r="J28" i="83"/>
  <c r="J27" i="83" s="1"/>
  <c r="J40" i="83" s="1"/>
  <c r="J44" i="83" s="1"/>
  <c r="J47" i="83" s="1"/>
  <c r="G21" i="83"/>
  <c r="G28" i="83"/>
  <c r="G27" i="83" s="1"/>
  <c r="G40" i="83" s="1"/>
  <c r="G44" i="83" s="1"/>
  <c r="G47" i="83" s="1"/>
  <c r="H21" i="83"/>
  <c r="H28" i="83"/>
  <c r="H27" i="83" s="1"/>
  <c r="H40" i="83" s="1"/>
  <c r="H44" i="83" s="1"/>
  <c r="H47" i="83" s="1"/>
  <c r="N21" i="83"/>
  <c r="N28" i="83"/>
  <c r="N27" i="83" s="1"/>
  <c r="N40" i="83" s="1"/>
  <c r="N44" i="83" s="1"/>
  <c r="N47" i="83" s="1"/>
  <c r="C1" i="83"/>
  <c r="D21" i="83"/>
  <c r="D28" i="83"/>
  <c r="D27" i="83" s="1"/>
  <c r="D40" i="83" s="1"/>
  <c r="D44" i="83" s="1"/>
  <c r="D47" i="83" s="1"/>
  <c r="I21" i="83"/>
  <c r="I28" i="83"/>
  <c r="I27" i="83" s="1"/>
  <c r="I40" i="83" s="1"/>
  <c r="I44" i="83" s="1"/>
  <c r="I47" i="83" s="1"/>
  <c r="W26" i="88" l="1"/>
  <c r="X26" i="88" s="1"/>
  <c r="U21" i="88"/>
  <c r="W21" i="88" s="1"/>
  <c r="X21" i="88" s="1"/>
  <c r="U28" i="88"/>
  <c r="D52" i="88"/>
  <c r="L48" i="88"/>
  <c r="P48" i="88" s="1"/>
  <c r="M21" i="83"/>
  <c r="M28" i="83"/>
  <c r="M27" i="83" s="1"/>
  <c r="M40" i="83" s="1"/>
  <c r="M44" i="83" s="1"/>
  <c r="M47" i="83" s="1"/>
  <c r="O48" i="83" s="1"/>
  <c r="U27" i="88" l="1"/>
  <c r="W28" i="88"/>
  <c r="X28" i="88" s="1"/>
  <c r="BW20" i="30"/>
  <c r="BV20" i="30"/>
  <c r="BU20" i="30"/>
  <c r="BT20" i="30"/>
  <c r="BS20" i="30"/>
  <c r="BR20" i="30"/>
  <c r="BQ20" i="30"/>
  <c r="BP20" i="30"/>
  <c r="BO20" i="30"/>
  <c r="BN20" i="30"/>
  <c r="BM20" i="30"/>
  <c r="BL20" i="30"/>
  <c r="U31" i="88" l="1"/>
  <c r="W31" i="88" s="1"/>
  <c r="U41" i="88"/>
  <c r="W27" i="88"/>
  <c r="X27" i="88" s="1"/>
  <c r="BW19" i="30"/>
  <c r="BV19" i="30"/>
  <c r="BU19" i="30"/>
  <c r="BT19" i="30"/>
  <c r="BS19" i="30"/>
  <c r="BR19" i="30"/>
  <c r="BQ19" i="30"/>
  <c r="BP19" i="30"/>
  <c r="BO19" i="30"/>
  <c r="BN19" i="30"/>
  <c r="BM19" i="30"/>
  <c r="BL19" i="30"/>
  <c r="BW16" i="30"/>
  <c r="BW23" i="30" s="1"/>
  <c r="BV16" i="30"/>
  <c r="BV23" i="30" s="1"/>
  <c r="BL16" i="30"/>
  <c r="BL23" i="30" s="1"/>
  <c r="BW9" i="30"/>
  <c r="BV9" i="30"/>
  <c r="BU9" i="30"/>
  <c r="BU16" i="30" s="1"/>
  <c r="BU23" i="30" s="1"/>
  <c r="BT9" i="30"/>
  <c r="BT16" i="30" s="1"/>
  <c r="BT23" i="30" s="1"/>
  <c r="BS9" i="30"/>
  <c r="BS16" i="30" s="1"/>
  <c r="BS23" i="30" s="1"/>
  <c r="BR9" i="30"/>
  <c r="BR16" i="30" s="1"/>
  <c r="BR23" i="30" s="1"/>
  <c r="BQ9" i="30"/>
  <c r="BQ16" i="30" s="1"/>
  <c r="BP9" i="30"/>
  <c r="BP16" i="30" s="1"/>
  <c r="BO9" i="30"/>
  <c r="BO16" i="30" s="1"/>
  <c r="BN9" i="30"/>
  <c r="BN16" i="30" s="1"/>
  <c r="BM9" i="30"/>
  <c r="BM16" i="30" s="1"/>
  <c r="BL9" i="30"/>
  <c r="U45" i="88" l="1"/>
  <c r="W41" i="88"/>
  <c r="X41" i="88" s="1"/>
  <c r="BP23" i="30"/>
  <c r="BQ23" i="30"/>
  <c r="BM23" i="30"/>
  <c r="BO23" i="30"/>
  <c r="BN23" i="30"/>
  <c r="W45" i="88" l="1"/>
  <c r="X45" i="88" s="1"/>
  <c r="U48" i="88"/>
  <c r="U49" i="88" l="1"/>
  <c r="U52" i="88"/>
  <c r="W48" i="88"/>
  <c r="X48" i="88" s="1"/>
</calcChain>
</file>

<file path=xl/sharedStrings.xml><?xml version="1.0" encoding="utf-8"?>
<sst xmlns="http://schemas.openxmlformats.org/spreadsheetml/2006/main" count="752" uniqueCount="211">
  <si>
    <t>DTR</t>
  </si>
  <si>
    <t>Bán ngoài</t>
  </si>
  <si>
    <t>Mẹ-Con</t>
  </si>
  <si>
    <t>Con-Con</t>
  </si>
  <si>
    <t>URP đầu kỳ</t>
  </si>
  <si>
    <t>URP cuối kỳ</t>
  </si>
  <si>
    <t>URP-DK</t>
  </si>
  <si>
    <t>URP-CK</t>
  </si>
  <si>
    <t>LG-BN</t>
  </si>
  <si>
    <t>LG-MC</t>
  </si>
  <si>
    <t>LG-CC</t>
  </si>
  <si>
    <t>VND</t>
  </si>
  <si>
    <t>1</t>
  </si>
  <si>
    <t>ĐỒNG LÂM</t>
  </si>
  <si>
    <t>KHÁNH NGA</t>
  </si>
  <si>
    <t>Vảy PET</t>
  </si>
  <si>
    <t>ĐẠI LỘC</t>
  </si>
  <si>
    <t>TỔNG</t>
  </si>
  <si>
    <t>Check</t>
  </si>
  <si>
    <t>PHẦN II-KẾT QUẢ HOẠT ĐỘNG KINH DOANH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</si>
  <si>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</si>
  <si>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</si>
  <si>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</si>
  <si>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</si>
  <si>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5.Lợi nhuận gộp về bán hàng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</si>
  <si>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</si>
  <si>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</si>
  <si>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</si>
  <si>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</si>
  <si>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</si>
  <si>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</si>
  <si>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</si>
  <si>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</si>
  <si>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</si>
  <si>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</si>
  <si>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</si>
  <si>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</si>
  <si>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</si>
  <si>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</si>
  <si>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PL</t>
  </si>
  <si>
    <t>Sản lượng (tấn)</t>
  </si>
  <si>
    <t>CTY CP NHỰA TÁI CHẾ DUY TÂN</t>
  </si>
  <si>
    <t>TenCongTyID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</si>
  <si>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</si>
  <si>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</si>
  <si>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</si>
  <si>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</si>
  <si>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</si>
  <si>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</si>
  <si>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</si>
  <si>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</si>
  <si>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</si>
  <si>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</si>
  <si>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</si>
  <si>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</si>
  <si>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Sản lượng (kg)</t>
  </si>
  <si>
    <t>Sản lượng (Tấn)</t>
  </si>
  <si>
    <t>GROUP TÁI CHẾ</t>
  </si>
  <si>
    <t>DTT-BN</t>
  </si>
  <si>
    <t>DTT-MC</t>
  </si>
  <si>
    <t>DTT-CC</t>
  </si>
  <si>
    <t>TL-TSCĐ-BN</t>
  </si>
  <si>
    <t>511-BN</t>
  </si>
  <si>
    <t>521-BN</t>
  </si>
  <si>
    <t>632-BN</t>
  </si>
  <si>
    <t>511-MC</t>
  </si>
  <si>
    <t>521-MC</t>
  </si>
  <si>
    <t>632-MC</t>
  </si>
  <si>
    <t>632-CC</t>
  </si>
  <si>
    <t>TL-TSCĐ-MC</t>
  </si>
  <si>
    <t>TL-TSCĐ-CC</t>
  </si>
  <si>
    <t>511-CC</t>
  </si>
  <si>
    <t>521-CC</t>
  </si>
  <si>
    <t>SL-BN</t>
  </si>
  <si>
    <t>SL-MC</t>
  </si>
  <si>
    <t>SL-CC</t>
  </si>
  <si>
    <t>T1</t>
  </si>
  <si>
    <t>T2</t>
  </si>
  <si>
    <t>MỤC TIÊU KẾT QUẢ KINH DOANH NĂM 2026</t>
  </si>
  <si>
    <t>ĐVT: Triệu đồng</t>
  </si>
  <si>
    <t>STT</t>
  </si>
  <si>
    <t>Mục phí</t>
  </si>
  <si>
    <t>Thực tế năm 2024</t>
  </si>
  <si>
    <t>KQKD 2025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</si>
  <si>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</si>
  <si>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</si>
  <si>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</si>
  <si>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</si>
  <si>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</si>
  <si>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</si>
  <si>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</si>
  <si>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</si>
  <si>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</si>
  <si>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</si>
  <si>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KH 2026</t>
  </si>
  <si>
    <t>SẢN LƯỢNG BÁN (TẤN)</t>
  </si>
  <si>
    <t>1.1</t>
  </si>
  <si>
    <t>Chai PET</t>
  </si>
  <si>
    <t>1.2</t>
  </si>
  <si>
    <t>1.3</t>
  </si>
  <si>
    <t>Vảy HD</t>
  </si>
  <si>
    <t>Dây Đai PET</t>
  </si>
  <si>
    <t xml:space="preserve">DOANH THU </t>
  </si>
  <si>
    <t>2.1</t>
  </si>
  <si>
    <t>2.2</t>
  </si>
  <si>
    <t>2.3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</si>
  <si>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</si>
  <si>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</si>
  <si>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</si>
  <si>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</si>
  <si>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</si>
  <si>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</si>
  <si>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</si>
  <si>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</si>
  <si>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</si>
  <si>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</si>
  <si>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</si>
  <si>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</si>
  <si>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Vật tư tiêu hao(dao băm, dao tách nhãn, bùn, nhãn, dao jumbo, dây đai)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</si>
  <si>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</si>
  <si>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</si>
  <si>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</si>
  <si>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</si>
  <si>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</si>
  <si>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</si>
  <si>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</si>
  <si>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</si>
  <si>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</si>
  <si>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</si>
  <si>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</si>
  <si>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thuê xưởng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</si>
  <si>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</si>
  <si>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</si>
  <si>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</si>
  <si>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</si>
  <si>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</si>
  <si>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</si>
  <si>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</si>
  <si>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</si>
  <si>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</si>
  <si>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</si>
  <si>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Chuyển CP lương Bp MH + An toàn: 627 -&gt; 642</t>
  </si>
  <si>
    <t>Chi phí quản lý (ngoài lương, khấu hao)</t>
  </si>
  <si>
    <t>PS: lương GĐ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</si>
  <si>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</si>
  <si>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</si>
  <si>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</si>
  <si>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</si>
  <si>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</si>
  <si>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</si>
  <si>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</si>
  <si>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</si>
  <si>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</si>
  <si>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</si>
  <si>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</si>
  <si>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</si>
  <si>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</si>
  <si>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1. Hòa vốn (Bao gồm khấu hao)</t>
  </si>
  <si>
    <t>Sản lượng NVL hòa vốn (tấn)</t>
  </si>
  <si>
    <t>Sản lượng thành phẩm hòa vốn (tấn)</t>
  </si>
  <si>
    <t>Doanh thu hòa vốn (triệu đồng)</t>
  </si>
  <si>
    <t>2. Hòa vốn (Không bao gồm khấu hao)</t>
  </si>
  <si>
    <t>KẾ HOẠCH KINH DOANH NĂM 2026</t>
  </si>
  <si>
    <t>Thực tế năm 2023</t>
  </si>
  <si>
    <t>Thực tế năm 2025</t>
  </si>
  <si>
    <t>10/03/2026 DTR</t>
  </si>
  <si>
    <t>SẢN LƯỢNG NVL MUA VÀO (Tấn)</t>
  </si>
  <si>
    <t>3.1</t>
  </si>
  <si>
    <t>Nguyên vật liệu phụ</t>
  </si>
  <si>
    <t>3.2</t>
  </si>
  <si>
    <t>5.1</t>
  </si>
  <si>
    <t>5.2</t>
  </si>
  <si>
    <t>Chi phí thuê MMTB</t>
  </si>
  <si>
    <t>5.3</t>
  </si>
  <si>
    <t>CHI PHÍ KHẤU HAO</t>
  </si>
  <si>
    <t>8.1</t>
  </si>
  <si>
    <t>8.2</t>
  </si>
  <si>
    <t>8.3</t>
  </si>
  <si>
    <t>9.1</t>
  </si>
  <si>
    <t>9.2</t>
  </si>
  <si>
    <t>9.3</t>
  </si>
  <si>
    <t xml:space="preserve">                                                                </t>
  </si>
  <si>
    <t>13.1</t>
  </si>
  <si>
    <t>Kế hoạch 2026</t>
  </si>
  <si>
    <t>Tốc độ tăng các khoản mục</t>
  </si>
  <si>
    <t>KTT xác nhận qua mail</t>
  </si>
  <si>
    <t>Diễn giải tốc độ tăng của các khoản mục</t>
  </si>
  <si>
    <t xml:space="preserve">Theo định hướng của công ty </t>
  </si>
  <si>
    <t>Tăng chi phí lương của Vương Hùng Duy (QLSX) và Hoàng Dương Trọng Hải (Đại điện pháp luật)</t>
  </si>
  <si>
    <t>Chi phí bảo trì, sửa chữa nhà máy</t>
  </si>
  <si>
    <t>HỢP NHẤT</t>
  </si>
  <si>
    <t>ĐIỀU CHỈNH</t>
  </si>
  <si>
    <t>TÂN ĐẠI PHÁT</t>
  </si>
  <si>
    <t>LƯU CÔNG THỨC</t>
  </si>
  <si>
    <t>Phân bổ LG nội bộ</t>
  </si>
  <si>
    <t>3 TRẠM</t>
  </si>
  <si>
    <t>Version Mới</t>
  </si>
  <si>
    <t>Version Cũ</t>
  </si>
  <si>
    <t>+/-</t>
  </si>
  <si>
    <t>%+/-</t>
  </si>
  <si>
    <t>Đồng Lâm</t>
  </si>
  <si>
    <t>Khánh Nga</t>
  </si>
  <si>
    <t>Đại Lộc</t>
  </si>
  <si>
    <t>+/- Đồng Lâm</t>
  </si>
  <si>
    <t>+/- Khánh Nga</t>
  </si>
  <si>
    <t>+/- Đại Lộc</t>
  </si>
  <si>
    <t>%+/- Đồng Lâm</t>
  </si>
  <si>
    <t>%+/- Khánh Nga</t>
  </si>
  <si>
    <t>%+/- Đại Lộc</t>
  </si>
  <si>
    <t>%LG</t>
  </si>
  <si>
    <t>%LNST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</si>
</sst>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  <numFmt numFmtId="166" formatCode="_(* #,##0.0_);_(* \(#,##0.0\);_(* &quot;-&quot;??_);_(@_)"/>
    <numFmt numFmtId="167" formatCode="_-* #,##0.00_-;\-* #,##0.00_-;_-* &quot;-&quot;??_-;_-@_-"/>
    <numFmt numFmtId="168" formatCode="0.0%"/>
    <numFmt numFmtId="169" formatCode="#,###,,;\(#,###,,\)"/>
    <numFmt numFmtId="170" formatCode="#,###,,"/>
    <numFmt numFmtId="171" formatCode="#,###,;\(#,###,\)"/>
    <numFmt numFmtId="172" formatCode="#,###,"/>
    <numFmt numFmtId="173" formatCode="\ \ @"/>
    <numFmt numFmtId="174" formatCode="0%;\(0%\)"/>
    <numFmt numFmtId="175" formatCode="0.0%;\(0.0%\)"/>
    <numFmt numFmtId="176" formatCode="_-* #,##0_-;\-* #,##0_-;_-* &quot;-&quot;??_-;_-@_-"/>
    <numFmt numFmtId="177" formatCode="_(* #,##0.000_);_(* \(#,##0.000\);_(* &quot;-&quot;??_);_(@_)"/>
    <numFmt numFmtId="178" formatCode="0_);\(0\)"/>
    <numFmt numFmtId="179" formatCode="0\ &quot;tháng&quot;"/>
    <numFmt numFmtId="180" formatCode="_(* #,##0_);_(* \(#,##0\);;_(@_)"/>
    <numFmt numFmtId="181" formatCode="0.0%;\-0.0%;;"/>
  </numFmts>
  <fonts count="56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name val="Arial"/>
      <family val="2"/>
    </font>
    <font>
      <sz val="11"/>
      <color theme="1"/>
      <name val="Aptos Narrow"/>
      <family val="2"/>
      <charset val="163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theme="0"/>
      <name val="Arial"/>
      <family val="2"/>
    </font>
    <font>
      <b/>
      <sz val="11"/>
      <color rgb="FF0000FF"/>
      <name val="Times New Roman"/>
      <family val="1"/>
    </font>
    <font>
      <b/>
      <sz val="11"/>
      <color indexed="12"/>
      <name val="Times New Roman"/>
      <family val="1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indexed="12"/>
      <name val="Arial"/>
      <family val="2"/>
    </font>
    <font>
      <sz val="11"/>
      <color indexed="8"/>
      <name val="Times New Roman"/>
      <family val="1"/>
    </font>
    <font>
      <sz val="10"/>
      <name val="VNI-Times"/>
    </font>
    <font>
      <b/>
      <sz val="12"/>
      <color rgb="FF0000FF"/>
      <name val="Times New Roman"/>
      <family val="1"/>
    </font>
    <font>
      <sz val="11"/>
      <name val="Times New Roman"/>
      <family val="1"/>
    </font>
    <font>
      <b/>
      <sz val="11"/>
      <color rgb="FFFF0000"/>
      <name val="Arial"/>
      <family val="2"/>
      <charset val="163"/>
    </font>
    <font>
      <b/>
      <sz val="13"/>
      <color theme="0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rgb="FFFF0000"/>
      <name val="Times New Roman"/>
      <family val="1"/>
    </font>
    <font>
      <sz val="10"/>
      <name val="Times New Roman"/>
      <family val="1"/>
    </font>
    <font>
      <i/>
      <sz val="11"/>
      <color rgb="FF00B0F0"/>
      <name val="Times New Roman"/>
      <family val="1"/>
    </font>
    <font>
      <b/>
      <sz val="14"/>
      <color rgb="FFFF0000"/>
      <name val="Times New Roman"/>
      <family val="1"/>
    </font>
    <font>
      <b/>
      <sz val="11"/>
      <color rgb="FF0000FF"/>
      <name val="Times New Roman"/>
      <family val="1"/>
      <charset val="163"/>
    </font>
    <font>
      <b/>
      <u/>
      <sz val="11"/>
      <color rgb="FFFF0000"/>
      <name val="Times New Roman"/>
      <family val="1"/>
      <charset val="163"/>
    </font>
    <font>
      <sz val="11"/>
      <color indexed="12"/>
      <name val="Times New Roman"/>
      <family val="1"/>
    </font>
    <font>
      <sz val="11"/>
      <color rgb="FF0000FF"/>
      <name val="Times New Roman"/>
      <family val="1"/>
    </font>
    <font>
      <sz val="11"/>
      <color theme="5"/>
      <name val="Times New Roman"/>
      <family val="1"/>
    </font>
    <font>
      <b/>
      <sz val="11"/>
      <color theme="1"/>
      <name val="Times New Roman"/>
      <family val="1"/>
    </font>
    <font>
      <b/>
      <sz val="13"/>
      <color rgb="FF0000FF"/>
      <name val="Times New Roman"/>
      <family val="1"/>
    </font>
    <font>
      <b/>
      <sz val="13"/>
      <color indexed="12"/>
      <name val="Times New Roman"/>
      <family val="1"/>
    </font>
    <font>
      <sz val="13"/>
      <color theme="1"/>
      <name val="Times New Roman"/>
      <family val="1"/>
    </font>
    <font>
      <sz val="10"/>
      <color rgb="FF0000FF"/>
      <name val="Arial"/>
      <family val="2"/>
    </font>
    <font>
      <sz val="11"/>
      <color theme="3"/>
      <name val="Times New Roman"/>
      <family val="1"/>
    </font>
    <font>
      <sz val="11"/>
      <color rgb="FF00B0F0"/>
      <name val="Times New Roman"/>
      <family val="1"/>
    </font>
    <font>
      <sz val="11"/>
      <color rgb="FFFF0000"/>
      <name val="Times New Roman"/>
      <family val="1"/>
    </font>
    <font>
      <sz val="12"/>
      <name val="Aptos Narrow"/>
      <family val="2"/>
      <scheme val="minor"/>
    </font>
    <font>
      <sz val="10"/>
      <color rgb="FF0000CC"/>
      <name val="Arial"/>
      <family val="2"/>
    </font>
    <font>
      <b/>
      <sz val="12"/>
      <color rgb="FF00B050"/>
      <name val="Arial"/>
      <family val="2"/>
    </font>
    <font>
      <sz val="10"/>
      <color theme="1"/>
      <name val="segoe UI"/>
      <family val="2"/>
      <charset val="163"/>
    </font>
    <font>
      <i/>
      <sz val="10"/>
      <color rgb="FF0000FF"/>
      <name val="Arial"/>
      <family val="2"/>
    </font>
    <font>
      <i/>
      <sz val="10"/>
      <color rgb="FF00B05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rgb="FF00B050"/>
      <name val="Arial"/>
      <family val="2"/>
    </font>
    <font>
      <b/>
      <sz val="12"/>
      <color rgb="FFFF33CC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Times New Roman"/>
      <family val="1"/>
    </font>
    <font>
      <b/>
      <sz val="10"/>
      <color rgb="FF0000FF"/>
      <name val="Times New Roman"/>
      <family val="1"/>
    </font>
    <font>
      <sz val="10"/>
      <color indexed="8"/>
      <name val="Times New Roman"/>
      <family val="1"/>
    </font>
    <font>
      <b/>
      <sz val="10"/>
      <color rgb="FFFF0000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33CC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61">
    <border>
      <left/>
      <right/>
      <top/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/>
      <right/>
      <top/>
      <bottom style="thin">
        <color theme="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C00000"/>
      </left>
      <right/>
      <top style="thick">
        <color rgb="FFC00000"/>
      </top>
      <bottom style="thin">
        <color theme="0"/>
      </bottom>
      <diagonal/>
    </border>
    <border>
      <left/>
      <right/>
      <top style="thick">
        <color rgb="FFC00000"/>
      </top>
      <bottom style="thin">
        <color theme="0"/>
      </bottom>
      <diagonal/>
    </border>
    <border>
      <left/>
      <right style="thick">
        <color rgb="FFC00000"/>
      </right>
      <top style="thick">
        <color rgb="FFC00000"/>
      </top>
      <bottom style="thin">
        <color theme="0"/>
      </bottom>
      <diagonal/>
    </border>
    <border>
      <left style="thick">
        <color theme="9" tint="-0.499984740745262"/>
      </left>
      <right/>
      <top style="thick">
        <color theme="9" tint="-0.499984740745262"/>
      </top>
      <bottom style="thin">
        <color theme="0"/>
      </bottom>
      <diagonal/>
    </border>
    <border>
      <left/>
      <right/>
      <top style="thick">
        <color theme="9" tint="-0.499984740745262"/>
      </top>
      <bottom style="thin">
        <color theme="0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n">
        <color theme="0"/>
      </bottom>
      <diagonal/>
    </border>
    <border>
      <left style="thick">
        <color rgb="FFC00000"/>
      </left>
      <right/>
      <top/>
      <bottom/>
      <diagonal/>
    </border>
    <border>
      <left/>
      <right style="thick">
        <color rgb="FFC00000"/>
      </right>
      <top/>
      <bottom/>
      <diagonal/>
    </border>
    <border>
      <left style="thick">
        <color theme="9" tint="-0.499984740745262"/>
      </left>
      <right/>
      <top/>
      <bottom/>
      <diagonal/>
    </border>
    <border>
      <left/>
      <right style="thick">
        <color theme="9" tint="-0.499984740745262"/>
      </right>
      <top/>
      <bottom/>
      <diagonal/>
    </border>
    <border>
      <left style="thick">
        <color rgb="FFC00000"/>
      </left>
      <right/>
      <top/>
      <bottom style="hair">
        <color theme="0" tint="-0.14996795556505021"/>
      </bottom>
      <diagonal/>
    </border>
    <border>
      <left/>
      <right style="thick">
        <color rgb="FFC00000"/>
      </right>
      <top/>
      <bottom style="hair">
        <color theme="0" tint="-0.14996795556505021"/>
      </bottom>
      <diagonal/>
    </border>
    <border>
      <left style="thick">
        <color theme="9" tint="-0.499984740745262"/>
      </left>
      <right/>
      <top/>
      <bottom style="hair">
        <color theme="0" tint="-0.14996795556505021"/>
      </bottom>
      <diagonal/>
    </border>
    <border>
      <left/>
      <right style="thick">
        <color theme="9" tint="-0.499984740745262"/>
      </right>
      <top/>
      <bottom style="hair">
        <color theme="0" tint="-0.14996795556505021"/>
      </bottom>
      <diagonal/>
    </border>
    <border>
      <left style="thick">
        <color rgb="FFC00000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rgb="FFC00000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9" tint="-0.49998474074526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theme="9" tint="-0.499984740745262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rgb="FFC00000"/>
      </left>
      <right/>
      <top style="hair">
        <color theme="0" tint="-0.14996795556505021"/>
      </top>
      <bottom/>
      <diagonal/>
    </border>
    <border>
      <left/>
      <right style="thick">
        <color rgb="FFC00000"/>
      </right>
      <top style="hair">
        <color theme="0" tint="-0.14996795556505021"/>
      </top>
      <bottom/>
      <diagonal/>
    </border>
    <border>
      <left style="thick">
        <color theme="9" tint="-0.499984740745262"/>
      </left>
      <right/>
      <top style="hair">
        <color theme="0" tint="-0.14996795556505021"/>
      </top>
      <bottom/>
      <diagonal/>
    </border>
    <border>
      <left/>
      <right style="thick">
        <color theme="9" tint="-0.499984740745262"/>
      </right>
      <top style="hair">
        <color theme="0" tint="-0.14996795556505021"/>
      </top>
      <bottom/>
      <diagonal/>
    </border>
    <border>
      <left style="thick">
        <color rgb="FFC00000"/>
      </left>
      <right/>
      <top style="thin">
        <color theme="1"/>
      </top>
      <bottom style="thin">
        <color theme="1"/>
      </bottom>
      <diagonal/>
    </border>
    <border>
      <left/>
      <right style="thick">
        <color rgb="FFC00000"/>
      </right>
      <top style="thin">
        <color theme="1"/>
      </top>
      <bottom style="thin">
        <color theme="1"/>
      </bottom>
      <diagonal/>
    </border>
    <border>
      <left style="thick">
        <color theme="9" tint="-0.499984740745262"/>
      </left>
      <right/>
      <top style="thin">
        <color theme="1"/>
      </top>
      <bottom style="thin">
        <color theme="1"/>
      </bottom>
      <diagonal/>
    </border>
    <border>
      <left/>
      <right style="thick">
        <color theme="9" tint="-0.499984740745262"/>
      </right>
      <top style="thin">
        <color theme="1"/>
      </top>
      <bottom style="thin">
        <color theme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9" tint="-0.499984740745262"/>
      </left>
      <right/>
      <top/>
      <bottom style="thick">
        <color theme="9" tint="-0.499984740745262"/>
      </bottom>
      <diagonal/>
    </border>
    <border>
      <left/>
      <right/>
      <top/>
      <bottom style="thick">
        <color theme="9" tint="-0.499984740745262"/>
      </bottom>
      <diagonal/>
    </border>
    <border>
      <left/>
      <right style="thick">
        <color theme="9" tint="-0.499984740745262"/>
      </right>
      <top/>
      <bottom style="thick">
        <color theme="9" tint="-0.499984740745262"/>
      </bottom>
      <diagonal/>
    </border>
    <border>
      <left/>
      <right/>
      <top style="thin">
        <color theme="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40" fillId="0" borderId="0"/>
  </cellStyleXfs>
  <cellXfs count="525">
    <xf numFmtId="0" fontId="0" fillId="0" borderId="0" xfId="0"/>
    <xf numFmtId="3" fontId="9" fillId="0" borderId="9" xfId="4" applyNumberFormat="1" applyFont="1" applyBorder="1" applyAlignment="1">
      <alignment horizontal="center" vertical="top" wrapText="1"/>
    </xf>
    <xf numFmtId="0" fontId="9" fillId="10" borderId="8" xfId="4" applyFont="1" applyFill="1" applyBorder="1" applyAlignment="1">
      <alignment horizontal="left" vertical="top" wrapText="1"/>
    </xf>
    <xf numFmtId="3" fontId="13" fillId="0" borderId="8" xfId="4" applyNumberFormat="1" applyFont="1" applyBorder="1" applyAlignment="1">
      <alignment horizontal="left" vertical="top" wrapText="1" indent="1"/>
    </xf>
    <xf numFmtId="3" fontId="13" fillId="0" borderId="8" xfId="4" applyNumberFormat="1" applyFont="1" applyBorder="1" applyAlignment="1">
      <alignment horizontal="left" vertical="top" wrapText="1" indent="2"/>
    </xf>
    <xf numFmtId="3" fontId="16" fillId="0" borderId="8" xfId="4" applyNumberFormat="1" applyFont="1" applyBorder="1" applyAlignment="1">
      <alignment horizontal="left" vertical="top" wrapText="1" indent="1"/>
    </xf>
    <xf numFmtId="0" fontId="8" fillId="9" borderId="10" xfId="6" applyNumberFormat="1" applyFont="1" applyFill="1" applyBorder="1" applyAlignment="1" applyProtection="1">
      <alignment horizontal="center" vertical="center" wrapText="1"/>
    </xf>
    <xf numFmtId="0" fontId="11" fillId="0" borderId="0" xfId="0" applyFont="1"/>
    <xf numFmtId="3" fontId="10" fillId="0" borderId="9" xfId="4" applyNumberFormat="1" applyFont="1" applyBorder="1" applyAlignment="1" applyProtection="1">
      <alignment vertical="top" wrapText="1"/>
      <protection locked="0"/>
    </xf>
    <xf numFmtId="3" fontId="9" fillId="0" borderId="9" xfId="4" applyNumberFormat="1" applyFont="1" applyBorder="1" applyAlignment="1" applyProtection="1">
      <alignment vertical="top" wrapText="1"/>
      <protection locked="0"/>
    </xf>
    <xf numFmtId="166" fontId="17" fillId="0" borderId="9" xfId="5" applyNumberFormat="1" applyFont="1" applyFill="1" applyBorder="1" applyAlignment="1" applyProtection="1">
      <alignment horizontal="right" vertical="top" wrapText="1"/>
      <protection locked="0"/>
    </xf>
    <xf numFmtId="3" fontId="8" fillId="0" borderId="9" xfId="4" applyNumberFormat="1" applyFont="1" applyBorder="1" applyAlignment="1" applyProtection="1">
      <alignment vertical="top" wrapText="1"/>
      <protection locked="0"/>
    </xf>
    <xf numFmtId="3" fontId="10" fillId="0" borderId="8" xfId="4" applyNumberFormat="1" applyFont="1" applyBorder="1" applyAlignment="1" applyProtection="1">
      <alignment vertical="top" wrapText="1"/>
      <protection locked="0"/>
    </xf>
    <xf numFmtId="3" fontId="12" fillId="0" borderId="9" xfId="0" applyNumberFormat="1" applyFont="1" applyBorder="1" applyAlignment="1" applyProtection="1">
      <alignment vertical="top" wrapText="1"/>
      <protection locked="0"/>
    </xf>
    <xf numFmtId="164" fontId="9" fillId="0" borderId="9" xfId="1" applyNumberFormat="1" applyFont="1" applyBorder="1" applyAlignment="1" applyProtection="1">
      <alignment vertical="top" wrapText="1"/>
      <protection locked="0"/>
    </xf>
    <xf numFmtId="164" fontId="10" fillId="0" borderId="9" xfId="1" applyNumberFormat="1" applyFont="1" applyBorder="1" applyAlignment="1" applyProtection="1">
      <alignment vertical="top" wrapText="1"/>
      <protection locked="0"/>
    </xf>
    <xf numFmtId="164" fontId="12" fillId="0" borderId="9" xfId="1" applyNumberFormat="1" applyFont="1" applyBorder="1" applyAlignment="1" applyProtection="1">
      <alignment vertical="top" wrapText="1"/>
      <protection locked="0"/>
    </xf>
    <xf numFmtId="0" fontId="22" fillId="0" borderId="0" xfId="0" applyFont="1"/>
    <xf numFmtId="164" fontId="22" fillId="0" borderId="0" xfId="0" applyNumberFormat="1" applyFont="1"/>
    <xf numFmtId="0" fontId="23" fillId="0" borderId="0" xfId="4" applyFont="1" applyAlignment="1">
      <alignment horizontal="left"/>
    </xf>
    <xf numFmtId="0" fontId="16" fillId="0" borderId="0" xfId="4" applyFont="1" applyAlignment="1">
      <alignment horizontal="center" vertical="center"/>
    </xf>
    <xf numFmtId="3" fontId="10" fillId="0" borderId="9" xfId="4" applyNumberFormat="1" applyFont="1" applyBorder="1" applyAlignment="1">
      <alignment horizontal="center" vertical="top" wrapText="1"/>
    </xf>
    <xf numFmtId="0" fontId="17" fillId="0" borderId="9" xfId="5" applyNumberFormat="1" applyFont="1" applyFill="1" applyBorder="1" applyAlignment="1" applyProtection="1">
      <alignment horizontal="center" vertical="top" wrapText="1"/>
    </xf>
    <xf numFmtId="3" fontId="25" fillId="0" borderId="8" xfId="4" applyNumberFormat="1" applyFont="1" applyBorder="1" applyAlignment="1">
      <alignment horizontal="left" vertical="top" wrapText="1" indent="1"/>
    </xf>
    <xf numFmtId="3" fontId="24" fillId="0" borderId="8" xfId="4" applyNumberFormat="1" applyFont="1" applyBorder="1" applyAlignment="1">
      <alignment horizontal="left" vertical="top" wrapText="1" indent="1"/>
    </xf>
    <xf numFmtId="3" fontId="8" fillId="0" borderId="9" xfId="4" applyNumberFormat="1" applyFont="1" applyBorder="1" applyAlignment="1">
      <alignment horizontal="center" vertical="top" wrapText="1"/>
    </xf>
    <xf numFmtId="3" fontId="10" fillId="0" borderId="8" xfId="4" applyNumberFormat="1" applyFont="1" applyBorder="1" applyAlignment="1">
      <alignment horizontal="center" vertical="top" wrapText="1"/>
    </xf>
    <xf numFmtId="3" fontId="12" fillId="0" borderId="9" xfId="0" applyNumberFormat="1" applyFont="1" applyBorder="1" applyAlignment="1">
      <alignment horizontal="center" vertical="top" wrapText="1"/>
    </xf>
    <xf numFmtId="0" fontId="28" fillId="0" borderId="0" xfId="0" applyFont="1"/>
    <xf numFmtId="0" fontId="27" fillId="0" borderId="0" xfId="0" applyFont="1"/>
    <xf numFmtId="0" fontId="32" fillId="0" borderId="0" xfId="0" applyFont="1"/>
    <xf numFmtId="0" fontId="18" fillId="2" borderId="0" xfId="0" applyFont="1" applyFill="1" applyAlignment="1">
      <alignment horizontal="right" vertical="center"/>
    </xf>
    <xf numFmtId="0" fontId="19" fillId="0" borderId="3" xfId="5" applyNumberFormat="1" applyFont="1" applyFill="1" applyBorder="1" applyAlignment="1" applyProtection="1">
      <alignment horizontal="center" vertical="top" wrapText="1"/>
    </xf>
    <xf numFmtId="3" fontId="20" fillId="0" borderId="3" xfId="4" applyNumberFormat="1" applyFont="1" applyBorder="1" applyAlignment="1">
      <alignment horizontal="left" vertical="top" wrapText="1" indent="1"/>
    </xf>
    <xf numFmtId="3" fontId="8" fillId="0" borderId="1" xfId="4" applyNumberFormat="1" applyFont="1" applyBorder="1" applyAlignment="1">
      <alignment horizontal="center" vertical="top" wrapText="1"/>
    </xf>
    <xf numFmtId="3" fontId="8" fillId="0" borderId="1" xfId="4" applyNumberFormat="1" applyFont="1" applyBorder="1" applyAlignment="1">
      <alignment horizontal="left" vertical="top" wrapText="1" indent="1"/>
    </xf>
    <xf numFmtId="3" fontId="27" fillId="0" borderId="1" xfId="4" applyNumberFormat="1" applyFont="1" applyBorder="1" applyAlignment="1">
      <alignment horizontal="center" vertical="top" wrapText="1"/>
    </xf>
    <xf numFmtId="3" fontId="27" fillId="0" borderId="1" xfId="4" applyNumberFormat="1" applyFont="1" applyBorder="1" applyAlignment="1">
      <alignment horizontal="left" vertical="top" wrapText="1" indent="1"/>
    </xf>
    <xf numFmtId="3" fontId="11" fillId="0" borderId="1" xfId="4" applyNumberFormat="1" applyFont="1" applyBorder="1" applyAlignment="1">
      <alignment horizontal="center" vertical="top" wrapText="1"/>
    </xf>
    <xf numFmtId="3" fontId="13" fillId="0" borderId="1" xfId="4" applyNumberFormat="1" applyFont="1" applyBorder="1" applyAlignment="1">
      <alignment horizontal="left" vertical="top" wrapText="1" indent="1"/>
    </xf>
    <xf numFmtId="3" fontId="27" fillId="7" borderId="1" xfId="4" applyNumberFormat="1" applyFont="1" applyFill="1" applyBorder="1" applyAlignment="1">
      <alignment horizontal="center" vertical="top" wrapText="1"/>
    </xf>
    <xf numFmtId="3" fontId="27" fillId="7" borderId="1" xfId="4" applyNumberFormat="1" applyFont="1" applyFill="1" applyBorder="1" applyAlignment="1">
      <alignment horizontal="left" vertical="top" wrapText="1" indent="1"/>
    </xf>
    <xf numFmtId="164" fontId="27" fillId="7" borderId="1" xfId="1" applyNumberFormat="1" applyFont="1" applyFill="1" applyBorder="1" applyAlignment="1" applyProtection="1">
      <alignment vertical="top" wrapText="1"/>
      <protection locked="0"/>
    </xf>
    <xf numFmtId="3" fontId="28" fillId="0" borderId="1" xfId="4" applyNumberFormat="1" applyFont="1" applyBorder="1" applyAlignment="1">
      <alignment horizontal="center" vertical="top" wrapText="1"/>
    </xf>
    <xf numFmtId="3" fontId="28" fillId="0" borderId="1" xfId="4" applyNumberFormat="1" applyFont="1" applyBorder="1" applyAlignment="1">
      <alignment horizontal="left" vertical="top" wrapText="1" indent="1"/>
    </xf>
    <xf numFmtId="3" fontId="9" fillId="0" borderId="1" xfId="0" applyNumberFormat="1" applyFont="1" applyBorder="1" applyAlignment="1">
      <alignment horizontal="center" vertical="top" wrapText="1"/>
    </xf>
    <xf numFmtId="3" fontId="26" fillId="0" borderId="1" xfId="0" applyNumberFormat="1" applyFont="1" applyBorder="1" applyAlignment="1">
      <alignment horizontal="center" vertical="top" wrapText="1"/>
    </xf>
    <xf numFmtId="3" fontId="9" fillId="0" borderId="1" xfId="4" applyNumberFormat="1" applyFont="1" applyBorder="1" applyAlignment="1">
      <alignment horizontal="center" vertical="top" wrapText="1"/>
    </xf>
    <xf numFmtId="3" fontId="13" fillId="0" borderId="1" xfId="4" applyNumberFormat="1" applyFont="1" applyBorder="1" applyAlignment="1">
      <alignment horizontal="left" vertical="top" wrapText="1" indent="2"/>
    </xf>
    <xf numFmtId="0" fontId="8" fillId="0" borderId="0" xfId="0" applyFont="1"/>
    <xf numFmtId="3" fontId="29" fillId="0" borderId="1" xfId="4" applyNumberFormat="1" applyFont="1" applyBorder="1" applyAlignment="1">
      <alignment horizontal="center" vertical="top" wrapText="1"/>
    </xf>
    <xf numFmtId="0" fontId="29" fillId="0" borderId="0" xfId="0" applyFont="1"/>
    <xf numFmtId="164" fontId="27" fillId="0" borderId="1" xfId="1" applyNumberFormat="1" applyFont="1" applyBorder="1" applyAlignment="1" applyProtection="1">
      <alignment vertical="top" wrapText="1"/>
      <protection locked="0"/>
    </xf>
    <xf numFmtId="164" fontId="9" fillId="0" borderId="1" xfId="1" applyNumberFormat="1" applyFont="1" applyBorder="1" applyAlignment="1" applyProtection="1">
      <alignment vertical="top" wrapText="1"/>
      <protection locked="0"/>
    </xf>
    <xf numFmtId="164" fontId="13" fillId="0" borderId="1" xfId="1" applyNumberFormat="1" applyFont="1" applyBorder="1" applyAlignment="1" applyProtection="1">
      <alignment vertical="top" wrapText="1"/>
      <protection locked="0"/>
    </xf>
    <xf numFmtId="3" fontId="11" fillId="0" borderId="2" xfId="4" applyNumberFormat="1" applyFont="1" applyBorder="1" applyAlignment="1">
      <alignment horizontal="center" vertical="top" wrapText="1"/>
    </xf>
    <xf numFmtId="3" fontId="13" fillId="0" borderId="2" xfId="4" applyNumberFormat="1" applyFont="1" applyBorder="1" applyAlignment="1">
      <alignment horizontal="left" vertical="top" wrapText="1" indent="1"/>
    </xf>
    <xf numFmtId="164" fontId="13" fillId="0" borderId="2" xfId="1" applyNumberFormat="1" applyFont="1" applyBorder="1" applyAlignment="1" applyProtection="1">
      <alignment vertical="top" wrapText="1"/>
      <protection locked="0"/>
    </xf>
    <xf numFmtId="3" fontId="27" fillId="7" borderId="3" xfId="4" applyNumberFormat="1" applyFont="1" applyFill="1" applyBorder="1" applyAlignment="1">
      <alignment horizontal="center" vertical="top" wrapText="1"/>
    </xf>
    <xf numFmtId="3" fontId="27" fillId="7" borderId="3" xfId="4" applyNumberFormat="1" applyFont="1" applyFill="1" applyBorder="1" applyAlignment="1">
      <alignment horizontal="left" vertical="top" wrapText="1" indent="1"/>
    </xf>
    <xf numFmtId="164" fontId="27" fillId="7" borderId="3" xfId="1" applyNumberFormat="1" applyFont="1" applyFill="1" applyBorder="1" applyAlignment="1" applyProtection="1">
      <alignment vertical="top" wrapText="1"/>
      <protection locked="0"/>
    </xf>
    <xf numFmtId="3" fontId="8" fillId="7" borderId="13" xfId="4" applyNumberFormat="1" applyFont="1" applyFill="1" applyBorder="1" applyAlignment="1">
      <alignment horizontal="center" vertical="top" wrapText="1"/>
    </xf>
    <xf numFmtId="3" fontId="8" fillId="7" borderId="13" xfId="4" applyNumberFormat="1" applyFont="1" applyFill="1" applyBorder="1" applyAlignment="1">
      <alignment horizontal="left" vertical="top" wrapText="1" indent="1"/>
    </xf>
    <xf numFmtId="164" fontId="9" fillId="7" borderId="13" xfId="1" applyNumberFormat="1" applyFont="1" applyFill="1" applyBorder="1" applyAlignment="1" applyProtection="1">
      <alignment vertical="top" wrapText="1"/>
      <protection locked="0"/>
    </xf>
    <xf numFmtId="3" fontId="28" fillId="0" borderId="2" xfId="4" applyNumberFormat="1" applyFont="1" applyBorder="1" applyAlignment="1">
      <alignment horizontal="center" vertical="top" wrapText="1"/>
    </xf>
    <xf numFmtId="3" fontId="28" fillId="0" borderId="2" xfId="4" applyNumberFormat="1" applyFont="1" applyBorder="1" applyAlignment="1">
      <alignment horizontal="left" vertical="top" wrapText="1" indent="1"/>
    </xf>
    <xf numFmtId="3" fontId="9" fillId="7" borderId="13" xfId="0" applyNumberFormat="1" applyFont="1" applyFill="1" applyBorder="1" applyAlignment="1">
      <alignment horizontal="center" vertical="top" wrapText="1"/>
    </xf>
    <xf numFmtId="3" fontId="9" fillId="0" borderId="13" xfId="4" applyNumberFormat="1" applyFont="1" applyBorder="1" applyAlignment="1">
      <alignment horizontal="center" vertical="top" wrapText="1"/>
    </xf>
    <xf numFmtId="3" fontId="8" fillId="0" borderId="13" xfId="4" applyNumberFormat="1" applyFont="1" applyBorder="1" applyAlignment="1">
      <alignment horizontal="left" vertical="top" wrapText="1" indent="1"/>
    </xf>
    <xf numFmtId="3" fontId="9" fillId="0" borderId="2" xfId="4" applyNumberFormat="1" applyFont="1" applyBorder="1" applyAlignment="1">
      <alignment horizontal="center" vertical="top" wrapText="1"/>
    </xf>
    <xf numFmtId="3" fontId="8" fillId="0" borderId="2" xfId="4" applyNumberFormat="1" applyFont="1" applyBorder="1" applyAlignment="1">
      <alignment horizontal="left" vertical="top" wrapText="1" indent="1"/>
    </xf>
    <xf numFmtId="3" fontId="8" fillId="0" borderId="13" xfId="4" applyNumberFormat="1" applyFont="1" applyBorder="1" applyAlignment="1">
      <alignment horizontal="center" vertical="top" wrapText="1"/>
    </xf>
    <xf numFmtId="3" fontId="9" fillId="0" borderId="13" xfId="0" applyNumberFormat="1" applyFont="1" applyBorder="1" applyAlignment="1">
      <alignment horizontal="center" vertical="top" wrapText="1"/>
    </xf>
    <xf numFmtId="164" fontId="11" fillId="0" borderId="1" xfId="1" applyNumberFormat="1" applyFont="1" applyBorder="1" applyAlignment="1" applyProtection="1">
      <alignment vertical="top" wrapText="1"/>
      <protection locked="0"/>
    </xf>
    <xf numFmtId="3" fontId="27" fillId="7" borderId="3" xfId="0" applyNumberFormat="1" applyFont="1" applyFill="1" applyBorder="1" applyAlignment="1">
      <alignment horizontal="center" vertical="top" wrapText="1"/>
    </xf>
    <xf numFmtId="3" fontId="27" fillId="7" borderId="1" xfId="0" applyNumberFormat="1" applyFont="1" applyFill="1" applyBorder="1" applyAlignment="1">
      <alignment horizontal="center" vertical="top" wrapText="1"/>
    </xf>
    <xf numFmtId="164" fontId="26" fillId="0" borderId="1" xfId="1" applyNumberFormat="1" applyFont="1" applyBorder="1" applyAlignment="1" applyProtection="1">
      <alignment vertical="top" wrapText="1"/>
      <protection locked="0"/>
    </xf>
    <xf numFmtId="3" fontId="34" fillId="0" borderId="3" xfId="4" applyNumberFormat="1" applyFont="1" applyBorder="1" applyAlignment="1">
      <alignment horizontal="center" vertical="top" wrapText="1"/>
    </xf>
    <xf numFmtId="3" fontId="34" fillId="0" borderId="3" xfId="4" applyNumberFormat="1" applyFont="1" applyBorder="1" applyAlignment="1">
      <alignment horizontal="left" vertical="top" wrapText="1" indent="1"/>
    </xf>
    <xf numFmtId="0" fontId="34" fillId="0" borderId="0" xfId="0" applyFont="1"/>
    <xf numFmtId="3" fontId="34" fillId="0" borderId="1" xfId="4" applyNumberFormat="1" applyFont="1" applyBorder="1" applyAlignment="1">
      <alignment horizontal="center" vertical="top" wrapText="1"/>
    </xf>
    <xf numFmtId="3" fontId="34" fillId="0" borderId="1" xfId="4" applyNumberFormat="1" applyFont="1" applyBorder="1" applyAlignment="1">
      <alignment horizontal="left" vertical="top" wrapText="1" indent="1"/>
    </xf>
    <xf numFmtId="164" fontId="34" fillId="0" borderId="1" xfId="1" applyNumberFormat="1" applyFont="1" applyBorder="1" applyAlignment="1" applyProtection="1">
      <alignment vertical="top" wrapText="1"/>
      <protection locked="0"/>
    </xf>
    <xf numFmtId="164" fontId="34" fillId="0" borderId="3" xfId="1" applyNumberFormat="1" applyFont="1" applyBorder="1" applyAlignment="1" applyProtection="1">
      <alignment vertical="top" wrapText="1"/>
      <protection locked="0"/>
    </xf>
    <xf numFmtId="164" fontId="9" fillId="0" borderId="13" xfId="1" applyNumberFormat="1" applyFont="1" applyBorder="1" applyAlignment="1" applyProtection="1">
      <alignment vertical="top" wrapText="1"/>
      <protection locked="0"/>
    </xf>
    <xf numFmtId="164" fontId="27" fillId="0" borderId="2" xfId="1" applyNumberFormat="1" applyFont="1" applyBorder="1" applyAlignment="1" applyProtection="1">
      <alignment vertical="top" wrapText="1"/>
      <protection locked="0"/>
    </xf>
    <xf numFmtId="164" fontId="8" fillId="0" borderId="13" xfId="1" applyNumberFormat="1" applyFont="1" applyBorder="1" applyAlignment="1" applyProtection="1">
      <alignment vertical="top" wrapText="1"/>
      <protection locked="0"/>
    </xf>
    <xf numFmtId="3" fontId="27" fillId="0" borderId="3" xfId="4" applyNumberFormat="1" applyFont="1" applyBorder="1" applyAlignment="1">
      <alignment horizontal="center" vertical="top" wrapText="1"/>
    </xf>
    <xf numFmtId="3" fontId="27" fillId="0" borderId="3" xfId="4" applyNumberFormat="1" applyFont="1" applyBorder="1" applyAlignment="1">
      <alignment horizontal="left" vertical="top" wrapText="1" indent="1"/>
    </xf>
    <xf numFmtId="3" fontId="27" fillId="0" borderId="2" xfId="4" applyNumberFormat="1" applyFont="1" applyBorder="1" applyAlignment="1">
      <alignment horizontal="center" vertical="top" wrapText="1"/>
    </xf>
    <xf numFmtId="3" fontId="27" fillId="0" borderId="2" xfId="4" applyNumberFormat="1" applyFont="1" applyBorder="1" applyAlignment="1">
      <alignment horizontal="left" vertical="top" wrapText="1" indent="1"/>
    </xf>
    <xf numFmtId="3" fontId="29" fillId="0" borderId="1" xfId="4" applyNumberFormat="1" applyFont="1" applyBorder="1" applyAlignment="1">
      <alignment horizontal="left" vertical="top" wrapText="1" indent="1"/>
    </xf>
    <xf numFmtId="164" fontId="29" fillId="0" borderId="1" xfId="1" applyNumberFormat="1" applyFont="1" applyBorder="1" applyAlignment="1" applyProtection="1">
      <alignment vertical="top" wrapText="1"/>
      <protection locked="0"/>
    </xf>
    <xf numFmtId="164" fontId="15" fillId="0" borderId="1" xfId="1" applyNumberFormat="1" applyFont="1" applyBorder="1" applyAlignment="1" applyProtection="1">
      <alignment horizontal="center" vertical="top" wrapText="1"/>
      <protection locked="0"/>
    </xf>
    <xf numFmtId="164" fontId="28" fillId="0" borderId="2" xfId="1" applyNumberFormat="1" applyFont="1" applyBorder="1" applyAlignment="1" applyProtection="1">
      <alignment vertical="top" wrapText="1"/>
      <protection locked="0"/>
    </xf>
    <xf numFmtId="164" fontId="8" fillId="7" borderId="13" xfId="1" applyNumberFormat="1" applyFont="1" applyFill="1" applyBorder="1" applyAlignment="1" applyProtection="1">
      <alignment vertical="top" wrapText="1"/>
      <protection locked="0"/>
    </xf>
    <xf numFmtId="0" fontId="35" fillId="0" borderId="0" xfId="0" applyFont="1"/>
    <xf numFmtId="0" fontId="36" fillId="0" borderId="0" xfId="0" applyFont="1"/>
    <xf numFmtId="164" fontId="36" fillId="0" borderId="1" xfId="1" applyNumberFormat="1" applyFont="1" applyBorder="1" applyAlignment="1" applyProtection="1">
      <alignment vertical="top" wrapText="1"/>
      <protection locked="0"/>
    </xf>
    <xf numFmtId="0" fontId="36" fillId="0" borderId="1" xfId="5" applyNumberFormat="1" applyFont="1" applyFill="1" applyBorder="1" applyAlignment="1" applyProtection="1">
      <alignment horizontal="center" vertical="top" wrapText="1"/>
    </xf>
    <xf numFmtId="3" fontId="36" fillId="0" borderId="1" xfId="4" applyNumberFormat="1" applyFont="1" applyBorder="1" applyAlignment="1">
      <alignment horizontal="left" vertical="top" wrapText="1" indent="1"/>
    </xf>
    <xf numFmtId="164" fontId="19" fillId="0" borderId="3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1" xfId="1" applyNumberFormat="1" applyFont="1" applyFill="1" applyBorder="1" applyAlignment="1" applyProtection="1">
      <alignment horizontal="right" vertical="top" wrapText="1"/>
      <protection locked="0"/>
    </xf>
    <xf numFmtId="11" fontId="0" fillId="0" borderId="0" xfId="0" applyNumberFormat="1"/>
    <xf numFmtId="164" fontId="8" fillId="0" borderId="9" xfId="1" applyNumberFormat="1" applyFont="1" applyBorder="1" applyAlignment="1" applyProtection="1">
      <alignment vertical="top" wrapText="1"/>
      <protection locked="0"/>
    </xf>
    <xf numFmtId="164" fontId="10" fillId="0" borderId="8" xfId="1" applyNumberFormat="1" applyFont="1" applyBorder="1" applyAlignment="1" applyProtection="1">
      <alignment vertical="top" wrapText="1"/>
      <protection locked="0"/>
    </xf>
    <xf numFmtId="164" fontId="21" fillId="0" borderId="0" xfId="1" applyNumberFormat="1" applyFont="1" applyProtection="1">
      <protection locked="0"/>
    </xf>
    <xf numFmtId="164" fontId="37" fillId="0" borderId="0" xfId="1" applyNumberFormat="1" applyFont="1" applyAlignment="1">
      <alignment horizontal="left" vertical="center"/>
    </xf>
    <xf numFmtId="164" fontId="33" fillId="0" borderId="0" xfId="1" applyNumberFormat="1" applyFont="1" applyAlignment="1">
      <alignment vertical="center" wrapText="1"/>
    </xf>
    <xf numFmtId="169" fontId="33" fillId="0" borderId="0" xfId="1" applyNumberFormat="1" applyFont="1" applyFill="1" applyAlignment="1">
      <alignment vertical="center"/>
    </xf>
    <xf numFmtId="169" fontId="33" fillId="0" borderId="0" xfId="1" applyNumberFormat="1" applyFont="1" applyAlignment="1">
      <alignment vertical="center"/>
    </xf>
    <xf numFmtId="164" fontId="33" fillId="0" borderId="0" xfId="1" applyNumberFormat="1" applyFont="1" applyFill="1" applyBorder="1" applyAlignment="1">
      <alignment vertical="center"/>
    </xf>
    <xf numFmtId="164" fontId="38" fillId="0" borderId="0" xfId="1" applyNumberFormat="1" applyFont="1" applyAlignment="1">
      <alignment horizontal="left" vertical="center"/>
    </xf>
    <xf numFmtId="164" fontId="38" fillId="0" borderId="0" xfId="1" applyNumberFormat="1" applyFont="1" applyAlignment="1">
      <alignment vertical="center" wrapText="1"/>
    </xf>
    <xf numFmtId="169" fontId="38" fillId="0" borderId="0" xfId="1" applyNumberFormat="1" applyFont="1" applyAlignment="1">
      <alignment vertical="center"/>
    </xf>
    <xf numFmtId="164" fontId="38" fillId="0" borderId="0" xfId="1" applyNumberFormat="1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70" fontId="5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70" fontId="7" fillId="0" borderId="0" xfId="1" applyNumberFormat="1" applyFont="1" applyAlignment="1">
      <alignment vertical="center"/>
    </xf>
    <xf numFmtId="164" fontId="33" fillId="0" borderId="0" xfId="1" applyNumberFormat="1" applyFont="1" applyAlignment="1">
      <alignment horizontal="right"/>
    </xf>
    <xf numFmtId="164" fontId="33" fillId="0" borderId="0" xfId="1" applyNumberFormat="1" applyFont="1" applyAlignment="1">
      <alignment vertical="center"/>
    </xf>
    <xf numFmtId="0" fontId="33" fillId="0" borderId="0" xfId="0" applyFont="1" applyAlignment="1">
      <alignment vertical="center"/>
    </xf>
    <xf numFmtId="0" fontId="6" fillId="12" borderId="7" xfId="8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vertical="center"/>
    </xf>
    <xf numFmtId="49" fontId="6" fillId="0" borderId="0" xfId="1" applyNumberFormat="1" applyFont="1" applyFill="1" applyBorder="1" applyAlignment="1">
      <alignment vertical="center"/>
    </xf>
    <xf numFmtId="171" fontId="6" fillId="0" borderId="14" xfId="1" applyNumberFormat="1" applyFont="1" applyBorder="1" applyAlignment="1" applyProtection="1">
      <alignment horizontal="left" vertical="center"/>
    </xf>
    <xf numFmtId="171" fontId="6" fillId="0" borderId="14" xfId="1" applyNumberFormat="1" applyFont="1" applyBorder="1" applyAlignment="1" applyProtection="1">
      <alignment horizontal="left" vertical="center" wrapText="1"/>
    </xf>
    <xf numFmtId="172" fontId="6" fillId="0" borderId="14" xfId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right" vertical="center"/>
    </xf>
    <xf numFmtId="171" fontId="6" fillId="0" borderId="0" xfId="1" applyNumberFormat="1" applyFont="1" applyFill="1" applyBorder="1" applyAlignment="1">
      <alignment vertical="center"/>
    </xf>
    <xf numFmtId="171" fontId="33" fillId="0" borderId="14" xfId="1" applyNumberFormat="1" applyFont="1" applyBorder="1" applyAlignment="1" applyProtection="1">
      <alignment horizontal="left" vertical="center"/>
    </xf>
    <xf numFmtId="171" fontId="33" fillId="0" borderId="14" xfId="1" applyNumberFormat="1" applyFont="1" applyBorder="1" applyAlignment="1" applyProtection="1">
      <alignment horizontal="left" vertical="center" wrapText="1"/>
    </xf>
    <xf numFmtId="172" fontId="33" fillId="0" borderId="14" xfId="1" applyNumberFormat="1" applyFont="1" applyFill="1" applyBorder="1" applyAlignment="1">
      <alignment horizontal="right" vertical="center"/>
    </xf>
    <xf numFmtId="164" fontId="33" fillId="0" borderId="0" xfId="1" applyNumberFormat="1" applyFont="1" applyFill="1" applyBorder="1" applyAlignment="1">
      <alignment horizontal="right" vertical="center"/>
    </xf>
    <xf numFmtId="171" fontId="33" fillId="0" borderId="0" xfId="1" applyNumberFormat="1" applyFont="1" applyFill="1" applyBorder="1" applyAlignment="1">
      <alignment vertical="center"/>
    </xf>
    <xf numFmtId="49" fontId="33" fillId="0" borderId="14" xfId="1" applyNumberFormat="1" applyFont="1" applyBorder="1" applyAlignment="1" applyProtection="1">
      <alignment horizontal="left" vertical="center"/>
    </xf>
    <xf numFmtId="0" fontId="6" fillId="13" borderId="14" xfId="1" applyNumberFormat="1" applyFont="1" applyFill="1" applyBorder="1" applyAlignment="1" applyProtection="1">
      <alignment horizontal="left" vertical="center"/>
    </xf>
    <xf numFmtId="0" fontId="6" fillId="13" borderId="14" xfId="1" applyNumberFormat="1" applyFont="1" applyFill="1" applyBorder="1" applyAlignment="1" applyProtection="1">
      <alignment horizontal="left" vertical="center" wrapText="1"/>
    </xf>
    <xf numFmtId="169" fontId="6" fillId="13" borderId="14" xfId="1" applyNumberFormat="1" applyFont="1" applyFill="1" applyBorder="1" applyAlignment="1" applyProtection="1">
      <alignment vertical="center"/>
    </xf>
    <xf numFmtId="43" fontId="6" fillId="0" borderId="0" xfId="1" applyFont="1" applyFill="1" applyBorder="1" applyAlignment="1">
      <alignment vertical="center"/>
    </xf>
    <xf numFmtId="173" fontId="33" fillId="0" borderId="14" xfId="12" applyNumberFormat="1" applyFont="1" applyBorder="1" applyAlignment="1">
      <alignment horizontal="left" vertical="center"/>
    </xf>
    <xf numFmtId="169" fontId="41" fillId="0" borderId="14" xfId="1" applyNumberFormat="1" applyFont="1" applyFill="1" applyBorder="1" applyAlignment="1" applyProtection="1">
      <alignment vertical="center"/>
    </xf>
    <xf numFmtId="49" fontId="33" fillId="0" borderId="14" xfId="12" applyNumberFormat="1" applyFont="1" applyBorder="1" applyAlignment="1">
      <alignment horizontal="left" vertical="center"/>
    </xf>
    <xf numFmtId="0" fontId="33" fillId="0" borderId="14" xfId="1" applyNumberFormat="1" applyFont="1" applyFill="1" applyBorder="1" applyAlignment="1" applyProtection="1">
      <alignment horizontal="left" vertical="center" wrapText="1"/>
    </xf>
    <xf numFmtId="0" fontId="6" fillId="0" borderId="14" xfId="1" applyNumberFormat="1" applyFont="1" applyFill="1" applyBorder="1" applyAlignment="1" applyProtection="1">
      <alignment horizontal="left" vertical="center"/>
    </xf>
    <xf numFmtId="0" fontId="6" fillId="0" borderId="14" xfId="1" applyNumberFormat="1" applyFont="1" applyFill="1" applyBorder="1" applyAlignment="1" applyProtection="1">
      <alignment horizontal="left" vertical="center" wrapText="1"/>
    </xf>
    <xf numFmtId="169" fontId="6" fillId="0" borderId="14" xfId="1" applyNumberFormat="1" applyFont="1" applyFill="1" applyBorder="1" applyAlignment="1" applyProtection="1">
      <alignment vertical="center"/>
    </xf>
    <xf numFmtId="0" fontId="6" fillId="0" borderId="14" xfId="1" applyNumberFormat="1" applyFont="1" applyBorder="1" applyAlignment="1" applyProtection="1">
      <alignment horizontal="left" vertical="center"/>
    </xf>
    <xf numFmtId="0" fontId="6" fillId="0" borderId="14" xfId="1" applyNumberFormat="1" applyFont="1" applyBorder="1" applyAlignment="1" applyProtection="1">
      <alignment horizontal="left" vertical="center" wrapText="1"/>
    </xf>
    <xf numFmtId="0" fontId="33" fillId="0" borderId="14" xfId="1" applyNumberFormat="1" applyFont="1" applyBorder="1" applyAlignment="1" applyProtection="1">
      <alignment horizontal="left" vertical="center"/>
    </xf>
    <xf numFmtId="0" fontId="33" fillId="0" borderId="14" xfId="1" applyNumberFormat="1" applyFont="1" applyBorder="1" applyAlignment="1" applyProtection="1">
      <alignment horizontal="left" vertical="center" wrapText="1"/>
    </xf>
    <xf numFmtId="169" fontId="33" fillId="0" borderId="14" xfId="1" applyNumberFormat="1" applyFont="1" applyFill="1" applyBorder="1" applyAlignment="1" applyProtection="1">
      <alignment vertical="center"/>
    </xf>
    <xf numFmtId="0" fontId="41" fillId="0" borderId="14" xfId="1" applyNumberFormat="1" applyFont="1" applyBorder="1" applyAlignment="1" applyProtection="1">
      <alignment horizontal="left" vertical="center"/>
    </xf>
    <xf numFmtId="0" fontId="41" fillId="0" borderId="14" xfId="1" applyNumberFormat="1" applyFont="1" applyBorder="1" applyAlignment="1" applyProtection="1">
      <alignment horizontal="left" vertical="center" wrapText="1"/>
    </xf>
    <xf numFmtId="164" fontId="41" fillId="0" borderId="0" xfId="1" applyNumberFormat="1" applyFont="1" applyFill="1" applyBorder="1" applyAlignment="1">
      <alignment vertical="center"/>
    </xf>
    <xf numFmtId="9" fontId="41" fillId="0" borderId="0" xfId="7" applyFont="1" applyFill="1" applyBorder="1" applyAlignment="1">
      <alignment vertical="center"/>
    </xf>
    <xf numFmtId="0" fontId="42" fillId="0" borderId="14" xfId="1" applyNumberFormat="1" applyFont="1" applyBorder="1" applyAlignment="1" applyProtection="1">
      <alignment horizontal="left" vertical="center"/>
    </xf>
    <xf numFmtId="174" fontId="42" fillId="0" borderId="14" xfId="7" applyNumberFormat="1" applyFont="1" applyFill="1" applyBorder="1" applyAlignment="1" applyProtection="1">
      <alignment horizontal="left" vertical="center" wrapText="1"/>
    </xf>
    <xf numFmtId="175" fontId="42" fillId="0" borderId="14" xfId="7" applyNumberFormat="1" applyFont="1" applyFill="1" applyBorder="1" applyAlignment="1" applyProtection="1">
      <alignment vertical="center"/>
    </xf>
    <xf numFmtId="164" fontId="42" fillId="0" borderId="0" xfId="1" applyNumberFormat="1" applyFont="1" applyFill="1" applyBorder="1" applyAlignment="1">
      <alignment vertical="center"/>
    </xf>
    <xf numFmtId="175" fontId="42" fillId="0" borderId="0" xfId="7" applyNumberFormat="1" applyFont="1" applyFill="1" applyBorder="1" applyAlignment="1">
      <alignment vertical="center"/>
    </xf>
    <xf numFmtId="0" fontId="41" fillId="0" borderId="14" xfId="1" applyNumberFormat="1" applyFont="1" applyFill="1" applyBorder="1" applyAlignment="1" applyProtection="1">
      <alignment horizontal="left" vertical="center"/>
    </xf>
    <xf numFmtId="169" fontId="33" fillId="14" borderId="14" xfId="1" applyNumberFormat="1" applyFont="1" applyFill="1" applyBorder="1" applyAlignment="1" applyProtection="1">
      <alignment vertical="center"/>
    </xf>
    <xf numFmtId="164" fontId="7" fillId="0" borderId="0" xfId="1" applyNumberFormat="1" applyFont="1" applyFill="1" applyBorder="1" applyAlignment="1">
      <alignment vertical="center"/>
    </xf>
    <xf numFmtId="164" fontId="43" fillId="0" borderId="0" xfId="1" applyNumberFormat="1" applyFont="1" applyFill="1" applyBorder="1" applyAlignment="1">
      <alignment vertical="center"/>
    </xf>
    <xf numFmtId="175" fontId="42" fillId="0" borderId="14" xfId="7" applyNumberFormat="1" applyFont="1" applyFill="1" applyBorder="1" applyAlignment="1" applyProtection="1">
      <alignment horizontal="left" vertical="center"/>
    </xf>
    <xf numFmtId="43" fontId="44" fillId="0" borderId="0" xfId="1" applyFont="1" applyFill="1" applyBorder="1" applyAlignment="1">
      <alignment vertical="center"/>
    </xf>
    <xf numFmtId="164" fontId="44" fillId="0" borderId="0" xfId="1" applyNumberFormat="1" applyFont="1" applyFill="1" applyBorder="1" applyAlignment="1">
      <alignment vertical="center"/>
    </xf>
    <xf numFmtId="43" fontId="43" fillId="0" borderId="0" xfId="1" applyFont="1" applyFill="1" applyBorder="1" applyAlignment="1">
      <alignment vertical="center"/>
    </xf>
    <xf numFmtId="0" fontId="33" fillId="0" borderId="14" xfId="1" applyNumberFormat="1" applyFont="1" applyFill="1" applyBorder="1" applyAlignment="1" applyProtection="1">
      <alignment horizontal="left" vertical="center"/>
    </xf>
    <xf numFmtId="169" fontId="6" fillId="14" borderId="14" xfId="1" applyNumberFormat="1" applyFont="1" applyFill="1" applyBorder="1" applyAlignment="1" applyProtection="1">
      <alignment vertical="center"/>
    </xf>
    <xf numFmtId="43" fontId="33" fillId="0" borderId="0" xfId="1" applyFont="1" applyFill="1" applyBorder="1" applyAlignment="1">
      <alignment vertical="center"/>
    </xf>
    <xf numFmtId="174" fontId="42" fillId="0" borderId="14" xfId="7" applyNumberFormat="1" applyFont="1" applyFill="1" applyBorder="1" applyAlignment="1" applyProtection="1">
      <alignment horizontal="left" vertical="center"/>
    </xf>
    <xf numFmtId="9" fontId="45" fillId="0" borderId="14" xfId="7" applyFont="1" applyFill="1" applyBorder="1" applyAlignment="1" applyProtection="1">
      <alignment vertical="center"/>
    </xf>
    <xf numFmtId="174" fontId="42" fillId="0" borderId="0" xfId="7" applyNumberFormat="1" applyFont="1" applyFill="1" applyBorder="1" applyAlignment="1">
      <alignment vertical="center"/>
    </xf>
    <xf numFmtId="174" fontId="42" fillId="0" borderId="14" xfId="7" applyNumberFormat="1" applyFont="1" applyFill="1" applyBorder="1" applyAlignment="1" applyProtection="1">
      <alignment vertical="center"/>
    </xf>
    <xf numFmtId="9" fontId="41" fillId="0" borderId="15" xfId="7" applyFont="1" applyFill="1" applyBorder="1" applyAlignment="1" applyProtection="1">
      <alignment horizontal="left" vertical="center"/>
    </xf>
    <xf numFmtId="9" fontId="41" fillId="0" borderId="15" xfId="7" applyFont="1" applyFill="1" applyBorder="1" applyAlignment="1" applyProtection="1">
      <alignment horizontal="left" vertical="center" wrapText="1"/>
    </xf>
    <xf numFmtId="169" fontId="41" fillId="0" borderId="15" xfId="7" applyNumberFormat="1" applyFont="1" applyFill="1" applyBorder="1" applyAlignment="1" applyProtection="1">
      <alignment vertical="center"/>
    </xf>
    <xf numFmtId="164" fontId="6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vertical="center" wrapText="1"/>
    </xf>
    <xf numFmtId="164" fontId="6" fillId="0" borderId="0" xfId="7" applyNumberFormat="1" applyFont="1" applyAlignment="1">
      <alignment horizontal="center" vertical="center" wrapText="1"/>
    </xf>
    <xf numFmtId="164" fontId="6" fillId="0" borderId="0" xfId="7" applyNumberFormat="1" applyFont="1" applyAlignment="1">
      <alignment horizontal="center" vertical="center"/>
    </xf>
    <xf numFmtId="172" fontId="33" fillId="0" borderId="0" xfId="1" applyNumberFormat="1" applyFont="1" applyAlignment="1">
      <alignment vertical="center" wrapText="1"/>
    </xf>
    <xf numFmtId="172" fontId="33" fillId="0" borderId="0" xfId="1" applyNumberFormat="1" applyFont="1" applyAlignment="1">
      <alignment vertical="center"/>
    </xf>
    <xf numFmtId="164" fontId="6" fillId="0" borderId="0" xfId="1" applyNumberFormat="1" applyFont="1" applyAlignment="1">
      <alignment horizontal="centerContinuous" vertical="center" wrapText="1"/>
    </xf>
    <xf numFmtId="169" fontId="33" fillId="0" borderId="0" xfId="1" applyNumberFormat="1" applyFont="1" applyAlignment="1">
      <alignment vertical="center" wrapText="1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/>
    </xf>
    <xf numFmtId="164" fontId="33" fillId="0" borderId="0" xfId="1" applyNumberFormat="1" applyFont="1" applyAlignment="1">
      <alignment horizontal="left" vertical="center"/>
    </xf>
    <xf numFmtId="169" fontId="33" fillId="0" borderId="0" xfId="0" applyNumberFormat="1" applyFont="1" applyAlignment="1">
      <alignment vertical="center"/>
    </xf>
    <xf numFmtId="164" fontId="6" fillId="0" borderId="0" xfId="1" applyNumberFormat="1" applyFont="1" applyAlignment="1">
      <alignment horizontal="right"/>
    </xf>
    <xf numFmtId="0" fontId="6" fillId="7" borderId="7" xfId="8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171" fontId="6" fillId="0" borderId="16" xfId="1" applyNumberFormat="1" applyFont="1" applyBorder="1" applyAlignment="1" applyProtection="1">
      <alignment horizontal="left" vertical="center"/>
    </xf>
    <xf numFmtId="171" fontId="6" fillId="0" borderId="16" xfId="1" applyNumberFormat="1" applyFont="1" applyBorder="1" applyAlignment="1" applyProtection="1">
      <alignment horizontal="left" vertical="center" wrapText="1"/>
    </xf>
    <xf numFmtId="164" fontId="6" fillId="0" borderId="17" xfId="1" applyNumberFormat="1" applyFont="1" applyFill="1" applyBorder="1" applyAlignment="1">
      <alignment horizontal="right" vertical="center"/>
    </xf>
    <xf numFmtId="172" fontId="6" fillId="0" borderId="17" xfId="1" applyNumberFormat="1" applyFont="1" applyFill="1" applyBorder="1" applyAlignment="1">
      <alignment horizontal="right" vertical="center"/>
    </xf>
    <xf numFmtId="171" fontId="33" fillId="0" borderId="16" xfId="1" applyNumberFormat="1" applyFont="1" applyBorder="1" applyAlignment="1" applyProtection="1">
      <alignment horizontal="left" vertical="center" indent="1"/>
    </xf>
    <xf numFmtId="171" fontId="33" fillId="0" borderId="16" xfId="1" applyNumberFormat="1" applyFont="1" applyBorder="1" applyAlignment="1" applyProtection="1">
      <alignment horizontal="left" vertical="center" wrapText="1" indent="1"/>
    </xf>
    <xf numFmtId="172" fontId="33" fillId="0" borderId="17" xfId="1" applyNumberFormat="1" applyFont="1" applyFill="1" applyBorder="1" applyAlignment="1">
      <alignment horizontal="right" vertical="center"/>
    </xf>
    <xf numFmtId="0" fontId="6" fillId="13" borderId="18" xfId="1" applyNumberFormat="1" applyFont="1" applyFill="1" applyBorder="1" applyAlignment="1" applyProtection="1">
      <alignment horizontal="left" vertical="center"/>
    </xf>
    <xf numFmtId="0" fontId="6" fillId="13" borderId="18" xfId="1" applyNumberFormat="1" applyFont="1" applyFill="1" applyBorder="1" applyAlignment="1" applyProtection="1">
      <alignment horizontal="left" vertical="center" wrapText="1"/>
    </xf>
    <xf numFmtId="169" fontId="6" fillId="13" borderId="19" xfId="1" applyNumberFormat="1" applyFont="1" applyFill="1" applyBorder="1" applyAlignment="1" applyProtection="1">
      <alignment vertical="center"/>
    </xf>
    <xf numFmtId="173" fontId="33" fillId="0" borderId="18" xfId="12" applyNumberFormat="1" applyFont="1" applyBorder="1" applyAlignment="1">
      <alignment horizontal="left" vertical="center"/>
    </xf>
    <xf numFmtId="169" fontId="33" fillId="0" borderId="19" xfId="1" applyNumberFormat="1" applyFont="1" applyFill="1" applyBorder="1" applyAlignment="1" applyProtection="1">
      <alignment vertical="center"/>
    </xf>
    <xf numFmtId="0" fontId="33" fillId="0" borderId="18" xfId="1" applyNumberFormat="1" applyFont="1" applyFill="1" applyBorder="1" applyAlignment="1" applyProtection="1">
      <alignment horizontal="left" vertical="center" wrapText="1" indent="1"/>
    </xf>
    <xf numFmtId="0" fontId="6" fillId="0" borderId="18" xfId="1" applyNumberFormat="1" applyFont="1" applyFill="1" applyBorder="1" applyAlignment="1" applyProtection="1">
      <alignment horizontal="left" vertical="center"/>
    </xf>
    <xf numFmtId="0" fontId="6" fillId="0" borderId="18" xfId="1" applyNumberFormat="1" applyFont="1" applyFill="1" applyBorder="1" applyAlignment="1" applyProtection="1">
      <alignment horizontal="left" vertical="center" wrapText="1"/>
    </xf>
    <xf numFmtId="169" fontId="6" fillId="0" borderId="19" xfId="1" applyNumberFormat="1" applyFont="1" applyFill="1" applyBorder="1" applyAlignment="1" applyProtection="1">
      <alignment vertical="center"/>
    </xf>
    <xf numFmtId="0" fontId="6" fillId="0" borderId="18" xfId="1" applyNumberFormat="1" applyFont="1" applyBorder="1" applyAlignment="1" applyProtection="1">
      <alignment horizontal="left" vertical="center" indent="1"/>
    </xf>
    <xf numFmtId="0" fontId="6" fillId="0" borderId="18" xfId="1" applyNumberFormat="1" applyFont="1" applyBorder="1" applyAlignment="1" applyProtection="1">
      <alignment horizontal="left" vertical="center" wrapText="1"/>
    </xf>
    <xf numFmtId="0" fontId="33" fillId="0" borderId="18" xfId="1" applyNumberFormat="1" applyFont="1" applyBorder="1" applyAlignment="1" applyProtection="1">
      <alignment horizontal="left" vertical="center" indent="1"/>
    </xf>
    <xf numFmtId="0" fontId="33" fillId="0" borderId="18" xfId="1" applyNumberFormat="1" applyFont="1" applyBorder="1" applyAlignment="1" applyProtection="1">
      <alignment horizontal="left" vertical="center" wrapText="1" indent="1"/>
    </xf>
    <xf numFmtId="0" fontId="41" fillId="0" borderId="18" xfId="1" applyNumberFormat="1" applyFont="1" applyBorder="1" applyAlignment="1" applyProtection="1">
      <alignment horizontal="left" vertical="center" indent="1"/>
    </xf>
    <xf numFmtId="0" fontId="41" fillId="0" borderId="18" xfId="1" applyNumberFormat="1" applyFont="1" applyBorder="1" applyAlignment="1" applyProtection="1">
      <alignment horizontal="left" vertical="center" wrapText="1" indent="1"/>
    </xf>
    <xf numFmtId="169" fontId="41" fillId="0" borderId="19" xfId="1" applyNumberFormat="1" applyFont="1" applyFill="1" applyBorder="1" applyAlignment="1" applyProtection="1">
      <alignment vertical="center"/>
    </xf>
    <xf numFmtId="0" fontId="41" fillId="0" borderId="18" xfId="1" applyNumberFormat="1" applyFont="1" applyBorder="1" applyAlignment="1" applyProtection="1">
      <alignment horizontal="left" vertical="center"/>
    </xf>
    <xf numFmtId="0" fontId="42" fillId="0" borderId="18" xfId="1" applyNumberFormat="1" applyFont="1" applyBorder="1" applyAlignment="1" applyProtection="1">
      <alignment horizontal="left" vertical="center" indent="1"/>
    </xf>
    <xf numFmtId="174" fontId="42" fillId="0" borderId="18" xfId="7" applyNumberFormat="1" applyFont="1" applyFill="1" applyBorder="1" applyAlignment="1" applyProtection="1">
      <alignment horizontal="left" vertical="center" wrapText="1" indent="1"/>
    </xf>
    <xf numFmtId="175" fontId="42" fillId="0" borderId="19" xfId="7" applyNumberFormat="1" applyFont="1" applyFill="1" applyBorder="1" applyAlignment="1" applyProtection="1">
      <alignment vertical="center"/>
    </xf>
    <xf numFmtId="175" fontId="42" fillId="0" borderId="18" xfId="7" applyNumberFormat="1" applyFont="1" applyFill="1" applyBorder="1" applyAlignment="1" applyProtection="1">
      <alignment horizontal="left" vertical="center" indent="1"/>
    </xf>
    <xf numFmtId="0" fontId="6" fillId="0" borderId="18" xfId="1" applyNumberFormat="1" applyFont="1" applyBorder="1" applyAlignment="1" applyProtection="1">
      <alignment horizontal="left" vertical="center"/>
    </xf>
    <xf numFmtId="169" fontId="6" fillId="0" borderId="20" xfId="1" applyNumberFormat="1" applyFont="1" applyFill="1" applyBorder="1" applyAlignment="1" applyProtection="1">
      <alignment vertical="center"/>
    </xf>
    <xf numFmtId="0" fontId="33" fillId="0" borderId="18" xfId="1" applyNumberFormat="1" applyFont="1" applyBorder="1" applyAlignment="1" applyProtection="1">
      <alignment horizontal="left" vertical="center"/>
    </xf>
    <xf numFmtId="0" fontId="33" fillId="0" borderId="18" xfId="1" applyNumberFormat="1" applyFont="1" applyBorder="1" applyAlignment="1" applyProtection="1">
      <alignment horizontal="left" vertical="center" wrapText="1"/>
    </xf>
    <xf numFmtId="0" fontId="6" fillId="15" borderId="18" xfId="1" applyNumberFormat="1" applyFont="1" applyFill="1" applyBorder="1" applyAlignment="1" applyProtection="1">
      <alignment horizontal="left" vertical="center"/>
    </xf>
    <xf numFmtId="0" fontId="6" fillId="15" borderId="18" xfId="1" applyNumberFormat="1" applyFont="1" applyFill="1" applyBorder="1" applyAlignment="1" applyProtection="1">
      <alignment horizontal="left" vertical="center" wrapText="1"/>
    </xf>
    <xf numFmtId="169" fontId="6" fillId="15" borderId="19" xfId="1" applyNumberFormat="1" applyFont="1" applyFill="1" applyBorder="1" applyAlignment="1" applyProtection="1">
      <alignment vertical="center"/>
    </xf>
    <xf numFmtId="169" fontId="4" fillId="15" borderId="19" xfId="1" applyNumberFormat="1" applyFont="1" applyFill="1" applyBorder="1" applyAlignment="1" applyProtection="1">
      <alignment vertical="center"/>
    </xf>
    <xf numFmtId="174" fontId="42" fillId="0" borderId="18" xfId="7" applyNumberFormat="1" applyFont="1" applyFill="1" applyBorder="1" applyAlignment="1" applyProtection="1">
      <alignment horizontal="left" vertical="center" indent="1"/>
    </xf>
    <xf numFmtId="9" fontId="41" fillId="0" borderId="21" xfId="7" applyFont="1" applyFill="1" applyBorder="1" applyAlignment="1" applyProtection="1">
      <alignment horizontal="left" vertical="center"/>
    </xf>
    <xf numFmtId="9" fontId="41" fillId="0" borderId="21" xfId="7" applyFont="1" applyFill="1" applyBorder="1" applyAlignment="1" applyProtection="1">
      <alignment horizontal="left" vertical="center" wrapText="1"/>
    </xf>
    <xf numFmtId="169" fontId="41" fillId="0" borderId="22" xfId="7" applyNumberFormat="1" applyFont="1" applyFill="1" applyBorder="1" applyAlignment="1" applyProtection="1">
      <alignment vertical="center"/>
    </xf>
    <xf numFmtId="169" fontId="41" fillId="0" borderId="23" xfId="7" applyNumberFormat="1" applyFont="1" applyFill="1" applyBorder="1" applyAlignment="1" applyProtection="1">
      <alignment vertical="center"/>
    </xf>
    <xf numFmtId="169" fontId="41" fillId="0" borderId="24" xfId="7" applyNumberFormat="1" applyFont="1" applyFill="1" applyBorder="1" applyAlignment="1" applyProtection="1">
      <alignment vertical="center"/>
    </xf>
    <xf numFmtId="10" fontId="33" fillId="0" borderId="0" xfId="7" applyNumberFormat="1" applyFont="1" applyAlignment="1">
      <alignment vertical="center"/>
    </xf>
    <xf numFmtId="176" fontId="33" fillId="0" borderId="0" xfId="1" applyNumberFormat="1" applyFont="1" applyAlignment="1">
      <alignment vertical="center"/>
    </xf>
    <xf numFmtId="10" fontId="33" fillId="0" borderId="0" xfId="7" applyNumberFormat="1" applyFont="1" applyAlignment="1">
      <alignment horizontal="right"/>
    </xf>
    <xf numFmtId="164" fontId="33" fillId="0" borderId="0" xfId="1" applyNumberFormat="1" applyFont="1" applyAlignment="1">
      <alignment horizontal="right" wrapText="1"/>
    </xf>
    <xf numFmtId="0" fontId="6" fillId="5" borderId="4" xfId="0" applyFont="1" applyFill="1" applyBorder="1" applyAlignment="1">
      <alignment horizontal="center" vertical="center" wrapText="1"/>
    </xf>
    <xf numFmtId="10" fontId="6" fillId="12" borderId="4" xfId="7" applyNumberFormat="1" applyFont="1" applyFill="1" applyBorder="1" applyAlignment="1">
      <alignment horizontal="center" vertical="center" wrapText="1"/>
    </xf>
    <xf numFmtId="37" fontId="46" fillId="0" borderId="0" xfId="1" applyNumberFormat="1" applyFont="1" applyFill="1" applyBorder="1" applyAlignment="1">
      <alignment horizontal="center" vertical="center"/>
    </xf>
    <xf numFmtId="171" fontId="6" fillId="0" borderId="5" xfId="1" applyNumberFormat="1" applyFont="1" applyBorder="1" applyAlignment="1" applyProtection="1">
      <alignment horizontal="left" vertical="center"/>
    </xf>
    <xf numFmtId="171" fontId="6" fillId="0" borderId="5" xfId="1" applyNumberFormat="1" applyFont="1" applyBorder="1" applyAlignment="1" applyProtection="1">
      <alignment horizontal="left" vertical="center" wrapText="1"/>
    </xf>
    <xf numFmtId="172" fontId="6" fillId="0" borderId="5" xfId="1" applyNumberFormat="1" applyFont="1" applyFill="1" applyBorder="1" applyAlignment="1">
      <alignment horizontal="right" vertical="center"/>
    </xf>
    <xf numFmtId="171" fontId="6" fillId="0" borderId="0" xfId="1" applyNumberFormat="1" applyFont="1" applyFill="1" applyBorder="1" applyAlignment="1">
      <alignment horizontal="right" vertical="center"/>
    </xf>
    <xf numFmtId="10" fontId="6" fillId="0" borderId="5" xfId="7" applyNumberFormat="1" applyFont="1" applyFill="1" applyBorder="1" applyAlignment="1">
      <alignment horizontal="right" vertical="center"/>
    </xf>
    <xf numFmtId="172" fontId="6" fillId="0" borderId="5" xfId="1" applyNumberFormat="1" applyFont="1" applyFill="1" applyBorder="1" applyAlignment="1">
      <alignment horizontal="right" vertical="center" wrapText="1"/>
    </xf>
    <xf numFmtId="171" fontId="33" fillId="0" borderId="5" xfId="1" applyNumberFormat="1" applyFont="1" applyBorder="1" applyAlignment="1" applyProtection="1">
      <alignment horizontal="left" vertical="center"/>
    </xf>
    <xf numFmtId="171" fontId="33" fillId="0" borderId="5" xfId="1" applyNumberFormat="1" applyFont="1" applyBorder="1" applyAlignment="1" applyProtection="1">
      <alignment horizontal="left" vertical="center" wrapText="1"/>
    </xf>
    <xf numFmtId="172" fontId="33" fillId="0" borderId="5" xfId="1" applyNumberFormat="1" applyFont="1" applyFill="1" applyBorder="1" applyAlignment="1">
      <alignment horizontal="right" vertical="center"/>
    </xf>
    <xf numFmtId="171" fontId="33" fillId="0" borderId="0" xfId="1" applyNumberFormat="1" applyFont="1" applyFill="1" applyBorder="1" applyAlignment="1">
      <alignment horizontal="right" vertical="center"/>
    </xf>
    <xf numFmtId="10" fontId="33" fillId="0" borderId="5" xfId="7" applyNumberFormat="1" applyFont="1" applyFill="1" applyBorder="1" applyAlignment="1">
      <alignment horizontal="right" vertical="center"/>
    </xf>
    <xf numFmtId="172" fontId="33" fillId="0" borderId="5" xfId="1" applyNumberFormat="1" applyFont="1" applyFill="1" applyBorder="1" applyAlignment="1">
      <alignment horizontal="right" vertical="center" wrapText="1"/>
    </xf>
    <xf numFmtId="0" fontId="6" fillId="13" borderId="5" xfId="1" applyNumberFormat="1" applyFont="1" applyFill="1" applyBorder="1" applyAlignment="1" applyProtection="1">
      <alignment horizontal="left" vertical="center"/>
    </xf>
    <xf numFmtId="0" fontId="6" fillId="13" borderId="5" xfId="1" applyNumberFormat="1" applyFont="1" applyFill="1" applyBorder="1" applyAlignment="1" applyProtection="1">
      <alignment horizontal="left" vertical="center" wrapText="1"/>
    </xf>
    <xf numFmtId="169" fontId="6" fillId="13" borderId="5" xfId="1" applyNumberFormat="1" applyFont="1" applyFill="1" applyBorder="1" applyAlignment="1" applyProtection="1">
      <alignment vertical="center"/>
    </xf>
    <xf numFmtId="10" fontId="6" fillId="13" borderId="5" xfId="7" applyNumberFormat="1" applyFont="1" applyFill="1" applyBorder="1" applyAlignment="1" applyProtection="1">
      <alignment vertical="center"/>
    </xf>
    <xf numFmtId="169" fontId="6" fillId="13" borderId="5" xfId="1" applyNumberFormat="1" applyFont="1" applyFill="1" applyBorder="1" applyAlignment="1" applyProtection="1">
      <alignment vertical="center" wrapText="1"/>
    </xf>
    <xf numFmtId="173" fontId="33" fillId="0" borderId="5" xfId="12" applyNumberFormat="1" applyFont="1" applyBorder="1" applyAlignment="1">
      <alignment horizontal="left" vertical="center"/>
    </xf>
    <xf numFmtId="169" fontId="41" fillId="0" borderId="5" xfId="1" applyNumberFormat="1" applyFont="1" applyFill="1" applyBorder="1" applyAlignment="1" applyProtection="1">
      <alignment vertical="center"/>
    </xf>
    <xf numFmtId="10" fontId="41" fillId="0" borderId="5" xfId="7" applyNumberFormat="1" applyFont="1" applyFill="1" applyBorder="1" applyAlignment="1" applyProtection="1">
      <alignment vertical="center"/>
    </xf>
    <xf numFmtId="169" fontId="41" fillId="0" borderId="5" xfId="1" applyNumberFormat="1" applyFont="1" applyFill="1" applyBorder="1" applyAlignment="1" applyProtection="1">
      <alignment vertical="center" wrapText="1"/>
    </xf>
    <xf numFmtId="0" fontId="33" fillId="0" borderId="5" xfId="1" applyNumberFormat="1" applyFont="1" applyFill="1" applyBorder="1" applyAlignment="1" applyProtection="1">
      <alignment horizontal="left" vertical="center" wrapText="1"/>
    </xf>
    <xf numFmtId="0" fontId="6" fillId="0" borderId="5" xfId="1" applyNumberFormat="1" applyFont="1" applyFill="1" applyBorder="1" applyAlignment="1" applyProtection="1">
      <alignment horizontal="left" vertical="center"/>
    </xf>
    <xf numFmtId="0" fontId="6" fillId="0" borderId="5" xfId="1" applyNumberFormat="1" applyFont="1" applyFill="1" applyBorder="1" applyAlignment="1" applyProtection="1">
      <alignment horizontal="left" vertical="center" wrapText="1"/>
    </xf>
    <xf numFmtId="169" fontId="6" fillId="0" borderId="5" xfId="1" applyNumberFormat="1" applyFont="1" applyFill="1" applyBorder="1" applyAlignment="1" applyProtection="1">
      <alignment vertical="center"/>
    </xf>
    <xf numFmtId="10" fontId="6" fillId="0" borderId="5" xfId="7" applyNumberFormat="1" applyFont="1" applyFill="1" applyBorder="1" applyAlignment="1" applyProtection="1">
      <alignment vertical="center"/>
    </xf>
    <xf numFmtId="169" fontId="6" fillId="0" borderId="5" xfId="1" applyNumberFormat="1" applyFont="1" applyFill="1" applyBorder="1" applyAlignment="1" applyProtection="1">
      <alignment vertical="center" wrapText="1"/>
    </xf>
    <xf numFmtId="0" fontId="6" fillId="0" borderId="5" xfId="1" applyNumberFormat="1" applyFont="1" applyBorder="1" applyAlignment="1" applyProtection="1">
      <alignment horizontal="left" vertical="center"/>
    </xf>
    <xf numFmtId="0" fontId="6" fillId="0" borderId="5" xfId="1" applyNumberFormat="1" applyFont="1" applyBorder="1" applyAlignment="1" applyProtection="1">
      <alignment horizontal="left" vertical="center" wrapText="1"/>
    </xf>
    <xf numFmtId="0" fontId="33" fillId="0" borderId="5" xfId="1" applyNumberFormat="1" applyFont="1" applyBorder="1" applyAlignment="1" applyProtection="1">
      <alignment horizontal="left" vertical="center"/>
    </xf>
    <xf numFmtId="0" fontId="33" fillId="0" borderId="5" xfId="1" applyNumberFormat="1" applyFont="1" applyBorder="1" applyAlignment="1" applyProtection="1">
      <alignment horizontal="left" vertical="center" wrapText="1"/>
    </xf>
    <xf numFmtId="169" fontId="33" fillId="0" borderId="5" xfId="1" applyNumberFormat="1" applyFont="1" applyFill="1" applyBorder="1" applyAlignment="1" applyProtection="1">
      <alignment vertical="center"/>
    </xf>
    <xf numFmtId="9" fontId="33" fillId="0" borderId="0" xfId="7" applyFont="1" applyFill="1" applyBorder="1" applyAlignment="1">
      <alignment vertical="center"/>
    </xf>
    <xf numFmtId="10" fontId="33" fillId="0" borderId="5" xfId="7" applyNumberFormat="1" applyFont="1" applyFill="1" applyBorder="1" applyAlignment="1" applyProtection="1">
      <alignment vertical="center"/>
    </xf>
    <xf numFmtId="169" fontId="33" fillId="0" borderId="5" xfId="1" applyNumberFormat="1" applyFont="1" applyFill="1" applyBorder="1" applyAlignment="1" applyProtection="1">
      <alignment vertical="center" wrapText="1"/>
    </xf>
    <xf numFmtId="0" fontId="41" fillId="0" borderId="5" xfId="1" applyNumberFormat="1" applyFont="1" applyBorder="1" applyAlignment="1" applyProtection="1">
      <alignment horizontal="left" vertical="center"/>
    </xf>
    <xf numFmtId="0" fontId="41" fillId="0" borderId="5" xfId="1" applyNumberFormat="1" applyFont="1" applyBorder="1" applyAlignment="1" applyProtection="1">
      <alignment horizontal="left" vertical="center" wrapText="1"/>
    </xf>
    <xf numFmtId="0" fontId="42" fillId="0" borderId="5" xfId="1" applyNumberFormat="1" applyFont="1" applyBorder="1" applyAlignment="1" applyProtection="1">
      <alignment horizontal="left" vertical="center"/>
    </xf>
    <xf numFmtId="174" fontId="42" fillId="0" borderId="5" xfId="7" applyNumberFormat="1" applyFont="1" applyFill="1" applyBorder="1" applyAlignment="1" applyProtection="1">
      <alignment horizontal="left" vertical="center" wrapText="1"/>
    </xf>
    <xf numFmtId="175" fontId="42" fillId="0" borderId="5" xfId="7" applyNumberFormat="1" applyFont="1" applyFill="1" applyBorder="1" applyAlignment="1" applyProtection="1">
      <alignment vertical="center"/>
    </xf>
    <xf numFmtId="10" fontId="42" fillId="0" borderId="5" xfId="7" applyNumberFormat="1" applyFont="1" applyFill="1" applyBorder="1" applyAlignment="1" applyProtection="1">
      <alignment vertical="center"/>
    </xf>
    <xf numFmtId="175" fontId="42" fillId="0" borderId="5" xfId="7" applyNumberFormat="1" applyFont="1" applyFill="1" applyBorder="1" applyAlignment="1" applyProtection="1">
      <alignment vertical="center" wrapText="1"/>
    </xf>
    <xf numFmtId="175" fontId="42" fillId="0" borderId="5" xfId="7" applyNumberFormat="1" applyFont="1" applyFill="1" applyBorder="1" applyAlignment="1" applyProtection="1">
      <alignment horizontal="left" vertical="center"/>
    </xf>
    <xf numFmtId="175" fontId="42" fillId="5" borderId="5" xfId="7" applyNumberFormat="1" applyFont="1" applyFill="1" applyBorder="1" applyAlignment="1" applyProtection="1">
      <alignment vertical="center"/>
    </xf>
    <xf numFmtId="9" fontId="6" fillId="0" borderId="0" xfId="7" applyFont="1" applyFill="1" applyBorder="1" applyAlignment="1">
      <alignment vertical="center"/>
    </xf>
    <xf numFmtId="9" fontId="6" fillId="13" borderId="5" xfId="7" applyFont="1" applyFill="1" applyBorder="1" applyAlignment="1" applyProtection="1">
      <alignment vertical="center"/>
    </xf>
    <xf numFmtId="174" fontId="42" fillId="0" borderId="5" xfId="7" applyNumberFormat="1" applyFont="1" applyFill="1" applyBorder="1" applyAlignment="1" applyProtection="1">
      <alignment horizontal="left" vertical="center"/>
    </xf>
    <xf numFmtId="168" fontId="45" fillId="0" borderId="5" xfId="7" applyNumberFormat="1" applyFont="1" applyFill="1" applyBorder="1" applyAlignment="1" applyProtection="1">
      <alignment vertical="center"/>
    </xf>
    <xf numFmtId="9" fontId="45" fillId="0" borderId="5" xfId="7" applyFont="1" applyFill="1" applyBorder="1" applyAlignment="1" applyProtection="1">
      <alignment vertical="center"/>
    </xf>
    <xf numFmtId="10" fontId="45" fillId="0" borderId="5" xfId="7" applyNumberFormat="1" applyFont="1" applyFill="1" applyBorder="1" applyAlignment="1" applyProtection="1">
      <alignment vertical="center"/>
    </xf>
    <xf numFmtId="9" fontId="45" fillId="0" borderId="5" xfId="7" applyFont="1" applyFill="1" applyBorder="1" applyAlignment="1" applyProtection="1">
      <alignment vertical="center" wrapText="1"/>
    </xf>
    <xf numFmtId="174" fontId="42" fillId="0" borderId="5" xfId="7" applyNumberFormat="1" applyFont="1" applyFill="1" applyBorder="1" applyAlignment="1" applyProtection="1">
      <alignment vertical="center"/>
    </xf>
    <xf numFmtId="9" fontId="41" fillId="0" borderId="6" xfId="7" applyFont="1" applyFill="1" applyBorder="1" applyAlignment="1" applyProtection="1">
      <alignment horizontal="left" vertical="center"/>
    </xf>
    <xf numFmtId="9" fontId="41" fillId="0" borderId="6" xfId="7" applyFont="1" applyFill="1" applyBorder="1" applyAlignment="1" applyProtection="1">
      <alignment horizontal="left" vertical="center" wrapText="1"/>
    </xf>
    <xf numFmtId="169" fontId="41" fillId="0" borderId="6" xfId="7" applyNumberFormat="1" applyFont="1" applyFill="1" applyBorder="1" applyAlignment="1" applyProtection="1">
      <alignment vertical="center"/>
    </xf>
    <xf numFmtId="10" fontId="41" fillId="0" borderId="6" xfId="7" applyNumberFormat="1" applyFont="1" applyFill="1" applyBorder="1" applyAlignment="1" applyProtection="1">
      <alignment vertical="center"/>
    </xf>
    <xf numFmtId="169" fontId="41" fillId="0" borderId="6" xfId="7" applyNumberFormat="1" applyFont="1" applyFill="1" applyBorder="1" applyAlignment="1" applyProtection="1">
      <alignment vertical="center" wrapText="1"/>
    </xf>
    <xf numFmtId="10" fontId="6" fillId="0" borderId="0" xfId="7" applyNumberFormat="1" applyFont="1" applyAlignment="1">
      <alignment horizontal="center" vertical="center" wrapText="1"/>
    </xf>
    <xf numFmtId="10" fontId="6" fillId="0" borderId="0" xfId="7" applyNumberFormat="1" applyFont="1" applyFill="1" applyBorder="1" applyAlignment="1">
      <alignment horizontal="center" vertical="center" wrapText="1"/>
    </xf>
    <xf numFmtId="169" fontId="47" fillId="0" borderId="0" xfId="1" applyNumberFormat="1" applyFont="1" applyAlignment="1">
      <alignment vertical="center"/>
    </xf>
    <xf numFmtId="10" fontId="47" fillId="0" borderId="0" xfId="7" applyNumberFormat="1" applyFont="1" applyAlignment="1">
      <alignment vertical="center"/>
    </xf>
    <xf numFmtId="169" fontId="47" fillId="0" borderId="0" xfId="1" applyNumberFormat="1" applyFont="1" applyAlignment="1">
      <alignment vertical="center" wrapText="1"/>
    </xf>
    <xf numFmtId="0" fontId="18" fillId="3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right" vertical="center"/>
    </xf>
    <xf numFmtId="11" fontId="11" fillId="0" borderId="0" xfId="0" applyNumberFormat="1" applyFont="1"/>
    <xf numFmtId="177" fontId="22" fillId="0" borderId="0" xfId="0" applyNumberFormat="1" applyFont="1"/>
    <xf numFmtId="3" fontId="9" fillId="10" borderId="8" xfId="4" applyNumberFormat="1" applyFont="1" applyFill="1" applyBorder="1" applyAlignment="1">
      <alignment horizontal="left" vertical="center" wrapText="1"/>
    </xf>
    <xf numFmtId="3" fontId="48" fillId="0" borderId="8" xfId="4" applyNumberFormat="1" applyFont="1" applyBorder="1" applyAlignment="1">
      <alignment horizontal="left" vertical="center"/>
    </xf>
    <xf numFmtId="3" fontId="49" fillId="0" borderId="8" xfId="4" applyNumberFormat="1" applyFont="1" applyBorder="1" applyAlignment="1">
      <alignment horizontal="left" vertical="center"/>
    </xf>
    <xf numFmtId="3" fontId="50" fillId="0" borderId="8" xfId="4" applyNumberFormat="1" applyFont="1" applyBorder="1" applyAlignment="1">
      <alignment horizontal="left" vertical="center"/>
    </xf>
    <xf numFmtId="3" fontId="21" fillId="0" borderId="8" xfId="4" applyNumberFormat="1" applyFont="1" applyBorder="1" applyAlignment="1">
      <alignment horizontal="left" vertical="center"/>
    </xf>
    <xf numFmtId="164" fontId="8" fillId="16" borderId="10" xfId="6" applyNumberFormat="1" applyFont="1" applyFill="1" applyBorder="1" applyAlignment="1">
      <alignment horizontal="center" vertical="center" wrapText="1"/>
    </xf>
    <xf numFmtId="178" fontId="8" fillId="17" borderId="8" xfId="6" applyNumberFormat="1" applyFont="1" applyFill="1" applyBorder="1" applyAlignment="1">
      <alignment horizontal="center" vertical="center" wrapText="1"/>
    </xf>
    <xf numFmtId="166" fontId="51" fillId="0" borderId="11" xfId="5" applyNumberFormat="1" applyFont="1" applyFill="1" applyBorder="1" applyAlignment="1">
      <alignment horizontal="right" vertical="center" wrapText="1"/>
    </xf>
    <xf numFmtId="3" fontId="49" fillId="0" borderId="9" xfId="0" applyNumberFormat="1" applyFont="1" applyBorder="1" applyAlignment="1" applyProtection="1">
      <alignment vertical="center" wrapText="1"/>
      <protection locked="0"/>
    </xf>
    <xf numFmtId="3" fontId="49" fillId="18" borderId="9" xfId="0" applyNumberFormat="1" applyFont="1" applyFill="1" applyBorder="1" applyAlignment="1" applyProtection="1">
      <alignment vertical="center" wrapText="1"/>
      <protection locked="0"/>
    </xf>
    <xf numFmtId="164" fontId="50" fillId="0" borderId="9" xfId="1" applyNumberFormat="1" applyFont="1" applyBorder="1" applyAlignment="1" applyProtection="1">
      <alignment vertical="center" wrapText="1"/>
      <protection locked="0"/>
    </xf>
    <xf numFmtId="3" fontId="49" fillId="19" borderId="9" xfId="0" applyNumberFormat="1" applyFont="1" applyFill="1" applyBorder="1" applyAlignment="1" applyProtection="1">
      <alignment vertical="center" wrapText="1"/>
      <protection locked="0"/>
    </xf>
    <xf numFmtId="164" fontId="21" fillId="19" borderId="12" xfId="5" applyNumberFormat="1" applyFont="1" applyFill="1" applyBorder="1" applyAlignment="1" applyProtection="1">
      <alignment horizontal="center" vertical="center" wrapText="1"/>
      <protection locked="0"/>
    </xf>
    <xf numFmtId="164" fontId="21" fillId="0" borderId="12" xfId="5" applyNumberFormat="1" applyFont="1" applyBorder="1" applyAlignment="1" applyProtection="1">
      <alignment horizontal="center" vertical="center" wrapText="1"/>
      <protection locked="0"/>
    </xf>
    <xf numFmtId="164" fontId="21" fillId="18" borderId="12" xfId="5" applyNumberFormat="1" applyFont="1" applyFill="1" applyBorder="1" applyAlignment="1" applyProtection="1">
      <alignment horizontal="center" vertical="center" wrapText="1"/>
      <protection locked="0"/>
    </xf>
    <xf numFmtId="3" fontId="52" fillId="19" borderId="9" xfId="0" applyNumberFormat="1" applyFont="1" applyFill="1" applyBorder="1" applyAlignment="1" applyProtection="1">
      <alignment vertical="center" wrapText="1"/>
      <protection locked="0"/>
    </xf>
    <xf numFmtId="3" fontId="52" fillId="0" borderId="9" xfId="0" applyNumberFormat="1" applyFont="1" applyBorder="1" applyAlignment="1" applyProtection="1">
      <alignment vertical="center" wrapText="1"/>
      <protection locked="0"/>
    </xf>
    <xf numFmtId="3" fontId="52" fillId="18" borderId="9" xfId="0" applyNumberFormat="1" applyFont="1" applyFill="1" applyBorder="1" applyAlignment="1" applyProtection="1">
      <alignment vertical="center" wrapText="1"/>
      <protection locked="0"/>
    </xf>
    <xf numFmtId="3" fontId="50" fillId="19" borderId="9" xfId="0" applyNumberFormat="1" applyFont="1" applyFill="1" applyBorder="1" applyAlignment="1" applyProtection="1">
      <alignment vertical="center" wrapText="1"/>
      <protection locked="0"/>
    </xf>
    <xf numFmtId="3" fontId="50" fillId="0" borderId="9" xfId="0" applyNumberFormat="1" applyFont="1" applyBorder="1" applyAlignment="1" applyProtection="1">
      <alignment vertical="center" wrapText="1"/>
      <protection locked="0"/>
    </xf>
    <xf numFmtId="3" fontId="50" fillId="18" borderId="9" xfId="0" applyNumberFormat="1" applyFont="1" applyFill="1" applyBorder="1" applyAlignment="1" applyProtection="1">
      <alignment vertical="center" wrapText="1"/>
      <protection locked="0"/>
    </xf>
    <xf numFmtId="3" fontId="50" fillId="19" borderId="9" xfId="4" applyNumberFormat="1" applyFont="1" applyFill="1" applyBorder="1" applyAlignment="1" applyProtection="1">
      <alignment vertical="center" wrapText="1"/>
      <protection locked="0"/>
    </xf>
    <xf numFmtId="3" fontId="50" fillId="0" borderId="9" xfId="4" applyNumberFormat="1" applyFont="1" applyBorder="1" applyAlignment="1" applyProtection="1">
      <alignment vertical="center" wrapText="1"/>
      <protection locked="0"/>
    </xf>
    <xf numFmtId="3" fontId="50" fillId="18" borderId="9" xfId="4" applyNumberFormat="1" applyFont="1" applyFill="1" applyBorder="1" applyAlignment="1" applyProtection="1">
      <alignment vertical="center" wrapText="1"/>
      <protection locked="0"/>
    </xf>
    <xf numFmtId="3" fontId="53" fillId="19" borderId="9" xfId="0" applyNumberFormat="1" applyFont="1" applyFill="1" applyBorder="1" applyAlignment="1" applyProtection="1">
      <alignment vertical="center" wrapText="1"/>
      <protection locked="0"/>
    </xf>
    <xf numFmtId="3" fontId="53" fillId="0" borderId="9" xfId="0" applyNumberFormat="1" applyFont="1" applyBorder="1" applyAlignment="1" applyProtection="1">
      <alignment vertical="center" wrapText="1"/>
      <protection locked="0"/>
    </xf>
    <xf numFmtId="3" fontId="53" fillId="18" borderId="9" xfId="0" applyNumberFormat="1" applyFont="1" applyFill="1" applyBorder="1" applyAlignment="1" applyProtection="1">
      <alignment vertical="center" wrapText="1"/>
      <protection locked="0"/>
    </xf>
    <xf numFmtId="164" fontId="27" fillId="0" borderId="3" xfId="1" applyNumberFormat="1" applyFont="1" applyFill="1" applyBorder="1" applyAlignment="1" applyProtection="1">
      <alignment horizontal="right" vertical="top" wrapText="1"/>
      <protection locked="0"/>
    </xf>
    <xf numFmtId="0" fontId="18" fillId="6" borderId="0" xfId="0" applyFont="1" applyFill="1" applyAlignment="1">
      <alignment horizontal="right" vertical="center"/>
    </xf>
    <xf numFmtId="164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64" fontId="11" fillId="0" borderId="0" xfId="0" applyNumberFormat="1" applyFont="1"/>
    <xf numFmtId="43" fontId="11" fillId="0" borderId="0" xfId="0" applyNumberFormat="1" applyFont="1"/>
    <xf numFmtId="164" fontId="11" fillId="0" borderId="0" xfId="1" applyNumberFormat="1" applyFont="1"/>
    <xf numFmtId="0" fontId="54" fillId="8" borderId="26" xfId="0" applyFont="1" applyFill="1" applyBorder="1"/>
    <xf numFmtId="179" fontId="54" fillId="8" borderId="27" xfId="0" applyNumberFormat="1" applyFont="1" applyFill="1" applyBorder="1"/>
    <xf numFmtId="0" fontId="18" fillId="4" borderId="34" xfId="0" applyFont="1" applyFill="1" applyBorder="1" applyAlignment="1">
      <alignment horizontal="right" vertical="center"/>
    </xf>
    <xf numFmtId="0" fontId="18" fillId="4" borderId="35" xfId="0" applyFont="1" applyFill="1" applyBorder="1" applyAlignment="1">
      <alignment horizontal="right" vertical="center"/>
    </xf>
    <xf numFmtId="0" fontId="18" fillId="20" borderId="36" xfId="0" applyFont="1" applyFill="1" applyBorder="1" applyAlignment="1">
      <alignment horizontal="right" vertical="center"/>
    </xf>
    <xf numFmtId="0" fontId="18" fillId="20" borderId="0" xfId="0" applyFont="1" applyFill="1" applyAlignment="1">
      <alignment horizontal="right" vertical="center"/>
    </xf>
    <xf numFmtId="0" fontId="18" fillId="20" borderId="37" xfId="0" applyFont="1" applyFill="1" applyBorder="1" applyAlignment="1">
      <alignment horizontal="right" vertical="center"/>
    </xf>
    <xf numFmtId="164" fontId="19" fillId="0" borderId="38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39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40" xfId="1" applyNumberFormat="1" applyFont="1" applyFill="1" applyBorder="1" applyAlignment="1" applyProtection="1">
      <alignment horizontal="right" vertical="top" wrapText="1"/>
      <protection locked="0"/>
    </xf>
    <xf numFmtId="164" fontId="19" fillId="0" borderId="41" xfId="1" applyNumberFormat="1" applyFont="1" applyFill="1" applyBorder="1" applyAlignment="1" applyProtection="1">
      <alignment horizontal="right" vertical="top" wrapText="1"/>
      <protection locked="0"/>
    </xf>
    <xf numFmtId="164" fontId="36" fillId="0" borderId="42" xfId="1" applyNumberFormat="1" applyFont="1" applyBorder="1" applyAlignment="1" applyProtection="1">
      <alignment vertical="top" wrapText="1"/>
      <protection locked="0"/>
    </xf>
    <xf numFmtId="164" fontId="36" fillId="0" borderId="43" xfId="1" applyNumberFormat="1" applyFont="1" applyBorder="1" applyAlignment="1" applyProtection="1">
      <alignment vertical="top" wrapText="1"/>
      <protection locked="0"/>
    </xf>
    <xf numFmtId="164" fontId="36" fillId="0" borderId="44" xfId="1" applyNumberFormat="1" applyFont="1" applyBorder="1" applyAlignment="1" applyProtection="1">
      <alignment vertical="top" wrapText="1"/>
      <protection locked="0"/>
    </xf>
    <xf numFmtId="164" fontId="36" fillId="0" borderId="45" xfId="1" applyNumberFormat="1" applyFont="1" applyBorder="1" applyAlignment="1" applyProtection="1">
      <alignment vertical="top" wrapText="1"/>
      <protection locked="0"/>
    </xf>
    <xf numFmtId="164" fontId="15" fillId="0" borderId="42" xfId="1" applyNumberFormat="1" applyFont="1" applyBorder="1" applyAlignment="1" applyProtection="1">
      <alignment horizontal="center" vertical="top" wrapText="1"/>
      <protection locked="0"/>
    </xf>
    <xf numFmtId="164" fontId="15" fillId="0" borderId="43" xfId="1" applyNumberFormat="1" applyFont="1" applyBorder="1" applyAlignment="1" applyProtection="1">
      <alignment horizontal="center" vertical="top" wrapText="1"/>
      <protection locked="0"/>
    </xf>
    <xf numFmtId="164" fontId="15" fillId="0" borderId="44" xfId="1" applyNumberFormat="1" applyFont="1" applyBorder="1" applyAlignment="1" applyProtection="1">
      <alignment horizontal="center" vertical="top" wrapText="1"/>
      <protection locked="0"/>
    </xf>
    <xf numFmtId="164" fontId="15" fillId="0" borderId="45" xfId="1" applyNumberFormat="1" applyFont="1" applyBorder="1" applyAlignment="1" applyProtection="1">
      <alignment horizontal="center" vertical="top" wrapText="1"/>
      <protection locked="0"/>
    </xf>
    <xf numFmtId="164" fontId="27" fillId="0" borderId="42" xfId="1" applyNumberFormat="1" applyFont="1" applyBorder="1" applyAlignment="1" applyProtection="1">
      <alignment vertical="top" wrapText="1"/>
      <protection locked="0"/>
    </xf>
    <xf numFmtId="164" fontId="27" fillId="0" borderId="43" xfId="1" applyNumberFormat="1" applyFont="1" applyBorder="1" applyAlignment="1" applyProtection="1">
      <alignment vertical="top" wrapText="1"/>
      <protection locked="0"/>
    </xf>
    <xf numFmtId="164" fontId="27" fillId="0" borderId="44" xfId="1" applyNumberFormat="1" applyFont="1" applyBorder="1" applyAlignment="1" applyProtection="1">
      <alignment vertical="top" wrapText="1"/>
      <protection locked="0"/>
    </xf>
    <xf numFmtId="164" fontId="27" fillId="0" borderId="45" xfId="1" applyNumberFormat="1" applyFont="1" applyBorder="1" applyAlignment="1" applyProtection="1">
      <alignment vertical="top" wrapText="1"/>
      <protection locked="0"/>
    </xf>
    <xf numFmtId="164" fontId="29" fillId="0" borderId="42" xfId="1" applyNumberFormat="1" applyFont="1" applyBorder="1" applyAlignment="1" applyProtection="1">
      <alignment vertical="top" wrapText="1"/>
      <protection locked="0"/>
    </xf>
    <xf numFmtId="164" fontId="29" fillId="0" borderId="43" xfId="1" applyNumberFormat="1" applyFont="1" applyBorder="1" applyAlignment="1" applyProtection="1">
      <alignment vertical="top" wrapText="1"/>
      <protection locked="0"/>
    </xf>
    <xf numFmtId="164" fontId="29" fillId="0" borderId="44" xfId="1" applyNumberFormat="1" applyFont="1" applyBorder="1" applyAlignment="1" applyProtection="1">
      <alignment vertical="top" wrapText="1"/>
      <protection locked="0"/>
    </xf>
    <xf numFmtId="164" fontId="29" fillId="0" borderId="45" xfId="1" applyNumberFormat="1" applyFont="1" applyBorder="1" applyAlignment="1" applyProtection="1">
      <alignment vertical="top" wrapText="1"/>
      <protection locked="0"/>
    </xf>
    <xf numFmtId="164" fontId="13" fillId="0" borderId="42" xfId="1" applyNumberFormat="1" applyFont="1" applyBorder="1" applyAlignment="1" applyProtection="1">
      <alignment vertical="top" wrapText="1"/>
      <protection locked="0"/>
    </xf>
    <xf numFmtId="164" fontId="13" fillId="0" borderId="43" xfId="1" applyNumberFormat="1" applyFont="1" applyBorder="1" applyAlignment="1" applyProtection="1">
      <alignment vertical="top" wrapText="1"/>
      <protection locked="0"/>
    </xf>
    <xf numFmtId="164" fontId="13" fillId="0" borderId="44" xfId="1" applyNumberFormat="1" applyFont="1" applyBorder="1" applyAlignment="1" applyProtection="1">
      <alignment vertical="top" wrapText="1"/>
      <protection locked="0"/>
    </xf>
    <xf numFmtId="164" fontId="13" fillId="0" borderId="45" xfId="1" applyNumberFormat="1" applyFont="1" applyBorder="1" applyAlignment="1" applyProtection="1">
      <alignment vertical="top" wrapText="1"/>
      <protection locked="0"/>
    </xf>
    <xf numFmtId="164" fontId="13" fillId="0" borderId="46" xfId="1" applyNumberFormat="1" applyFont="1" applyBorder="1" applyAlignment="1" applyProtection="1">
      <alignment vertical="top" wrapText="1"/>
      <protection locked="0"/>
    </xf>
    <xf numFmtId="164" fontId="13" fillId="0" borderId="47" xfId="1" applyNumberFormat="1" applyFont="1" applyBorder="1" applyAlignment="1" applyProtection="1">
      <alignment vertical="top" wrapText="1"/>
      <protection locked="0"/>
    </xf>
    <xf numFmtId="164" fontId="13" fillId="0" borderId="48" xfId="1" applyNumberFormat="1" applyFont="1" applyBorder="1" applyAlignment="1" applyProtection="1">
      <alignment vertical="top" wrapText="1"/>
      <protection locked="0"/>
    </xf>
    <xf numFmtId="164" fontId="13" fillId="0" borderId="49" xfId="1" applyNumberFormat="1" applyFont="1" applyBorder="1" applyAlignment="1" applyProtection="1">
      <alignment vertical="top" wrapText="1"/>
      <protection locked="0"/>
    </xf>
    <xf numFmtId="164" fontId="9" fillId="7" borderId="50" xfId="1" applyNumberFormat="1" applyFont="1" applyFill="1" applyBorder="1" applyAlignment="1" applyProtection="1">
      <alignment vertical="top" wrapText="1"/>
      <protection locked="0"/>
    </xf>
    <xf numFmtId="164" fontId="9" fillId="7" borderId="51" xfId="1" applyNumberFormat="1" applyFont="1" applyFill="1" applyBorder="1" applyAlignment="1" applyProtection="1">
      <alignment vertical="top" wrapText="1"/>
      <protection locked="0"/>
    </xf>
    <xf numFmtId="164" fontId="9" fillId="7" borderId="52" xfId="1" applyNumberFormat="1" applyFont="1" applyFill="1" applyBorder="1" applyAlignment="1" applyProtection="1">
      <alignment vertical="top" wrapText="1"/>
      <protection locked="0"/>
    </xf>
    <xf numFmtId="164" fontId="9" fillId="7" borderId="53" xfId="1" applyNumberFormat="1" applyFont="1" applyFill="1" applyBorder="1" applyAlignment="1" applyProtection="1">
      <alignment vertical="top" wrapText="1"/>
      <protection locked="0"/>
    </xf>
    <xf numFmtId="164" fontId="27" fillId="7" borderId="38" xfId="1" applyNumberFormat="1" applyFont="1" applyFill="1" applyBorder="1" applyAlignment="1" applyProtection="1">
      <alignment vertical="top" wrapText="1"/>
      <protection locked="0"/>
    </xf>
    <xf numFmtId="164" fontId="27" fillId="7" borderId="39" xfId="1" applyNumberFormat="1" applyFont="1" applyFill="1" applyBorder="1" applyAlignment="1" applyProtection="1">
      <alignment vertical="top" wrapText="1"/>
      <protection locked="0"/>
    </xf>
    <xf numFmtId="164" fontId="27" fillId="7" borderId="40" xfId="1" applyNumberFormat="1" applyFont="1" applyFill="1" applyBorder="1" applyAlignment="1" applyProtection="1">
      <alignment vertical="top" wrapText="1"/>
      <protection locked="0"/>
    </xf>
    <xf numFmtId="164" fontId="27" fillId="7" borderId="41" xfId="1" applyNumberFormat="1" applyFont="1" applyFill="1" applyBorder="1" applyAlignment="1" applyProtection="1">
      <alignment vertical="top" wrapText="1"/>
      <protection locked="0"/>
    </xf>
    <xf numFmtId="164" fontId="27" fillId="7" borderId="42" xfId="1" applyNumberFormat="1" applyFont="1" applyFill="1" applyBorder="1" applyAlignment="1" applyProtection="1">
      <alignment vertical="top" wrapText="1"/>
      <protection locked="0"/>
    </xf>
    <xf numFmtId="164" fontId="27" fillId="7" borderId="43" xfId="1" applyNumberFormat="1" applyFont="1" applyFill="1" applyBorder="1" applyAlignment="1" applyProtection="1">
      <alignment vertical="top" wrapText="1"/>
      <protection locked="0"/>
    </xf>
    <xf numFmtId="164" fontId="27" fillId="7" borderId="44" xfId="1" applyNumberFormat="1" applyFont="1" applyFill="1" applyBorder="1" applyAlignment="1" applyProtection="1">
      <alignment vertical="top" wrapText="1"/>
      <protection locked="0"/>
    </xf>
    <xf numFmtId="164" fontId="27" fillId="7" borderId="45" xfId="1" applyNumberFormat="1" applyFont="1" applyFill="1" applyBorder="1" applyAlignment="1" applyProtection="1">
      <alignment vertical="top" wrapText="1"/>
      <protection locked="0"/>
    </xf>
    <xf numFmtId="164" fontId="11" fillId="0" borderId="42" xfId="1" applyNumberFormat="1" applyFont="1" applyBorder="1" applyAlignment="1" applyProtection="1">
      <alignment vertical="top" wrapText="1"/>
      <protection locked="0"/>
    </xf>
    <xf numFmtId="164" fontId="11" fillId="0" borderId="43" xfId="1" applyNumberFormat="1" applyFont="1" applyBorder="1" applyAlignment="1" applyProtection="1">
      <alignment vertical="top" wrapText="1"/>
      <protection locked="0"/>
    </xf>
    <xf numFmtId="164" fontId="11" fillId="0" borderId="44" xfId="1" applyNumberFormat="1" applyFont="1" applyBorder="1" applyAlignment="1" applyProtection="1">
      <alignment vertical="top" wrapText="1"/>
      <protection locked="0"/>
    </xf>
    <xf numFmtId="164" fontId="11" fillId="0" borderId="45" xfId="1" applyNumberFormat="1" applyFont="1" applyBorder="1" applyAlignment="1" applyProtection="1">
      <alignment vertical="top" wrapText="1"/>
      <protection locked="0"/>
    </xf>
    <xf numFmtId="164" fontId="28" fillId="0" borderId="42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3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4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5" xfId="1" applyNumberFormat="1" applyFont="1" applyFill="1" applyBorder="1" applyAlignment="1" applyProtection="1">
      <alignment horizontal="right" vertical="top" wrapText="1"/>
      <protection locked="0"/>
    </xf>
    <xf numFmtId="164" fontId="28" fillId="0" borderId="46" xfId="1" applyNumberFormat="1" applyFont="1" applyBorder="1" applyAlignment="1" applyProtection="1">
      <alignment vertical="top" wrapText="1"/>
      <protection locked="0"/>
    </xf>
    <xf numFmtId="164" fontId="28" fillId="0" borderId="47" xfId="1" applyNumberFormat="1" applyFont="1" applyBorder="1" applyAlignment="1" applyProtection="1">
      <alignment vertical="top" wrapText="1"/>
      <protection locked="0"/>
    </xf>
    <xf numFmtId="164" fontId="28" fillId="0" borderId="48" xfId="1" applyNumberFormat="1" applyFont="1" applyBorder="1" applyAlignment="1" applyProtection="1">
      <alignment vertical="top" wrapText="1"/>
      <protection locked="0"/>
    </xf>
    <xf numFmtId="164" fontId="28" fillId="0" borderId="49" xfId="1" applyNumberFormat="1" applyFont="1" applyBorder="1" applyAlignment="1" applyProtection="1">
      <alignment vertical="top" wrapText="1"/>
      <protection locked="0"/>
    </xf>
    <xf numFmtId="164" fontId="8" fillId="7" borderId="50" xfId="1" applyNumberFormat="1" applyFont="1" applyFill="1" applyBorder="1" applyAlignment="1" applyProtection="1">
      <alignment vertical="top" wrapText="1"/>
      <protection locked="0"/>
    </xf>
    <xf numFmtId="164" fontId="8" fillId="7" borderId="51" xfId="1" applyNumberFormat="1" applyFont="1" applyFill="1" applyBorder="1" applyAlignment="1" applyProtection="1">
      <alignment vertical="top" wrapText="1"/>
      <protection locked="0"/>
    </xf>
    <xf numFmtId="164" fontId="8" fillId="7" borderId="52" xfId="1" applyNumberFormat="1" applyFont="1" applyFill="1" applyBorder="1" applyAlignment="1" applyProtection="1">
      <alignment vertical="top" wrapText="1"/>
      <protection locked="0"/>
    </xf>
    <xf numFmtId="164" fontId="8" fillId="7" borderId="53" xfId="1" applyNumberFormat="1" applyFont="1" applyFill="1" applyBorder="1" applyAlignment="1" applyProtection="1">
      <alignment vertical="top" wrapText="1"/>
      <protection locked="0"/>
    </xf>
    <xf numFmtId="164" fontId="27" fillId="7" borderId="42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3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4" xfId="1" applyNumberFormat="1" applyFont="1" applyFill="1" applyBorder="1" applyAlignment="1" applyProtection="1">
      <alignment horizontal="center" vertical="top" wrapText="1"/>
      <protection locked="0"/>
    </xf>
    <xf numFmtId="164" fontId="27" fillId="7" borderId="45" xfId="1" applyNumberFormat="1" applyFont="1" applyFill="1" applyBorder="1" applyAlignment="1" applyProtection="1">
      <alignment horizontal="center" vertical="top" wrapText="1"/>
      <protection locked="0"/>
    </xf>
    <xf numFmtId="164" fontId="9" fillId="0" borderId="42" xfId="1" applyNumberFormat="1" applyFont="1" applyBorder="1" applyAlignment="1" applyProtection="1">
      <alignment vertical="top" wrapText="1"/>
      <protection locked="0"/>
    </xf>
    <xf numFmtId="164" fontId="9" fillId="0" borderId="43" xfId="1" applyNumberFormat="1" applyFont="1" applyBorder="1" applyAlignment="1" applyProtection="1">
      <alignment vertical="top" wrapText="1"/>
      <protection locked="0"/>
    </xf>
    <xf numFmtId="164" fontId="9" fillId="0" borderId="44" xfId="1" applyNumberFormat="1" applyFont="1" applyBorder="1" applyAlignment="1" applyProtection="1">
      <alignment vertical="top" wrapText="1"/>
      <protection locked="0"/>
    </xf>
    <xf numFmtId="164" fontId="9" fillId="0" borderId="45" xfId="1" applyNumberFormat="1" applyFont="1" applyBorder="1" applyAlignment="1" applyProtection="1">
      <alignment vertical="top" wrapText="1"/>
      <protection locked="0"/>
    </xf>
    <xf numFmtId="164" fontId="26" fillId="0" borderId="42" xfId="1" applyNumberFormat="1" applyFont="1" applyBorder="1" applyAlignment="1" applyProtection="1">
      <alignment vertical="top" wrapText="1"/>
      <protection locked="0"/>
    </xf>
    <xf numFmtId="164" fontId="26" fillId="0" borderId="43" xfId="1" applyNumberFormat="1" applyFont="1" applyBorder="1" applyAlignment="1" applyProtection="1">
      <alignment vertical="top" wrapText="1"/>
      <protection locked="0"/>
    </xf>
    <xf numFmtId="164" fontId="26" fillId="0" borderId="44" xfId="1" applyNumberFormat="1" applyFont="1" applyBorder="1" applyAlignment="1" applyProtection="1">
      <alignment vertical="top" wrapText="1"/>
      <protection locked="0"/>
    </xf>
    <xf numFmtId="164" fontId="26" fillId="0" borderId="45" xfId="1" applyNumberFormat="1" applyFont="1" applyBorder="1" applyAlignment="1" applyProtection="1">
      <alignment vertical="top" wrapText="1"/>
      <protection locked="0"/>
    </xf>
    <xf numFmtId="164" fontId="9" fillId="0" borderId="50" xfId="1" applyNumberFormat="1" applyFont="1" applyBorder="1" applyAlignment="1" applyProtection="1">
      <alignment vertical="top" wrapText="1"/>
      <protection locked="0"/>
    </xf>
    <xf numFmtId="164" fontId="9" fillId="0" borderId="51" xfId="1" applyNumberFormat="1" applyFont="1" applyBorder="1" applyAlignment="1" applyProtection="1">
      <alignment vertical="top" wrapText="1"/>
      <protection locked="0"/>
    </xf>
    <xf numFmtId="164" fontId="9" fillId="0" borderId="52" xfId="1" applyNumberFormat="1" applyFont="1" applyBorder="1" applyAlignment="1" applyProtection="1">
      <alignment vertical="top" wrapText="1"/>
      <protection locked="0"/>
    </xf>
    <xf numFmtId="164" fontId="9" fillId="0" borderId="53" xfId="1" applyNumberFormat="1" applyFont="1" applyBorder="1" applyAlignment="1" applyProtection="1">
      <alignment vertical="top" wrapText="1"/>
      <protection locked="0"/>
    </xf>
    <xf numFmtId="164" fontId="34" fillId="0" borderId="38" xfId="1" applyNumberFormat="1" applyFont="1" applyBorder="1" applyAlignment="1" applyProtection="1">
      <alignment vertical="top" wrapText="1"/>
      <protection locked="0"/>
    </xf>
    <xf numFmtId="164" fontId="34" fillId="0" borderId="39" xfId="1" applyNumberFormat="1" applyFont="1" applyBorder="1" applyAlignment="1" applyProtection="1">
      <alignment vertical="top" wrapText="1"/>
      <protection locked="0"/>
    </xf>
    <xf numFmtId="164" fontId="34" fillId="0" borderId="40" xfId="1" applyNumberFormat="1" applyFont="1" applyBorder="1" applyAlignment="1" applyProtection="1">
      <alignment vertical="top" wrapText="1"/>
      <protection locked="0"/>
    </xf>
    <xf numFmtId="164" fontId="34" fillId="0" borderId="41" xfId="1" applyNumberFormat="1" applyFont="1" applyBorder="1" applyAlignment="1" applyProtection="1">
      <alignment vertical="top" wrapText="1"/>
      <protection locked="0"/>
    </xf>
    <xf numFmtId="164" fontId="34" fillId="0" borderId="42" xfId="1" applyNumberFormat="1" applyFont="1" applyBorder="1" applyAlignment="1" applyProtection="1">
      <alignment vertical="top" wrapText="1"/>
      <protection locked="0"/>
    </xf>
    <xf numFmtId="164" fontId="34" fillId="0" borderId="43" xfId="1" applyNumberFormat="1" applyFont="1" applyBorder="1" applyAlignment="1" applyProtection="1">
      <alignment vertical="top" wrapText="1"/>
      <protection locked="0"/>
    </xf>
    <xf numFmtId="164" fontId="34" fillId="0" borderId="44" xfId="1" applyNumberFormat="1" applyFont="1" applyBorder="1" applyAlignment="1" applyProtection="1">
      <alignment vertical="top" wrapText="1"/>
      <protection locked="0"/>
    </xf>
    <xf numFmtId="164" fontId="34" fillId="0" borderId="45" xfId="1" applyNumberFormat="1" applyFont="1" applyBorder="1" applyAlignment="1" applyProtection="1">
      <alignment vertical="top" wrapText="1"/>
      <protection locked="0"/>
    </xf>
    <xf numFmtId="164" fontId="27" fillId="0" borderId="46" xfId="1" applyNumberFormat="1" applyFont="1" applyBorder="1" applyAlignment="1" applyProtection="1">
      <alignment vertical="top" wrapText="1"/>
      <protection locked="0"/>
    </xf>
    <xf numFmtId="164" fontId="27" fillId="0" borderId="47" xfId="1" applyNumberFormat="1" applyFont="1" applyBorder="1" applyAlignment="1" applyProtection="1">
      <alignment vertical="top" wrapText="1"/>
      <protection locked="0"/>
    </xf>
    <xf numFmtId="164" fontId="27" fillId="0" borderId="48" xfId="1" applyNumberFormat="1" applyFont="1" applyBorder="1" applyAlignment="1" applyProtection="1">
      <alignment vertical="top" wrapText="1"/>
      <protection locked="0"/>
    </xf>
    <xf numFmtId="164" fontId="27" fillId="0" borderId="49" xfId="1" applyNumberFormat="1" applyFont="1" applyBorder="1" applyAlignment="1" applyProtection="1">
      <alignment vertical="top" wrapText="1"/>
      <protection locked="0"/>
    </xf>
    <xf numFmtId="164" fontId="27" fillId="0" borderId="38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39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40" xfId="1" applyNumberFormat="1" applyFont="1" applyFill="1" applyBorder="1" applyAlignment="1" applyProtection="1">
      <alignment horizontal="right" vertical="top" wrapText="1"/>
      <protection locked="0"/>
    </xf>
    <xf numFmtId="164" fontId="27" fillId="0" borderId="41" xfId="1" applyNumberFormat="1" applyFont="1" applyFill="1" applyBorder="1" applyAlignment="1" applyProtection="1">
      <alignment horizontal="right" vertical="top" wrapText="1"/>
      <protection locked="0"/>
    </xf>
    <xf numFmtId="164" fontId="8" fillId="0" borderId="50" xfId="1" applyNumberFormat="1" applyFont="1" applyBorder="1" applyAlignment="1" applyProtection="1">
      <alignment vertical="top" wrapText="1"/>
      <protection locked="0"/>
    </xf>
    <xf numFmtId="164" fontId="8" fillId="0" borderId="51" xfId="1" applyNumberFormat="1" applyFont="1" applyBorder="1" applyAlignment="1" applyProtection="1">
      <alignment vertical="top" wrapText="1"/>
      <protection locked="0"/>
    </xf>
    <xf numFmtId="164" fontId="8" fillId="0" borderId="52" xfId="1" applyNumberFormat="1" applyFont="1" applyBorder="1" applyAlignment="1" applyProtection="1">
      <alignment vertical="top" wrapText="1"/>
      <protection locked="0"/>
    </xf>
    <xf numFmtId="164" fontId="8" fillId="0" borderId="53" xfId="1" applyNumberFormat="1" applyFont="1" applyBorder="1" applyAlignment="1" applyProtection="1">
      <alignment vertical="top" wrapText="1"/>
      <protection locked="0"/>
    </xf>
    <xf numFmtId="0" fontId="22" fillId="0" borderId="54" xfId="0" applyFont="1" applyBorder="1"/>
    <xf numFmtId="0" fontId="22" fillId="0" borderId="55" xfId="0" applyFont="1" applyBorder="1"/>
    <xf numFmtId="43" fontId="22" fillId="0" borderId="56" xfId="0" applyNumberFormat="1" applyFont="1" applyBorder="1"/>
    <xf numFmtId="0" fontId="22" fillId="0" borderId="57" xfId="0" applyFont="1" applyBorder="1"/>
    <xf numFmtId="0" fontId="22" fillId="0" borderId="58" xfId="0" applyFont="1" applyBorder="1"/>
    <xf numFmtId="0" fontId="22" fillId="0" borderId="59" xfId="0" applyFont="1" applyBorder="1"/>
    <xf numFmtId="0" fontId="19" fillId="0" borderId="3" xfId="5" applyNumberFormat="1" applyFont="1" applyBorder="1" applyAlignment="1">
      <alignment horizontal="center" vertical="top" wrapText="1"/>
    </xf>
    <xf numFmtId="164" fontId="19" fillId="0" borderId="3" xfId="1" applyNumberFormat="1" applyFont="1" applyBorder="1" applyAlignment="1" applyProtection="1">
      <alignment horizontal="right" vertical="top" wrapText="1"/>
      <protection locked="0"/>
    </xf>
    <xf numFmtId="0" fontId="36" fillId="0" borderId="1" xfId="5" applyNumberFormat="1" applyFont="1" applyBorder="1" applyAlignment="1">
      <alignment horizontal="center" vertical="top" wrapText="1"/>
    </xf>
    <xf numFmtId="0" fontId="18" fillId="2" borderId="60" xfId="0" applyFont="1" applyFill="1" applyBorder="1" applyAlignment="1">
      <alignment horizontal="right" vertical="center"/>
    </xf>
    <xf numFmtId="0" fontId="18" fillId="2" borderId="60" xfId="0" quotePrefix="1" applyFont="1" applyFill="1" applyBorder="1" applyAlignment="1">
      <alignment horizontal="right" vertical="center"/>
    </xf>
    <xf numFmtId="0" fontId="18" fillId="17" borderId="60" xfId="0" applyFont="1" applyFill="1" applyBorder="1" applyAlignment="1">
      <alignment horizontal="right" vertical="center"/>
    </xf>
    <xf numFmtId="3" fontId="27" fillId="0" borderId="1" xfId="0" applyNumberFormat="1" applyFont="1" applyBorder="1" applyAlignment="1">
      <alignment horizontal="center" vertical="top" wrapText="1"/>
    </xf>
    <xf numFmtId="43" fontId="22" fillId="0" borderId="0" xfId="1" applyFont="1"/>
    <xf numFmtId="180" fontId="15" fillId="0" borderId="1" xfId="1" applyNumberFormat="1" applyFont="1" applyBorder="1" applyAlignment="1" applyProtection="1">
      <alignment horizontal="center" vertical="top" wrapText="1"/>
      <protection locked="0"/>
    </xf>
    <xf numFmtId="180" fontId="27" fillId="0" borderId="1" xfId="1" applyNumberFormat="1" applyFont="1" applyBorder="1" applyAlignment="1" applyProtection="1">
      <alignment vertical="top" wrapText="1"/>
      <protection locked="0"/>
    </xf>
    <xf numFmtId="180" fontId="29" fillId="0" borderId="1" xfId="1" applyNumberFormat="1" applyFont="1" applyBorder="1" applyAlignment="1" applyProtection="1">
      <alignment vertical="top" wrapText="1"/>
      <protection locked="0"/>
    </xf>
    <xf numFmtId="180" fontId="13" fillId="0" borderId="1" xfId="1" applyNumberFormat="1" applyFont="1" applyBorder="1" applyAlignment="1" applyProtection="1">
      <alignment vertical="top" wrapText="1"/>
      <protection locked="0"/>
    </xf>
    <xf numFmtId="180" fontId="13" fillId="0" borderId="2" xfId="1" applyNumberFormat="1" applyFont="1" applyBorder="1" applyAlignment="1" applyProtection="1">
      <alignment vertical="top" wrapText="1"/>
      <protection locked="0"/>
    </xf>
    <xf numFmtId="180" fontId="9" fillId="7" borderId="13" xfId="1" applyNumberFormat="1" applyFont="1" applyFill="1" applyBorder="1" applyAlignment="1" applyProtection="1">
      <alignment vertical="top" wrapText="1"/>
      <protection locked="0"/>
    </xf>
    <xf numFmtId="180" fontId="27" fillId="7" borderId="3" xfId="1" applyNumberFormat="1" applyFont="1" applyFill="1" applyBorder="1" applyAlignment="1" applyProtection="1">
      <alignment vertical="top" wrapText="1"/>
      <protection locked="0"/>
    </xf>
    <xf numFmtId="180" fontId="27" fillId="7" borderId="1" xfId="1" applyNumberFormat="1" applyFont="1" applyFill="1" applyBorder="1" applyAlignment="1" applyProtection="1">
      <alignment vertical="top" wrapText="1"/>
      <protection locked="0"/>
    </xf>
    <xf numFmtId="180" fontId="11" fillId="0" borderId="1" xfId="1" applyNumberFormat="1" applyFont="1" applyBorder="1" applyAlignment="1" applyProtection="1">
      <alignment vertical="top" wrapText="1"/>
      <protection locked="0"/>
    </xf>
    <xf numFmtId="180" fontId="28" fillId="0" borderId="1" xfId="1" applyNumberFormat="1" applyFont="1" applyBorder="1" applyAlignment="1" applyProtection="1">
      <alignment horizontal="right" vertical="top" wrapText="1"/>
      <protection locked="0"/>
    </xf>
    <xf numFmtId="180" fontId="28" fillId="0" borderId="2" xfId="1" applyNumberFormat="1" applyFont="1" applyBorder="1" applyAlignment="1" applyProtection="1">
      <alignment vertical="top" wrapText="1"/>
      <protection locked="0"/>
    </xf>
    <xf numFmtId="180" fontId="8" fillId="7" borderId="13" xfId="1" applyNumberFormat="1" applyFont="1" applyFill="1" applyBorder="1" applyAlignment="1" applyProtection="1">
      <alignment vertical="top" wrapText="1"/>
      <protection locked="0"/>
    </xf>
    <xf numFmtId="180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80" fontId="9" fillId="0" borderId="1" xfId="1" applyNumberFormat="1" applyFont="1" applyBorder="1" applyAlignment="1" applyProtection="1">
      <alignment vertical="top" wrapText="1"/>
      <protection locked="0"/>
    </xf>
    <xf numFmtId="180" fontId="9" fillId="0" borderId="13" xfId="1" applyNumberFormat="1" applyFont="1" applyBorder="1" applyAlignment="1" applyProtection="1">
      <alignment vertical="top" wrapText="1"/>
      <protection locked="0"/>
    </xf>
    <xf numFmtId="180" fontId="34" fillId="0" borderId="3" xfId="1" applyNumberFormat="1" applyFont="1" applyBorder="1" applyAlignment="1" applyProtection="1">
      <alignment vertical="top" wrapText="1"/>
      <protection locked="0"/>
    </xf>
    <xf numFmtId="180" fontId="34" fillId="0" borderId="1" xfId="1" applyNumberFormat="1" applyFont="1" applyBorder="1" applyAlignment="1" applyProtection="1">
      <alignment vertical="top" wrapText="1"/>
      <protection locked="0"/>
    </xf>
    <xf numFmtId="180" fontId="27" fillId="0" borderId="2" xfId="1" applyNumberFormat="1" applyFont="1" applyBorder="1" applyAlignment="1" applyProtection="1">
      <alignment vertical="top" wrapText="1"/>
      <protection locked="0"/>
    </xf>
    <xf numFmtId="180" fontId="27" fillId="0" borderId="3" xfId="1" applyNumberFormat="1" applyFont="1" applyBorder="1" applyAlignment="1" applyProtection="1">
      <alignment horizontal="right" vertical="top" wrapText="1"/>
      <protection locked="0"/>
    </xf>
    <xf numFmtId="180" fontId="8" fillId="0" borderId="13" xfId="1" applyNumberFormat="1" applyFont="1" applyBorder="1" applyAlignment="1" applyProtection="1">
      <alignment vertical="top" wrapText="1"/>
      <protection locked="0"/>
    </xf>
    <xf numFmtId="181" fontId="19" fillId="0" borderId="3" xfId="1" applyNumberFormat="1" applyFont="1" applyBorder="1" applyAlignment="1" applyProtection="1">
      <alignment horizontal="right" vertical="top" wrapText="1"/>
      <protection locked="0"/>
    </xf>
    <xf numFmtId="181" fontId="36" fillId="0" borderId="1" xfId="1" applyNumberFormat="1" applyFont="1" applyBorder="1" applyAlignment="1" applyProtection="1">
      <alignment vertical="top" wrapText="1"/>
      <protection locked="0"/>
    </xf>
    <xf numFmtId="181" fontId="15" fillId="0" borderId="1" xfId="1" applyNumberFormat="1" applyFont="1" applyBorder="1" applyAlignment="1" applyProtection="1">
      <alignment horizontal="center" vertical="top" wrapText="1"/>
      <protection locked="0"/>
    </xf>
    <xf numFmtId="181" fontId="27" fillId="0" borderId="1" xfId="1" applyNumberFormat="1" applyFont="1" applyBorder="1" applyAlignment="1" applyProtection="1">
      <alignment vertical="top" wrapText="1"/>
      <protection locked="0"/>
    </xf>
    <xf numFmtId="181" fontId="29" fillId="0" borderId="1" xfId="1" applyNumberFormat="1" applyFont="1" applyBorder="1" applyAlignment="1" applyProtection="1">
      <alignment vertical="top" wrapText="1"/>
      <protection locked="0"/>
    </xf>
    <xf numFmtId="181" fontId="13" fillId="0" borderId="1" xfId="1" applyNumberFormat="1" applyFont="1" applyBorder="1" applyAlignment="1" applyProtection="1">
      <alignment vertical="top" wrapText="1"/>
      <protection locked="0"/>
    </xf>
    <xf numFmtId="181" fontId="13" fillId="0" borderId="2" xfId="1" applyNumberFormat="1" applyFont="1" applyBorder="1" applyAlignment="1" applyProtection="1">
      <alignment vertical="top" wrapText="1"/>
      <protection locked="0"/>
    </xf>
    <xf numFmtId="181" fontId="9" fillId="7" borderId="13" xfId="1" applyNumberFormat="1" applyFont="1" applyFill="1" applyBorder="1" applyAlignment="1" applyProtection="1">
      <alignment vertical="top" wrapText="1"/>
      <protection locked="0"/>
    </xf>
    <xf numFmtId="181" fontId="27" fillId="7" borderId="3" xfId="1" applyNumberFormat="1" applyFont="1" applyFill="1" applyBorder="1" applyAlignment="1" applyProtection="1">
      <alignment vertical="top" wrapText="1"/>
      <protection locked="0"/>
    </xf>
    <xf numFmtId="181" fontId="27" fillId="7" borderId="1" xfId="1" applyNumberFormat="1" applyFont="1" applyFill="1" applyBorder="1" applyAlignment="1" applyProtection="1">
      <alignment vertical="top" wrapText="1"/>
      <protection locked="0"/>
    </xf>
    <xf numFmtId="181" fontId="11" fillId="0" borderId="1" xfId="1" applyNumberFormat="1" applyFont="1" applyBorder="1" applyAlignment="1" applyProtection="1">
      <alignment vertical="top" wrapText="1"/>
      <protection locked="0"/>
    </xf>
    <xf numFmtId="181" fontId="28" fillId="0" borderId="1" xfId="1" applyNumberFormat="1" applyFont="1" applyBorder="1" applyAlignment="1" applyProtection="1">
      <alignment horizontal="right" vertical="top" wrapText="1"/>
      <protection locked="0"/>
    </xf>
    <xf numFmtId="181" fontId="28" fillId="0" borderId="2" xfId="1" applyNumberFormat="1" applyFont="1" applyBorder="1" applyAlignment="1" applyProtection="1">
      <alignment vertical="top" wrapText="1"/>
      <protection locked="0"/>
    </xf>
    <xf numFmtId="181" fontId="8" fillId="7" borderId="13" xfId="1" applyNumberFormat="1" applyFont="1" applyFill="1" applyBorder="1" applyAlignment="1" applyProtection="1">
      <alignment vertical="top" wrapText="1"/>
      <protection locked="0"/>
    </xf>
    <xf numFmtId="181" fontId="27" fillId="7" borderId="1" xfId="1" applyNumberFormat="1" applyFont="1" applyFill="1" applyBorder="1" applyAlignment="1" applyProtection="1">
      <alignment horizontal="center" vertical="top" wrapText="1"/>
      <protection locked="0"/>
    </xf>
    <xf numFmtId="181" fontId="9" fillId="0" borderId="1" xfId="1" applyNumberFormat="1" applyFont="1" applyBorder="1" applyAlignment="1" applyProtection="1">
      <alignment vertical="top" wrapText="1"/>
      <protection locked="0"/>
    </xf>
    <xf numFmtId="181" fontId="9" fillId="0" borderId="13" xfId="1" applyNumberFormat="1" applyFont="1" applyBorder="1" applyAlignment="1" applyProtection="1">
      <alignment vertical="top" wrapText="1"/>
      <protection locked="0"/>
    </xf>
    <xf numFmtId="181" fontId="34" fillId="0" borderId="3" xfId="1" applyNumberFormat="1" applyFont="1" applyBorder="1" applyAlignment="1" applyProtection="1">
      <alignment vertical="top" wrapText="1"/>
      <protection locked="0"/>
    </xf>
    <xf numFmtId="181" fontId="34" fillId="0" borderId="1" xfId="1" applyNumberFormat="1" applyFont="1" applyBorder="1" applyAlignment="1" applyProtection="1">
      <alignment vertical="top" wrapText="1"/>
      <protection locked="0"/>
    </xf>
    <xf numFmtId="181" fontId="27" fillId="0" borderId="2" xfId="1" applyNumberFormat="1" applyFont="1" applyBorder="1" applyAlignment="1" applyProtection="1">
      <alignment vertical="top" wrapText="1"/>
      <protection locked="0"/>
    </xf>
    <xf numFmtId="181" fontId="27" fillId="0" borderId="3" xfId="1" applyNumberFormat="1" applyFont="1" applyBorder="1" applyAlignment="1" applyProtection="1">
      <alignment horizontal="right" vertical="top" wrapText="1"/>
      <protection locked="0"/>
    </xf>
    <xf numFmtId="181" fontId="8" fillId="0" borderId="13" xfId="1" applyNumberFormat="1" applyFont="1" applyBorder="1" applyAlignment="1" applyProtection="1">
      <alignment vertical="top" wrapText="1"/>
      <protection locked="0"/>
    </xf>
    <xf numFmtId="3" fontId="55" fillId="0" borderId="1" xfId="0" applyNumberFormat="1" applyFont="1" applyBorder="1" applyAlignment="1">
      <alignment horizontal="center" vertical="top" wrapText="1"/>
    </xf>
    <xf numFmtId="3" fontId="55" fillId="0" borderId="1" xfId="4" applyNumberFormat="1" applyFont="1" applyBorder="1" applyAlignment="1">
      <alignment horizontal="left" vertical="top" wrapText="1" indent="1"/>
    </xf>
    <xf numFmtId="0" fontId="55" fillId="0" borderId="0" xfId="0" applyFont="1"/>
    <xf numFmtId="168" fontId="55" fillId="0" borderId="1" xfId="1" applyNumberFormat="1" applyFont="1" applyFill="1" applyBorder="1" applyAlignment="1" applyProtection="1">
      <alignment vertical="top" wrapText="1"/>
      <protection locked="0"/>
    </xf>
    <xf numFmtId="168" fontId="55" fillId="0" borderId="1" xfId="1" applyNumberFormat="1" applyFont="1" applyBorder="1" applyAlignment="1" applyProtection="1">
      <alignment vertical="top" wrapText="1"/>
      <protection locked="0"/>
    </xf>
    <xf numFmtId="180" fontId="55" fillId="0" borderId="1" xfId="1" applyNumberFormat="1" applyFont="1" applyFill="1" applyBorder="1" applyAlignment="1" applyProtection="1">
      <alignment vertical="top" wrapText="1"/>
      <protection locked="0"/>
    </xf>
    <xf numFmtId="181" fontId="55" fillId="0" borderId="1" xfId="1" applyNumberFormat="1" applyFont="1" applyFill="1" applyBorder="1" applyAlignment="1" applyProtection="1">
      <alignment vertical="top" wrapText="1"/>
      <protection locked="0"/>
    </xf>
    <xf numFmtId="168" fontId="55" fillId="0" borderId="0" xfId="0" applyNumberFormat="1" applyFont="1"/>
    <xf numFmtId="0" fontId="18" fillId="2" borderId="0" xfId="0" applyFont="1" applyFill="1" applyAlignment="1">
      <alignment horizontal="center" vertical="center"/>
    </xf>
    <xf numFmtId="0" fontId="18" fillId="4" borderId="28" xfId="0" applyFont="1" applyFill="1" applyBorder="1" applyAlignment="1">
      <alignment horizontal="center" vertical="center"/>
    </xf>
    <xf numFmtId="0" fontId="18" fillId="4" borderId="29" xfId="0" applyFont="1" applyFill="1" applyBorder="1" applyAlignment="1">
      <alignment horizontal="center" vertical="center"/>
    </xf>
    <xf numFmtId="0" fontId="18" fillId="4" borderId="30" xfId="0" applyFont="1" applyFill="1" applyBorder="1" applyAlignment="1">
      <alignment horizontal="center" vertical="center"/>
    </xf>
    <xf numFmtId="0" fontId="30" fillId="9" borderId="0" xfId="6" applyNumberFormat="1" applyFont="1" applyFill="1" applyAlignment="1">
      <alignment horizontal="center" vertical="center" wrapText="1"/>
    </xf>
    <xf numFmtId="0" fontId="31" fillId="10" borderId="0" xfId="4" applyFont="1" applyFill="1" applyAlignment="1">
      <alignment horizontal="left" vertical="center" wrapText="1"/>
    </xf>
    <xf numFmtId="0" fontId="18" fillId="6" borderId="25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30" fillId="9" borderId="0" xfId="6" applyNumberFormat="1" applyFont="1" applyFill="1" applyBorder="1" applyAlignment="1" applyProtection="1">
      <alignment horizontal="center" vertical="center" wrapText="1"/>
    </xf>
    <xf numFmtId="0" fontId="18" fillId="3" borderId="25" xfId="0" applyFont="1" applyFill="1" applyBorder="1" applyAlignment="1">
      <alignment horizontal="center" vertical="center"/>
    </xf>
    <xf numFmtId="0" fontId="18" fillId="20" borderId="31" xfId="0" applyFont="1" applyFill="1" applyBorder="1" applyAlignment="1">
      <alignment horizontal="center" vertical="center"/>
    </xf>
    <xf numFmtId="0" fontId="18" fillId="20" borderId="32" xfId="0" applyFont="1" applyFill="1" applyBorder="1" applyAlignment="1">
      <alignment horizontal="center" vertical="center"/>
    </xf>
    <xf numFmtId="0" fontId="18" fillId="20" borderId="33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31" fillId="10" borderId="0" xfId="4" applyFont="1" applyFill="1" applyAlignment="1">
      <alignment horizontal="left" vertical="top" wrapText="1"/>
    </xf>
  </cellXfs>
  <cellStyles count="13">
    <cellStyle name="Comma" xfId="1" builtinId="3"/>
    <cellStyle name="Comma 2" xfId="11" xr:uid="{6711FA86-C298-4254-AC2D-FFDD9A4E49AF}"/>
    <cellStyle name="Comma 3" xfId="6" xr:uid="{5E4AD9E7-C5AA-4CB7-A8A2-3651201B25C9}"/>
    <cellStyle name="Comma 3 2" xfId="3" xr:uid="{DCFD55FB-4C70-4D41-9D9B-CEF8B9F4783D}"/>
    <cellStyle name="Comma 5" xfId="10" xr:uid="{F75A7981-727E-4DCA-A250-CB0A5EC750FE}"/>
    <cellStyle name="Comma 5 2" xfId="5" xr:uid="{43F31BCC-4751-447F-8210-737984DAB746}"/>
    <cellStyle name="Normal" xfId="0" builtinId="0"/>
    <cellStyle name="Normal 2" xfId="4" xr:uid="{6C18828F-72D5-4CA2-944F-45E5526A836A}"/>
    <cellStyle name="Normal 3" xfId="8" xr:uid="{032133E0-229B-4A1A-8D68-9EC9CE8145B5}"/>
    <cellStyle name="Normal 4" xfId="2" xr:uid="{E9D53ED2-D093-4558-8C68-04FE7CE0AF41}"/>
    <cellStyle name="Normal 7" xfId="12" xr:uid="{52F94881-403F-4BEB-B7B5-CF0B4FAC68BF}"/>
    <cellStyle name="Percent" xfId="7" builtinId="5"/>
    <cellStyle name="Percent 2 2" xfId="9" xr:uid="{7EFF99AB-5CA4-41DD-BCF4-4EDF314D37D9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F6364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5509-E447-4EFC-8ABA-5CF4B7B878CD}">
  <sheetPr>
    <tabColor rgb="FF0000FF"/>
  </sheetPr>
  <dimension ref="A1:X54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V58" sqref="V58"/>
    </sheetView>
  </sheetViews>
  <sheetFormatPr defaultColWidth="9" defaultRowHeight="15" outlineLevelRow="2" outlineLevelCol="1"/>
  <cols>
    <col min="1" max="1" width="9" style="7" customWidth="1"/>
    <col min="2" max="2" width="48.125" style="7" bestFit="1" customWidth="1"/>
    <col min="3" max="3" width="1.625" style="7" customWidth="1"/>
    <col min="4" max="4" width="16.5" style="7" bestFit="1" customWidth="1"/>
    <col min="5" max="5" width="19.75" style="7" hidden="1" customWidth="1" outlineLevel="1"/>
    <col min="6" max="6" width="18.875" style="7" hidden="1" customWidth="1" outlineLevel="1"/>
    <col min="7" max="7" width="18.5" style="7" hidden="1" customWidth="1" outlineLevel="1"/>
    <col min="8" max="8" width="16.5" style="7" bestFit="1" customWidth="1" collapsed="1"/>
    <col min="9" max="9" width="19.375" style="7" hidden="1" customWidth="1" outlineLevel="1"/>
    <col min="10" max="10" width="18.875" style="7" hidden="1" customWidth="1" outlineLevel="1"/>
    <col min="11" max="11" width="19.75" style="7" hidden="1" customWidth="1" outlineLevel="1"/>
    <col min="12" max="12" width="14.375" style="7" bestFit="1" customWidth="1" collapsed="1"/>
    <col min="13" max="15" width="19.5" style="7" hidden="1" customWidth="1" outlineLevel="1"/>
    <col min="16" max="16" width="9.5" style="7" customWidth="1" collapsed="1"/>
    <col min="17" max="17" width="16" style="7" hidden="1" customWidth="1" outlineLevel="1"/>
    <col min="18" max="18" width="17.125" style="7" hidden="1" customWidth="1" outlineLevel="1"/>
    <col min="19" max="19" width="13.625" style="7" hidden="1" customWidth="1" outlineLevel="1"/>
    <col min="20" max="20" width="2.875" style="7" customWidth="1" collapsed="1"/>
    <col min="21" max="22" width="18.125" style="7" bestFit="1" customWidth="1"/>
    <col min="23" max="23" width="14.875" style="7" bestFit="1" customWidth="1"/>
    <col min="24" max="24" width="8.875" style="7" customWidth="1"/>
    <col min="25" max="16384" width="9" style="7"/>
  </cols>
  <sheetData>
    <row r="1" spans="1:24" ht="18.75">
      <c r="B1" s="19" t="s">
        <v>57</v>
      </c>
    </row>
    <row r="2" spans="1:24" ht="15.75" thickBot="1">
      <c r="B2" s="20" t="s">
        <v>11</v>
      </c>
    </row>
    <row r="3" spans="1:24" ht="17.100000000000001" customHeight="1" thickTop="1">
      <c r="A3" s="514" t="s">
        <v>39</v>
      </c>
      <c r="B3" s="515" t="s">
        <v>19</v>
      </c>
      <c r="D3" s="510" t="s">
        <v>195</v>
      </c>
      <c r="E3" s="510"/>
      <c r="F3" s="510"/>
      <c r="G3" s="510"/>
      <c r="H3" s="510"/>
      <c r="I3" s="510"/>
      <c r="J3" s="510"/>
      <c r="K3" s="510"/>
      <c r="L3" s="510"/>
      <c r="M3" s="510"/>
      <c r="N3" s="510"/>
      <c r="O3" s="510"/>
      <c r="P3" s="510"/>
      <c r="Q3" s="510"/>
      <c r="R3" s="510"/>
      <c r="S3" s="510"/>
      <c r="U3" s="511" t="s">
        <v>190</v>
      </c>
      <c r="V3" s="512"/>
      <c r="W3" s="512"/>
      <c r="X3" s="513"/>
    </row>
    <row r="4" spans="1:24" s="30" customFormat="1" ht="16.5">
      <c r="A4" s="514"/>
      <c r="B4" s="515"/>
      <c r="D4" s="455" t="s">
        <v>196</v>
      </c>
      <c r="E4" s="457" t="s">
        <v>200</v>
      </c>
      <c r="F4" s="457" t="s">
        <v>201</v>
      </c>
      <c r="G4" s="457" t="s">
        <v>202</v>
      </c>
      <c r="H4" s="455" t="s">
        <v>197</v>
      </c>
      <c r="I4" s="457" t="s">
        <v>200</v>
      </c>
      <c r="J4" s="457" t="s">
        <v>201</v>
      </c>
      <c r="K4" s="457" t="s">
        <v>202</v>
      </c>
      <c r="L4" s="456" t="s">
        <v>198</v>
      </c>
      <c r="M4" s="457" t="s">
        <v>203</v>
      </c>
      <c r="N4" s="457" t="s">
        <v>204</v>
      </c>
      <c r="O4" s="457" t="s">
        <v>205</v>
      </c>
      <c r="P4" s="456" t="s">
        <v>199</v>
      </c>
      <c r="Q4" s="457" t="s">
        <v>206</v>
      </c>
      <c r="R4" s="457" t="s">
        <v>207</v>
      </c>
      <c r="S4" s="457" t="s">
        <v>208</v>
      </c>
      <c r="U4" s="349" t="s">
        <v>196</v>
      </c>
      <c r="V4" s="310" t="s">
        <v>197</v>
      </c>
      <c r="W4" s="310" t="s">
        <v>198</v>
      </c>
      <c r="X4" s="350" t="s">
        <v>199</v>
      </c>
    </row>
    <row r="5" spans="1:24">
      <c r="A5" s="452">
        <v>1</v>
      </c>
      <c r="B5" s="33" t="s">
        <v>40</v>
      </c>
      <c r="D5" s="453">
        <f t="shared" ref="D5:K5" si="0">SUM(D6:D8)</f>
        <v>30121.928</v>
      </c>
      <c r="E5" s="453">
        <f t="shared" si="0"/>
        <v>11305.142000000002</v>
      </c>
      <c r="F5" s="453">
        <f t="shared" si="0"/>
        <v>7115.9999999999991</v>
      </c>
      <c r="G5" s="453">
        <f t="shared" si="0"/>
        <v>11700.785999999998</v>
      </c>
      <c r="H5" s="453">
        <f t="shared" si="0"/>
        <v>29233.917275</v>
      </c>
      <c r="I5" s="453">
        <f t="shared" si="0"/>
        <v>11696.882274999998</v>
      </c>
      <c r="J5" s="453">
        <f t="shared" si="0"/>
        <v>7115.9999999999991</v>
      </c>
      <c r="K5" s="453">
        <f t="shared" si="0"/>
        <v>10421.035000000002</v>
      </c>
      <c r="L5" s="453">
        <f t="shared" ref="L5:L30" si="1">D5-H5</f>
        <v>888.01072500000009</v>
      </c>
      <c r="M5" s="453">
        <f t="shared" ref="M5:M30" si="2">E5-I5</f>
        <v>-391.74027499999647</v>
      </c>
      <c r="N5" s="453">
        <f t="shared" ref="N5:N30" si="3">F5-J5</f>
        <v>0</v>
      </c>
      <c r="O5" s="453">
        <f t="shared" ref="O5:O30" si="4">G5-K5</f>
        <v>1279.7509999999966</v>
      </c>
      <c r="P5" s="480">
        <f t="shared" ref="P5:P30" si="5">IFERROR(L5/H5,0)</f>
        <v>3.0376042890406657E-2</v>
      </c>
      <c r="Q5" s="480">
        <f t="shared" ref="Q5:Q30" si="6">IFERROR(M5/I5,0)</f>
        <v>-3.3490999207307706E-2</v>
      </c>
      <c r="R5" s="480">
        <f t="shared" ref="R5:R30" si="7">IFERROR(N5/J5,0)</f>
        <v>0</v>
      </c>
      <c r="S5" s="480">
        <f t="shared" ref="S5:S30" si="8">IFERROR(O5/K5,0)</f>
        <v>0.12280459666434249</v>
      </c>
      <c r="U5" s="453">
        <f>SUM(U6:U8)</f>
        <v>55000.000002186731</v>
      </c>
      <c r="V5" s="453">
        <f>SUM(V6:V8)</f>
        <v>55000.000002186731</v>
      </c>
      <c r="W5" s="453">
        <f t="shared" ref="W5:W48" si="9">U5-V5</f>
        <v>0</v>
      </c>
      <c r="X5" s="480">
        <f t="shared" ref="X5:X30" si="10">IFERROR(W5/V5,0)</f>
        <v>0</v>
      </c>
    </row>
    <row r="6" spans="1:24" s="97" customFormat="1" hidden="1" outlineLevel="1">
      <c r="A6" s="454" t="s">
        <v>73</v>
      </c>
      <c r="B6" s="100" t="s">
        <v>1</v>
      </c>
      <c r="D6" s="98">
        <f>SUM(E6:G6)</f>
        <v>0</v>
      </c>
      <c r="E6" s="98">
        <f>'Consol PL-DTRG'!CG6</f>
        <v>0</v>
      </c>
      <c r="F6" s="98">
        <f>'Consol PL-DTRG'!CU6</f>
        <v>0</v>
      </c>
      <c r="G6" s="98">
        <f>'Consol PL-DTRG'!DI6</f>
        <v>0</v>
      </c>
      <c r="H6" s="98">
        <f>SUM(I6:K6)</f>
        <v>0</v>
      </c>
      <c r="I6" s="98">
        <f>'Consol PL-DTRG-Cũ'!CG6</f>
        <v>0</v>
      </c>
      <c r="J6" s="98">
        <f>'Consol PL-DTRG-Cũ'!CU6</f>
        <v>0</v>
      </c>
      <c r="K6" s="98">
        <f>'Consol PL-DTRG-Cũ'!DI6</f>
        <v>0</v>
      </c>
      <c r="L6" s="98">
        <f t="shared" si="1"/>
        <v>0</v>
      </c>
      <c r="M6" s="98">
        <f t="shared" si="2"/>
        <v>0</v>
      </c>
      <c r="N6" s="98">
        <f t="shared" si="3"/>
        <v>0</v>
      </c>
      <c r="O6" s="98">
        <f t="shared" si="4"/>
        <v>0</v>
      </c>
      <c r="P6" s="481">
        <f t="shared" si="5"/>
        <v>0</v>
      </c>
      <c r="Q6" s="481">
        <f t="shared" si="6"/>
        <v>0</v>
      </c>
      <c r="R6" s="481">
        <f t="shared" si="7"/>
        <v>0</v>
      </c>
      <c r="S6" s="481">
        <f t="shared" si="8"/>
        <v>0</v>
      </c>
      <c r="U6" s="98">
        <f>'Consol PL-DTRG'!O6</f>
        <v>55000.000002186731</v>
      </c>
      <c r="V6" s="98">
        <f>'Consol PL-DTRG-Cũ'!O6</f>
        <v>55000.000002186731</v>
      </c>
      <c r="W6" s="98">
        <f t="shared" si="9"/>
        <v>0</v>
      </c>
      <c r="X6" s="481">
        <f t="shared" si="10"/>
        <v>0</v>
      </c>
    </row>
    <row r="7" spans="1:24" s="97" customFormat="1" hidden="1" outlineLevel="1">
      <c r="A7" s="454" t="s">
        <v>74</v>
      </c>
      <c r="B7" s="100" t="s">
        <v>2</v>
      </c>
      <c r="D7" s="98">
        <f>SUM(E7:G7)</f>
        <v>30121.928</v>
      </c>
      <c r="E7" s="98">
        <f>'Consol PL-DTRG'!CG7</f>
        <v>11305.142000000002</v>
      </c>
      <c r="F7" s="98">
        <f>'Consol PL-DTRG'!CU7</f>
        <v>7115.9999999999991</v>
      </c>
      <c r="G7" s="98">
        <f>'Consol PL-DTRG'!DI7</f>
        <v>11700.785999999998</v>
      </c>
      <c r="H7" s="98">
        <f>SUM(I7:K7)</f>
        <v>29233.917275</v>
      </c>
      <c r="I7" s="98">
        <f>'Consol PL-DTRG-Cũ'!CG7</f>
        <v>11696.882274999998</v>
      </c>
      <c r="J7" s="98">
        <f>'Consol PL-DTRG-Cũ'!CU7</f>
        <v>7115.9999999999991</v>
      </c>
      <c r="K7" s="98">
        <f>'Consol PL-DTRG-Cũ'!DI7</f>
        <v>10421.035000000002</v>
      </c>
      <c r="L7" s="98">
        <f t="shared" si="1"/>
        <v>888.01072500000009</v>
      </c>
      <c r="M7" s="98">
        <f t="shared" si="2"/>
        <v>-391.74027499999647</v>
      </c>
      <c r="N7" s="98">
        <f t="shared" si="3"/>
        <v>0</v>
      </c>
      <c r="O7" s="98">
        <f t="shared" si="4"/>
        <v>1279.7509999999966</v>
      </c>
      <c r="P7" s="481">
        <f t="shared" si="5"/>
        <v>3.0376042890406657E-2</v>
      </c>
      <c r="Q7" s="481">
        <f t="shared" si="6"/>
        <v>-3.3490999207307706E-2</v>
      </c>
      <c r="R7" s="481">
        <f t="shared" si="7"/>
        <v>0</v>
      </c>
      <c r="S7" s="481">
        <f t="shared" si="8"/>
        <v>0.12280459666434249</v>
      </c>
      <c r="U7" s="98">
        <f>'Consol PL-DTRG'!O7</f>
        <v>0</v>
      </c>
      <c r="V7" s="98">
        <f>'Consol PL-DTRG-Cũ'!O7</f>
        <v>0</v>
      </c>
      <c r="W7" s="98">
        <f t="shared" si="9"/>
        <v>0</v>
      </c>
      <c r="X7" s="481">
        <f t="shared" si="10"/>
        <v>0</v>
      </c>
    </row>
    <row r="8" spans="1:24" s="97" customFormat="1" hidden="1" outlineLevel="1">
      <c r="A8" s="454" t="s">
        <v>75</v>
      </c>
      <c r="B8" s="100" t="s">
        <v>3</v>
      </c>
      <c r="D8" s="98">
        <f>SUM(E8:G8)</f>
        <v>0</v>
      </c>
      <c r="E8" s="98">
        <f>'Consol PL-DTRG'!CG8</f>
        <v>0</v>
      </c>
      <c r="F8" s="98">
        <f>'Consol PL-DTRG'!CU8</f>
        <v>0</v>
      </c>
      <c r="G8" s="98">
        <f>'Consol PL-DTRG'!DI8</f>
        <v>0</v>
      </c>
      <c r="H8" s="98">
        <f>SUM(I8:K8)</f>
        <v>0</v>
      </c>
      <c r="I8" s="98">
        <f>'Consol PL-DTRG-Cũ'!CG8</f>
        <v>0</v>
      </c>
      <c r="J8" s="98">
        <f>'Consol PL-DTRG-Cũ'!CU8</f>
        <v>0</v>
      </c>
      <c r="K8" s="98">
        <f>'Consol PL-DTRG-Cũ'!DI8</f>
        <v>0</v>
      </c>
      <c r="L8" s="98">
        <f t="shared" si="1"/>
        <v>0</v>
      </c>
      <c r="M8" s="98">
        <f t="shared" si="2"/>
        <v>0</v>
      </c>
      <c r="N8" s="98">
        <f t="shared" si="3"/>
        <v>0</v>
      </c>
      <c r="O8" s="98">
        <f t="shared" si="4"/>
        <v>0</v>
      </c>
      <c r="P8" s="481">
        <f t="shared" si="5"/>
        <v>0</v>
      </c>
      <c r="Q8" s="481">
        <f t="shared" si="6"/>
        <v>0</v>
      </c>
      <c r="R8" s="481">
        <f t="shared" si="7"/>
        <v>0</v>
      </c>
      <c r="S8" s="481">
        <f t="shared" si="8"/>
        <v>0</v>
      </c>
      <c r="U8" s="98">
        <f>'Consol PL-DTRG'!O8</f>
        <v>0</v>
      </c>
      <c r="V8" s="98">
        <f>'Consol PL-DTRG-Cũ'!O8</f>
        <v>0</v>
      </c>
      <c r="W8" s="98">
        <f t="shared" si="9"/>
        <v>0</v>
      </c>
      <c r="X8" s="481">
        <f t="shared" si="10"/>
        <v>0</v>
      </c>
    </row>
    <row r="9" spans="1:24" s="49" customFormat="1" ht="15.75" collapsed="1">
      <c r="A9" s="34">
        <v>2</v>
      </c>
      <c r="B9" s="35" t="s">
        <v>20</v>
      </c>
      <c r="D9" s="460">
        <f t="shared" ref="D9:K9" si="11">SUM(D10:D12)</f>
        <v>458198101250</v>
      </c>
      <c r="E9" s="460">
        <f t="shared" si="11"/>
        <v>177488853750</v>
      </c>
      <c r="F9" s="460">
        <f t="shared" si="11"/>
        <v>99594000000</v>
      </c>
      <c r="G9" s="460">
        <f t="shared" si="11"/>
        <v>181115247500</v>
      </c>
      <c r="H9" s="460">
        <f t="shared" si="11"/>
        <v>441436738250</v>
      </c>
      <c r="I9" s="460">
        <f t="shared" si="11"/>
        <v>182794810750</v>
      </c>
      <c r="J9" s="460">
        <f t="shared" si="11"/>
        <v>99594000000</v>
      </c>
      <c r="K9" s="460">
        <f t="shared" si="11"/>
        <v>159047927500</v>
      </c>
      <c r="L9" s="460">
        <f t="shared" si="1"/>
        <v>16761363000</v>
      </c>
      <c r="M9" s="460">
        <f t="shared" si="2"/>
        <v>-5305957000</v>
      </c>
      <c r="N9" s="460">
        <f t="shared" si="3"/>
        <v>0</v>
      </c>
      <c r="O9" s="460">
        <f t="shared" si="4"/>
        <v>22067320000</v>
      </c>
      <c r="P9" s="482">
        <f t="shared" si="5"/>
        <v>3.797002276350523E-2</v>
      </c>
      <c r="Q9" s="482">
        <f t="shared" si="6"/>
        <v>-2.9026846977930416E-2</v>
      </c>
      <c r="R9" s="482">
        <f t="shared" si="7"/>
        <v>0</v>
      </c>
      <c r="S9" s="482">
        <f t="shared" si="8"/>
        <v>0.13874635367380062</v>
      </c>
      <c r="U9" s="460">
        <f>SUM(U10:U12)</f>
        <v>1678747622141.6824</v>
      </c>
      <c r="V9" s="460">
        <f>SUM(V10:V12)</f>
        <v>1678747622141.6824</v>
      </c>
      <c r="W9" s="460">
        <f t="shared" si="9"/>
        <v>0</v>
      </c>
      <c r="X9" s="482">
        <f t="shared" si="10"/>
        <v>0</v>
      </c>
    </row>
    <row r="10" spans="1:24" s="29" customFormat="1" hidden="1" outlineLevel="1">
      <c r="A10" s="36" t="s">
        <v>62</v>
      </c>
      <c r="B10" s="37" t="s">
        <v>1</v>
      </c>
      <c r="D10" s="461">
        <f>SUM(E10:G10)</f>
        <v>0</v>
      </c>
      <c r="E10" s="461">
        <f>'Consol PL-DTRG'!CG10</f>
        <v>0</v>
      </c>
      <c r="F10" s="461">
        <f>'Consol PL-DTRG'!CU10</f>
        <v>0</v>
      </c>
      <c r="G10" s="461">
        <f>'Consol PL-DTRG'!DI10</f>
        <v>0</v>
      </c>
      <c r="H10" s="461">
        <f>SUM(I10:K10)</f>
        <v>0</v>
      </c>
      <c r="I10" s="461">
        <f>'Consol PL-DTRG-Cũ'!CG10</f>
        <v>0</v>
      </c>
      <c r="J10" s="461">
        <f>'Consol PL-DTRG-Cũ'!CU10</f>
        <v>0</v>
      </c>
      <c r="K10" s="461">
        <f>'Consol PL-DTRG-Cũ'!DI10</f>
        <v>0</v>
      </c>
      <c r="L10" s="461">
        <f t="shared" si="1"/>
        <v>0</v>
      </c>
      <c r="M10" s="461">
        <f t="shared" si="2"/>
        <v>0</v>
      </c>
      <c r="N10" s="461">
        <f t="shared" si="3"/>
        <v>0</v>
      </c>
      <c r="O10" s="461">
        <f t="shared" si="4"/>
        <v>0</v>
      </c>
      <c r="P10" s="483">
        <f t="shared" si="5"/>
        <v>0</v>
      </c>
      <c r="Q10" s="483">
        <f t="shared" si="6"/>
        <v>0</v>
      </c>
      <c r="R10" s="483">
        <f t="shared" si="7"/>
        <v>0</v>
      </c>
      <c r="S10" s="483">
        <f t="shared" si="8"/>
        <v>0</v>
      </c>
      <c r="U10" s="461">
        <f>'Consol PL-DTRG'!O10</f>
        <v>1678747622141.6824</v>
      </c>
      <c r="V10" s="461">
        <f>'Consol PL-DTRG-Cũ'!O10</f>
        <v>1678747622141.6824</v>
      </c>
      <c r="W10" s="461">
        <f t="shared" si="9"/>
        <v>0</v>
      </c>
      <c r="X10" s="483">
        <f t="shared" si="10"/>
        <v>0</v>
      </c>
    </row>
    <row r="11" spans="1:24" s="29" customFormat="1" hidden="1" outlineLevel="1">
      <c r="A11" s="36" t="s">
        <v>65</v>
      </c>
      <c r="B11" s="37" t="s">
        <v>2</v>
      </c>
      <c r="D11" s="461">
        <f>SUM(E11:G11)</f>
        <v>458198101250</v>
      </c>
      <c r="E11" s="461">
        <f>'Consol PL-DTRG'!CG11</f>
        <v>177488853750</v>
      </c>
      <c r="F11" s="461">
        <f>'Consol PL-DTRG'!CU11</f>
        <v>99594000000</v>
      </c>
      <c r="G11" s="461">
        <f>'Consol PL-DTRG'!DI11</f>
        <v>181115247500</v>
      </c>
      <c r="H11" s="461">
        <f>SUM(I11:K11)</f>
        <v>441436738250</v>
      </c>
      <c r="I11" s="461">
        <f>'Consol PL-DTRG-Cũ'!CG11</f>
        <v>182794810750</v>
      </c>
      <c r="J11" s="461">
        <f>'Consol PL-DTRG-Cũ'!CU11</f>
        <v>99594000000</v>
      </c>
      <c r="K11" s="461">
        <f>'Consol PL-DTRG-Cũ'!DI11</f>
        <v>159047927500</v>
      </c>
      <c r="L11" s="461">
        <f t="shared" si="1"/>
        <v>16761363000</v>
      </c>
      <c r="M11" s="461">
        <f t="shared" si="2"/>
        <v>-5305957000</v>
      </c>
      <c r="N11" s="461">
        <f t="shared" si="3"/>
        <v>0</v>
      </c>
      <c r="O11" s="461">
        <f t="shared" si="4"/>
        <v>22067320000</v>
      </c>
      <c r="P11" s="483">
        <f t="shared" si="5"/>
        <v>3.797002276350523E-2</v>
      </c>
      <c r="Q11" s="483">
        <f t="shared" si="6"/>
        <v>-2.9026846977930416E-2</v>
      </c>
      <c r="R11" s="483">
        <f t="shared" si="7"/>
        <v>0</v>
      </c>
      <c r="S11" s="483">
        <f t="shared" si="8"/>
        <v>0.13874635367380062</v>
      </c>
      <c r="U11" s="461">
        <f>'Consol PL-DTRG'!O11</f>
        <v>0</v>
      </c>
      <c r="V11" s="461">
        <f>'Consol PL-DTRG-Cũ'!O11</f>
        <v>0</v>
      </c>
      <c r="W11" s="461">
        <f t="shared" si="9"/>
        <v>0</v>
      </c>
      <c r="X11" s="483">
        <f t="shared" si="10"/>
        <v>0</v>
      </c>
    </row>
    <row r="12" spans="1:24" s="29" customFormat="1" hidden="1" outlineLevel="1">
      <c r="A12" s="36" t="s">
        <v>71</v>
      </c>
      <c r="B12" s="37" t="s">
        <v>3</v>
      </c>
      <c r="D12" s="461">
        <f>SUM(E12:G12)</f>
        <v>0</v>
      </c>
      <c r="E12" s="461">
        <f>'Consol PL-DTRG'!CG12</f>
        <v>0</v>
      </c>
      <c r="F12" s="461">
        <f>'Consol PL-DTRG'!CU12</f>
        <v>0</v>
      </c>
      <c r="G12" s="461">
        <f>'Consol PL-DTRG'!DI12</f>
        <v>0</v>
      </c>
      <c r="H12" s="461">
        <f>SUM(I12:K12)</f>
        <v>0</v>
      </c>
      <c r="I12" s="461">
        <f>'Consol PL-DTRG-Cũ'!CG12</f>
        <v>0</v>
      </c>
      <c r="J12" s="461">
        <f>'Consol PL-DTRG-Cũ'!CU12</f>
        <v>0</v>
      </c>
      <c r="K12" s="461">
        <f>'Consol PL-DTRG-Cũ'!DI12</f>
        <v>0</v>
      </c>
      <c r="L12" s="461">
        <f t="shared" si="1"/>
        <v>0</v>
      </c>
      <c r="M12" s="461">
        <f t="shared" si="2"/>
        <v>0</v>
      </c>
      <c r="N12" s="461">
        <f t="shared" si="3"/>
        <v>0</v>
      </c>
      <c r="O12" s="461">
        <f t="shared" si="4"/>
        <v>0</v>
      </c>
      <c r="P12" s="483">
        <f t="shared" si="5"/>
        <v>0</v>
      </c>
      <c r="Q12" s="483">
        <f t="shared" si="6"/>
        <v>0</v>
      </c>
      <c r="R12" s="483">
        <f t="shared" si="7"/>
        <v>0</v>
      </c>
      <c r="S12" s="483">
        <f t="shared" si="8"/>
        <v>0</v>
      </c>
      <c r="U12" s="461">
        <f>'Consol PL-DTRG'!O12</f>
        <v>0</v>
      </c>
      <c r="V12" s="461">
        <f>'Consol PL-DTRG-Cũ'!O12</f>
        <v>0</v>
      </c>
      <c r="W12" s="461">
        <f t="shared" si="9"/>
        <v>0</v>
      </c>
      <c r="X12" s="483">
        <f t="shared" si="10"/>
        <v>0</v>
      </c>
    </row>
    <row r="13" spans="1:24" s="51" customFormat="1" ht="14.25" collapsed="1">
      <c r="A13" s="50">
        <v>3</v>
      </c>
      <c r="B13" s="91" t="s">
        <v>21</v>
      </c>
      <c r="D13" s="462">
        <f t="shared" ref="D13:K13" si="12">SUM(D14:D16)</f>
        <v>0</v>
      </c>
      <c r="E13" s="462">
        <f t="shared" si="12"/>
        <v>0</v>
      </c>
      <c r="F13" s="462">
        <f t="shared" si="12"/>
        <v>0</v>
      </c>
      <c r="G13" s="462">
        <f t="shared" si="12"/>
        <v>0</v>
      </c>
      <c r="H13" s="462">
        <f t="shared" si="12"/>
        <v>0</v>
      </c>
      <c r="I13" s="462">
        <f t="shared" si="12"/>
        <v>0</v>
      </c>
      <c r="J13" s="462">
        <f t="shared" si="12"/>
        <v>0</v>
      </c>
      <c r="K13" s="462">
        <f t="shared" si="12"/>
        <v>0</v>
      </c>
      <c r="L13" s="462">
        <f t="shared" si="1"/>
        <v>0</v>
      </c>
      <c r="M13" s="462">
        <f t="shared" si="2"/>
        <v>0</v>
      </c>
      <c r="N13" s="462">
        <f t="shared" si="3"/>
        <v>0</v>
      </c>
      <c r="O13" s="462">
        <f t="shared" si="4"/>
        <v>0</v>
      </c>
      <c r="P13" s="484">
        <f t="shared" si="5"/>
        <v>0</v>
      </c>
      <c r="Q13" s="484">
        <f t="shared" si="6"/>
        <v>0</v>
      </c>
      <c r="R13" s="484">
        <f t="shared" si="7"/>
        <v>0</v>
      </c>
      <c r="S13" s="484">
        <f t="shared" si="8"/>
        <v>0</v>
      </c>
      <c r="U13" s="462">
        <f>SUM(U14:U16)</f>
        <v>0</v>
      </c>
      <c r="V13" s="462">
        <f>SUM(V14:V16)</f>
        <v>0</v>
      </c>
      <c r="W13" s="462">
        <f t="shared" si="9"/>
        <v>0</v>
      </c>
      <c r="X13" s="484">
        <f t="shared" si="10"/>
        <v>0</v>
      </c>
    </row>
    <row r="14" spans="1:24" hidden="1" outlineLevel="1">
      <c r="A14" s="38" t="s">
        <v>63</v>
      </c>
      <c r="B14" s="39" t="s">
        <v>1</v>
      </c>
      <c r="D14" s="463">
        <f>SUM(E14:G14)</f>
        <v>0</v>
      </c>
      <c r="E14" s="463">
        <f>'Consol PL-DTRG'!CG14</f>
        <v>0</v>
      </c>
      <c r="F14" s="463">
        <f>'Consol PL-DTRG'!CU14</f>
        <v>0</v>
      </c>
      <c r="G14" s="463">
        <f>'Consol PL-DTRG'!DI14</f>
        <v>0</v>
      </c>
      <c r="H14" s="463">
        <f>SUM(I14:K14)</f>
        <v>0</v>
      </c>
      <c r="I14" s="463">
        <f>'Consol PL-DTRG-Cũ'!CG14</f>
        <v>0</v>
      </c>
      <c r="J14" s="463">
        <f>'Consol PL-DTRG-Cũ'!CU14</f>
        <v>0</v>
      </c>
      <c r="K14" s="463">
        <f>'Consol PL-DTRG-Cũ'!DI14</f>
        <v>0</v>
      </c>
      <c r="L14" s="463">
        <f t="shared" si="1"/>
        <v>0</v>
      </c>
      <c r="M14" s="463">
        <f t="shared" si="2"/>
        <v>0</v>
      </c>
      <c r="N14" s="463">
        <f t="shared" si="3"/>
        <v>0</v>
      </c>
      <c r="O14" s="463">
        <f t="shared" si="4"/>
        <v>0</v>
      </c>
      <c r="P14" s="485">
        <f t="shared" si="5"/>
        <v>0</v>
      </c>
      <c r="Q14" s="485">
        <f t="shared" si="6"/>
        <v>0</v>
      </c>
      <c r="R14" s="485">
        <f t="shared" si="7"/>
        <v>0</v>
      </c>
      <c r="S14" s="485">
        <f t="shared" si="8"/>
        <v>0</v>
      </c>
      <c r="U14" s="463">
        <f>'Consol PL-DTRG'!O14</f>
        <v>0</v>
      </c>
      <c r="V14" s="463">
        <f>'Consol PL-DTRG-Cũ'!O14</f>
        <v>0</v>
      </c>
      <c r="W14" s="463">
        <f t="shared" si="9"/>
        <v>0</v>
      </c>
      <c r="X14" s="485">
        <f t="shared" si="10"/>
        <v>0</v>
      </c>
    </row>
    <row r="15" spans="1:24" hidden="1" outlineLevel="1">
      <c r="A15" s="38" t="s">
        <v>66</v>
      </c>
      <c r="B15" s="39" t="s">
        <v>2</v>
      </c>
      <c r="D15" s="463">
        <f>SUM(E15:G15)</f>
        <v>0</v>
      </c>
      <c r="E15" s="463">
        <f>'Consol PL-DTRG'!CG15</f>
        <v>0</v>
      </c>
      <c r="F15" s="463">
        <f>'Consol PL-DTRG'!CU15</f>
        <v>0</v>
      </c>
      <c r="G15" s="463">
        <f>'Consol PL-DTRG'!DI15</f>
        <v>0</v>
      </c>
      <c r="H15" s="463">
        <f>SUM(I15:K15)</f>
        <v>0</v>
      </c>
      <c r="I15" s="463">
        <f>'Consol PL-DTRG-Cũ'!CG15</f>
        <v>0</v>
      </c>
      <c r="J15" s="463">
        <f>'Consol PL-DTRG-Cũ'!CU15</f>
        <v>0</v>
      </c>
      <c r="K15" s="463">
        <f>'Consol PL-DTRG-Cũ'!DI15</f>
        <v>0</v>
      </c>
      <c r="L15" s="463">
        <f t="shared" si="1"/>
        <v>0</v>
      </c>
      <c r="M15" s="463">
        <f t="shared" si="2"/>
        <v>0</v>
      </c>
      <c r="N15" s="463">
        <f t="shared" si="3"/>
        <v>0</v>
      </c>
      <c r="O15" s="463">
        <f t="shared" si="4"/>
        <v>0</v>
      </c>
      <c r="P15" s="485">
        <f t="shared" si="5"/>
        <v>0</v>
      </c>
      <c r="Q15" s="485">
        <f t="shared" si="6"/>
        <v>0</v>
      </c>
      <c r="R15" s="485">
        <f t="shared" si="7"/>
        <v>0</v>
      </c>
      <c r="S15" s="485">
        <f t="shared" si="8"/>
        <v>0</v>
      </c>
      <c r="U15" s="463">
        <f>'Consol PL-DTRG'!O15</f>
        <v>0</v>
      </c>
      <c r="V15" s="463">
        <f>'Consol PL-DTRG-Cũ'!O15</f>
        <v>0</v>
      </c>
      <c r="W15" s="463">
        <f t="shared" si="9"/>
        <v>0</v>
      </c>
      <c r="X15" s="485">
        <f t="shared" si="10"/>
        <v>0</v>
      </c>
    </row>
    <row r="16" spans="1:24" hidden="1" outlineLevel="1">
      <c r="A16" s="55" t="s">
        <v>72</v>
      </c>
      <c r="B16" s="56" t="s">
        <v>3</v>
      </c>
      <c r="D16" s="464">
        <f>SUM(E16:G16)</f>
        <v>0</v>
      </c>
      <c r="E16" s="464">
        <f>'Consol PL-DTRG'!CG16</f>
        <v>0</v>
      </c>
      <c r="F16" s="464">
        <f>'Consol PL-DTRG'!CU16</f>
        <v>0</v>
      </c>
      <c r="G16" s="464">
        <f>'Consol PL-DTRG'!DI16</f>
        <v>0</v>
      </c>
      <c r="H16" s="464">
        <f>SUM(I16:K16)</f>
        <v>0</v>
      </c>
      <c r="I16" s="464">
        <f>'Consol PL-DTRG-Cũ'!CG16</f>
        <v>0</v>
      </c>
      <c r="J16" s="464">
        <f>'Consol PL-DTRG-Cũ'!CU16</f>
        <v>0</v>
      </c>
      <c r="K16" s="464">
        <f>'Consol PL-DTRG-Cũ'!DI16</f>
        <v>0</v>
      </c>
      <c r="L16" s="464">
        <f t="shared" si="1"/>
        <v>0</v>
      </c>
      <c r="M16" s="464">
        <f t="shared" si="2"/>
        <v>0</v>
      </c>
      <c r="N16" s="464">
        <f t="shared" si="3"/>
        <v>0</v>
      </c>
      <c r="O16" s="464">
        <f t="shared" si="4"/>
        <v>0</v>
      </c>
      <c r="P16" s="486">
        <f t="shared" si="5"/>
        <v>0</v>
      </c>
      <c r="Q16" s="486">
        <f t="shared" si="6"/>
        <v>0</v>
      </c>
      <c r="R16" s="486">
        <f t="shared" si="7"/>
        <v>0</v>
      </c>
      <c r="S16" s="486">
        <f t="shared" si="8"/>
        <v>0</v>
      </c>
      <c r="U16" s="464">
        <f>'Consol PL-DTRG'!O16</f>
        <v>0</v>
      </c>
      <c r="V16" s="464">
        <f>'Consol PL-DTRG-Cũ'!O16</f>
        <v>0</v>
      </c>
      <c r="W16" s="464">
        <f t="shared" si="9"/>
        <v>0</v>
      </c>
      <c r="X16" s="486">
        <f t="shared" si="10"/>
        <v>0</v>
      </c>
    </row>
    <row r="17" spans="1:24" collapsed="1">
      <c r="A17" s="61">
        <v>4</v>
      </c>
      <c r="B17" s="62" t="s">
        <v>22</v>
      </c>
      <c r="D17" s="465">
        <f t="shared" ref="D17:K17" si="13">SUM(D18:D20)</f>
        <v>458198101250</v>
      </c>
      <c r="E17" s="465">
        <f t="shared" si="13"/>
        <v>177488853750</v>
      </c>
      <c r="F17" s="465">
        <f t="shared" si="13"/>
        <v>99594000000</v>
      </c>
      <c r="G17" s="465">
        <f t="shared" si="13"/>
        <v>181115247500</v>
      </c>
      <c r="H17" s="465">
        <f t="shared" si="13"/>
        <v>441436738250</v>
      </c>
      <c r="I17" s="465">
        <f t="shared" si="13"/>
        <v>182794810750</v>
      </c>
      <c r="J17" s="465">
        <f t="shared" si="13"/>
        <v>99594000000</v>
      </c>
      <c r="K17" s="465">
        <f t="shared" si="13"/>
        <v>159047927500</v>
      </c>
      <c r="L17" s="465">
        <f t="shared" si="1"/>
        <v>16761363000</v>
      </c>
      <c r="M17" s="465">
        <f t="shared" si="2"/>
        <v>-5305957000</v>
      </c>
      <c r="N17" s="465">
        <f t="shared" si="3"/>
        <v>0</v>
      </c>
      <c r="O17" s="465">
        <f t="shared" si="4"/>
        <v>22067320000</v>
      </c>
      <c r="P17" s="487">
        <f t="shared" si="5"/>
        <v>3.797002276350523E-2</v>
      </c>
      <c r="Q17" s="487">
        <f t="shared" si="6"/>
        <v>-2.9026846977930416E-2</v>
      </c>
      <c r="R17" s="487">
        <f t="shared" si="7"/>
        <v>0</v>
      </c>
      <c r="S17" s="487">
        <f t="shared" si="8"/>
        <v>0.13874635367380062</v>
      </c>
      <c r="U17" s="465">
        <f>SUM(U18:U20)</f>
        <v>1678747622141.6824</v>
      </c>
      <c r="V17" s="465">
        <f>SUM(V18:V20)</f>
        <v>1678747622141.6824</v>
      </c>
      <c r="W17" s="465">
        <f t="shared" si="9"/>
        <v>0</v>
      </c>
      <c r="X17" s="487">
        <f t="shared" si="10"/>
        <v>0</v>
      </c>
    </row>
    <row r="18" spans="1:24" s="29" customFormat="1" hidden="1" outlineLevel="1">
      <c r="A18" s="58" t="s">
        <v>58</v>
      </c>
      <c r="B18" s="59" t="s">
        <v>1</v>
      </c>
      <c r="D18" s="466">
        <f t="shared" ref="D18:K20" si="14">D10-D14</f>
        <v>0</v>
      </c>
      <c r="E18" s="466">
        <f t="shared" si="14"/>
        <v>0</v>
      </c>
      <c r="F18" s="466">
        <f t="shared" si="14"/>
        <v>0</v>
      </c>
      <c r="G18" s="466">
        <f t="shared" si="14"/>
        <v>0</v>
      </c>
      <c r="H18" s="466">
        <f t="shared" si="14"/>
        <v>0</v>
      </c>
      <c r="I18" s="466">
        <f t="shared" si="14"/>
        <v>0</v>
      </c>
      <c r="J18" s="466">
        <f t="shared" si="14"/>
        <v>0</v>
      </c>
      <c r="K18" s="466">
        <f t="shared" si="14"/>
        <v>0</v>
      </c>
      <c r="L18" s="466">
        <f t="shared" si="1"/>
        <v>0</v>
      </c>
      <c r="M18" s="466">
        <f t="shared" si="2"/>
        <v>0</v>
      </c>
      <c r="N18" s="466">
        <f t="shared" si="3"/>
        <v>0</v>
      </c>
      <c r="O18" s="466">
        <f t="shared" si="4"/>
        <v>0</v>
      </c>
      <c r="P18" s="488">
        <f t="shared" si="5"/>
        <v>0</v>
      </c>
      <c r="Q18" s="488">
        <f t="shared" si="6"/>
        <v>0</v>
      </c>
      <c r="R18" s="488">
        <f t="shared" si="7"/>
        <v>0</v>
      </c>
      <c r="S18" s="488">
        <f t="shared" si="8"/>
        <v>0</v>
      </c>
      <c r="U18" s="466">
        <f t="shared" ref="U18:V20" si="15">U10-U14</f>
        <v>1678747622141.6824</v>
      </c>
      <c r="V18" s="466">
        <f t="shared" si="15"/>
        <v>1678747622141.6824</v>
      </c>
      <c r="W18" s="466">
        <f t="shared" si="9"/>
        <v>0</v>
      </c>
      <c r="X18" s="488">
        <f t="shared" si="10"/>
        <v>0</v>
      </c>
    </row>
    <row r="19" spans="1:24" s="29" customFormat="1" hidden="1" outlineLevel="1">
      <c r="A19" s="40" t="s">
        <v>59</v>
      </c>
      <c r="B19" s="41" t="s">
        <v>2</v>
      </c>
      <c r="D19" s="467">
        <f t="shared" si="14"/>
        <v>458198101250</v>
      </c>
      <c r="E19" s="467">
        <f t="shared" si="14"/>
        <v>177488853750</v>
      </c>
      <c r="F19" s="467">
        <f t="shared" si="14"/>
        <v>99594000000</v>
      </c>
      <c r="G19" s="467">
        <f t="shared" si="14"/>
        <v>181115247500</v>
      </c>
      <c r="H19" s="467">
        <f t="shared" si="14"/>
        <v>441436738250</v>
      </c>
      <c r="I19" s="467">
        <f t="shared" si="14"/>
        <v>182794810750</v>
      </c>
      <c r="J19" s="467">
        <f t="shared" si="14"/>
        <v>99594000000</v>
      </c>
      <c r="K19" s="467">
        <f t="shared" si="14"/>
        <v>159047927500</v>
      </c>
      <c r="L19" s="467">
        <f t="shared" si="1"/>
        <v>16761363000</v>
      </c>
      <c r="M19" s="467">
        <f t="shared" si="2"/>
        <v>-5305957000</v>
      </c>
      <c r="N19" s="467">
        <f t="shared" si="3"/>
        <v>0</v>
      </c>
      <c r="O19" s="467">
        <f t="shared" si="4"/>
        <v>22067320000</v>
      </c>
      <c r="P19" s="489">
        <f t="shared" si="5"/>
        <v>3.797002276350523E-2</v>
      </c>
      <c r="Q19" s="489">
        <f t="shared" si="6"/>
        <v>-2.9026846977930416E-2</v>
      </c>
      <c r="R19" s="489">
        <f t="shared" si="7"/>
        <v>0</v>
      </c>
      <c r="S19" s="489">
        <f t="shared" si="8"/>
        <v>0.13874635367380062</v>
      </c>
      <c r="U19" s="467">
        <f t="shared" si="15"/>
        <v>0</v>
      </c>
      <c r="V19" s="467">
        <f t="shared" si="15"/>
        <v>0</v>
      </c>
      <c r="W19" s="467">
        <f t="shared" si="9"/>
        <v>0</v>
      </c>
      <c r="X19" s="489">
        <f t="shared" si="10"/>
        <v>0</v>
      </c>
    </row>
    <row r="20" spans="1:24" s="29" customFormat="1" hidden="1" outlineLevel="1">
      <c r="A20" s="40" t="s">
        <v>60</v>
      </c>
      <c r="B20" s="41" t="s">
        <v>3</v>
      </c>
      <c r="D20" s="467">
        <f t="shared" si="14"/>
        <v>0</v>
      </c>
      <c r="E20" s="467">
        <f t="shared" si="14"/>
        <v>0</v>
      </c>
      <c r="F20" s="467">
        <f t="shared" si="14"/>
        <v>0</v>
      </c>
      <c r="G20" s="467">
        <f t="shared" si="14"/>
        <v>0</v>
      </c>
      <c r="H20" s="467">
        <f t="shared" si="14"/>
        <v>0</v>
      </c>
      <c r="I20" s="467">
        <f t="shared" si="14"/>
        <v>0</v>
      </c>
      <c r="J20" s="467">
        <f t="shared" si="14"/>
        <v>0</v>
      </c>
      <c r="K20" s="467">
        <f t="shared" si="14"/>
        <v>0</v>
      </c>
      <c r="L20" s="467">
        <f t="shared" si="1"/>
        <v>0</v>
      </c>
      <c r="M20" s="467">
        <f t="shared" si="2"/>
        <v>0</v>
      </c>
      <c r="N20" s="467">
        <f t="shared" si="3"/>
        <v>0</v>
      </c>
      <c r="O20" s="467">
        <f t="shared" si="4"/>
        <v>0</v>
      </c>
      <c r="P20" s="489">
        <f t="shared" si="5"/>
        <v>0</v>
      </c>
      <c r="Q20" s="489">
        <f t="shared" si="6"/>
        <v>0</v>
      </c>
      <c r="R20" s="489">
        <f t="shared" si="7"/>
        <v>0</v>
      </c>
      <c r="S20" s="489">
        <f t="shared" si="8"/>
        <v>0</v>
      </c>
      <c r="U20" s="467">
        <f t="shared" si="15"/>
        <v>0</v>
      </c>
      <c r="V20" s="467">
        <f t="shared" si="15"/>
        <v>0</v>
      </c>
      <c r="W20" s="467">
        <f t="shared" si="9"/>
        <v>0</v>
      </c>
      <c r="X20" s="489">
        <f t="shared" si="10"/>
        <v>0</v>
      </c>
    </row>
    <row r="21" spans="1:24" s="51" customFormat="1" ht="14.25" collapsed="1">
      <c r="A21" s="50">
        <v>5</v>
      </c>
      <c r="B21" s="91" t="s">
        <v>23</v>
      </c>
      <c r="D21" s="462">
        <f t="shared" ref="D21:K21" si="16">SUM(D22:D24)-D25+D26</f>
        <v>434198986370.46283</v>
      </c>
      <c r="E21" s="462">
        <f t="shared" si="16"/>
        <v>167989966379.80621</v>
      </c>
      <c r="F21" s="462">
        <f t="shared" si="16"/>
        <v>92113708807.182983</v>
      </c>
      <c r="G21" s="462">
        <f t="shared" si="16"/>
        <v>174095311183.47363</v>
      </c>
      <c r="H21" s="462">
        <f t="shared" si="16"/>
        <v>439571283441.55151</v>
      </c>
      <c r="I21" s="462">
        <f t="shared" si="16"/>
        <v>184192407370.94977</v>
      </c>
      <c r="J21" s="462">
        <f t="shared" si="16"/>
        <v>94520063687.366257</v>
      </c>
      <c r="K21" s="462">
        <f t="shared" si="16"/>
        <v>160858812383.23544</v>
      </c>
      <c r="L21" s="462">
        <f t="shared" si="1"/>
        <v>-5372297071.0886841</v>
      </c>
      <c r="M21" s="462">
        <f t="shared" si="2"/>
        <v>-16202440991.143555</v>
      </c>
      <c r="N21" s="462">
        <f t="shared" si="3"/>
        <v>-2406354880.1832733</v>
      </c>
      <c r="O21" s="462">
        <f t="shared" si="4"/>
        <v>13236498800.23819</v>
      </c>
      <c r="P21" s="484">
        <f t="shared" si="5"/>
        <v>-1.2221674330104465E-2</v>
      </c>
      <c r="Q21" s="484">
        <f t="shared" si="6"/>
        <v>-8.7964760450266813E-2</v>
      </c>
      <c r="R21" s="484">
        <f t="shared" si="7"/>
        <v>-2.5458667570755263E-2</v>
      </c>
      <c r="S21" s="484">
        <f t="shared" si="8"/>
        <v>8.2286438673332421E-2</v>
      </c>
      <c r="U21" s="462">
        <f ca="1">SUM(U22:U24)-U25+U26</f>
        <v>1399190681665.437</v>
      </c>
      <c r="V21" s="462">
        <f ca="1">SUM(V22:V24)-V25+V26</f>
        <v>1414176736720.0657</v>
      </c>
      <c r="W21" s="462">
        <f t="shared" ca="1" si="9"/>
        <v>-14986055054.628662</v>
      </c>
      <c r="X21" s="484">
        <f t="shared" ca="1" si="10"/>
        <v>-1.0597017095180183E-2</v>
      </c>
    </row>
    <row r="22" spans="1:24" hidden="1" outlineLevel="2">
      <c r="A22" s="38" t="s">
        <v>64</v>
      </c>
      <c r="B22" s="39" t="s">
        <v>1</v>
      </c>
      <c r="D22" s="468">
        <f>SUM(E22:G22)</f>
        <v>0</v>
      </c>
      <c r="E22" s="468">
        <f>'Consol PL-DTRG'!CG22</f>
        <v>0</v>
      </c>
      <c r="F22" s="468">
        <f>'Consol PL-DTRG'!CU22</f>
        <v>0</v>
      </c>
      <c r="G22" s="468">
        <f>'Consol PL-DTRG'!DI22</f>
        <v>0</v>
      </c>
      <c r="H22" s="468">
        <f>SUM(I22:K22)</f>
        <v>0</v>
      </c>
      <c r="I22" s="468">
        <f>'Consol PL-DTRG-Cũ'!CG22</f>
        <v>0</v>
      </c>
      <c r="J22" s="468">
        <f>'Consol PL-DTRG-Cũ'!CU22</f>
        <v>0</v>
      </c>
      <c r="K22" s="468">
        <f>'Consol PL-DTRG-Cũ'!DI22</f>
        <v>0</v>
      </c>
      <c r="L22" s="468">
        <f t="shared" si="1"/>
        <v>0</v>
      </c>
      <c r="M22" s="468">
        <f t="shared" si="2"/>
        <v>0</v>
      </c>
      <c r="N22" s="468">
        <f t="shared" si="3"/>
        <v>0</v>
      </c>
      <c r="O22" s="468">
        <f t="shared" si="4"/>
        <v>0</v>
      </c>
      <c r="P22" s="490">
        <f t="shared" si="5"/>
        <v>0</v>
      </c>
      <c r="Q22" s="490">
        <f t="shared" si="6"/>
        <v>0</v>
      </c>
      <c r="R22" s="490">
        <f t="shared" si="7"/>
        <v>0</v>
      </c>
      <c r="S22" s="490">
        <f t="shared" si="8"/>
        <v>0</v>
      </c>
      <c r="U22" s="468">
        <f>'Consol PL-DTRG'!O22</f>
        <v>1416042191528.5142</v>
      </c>
      <c r="V22" s="468">
        <f>'Consol PL-DTRG-Cũ'!O22</f>
        <v>1416042191528.5142</v>
      </c>
      <c r="W22" s="468">
        <f t="shared" si="9"/>
        <v>0</v>
      </c>
      <c r="X22" s="490">
        <f t="shared" si="10"/>
        <v>0</v>
      </c>
    </row>
    <row r="23" spans="1:24" hidden="1" outlineLevel="2">
      <c r="A23" s="38" t="s">
        <v>67</v>
      </c>
      <c r="B23" s="39" t="s">
        <v>2</v>
      </c>
      <c r="D23" s="468">
        <f>SUM(E23:G23)</f>
        <v>434198986370.46283</v>
      </c>
      <c r="E23" s="468">
        <f>'Consol PL-DTRG'!CG23</f>
        <v>167989966379.80621</v>
      </c>
      <c r="F23" s="468">
        <f>'Consol PL-DTRG'!CU23</f>
        <v>92113708807.182983</v>
      </c>
      <c r="G23" s="468">
        <f>'Consol PL-DTRG'!DI23</f>
        <v>174095311183.47363</v>
      </c>
      <c r="H23" s="468">
        <f>SUM(I23:K23)</f>
        <v>439571283441.55151</v>
      </c>
      <c r="I23" s="468">
        <f>'Consol PL-DTRG-Cũ'!CG23</f>
        <v>184192407370.94977</v>
      </c>
      <c r="J23" s="468">
        <f>'Consol PL-DTRG-Cũ'!CU23</f>
        <v>94520063687.366257</v>
      </c>
      <c r="K23" s="468">
        <f>'Consol PL-DTRG-Cũ'!DI23</f>
        <v>160858812383.23544</v>
      </c>
      <c r="L23" s="468">
        <f t="shared" si="1"/>
        <v>-5372297071.0886841</v>
      </c>
      <c r="M23" s="468">
        <f t="shared" si="2"/>
        <v>-16202440991.143555</v>
      </c>
      <c r="N23" s="468">
        <f t="shared" si="3"/>
        <v>-2406354880.1832733</v>
      </c>
      <c r="O23" s="468">
        <f t="shared" si="4"/>
        <v>13236498800.23819</v>
      </c>
      <c r="P23" s="490">
        <f t="shared" si="5"/>
        <v>-1.2221674330104465E-2</v>
      </c>
      <c r="Q23" s="490">
        <f t="shared" si="6"/>
        <v>-8.7964760450266813E-2</v>
      </c>
      <c r="R23" s="490">
        <f t="shared" si="7"/>
        <v>-2.5458667570755263E-2</v>
      </c>
      <c r="S23" s="490">
        <f t="shared" si="8"/>
        <v>8.2286438673332421E-2</v>
      </c>
      <c r="U23" s="468">
        <f>'Consol PL-DTRG'!O23</f>
        <v>-23999114879.537201</v>
      </c>
      <c r="V23" s="468">
        <f>'Consol PL-DTRG-Cũ'!O23</f>
        <v>-1865454808.4485245</v>
      </c>
      <c r="W23" s="468">
        <f t="shared" si="9"/>
        <v>-22133660071.088676</v>
      </c>
      <c r="X23" s="490">
        <f t="shared" si="10"/>
        <v>11.865020782517355</v>
      </c>
    </row>
    <row r="24" spans="1:24" hidden="1" outlineLevel="2">
      <c r="A24" s="38" t="s">
        <v>68</v>
      </c>
      <c r="B24" s="39" t="s">
        <v>3</v>
      </c>
      <c r="D24" s="462">
        <f>SUM(E24:G24)</f>
        <v>0</v>
      </c>
      <c r="E24" s="462">
        <f>'Consol PL-DTRG'!CG24</f>
        <v>0</v>
      </c>
      <c r="F24" s="462">
        <f>'Consol PL-DTRG'!CU24</f>
        <v>0</v>
      </c>
      <c r="G24" s="462">
        <f>'Consol PL-DTRG'!DI24</f>
        <v>0</v>
      </c>
      <c r="H24" s="462">
        <f>SUM(I24:K24)</f>
        <v>0</v>
      </c>
      <c r="I24" s="462">
        <f>'Consol PL-DTRG-Cũ'!CG24</f>
        <v>0</v>
      </c>
      <c r="J24" s="462">
        <f>'Consol PL-DTRG-Cũ'!CU24</f>
        <v>0</v>
      </c>
      <c r="K24" s="462">
        <f>'Consol PL-DTRG-Cũ'!DI24</f>
        <v>0</v>
      </c>
      <c r="L24" s="462">
        <f t="shared" si="1"/>
        <v>0</v>
      </c>
      <c r="M24" s="462">
        <f t="shared" si="2"/>
        <v>0</v>
      </c>
      <c r="N24" s="462">
        <f t="shared" si="3"/>
        <v>0</v>
      </c>
      <c r="O24" s="462">
        <f t="shared" si="4"/>
        <v>0</v>
      </c>
      <c r="P24" s="484">
        <f t="shared" si="5"/>
        <v>0</v>
      </c>
      <c r="Q24" s="484">
        <f t="shared" si="6"/>
        <v>0</v>
      </c>
      <c r="R24" s="484">
        <f t="shared" si="7"/>
        <v>0</v>
      </c>
      <c r="S24" s="484">
        <f t="shared" si="8"/>
        <v>0</v>
      </c>
      <c r="U24" s="462">
        <f>'Consol PL-DTRG'!O24</f>
        <v>0</v>
      </c>
      <c r="V24" s="462">
        <f>'Consol PL-DTRG-Cũ'!O24</f>
        <v>0</v>
      </c>
      <c r="W24" s="462">
        <f t="shared" si="9"/>
        <v>0</v>
      </c>
      <c r="X24" s="484">
        <f t="shared" si="10"/>
        <v>0</v>
      </c>
    </row>
    <row r="25" spans="1:24" s="28" customFormat="1" hidden="1" outlineLevel="1">
      <c r="A25" s="43" t="s">
        <v>6</v>
      </c>
      <c r="B25" s="44" t="s">
        <v>4</v>
      </c>
      <c r="D25" s="469"/>
      <c r="E25" s="469"/>
      <c r="F25" s="469"/>
      <c r="G25" s="469"/>
      <c r="H25" s="469"/>
      <c r="I25" s="469"/>
      <c r="J25" s="469"/>
      <c r="K25" s="469"/>
      <c r="L25" s="469">
        <f t="shared" si="1"/>
        <v>0</v>
      </c>
      <c r="M25" s="469">
        <f t="shared" si="2"/>
        <v>0</v>
      </c>
      <c r="N25" s="469">
        <f t="shared" si="3"/>
        <v>0</v>
      </c>
      <c r="O25" s="469">
        <f t="shared" si="4"/>
        <v>0</v>
      </c>
      <c r="P25" s="491">
        <f t="shared" si="5"/>
        <v>0</v>
      </c>
      <c r="Q25" s="491">
        <f t="shared" si="6"/>
        <v>0</v>
      </c>
      <c r="R25" s="491">
        <f t="shared" si="7"/>
        <v>0</v>
      </c>
      <c r="S25" s="491">
        <f t="shared" si="8"/>
        <v>0</v>
      </c>
      <c r="U25" s="469">
        <f>'Consol PL-DTRG'!O25</f>
        <v>0</v>
      </c>
      <c r="V25" s="469">
        <f>'Consol PL-DTRG-Cũ'!O25</f>
        <v>0</v>
      </c>
      <c r="W25" s="469">
        <f t="shared" si="9"/>
        <v>0</v>
      </c>
      <c r="X25" s="491">
        <f t="shared" si="10"/>
        <v>0</v>
      </c>
    </row>
    <row r="26" spans="1:24" s="28" customFormat="1" hidden="1" outlineLevel="1">
      <c r="A26" s="64" t="s">
        <v>7</v>
      </c>
      <c r="B26" s="65" t="s">
        <v>5</v>
      </c>
      <c r="D26" s="470"/>
      <c r="E26" s="470"/>
      <c r="F26" s="470"/>
      <c r="G26" s="470"/>
      <c r="H26" s="470"/>
      <c r="I26" s="470"/>
      <c r="J26" s="470"/>
      <c r="K26" s="470"/>
      <c r="L26" s="470">
        <f t="shared" si="1"/>
        <v>0</v>
      </c>
      <c r="M26" s="470">
        <f t="shared" si="2"/>
        <v>0</v>
      </c>
      <c r="N26" s="470">
        <f t="shared" si="3"/>
        <v>0</v>
      </c>
      <c r="O26" s="470">
        <f t="shared" si="4"/>
        <v>0</v>
      </c>
      <c r="P26" s="492">
        <f t="shared" si="5"/>
        <v>0</v>
      </c>
      <c r="Q26" s="492">
        <f t="shared" si="6"/>
        <v>0</v>
      </c>
      <c r="R26" s="492">
        <f t="shared" si="7"/>
        <v>0</v>
      </c>
      <c r="S26" s="492">
        <f t="shared" si="8"/>
        <v>0</v>
      </c>
      <c r="U26" s="470">
        <f ca="1">'Consol PL-DTRG'!O26</f>
        <v>7147605016.4599972</v>
      </c>
      <c r="V26" s="470">
        <f ca="1">'Consol PL-DTRG-Cũ'!O26</f>
        <v>0</v>
      </c>
      <c r="W26" s="470">
        <f t="shared" ca="1" si="9"/>
        <v>7147605016.4599972</v>
      </c>
      <c r="X26" s="492">
        <f t="shared" ca="1" si="10"/>
        <v>0</v>
      </c>
    </row>
    <row r="27" spans="1:24" s="51" customFormat="1" ht="14.25" collapsed="1">
      <c r="A27" s="66">
        <v>6</v>
      </c>
      <c r="B27" s="62" t="s">
        <v>24</v>
      </c>
      <c r="D27" s="471">
        <f t="shared" ref="D27:K27" si="17">SUM(D28:D30)</f>
        <v>23999114879.53717</v>
      </c>
      <c r="E27" s="471">
        <f t="shared" si="17"/>
        <v>9498887370.1937866</v>
      </c>
      <c r="F27" s="471">
        <f t="shared" si="17"/>
        <v>7480291192.8170166</v>
      </c>
      <c r="G27" s="471">
        <f t="shared" si="17"/>
        <v>7019936316.5263672</v>
      </c>
      <c r="H27" s="471">
        <f t="shared" si="17"/>
        <v>1865454808.4484863</v>
      </c>
      <c r="I27" s="471">
        <f t="shared" si="17"/>
        <v>-1397596620.9497681</v>
      </c>
      <c r="J27" s="471">
        <f t="shared" si="17"/>
        <v>5073936312.6337433</v>
      </c>
      <c r="K27" s="471">
        <f t="shared" si="17"/>
        <v>-1810884883.2354431</v>
      </c>
      <c r="L27" s="471">
        <f t="shared" si="1"/>
        <v>22133660071.088684</v>
      </c>
      <c r="M27" s="471">
        <f t="shared" si="2"/>
        <v>10896483991.143555</v>
      </c>
      <c r="N27" s="471">
        <f t="shared" si="3"/>
        <v>2406354880.1832733</v>
      </c>
      <c r="O27" s="471">
        <f t="shared" si="4"/>
        <v>8830821199.7618103</v>
      </c>
      <c r="P27" s="493">
        <f t="shared" si="5"/>
        <v>11.865020782517602</v>
      </c>
      <c r="Q27" s="493">
        <f t="shared" si="6"/>
        <v>-7.7965872468542496</v>
      </c>
      <c r="R27" s="493">
        <f t="shared" si="7"/>
        <v>0.47425799850731659</v>
      </c>
      <c r="S27" s="493">
        <f t="shared" si="8"/>
        <v>-4.8765226776779418</v>
      </c>
      <c r="U27" s="471">
        <f ca="1">SUM(U28:U30)</f>
        <v>279556940476.24542</v>
      </c>
      <c r="V27" s="471">
        <f ca="1">SUM(V28:V30)</f>
        <v>264570885421.61673</v>
      </c>
      <c r="W27" s="471">
        <f t="shared" ca="1" si="9"/>
        <v>14986055054.628693</v>
      </c>
      <c r="X27" s="493">
        <f t="shared" ca="1" si="10"/>
        <v>5.6642872970497526E-2</v>
      </c>
    </row>
    <row r="28" spans="1:24" s="29" customFormat="1" hidden="1" outlineLevel="1">
      <c r="A28" s="74" t="s">
        <v>8</v>
      </c>
      <c r="B28" s="59" t="s">
        <v>1</v>
      </c>
      <c r="D28" s="466">
        <f t="shared" ref="D28:K28" si="18">D18-D22+D25-D26</f>
        <v>0</v>
      </c>
      <c r="E28" s="466">
        <f t="shared" si="18"/>
        <v>0</v>
      </c>
      <c r="F28" s="466">
        <f t="shared" si="18"/>
        <v>0</v>
      </c>
      <c r="G28" s="466">
        <f t="shared" si="18"/>
        <v>0</v>
      </c>
      <c r="H28" s="466">
        <f t="shared" si="18"/>
        <v>0</v>
      </c>
      <c r="I28" s="466">
        <f t="shared" si="18"/>
        <v>0</v>
      </c>
      <c r="J28" s="466">
        <f t="shared" si="18"/>
        <v>0</v>
      </c>
      <c r="K28" s="466">
        <f t="shared" si="18"/>
        <v>0</v>
      </c>
      <c r="L28" s="466">
        <f t="shared" si="1"/>
        <v>0</v>
      </c>
      <c r="M28" s="466">
        <f t="shared" si="2"/>
        <v>0</v>
      </c>
      <c r="N28" s="466">
        <f t="shared" si="3"/>
        <v>0</v>
      </c>
      <c r="O28" s="466">
        <f t="shared" si="4"/>
        <v>0</v>
      </c>
      <c r="P28" s="488">
        <f t="shared" si="5"/>
        <v>0</v>
      </c>
      <c r="Q28" s="488">
        <f t="shared" si="6"/>
        <v>0</v>
      </c>
      <c r="R28" s="488">
        <f t="shared" si="7"/>
        <v>0</v>
      </c>
      <c r="S28" s="488">
        <f t="shared" si="8"/>
        <v>0</v>
      </c>
      <c r="U28" s="466">
        <f ca="1">U18-U22+U25-U26</f>
        <v>255557825596.70822</v>
      </c>
      <c r="V28" s="466">
        <f ca="1">V18-V22+V25-V26</f>
        <v>262705430613.16821</v>
      </c>
      <c r="W28" s="466">
        <f t="shared" ca="1" si="9"/>
        <v>-7147605016.4599915</v>
      </c>
      <c r="X28" s="488">
        <f t="shared" ca="1" si="10"/>
        <v>-2.7207678957291089E-2</v>
      </c>
    </row>
    <row r="29" spans="1:24" s="29" customFormat="1" hidden="1" outlineLevel="1">
      <c r="A29" s="75" t="s">
        <v>9</v>
      </c>
      <c r="B29" s="41" t="s">
        <v>2</v>
      </c>
      <c r="D29" s="472">
        <f t="shared" ref="D29:K30" si="19">D19-D23</f>
        <v>23999114879.53717</v>
      </c>
      <c r="E29" s="472">
        <f t="shared" si="19"/>
        <v>9498887370.1937866</v>
      </c>
      <c r="F29" s="472">
        <f t="shared" si="19"/>
        <v>7480291192.8170166</v>
      </c>
      <c r="G29" s="472">
        <f t="shared" si="19"/>
        <v>7019936316.5263672</v>
      </c>
      <c r="H29" s="472">
        <f t="shared" si="19"/>
        <v>1865454808.4484863</v>
      </c>
      <c r="I29" s="472">
        <f t="shared" si="19"/>
        <v>-1397596620.9497681</v>
      </c>
      <c r="J29" s="472">
        <f t="shared" si="19"/>
        <v>5073936312.6337433</v>
      </c>
      <c r="K29" s="472">
        <f t="shared" si="19"/>
        <v>-1810884883.2354431</v>
      </c>
      <c r="L29" s="472">
        <f t="shared" si="1"/>
        <v>22133660071.088684</v>
      </c>
      <c r="M29" s="472">
        <f t="shared" si="2"/>
        <v>10896483991.143555</v>
      </c>
      <c r="N29" s="472">
        <f t="shared" si="3"/>
        <v>2406354880.1832733</v>
      </c>
      <c r="O29" s="472">
        <f t="shared" si="4"/>
        <v>8830821199.7618103</v>
      </c>
      <c r="P29" s="494">
        <f t="shared" si="5"/>
        <v>11.865020782517602</v>
      </c>
      <c r="Q29" s="494">
        <f t="shared" si="6"/>
        <v>-7.7965872468542496</v>
      </c>
      <c r="R29" s="494">
        <f t="shared" si="7"/>
        <v>0.47425799850731659</v>
      </c>
      <c r="S29" s="494">
        <f t="shared" si="8"/>
        <v>-4.8765226776779418</v>
      </c>
      <c r="U29" s="472">
        <f>U19-U23</f>
        <v>23999114879.537201</v>
      </c>
      <c r="V29" s="472">
        <f>V19-V23</f>
        <v>1865454808.4485245</v>
      </c>
      <c r="W29" s="472">
        <f t="shared" si="9"/>
        <v>22133660071.088676</v>
      </c>
      <c r="X29" s="494">
        <f t="shared" si="10"/>
        <v>11.865020782517355</v>
      </c>
    </row>
    <row r="30" spans="1:24" s="29" customFormat="1" hidden="1" outlineLevel="1">
      <c r="A30" s="75" t="s">
        <v>10</v>
      </c>
      <c r="B30" s="41" t="s">
        <v>3</v>
      </c>
      <c r="D30" s="467">
        <f t="shared" si="19"/>
        <v>0</v>
      </c>
      <c r="E30" s="467">
        <f t="shared" si="19"/>
        <v>0</v>
      </c>
      <c r="F30" s="467">
        <f t="shared" si="19"/>
        <v>0</v>
      </c>
      <c r="G30" s="467">
        <f t="shared" si="19"/>
        <v>0</v>
      </c>
      <c r="H30" s="467">
        <f t="shared" si="19"/>
        <v>0</v>
      </c>
      <c r="I30" s="467">
        <f t="shared" si="19"/>
        <v>0</v>
      </c>
      <c r="J30" s="467">
        <f t="shared" si="19"/>
        <v>0</v>
      </c>
      <c r="K30" s="467">
        <f t="shared" si="19"/>
        <v>0</v>
      </c>
      <c r="L30" s="467">
        <f t="shared" si="1"/>
        <v>0</v>
      </c>
      <c r="M30" s="467">
        <f t="shared" si="2"/>
        <v>0</v>
      </c>
      <c r="N30" s="467">
        <f t="shared" si="3"/>
        <v>0</v>
      </c>
      <c r="O30" s="467">
        <f t="shared" si="4"/>
        <v>0</v>
      </c>
      <c r="P30" s="489">
        <f t="shared" si="5"/>
        <v>0</v>
      </c>
      <c r="Q30" s="489">
        <f t="shared" si="6"/>
        <v>0</v>
      </c>
      <c r="R30" s="489">
        <f t="shared" si="7"/>
        <v>0</v>
      </c>
      <c r="S30" s="489">
        <f t="shared" si="8"/>
        <v>0</v>
      </c>
      <c r="U30" s="467">
        <f>U20-U24</f>
        <v>0</v>
      </c>
      <c r="V30" s="467">
        <f>V20-V24</f>
        <v>0</v>
      </c>
      <c r="W30" s="467">
        <f t="shared" si="9"/>
        <v>0</v>
      </c>
      <c r="X30" s="489">
        <f t="shared" si="10"/>
        <v>0</v>
      </c>
    </row>
    <row r="31" spans="1:24" s="504" customFormat="1" collapsed="1">
      <c r="A31" s="502"/>
      <c r="B31" s="503" t="s">
        <v>209</v>
      </c>
      <c r="D31" s="505">
        <f t="shared" ref="D31:K31" si="20">IFERROR(D27/D17,0)</f>
        <v>5.237715916776111E-2</v>
      </c>
      <c r="E31" s="505">
        <f t="shared" si="20"/>
        <v>5.3518219141655742E-2</v>
      </c>
      <c r="F31" s="505">
        <f t="shared" si="20"/>
        <v>7.5107849798351473E-2</v>
      </c>
      <c r="G31" s="505">
        <f t="shared" si="20"/>
        <v>3.8759499343236505E-2</v>
      </c>
      <c r="H31" s="505">
        <f t="shared" si="20"/>
        <v>4.2258712218737407E-3</v>
      </c>
      <c r="I31" s="506">
        <f t="shared" si="20"/>
        <v>-7.6457127815362123E-3</v>
      </c>
      <c r="J31" s="506">
        <f t="shared" si="20"/>
        <v>5.0946204717490444E-2</v>
      </c>
      <c r="K31" s="506">
        <f t="shared" si="20"/>
        <v>-1.1385781076810594E-2</v>
      </c>
      <c r="L31" s="506">
        <f t="shared" ref="L31:L48" si="21">D31-H31</f>
        <v>4.8151287945887369E-2</v>
      </c>
      <c r="M31" s="507"/>
      <c r="N31" s="507"/>
      <c r="O31" s="507"/>
      <c r="P31" s="508"/>
      <c r="Q31" s="508"/>
      <c r="R31" s="508"/>
      <c r="S31" s="508"/>
      <c r="U31" s="505">
        <f ca="1">IFERROR(U27/U17,0)</f>
        <v>0.16652708053852508</v>
      </c>
      <c r="V31" s="505">
        <f ca="1">IFERROR(V27/V17,0)</f>
        <v>0.15760015497986962</v>
      </c>
      <c r="W31" s="505">
        <f t="shared" ca="1" si="9"/>
        <v>8.9269255586554574E-3</v>
      </c>
      <c r="X31" s="508"/>
    </row>
    <row r="32" spans="1:24" ht="16.5" customHeight="1">
      <c r="A32" s="45">
        <v>7</v>
      </c>
      <c r="B32" s="35" t="s">
        <v>25</v>
      </c>
      <c r="D32" s="473">
        <f t="shared" ref="D32:K32" si="22">SUM(D33:D35)</f>
        <v>0</v>
      </c>
      <c r="E32" s="473">
        <f t="shared" si="22"/>
        <v>0</v>
      </c>
      <c r="F32" s="473">
        <f t="shared" si="22"/>
        <v>0</v>
      </c>
      <c r="G32" s="473">
        <f t="shared" si="22"/>
        <v>0</v>
      </c>
      <c r="H32" s="473">
        <f t="shared" si="22"/>
        <v>0</v>
      </c>
      <c r="I32" s="473">
        <f t="shared" si="22"/>
        <v>0</v>
      </c>
      <c r="J32" s="473">
        <f t="shared" si="22"/>
        <v>0</v>
      </c>
      <c r="K32" s="473">
        <f t="shared" si="22"/>
        <v>0</v>
      </c>
      <c r="L32" s="473">
        <f t="shared" si="21"/>
        <v>0</v>
      </c>
      <c r="M32" s="473">
        <f t="shared" ref="M32:M48" si="23">E32-I32</f>
        <v>0</v>
      </c>
      <c r="N32" s="473">
        <f t="shared" ref="N32:N48" si="24">F32-J32</f>
        <v>0</v>
      </c>
      <c r="O32" s="473">
        <f t="shared" ref="O32:O48" si="25">G32-K32</f>
        <v>0</v>
      </c>
      <c r="P32" s="495">
        <f t="shared" ref="P32:P48" si="26">IFERROR(L32/H32,0)</f>
        <v>0</v>
      </c>
      <c r="Q32" s="495">
        <f t="shared" ref="Q32:Q48" si="27">IFERROR(M32/I32,0)</f>
        <v>0</v>
      </c>
      <c r="R32" s="495">
        <f t="shared" ref="R32:R48" si="28">IFERROR(N32/J32,0)</f>
        <v>0</v>
      </c>
      <c r="S32" s="495">
        <f t="shared" ref="S32:S48" si="29">IFERROR(O32/K32,0)</f>
        <v>0</v>
      </c>
      <c r="U32" s="473">
        <f>SUM(U33:U35)</f>
        <v>0</v>
      </c>
      <c r="V32" s="473">
        <f>SUM(V33:V35)</f>
        <v>0</v>
      </c>
      <c r="W32" s="473">
        <f t="shared" si="9"/>
        <v>0</v>
      </c>
      <c r="X32" s="495">
        <f t="shared" ref="X32:X48" si="30">IFERROR(W32/V32,0)</f>
        <v>0</v>
      </c>
    </row>
    <row r="33" spans="1:24" s="29" customFormat="1" ht="30" hidden="1" outlineLevel="1">
      <c r="A33" s="458" t="s">
        <v>61</v>
      </c>
      <c r="B33" s="37" t="s">
        <v>1</v>
      </c>
      <c r="D33" s="461">
        <f t="shared" ref="D33:D40" si="31">SUM(E33:G33)</f>
        <v>0</v>
      </c>
      <c r="E33" s="461">
        <f>'Consol PL-DTRG'!CG32</f>
        <v>0</v>
      </c>
      <c r="F33" s="461">
        <f>'Consol PL-DTRG'!CU32</f>
        <v>0</v>
      </c>
      <c r="G33" s="461">
        <f>'Consol PL-DTRG'!DI32</f>
        <v>0</v>
      </c>
      <c r="H33" s="461">
        <f t="shared" ref="H33:H40" si="32">SUM(I33:K33)</f>
        <v>0</v>
      </c>
      <c r="I33" s="461">
        <f>'Consol PL-DTRG-Cũ'!CG32</f>
        <v>0</v>
      </c>
      <c r="J33" s="461">
        <f>'Consol PL-DTRG-Cũ'!CU32</f>
        <v>0</v>
      </c>
      <c r="K33" s="461">
        <f>'Consol PL-DTRG-Cũ'!DI32</f>
        <v>0</v>
      </c>
      <c r="L33" s="461">
        <f t="shared" si="21"/>
        <v>0</v>
      </c>
      <c r="M33" s="461">
        <f t="shared" si="23"/>
        <v>0</v>
      </c>
      <c r="N33" s="461">
        <f t="shared" si="24"/>
        <v>0</v>
      </c>
      <c r="O33" s="461">
        <f t="shared" si="25"/>
        <v>0</v>
      </c>
      <c r="P33" s="483">
        <f t="shared" si="26"/>
        <v>0</v>
      </c>
      <c r="Q33" s="483">
        <f t="shared" si="27"/>
        <v>0</v>
      </c>
      <c r="R33" s="483">
        <f t="shared" si="28"/>
        <v>0</v>
      </c>
      <c r="S33" s="483">
        <f t="shared" si="29"/>
        <v>0</v>
      </c>
      <c r="U33" s="461">
        <f>'Consol PL-DTRG'!O32</f>
        <v>0</v>
      </c>
      <c r="V33" s="461">
        <f>'Consol PL-DTRG-Cũ'!O32</f>
        <v>0</v>
      </c>
      <c r="W33" s="461">
        <f t="shared" si="9"/>
        <v>0</v>
      </c>
      <c r="X33" s="483">
        <f t="shared" si="30"/>
        <v>0</v>
      </c>
    </row>
    <row r="34" spans="1:24" s="29" customFormat="1" ht="15" hidden="1" customHeight="1" outlineLevel="1">
      <c r="A34" s="458" t="s">
        <v>69</v>
      </c>
      <c r="B34" s="37" t="s">
        <v>2</v>
      </c>
      <c r="D34" s="461">
        <f t="shared" si="31"/>
        <v>0</v>
      </c>
      <c r="E34" s="461">
        <f>'Consol PL-DTRG'!CG33</f>
        <v>0</v>
      </c>
      <c r="F34" s="461">
        <f>'Consol PL-DTRG'!CU33</f>
        <v>0</v>
      </c>
      <c r="G34" s="461">
        <f>'Consol PL-DTRG'!DI33</f>
        <v>0</v>
      </c>
      <c r="H34" s="461">
        <f t="shared" si="32"/>
        <v>0</v>
      </c>
      <c r="I34" s="461">
        <f>'Consol PL-DTRG-Cũ'!CG33</f>
        <v>0</v>
      </c>
      <c r="J34" s="461">
        <f>'Consol PL-DTRG-Cũ'!CU33</f>
        <v>0</v>
      </c>
      <c r="K34" s="461">
        <f>'Consol PL-DTRG-Cũ'!DI33</f>
        <v>0</v>
      </c>
      <c r="L34" s="461">
        <f t="shared" si="21"/>
        <v>0</v>
      </c>
      <c r="M34" s="461">
        <f t="shared" si="23"/>
        <v>0</v>
      </c>
      <c r="N34" s="461">
        <f t="shared" si="24"/>
        <v>0</v>
      </c>
      <c r="O34" s="461">
        <f t="shared" si="25"/>
        <v>0</v>
      </c>
      <c r="P34" s="483">
        <f t="shared" si="26"/>
        <v>0</v>
      </c>
      <c r="Q34" s="483">
        <f t="shared" si="27"/>
        <v>0</v>
      </c>
      <c r="R34" s="483">
        <f t="shared" si="28"/>
        <v>0</v>
      </c>
      <c r="S34" s="483">
        <f t="shared" si="29"/>
        <v>0</v>
      </c>
      <c r="U34" s="461">
        <f>'Consol PL-DTRG'!O33</f>
        <v>0</v>
      </c>
      <c r="V34" s="461">
        <f>'Consol PL-DTRG-Cũ'!O33</f>
        <v>0</v>
      </c>
      <c r="W34" s="461">
        <f t="shared" si="9"/>
        <v>0</v>
      </c>
      <c r="X34" s="483">
        <f t="shared" si="30"/>
        <v>0</v>
      </c>
    </row>
    <row r="35" spans="1:24" s="29" customFormat="1" ht="30" hidden="1" outlineLevel="1">
      <c r="A35" s="458" t="s">
        <v>70</v>
      </c>
      <c r="B35" s="37" t="s">
        <v>3</v>
      </c>
      <c r="D35" s="461">
        <f t="shared" si="31"/>
        <v>0</v>
      </c>
      <c r="E35" s="461">
        <f>'Consol PL-DTRG'!CG34</f>
        <v>0</v>
      </c>
      <c r="F35" s="461">
        <f>'Consol PL-DTRG'!CU34</f>
        <v>0</v>
      </c>
      <c r="G35" s="461">
        <f>'Consol PL-DTRG'!DI34</f>
        <v>0</v>
      </c>
      <c r="H35" s="461">
        <f t="shared" si="32"/>
        <v>0</v>
      </c>
      <c r="I35" s="461">
        <f>'Consol PL-DTRG-Cũ'!CG34</f>
        <v>0</v>
      </c>
      <c r="J35" s="461">
        <f>'Consol PL-DTRG-Cũ'!CU34</f>
        <v>0</v>
      </c>
      <c r="K35" s="461">
        <f>'Consol PL-DTRG-Cũ'!DI34</f>
        <v>0</v>
      </c>
      <c r="L35" s="461">
        <f t="shared" si="21"/>
        <v>0</v>
      </c>
      <c r="M35" s="461">
        <f t="shared" si="23"/>
        <v>0</v>
      </c>
      <c r="N35" s="461">
        <f t="shared" si="24"/>
        <v>0</v>
      </c>
      <c r="O35" s="461">
        <f t="shared" si="25"/>
        <v>0</v>
      </c>
      <c r="P35" s="483">
        <f t="shared" si="26"/>
        <v>0</v>
      </c>
      <c r="Q35" s="483">
        <f t="shared" si="27"/>
        <v>0</v>
      </c>
      <c r="R35" s="483">
        <f t="shared" si="28"/>
        <v>0</v>
      </c>
      <c r="S35" s="483">
        <f t="shared" si="29"/>
        <v>0</v>
      </c>
      <c r="U35" s="461">
        <f>'Consol PL-DTRG'!O34</f>
        <v>0</v>
      </c>
      <c r="V35" s="461">
        <f>'Consol PL-DTRG-Cũ'!O34</f>
        <v>0</v>
      </c>
      <c r="W35" s="461">
        <f t="shared" si="9"/>
        <v>0</v>
      </c>
      <c r="X35" s="483">
        <f t="shared" si="30"/>
        <v>0</v>
      </c>
    </row>
    <row r="36" spans="1:24" collapsed="1">
      <c r="A36" s="38">
        <v>8</v>
      </c>
      <c r="B36" s="39" t="s">
        <v>26</v>
      </c>
      <c r="D36" s="463">
        <f t="shared" si="31"/>
        <v>150720000</v>
      </c>
      <c r="E36" s="463">
        <f>'Consol PL-DTRG'!CG35</f>
        <v>150000000</v>
      </c>
      <c r="F36" s="463">
        <f>'Consol PL-DTRG'!CU35</f>
        <v>720000</v>
      </c>
      <c r="G36" s="463">
        <f>'Consol PL-DTRG'!DI35</f>
        <v>0</v>
      </c>
      <c r="H36" s="463">
        <f t="shared" si="32"/>
        <v>150000000</v>
      </c>
      <c r="I36" s="463">
        <f>'Consol PL-DTRG-Cũ'!CG35</f>
        <v>150000000</v>
      </c>
      <c r="J36" s="463">
        <f>'Consol PL-DTRG-Cũ'!CU35</f>
        <v>0</v>
      </c>
      <c r="K36" s="463">
        <f>'Consol PL-DTRG-Cũ'!DI35</f>
        <v>0</v>
      </c>
      <c r="L36" s="463">
        <f t="shared" si="21"/>
        <v>720000</v>
      </c>
      <c r="M36" s="463">
        <f t="shared" si="23"/>
        <v>0</v>
      </c>
      <c r="N36" s="463">
        <f t="shared" si="24"/>
        <v>720000</v>
      </c>
      <c r="O36" s="463">
        <f t="shared" si="25"/>
        <v>0</v>
      </c>
      <c r="P36" s="485">
        <f t="shared" si="26"/>
        <v>4.7999999999999996E-3</v>
      </c>
      <c r="Q36" s="485">
        <f t="shared" si="27"/>
        <v>0</v>
      </c>
      <c r="R36" s="485">
        <f t="shared" si="28"/>
        <v>0</v>
      </c>
      <c r="S36" s="485">
        <f t="shared" si="29"/>
        <v>0</v>
      </c>
      <c r="U36" s="463">
        <f>'Consol PL-DTRG'!O35</f>
        <v>150786577.33333328</v>
      </c>
      <c r="V36" s="463">
        <f>'Consol PL-DTRG-Cũ'!O35</f>
        <v>150066577.33333328</v>
      </c>
      <c r="W36" s="463">
        <f t="shared" si="9"/>
        <v>720000</v>
      </c>
      <c r="X36" s="485">
        <f t="shared" si="30"/>
        <v>4.797870470522627E-3</v>
      </c>
    </row>
    <row r="37" spans="1:24">
      <c r="A37" s="47">
        <v>9</v>
      </c>
      <c r="B37" s="35" t="s">
        <v>27</v>
      </c>
      <c r="D37" s="463">
        <f t="shared" si="31"/>
        <v>0</v>
      </c>
      <c r="E37" s="463">
        <f>'Consol PL-DTRG'!CG36</f>
        <v>0</v>
      </c>
      <c r="F37" s="463">
        <f>'Consol PL-DTRG'!CU36</f>
        <v>0</v>
      </c>
      <c r="G37" s="463">
        <f>'Consol PL-DTRG'!DI36</f>
        <v>0</v>
      </c>
      <c r="H37" s="463">
        <f t="shared" si="32"/>
        <v>0</v>
      </c>
      <c r="I37" s="463">
        <f>'Consol PL-DTRG-Cũ'!CG36</f>
        <v>0</v>
      </c>
      <c r="J37" s="463">
        <f>'Consol PL-DTRG-Cũ'!CU36</f>
        <v>0</v>
      </c>
      <c r="K37" s="463">
        <f>'Consol PL-DTRG-Cũ'!DI36</f>
        <v>0</v>
      </c>
      <c r="L37" s="463">
        <f t="shared" si="21"/>
        <v>0</v>
      </c>
      <c r="M37" s="463">
        <f t="shared" si="23"/>
        <v>0</v>
      </c>
      <c r="N37" s="463">
        <f t="shared" si="24"/>
        <v>0</v>
      </c>
      <c r="O37" s="463">
        <f t="shared" si="25"/>
        <v>0</v>
      </c>
      <c r="P37" s="485">
        <f t="shared" si="26"/>
        <v>0</v>
      </c>
      <c r="Q37" s="485">
        <f t="shared" si="27"/>
        <v>0</v>
      </c>
      <c r="R37" s="485">
        <f t="shared" si="28"/>
        <v>0</v>
      </c>
      <c r="S37" s="485">
        <f t="shared" si="29"/>
        <v>0</v>
      </c>
      <c r="U37" s="463">
        <f>'Consol PL-DTRG'!O36</f>
        <v>34565904323.400558</v>
      </c>
      <c r="V37" s="463">
        <f>'Consol PL-DTRG-Cũ'!O36</f>
        <v>34565904323.400558</v>
      </c>
      <c r="W37" s="463">
        <f t="shared" si="9"/>
        <v>0</v>
      </c>
      <c r="X37" s="485">
        <f t="shared" si="30"/>
        <v>0</v>
      </c>
    </row>
    <row r="38" spans="1:24">
      <c r="A38" s="38">
        <v>10</v>
      </c>
      <c r="B38" s="48" t="s">
        <v>28</v>
      </c>
      <c r="D38" s="473">
        <f t="shared" si="31"/>
        <v>0</v>
      </c>
      <c r="E38" s="473">
        <f>'Consol PL-DTRG'!CG37</f>
        <v>0</v>
      </c>
      <c r="F38" s="473">
        <f>'Consol PL-DTRG'!CU37</f>
        <v>0</v>
      </c>
      <c r="G38" s="473">
        <f>'Consol PL-DTRG'!DI37</f>
        <v>0</v>
      </c>
      <c r="H38" s="473">
        <f t="shared" si="32"/>
        <v>0</v>
      </c>
      <c r="I38" s="473">
        <f>'Consol PL-DTRG-Cũ'!CG37</f>
        <v>0</v>
      </c>
      <c r="J38" s="473">
        <f>'Consol PL-DTRG-Cũ'!CU37</f>
        <v>0</v>
      </c>
      <c r="K38" s="473">
        <f>'Consol PL-DTRG-Cũ'!DI37</f>
        <v>0</v>
      </c>
      <c r="L38" s="473">
        <f t="shared" si="21"/>
        <v>0</v>
      </c>
      <c r="M38" s="473">
        <f t="shared" si="23"/>
        <v>0</v>
      </c>
      <c r="N38" s="473">
        <f t="shared" si="24"/>
        <v>0</v>
      </c>
      <c r="O38" s="473">
        <f t="shared" si="25"/>
        <v>0</v>
      </c>
      <c r="P38" s="495">
        <f t="shared" si="26"/>
        <v>0</v>
      </c>
      <c r="Q38" s="495">
        <f t="shared" si="27"/>
        <v>0</v>
      </c>
      <c r="R38" s="495">
        <f t="shared" si="28"/>
        <v>0</v>
      </c>
      <c r="S38" s="495">
        <f t="shared" si="29"/>
        <v>0</v>
      </c>
      <c r="U38" s="473">
        <f>'Consol PL-DTRG'!O37</f>
        <v>34565904323.400558</v>
      </c>
      <c r="V38" s="473">
        <f>'Consol PL-DTRG-Cũ'!O37</f>
        <v>34565904323.400558</v>
      </c>
      <c r="W38" s="473">
        <f t="shared" si="9"/>
        <v>0</v>
      </c>
      <c r="X38" s="495">
        <f t="shared" si="30"/>
        <v>0</v>
      </c>
    </row>
    <row r="39" spans="1:24">
      <c r="A39" s="38">
        <v>11</v>
      </c>
      <c r="B39" s="39" t="s">
        <v>29</v>
      </c>
      <c r="D39" s="463">
        <f t="shared" si="31"/>
        <v>9079448722.9004326</v>
      </c>
      <c r="E39" s="463">
        <f>'Consol PL-DTRG'!CG38</f>
        <v>3799518440</v>
      </c>
      <c r="F39" s="463">
        <f>'Consol PL-DTRG'!CU38</f>
        <v>1386233766.2337661</v>
      </c>
      <c r="G39" s="463">
        <f>'Consol PL-DTRG'!DI38</f>
        <v>3893696516.666667</v>
      </c>
      <c r="H39" s="463">
        <f t="shared" si="32"/>
        <v>8817703093.0793667</v>
      </c>
      <c r="I39" s="463">
        <f>'Consol PL-DTRG-Cũ'!CG38</f>
        <v>3840892528</v>
      </c>
      <c r="J39" s="463">
        <f>'Consol PL-DTRG-Cũ'!CU38</f>
        <v>1524857142.8571429</v>
      </c>
      <c r="K39" s="463">
        <f>'Consol PL-DTRG-Cũ'!DI38</f>
        <v>3451953422.2222228</v>
      </c>
      <c r="L39" s="463">
        <f t="shared" si="21"/>
        <v>261745629.8210659</v>
      </c>
      <c r="M39" s="463">
        <f t="shared" si="23"/>
        <v>-41374088</v>
      </c>
      <c r="N39" s="463">
        <f t="shared" si="24"/>
        <v>-138623376.62337685</v>
      </c>
      <c r="O39" s="463">
        <f t="shared" si="25"/>
        <v>441743094.44444418</v>
      </c>
      <c r="P39" s="485">
        <f t="shared" si="26"/>
        <v>2.9684105606424729E-2</v>
      </c>
      <c r="Q39" s="485">
        <f t="shared" si="27"/>
        <v>-1.0771998356731944E-2</v>
      </c>
      <c r="R39" s="485">
        <f t="shared" si="28"/>
        <v>-9.090909090909105E-2</v>
      </c>
      <c r="S39" s="485">
        <f t="shared" si="29"/>
        <v>0.12796901939657937</v>
      </c>
      <c r="U39" s="463">
        <f>'Consol PL-DTRG'!O38</f>
        <v>65635223862.106766</v>
      </c>
      <c r="V39" s="463">
        <f>'Consol PL-DTRG-Cũ'!O38</f>
        <v>65373478232.28569</v>
      </c>
      <c r="W39" s="463">
        <f t="shared" si="9"/>
        <v>261745629.82107544</v>
      </c>
      <c r="X39" s="485">
        <f t="shared" si="30"/>
        <v>4.0038504436162668E-3</v>
      </c>
    </row>
    <row r="40" spans="1:24">
      <c r="A40" s="55">
        <v>12</v>
      </c>
      <c r="B40" s="56" t="s">
        <v>30</v>
      </c>
      <c r="D40" s="464">
        <f t="shared" si="31"/>
        <v>14847055790.312708</v>
      </c>
      <c r="E40" s="464">
        <f>'Consol PL-DTRG'!CG39</f>
        <v>4349662250.0370369</v>
      </c>
      <c r="F40" s="464">
        <f>'Consol PL-DTRG'!CU39</f>
        <v>4292838083.3413696</v>
      </c>
      <c r="G40" s="464">
        <f>'Consol PL-DTRG'!DI39</f>
        <v>6204555456.9343014</v>
      </c>
      <c r="H40" s="464">
        <f t="shared" si="32"/>
        <v>16375558497.80386</v>
      </c>
      <c r="I40" s="464">
        <f>'Consol PL-DTRG-Cũ'!CG39</f>
        <v>4687510614.6703711</v>
      </c>
      <c r="J40" s="464">
        <f>'Consol PL-DTRG-Cũ'!CU39</f>
        <v>5413820182.4097137</v>
      </c>
      <c r="K40" s="464">
        <f>'Consol PL-DTRG-Cũ'!DI39</f>
        <v>6274227700.7237749</v>
      </c>
      <c r="L40" s="464">
        <f t="shared" si="21"/>
        <v>-1528502707.4911518</v>
      </c>
      <c r="M40" s="464">
        <f t="shared" si="23"/>
        <v>-337848364.63333416</v>
      </c>
      <c r="N40" s="464">
        <f t="shared" si="24"/>
        <v>-1120982099.0683441</v>
      </c>
      <c r="O40" s="464">
        <f t="shared" si="25"/>
        <v>-69672243.789473534</v>
      </c>
      <c r="P40" s="486">
        <f t="shared" si="26"/>
        <v>-9.334049325378066E-2</v>
      </c>
      <c r="Q40" s="486">
        <f t="shared" si="27"/>
        <v>-7.2074154579187422E-2</v>
      </c>
      <c r="R40" s="486">
        <f t="shared" si="28"/>
        <v>-0.20705935204692932</v>
      </c>
      <c r="S40" s="486">
        <f t="shared" si="29"/>
        <v>-1.1104513115046233E-2</v>
      </c>
      <c r="U40" s="464">
        <f>'Consol PL-DTRG'!O39</f>
        <v>114445458341.13443</v>
      </c>
      <c r="V40" s="464">
        <f>'Consol PL-DTRG-Cũ'!O39</f>
        <v>115973961048.62556</v>
      </c>
      <c r="W40" s="464">
        <f t="shared" si="9"/>
        <v>-1528502707.4911346</v>
      </c>
      <c r="X40" s="486">
        <f t="shared" si="30"/>
        <v>-1.3179705975984246E-2</v>
      </c>
    </row>
    <row r="41" spans="1:24">
      <c r="A41" s="67">
        <v>13</v>
      </c>
      <c r="B41" s="68" t="s">
        <v>31</v>
      </c>
      <c r="D41" s="474">
        <f t="shared" ref="D41:K41" si="33">D27+D32+D36-D37-D39-D40</f>
        <v>223330366.32402992</v>
      </c>
      <c r="E41" s="474">
        <f t="shared" si="33"/>
        <v>1499706680.1567497</v>
      </c>
      <c r="F41" s="474">
        <f t="shared" si="33"/>
        <v>1801939343.2418804</v>
      </c>
      <c r="G41" s="474">
        <f t="shared" si="33"/>
        <v>-3078315657.0746012</v>
      </c>
      <c r="H41" s="474">
        <f t="shared" si="33"/>
        <v>-23177806782.434738</v>
      </c>
      <c r="I41" s="474">
        <f t="shared" si="33"/>
        <v>-9775999763.6201401</v>
      </c>
      <c r="J41" s="474">
        <f t="shared" si="33"/>
        <v>-1864741012.6331134</v>
      </c>
      <c r="K41" s="474">
        <f t="shared" si="33"/>
        <v>-11537066006.181442</v>
      </c>
      <c r="L41" s="474">
        <f t="shared" si="21"/>
        <v>23401137148.758766</v>
      </c>
      <c r="M41" s="474">
        <f t="shared" si="23"/>
        <v>11275706443.77689</v>
      </c>
      <c r="N41" s="474">
        <f t="shared" si="24"/>
        <v>3666680355.8749938</v>
      </c>
      <c r="O41" s="474">
        <f t="shared" si="25"/>
        <v>8458750349.1068411</v>
      </c>
      <c r="P41" s="496">
        <f t="shared" si="26"/>
        <v>-1.0096355262782362</v>
      </c>
      <c r="Q41" s="496">
        <f t="shared" si="27"/>
        <v>-1.1534069881770737</v>
      </c>
      <c r="R41" s="496">
        <f t="shared" si="28"/>
        <v>-1.9663215057931538</v>
      </c>
      <c r="S41" s="496">
        <f t="shared" si="29"/>
        <v>-0.73318037225189914</v>
      </c>
      <c r="U41" s="474">
        <f ca="1">U27+U32+U36-U37-U39-U40</f>
        <v>65061140526.936981</v>
      </c>
      <c r="V41" s="474">
        <f ca="1">V27+V32+V36-V37-V39-V40</f>
        <v>48807608394.638229</v>
      </c>
      <c r="W41" s="474">
        <f t="shared" ca="1" si="9"/>
        <v>16253532132.298752</v>
      </c>
      <c r="X41" s="496">
        <f t="shared" ca="1" si="30"/>
        <v>0.3330122631881362</v>
      </c>
    </row>
    <row r="42" spans="1:24" s="79" customFormat="1">
      <c r="A42" s="77">
        <v>14</v>
      </c>
      <c r="B42" s="78" t="s">
        <v>32</v>
      </c>
      <c r="D42" s="475">
        <f>SUM(E42:G42)</f>
        <v>0</v>
      </c>
      <c r="E42" s="475">
        <f>'Consol PL-DTRG'!CG41</f>
        <v>0</v>
      </c>
      <c r="F42" s="475">
        <f>'Consol PL-DTRG'!CU41</f>
        <v>0</v>
      </c>
      <c r="G42" s="475">
        <f>'Consol PL-DTRG'!DI41</f>
        <v>0</v>
      </c>
      <c r="H42" s="475">
        <f>SUM(I42:K42)</f>
        <v>0</v>
      </c>
      <c r="I42" s="475">
        <f>'Consol PL-DTRG-Cũ'!CG41</f>
        <v>0</v>
      </c>
      <c r="J42" s="475">
        <f>'Consol PL-DTRG-Cũ'!CU41</f>
        <v>0</v>
      </c>
      <c r="K42" s="475">
        <f>'Consol PL-DTRG-Cũ'!DI41</f>
        <v>0</v>
      </c>
      <c r="L42" s="475">
        <f t="shared" si="21"/>
        <v>0</v>
      </c>
      <c r="M42" s="475">
        <f t="shared" si="23"/>
        <v>0</v>
      </c>
      <c r="N42" s="475">
        <f t="shared" si="24"/>
        <v>0</v>
      </c>
      <c r="O42" s="475">
        <f t="shared" si="25"/>
        <v>0</v>
      </c>
      <c r="P42" s="497">
        <f t="shared" si="26"/>
        <v>0</v>
      </c>
      <c r="Q42" s="497">
        <f t="shared" si="27"/>
        <v>0</v>
      </c>
      <c r="R42" s="497">
        <f t="shared" si="28"/>
        <v>0</v>
      </c>
      <c r="S42" s="497">
        <f t="shared" si="29"/>
        <v>0</v>
      </c>
      <c r="U42" s="475">
        <f>'Consol PL-DTRG'!O41</f>
        <v>0</v>
      </c>
      <c r="V42" s="475">
        <f>'Consol PL-DTRG-Cũ'!O41</f>
        <v>0</v>
      </c>
      <c r="W42" s="475">
        <f t="shared" si="9"/>
        <v>0</v>
      </c>
      <c r="X42" s="497">
        <f t="shared" si="30"/>
        <v>0</v>
      </c>
    </row>
    <row r="43" spans="1:24" s="79" customFormat="1">
      <c r="A43" s="80">
        <v>15</v>
      </c>
      <c r="B43" s="81" t="s">
        <v>33</v>
      </c>
      <c r="D43" s="476">
        <f>SUM(E43:G43)</f>
        <v>0</v>
      </c>
      <c r="E43" s="476">
        <f>'Consol PL-DTRG'!CG42</f>
        <v>0</v>
      </c>
      <c r="F43" s="476">
        <f>'Consol PL-DTRG'!CU42</f>
        <v>0</v>
      </c>
      <c r="G43" s="476">
        <f>'Consol PL-DTRG'!DI42</f>
        <v>0</v>
      </c>
      <c r="H43" s="476">
        <f>SUM(I43:K43)</f>
        <v>0</v>
      </c>
      <c r="I43" s="476">
        <f>'Consol PL-DTRG-Cũ'!CG42</f>
        <v>0</v>
      </c>
      <c r="J43" s="476">
        <f>'Consol PL-DTRG-Cũ'!CU42</f>
        <v>0</v>
      </c>
      <c r="K43" s="476">
        <f>'Consol PL-DTRG-Cũ'!DI42</f>
        <v>0</v>
      </c>
      <c r="L43" s="476">
        <f t="shared" si="21"/>
        <v>0</v>
      </c>
      <c r="M43" s="476">
        <f t="shared" si="23"/>
        <v>0</v>
      </c>
      <c r="N43" s="476">
        <f t="shared" si="24"/>
        <v>0</v>
      </c>
      <c r="O43" s="476">
        <f t="shared" si="25"/>
        <v>0</v>
      </c>
      <c r="P43" s="498">
        <f t="shared" si="26"/>
        <v>0</v>
      </c>
      <c r="Q43" s="498">
        <f t="shared" si="27"/>
        <v>0</v>
      </c>
      <c r="R43" s="498">
        <f t="shared" si="28"/>
        <v>0</v>
      </c>
      <c r="S43" s="498">
        <f t="shared" si="29"/>
        <v>0</v>
      </c>
      <c r="U43" s="476">
        <f>'Consol PL-DTRG'!O42</f>
        <v>5203499999.999999</v>
      </c>
      <c r="V43" s="476">
        <f>'Consol PL-DTRG-Cũ'!O42</f>
        <v>5203499999.999999</v>
      </c>
      <c r="W43" s="476">
        <f t="shared" si="9"/>
        <v>0</v>
      </c>
      <c r="X43" s="498">
        <f t="shared" si="30"/>
        <v>0</v>
      </c>
    </row>
    <row r="44" spans="1:24">
      <c r="A44" s="69">
        <v>16</v>
      </c>
      <c r="B44" s="70" t="s">
        <v>34</v>
      </c>
      <c r="D44" s="477">
        <f>SUM(E44:G44)</f>
        <v>0</v>
      </c>
      <c r="E44" s="477">
        <f>E42-E43</f>
        <v>0</v>
      </c>
      <c r="F44" s="477">
        <f>F42-F43</f>
        <v>0</v>
      </c>
      <c r="G44" s="477">
        <f>G42-G43</f>
        <v>0</v>
      </c>
      <c r="H44" s="477">
        <f>SUM(I44:K44)</f>
        <v>0</v>
      </c>
      <c r="I44" s="477">
        <f>I42-I43</f>
        <v>0</v>
      </c>
      <c r="J44" s="477">
        <f>J42-J43</f>
        <v>0</v>
      </c>
      <c r="K44" s="477">
        <f>K42-K43</f>
        <v>0</v>
      </c>
      <c r="L44" s="477">
        <f t="shared" si="21"/>
        <v>0</v>
      </c>
      <c r="M44" s="477">
        <f t="shared" si="23"/>
        <v>0</v>
      </c>
      <c r="N44" s="477">
        <f t="shared" si="24"/>
        <v>0</v>
      </c>
      <c r="O44" s="477">
        <f t="shared" si="25"/>
        <v>0</v>
      </c>
      <c r="P44" s="499">
        <f t="shared" si="26"/>
        <v>0</v>
      </c>
      <c r="Q44" s="499">
        <f t="shared" si="27"/>
        <v>0</v>
      </c>
      <c r="R44" s="499">
        <f t="shared" si="28"/>
        <v>0</v>
      </c>
      <c r="S44" s="499">
        <f t="shared" si="29"/>
        <v>0</v>
      </c>
      <c r="U44" s="477">
        <f>U42-U43</f>
        <v>-5203499999.999999</v>
      </c>
      <c r="V44" s="477">
        <f>V42-V43</f>
        <v>-5203499999.999999</v>
      </c>
      <c r="W44" s="477">
        <f t="shared" si="9"/>
        <v>0</v>
      </c>
      <c r="X44" s="499">
        <f t="shared" si="30"/>
        <v>0</v>
      </c>
    </row>
    <row r="45" spans="1:24">
      <c r="A45" s="71">
        <v>17</v>
      </c>
      <c r="B45" s="68" t="s">
        <v>35</v>
      </c>
      <c r="D45" s="474">
        <f t="shared" ref="D45:K45" si="34">D41+D44</f>
        <v>223330366.32402992</v>
      </c>
      <c r="E45" s="474">
        <f t="shared" si="34"/>
        <v>1499706680.1567497</v>
      </c>
      <c r="F45" s="474">
        <f t="shared" si="34"/>
        <v>1801939343.2418804</v>
      </c>
      <c r="G45" s="474">
        <f t="shared" si="34"/>
        <v>-3078315657.0746012</v>
      </c>
      <c r="H45" s="474">
        <f t="shared" si="34"/>
        <v>-23177806782.434738</v>
      </c>
      <c r="I45" s="474">
        <f t="shared" si="34"/>
        <v>-9775999763.6201401</v>
      </c>
      <c r="J45" s="474">
        <f t="shared" si="34"/>
        <v>-1864741012.6331134</v>
      </c>
      <c r="K45" s="474">
        <f t="shared" si="34"/>
        <v>-11537066006.181442</v>
      </c>
      <c r="L45" s="474">
        <f t="shared" si="21"/>
        <v>23401137148.758766</v>
      </c>
      <c r="M45" s="474">
        <f t="shared" si="23"/>
        <v>11275706443.77689</v>
      </c>
      <c r="N45" s="474">
        <f t="shared" si="24"/>
        <v>3666680355.8749938</v>
      </c>
      <c r="O45" s="474">
        <f t="shared" si="25"/>
        <v>8458750349.1068411</v>
      </c>
      <c r="P45" s="496">
        <f t="shared" si="26"/>
        <v>-1.0096355262782362</v>
      </c>
      <c r="Q45" s="496">
        <f t="shared" si="27"/>
        <v>-1.1534069881770737</v>
      </c>
      <c r="R45" s="496">
        <f t="shared" si="28"/>
        <v>-1.9663215057931538</v>
      </c>
      <c r="S45" s="496">
        <f t="shared" si="29"/>
        <v>-0.73318037225189914</v>
      </c>
      <c r="U45" s="474">
        <f ca="1">U41+U44</f>
        <v>59857640526.936981</v>
      </c>
      <c r="V45" s="474">
        <f ca="1">V41+V44</f>
        <v>43604108394.638229</v>
      </c>
      <c r="W45" s="474">
        <f t="shared" ca="1" si="9"/>
        <v>16253532132.298752</v>
      </c>
      <c r="X45" s="496">
        <f t="shared" ca="1" si="30"/>
        <v>0.37275231006208037</v>
      </c>
    </row>
    <row r="46" spans="1:24" s="29" customFormat="1">
      <c r="A46" s="87">
        <v>18</v>
      </c>
      <c r="B46" s="88" t="s">
        <v>36</v>
      </c>
      <c r="D46" s="478">
        <f>SUM(E46:G46)</f>
        <v>0</v>
      </c>
      <c r="E46" s="478">
        <f>'Consol PL-DTRG'!CG45</f>
        <v>0</v>
      </c>
      <c r="F46" s="478">
        <f>'Consol PL-DTRG'!CU45</f>
        <v>0</v>
      </c>
      <c r="G46" s="478">
        <f>'Consol PL-DTRG'!DI45</f>
        <v>0</v>
      </c>
      <c r="H46" s="478">
        <f>SUM(I46:K46)</f>
        <v>0</v>
      </c>
      <c r="I46" s="478">
        <f>'Consol PL-DTRG-Cũ'!CG45</f>
        <v>0</v>
      </c>
      <c r="J46" s="478">
        <f>'Consol PL-DTRG-Cũ'!CU45</f>
        <v>0</v>
      </c>
      <c r="K46" s="478">
        <f>'Consol PL-DTRG-Cũ'!DI45</f>
        <v>0</v>
      </c>
      <c r="L46" s="478">
        <f t="shared" si="21"/>
        <v>0</v>
      </c>
      <c r="M46" s="478">
        <f t="shared" si="23"/>
        <v>0</v>
      </c>
      <c r="N46" s="478">
        <f t="shared" si="24"/>
        <v>0</v>
      </c>
      <c r="O46" s="478">
        <f t="shared" si="25"/>
        <v>0</v>
      </c>
      <c r="P46" s="500">
        <f t="shared" si="26"/>
        <v>0</v>
      </c>
      <c r="Q46" s="500">
        <f t="shared" si="27"/>
        <v>0</v>
      </c>
      <c r="R46" s="500">
        <f t="shared" si="28"/>
        <v>0</v>
      </c>
      <c r="S46" s="500">
        <f t="shared" si="29"/>
        <v>0</v>
      </c>
      <c r="U46" s="478">
        <f>'Consol PL-DTRG'!O45</f>
        <v>13367693088.747927</v>
      </c>
      <c r="V46" s="478">
        <f>'Consol PL-DTRG-Cũ'!O45</f>
        <v>13367693088.747927</v>
      </c>
      <c r="W46" s="478">
        <f t="shared" si="9"/>
        <v>0</v>
      </c>
      <c r="X46" s="500">
        <f t="shared" si="30"/>
        <v>0</v>
      </c>
    </row>
    <row r="47" spans="1:24" s="29" customFormat="1">
      <c r="A47" s="89">
        <v>19</v>
      </c>
      <c r="B47" s="90" t="s">
        <v>37</v>
      </c>
      <c r="D47" s="477">
        <f>SUM(E47:G47)</f>
        <v>0</v>
      </c>
      <c r="E47" s="477">
        <f>'Consol PL-DTRG'!CG46</f>
        <v>0</v>
      </c>
      <c r="F47" s="477">
        <f>'Consol PL-DTRG'!CU46</f>
        <v>0</v>
      </c>
      <c r="G47" s="477">
        <f>'Consol PL-DTRG'!DI46</f>
        <v>0</v>
      </c>
      <c r="H47" s="477">
        <f>SUM(I47:K47)</f>
        <v>0</v>
      </c>
      <c r="I47" s="477">
        <f>'Consol PL-DTRG-Cũ'!CG46</f>
        <v>0</v>
      </c>
      <c r="J47" s="477">
        <f>'Consol PL-DTRG-Cũ'!CU46</f>
        <v>0</v>
      </c>
      <c r="K47" s="477">
        <f>'Consol PL-DTRG-Cũ'!DI46</f>
        <v>0</v>
      </c>
      <c r="L47" s="477">
        <f t="shared" si="21"/>
        <v>0</v>
      </c>
      <c r="M47" s="477">
        <f t="shared" si="23"/>
        <v>0</v>
      </c>
      <c r="N47" s="477">
        <f t="shared" si="24"/>
        <v>0</v>
      </c>
      <c r="O47" s="477">
        <f t="shared" si="25"/>
        <v>0</v>
      </c>
      <c r="P47" s="499">
        <f t="shared" si="26"/>
        <v>0</v>
      </c>
      <c r="Q47" s="499">
        <f t="shared" si="27"/>
        <v>0</v>
      </c>
      <c r="R47" s="499">
        <f t="shared" si="28"/>
        <v>0</v>
      </c>
      <c r="S47" s="499">
        <f t="shared" si="29"/>
        <v>0</v>
      </c>
      <c r="U47" s="477">
        <f>'Consol PL-DTRG'!O46</f>
        <v>0</v>
      </c>
      <c r="V47" s="477">
        <f>'Consol PL-DTRG-Cũ'!O46</f>
        <v>0</v>
      </c>
      <c r="W47" s="477">
        <f t="shared" si="9"/>
        <v>0</v>
      </c>
      <c r="X47" s="499">
        <f t="shared" si="30"/>
        <v>0</v>
      </c>
    </row>
    <row r="48" spans="1:24" s="51" customFormat="1" ht="14.25">
      <c r="A48" s="72">
        <v>20</v>
      </c>
      <c r="B48" s="68" t="s">
        <v>38</v>
      </c>
      <c r="D48" s="479">
        <f t="shared" ref="D48:K48" si="35">D45-D46-D47</f>
        <v>223330366.32402992</v>
      </c>
      <c r="E48" s="479">
        <f t="shared" si="35"/>
        <v>1499706680.1567497</v>
      </c>
      <c r="F48" s="479">
        <f t="shared" si="35"/>
        <v>1801939343.2418804</v>
      </c>
      <c r="G48" s="479">
        <f t="shared" si="35"/>
        <v>-3078315657.0746012</v>
      </c>
      <c r="H48" s="479">
        <f t="shared" si="35"/>
        <v>-23177806782.434738</v>
      </c>
      <c r="I48" s="479">
        <f t="shared" si="35"/>
        <v>-9775999763.6201401</v>
      </c>
      <c r="J48" s="479">
        <f t="shared" si="35"/>
        <v>-1864741012.6331134</v>
      </c>
      <c r="K48" s="479">
        <f t="shared" si="35"/>
        <v>-11537066006.181442</v>
      </c>
      <c r="L48" s="479">
        <f t="shared" si="21"/>
        <v>23401137148.758766</v>
      </c>
      <c r="M48" s="479">
        <f t="shared" si="23"/>
        <v>11275706443.77689</v>
      </c>
      <c r="N48" s="479">
        <f t="shared" si="24"/>
        <v>3666680355.8749938</v>
      </c>
      <c r="O48" s="479">
        <f t="shared" si="25"/>
        <v>8458750349.1068411</v>
      </c>
      <c r="P48" s="501">
        <f t="shared" si="26"/>
        <v>-1.0096355262782362</v>
      </c>
      <c r="Q48" s="501">
        <f t="shared" si="27"/>
        <v>-1.1534069881770737</v>
      </c>
      <c r="R48" s="501">
        <f t="shared" si="28"/>
        <v>-1.9663215057931538</v>
      </c>
      <c r="S48" s="501">
        <f t="shared" si="29"/>
        <v>-0.73318037225189914</v>
      </c>
      <c r="U48" s="479">
        <f ca="1">U45-U46-U47</f>
        <v>46489947438.189056</v>
      </c>
      <c r="V48" s="479">
        <f ca="1">V45-V46-V47</f>
        <v>30236415305.890305</v>
      </c>
      <c r="W48" s="479">
        <f t="shared" ca="1" si="9"/>
        <v>16253532132.298752</v>
      </c>
      <c r="X48" s="501">
        <f t="shared" ca="1" si="30"/>
        <v>0.53754824994523831</v>
      </c>
    </row>
    <row r="49" spans="2:23" s="504" customFormat="1">
      <c r="B49" s="504" t="s">
        <v>210</v>
      </c>
      <c r="D49" s="509">
        <f t="shared" ref="D49:K49" si="36">IFERROR(D48/D17,0)</f>
        <v>4.8741006502376884E-4</v>
      </c>
      <c r="E49" s="509">
        <f t="shared" si="36"/>
        <v>8.4495823172600192E-3</v>
      </c>
      <c r="F49" s="509">
        <f t="shared" si="36"/>
        <v>1.8092850405063362E-2</v>
      </c>
      <c r="G49" s="509">
        <f t="shared" si="36"/>
        <v>-1.6996446735245752E-2</v>
      </c>
      <c r="H49" s="509">
        <f t="shared" si="36"/>
        <v>-5.2505387010422296E-2</v>
      </c>
      <c r="I49" s="509">
        <f t="shared" si="36"/>
        <v>-5.3480729149310055E-2</v>
      </c>
      <c r="J49" s="509">
        <f t="shared" si="36"/>
        <v>-1.8723427240929305E-2</v>
      </c>
      <c r="K49" s="509">
        <f t="shared" si="36"/>
        <v>-7.2538298282330285E-2</v>
      </c>
      <c r="U49" s="509">
        <f ca="1">IFERROR(U48/U17,0)</f>
        <v>2.7693232040965722E-2</v>
      </c>
      <c r="V49" s="509">
        <f ca="1">IFERROR(V48/V17,0)</f>
        <v>1.8011293006220813E-2</v>
      </c>
    </row>
    <row r="51" spans="2:23">
      <c r="L51" s="96"/>
      <c r="M51" s="96"/>
      <c r="N51" s="96"/>
      <c r="O51" s="96"/>
    </row>
    <row r="52" spans="2:23" s="17" customFormat="1">
      <c r="B52" s="17" t="s">
        <v>18</v>
      </c>
      <c r="D52" s="18">
        <f>D48-SUM(E48:G48)</f>
        <v>9.5367431640625E-7</v>
      </c>
      <c r="E52" s="18">
        <f>E48-'Consol PL-DTRG'!CG47</f>
        <v>0</v>
      </c>
      <c r="F52" s="18">
        <f>F48-'Consol PL-DTRG'!CU47</f>
        <v>0</v>
      </c>
      <c r="G52" s="18">
        <f>G48-'Consol PL-DTRG'!DI47</f>
        <v>0</v>
      </c>
      <c r="H52" s="459">
        <f>H48-SUM(I48:K48)</f>
        <v>-4.1961669921875E-5</v>
      </c>
      <c r="I52" s="18">
        <f>I48-'Consol PL-DTRG-Cũ'!CG47</f>
        <v>0</v>
      </c>
      <c r="J52" s="18">
        <f>J48-'Consol PL-DTRG-Cũ'!CU47</f>
        <v>0</v>
      </c>
      <c r="K52" s="18">
        <f>K48-'Consol PL-DTRG-Cũ'!DI47</f>
        <v>0</v>
      </c>
      <c r="U52" s="18">
        <f ca="1">U48-'Consol PL-DTRG'!O47</f>
        <v>0</v>
      </c>
      <c r="V52" s="18">
        <f ca="1">V48-'Consol PL-DTRG-Cũ'!O47</f>
        <v>0</v>
      </c>
      <c r="W52" s="18"/>
    </row>
    <row r="53" spans="2:23">
      <c r="L53" s="96"/>
      <c r="M53" s="96"/>
      <c r="N53" s="96"/>
      <c r="O53" s="96"/>
    </row>
    <row r="54" spans="2:23">
      <c r="L54" s="17"/>
      <c r="M54" s="17"/>
      <c r="N54" s="17"/>
      <c r="O54" s="17"/>
    </row>
  </sheetData>
  <mergeCells count="4">
    <mergeCell ref="D3:S3"/>
    <mergeCell ref="U3:X3"/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0EF5-C235-4C30-84B6-33A84CBAB5B3}">
  <sheetPr>
    <tabColor rgb="FFFFFF00"/>
  </sheetPr>
  <dimension ref="A1:EK54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B22" sqref="AB22"/>
    </sheetView>
  </sheetViews>
  <sheetFormatPr defaultColWidth="9" defaultRowHeight="15" outlineLevelRow="2" outlineLevelCol="1"/>
  <cols>
    <col min="1" max="1" width="12" style="7" bestFit="1" customWidth="1"/>
    <col min="2" max="2" width="48.125" style="7" customWidth="1"/>
    <col min="3" max="3" width="16.625" style="7" bestFit="1" customWidth="1"/>
    <col min="4" max="13" width="16.625" style="7" hidden="1" customWidth="1" outlineLevel="1"/>
    <col min="14" max="14" width="16.625" style="7" bestFit="1" customWidth="1" collapsed="1"/>
    <col min="15" max="15" width="18.25" style="7" bestFit="1" customWidth="1"/>
    <col min="16" max="16" width="2.875" style="7" customWidth="1"/>
    <col min="17" max="17" width="16.5" style="7" bestFit="1" customWidth="1"/>
    <col min="18" max="27" width="16.5" style="7" customWidth="1" outlineLevel="1"/>
    <col min="28" max="28" width="16.5" style="7" bestFit="1" customWidth="1"/>
    <col min="29" max="29" width="17.5" style="7" bestFit="1" customWidth="1"/>
    <col min="30" max="30" width="3.75" style="7" customWidth="1"/>
    <col min="31" max="31" width="16.625" style="7" bestFit="1" customWidth="1"/>
    <col min="32" max="41" width="16.625" style="7" hidden="1" customWidth="1" outlineLevel="1"/>
    <col min="42" max="42" width="16.625" style="7" bestFit="1" customWidth="1" collapsed="1"/>
    <col min="43" max="43" width="18.25" style="7" bestFit="1" customWidth="1"/>
    <col min="44" max="44" width="2.5" style="7" customWidth="1"/>
    <col min="45" max="45" width="16.625" style="7" bestFit="1" customWidth="1"/>
    <col min="46" max="55" width="16.625" style="7" hidden="1" customWidth="1" outlineLevel="1"/>
    <col min="56" max="56" width="16.625" style="7" bestFit="1" customWidth="1" collapsed="1"/>
    <col min="57" max="57" width="18.25" style="7" customWidth="1"/>
    <col min="58" max="58" width="1.5" style="7" customWidth="1"/>
    <col min="59" max="59" width="15.625" style="7" bestFit="1" customWidth="1"/>
    <col min="60" max="60" width="14.375" style="7" hidden="1" customWidth="1" outlineLevel="1"/>
    <col min="61" max="69" width="15.625" style="7" hidden="1" customWidth="1" outlineLevel="1"/>
    <col min="70" max="70" width="15.625" style="7" bestFit="1" customWidth="1" collapsed="1"/>
    <col min="71" max="71" width="16.625" style="7" bestFit="1" customWidth="1"/>
    <col min="72" max="72" width="9" style="7"/>
    <col min="73" max="73" width="14.375" style="7" bestFit="1" customWidth="1"/>
    <col min="74" max="74" width="14.375" style="7" hidden="1" customWidth="1" outlineLevel="1"/>
    <col min="75" max="83" width="15.625" style="7" hidden="1" customWidth="1" outlineLevel="1"/>
    <col min="84" max="84" width="15.625" style="7" bestFit="1" customWidth="1" collapsed="1"/>
    <col min="85" max="85" width="16.625" style="7" bestFit="1" customWidth="1"/>
    <col min="86" max="86" width="9" style="7"/>
    <col min="87" max="87" width="14.375" style="7" bestFit="1" customWidth="1"/>
    <col min="88" max="97" width="14.375" style="7" hidden="1" customWidth="1" outlineLevel="1"/>
    <col min="98" max="98" width="14.375" style="7" bestFit="1" customWidth="1" collapsed="1"/>
    <col min="99" max="99" width="15.625" style="7" bestFit="1" customWidth="1"/>
    <col min="100" max="100" width="9" style="7"/>
    <col min="101" max="101" width="15.625" style="7" bestFit="1" customWidth="1"/>
    <col min="102" max="102" width="14.375" style="7" hidden="1" customWidth="1" outlineLevel="1"/>
    <col min="103" max="111" width="15.625" style="7" hidden="1" customWidth="1" outlineLevel="1"/>
    <col min="112" max="112" width="15.625" style="7" bestFit="1" customWidth="1" collapsed="1"/>
    <col min="113" max="113" width="16.625" style="7" bestFit="1" customWidth="1"/>
    <col min="114" max="114" width="9" style="7"/>
    <col min="115" max="115" width="10.625" style="7" bestFit="1" customWidth="1"/>
    <col min="116" max="125" width="10.625" style="7" hidden="1" customWidth="1" outlineLevel="1"/>
    <col min="126" max="126" width="10.625" style="7" bestFit="1" customWidth="1" collapsed="1"/>
    <col min="127" max="127" width="11.625" style="7" bestFit="1" customWidth="1"/>
    <col min="128" max="128" width="9" style="7"/>
    <col min="129" max="141" width="9" style="7" customWidth="1"/>
    <col min="142" max="16384" width="9" style="7"/>
  </cols>
  <sheetData>
    <row r="1" spans="1:141" ht="20.25" thickTop="1" thickBot="1">
      <c r="B1" s="19" t="s">
        <v>57</v>
      </c>
      <c r="C1" s="344">
        <f ca="1">C17-C21-C27</f>
        <v>0</v>
      </c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Q1" s="347" t="s">
        <v>194</v>
      </c>
      <c r="R1" s="348">
        <v>4</v>
      </c>
      <c r="AE1" s="346"/>
      <c r="AF1" s="345"/>
      <c r="AG1" s="346"/>
      <c r="AH1" s="346"/>
      <c r="AP1" s="345"/>
    </row>
    <row r="2" spans="1:141" ht="16.5" thickTop="1" thickBot="1">
      <c r="B2" s="20" t="s">
        <v>11</v>
      </c>
      <c r="AE2" s="346"/>
      <c r="AF2" s="345"/>
      <c r="AG2" s="345"/>
      <c r="AH2" s="345"/>
      <c r="AM2" s="345"/>
      <c r="AN2" s="345"/>
      <c r="AO2" s="345"/>
      <c r="AP2" s="345"/>
      <c r="AS2" s="312"/>
    </row>
    <row r="3" spans="1:141" ht="17.25" thickTop="1">
      <c r="A3" s="518" t="s">
        <v>39</v>
      </c>
      <c r="B3" s="515" t="s">
        <v>19</v>
      </c>
      <c r="C3" s="511" t="s">
        <v>190</v>
      </c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3"/>
      <c r="Q3" s="519" t="s">
        <v>191</v>
      </c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E3" s="520" t="s">
        <v>17</v>
      </c>
      <c r="AF3" s="521"/>
      <c r="AG3" s="521"/>
      <c r="AH3" s="521"/>
      <c r="AI3" s="521"/>
      <c r="AJ3" s="521"/>
      <c r="AK3" s="521"/>
      <c r="AL3" s="521"/>
      <c r="AM3" s="521"/>
      <c r="AN3" s="521"/>
      <c r="AO3" s="521"/>
      <c r="AP3" s="521"/>
      <c r="AQ3" s="522"/>
      <c r="AS3" s="517" t="s">
        <v>0</v>
      </c>
      <c r="AT3" s="517"/>
      <c r="AU3" s="517"/>
      <c r="AV3" s="517"/>
      <c r="AW3" s="517"/>
      <c r="AX3" s="517"/>
      <c r="AY3" s="517"/>
      <c r="AZ3" s="517"/>
      <c r="BA3" s="517"/>
      <c r="BB3" s="517"/>
      <c r="BC3" s="517"/>
      <c r="BD3" s="517"/>
      <c r="BE3" s="517"/>
      <c r="BG3" s="517" t="s">
        <v>195</v>
      </c>
      <c r="BH3" s="517"/>
      <c r="BI3" s="517"/>
      <c r="BJ3" s="517"/>
      <c r="BK3" s="517"/>
      <c r="BL3" s="517"/>
      <c r="BM3" s="517"/>
      <c r="BN3" s="517"/>
      <c r="BO3" s="517"/>
      <c r="BP3" s="517"/>
      <c r="BQ3" s="517"/>
      <c r="BR3" s="517"/>
      <c r="BS3" s="517"/>
      <c r="BU3" s="523" t="s">
        <v>13</v>
      </c>
      <c r="BV3" s="523"/>
      <c r="BW3" s="523"/>
      <c r="BX3" s="523"/>
      <c r="BY3" s="523"/>
      <c r="BZ3" s="523"/>
      <c r="CA3" s="523"/>
      <c r="CB3" s="523"/>
      <c r="CC3" s="523"/>
      <c r="CD3" s="523"/>
      <c r="CE3" s="523"/>
      <c r="CF3" s="523"/>
      <c r="CG3" s="523"/>
      <c r="CI3" s="523" t="s">
        <v>14</v>
      </c>
      <c r="CJ3" s="523"/>
      <c r="CK3" s="523"/>
      <c r="CL3" s="523"/>
      <c r="CM3" s="523"/>
      <c r="CN3" s="523"/>
      <c r="CO3" s="523"/>
      <c r="CP3" s="523"/>
      <c r="CQ3" s="523"/>
      <c r="CR3" s="523"/>
      <c r="CS3" s="523"/>
      <c r="CT3" s="523"/>
      <c r="CU3" s="523"/>
      <c r="CW3" s="523" t="s">
        <v>16</v>
      </c>
      <c r="CX3" s="523"/>
      <c r="CY3" s="523"/>
      <c r="CZ3" s="523"/>
      <c r="DA3" s="523"/>
      <c r="DB3" s="523"/>
      <c r="DC3" s="523"/>
      <c r="DD3" s="523"/>
      <c r="DE3" s="523"/>
      <c r="DF3" s="523"/>
      <c r="DG3" s="523"/>
      <c r="DH3" s="523"/>
      <c r="DI3" s="523"/>
      <c r="DK3" s="517" t="s">
        <v>192</v>
      </c>
      <c r="DL3" s="517"/>
      <c r="DM3" s="517"/>
      <c r="DN3" s="517"/>
      <c r="DO3" s="517"/>
      <c r="DP3" s="517"/>
      <c r="DQ3" s="517"/>
      <c r="DR3" s="517"/>
      <c r="DS3" s="517"/>
      <c r="DT3" s="517"/>
      <c r="DU3" s="517"/>
      <c r="DV3" s="517"/>
      <c r="DW3" s="517"/>
      <c r="DY3" s="516" t="s">
        <v>193</v>
      </c>
      <c r="DZ3" s="516"/>
      <c r="EA3" s="516"/>
      <c r="EB3" s="516"/>
      <c r="EC3" s="516"/>
      <c r="ED3" s="516"/>
      <c r="EE3" s="516"/>
      <c r="EF3" s="516"/>
      <c r="EG3" s="516"/>
      <c r="EH3" s="516"/>
      <c r="EI3" s="516"/>
      <c r="EJ3" s="516"/>
      <c r="EK3" s="516"/>
    </row>
    <row r="4" spans="1:141" s="30" customFormat="1" ht="16.5">
      <c r="A4" s="518"/>
      <c r="B4" s="515"/>
      <c r="C4" s="349">
        <v>1</v>
      </c>
      <c r="D4" s="310">
        <v>2</v>
      </c>
      <c r="E4" s="310">
        <v>3</v>
      </c>
      <c r="F4" s="310">
        <v>4</v>
      </c>
      <c r="G4" s="310">
        <v>5</v>
      </c>
      <c r="H4" s="310">
        <v>6</v>
      </c>
      <c r="I4" s="310">
        <v>7</v>
      </c>
      <c r="J4" s="310">
        <v>8</v>
      </c>
      <c r="K4" s="310">
        <v>9</v>
      </c>
      <c r="L4" s="310">
        <v>10</v>
      </c>
      <c r="M4" s="310">
        <v>11</v>
      </c>
      <c r="N4" s="310">
        <v>12</v>
      </c>
      <c r="O4" s="350" t="s">
        <v>17</v>
      </c>
      <c r="Q4" s="309">
        <v>1</v>
      </c>
      <c r="R4" s="309">
        <v>2</v>
      </c>
      <c r="S4" s="309">
        <v>3</v>
      </c>
      <c r="T4" s="309">
        <v>4</v>
      </c>
      <c r="U4" s="309">
        <v>5</v>
      </c>
      <c r="V4" s="309">
        <v>6</v>
      </c>
      <c r="W4" s="309">
        <v>7</v>
      </c>
      <c r="X4" s="309">
        <v>8</v>
      </c>
      <c r="Y4" s="309">
        <v>9</v>
      </c>
      <c r="Z4" s="309">
        <v>10</v>
      </c>
      <c r="AA4" s="309">
        <v>11</v>
      </c>
      <c r="AB4" s="309">
        <v>12</v>
      </c>
      <c r="AC4" s="309" t="s">
        <v>17</v>
      </c>
      <c r="AE4" s="351">
        <v>1</v>
      </c>
      <c r="AF4" s="352">
        <v>2</v>
      </c>
      <c r="AG4" s="352">
        <v>3</v>
      </c>
      <c r="AH4" s="352">
        <v>4</v>
      </c>
      <c r="AI4" s="352">
        <v>5</v>
      </c>
      <c r="AJ4" s="352">
        <v>6</v>
      </c>
      <c r="AK4" s="352">
        <v>7</v>
      </c>
      <c r="AL4" s="352">
        <v>8</v>
      </c>
      <c r="AM4" s="352">
        <v>9</v>
      </c>
      <c r="AN4" s="352">
        <v>10</v>
      </c>
      <c r="AO4" s="352">
        <v>11</v>
      </c>
      <c r="AP4" s="352">
        <v>12</v>
      </c>
      <c r="AQ4" s="353" t="s">
        <v>17</v>
      </c>
      <c r="AS4" s="31">
        <v>1</v>
      </c>
      <c r="AT4" s="31">
        <v>2</v>
      </c>
      <c r="AU4" s="31">
        <v>3</v>
      </c>
      <c r="AV4" s="31">
        <v>4</v>
      </c>
      <c r="AW4" s="31">
        <v>5</v>
      </c>
      <c r="AX4" s="31">
        <v>6</v>
      </c>
      <c r="AY4" s="31">
        <v>7</v>
      </c>
      <c r="AZ4" s="31">
        <v>8</v>
      </c>
      <c r="BA4" s="31">
        <v>9</v>
      </c>
      <c r="BB4" s="31">
        <v>10</v>
      </c>
      <c r="BC4" s="31">
        <v>11</v>
      </c>
      <c r="BD4" s="31">
        <v>12</v>
      </c>
      <c r="BE4" s="31" t="s">
        <v>17</v>
      </c>
      <c r="BG4" s="31">
        <v>1</v>
      </c>
      <c r="BH4" s="31">
        <v>2</v>
      </c>
      <c r="BI4" s="31">
        <v>3</v>
      </c>
      <c r="BJ4" s="31">
        <v>4</v>
      </c>
      <c r="BK4" s="31">
        <v>5</v>
      </c>
      <c r="BL4" s="31">
        <v>6</v>
      </c>
      <c r="BM4" s="31">
        <v>7</v>
      </c>
      <c r="BN4" s="31">
        <v>8</v>
      </c>
      <c r="BO4" s="31">
        <v>9</v>
      </c>
      <c r="BP4" s="31">
        <v>10</v>
      </c>
      <c r="BQ4" s="31">
        <v>11</v>
      </c>
      <c r="BR4" s="31">
        <v>12</v>
      </c>
      <c r="BS4" s="31" t="s">
        <v>17</v>
      </c>
      <c r="BU4" s="311">
        <v>1</v>
      </c>
      <c r="BV4" s="311">
        <v>2</v>
      </c>
      <c r="BW4" s="311">
        <v>3</v>
      </c>
      <c r="BX4" s="311">
        <v>4</v>
      </c>
      <c r="BY4" s="311">
        <v>5</v>
      </c>
      <c r="BZ4" s="311">
        <v>6</v>
      </c>
      <c r="CA4" s="311">
        <v>7</v>
      </c>
      <c r="CB4" s="311">
        <v>8</v>
      </c>
      <c r="CC4" s="311">
        <v>9</v>
      </c>
      <c r="CD4" s="311">
        <v>10</v>
      </c>
      <c r="CE4" s="311">
        <v>11</v>
      </c>
      <c r="CF4" s="311">
        <v>12</v>
      </c>
      <c r="CG4" s="311" t="s">
        <v>17</v>
      </c>
      <c r="CI4" s="311">
        <v>1</v>
      </c>
      <c r="CJ4" s="311">
        <v>2</v>
      </c>
      <c r="CK4" s="311">
        <v>3</v>
      </c>
      <c r="CL4" s="311">
        <v>4</v>
      </c>
      <c r="CM4" s="311">
        <v>5</v>
      </c>
      <c r="CN4" s="311">
        <v>6</v>
      </c>
      <c r="CO4" s="311">
        <v>7</v>
      </c>
      <c r="CP4" s="311">
        <v>8</v>
      </c>
      <c r="CQ4" s="311">
        <v>9</v>
      </c>
      <c r="CR4" s="311">
        <v>10</v>
      </c>
      <c r="CS4" s="311">
        <v>11</v>
      </c>
      <c r="CT4" s="311">
        <v>12</v>
      </c>
      <c r="CU4" s="311" t="s">
        <v>17</v>
      </c>
      <c r="CW4" s="311">
        <v>1</v>
      </c>
      <c r="CX4" s="311">
        <v>2</v>
      </c>
      <c r="CY4" s="311">
        <v>3</v>
      </c>
      <c r="CZ4" s="311">
        <v>4</v>
      </c>
      <c r="DA4" s="311">
        <v>5</v>
      </c>
      <c r="DB4" s="311">
        <v>6</v>
      </c>
      <c r="DC4" s="311">
        <v>7</v>
      </c>
      <c r="DD4" s="311">
        <v>8</v>
      </c>
      <c r="DE4" s="311">
        <v>9</v>
      </c>
      <c r="DF4" s="311">
        <v>10</v>
      </c>
      <c r="DG4" s="311">
        <v>11</v>
      </c>
      <c r="DH4" s="311">
        <v>12</v>
      </c>
      <c r="DI4" s="311" t="s">
        <v>17</v>
      </c>
      <c r="DK4" s="31">
        <v>1</v>
      </c>
      <c r="DL4" s="31">
        <v>2</v>
      </c>
      <c r="DM4" s="31">
        <v>3</v>
      </c>
      <c r="DN4" s="31">
        <v>4</v>
      </c>
      <c r="DO4" s="31">
        <v>5</v>
      </c>
      <c r="DP4" s="31">
        <v>6</v>
      </c>
      <c r="DQ4" s="31">
        <v>7</v>
      </c>
      <c r="DR4" s="31">
        <v>8</v>
      </c>
      <c r="DS4" s="31">
        <v>9</v>
      </c>
      <c r="DT4" s="31">
        <v>10</v>
      </c>
      <c r="DU4" s="31">
        <v>11</v>
      </c>
      <c r="DV4" s="31">
        <v>12</v>
      </c>
      <c r="DW4" s="31" t="s">
        <v>17</v>
      </c>
      <c r="DY4" s="342">
        <v>1</v>
      </c>
      <c r="DZ4" s="342">
        <v>2</v>
      </c>
      <c r="EA4" s="342">
        <v>3</v>
      </c>
      <c r="EB4" s="342">
        <v>4</v>
      </c>
      <c r="EC4" s="342">
        <v>5</v>
      </c>
      <c r="ED4" s="342">
        <v>6</v>
      </c>
      <c r="EE4" s="342">
        <v>7</v>
      </c>
      <c r="EF4" s="342">
        <v>8</v>
      </c>
      <c r="EG4" s="342">
        <v>9</v>
      </c>
      <c r="EH4" s="342">
        <v>10</v>
      </c>
      <c r="EI4" s="342">
        <v>11</v>
      </c>
      <c r="EJ4" s="342">
        <v>12</v>
      </c>
      <c r="EK4" s="342" t="s">
        <v>17</v>
      </c>
    </row>
    <row r="5" spans="1:141">
      <c r="A5" s="32">
        <v>1</v>
      </c>
      <c r="B5" s="33" t="s">
        <v>40</v>
      </c>
      <c r="C5" s="354">
        <f>SUM(C6:C8)</f>
        <v>4318.222932676138</v>
      </c>
      <c r="D5" s="101">
        <f t="shared" ref="D5:O5" si="0">SUM(D6:D8)</f>
        <v>4253.3145678240335</v>
      </c>
      <c r="E5" s="101">
        <f t="shared" si="0"/>
        <v>4678.5574034757401</v>
      </c>
      <c r="F5" s="101">
        <f t="shared" si="0"/>
        <v>4394.2315186767219</v>
      </c>
      <c r="G5" s="101">
        <f t="shared" si="0"/>
        <v>4663.4364391825357</v>
      </c>
      <c r="H5" s="101">
        <f t="shared" si="0"/>
        <v>4691.9521822275938</v>
      </c>
      <c r="I5" s="101">
        <f t="shared" si="0"/>
        <v>4689.4225169732681</v>
      </c>
      <c r="J5" s="101">
        <f t="shared" si="0"/>
        <v>4562.8494989087403</v>
      </c>
      <c r="K5" s="101">
        <f t="shared" si="0"/>
        <v>4774.6231018888848</v>
      </c>
      <c r="L5" s="101">
        <f t="shared" si="0"/>
        <v>4468.6262974285746</v>
      </c>
      <c r="M5" s="101">
        <f t="shared" si="0"/>
        <v>4720.2431243544625</v>
      </c>
      <c r="N5" s="101">
        <f t="shared" si="0"/>
        <v>4784.5204185700313</v>
      </c>
      <c r="O5" s="355">
        <f t="shared" si="0"/>
        <v>55000.000002186731</v>
      </c>
      <c r="Q5" s="101">
        <f>SUM(Q6:Q8)</f>
        <v>-1961.9250000000002</v>
      </c>
      <c r="R5" s="101">
        <f t="shared" ref="R5:AC5" si="1">SUM(R6:R8)</f>
        <v>-1392.4499999999998</v>
      </c>
      <c r="S5" s="101">
        <f t="shared" si="1"/>
        <v>-2307.4250000000002</v>
      </c>
      <c r="T5" s="101">
        <f t="shared" si="1"/>
        <v>-2662.248</v>
      </c>
      <c r="U5" s="101">
        <f t="shared" si="1"/>
        <v>-2703.2624999999998</v>
      </c>
      <c r="V5" s="101">
        <f t="shared" si="1"/>
        <v>-2703.2624999999998</v>
      </c>
      <c r="W5" s="101">
        <f t="shared" si="1"/>
        <v>-2744.277</v>
      </c>
      <c r="X5" s="101">
        <f t="shared" si="1"/>
        <v>-2745.0439999999999</v>
      </c>
      <c r="Y5" s="101">
        <f t="shared" si="1"/>
        <v>-2704</v>
      </c>
      <c r="Z5" s="101">
        <f t="shared" si="1"/>
        <v>-2746.4079999999999</v>
      </c>
      <c r="AA5" s="101">
        <f t="shared" si="1"/>
        <v>-2705.3870000000002</v>
      </c>
      <c r="AB5" s="101">
        <f t="shared" si="1"/>
        <v>-2746.239</v>
      </c>
      <c r="AC5" s="101">
        <f t="shared" si="1"/>
        <v>-30121.928</v>
      </c>
      <c r="AE5" s="356">
        <f>SUM(AE6:AE8)</f>
        <v>6280.1479326761382</v>
      </c>
      <c r="AF5" s="101">
        <f t="shared" ref="AF5:AQ5" si="2">SUM(AF6:AF8)</f>
        <v>5645.7645678240333</v>
      </c>
      <c r="AG5" s="101">
        <f t="shared" si="2"/>
        <v>6985.9824034757403</v>
      </c>
      <c r="AH5" s="101">
        <f t="shared" si="2"/>
        <v>7056.4795186767224</v>
      </c>
      <c r="AI5" s="101">
        <f t="shared" si="2"/>
        <v>7366.6989391825355</v>
      </c>
      <c r="AJ5" s="101">
        <f t="shared" si="2"/>
        <v>7395.2146822275936</v>
      </c>
      <c r="AK5" s="101">
        <f t="shared" si="2"/>
        <v>7433.6995169732681</v>
      </c>
      <c r="AL5" s="101">
        <f t="shared" si="2"/>
        <v>7307.8934989087402</v>
      </c>
      <c r="AM5" s="101">
        <f t="shared" si="2"/>
        <v>7478.6231018888848</v>
      </c>
      <c r="AN5" s="101">
        <f t="shared" si="2"/>
        <v>7215.0342974285741</v>
      </c>
      <c r="AO5" s="101">
        <f t="shared" si="2"/>
        <v>7425.6301243544622</v>
      </c>
      <c r="AP5" s="101">
        <f t="shared" si="2"/>
        <v>7530.7594185700309</v>
      </c>
      <c r="AQ5" s="357">
        <f t="shared" si="2"/>
        <v>85121.928002186731</v>
      </c>
      <c r="AS5" s="101">
        <f>SUM(AS6:AS8)</f>
        <v>4318.222932676138</v>
      </c>
      <c r="AT5" s="101">
        <f t="shared" ref="AT5:BE5" si="3">SUM(AT6:AT8)</f>
        <v>4253.3145678240335</v>
      </c>
      <c r="AU5" s="101">
        <f t="shared" si="3"/>
        <v>4678.5574034757401</v>
      </c>
      <c r="AV5" s="101">
        <f t="shared" si="3"/>
        <v>4394.2315186767219</v>
      </c>
      <c r="AW5" s="101">
        <f t="shared" si="3"/>
        <v>4663.4364391825357</v>
      </c>
      <c r="AX5" s="101">
        <f t="shared" si="3"/>
        <v>4691.9521822275938</v>
      </c>
      <c r="AY5" s="101">
        <f t="shared" si="3"/>
        <v>4689.4225169732681</v>
      </c>
      <c r="AZ5" s="101">
        <f t="shared" si="3"/>
        <v>4562.8494989087403</v>
      </c>
      <c r="BA5" s="101">
        <f t="shared" si="3"/>
        <v>4774.6231018888848</v>
      </c>
      <c r="BB5" s="101">
        <f t="shared" si="3"/>
        <v>4468.6262974285746</v>
      </c>
      <c r="BC5" s="101">
        <f t="shared" si="3"/>
        <v>4720.2431243544625</v>
      </c>
      <c r="BD5" s="101">
        <f t="shared" si="3"/>
        <v>4784.5204185700313</v>
      </c>
      <c r="BE5" s="101">
        <f t="shared" si="3"/>
        <v>55000.000002186731</v>
      </c>
      <c r="BG5" s="101">
        <f>SUM(BG6:BG8)</f>
        <v>1961.9250000000002</v>
      </c>
      <c r="BH5" s="101">
        <f t="shared" ref="BH5:BS5" si="4">SUM(BH6:BH8)</f>
        <v>1392.4499999999998</v>
      </c>
      <c r="BI5" s="101">
        <f t="shared" si="4"/>
        <v>2307.4250000000002</v>
      </c>
      <c r="BJ5" s="101">
        <f t="shared" si="4"/>
        <v>2662.248</v>
      </c>
      <c r="BK5" s="101">
        <f t="shared" si="4"/>
        <v>2703.2624999999998</v>
      </c>
      <c r="BL5" s="101">
        <f t="shared" si="4"/>
        <v>2703.2624999999998</v>
      </c>
      <c r="BM5" s="101">
        <f t="shared" si="4"/>
        <v>2744.277</v>
      </c>
      <c r="BN5" s="101">
        <f t="shared" si="4"/>
        <v>2745.0439999999999</v>
      </c>
      <c r="BO5" s="101">
        <f t="shared" si="4"/>
        <v>2704</v>
      </c>
      <c r="BP5" s="101">
        <f t="shared" si="4"/>
        <v>2746.4079999999999</v>
      </c>
      <c r="BQ5" s="101">
        <f t="shared" si="4"/>
        <v>2705.3870000000002</v>
      </c>
      <c r="BR5" s="101">
        <f t="shared" si="4"/>
        <v>2746.239</v>
      </c>
      <c r="BS5" s="101">
        <f t="shared" si="4"/>
        <v>30121.928</v>
      </c>
      <c r="BU5" s="101">
        <f>SUM(BU6:BU8)</f>
        <v>667.5</v>
      </c>
      <c r="BV5" s="101">
        <f t="shared" ref="BV5:CG5" si="5">SUM(BV6:BV8)</f>
        <v>400.5</v>
      </c>
      <c r="BW5" s="101">
        <f t="shared" si="5"/>
        <v>884</v>
      </c>
      <c r="BX5" s="101">
        <f t="shared" si="5"/>
        <v>984.34799999999996</v>
      </c>
      <c r="BY5" s="101">
        <f t="shared" si="5"/>
        <v>1025.3625</v>
      </c>
      <c r="BZ5" s="101">
        <f t="shared" si="5"/>
        <v>1025.3625</v>
      </c>
      <c r="CA5" s="101">
        <f t="shared" si="5"/>
        <v>1066.377</v>
      </c>
      <c r="CB5" s="101">
        <f t="shared" si="5"/>
        <v>1067.144</v>
      </c>
      <c r="CC5" s="101">
        <f t="shared" si="5"/>
        <v>1026.0999999999999</v>
      </c>
      <c r="CD5" s="101">
        <f t="shared" si="5"/>
        <v>1066.546</v>
      </c>
      <c r="CE5" s="101">
        <f t="shared" si="5"/>
        <v>1025.5250000000001</v>
      </c>
      <c r="CF5" s="101">
        <f t="shared" si="5"/>
        <v>1066.377</v>
      </c>
      <c r="CG5" s="101">
        <f t="shared" si="5"/>
        <v>11305.142000000002</v>
      </c>
      <c r="CI5" s="101">
        <f>SUM(CI6:CI8)</f>
        <v>533.70000000000005</v>
      </c>
      <c r="CJ5" s="101">
        <f t="shared" ref="CJ5:CU5" si="6">SUM(CJ6:CJ8)</f>
        <v>400.27499999999998</v>
      </c>
      <c r="CK5" s="101">
        <f t="shared" si="6"/>
        <v>578.17499999999995</v>
      </c>
      <c r="CL5" s="101">
        <f t="shared" si="6"/>
        <v>622.65</v>
      </c>
      <c r="CM5" s="101">
        <f t="shared" si="6"/>
        <v>622.65</v>
      </c>
      <c r="CN5" s="101">
        <f t="shared" si="6"/>
        <v>622.65</v>
      </c>
      <c r="CO5" s="101">
        <f t="shared" si="6"/>
        <v>622.65</v>
      </c>
      <c r="CP5" s="101">
        <f t="shared" si="6"/>
        <v>622.65</v>
      </c>
      <c r="CQ5" s="101">
        <f t="shared" si="6"/>
        <v>622.65</v>
      </c>
      <c r="CR5" s="101">
        <f t="shared" si="6"/>
        <v>622.65</v>
      </c>
      <c r="CS5" s="101">
        <f t="shared" si="6"/>
        <v>622.65</v>
      </c>
      <c r="CT5" s="101">
        <f t="shared" si="6"/>
        <v>622.65</v>
      </c>
      <c r="CU5" s="101">
        <f t="shared" si="6"/>
        <v>7115.9999999999991</v>
      </c>
      <c r="CW5" s="101">
        <f>SUM(CW6:CW8)</f>
        <v>760.72500000000002</v>
      </c>
      <c r="CX5" s="101">
        <f t="shared" ref="CX5:DI5" si="7">SUM(CX6:CX8)</f>
        <v>591.67499999999995</v>
      </c>
      <c r="CY5" s="101">
        <f t="shared" si="7"/>
        <v>845.25</v>
      </c>
      <c r="CZ5" s="101">
        <f t="shared" si="7"/>
        <v>1055.25</v>
      </c>
      <c r="DA5" s="101">
        <f t="shared" si="7"/>
        <v>1055.25</v>
      </c>
      <c r="DB5" s="101">
        <f t="shared" si="7"/>
        <v>1055.25</v>
      </c>
      <c r="DC5" s="101">
        <f t="shared" si="7"/>
        <v>1055.25</v>
      </c>
      <c r="DD5" s="101">
        <f t="shared" si="7"/>
        <v>1055.25</v>
      </c>
      <c r="DE5" s="101">
        <f t="shared" si="7"/>
        <v>1055.25</v>
      </c>
      <c r="DF5" s="101">
        <f t="shared" si="7"/>
        <v>1057.212</v>
      </c>
      <c r="DG5" s="101">
        <f t="shared" si="7"/>
        <v>1057.212</v>
      </c>
      <c r="DH5" s="101">
        <f t="shared" si="7"/>
        <v>1057.212</v>
      </c>
      <c r="DI5" s="101">
        <f t="shared" si="7"/>
        <v>11700.785999999998</v>
      </c>
      <c r="DK5" s="101">
        <f>SUM(DK6:DK8)</f>
        <v>0</v>
      </c>
      <c r="DL5" s="101">
        <f t="shared" ref="DL5:DW5" si="8">SUM(DL6:DL8)</f>
        <v>0</v>
      </c>
      <c r="DM5" s="101">
        <f t="shared" si="8"/>
        <v>0</v>
      </c>
      <c r="DN5" s="101">
        <f t="shared" si="8"/>
        <v>0</v>
      </c>
      <c r="DO5" s="101">
        <f t="shared" si="8"/>
        <v>0</v>
      </c>
      <c r="DP5" s="101">
        <f t="shared" si="8"/>
        <v>0</v>
      </c>
      <c r="DQ5" s="101">
        <f t="shared" si="8"/>
        <v>0</v>
      </c>
      <c r="DR5" s="101">
        <f t="shared" si="8"/>
        <v>0</v>
      </c>
      <c r="DS5" s="101">
        <f t="shared" si="8"/>
        <v>0</v>
      </c>
      <c r="DT5" s="101">
        <f t="shared" si="8"/>
        <v>0</v>
      </c>
      <c r="DU5" s="101">
        <f t="shared" si="8"/>
        <v>0</v>
      </c>
      <c r="DV5" s="101">
        <f t="shared" si="8"/>
        <v>0</v>
      </c>
      <c r="DW5" s="101">
        <f t="shared" si="8"/>
        <v>0</v>
      </c>
      <c r="DY5" s="101">
        <f>SUM(DY6:DY8)</f>
        <v>0</v>
      </c>
      <c r="DZ5" s="101">
        <f t="shared" ref="DZ5:EK5" si="9">SUM(DZ6:DZ8)</f>
        <v>0</v>
      </c>
      <c r="EA5" s="101">
        <f t="shared" si="9"/>
        <v>0</v>
      </c>
      <c r="EB5" s="101">
        <f t="shared" si="9"/>
        <v>0</v>
      </c>
      <c r="EC5" s="101">
        <f t="shared" si="9"/>
        <v>0</v>
      </c>
      <c r="ED5" s="101">
        <f t="shared" si="9"/>
        <v>0</v>
      </c>
      <c r="EE5" s="101">
        <f t="shared" si="9"/>
        <v>0</v>
      </c>
      <c r="EF5" s="101">
        <f t="shared" si="9"/>
        <v>0</v>
      </c>
      <c r="EG5" s="101">
        <f t="shared" si="9"/>
        <v>0</v>
      </c>
      <c r="EH5" s="101">
        <f t="shared" si="9"/>
        <v>0</v>
      </c>
      <c r="EI5" s="101">
        <f t="shared" si="9"/>
        <v>0</v>
      </c>
      <c r="EJ5" s="101">
        <f t="shared" si="9"/>
        <v>0</v>
      </c>
      <c r="EK5" s="101">
        <f t="shared" si="9"/>
        <v>0</v>
      </c>
    </row>
    <row r="6" spans="1:141" s="97" customFormat="1" outlineLevel="1">
      <c r="A6" s="99" t="s">
        <v>73</v>
      </c>
      <c r="B6" s="100" t="s">
        <v>1</v>
      </c>
      <c r="C6" s="358">
        <f>Q6+AE6</f>
        <v>4318.222932676138</v>
      </c>
      <c r="D6" s="98">
        <f t="shared" ref="D6:N8" si="10">R6+AF6</f>
        <v>4253.3145678240335</v>
      </c>
      <c r="E6" s="98">
        <f t="shared" si="10"/>
        <v>4678.5574034757401</v>
      </c>
      <c r="F6" s="98">
        <f t="shared" si="10"/>
        <v>4394.2315186767219</v>
      </c>
      <c r="G6" s="98">
        <f t="shared" si="10"/>
        <v>4663.4364391825357</v>
      </c>
      <c r="H6" s="98">
        <f t="shared" si="10"/>
        <v>4691.9521822275938</v>
      </c>
      <c r="I6" s="98">
        <f t="shared" si="10"/>
        <v>4689.4225169732681</v>
      </c>
      <c r="J6" s="98">
        <f t="shared" si="10"/>
        <v>4562.8494989087403</v>
      </c>
      <c r="K6" s="98">
        <f t="shared" si="10"/>
        <v>4774.6231018888848</v>
      </c>
      <c r="L6" s="98">
        <f t="shared" si="10"/>
        <v>4468.6262974285746</v>
      </c>
      <c r="M6" s="98">
        <f t="shared" si="10"/>
        <v>4720.2431243544625</v>
      </c>
      <c r="N6" s="98">
        <f t="shared" si="10"/>
        <v>4784.5204185700313</v>
      </c>
      <c r="O6" s="359">
        <f>SUM(C6:N6)</f>
        <v>55000.000002186731</v>
      </c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>
        <f>SUM(Q6:AB6)</f>
        <v>0</v>
      </c>
      <c r="AE6" s="360">
        <f>AS6+BU6+CI6+CW6+DK6</f>
        <v>4318.222932676138</v>
      </c>
      <c r="AF6" s="98">
        <f t="shared" ref="AF6:AP8" si="11">AT6+BV6+CJ6+CX6+DL6</f>
        <v>4253.3145678240335</v>
      </c>
      <c r="AG6" s="98">
        <f t="shared" si="11"/>
        <v>4678.5574034757401</v>
      </c>
      <c r="AH6" s="98">
        <f t="shared" si="11"/>
        <v>4394.2315186767219</v>
      </c>
      <c r="AI6" s="98">
        <f t="shared" si="11"/>
        <v>4663.4364391825357</v>
      </c>
      <c r="AJ6" s="98">
        <f t="shared" si="11"/>
        <v>4691.9521822275938</v>
      </c>
      <c r="AK6" s="98">
        <f t="shared" si="11"/>
        <v>4689.4225169732681</v>
      </c>
      <c r="AL6" s="98">
        <f t="shared" si="11"/>
        <v>4562.8494989087403</v>
      </c>
      <c r="AM6" s="98">
        <f t="shared" si="11"/>
        <v>4774.6231018888848</v>
      </c>
      <c r="AN6" s="98">
        <f t="shared" si="11"/>
        <v>4468.6262974285746</v>
      </c>
      <c r="AO6" s="98">
        <f t="shared" si="11"/>
        <v>4720.2431243544625</v>
      </c>
      <c r="AP6" s="98">
        <f t="shared" si="11"/>
        <v>4784.5204185700313</v>
      </c>
      <c r="AQ6" s="361">
        <f>SUM(AE6:AP6)</f>
        <v>55000.000002186731</v>
      </c>
      <c r="AS6" s="98">
        <f>'PL-KH26-DTR'!BL4</f>
        <v>4318.222932676138</v>
      </c>
      <c r="AT6" s="98">
        <v>4253.3145678240335</v>
      </c>
      <c r="AU6" s="98">
        <v>4678.5574034757401</v>
      </c>
      <c r="AV6" s="98">
        <v>4394.2315186767219</v>
      </c>
      <c r="AW6" s="98">
        <v>4663.4364391825357</v>
      </c>
      <c r="AX6" s="98">
        <v>4691.9521822275938</v>
      </c>
      <c r="AY6" s="98">
        <v>4689.4225169732681</v>
      </c>
      <c r="AZ6" s="98">
        <v>4562.8494989087403</v>
      </c>
      <c r="BA6" s="98">
        <v>4774.6231018888848</v>
      </c>
      <c r="BB6" s="98">
        <v>4468.6262974285746</v>
      </c>
      <c r="BC6" s="98">
        <v>4720.2431243544625</v>
      </c>
      <c r="BD6" s="98">
        <v>4784.5204185700313</v>
      </c>
      <c r="BE6" s="98">
        <f>SUM(AS6:BD6)</f>
        <v>55000.000002186731</v>
      </c>
      <c r="BG6" s="98">
        <f>BU6+CI6+CW6</f>
        <v>0</v>
      </c>
      <c r="BH6" s="98">
        <f t="shared" ref="BH6:BR8" si="12">BV6+CJ6+CX6</f>
        <v>0</v>
      </c>
      <c r="BI6" s="98">
        <f t="shared" si="12"/>
        <v>0</v>
      </c>
      <c r="BJ6" s="98">
        <f t="shared" si="12"/>
        <v>0</v>
      </c>
      <c r="BK6" s="98">
        <f t="shared" si="12"/>
        <v>0</v>
      </c>
      <c r="BL6" s="98">
        <f t="shared" si="12"/>
        <v>0</v>
      </c>
      <c r="BM6" s="98">
        <f t="shared" si="12"/>
        <v>0</v>
      </c>
      <c r="BN6" s="98">
        <f t="shared" si="12"/>
        <v>0</v>
      </c>
      <c r="BO6" s="98">
        <f t="shared" si="12"/>
        <v>0</v>
      </c>
      <c r="BP6" s="98">
        <f t="shared" si="12"/>
        <v>0</v>
      </c>
      <c r="BQ6" s="98">
        <f t="shared" si="12"/>
        <v>0</v>
      </c>
      <c r="BR6" s="98">
        <f t="shared" si="12"/>
        <v>0</v>
      </c>
      <c r="BS6" s="98">
        <f>SUM(BG6:BR6)</f>
        <v>0</v>
      </c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>
        <f>SUM(BU6:CF6)</f>
        <v>0</v>
      </c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>
        <f>SUM(CI6:CT6)</f>
        <v>0</v>
      </c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>
        <f>SUM(CW6:DH6)</f>
        <v>0</v>
      </c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>
        <f>SUM(DK6:DV6)</f>
        <v>0</v>
      </c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>
        <f>SUM(DY6:EJ6)</f>
        <v>0</v>
      </c>
    </row>
    <row r="7" spans="1:141" s="97" customFormat="1" outlineLevel="1">
      <c r="A7" s="99" t="s">
        <v>74</v>
      </c>
      <c r="B7" s="100" t="s">
        <v>2</v>
      </c>
      <c r="C7" s="358">
        <f t="shared" ref="C7:C8" si="13">Q7+AE7</f>
        <v>0</v>
      </c>
      <c r="D7" s="98">
        <f t="shared" si="10"/>
        <v>0</v>
      </c>
      <c r="E7" s="98">
        <f t="shared" si="10"/>
        <v>0</v>
      </c>
      <c r="F7" s="98">
        <f t="shared" si="10"/>
        <v>0</v>
      </c>
      <c r="G7" s="98">
        <f t="shared" si="10"/>
        <v>0</v>
      </c>
      <c r="H7" s="98">
        <f t="shared" si="10"/>
        <v>0</v>
      </c>
      <c r="I7" s="98">
        <f t="shared" si="10"/>
        <v>0</v>
      </c>
      <c r="J7" s="98">
        <f t="shared" si="10"/>
        <v>0</v>
      </c>
      <c r="K7" s="98">
        <f t="shared" si="10"/>
        <v>0</v>
      </c>
      <c r="L7" s="98">
        <f t="shared" si="10"/>
        <v>0</v>
      </c>
      <c r="M7" s="98">
        <f t="shared" si="10"/>
        <v>0</v>
      </c>
      <c r="N7" s="98">
        <f t="shared" si="10"/>
        <v>0</v>
      </c>
      <c r="O7" s="359">
        <f t="shared" ref="O7:O8" si="14">SUM(C7:N7)</f>
        <v>0</v>
      </c>
      <c r="Q7" s="98">
        <f>-AE7</f>
        <v>-1961.9250000000002</v>
      </c>
      <c r="R7" s="98">
        <f t="shared" ref="R7:AB7" si="15">-AF7</f>
        <v>-1392.4499999999998</v>
      </c>
      <c r="S7" s="98">
        <f t="shared" si="15"/>
        <v>-2307.4250000000002</v>
      </c>
      <c r="T7" s="98">
        <f t="shared" si="15"/>
        <v>-2662.248</v>
      </c>
      <c r="U7" s="98">
        <f t="shared" si="15"/>
        <v>-2703.2624999999998</v>
      </c>
      <c r="V7" s="98">
        <f t="shared" si="15"/>
        <v>-2703.2624999999998</v>
      </c>
      <c r="W7" s="98">
        <f t="shared" si="15"/>
        <v>-2744.277</v>
      </c>
      <c r="X7" s="98">
        <f t="shared" si="15"/>
        <v>-2745.0439999999999</v>
      </c>
      <c r="Y7" s="98">
        <f t="shared" si="15"/>
        <v>-2704</v>
      </c>
      <c r="Z7" s="98">
        <f t="shared" si="15"/>
        <v>-2746.4079999999999</v>
      </c>
      <c r="AA7" s="98">
        <f t="shared" si="15"/>
        <v>-2705.3870000000002</v>
      </c>
      <c r="AB7" s="98">
        <f t="shared" si="15"/>
        <v>-2746.239</v>
      </c>
      <c r="AC7" s="98">
        <f t="shared" ref="AC7:AC8" si="16">SUM(Q7:AB7)</f>
        <v>-30121.928</v>
      </c>
      <c r="AE7" s="360">
        <f t="shared" ref="AE7:AE8" si="17">AS7+BU7+CI7+CW7+DK7</f>
        <v>1961.9250000000002</v>
      </c>
      <c r="AF7" s="98">
        <f t="shared" si="11"/>
        <v>1392.4499999999998</v>
      </c>
      <c r="AG7" s="98">
        <f t="shared" si="11"/>
        <v>2307.4250000000002</v>
      </c>
      <c r="AH7" s="98">
        <f t="shared" si="11"/>
        <v>2662.248</v>
      </c>
      <c r="AI7" s="98">
        <f t="shared" si="11"/>
        <v>2703.2624999999998</v>
      </c>
      <c r="AJ7" s="98">
        <f t="shared" si="11"/>
        <v>2703.2624999999998</v>
      </c>
      <c r="AK7" s="98">
        <f t="shared" si="11"/>
        <v>2744.277</v>
      </c>
      <c r="AL7" s="98">
        <f t="shared" si="11"/>
        <v>2745.0439999999999</v>
      </c>
      <c r="AM7" s="98">
        <f t="shared" si="11"/>
        <v>2704</v>
      </c>
      <c r="AN7" s="98">
        <f t="shared" si="11"/>
        <v>2746.4079999999999</v>
      </c>
      <c r="AO7" s="98">
        <f t="shared" si="11"/>
        <v>2705.3870000000002</v>
      </c>
      <c r="AP7" s="98">
        <f t="shared" si="11"/>
        <v>2746.239</v>
      </c>
      <c r="AQ7" s="361">
        <f t="shared" ref="AQ7:AQ8" si="18">SUM(AE7:AP7)</f>
        <v>30121.928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>
        <f t="shared" ref="BE7:BE8" si="19">SUM(AS7:BD7)</f>
        <v>0</v>
      </c>
      <c r="BG7" s="98">
        <f t="shared" ref="BG7:BG8" si="20">BU7+CI7+CW7</f>
        <v>1961.9250000000002</v>
      </c>
      <c r="BH7" s="98">
        <f t="shared" si="12"/>
        <v>1392.4499999999998</v>
      </c>
      <c r="BI7" s="98">
        <f t="shared" si="12"/>
        <v>2307.4250000000002</v>
      </c>
      <c r="BJ7" s="98">
        <f t="shared" si="12"/>
        <v>2662.248</v>
      </c>
      <c r="BK7" s="98">
        <f t="shared" si="12"/>
        <v>2703.2624999999998</v>
      </c>
      <c r="BL7" s="98">
        <f t="shared" si="12"/>
        <v>2703.2624999999998</v>
      </c>
      <c r="BM7" s="98">
        <f t="shared" si="12"/>
        <v>2744.277</v>
      </c>
      <c r="BN7" s="98">
        <f t="shared" si="12"/>
        <v>2745.0439999999999</v>
      </c>
      <c r="BO7" s="98">
        <f t="shared" si="12"/>
        <v>2704</v>
      </c>
      <c r="BP7" s="98">
        <f t="shared" si="12"/>
        <v>2746.4079999999999</v>
      </c>
      <c r="BQ7" s="98">
        <f t="shared" si="12"/>
        <v>2705.3870000000002</v>
      </c>
      <c r="BR7" s="98">
        <f t="shared" si="12"/>
        <v>2746.239</v>
      </c>
      <c r="BS7" s="98">
        <f t="shared" ref="BS7:BS8" si="21">SUM(BG7:BR7)</f>
        <v>30121.928</v>
      </c>
      <c r="BU7" s="98">
        <f>'PL-KH26-DongLam'!G6/10^3</f>
        <v>667.5</v>
      </c>
      <c r="BV7" s="98">
        <f>'PL-KH26-DongLam'!H6/10^3</f>
        <v>400.5</v>
      </c>
      <c r="BW7" s="98">
        <f>'PL-KH26-DongLam'!I6/10^3</f>
        <v>884</v>
      </c>
      <c r="BX7" s="98">
        <f>'PL-KH26-DongLam'!J6/10^3</f>
        <v>984.34799999999996</v>
      </c>
      <c r="BY7" s="98">
        <f>'PL-KH26-DongLam'!K6/10^3</f>
        <v>1025.3625</v>
      </c>
      <c r="BZ7" s="98">
        <f>'PL-KH26-DongLam'!L6/10^3</f>
        <v>1025.3625</v>
      </c>
      <c r="CA7" s="98">
        <f>'PL-KH26-DongLam'!M6/10^3</f>
        <v>1066.377</v>
      </c>
      <c r="CB7" s="98">
        <f>'PL-KH26-DongLam'!N6/10^3</f>
        <v>1067.144</v>
      </c>
      <c r="CC7" s="98">
        <f>'PL-KH26-DongLam'!O6/10^3</f>
        <v>1026.0999999999999</v>
      </c>
      <c r="CD7" s="98">
        <f>'PL-KH26-DongLam'!P6/10^3</f>
        <v>1066.546</v>
      </c>
      <c r="CE7" s="98">
        <f>'PL-KH26-DongLam'!Q6/10^3</f>
        <v>1025.5250000000001</v>
      </c>
      <c r="CF7" s="98">
        <f>'PL-KH26-DongLam'!R6/10^3</f>
        <v>1066.377</v>
      </c>
      <c r="CG7" s="98">
        <f t="shared" ref="CG7:CG8" si="22">SUM(BU7:CF7)</f>
        <v>11305.142000000002</v>
      </c>
      <c r="CI7" s="98">
        <f>'PL-KH26-KhanhNga'!G5/10^3</f>
        <v>533.70000000000005</v>
      </c>
      <c r="CJ7" s="98">
        <f>'PL-KH26-KhanhNga'!H5/10^3</f>
        <v>400.27499999999998</v>
      </c>
      <c r="CK7" s="98">
        <f>'PL-KH26-KhanhNga'!I5/10^3</f>
        <v>578.17499999999995</v>
      </c>
      <c r="CL7" s="98">
        <f>'PL-KH26-KhanhNga'!J5/10^3</f>
        <v>622.65</v>
      </c>
      <c r="CM7" s="98">
        <f>'PL-KH26-KhanhNga'!K5/10^3</f>
        <v>622.65</v>
      </c>
      <c r="CN7" s="98">
        <f>'PL-KH26-KhanhNga'!L5/10^3</f>
        <v>622.65</v>
      </c>
      <c r="CO7" s="98">
        <f>'PL-KH26-KhanhNga'!M5/10^3</f>
        <v>622.65</v>
      </c>
      <c r="CP7" s="98">
        <f>'PL-KH26-KhanhNga'!N5/10^3</f>
        <v>622.65</v>
      </c>
      <c r="CQ7" s="98">
        <f>'PL-KH26-KhanhNga'!O5/10^3</f>
        <v>622.65</v>
      </c>
      <c r="CR7" s="98">
        <f>'PL-KH26-KhanhNga'!P5/10^3</f>
        <v>622.65</v>
      </c>
      <c r="CS7" s="98">
        <f>'PL-KH26-KhanhNga'!Q5/10^3</f>
        <v>622.65</v>
      </c>
      <c r="CT7" s="98">
        <f>'PL-KH26-KhanhNga'!R5/10^3</f>
        <v>622.65</v>
      </c>
      <c r="CU7" s="98">
        <f t="shared" ref="CU7:CU8" si="23">SUM(CI7:CT7)</f>
        <v>7115.9999999999991</v>
      </c>
      <c r="CW7" s="98">
        <f>'PL-KH26-DaiLoc'!F5/10^3</f>
        <v>760.72500000000002</v>
      </c>
      <c r="CX7" s="98">
        <f>'PL-KH26-DaiLoc'!G5/10^3</f>
        <v>591.67499999999995</v>
      </c>
      <c r="CY7" s="98">
        <f>'PL-KH26-DaiLoc'!H5/10^3</f>
        <v>845.25</v>
      </c>
      <c r="CZ7" s="98">
        <f>'PL-KH26-DaiLoc'!I5/10^3</f>
        <v>1055.25</v>
      </c>
      <c r="DA7" s="98">
        <f>'PL-KH26-DaiLoc'!J5/10^3</f>
        <v>1055.25</v>
      </c>
      <c r="DB7" s="98">
        <f>'PL-KH26-DaiLoc'!K5/10^3</f>
        <v>1055.25</v>
      </c>
      <c r="DC7" s="98">
        <f>'PL-KH26-DaiLoc'!L5/10^3</f>
        <v>1055.25</v>
      </c>
      <c r="DD7" s="98">
        <f>'PL-KH26-DaiLoc'!M5/10^3</f>
        <v>1055.25</v>
      </c>
      <c r="DE7" s="98">
        <f>'PL-KH26-DaiLoc'!N5/10^3</f>
        <v>1055.25</v>
      </c>
      <c r="DF7" s="98">
        <f>'PL-KH26-DaiLoc'!O5/10^3</f>
        <v>1057.212</v>
      </c>
      <c r="DG7" s="98">
        <f>'PL-KH26-DaiLoc'!P5/10^3</f>
        <v>1057.212</v>
      </c>
      <c r="DH7" s="98">
        <f>'PL-KH26-DaiLoc'!Q5/10^3</f>
        <v>1057.212</v>
      </c>
      <c r="DI7" s="98">
        <f t="shared" ref="DI7:DI8" si="24">SUM(CW7:DH7)</f>
        <v>11700.785999999998</v>
      </c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>
        <f t="shared" ref="DW7:DW8" si="25">SUM(DK7:DV7)</f>
        <v>0</v>
      </c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>
        <f t="shared" ref="EK7:EK8" si="26">SUM(DY7:EJ7)</f>
        <v>0</v>
      </c>
    </row>
    <row r="8" spans="1:141" s="97" customFormat="1" outlineLevel="1">
      <c r="A8" s="99" t="s">
        <v>75</v>
      </c>
      <c r="B8" s="100" t="s">
        <v>3</v>
      </c>
      <c r="C8" s="358">
        <f t="shared" si="13"/>
        <v>0</v>
      </c>
      <c r="D8" s="98">
        <f t="shared" si="10"/>
        <v>0</v>
      </c>
      <c r="E8" s="98">
        <f t="shared" si="10"/>
        <v>0</v>
      </c>
      <c r="F8" s="98">
        <f t="shared" si="10"/>
        <v>0</v>
      </c>
      <c r="G8" s="98">
        <f t="shared" si="10"/>
        <v>0</v>
      </c>
      <c r="H8" s="98">
        <f t="shared" si="10"/>
        <v>0</v>
      </c>
      <c r="I8" s="98">
        <f t="shared" si="10"/>
        <v>0</v>
      </c>
      <c r="J8" s="98">
        <f t="shared" si="10"/>
        <v>0</v>
      </c>
      <c r="K8" s="98">
        <f t="shared" si="10"/>
        <v>0</v>
      </c>
      <c r="L8" s="98">
        <f t="shared" si="10"/>
        <v>0</v>
      </c>
      <c r="M8" s="98">
        <f t="shared" si="10"/>
        <v>0</v>
      </c>
      <c r="N8" s="98">
        <f t="shared" si="10"/>
        <v>0</v>
      </c>
      <c r="O8" s="359">
        <f t="shared" si="14"/>
        <v>0</v>
      </c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>
        <f t="shared" si="16"/>
        <v>0</v>
      </c>
      <c r="AE8" s="360">
        <f t="shared" si="17"/>
        <v>0</v>
      </c>
      <c r="AF8" s="98">
        <f t="shared" si="11"/>
        <v>0</v>
      </c>
      <c r="AG8" s="98">
        <f t="shared" si="11"/>
        <v>0</v>
      </c>
      <c r="AH8" s="98">
        <f t="shared" si="11"/>
        <v>0</v>
      </c>
      <c r="AI8" s="98">
        <f t="shared" si="11"/>
        <v>0</v>
      </c>
      <c r="AJ8" s="98">
        <f t="shared" si="11"/>
        <v>0</v>
      </c>
      <c r="AK8" s="98">
        <f t="shared" si="11"/>
        <v>0</v>
      </c>
      <c r="AL8" s="98">
        <f t="shared" si="11"/>
        <v>0</v>
      </c>
      <c r="AM8" s="98">
        <f t="shared" si="11"/>
        <v>0</v>
      </c>
      <c r="AN8" s="98">
        <f t="shared" si="11"/>
        <v>0</v>
      </c>
      <c r="AO8" s="98">
        <f t="shared" si="11"/>
        <v>0</v>
      </c>
      <c r="AP8" s="98">
        <f t="shared" si="11"/>
        <v>0</v>
      </c>
      <c r="AQ8" s="361">
        <f t="shared" si="18"/>
        <v>0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>
        <f t="shared" si="19"/>
        <v>0</v>
      </c>
      <c r="BG8" s="98">
        <f t="shared" si="20"/>
        <v>0</v>
      </c>
      <c r="BH8" s="98">
        <f t="shared" si="12"/>
        <v>0</v>
      </c>
      <c r="BI8" s="98">
        <f t="shared" si="12"/>
        <v>0</v>
      </c>
      <c r="BJ8" s="98">
        <f t="shared" si="12"/>
        <v>0</v>
      </c>
      <c r="BK8" s="98">
        <f t="shared" si="12"/>
        <v>0</v>
      </c>
      <c r="BL8" s="98">
        <f t="shared" si="12"/>
        <v>0</v>
      </c>
      <c r="BM8" s="98">
        <f t="shared" si="12"/>
        <v>0</v>
      </c>
      <c r="BN8" s="98">
        <f t="shared" si="12"/>
        <v>0</v>
      </c>
      <c r="BO8" s="98">
        <f t="shared" si="12"/>
        <v>0</v>
      </c>
      <c r="BP8" s="98">
        <f t="shared" si="12"/>
        <v>0</v>
      </c>
      <c r="BQ8" s="98">
        <f t="shared" si="12"/>
        <v>0</v>
      </c>
      <c r="BR8" s="98">
        <f t="shared" si="12"/>
        <v>0</v>
      </c>
      <c r="BS8" s="98">
        <f t="shared" si="21"/>
        <v>0</v>
      </c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>
        <f t="shared" si="22"/>
        <v>0</v>
      </c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>
        <f t="shared" si="23"/>
        <v>0</v>
      </c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>
        <f t="shared" si="24"/>
        <v>0</v>
      </c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>
        <f t="shared" si="25"/>
        <v>0</v>
      </c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>
        <f t="shared" si="26"/>
        <v>0</v>
      </c>
    </row>
    <row r="9" spans="1:141" s="49" customFormat="1" ht="15.75">
      <c r="A9" s="34">
        <v>2</v>
      </c>
      <c r="B9" s="35" t="s">
        <v>20</v>
      </c>
      <c r="C9" s="362">
        <f>SUM(C10:C12)</f>
        <v>129505341136.8568</v>
      </c>
      <c r="D9" s="93">
        <f t="shared" ref="D9:O9" si="27">SUM(D10:D12)</f>
        <v>127974441177.86678</v>
      </c>
      <c r="E9" s="93">
        <f t="shared" si="27"/>
        <v>141599491827.82724</v>
      </c>
      <c r="F9" s="93">
        <f t="shared" si="27"/>
        <v>131782266518.60179</v>
      </c>
      <c r="G9" s="93">
        <f t="shared" si="27"/>
        <v>140244307484.73706</v>
      </c>
      <c r="H9" s="93">
        <f t="shared" si="27"/>
        <v>141409300219.24365</v>
      </c>
      <c r="I9" s="93">
        <f t="shared" si="27"/>
        <v>145404057387.95996</v>
      </c>
      <c r="J9" s="93">
        <f t="shared" si="27"/>
        <v>141276361518.14462</v>
      </c>
      <c r="K9" s="93">
        <f t="shared" si="27"/>
        <v>148196499542.28259</v>
      </c>
      <c r="L9" s="93">
        <f t="shared" si="27"/>
        <v>137984481243.16364</v>
      </c>
      <c r="M9" s="93">
        <f t="shared" si="27"/>
        <v>145929060338.8269</v>
      </c>
      <c r="N9" s="93">
        <f t="shared" si="27"/>
        <v>147442013746.17145</v>
      </c>
      <c r="O9" s="363">
        <f t="shared" si="27"/>
        <v>1678747622141.6824</v>
      </c>
      <c r="Q9" s="93">
        <f>SUM(Q10:Q12)</f>
        <v>-28404956250</v>
      </c>
      <c r="R9" s="93">
        <f t="shared" ref="R9:AC9" si="28">SUM(R10:R12)</f>
        <v>-20210556250</v>
      </c>
      <c r="S9" s="93">
        <f t="shared" si="28"/>
        <v>-33329800000</v>
      </c>
      <c r="T9" s="93">
        <f t="shared" si="28"/>
        <v>-40468427500</v>
      </c>
      <c r="U9" s="93">
        <f t="shared" si="28"/>
        <v>-41125912500</v>
      </c>
      <c r="V9" s="93">
        <f t="shared" si="28"/>
        <v>-41125912500</v>
      </c>
      <c r="W9" s="93">
        <f t="shared" si="28"/>
        <v>-41783397500</v>
      </c>
      <c r="X9" s="93">
        <f t="shared" si="28"/>
        <v>-41806927500</v>
      </c>
      <c r="Y9" s="93">
        <f t="shared" si="28"/>
        <v>-41148537500</v>
      </c>
      <c r="Z9" s="93">
        <f t="shared" si="28"/>
        <v>-43154042500</v>
      </c>
      <c r="AA9" s="93">
        <f t="shared" si="28"/>
        <v>-42496151250</v>
      </c>
      <c r="AB9" s="93">
        <f t="shared" si="28"/>
        <v>-43143480000</v>
      </c>
      <c r="AC9" s="93">
        <f t="shared" si="28"/>
        <v>-458198101250</v>
      </c>
      <c r="AE9" s="364">
        <f>SUM(AE10:AE12)</f>
        <v>157910297386.85681</v>
      </c>
      <c r="AF9" s="93">
        <f t="shared" ref="AF9:AQ9" si="29">SUM(AF10:AF12)</f>
        <v>148184997427.86676</v>
      </c>
      <c r="AG9" s="93">
        <f t="shared" si="29"/>
        <v>174929291827.82724</v>
      </c>
      <c r="AH9" s="93">
        <f t="shared" si="29"/>
        <v>172250694018.60181</v>
      </c>
      <c r="AI9" s="93">
        <f t="shared" si="29"/>
        <v>181370219984.73706</v>
      </c>
      <c r="AJ9" s="93">
        <f t="shared" si="29"/>
        <v>182535212719.24365</v>
      </c>
      <c r="AK9" s="93">
        <f t="shared" si="29"/>
        <v>187187454887.95996</v>
      </c>
      <c r="AL9" s="93">
        <f t="shared" si="29"/>
        <v>183083289018.14462</v>
      </c>
      <c r="AM9" s="93">
        <f t="shared" si="29"/>
        <v>189345037042.28259</v>
      </c>
      <c r="AN9" s="93">
        <f t="shared" si="29"/>
        <v>181138523743.16364</v>
      </c>
      <c r="AO9" s="93">
        <f t="shared" si="29"/>
        <v>188425211588.8269</v>
      </c>
      <c r="AP9" s="93">
        <f t="shared" si="29"/>
        <v>190585493746.17145</v>
      </c>
      <c r="AQ9" s="365">
        <f t="shared" si="29"/>
        <v>2136945723391.6824</v>
      </c>
      <c r="AS9" s="93">
        <f>SUM(AS10:AS12)</f>
        <v>129505341136.8568</v>
      </c>
      <c r="AT9" s="93">
        <f t="shared" ref="AT9:BE9" si="30">SUM(AT10:AT12)</f>
        <v>127974441177.86678</v>
      </c>
      <c r="AU9" s="93">
        <f t="shared" si="30"/>
        <v>141599491827.82724</v>
      </c>
      <c r="AV9" s="93">
        <f t="shared" si="30"/>
        <v>131782266518.60179</v>
      </c>
      <c r="AW9" s="93">
        <f t="shared" si="30"/>
        <v>140244307484.73706</v>
      </c>
      <c r="AX9" s="93">
        <f t="shared" si="30"/>
        <v>141409300219.24365</v>
      </c>
      <c r="AY9" s="93">
        <f t="shared" si="30"/>
        <v>145404057387.95996</v>
      </c>
      <c r="AZ9" s="93">
        <f t="shared" si="30"/>
        <v>141276361518.14462</v>
      </c>
      <c r="BA9" s="93">
        <f t="shared" si="30"/>
        <v>148196499542.28259</v>
      </c>
      <c r="BB9" s="93">
        <f t="shared" si="30"/>
        <v>137984481243.16364</v>
      </c>
      <c r="BC9" s="93">
        <f t="shared" si="30"/>
        <v>145929060338.8269</v>
      </c>
      <c r="BD9" s="93">
        <f t="shared" si="30"/>
        <v>147442013746.17145</v>
      </c>
      <c r="BE9" s="93">
        <f t="shared" si="30"/>
        <v>1678747622141.6824</v>
      </c>
      <c r="BG9" s="93">
        <f>SUM(BG10:BG12)</f>
        <v>28404956250</v>
      </c>
      <c r="BH9" s="93">
        <f t="shared" ref="BH9:BS9" si="31">SUM(BH10:BH12)</f>
        <v>20210556250</v>
      </c>
      <c r="BI9" s="93">
        <f t="shared" si="31"/>
        <v>33329800000</v>
      </c>
      <c r="BJ9" s="93">
        <f t="shared" si="31"/>
        <v>40468427500</v>
      </c>
      <c r="BK9" s="93">
        <f t="shared" si="31"/>
        <v>41125912500</v>
      </c>
      <c r="BL9" s="93">
        <f t="shared" si="31"/>
        <v>41125912500</v>
      </c>
      <c r="BM9" s="93">
        <f t="shared" si="31"/>
        <v>41783397500</v>
      </c>
      <c r="BN9" s="93">
        <f t="shared" si="31"/>
        <v>41806927500</v>
      </c>
      <c r="BO9" s="93">
        <f t="shared" si="31"/>
        <v>41148537500</v>
      </c>
      <c r="BP9" s="93">
        <f t="shared" si="31"/>
        <v>43154042500</v>
      </c>
      <c r="BQ9" s="93">
        <f t="shared" si="31"/>
        <v>42496151250</v>
      </c>
      <c r="BR9" s="93">
        <f t="shared" si="31"/>
        <v>43143480000</v>
      </c>
      <c r="BS9" s="93">
        <f t="shared" si="31"/>
        <v>458198101250</v>
      </c>
      <c r="BU9" s="93">
        <f>SUM(BU10:BU12)</f>
        <v>9420187500</v>
      </c>
      <c r="BV9" s="93">
        <f t="shared" ref="BV9:CG9" si="32">SUM(BV10:BV12)</f>
        <v>5652112500</v>
      </c>
      <c r="BW9" s="93">
        <f t="shared" si="32"/>
        <v>12443100000</v>
      </c>
      <c r="BX9" s="93">
        <f t="shared" si="32"/>
        <v>15779640000</v>
      </c>
      <c r="BY9" s="93">
        <f t="shared" si="32"/>
        <v>16437125000</v>
      </c>
      <c r="BZ9" s="93">
        <f t="shared" si="32"/>
        <v>16437125000</v>
      </c>
      <c r="CA9" s="93">
        <f t="shared" si="32"/>
        <v>17094610000</v>
      </c>
      <c r="CB9" s="93">
        <f t="shared" si="32"/>
        <v>17118140000</v>
      </c>
      <c r="CC9" s="93">
        <f t="shared" si="32"/>
        <v>16459750000</v>
      </c>
      <c r="CD9" s="93">
        <f t="shared" si="32"/>
        <v>17105172500</v>
      </c>
      <c r="CE9" s="93">
        <f t="shared" si="32"/>
        <v>16447281250</v>
      </c>
      <c r="CF9" s="93">
        <f t="shared" si="32"/>
        <v>17094610000</v>
      </c>
      <c r="CG9" s="93">
        <f t="shared" si="32"/>
        <v>177488853750</v>
      </c>
      <c r="CI9" s="93">
        <f>SUM(CI10:CI12)</f>
        <v>7469550000</v>
      </c>
      <c r="CJ9" s="93">
        <f t="shared" ref="CJ9:CU9" si="33">SUM(CJ10:CJ12)</f>
        <v>5602162500</v>
      </c>
      <c r="CK9" s="93">
        <f t="shared" si="33"/>
        <v>8092012500</v>
      </c>
      <c r="CL9" s="93">
        <f t="shared" si="33"/>
        <v>8714475000</v>
      </c>
      <c r="CM9" s="93">
        <f t="shared" si="33"/>
        <v>8714475000</v>
      </c>
      <c r="CN9" s="93">
        <f t="shared" si="33"/>
        <v>8714475000</v>
      </c>
      <c r="CO9" s="93">
        <f t="shared" si="33"/>
        <v>8714475000</v>
      </c>
      <c r="CP9" s="93">
        <f t="shared" si="33"/>
        <v>8714475000</v>
      </c>
      <c r="CQ9" s="93">
        <f t="shared" si="33"/>
        <v>8714475000</v>
      </c>
      <c r="CR9" s="93">
        <f t="shared" si="33"/>
        <v>8714475000</v>
      </c>
      <c r="CS9" s="93">
        <f t="shared" si="33"/>
        <v>8714475000</v>
      </c>
      <c r="CT9" s="93">
        <f t="shared" si="33"/>
        <v>8714475000</v>
      </c>
      <c r="CU9" s="93">
        <f t="shared" si="33"/>
        <v>99594000000</v>
      </c>
      <c r="CW9" s="93">
        <f>SUM(CW10:CW12)</f>
        <v>11515218750</v>
      </c>
      <c r="CX9" s="93">
        <f t="shared" ref="CX9:DI9" si="34">SUM(CX10:CX12)</f>
        <v>8956281250</v>
      </c>
      <c r="CY9" s="93">
        <f t="shared" si="34"/>
        <v>12794687500</v>
      </c>
      <c r="CZ9" s="93">
        <f t="shared" si="34"/>
        <v>15974312500</v>
      </c>
      <c r="DA9" s="93">
        <f t="shared" si="34"/>
        <v>15974312500</v>
      </c>
      <c r="DB9" s="93">
        <f t="shared" si="34"/>
        <v>15974312500</v>
      </c>
      <c r="DC9" s="93">
        <f t="shared" si="34"/>
        <v>15974312500</v>
      </c>
      <c r="DD9" s="93">
        <f t="shared" si="34"/>
        <v>15974312500</v>
      </c>
      <c r="DE9" s="93">
        <f t="shared" si="34"/>
        <v>15974312500</v>
      </c>
      <c r="DF9" s="93">
        <f t="shared" si="34"/>
        <v>17334395000</v>
      </c>
      <c r="DG9" s="93">
        <f t="shared" si="34"/>
        <v>17334395000</v>
      </c>
      <c r="DH9" s="93">
        <f t="shared" si="34"/>
        <v>17334395000</v>
      </c>
      <c r="DI9" s="93">
        <f t="shared" si="34"/>
        <v>181115247500</v>
      </c>
      <c r="DK9" s="93">
        <f>SUM(DK10:DK12)</f>
        <v>0</v>
      </c>
      <c r="DL9" s="93">
        <f t="shared" ref="DL9:DW9" si="35">SUM(DL10:DL12)</f>
        <v>0</v>
      </c>
      <c r="DM9" s="93">
        <f t="shared" si="35"/>
        <v>0</v>
      </c>
      <c r="DN9" s="93">
        <f t="shared" si="35"/>
        <v>0</v>
      </c>
      <c r="DO9" s="93">
        <f t="shared" si="35"/>
        <v>0</v>
      </c>
      <c r="DP9" s="93">
        <f t="shared" si="35"/>
        <v>0</v>
      </c>
      <c r="DQ9" s="93">
        <f t="shared" si="35"/>
        <v>0</v>
      </c>
      <c r="DR9" s="93">
        <f t="shared" si="35"/>
        <v>0</v>
      </c>
      <c r="DS9" s="93">
        <f t="shared" si="35"/>
        <v>0</v>
      </c>
      <c r="DT9" s="93">
        <f t="shared" si="35"/>
        <v>0</v>
      </c>
      <c r="DU9" s="93">
        <f t="shared" si="35"/>
        <v>0</v>
      </c>
      <c r="DV9" s="93">
        <f t="shared" si="35"/>
        <v>0</v>
      </c>
      <c r="DW9" s="93">
        <f t="shared" si="35"/>
        <v>0</v>
      </c>
      <c r="DY9" s="93">
        <f>SUM(DY10:DY12)</f>
        <v>0</v>
      </c>
      <c r="DZ9" s="93">
        <f t="shared" ref="DZ9:EK9" si="36">SUM(DZ10:DZ12)</f>
        <v>0</v>
      </c>
      <c r="EA9" s="93">
        <f t="shared" si="36"/>
        <v>0</v>
      </c>
      <c r="EB9" s="93">
        <f t="shared" si="36"/>
        <v>0</v>
      </c>
      <c r="EC9" s="93">
        <f t="shared" si="36"/>
        <v>0</v>
      </c>
      <c r="ED9" s="93">
        <f t="shared" si="36"/>
        <v>0</v>
      </c>
      <c r="EE9" s="93">
        <f t="shared" si="36"/>
        <v>0</v>
      </c>
      <c r="EF9" s="93">
        <f t="shared" si="36"/>
        <v>0</v>
      </c>
      <c r="EG9" s="93">
        <f t="shared" si="36"/>
        <v>0</v>
      </c>
      <c r="EH9" s="93">
        <f t="shared" si="36"/>
        <v>0</v>
      </c>
      <c r="EI9" s="93">
        <f t="shared" si="36"/>
        <v>0</v>
      </c>
      <c r="EJ9" s="93">
        <f t="shared" si="36"/>
        <v>0</v>
      </c>
      <c r="EK9" s="93">
        <f t="shared" si="36"/>
        <v>0</v>
      </c>
    </row>
    <row r="10" spans="1:141" s="29" customFormat="1" outlineLevel="1">
      <c r="A10" s="36" t="s">
        <v>62</v>
      </c>
      <c r="B10" s="37" t="s">
        <v>1</v>
      </c>
      <c r="C10" s="366">
        <f t="shared" ref="C10:N12" si="37">Q10+AE10</f>
        <v>129505341136.8568</v>
      </c>
      <c r="D10" s="52">
        <f t="shared" si="37"/>
        <v>127974441177.86678</v>
      </c>
      <c r="E10" s="52">
        <f t="shared" si="37"/>
        <v>141599491827.82724</v>
      </c>
      <c r="F10" s="52">
        <f t="shared" si="37"/>
        <v>131782266518.60179</v>
      </c>
      <c r="G10" s="52">
        <f t="shared" si="37"/>
        <v>140244307484.73706</v>
      </c>
      <c r="H10" s="52">
        <f t="shared" si="37"/>
        <v>141409300219.24365</v>
      </c>
      <c r="I10" s="52">
        <f t="shared" si="37"/>
        <v>145404057387.95996</v>
      </c>
      <c r="J10" s="52">
        <f t="shared" si="37"/>
        <v>141276361518.14462</v>
      </c>
      <c r="K10" s="52">
        <f t="shared" si="37"/>
        <v>148196499542.28259</v>
      </c>
      <c r="L10" s="52">
        <f t="shared" si="37"/>
        <v>137984481243.16364</v>
      </c>
      <c r="M10" s="52">
        <f t="shared" si="37"/>
        <v>145929060338.8269</v>
      </c>
      <c r="N10" s="52">
        <f t="shared" si="37"/>
        <v>147442013746.17145</v>
      </c>
      <c r="O10" s="367">
        <f>SUM(C10:N10)</f>
        <v>1678747622141.6824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>
        <f>SUM(Q10:AB10)</f>
        <v>0</v>
      </c>
      <c r="AE10" s="368">
        <f t="shared" ref="AE10:AP12" si="38">AS10+BU10+CI10+CW10+DK10</f>
        <v>129505341136.8568</v>
      </c>
      <c r="AF10" s="52">
        <f t="shared" si="38"/>
        <v>127974441177.86678</v>
      </c>
      <c r="AG10" s="52">
        <f t="shared" si="38"/>
        <v>141599491827.82724</v>
      </c>
      <c r="AH10" s="52">
        <f t="shared" si="38"/>
        <v>131782266518.60179</v>
      </c>
      <c r="AI10" s="52">
        <f t="shared" si="38"/>
        <v>140244307484.73706</v>
      </c>
      <c r="AJ10" s="52">
        <f t="shared" si="38"/>
        <v>141409300219.24365</v>
      </c>
      <c r="AK10" s="52">
        <f t="shared" si="38"/>
        <v>145404057387.95996</v>
      </c>
      <c r="AL10" s="52">
        <f t="shared" si="38"/>
        <v>141276361518.14462</v>
      </c>
      <c r="AM10" s="52">
        <f t="shared" si="38"/>
        <v>148196499542.28259</v>
      </c>
      <c r="AN10" s="52">
        <f t="shared" si="38"/>
        <v>137984481243.16364</v>
      </c>
      <c r="AO10" s="52">
        <f t="shared" si="38"/>
        <v>145929060338.8269</v>
      </c>
      <c r="AP10" s="52">
        <f t="shared" si="38"/>
        <v>147442013746.17145</v>
      </c>
      <c r="AQ10" s="369">
        <f>SUM(AE10:AP10)</f>
        <v>1678747622141.6824</v>
      </c>
      <c r="AS10" s="52">
        <f>'PL-KH26-DTR'!BL5</f>
        <v>129505341136.8568</v>
      </c>
      <c r="AT10" s="52">
        <f>'PL-KH26-DTR'!BM5</f>
        <v>127974441177.86678</v>
      </c>
      <c r="AU10" s="52">
        <f>'PL-KH26-DTR'!BN5</f>
        <v>141599491827.82724</v>
      </c>
      <c r="AV10" s="52">
        <f>'PL-KH26-DTR'!BO5</f>
        <v>131782266518.60179</v>
      </c>
      <c r="AW10" s="52">
        <f>'PL-KH26-DTR'!BP5</f>
        <v>140244307484.73706</v>
      </c>
      <c r="AX10" s="52">
        <f>'PL-KH26-DTR'!BQ5</f>
        <v>141409300219.24365</v>
      </c>
      <c r="AY10" s="52">
        <f>'PL-KH26-DTR'!BR5</f>
        <v>145404057387.95996</v>
      </c>
      <c r="AZ10" s="52">
        <f>'PL-KH26-DTR'!BS5</f>
        <v>141276361518.14462</v>
      </c>
      <c r="BA10" s="52">
        <f>'PL-KH26-DTR'!BT5</f>
        <v>148196499542.28259</v>
      </c>
      <c r="BB10" s="52">
        <f>'PL-KH26-DTR'!BU5</f>
        <v>137984481243.16364</v>
      </c>
      <c r="BC10" s="52">
        <f>'PL-KH26-DTR'!BV5</f>
        <v>145929060338.8269</v>
      </c>
      <c r="BD10" s="52">
        <f>'PL-KH26-DTR'!BW5</f>
        <v>147442013746.17145</v>
      </c>
      <c r="BE10" s="52">
        <f>SUM(AS10:BD10)</f>
        <v>1678747622141.6824</v>
      </c>
      <c r="BG10" s="52">
        <f t="shared" ref="BG10:BR12" si="39">BU10+CI10+CW10</f>
        <v>0</v>
      </c>
      <c r="BH10" s="52">
        <f t="shared" si="39"/>
        <v>0</v>
      </c>
      <c r="BI10" s="52">
        <f t="shared" si="39"/>
        <v>0</v>
      </c>
      <c r="BJ10" s="52">
        <f t="shared" si="39"/>
        <v>0</v>
      </c>
      <c r="BK10" s="52">
        <f t="shared" si="39"/>
        <v>0</v>
      </c>
      <c r="BL10" s="52">
        <f t="shared" si="39"/>
        <v>0</v>
      </c>
      <c r="BM10" s="52">
        <f t="shared" si="39"/>
        <v>0</v>
      </c>
      <c r="BN10" s="52">
        <f t="shared" si="39"/>
        <v>0</v>
      </c>
      <c r="BO10" s="52">
        <f t="shared" si="39"/>
        <v>0</v>
      </c>
      <c r="BP10" s="52">
        <f t="shared" si="39"/>
        <v>0</v>
      </c>
      <c r="BQ10" s="52">
        <f t="shared" si="39"/>
        <v>0</v>
      </c>
      <c r="BR10" s="52">
        <f t="shared" si="39"/>
        <v>0</v>
      </c>
      <c r="BS10" s="52">
        <f>SUM(BG10:BR10)</f>
        <v>0</v>
      </c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>
        <f>SUM(BU10:CF10)</f>
        <v>0</v>
      </c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>
        <f>SUM(CI10:CT10)</f>
        <v>0</v>
      </c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>
        <f>SUM(CW10:DH10)</f>
        <v>0</v>
      </c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>
        <f>SUM(DK10:DV10)</f>
        <v>0</v>
      </c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>
        <f>SUM(DY10:EJ10)</f>
        <v>0</v>
      </c>
    </row>
    <row r="11" spans="1:141" s="29" customFormat="1" outlineLevel="1">
      <c r="A11" s="36" t="s">
        <v>65</v>
      </c>
      <c r="B11" s="37" t="s">
        <v>2</v>
      </c>
      <c r="C11" s="366">
        <f t="shared" si="37"/>
        <v>0</v>
      </c>
      <c r="D11" s="52">
        <f t="shared" si="37"/>
        <v>0</v>
      </c>
      <c r="E11" s="52">
        <f t="shared" si="37"/>
        <v>0</v>
      </c>
      <c r="F11" s="52">
        <f t="shared" si="37"/>
        <v>0</v>
      </c>
      <c r="G11" s="52">
        <f t="shared" si="37"/>
        <v>0</v>
      </c>
      <c r="H11" s="52">
        <f t="shared" si="37"/>
        <v>0</v>
      </c>
      <c r="I11" s="52">
        <f t="shared" si="37"/>
        <v>0</v>
      </c>
      <c r="J11" s="52">
        <f t="shared" si="37"/>
        <v>0</v>
      </c>
      <c r="K11" s="52">
        <f t="shared" si="37"/>
        <v>0</v>
      </c>
      <c r="L11" s="52">
        <f t="shared" si="37"/>
        <v>0</v>
      </c>
      <c r="M11" s="52">
        <f t="shared" si="37"/>
        <v>0</v>
      </c>
      <c r="N11" s="52">
        <f t="shared" si="37"/>
        <v>0</v>
      </c>
      <c r="O11" s="367">
        <f t="shared" ref="O11:O12" si="40">SUM(C11:N11)</f>
        <v>0</v>
      </c>
      <c r="Q11" s="52">
        <f>-AE11</f>
        <v>-28404956250</v>
      </c>
      <c r="R11" s="52">
        <f t="shared" ref="R11:AB11" si="41">-AF11</f>
        <v>-20210556250</v>
      </c>
      <c r="S11" s="52">
        <f t="shared" si="41"/>
        <v>-33329800000</v>
      </c>
      <c r="T11" s="52">
        <f t="shared" si="41"/>
        <v>-40468427500</v>
      </c>
      <c r="U11" s="52">
        <f t="shared" si="41"/>
        <v>-41125912500</v>
      </c>
      <c r="V11" s="52">
        <f t="shared" si="41"/>
        <v>-41125912500</v>
      </c>
      <c r="W11" s="52">
        <f t="shared" si="41"/>
        <v>-41783397500</v>
      </c>
      <c r="X11" s="52">
        <f t="shared" si="41"/>
        <v>-41806927500</v>
      </c>
      <c r="Y11" s="52">
        <f t="shared" si="41"/>
        <v>-41148537500</v>
      </c>
      <c r="Z11" s="52">
        <f t="shared" si="41"/>
        <v>-43154042500</v>
      </c>
      <c r="AA11" s="52">
        <f t="shared" si="41"/>
        <v>-42496151250</v>
      </c>
      <c r="AB11" s="52">
        <f t="shared" si="41"/>
        <v>-43143480000</v>
      </c>
      <c r="AC11" s="52">
        <f t="shared" ref="AC11:AC12" si="42">SUM(Q11:AB11)</f>
        <v>-458198101250</v>
      </c>
      <c r="AE11" s="368">
        <f t="shared" si="38"/>
        <v>28404956250</v>
      </c>
      <c r="AF11" s="52">
        <f t="shared" si="38"/>
        <v>20210556250</v>
      </c>
      <c r="AG11" s="52">
        <f t="shared" si="38"/>
        <v>33329800000</v>
      </c>
      <c r="AH11" s="52">
        <f t="shared" si="38"/>
        <v>40468427500</v>
      </c>
      <c r="AI11" s="52">
        <f t="shared" si="38"/>
        <v>41125912500</v>
      </c>
      <c r="AJ11" s="52">
        <f t="shared" si="38"/>
        <v>41125912500</v>
      </c>
      <c r="AK11" s="52">
        <f t="shared" si="38"/>
        <v>41783397500</v>
      </c>
      <c r="AL11" s="52">
        <f t="shared" si="38"/>
        <v>41806927500</v>
      </c>
      <c r="AM11" s="52">
        <f t="shared" si="38"/>
        <v>41148537500</v>
      </c>
      <c r="AN11" s="52">
        <f t="shared" si="38"/>
        <v>43154042500</v>
      </c>
      <c r="AO11" s="52">
        <f t="shared" si="38"/>
        <v>42496151250</v>
      </c>
      <c r="AP11" s="52">
        <f t="shared" si="38"/>
        <v>43143480000</v>
      </c>
      <c r="AQ11" s="369">
        <f t="shared" ref="AQ11:AQ12" si="43">SUM(AE11:AP11)</f>
        <v>458198101250</v>
      </c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>
        <f t="shared" ref="BE11:BE12" si="44">SUM(AS11:BD11)</f>
        <v>0</v>
      </c>
      <c r="BG11" s="52">
        <f t="shared" si="39"/>
        <v>28404956250</v>
      </c>
      <c r="BH11" s="52">
        <f t="shared" si="39"/>
        <v>20210556250</v>
      </c>
      <c r="BI11" s="52">
        <f t="shared" si="39"/>
        <v>33329800000</v>
      </c>
      <c r="BJ11" s="52">
        <f t="shared" si="39"/>
        <v>40468427500</v>
      </c>
      <c r="BK11" s="52">
        <f t="shared" si="39"/>
        <v>41125912500</v>
      </c>
      <c r="BL11" s="52">
        <f t="shared" si="39"/>
        <v>41125912500</v>
      </c>
      <c r="BM11" s="52">
        <f t="shared" si="39"/>
        <v>41783397500</v>
      </c>
      <c r="BN11" s="52">
        <f t="shared" si="39"/>
        <v>41806927500</v>
      </c>
      <c r="BO11" s="52">
        <f t="shared" si="39"/>
        <v>41148537500</v>
      </c>
      <c r="BP11" s="52">
        <f t="shared" si="39"/>
        <v>43154042500</v>
      </c>
      <c r="BQ11" s="52">
        <f t="shared" si="39"/>
        <v>42496151250</v>
      </c>
      <c r="BR11" s="52">
        <f t="shared" si="39"/>
        <v>43143480000</v>
      </c>
      <c r="BS11" s="52">
        <f t="shared" ref="BS11:BS12" si="45">SUM(BG11:BR11)</f>
        <v>458198101250</v>
      </c>
      <c r="BU11" s="52">
        <f>'PL-KH26-DongLam'!G10</f>
        <v>9420187500</v>
      </c>
      <c r="BV11" s="52">
        <f>'PL-KH26-DongLam'!H10</f>
        <v>5652112500</v>
      </c>
      <c r="BW11" s="52">
        <f>'PL-KH26-DongLam'!I10</f>
        <v>12443100000</v>
      </c>
      <c r="BX11" s="52">
        <f>'PL-KH26-DongLam'!J10</f>
        <v>15779640000</v>
      </c>
      <c r="BY11" s="52">
        <f>'PL-KH26-DongLam'!K10</f>
        <v>16437125000</v>
      </c>
      <c r="BZ11" s="52">
        <f>'PL-KH26-DongLam'!L10</f>
        <v>16437125000</v>
      </c>
      <c r="CA11" s="52">
        <f>'PL-KH26-DongLam'!M10</f>
        <v>17094610000</v>
      </c>
      <c r="CB11" s="52">
        <f>'PL-KH26-DongLam'!N10</f>
        <v>17118140000</v>
      </c>
      <c r="CC11" s="52">
        <f>'PL-KH26-DongLam'!O10</f>
        <v>16459750000</v>
      </c>
      <c r="CD11" s="52">
        <f>'PL-KH26-DongLam'!P10</f>
        <v>17105172500</v>
      </c>
      <c r="CE11" s="52">
        <f>'PL-KH26-DongLam'!Q10</f>
        <v>16447281250</v>
      </c>
      <c r="CF11" s="52">
        <f>'PL-KH26-DongLam'!R10</f>
        <v>17094610000</v>
      </c>
      <c r="CG11" s="52">
        <f t="shared" ref="CG11:CG12" si="46">SUM(BU11:CF11)</f>
        <v>177488853750</v>
      </c>
      <c r="CI11" s="52">
        <f>'PL-KH26-KhanhNga'!G9</f>
        <v>7469550000</v>
      </c>
      <c r="CJ11" s="52">
        <f>'PL-KH26-KhanhNga'!H9</f>
        <v>5602162500</v>
      </c>
      <c r="CK11" s="52">
        <f>'PL-KH26-KhanhNga'!I9</f>
        <v>8092012500</v>
      </c>
      <c r="CL11" s="52">
        <f>'PL-KH26-KhanhNga'!J9</f>
        <v>8714475000</v>
      </c>
      <c r="CM11" s="52">
        <f>'PL-KH26-KhanhNga'!K9</f>
        <v>8714475000</v>
      </c>
      <c r="CN11" s="52">
        <f>'PL-KH26-KhanhNga'!L9</f>
        <v>8714475000</v>
      </c>
      <c r="CO11" s="52">
        <f>'PL-KH26-KhanhNga'!M9</f>
        <v>8714475000</v>
      </c>
      <c r="CP11" s="52">
        <f>'PL-KH26-KhanhNga'!N9</f>
        <v>8714475000</v>
      </c>
      <c r="CQ11" s="52">
        <f>'PL-KH26-KhanhNga'!O9</f>
        <v>8714475000</v>
      </c>
      <c r="CR11" s="52">
        <f>'PL-KH26-KhanhNga'!P9</f>
        <v>8714475000</v>
      </c>
      <c r="CS11" s="52">
        <f>'PL-KH26-KhanhNga'!Q9</f>
        <v>8714475000</v>
      </c>
      <c r="CT11" s="52">
        <f>'PL-KH26-KhanhNga'!R9</f>
        <v>8714475000</v>
      </c>
      <c r="CU11" s="52">
        <f t="shared" ref="CU11:CU12" si="47">SUM(CI11:CT11)</f>
        <v>99594000000</v>
      </c>
      <c r="CW11" s="52">
        <f>'PL-KH26-DaiLoc'!F10</f>
        <v>11515218750</v>
      </c>
      <c r="CX11" s="52">
        <f>'PL-KH26-DaiLoc'!G10</f>
        <v>8956281250</v>
      </c>
      <c r="CY11" s="52">
        <f>'PL-KH26-DaiLoc'!H10</f>
        <v>12794687500</v>
      </c>
      <c r="CZ11" s="52">
        <f>'PL-KH26-DaiLoc'!I10</f>
        <v>15974312500</v>
      </c>
      <c r="DA11" s="52">
        <f>'PL-KH26-DaiLoc'!J10</f>
        <v>15974312500</v>
      </c>
      <c r="DB11" s="52">
        <f>'PL-KH26-DaiLoc'!K10</f>
        <v>15974312500</v>
      </c>
      <c r="DC11" s="52">
        <f>'PL-KH26-DaiLoc'!L10</f>
        <v>15974312500</v>
      </c>
      <c r="DD11" s="52">
        <f>'PL-KH26-DaiLoc'!M10</f>
        <v>15974312500</v>
      </c>
      <c r="DE11" s="52">
        <f>'PL-KH26-DaiLoc'!N10</f>
        <v>15974312500</v>
      </c>
      <c r="DF11" s="52">
        <f>'PL-KH26-DaiLoc'!O10</f>
        <v>17334395000</v>
      </c>
      <c r="DG11" s="52">
        <f>'PL-KH26-DaiLoc'!P10</f>
        <v>17334395000</v>
      </c>
      <c r="DH11" s="52">
        <f>'PL-KH26-DaiLoc'!Q10</f>
        <v>17334395000</v>
      </c>
      <c r="DI11" s="52">
        <f t="shared" ref="DI11:DI12" si="48">SUM(CW11:DH11)</f>
        <v>181115247500</v>
      </c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>
        <f t="shared" ref="DW11:DW12" si="49">SUM(DK11:DV11)</f>
        <v>0</v>
      </c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>
        <f t="shared" ref="EK11:EK12" si="50">SUM(DY11:EJ11)</f>
        <v>0</v>
      </c>
    </row>
    <row r="12" spans="1:141" s="29" customFormat="1" outlineLevel="1">
      <c r="A12" s="36" t="s">
        <v>71</v>
      </c>
      <c r="B12" s="37" t="s">
        <v>3</v>
      </c>
      <c r="C12" s="366">
        <f t="shared" si="37"/>
        <v>0</v>
      </c>
      <c r="D12" s="52">
        <f t="shared" si="37"/>
        <v>0</v>
      </c>
      <c r="E12" s="52">
        <f t="shared" si="37"/>
        <v>0</v>
      </c>
      <c r="F12" s="52">
        <f t="shared" si="37"/>
        <v>0</v>
      </c>
      <c r="G12" s="52">
        <f t="shared" si="37"/>
        <v>0</v>
      </c>
      <c r="H12" s="52">
        <f t="shared" si="37"/>
        <v>0</v>
      </c>
      <c r="I12" s="52">
        <f t="shared" si="37"/>
        <v>0</v>
      </c>
      <c r="J12" s="52">
        <f t="shared" si="37"/>
        <v>0</v>
      </c>
      <c r="K12" s="52">
        <f t="shared" si="37"/>
        <v>0</v>
      </c>
      <c r="L12" s="52">
        <f t="shared" si="37"/>
        <v>0</v>
      </c>
      <c r="M12" s="52">
        <f t="shared" si="37"/>
        <v>0</v>
      </c>
      <c r="N12" s="52">
        <f t="shared" si="37"/>
        <v>0</v>
      </c>
      <c r="O12" s="367">
        <f t="shared" si="40"/>
        <v>0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>
        <f t="shared" si="42"/>
        <v>0</v>
      </c>
      <c r="AE12" s="368">
        <f t="shared" si="38"/>
        <v>0</v>
      </c>
      <c r="AF12" s="52">
        <f t="shared" si="38"/>
        <v>0</v>
      </c>
      <c r="AG12" s="52">
        <f t="shared" si="38"/>
        <v>0</v>
      </c>
      <c r="AH12" s="52">
        <f t="shared" si="38"/>
        <v>0</v>
      </c>
      <c r="AI12" s="52">
        <f t="shared" si="38"/>
        <v>0</v>
      </c>
      <c r="AJ12" s="52">
        <f t="shared" si="38"/>
        <v>0</v>
      </c>
      <c r="AK12" s="52">
        <f t="shared" si="38"/>
        <v>0</v>
      </c>
      <c r="AL12" s="52">
        <f t="shared" si="38"/>
        <v>0</v>
      </c>
      <c r="AM12" s="52">
        <f t="shared" si="38"/>
        <v>0</v>
      </c>
      <c r="AN12" s="52">
        <f t="shared" si="38"/>
        <v>0</v>
      </c>
      <c r="AO12" s="52">
        <f t="shared" si="38"/>
        <v>0</v>
      </c>
      <c r="AP12" s="52">
        <f t="shared" si="38"/>
        <v>0</v>
      </c>
      <c r="AQ12" s="369">
        <f t="shared" si="43"/>
        <v>0</v>
      </c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>
        <f t="shared" si="44"/>
        <v>0</v>
      </c>
      <c r="BG12" s="52">
        <f t="shared" si="39"/>
        <v>0</v>
      </c>
      <c r="BH12" s="52">
        <f t="shared" si="39"/>
        <v>0</v>
      </c>
      <c r="BI12" s="52">
        <f t="shared" si="39"/>
        <v>0</v>
      </c>
      <c r="BJ12" s="52">
        <f t="shared" si="39"/>
        <v>0</v>
      </c>
      <c r="BK12" s="52">
        <f t="shared" si="39"/>
        <v>0</v>
      </c>
      <c r="BL12" s="52">
        <f t="shared" si="39"/>
        <v>0</v>
      </c>
      <c r="BM12" s="52">
        <f t="shared" si="39"/>
        <v>0</v>
      </c>
      <c r="BN12" s="52">
        <f t="shared" si="39"/>
        <v>0</v>
      </c>
      <c r="BO12" s="52">
        <f t="shared" si="39"/>
        <v>0</v>
      </c>
      <c r="BP12" s="52">
        <f t="shared" si="39"/>
        <v>0</v>
      </c>
      <c r="BQ12" s="52">
        <f t="shared" si="39"/>
        <v>0</v>
      </c>
      <c r="BR12" s="52">
        <f t="shared" si="39"/>
        <v>0</v>
      </c>
      <c r="BS12" s="52">
        <f t="shared" si="45"/>
        <v>0</v>
      </c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>
        <f t="shared" si="46"/>
        <v>0</v>
      </c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>
        <f t="shared" si="47"/>
        <v>0</v>
      </c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>
        <f t="shared" si="48"/>
        <v>0</v>
      </c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>
        <f t="shared" si="49"/>
        <v>0</v>
      </c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>
        <f t="shared" si="50"/>
        <v>0</v>
      </c>
    </row>
    <row r="13" spans="1:141" s="51" customFormat="1" ht="14.25">
      <c r="A13" s="50">
        <v>3</v>
      </c>
      <c r="B13" s="91" t="s">
        <v>21</v>
      </c>
      <c r="C13" s="370">
        <f>SUM(C14:C16)</f>
        <v>0</v>
      </c>
      <c r="D13" s="92">
        <f t="shared" ref="D13:O13" si="51">SUM(D14:D16)</f>
        <v>0</v>
      </c>
      <c r="E13" s="92">
        <f t="shared" si="51"/>
        <v>0</v>
      </c>
      <c r="F13" s="92">
        <f t="shared" si="51"/>
        <v>0</v>
      </c>
      <c r="G13" s="92">
        <f t="shared" si="51"/>
        <v>0</v>
      </c>
      <c r="H13" s="92">
        <f t="shared" si="51"/>
        <v>0</v>
      </c>
      <c r="I13" s="92">
        <f t="shared" si="51"/>
        <v>0</v>
      </c>
      <c r="J13" s="92">
        <f t="shared" si="51"/>
        <v>0</v>
      </c>
      <c r="K13" s="92">
        <f t="shared" si="51"/>
        <v>0</v>
      </c>
      <c r="L13" s="92">
        <f t="shared" si="51"/>
        <v>0</v>
      </c>
      <c r="M13" s="92">
        <f t="shared" si="51"/>
        <v>0</v>
      </c>
      <c r="N13" s="92">
        <f t="shared" si="51"/>
        <v>0</v>
      </c>
      <c r="O13" s="371">
        <f t="shared" si="51"/>
        <v>0</v>
      </c>
      <c r="Q13" s="92">
        <f>SUM(Q14:Q16)</f>
        <v>0</v>
      </c>
      <c r="R13" s="92">
        <f t="shared" ref="R13:AC13" si="52">SUM(R14:R16)</f>
        <v>0</v>
      </c>
      <c r="S13" s="92">
        <f t="shared" si="52"/>
        <v>0</v>
      </c>
      <c r="T13" s="92">
        <f t="shared" si="52"/>
        <v>0</v>
      </c>
      <c r="U13" s="92">
        <f t="shared" si="52"/>
        <v>0</v>
      </c>
      <c r="V13" s="92">
        <f t="shared" si="52"/>
        <v>0</v>
      </c>
      <c r="W13" s="92">
        <f t="shared" si="52"/>
        <v>0</v>
      </c>
      <c r="X13" s="92">
        <f t="shared" si="52"/>
        <v>0</v>
      </c>
      <c r="Y13" s="92">
        <f t="shared" si="52"/>
        <v>0</v>
      </c>
      <c r="Z13" s="92">
        <f t="shared" si="52"/>
        <v>0</v>
      </c>
      <c r="AA13" s="92">
        <f t="shared" si="52"/>
        <v>0</v>
      </c>
      <c r="AB13" s="92">
        <f t="shared" si="52"/>
        <v>0</v>
      </c>
      <c r="AC13" s="92">
        <f t="shared" si="52"/>
        <v>0</v>
      </c>
      <c r="AE13" s="372">
        <f>SUM(AE14:AE16)</f>
        <v>0</v>
      </c>
      <c r="AF13" s="92">
        <f t="shared" ref="AF13:AQ13" si="53">SUM(AF14:AF16)</f>
        <v>0</v>
      </c>
      <c r="AG13" s="92">
        <f t="shared" si="53"/>
        <v>0</v>
      </c>
      <c r="AH13" s="92">
        <f t="shared" si="53"/>
        <v>0</v>
      </c>
      <c r="AI13" s="92">
        <f t="shared" si="53"/>
        <v>0</v>
      </c>
      <c r="AJ13" s="92">
        <f t="shared" si="53"/>
        <v>0</v>
      </c>
      <c r="AK13" s="92">
        <f t="shared" si="53"/>
        <v>0</v>
      </c>
      <c r="AL13" s="92">
        <f t="shared" si="53"/>
        <v>0</v>
      </c>
      <c r="AM13" s="92">
        <f t="shared" si="53"/>
        <v>0</v>
      </c>
      <c r="AN13" s="92">
        <f t="shared" si="53"/>
        <v>0</v>
      </c>
      <c r="AO13" s="92">
        <f t="shared" si="53"/>
        <v>0</v>
      </c>
      <c r="AP13" s="92">
        <f t="shared" si="53"/>
        <v>0</v>
      </c>
      <c r="AQ13" s="373">
        <f t="shared" si="53"/>
        <v>0</v>
      </c>
      <c r="AS13" s="92">
        <f>SUM(AS14:AS16)</f>
        <v>0</v>
      </c>
      <c r="AT13" s="92">
        <f t="shared" ref="AT13:BE13" si="54">SUM(AT14:AT16)</f>
        <v>0</v>
      </c>
      <c r="AU13" s="92">
        <f t="shared" si="54"/>
        <v>0</v>
      </c>
      <c r="AV13" s="92">
        <f t="shared" si="54"/>
        <v>0</v>
      </c>
      <c r="AW13" s="92">
        <f t="shared" si="54"/>
        <v>0</v>
      </c>
      <c r="AX13" s="92">
        <f t="shared" si="54"/>
        <v>0</v>
      </c>
      <c r="AY13" s="92">
        <f t="shared" si="54"/>
        <v>0</v>
      </c>
      <c r="AZ13" s="92">
        <f t="shared" si="54"/>
        <v>0</v>
      </c>
      <c r="BA13" s="92">
        <f t="shared" si="54"/>
        <v>0</v>
      </c>
      <c r="BB13" s="92">
        <f t="shared" si="54"/>
        <v>0</v>
      </c>
      <c r="BC13" s="92">
        <f t="shared" si="54"/>
        <v>0</v>
      </c>
      <c r="BD13" s="92">
        <f t="shared" si="54"/>
        <v>0</v>
      </c>
      <c r="BE13" s="92">
        <f t="shared" si="54"/>
        <v>0</v>
      </c>
      <c r="BG13" s="92">
        <f>SUM(BG14:BG16)</f>
        <v>0</v>
      </c>
      <c r="BH13" s="92">
        <f t="shared" ref="BH13:BS13" si="55">SUM(BH14:BH16)</f>
        <v>0</v>
      </c>
      <c r="BI13" s="92">
        <f t="shared" si="55"/>
        <v>0</v>
      </c>
      <c r="BJ13" s="92">
        <f t="shared" si="55"/>
        <v>0</v>
      </c>
      <c r="BK13" s="92">
        <f t="shared" si="55"/>
        <v>0</v>
      </c>
      <c r="BL13" s="92">
        <f t="shared" si="55"/>
        <v>0</v>
      </c>
      <c r="BM13" s="92">
        <f t="shared" si="55"/>
        <v>0</v>
      </c>
      <c r="BN13" s="92">
        <f t="shared" si="55"/>
        <v>0</v>
      </c>
      <c r="BO13" s="92">
        <f t="shared" si="55"/>
        <v>0</v>
      </c>
      <c r="BP13" s="92">
        <f t="shared" si="55"/>
        <v>0</v>
      </c>
      <c r="BQ13" s="92">
        <f t="shared" si="55"/>
        <v>0</v>
      </c>
      <c r="BR13" s="92">
        <f t="shared" si="55"/>
        <v>0</v>
      </c>
      <c r="BS13" s="92">
        <f t="shared" si="55"/>
        <v>0</v>
      </c>
      <c r="BU13" s="92">
        <f>SUM(BU14:BU16)</f>
        <v>0</v>
      </c>
      <c r="BV13" s="92">
        <f t="shared" ref="BV13:CG13" si="56">SUM(BV14:BV16)</f>
        <v>0</v>
      </c>
      <c r="BW13" s="92">
        <f t="shared" si="56"/>
        <v>0</v>
      </c>
      <c r="BX13" s="92">
        <f t="shared" si="56"/>
        <v>0</v>
      </c>
      <c r="BY13" s="92">
        <f t="shared" si="56"/>
        <v>0</v>
      </c>
      <c r="BZ13" s="92">
        <f t="shared" si="56"/>
        <v>0</v>
      </c>
      <c r="CA13" s="92">
        <f t="shared" si="56"/>
        <v>0</v>
      </c>
      <c r="CB13" s="92">
        <f t="shared" si="56"/>
        <v>0</v>
      </c>
      <c r="CC13" s="92">
        <f t="shared" si="56"/>
        <v>0</v>
      </c>
      <c r="CD13" s="92">
        <f t="shared" si="56"/>
        <v>0</v>
      </c>
      <c r="CE13" s="92">
        <f t="shared" si="56"/>
        <v>0</v>
      </c>
      <c r="CF13" s="92">
        <f t="shared" si="56"/>
        <v>0</v>
      </c>
      <c r="CG13" s="92">
        <f t="shared" si="56"/>
        <v>0</v>
      </c>
      <c r="CI13" s="92">
        <f>SUM(CI14:CI16)</f>
        <v>0</v>
      </c>
      <c r="CJ13" s="92">
        <f t="shared" ref="CJ13:CU13" si="57">SUM(CJ14:CJ16)</f>
        <v>0</v>
      </c>
      <c r="CK13" s="92">
        <f t="shared" si="57"/>
        <v>0</v>
      </c>
      <c r="CL13" s="92">
        <f t="shared" si="57"/>
        <v>0</v>
      </c>
      <c r="CM13" s="92">
        <f t="shared" si="57"/>
        <v>0</v>
      </c>
      <c r="CN13" s="92">
        <f t="shared" si="57"/>
        <v>0</v>
      </c>
      <c r="CO13" s="92">
        <f t="shared" si="57"/>
        <v>0</v>
      </c>
      <c r="CP13" s="92">
        <f t="shared" si="57"/>
        <v>0</v>
      </c>
      <c r="CQ13" s="92">
        <f t="shared" si="57"/>
        <v>0</v>
      </c>
      <c r="CR13" s="92">
        <f t="shared" si="57"/>
        <v>0</v>
      </c>
      <c r="CS13" s="92">
        <f t="shared" si="57"/>
        <v>0</v>
      </c>
      <c r="CT13" s="92">
        <f t="shared" si="57"/>
        <v>0</v>
      </c>
      <c r="CU13" s="92">
        <f t="shared" si="57"/>
        <v>0</v>
      </c>
      <c r="CW13" s="92">
        <f>SUM(CW14:CW16)</f>
        <v>0</v>
      </c>
      <c r="CX13" s="92">
        <f t="shared" ref="CX13:DI13" si="58">SUM(CX14:CX16)</f>
        <v>0</v>
      </c>
      <c r="CY13" s="92">
        <f t="shared" si="58"/>
        <v>0</v>
      </c>
      <c r="CZ13" s="92">
        <f t="shared" si="58"/>
        <v>0</v>
      </c>
      <c r="DA13" s="92">
        <f t="shared" si="58"/>
        <v>0</v>
      </c>
      <c r="DB13" s="92">
        <f t="shared" si="58"/>
        <v>0</v>
      </c>
      <c r="DC13" s="92">
        <f t="shared" si="58"/>
        <v>0</v>
      </c>
      <c r="DD13" s="92">
        <f t="shared" si="58"/>
        <v>0</v>
      </c>
      <c r="DE13" s="92">
        <f t="shared" si="58"/>
        <v>0</v>
      </c>
      <c r="DF13" s="92">
        <f t="shared" si="58"/>
        <v>0</v>
      </c>
      <c r="DG13" s="92">
        <f t="shared" si="58"/>
        <v>0</v>
      </c>
      <c r="DH13" s="92">
        <f t="shared" si="58"/>
        <v>0</v>
      </c>
      <c r="DI13" s="92">
        <f t="shared" si="58"/>
        <v>0</v>
      </c>
      <c r="DK13" s="92">
        <f>SUM(DK14:DK16)</f>
        <v>0</v>
      </c>
      <c r="DL13" s="92">
        <f t="shared" ref="DL13:DW13" si="59">SUM(DL14:DL16)</f>
        <v>0</v>
      </c>
      <c r="DM13" s="92">
        <f t="shared" si="59"/>
        <v>0</v>
      </c>
      <c r="DN13" s="92">
        <f t="shared" si="59"/>
        <v>0</v>
      </c>
      <c r="DO13" s="92">
        <f t="shared" si="59"/>
        <v>0</v>
      </c>
      <c r="DP13" s="92">
        <f t="shared" si="59"/>
        <v>0</v>
      </c>
      <c r="DQ13" s="92">
        <f t="shared" si="59"/>
        <v>0</v>
      </c>
      <c r="DR13" s="92">
        <f t="shared" si="59"/>
        <v>0</v>
      </c>
      <c r="DS13" s="92">
        <f t="shared" si="59"/>
        <v>0</v>
      </c>
      <c r="DT13" s="92">
        <f t="shared" si="59"/>
        <v>0</v>
      </c>
      <c r="DU13" s="92">
        <f t="shared" si="59"/>
        <v>0</v>
      </c>
      <c r="DV13" s="92">
        <f t="shared" si="59"/>
        <v>0</v>
      </c>
      <c r="DW13" s="92">
        <f t="shared" si="59"/>
        <v>0</v>
      </c>
      <c r="DY13" s="92">
        <f>SUM(DY14:DY16)</f>
        <v>0</v>
      </c>
      <c r="DZ13" s="92">
        <f t="shared" ref="DZ13:EK13" si="60">SUM(DZ14:DZ16)</f>
        <v>0</v>
      </c>
      <c r="EA13" s="92">
        <f t="shared" si="60"/>
        <v>0</v>
      </c>
      <c r="EB13" s="92">
        <f t="shared" si="60"/>
        <v>0</v>
      </c>
      <c r="EC13" s="92">
        <f t="shared" si="60"/>
        <v>0</v>
      </c>
      <c r="ED13" s="92">
        <f t="shared" si="60"/>
        <v>0</v>
      </c>
      <c r="EE13" s="92">
        <f t="shared" si="60"/>
        <v>0</v>
      </c>
      <c r="EF13" s="92">
        <f t="shared" si="60"/>
        <v>0</v>
      </c>
      <c r="EG13" s="92">
        <f t="shared" si="60"/>
        <v>0</v>
      </c>
      <c r="EH13" s="92">
        <f t="shared" si="60"/>
        <v>0</v>
      </c>
      <c r="EI13" s="92">
        <f t="shared" si="60"/>
        <v>0</v>
      </c>
      <c r="EJ13" s="92">
        <f t="shared" si="60"/>
        <v>0</v>
      </c>
      <c r="EK13" s="92">
        <f t="shared" si="60"/>
        <v>0</v>
      </c>
    </row>
    <row r="14" spans="1:141" outlineLevel="1">
      <c r="A14" s="38" t="s">
        <v>63</v>
      </c>
      <c r="B14" s="39" t="s">
        <v>1</v>
      </c>
      <c r="C14" s="374">
        <f t="shared" ref="C14:N16" si="61">Q14+AE14</f>
        <v>0</v>
      </c>
      <c r="D14" s="54">
        <f t="shared" si="61"/>
        <v>0</v>
      </c>
      <c r="E14" s="54">
        <f t="shared" si="61"/>
        <v>0</v>
      </c>
      <c r="F14" s="54">
        <f t="shared" si="61"/>
        <v>0</v>
      </c>
      <c r="G14" s="54">
        <f t="shared" si="61"/>
        <v>0</v>
      </c>
      <c r="H14" s="54">
        <f t="shared" si="61"/>
        <v>0</v>
      </c>
      <c r="I14" s="54">
        <f t="shared" si="61"/>
        <v>0</v>
      </c>
      <c r="J14" s="54">
        <f t="shared" si="61"/>
        <v>0</v>
      </c>
      <c r="K14" s="54">
        <f t="shared" si="61"/>
        <v>0</v>
      </c>
      <c r="L14" s="54">
        <f t="shared" si="61"/>
        <v>0</v>
      </c>
      <c r="M14" s="54">
        <f t="shared" si="61"/>
        <v>0</v>
      </c>
      <c r="N14" s="54">
        <f t="shared" si="61"/>
        <v>0</v>
      </c>
      <c r="O14" s="375">
        <f>SUM(C14:N14)</f>
        <v>0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>
        <f>SUM(Q14:AB14)</f>
        <v>0</v>
      </c>
      <c r="AE14" s="376">
        <f t="shared" ref="AE14:AP16" si="62">AS14+BU14+CI14+CW14+DK14</f>
        <v>0</v>
      </c>
      <c r="AF14" s="54">
        <f t="shared" si="62"/>
        <v>0</v>
      </c>
      <c r="AG14" s="54">
        <f t="shared" si="62"/>
        <v>0</v>
      </c>
      <c r="AH14" s="54">
        <f t="shared" si="62"/>
        <v>0</v>
      </c>
      <c r="AI14" s="54">
        <f t="shared" si="62"/>
        <v>0</v>
      </c>
      <c r="AJ14" s="54">
        <f t="shared" si="62"/>
        <v>0</v>
      </c>
      <c r="AK14" s="54">
        <f t="shared" si="62"/>
        <v>0</v>
      </c>
      <c r="AL14" s="54">
        <f t="shared" si="62"/>
        <v>0</v>
      </c>
      <c r="AM14" s="54">
        <f t="shared" si="62"/>
        <v>0</v>
      </c>
      <c r="AN14" s="54">
        <f t="shared" si="62"/>
        <v>0</v>
      </c>
      <c r="AO14" s="54">
        <f t="shared" si="62"/>
        <v>0</v>
      </c>
      <c r="AP14" s="54">
        <f t="shared" si="62"/>
        <v>0</v>
      </c>
      <c r="AQ14" s="377">
        <f>SUM(AE14:AP14)</f>
        <v>0</v>
      </c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>
        <f>SUM(AS14:BD14)</f>
        <v>0</v>
      </c>
      <c r="BG14" s="54">
        <f t="shared" ref="BG14:BR16" si="63">BU14+CI14+CW14</f>
        <v>0</v>
      </c>
      <c r="BH14" s="54">
        <f t="shared" si="63"/>
        <v>0</v>
      </c>
      <c r="BI14" s="54">
        <f t="shared" si="63"/>
        <v>0</v>
      </c>
      <c r="BJ14" s="54">
        <f t="shared" si="63"/>
        <v>0</v>
      </c>
      <c r="BK14" s="54">
        <f t="shared" si="63"/>
        <v>0</v>
      </c>
      <c r="BL14" s="54">
        <f t="shared" si="63"/>
        <v>0</v>
      </c>
      <c r="BM14" s="54">
        <f t="shared" si="63"/>
        <v>0</v>
      </c>
      <c r="BN14" s="54">
        <f t="shared" si="63"/>
        <v>0</v>
      </c>
      <c r="BO14" s="54">
        <f t="shared" si="63"/>
        <v>0</v>
      </c>
      <c r="BP14" s="54">
        <f t="shared" si="63"/>
        <v>0</v>
      </c>
      <c r="BQ14" s="54">
        <f t="shared" si="63"/>
        <v>0</v>
      </c>
      <c r="BR14" s="54">
        <f t="shared" si="63"/>
        <v>0</v>
      </c>
      <c r="BS14" s="54">
        <f>SUM(BG14:BR14)</f>
        <v>0</v>
      </c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>
        <f>SUM(BU14:CF14)</f>
        <v>0</v>
      </c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>
        <f>SUM(CI14:CT14)</f>
        <v>0</v>
      </c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>
        <f>SUM(CW14:DH14)</f>
        <v>0</v>
      </c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>
        <f>SUM(DK14:DV14)</f>
        <v>0</v>
      </c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>
        <f>SUM(DY14:EJ14)</f>
        <v>0</v>
      </c>
    </row>
    <row r="15" spans="1:141" outlineLevel="1">
      <c r="A15" s="38" t="s">
        <v>66</v>
      </c>
      <c r="B15" s="39" t="s">
        <v>2</v>
      </c>
      <c r="C15" s="374">
        <f t="shared" si="61"/>
        <v>0</v>
      </c>
      <c r="D15" s="54">
        <f t="shared" si="61"/>
        <v>0</v>
      </c>
      <c r="E15" s="54">
        <f t="shared" si="61"/>
        <v>0</v>
      </c>
      <c r="F15" s="54">
        <f t="shared" si="61"/>
        <v>0</v>
      </c>
      <c r="G15" s="54">
        <f t="shared" si="61"/>
        <v>0</v>
      </c>
      <c r="H15" s="54">
        <f t="shared" si="61"/>
        <v>0</v>
      </c>
      <c r="I15" s="54">
        <f t="shared" si="61"/>
        <v>0</v>
      </c>
      <c r="J15" s="54">
        <f t="shared" si="61"/>
        <v>0</v>
      </c>
      <c r="K15" s="54">
        <f t="shared" si="61"/>
        <v>0</v>
      </c>
      <c r="L15" s="54">
        <f t="shared" si="61"/>
        <v>0</v>
      </c>
      <c r="M15" s="54">
        <f t="shared" si="61"/>
        <v>0</v>
      </c>
      <c r="N15" s="54">
        <f t="shared" si="61"/>
        <v>0</v>
      </c>
      <c r="O15" s="375">
        <f t="shared" ref="O15:O16" si="64">SUM(C15:N15)</f>
        <v>0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>
        <f t="shared" ref="AC15:AC16" si="65">SUM(Q15:AB15)</f>
        <v>0</v>
      </c>
      <c r="AE15" s="376">
        <f t="shared" si="62"/>
        <v>0</v>
      </c>
      <c r="AF15" s="54">
        <f t="shared" si="62"/>
        <v>0</v>
      </c>
      <c r="AG15" s="54">
        <f t="shared" si="62"/>
        <v>0</v>
      </c>
      <c r="AH15" s="54">
        <f t="shared" si="62"/>
        <v>0</v>
      </c>
      <c r="AI15" s="54">
        <f t="shared" si="62"/>
        <v>0</v>
      </c>
      <c r="AJ15" s="54">
        <f t="shared" si="62"/>
        <v>0</v>
      </c>
      <c r="AK15" s="54">
        <f t="shared" si="62"/>
        <v>0</v>
      </c>
      <c r="AL15" s="54">
        <f t="shared" si="62"/>
        <v>0</v>
      </c>
      <c r="AM15" s="54">
        <f t="shared" si="62"/>
        <v>0</v>
      </c>
      <c r="AN15" s="54">
        <f t="shared" si="62"/>
        <v>0</v>
      </c>
      <c r="AO15" s="54">
        <f t="shared" si="62"/>
        <v>0</v>
      </c>
      <c r="AP15" s="54">
        <f t="shared" si="62"/>
        <v>0</v>
      </c>
      <c r="AQ15" s="377">
        <f t="shared" ref="AQ15:AQ16" si="66">SUM(AE15:AP15)</f>
        <v>0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>
        <f t="shared" ref="BE15:BE16" si="67">SUM(AS15:BD15)</f>
        <v>0</v>
      </c>
      <c r="BG15" s="54">
        <f t="shared" si="63"/>
        <v>0</v>
      </c>
      <c r="BH15" s="54">
        <f t="shared" si="63"/>
        <v>0</v>
      </c>
      <c r="BI15" s="54">
        <f t="shared" si="63"/>
        <v>0</v>
      </c>
      <c r="BJ15" s="54">
        <f t="shared" si="63"/>
        <v>0</v>
      </c>
      <c r="BK15" s="54">
        <f t="shared" si="63"/>
        <v>0</v>
      </c>
      <c r="BL15" s="54">
        <f t="shared" si="63"/>
        <v>0</v>
      </c>
      <c r="BM15" s="54">
        <f t="shared" si="63"/>
        <v>0</v>
      </c>
      <c r="BN15" s="54">
        <f t="shared" si="63"/>
        <v>0</v>
      </c>
      <c r="BO15" s="54">
        <f t="shared" si="63"/>
        <v>0</v>
      </c>
      <c r="BP15" s="54">
        <f t="shared" si="63"/>
        <v>0</v>
      </c>
      <c r="BQ15" s="54">
        <f t="shared" si="63"/>
        <v>0</v>
      </c>
      <c r="BR15" s="54">
        <f t="shared" si="63"/>
        <v>0</v>
      </c>
      <c r="BS15" s="54">
        <f t="shared" ref="BS15:BS16" si="68">SUM(BG15:BR15)</f>
        <v>0</v>
      </c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>
        <f t="shared" ref="CG15:CG16" si="69">SUM(BU15:CF15)</f>
        <v>0</v>
      </c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>
        <f t="shared" ref="CU15:CU16" si="70">SUM(CI15:CT15)</f>
        <v>0</v>
      </c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>
        <f t="shared" ref="DI15:DI16" si="71">SUM(CW15:DH15)</f>
        <v>0</v>
      </c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>
        <f t="shared" ref="DW15:DW16" si="72">SUM(DK15:DV15)</f>
        <v>0</v>
      </c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>
        <f t="shared" ref="EK15:EK16" si="73">SUM(DY15:EJ15)</f>
        <v>0</v>
      </c>
    </row>
    <row r="16" spans="1:141" outlineLevel="1">
      <c r="A16" s="55" t="s">
        <v>72</v>
      </c>
      <c r="B16" s="56" t="s">
        <v>3</v>
      </c>
      <c r="C16" s="378">
        <f t="shared" si="61"/>
        <v>0</v>
      </c>
      <c r="D16" s="57">
        <f t="shared" si="61"/>
        <v>0</v>
      </c>
      <c r="E16" s="57">
        <f t="shared" si="61"/>
        <v>0</v>
      </c>
      <c r="F16" s="57">
        <f t="shared" si="61"/>
        <v>0</v>
      </c>
      <c r="G16" s="57">
        <f t="shared" si="61"/>
        <v>0</v>
      </c>
      <c r="H16" s="57">
        <f t="shared" si="61"/>
        <v>0</v>
      </c>
      <c r="I16" s="57">
        <f t="shared" si="61"/>
        <v>0</v>
      </c>
      <c r="J16" s="57">
        <f t="shared" si="61"/>
        <v>0</v>
      </c>
      <c r="K16" s="57">
        <f t="shared" si="61"/>
        <v>0</v>
      </c>
      <c r="L16" s="57">
        <f t="shared" si="61"/>
        <v>0</v>
      </c>
      <c r="M16" s="57">
        <f t="shared" si="61"/>
        <v>0</v>
      </c>
      <c r="N16" s="57">
        <f t="shared" si="61"/>
        <v>0</v>
      </c>
      <c r="O16" s="379">
        <f t="shared" si="64"/>
        <v>0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>
        <f t="shared" si="65"/>
        <v>0</v>
      </c>
      <c r="AE16" s="380">
        <f t="shared" si="62"/>
        <v>0</v>
      </c>
      <c r="AF16" s="57">
        <f t="shared" si="62"/>
        <v>0</v>
      </c>
      <c r="AG16" s="57">
        <f t="shared" si="62"/>
        <v>0</v>
      </c>
      <c r="AH16" s="57">
        <f t="shared" si="62"/>
        <v>0</v>
      </c>
      <c r="AI16" s="57">
        <f t="shared" si="62"/>
        <v>0</v>
      </c>
      <c r="AJ16" s="57">
        <f t="shared" si="62"/>
        <v>0</v>
      </c>
      <c r="AK16" s="57">
        <f t="shared" si="62"/>
        <v>0</v>
      </c>
      <c r="AL16" s="57">
        <f t="shared" si="62"/>
        <v>0</v>
      </c>
      <c r="AM16" s="57">
        <f t="shared" si="62"/>
        <v>0</v>
      </c>
      <c r="AN16" s="57">
        <f t="shared" si="62"/>
        <v>0</v>
      </c>
      <c r="AO16" s="57">
        <f t="shared" si="62"/>
        <v>0</v>
      </c>
      <c r="AP16" s="57">
        <f t="shared" si="62"/>
        <v>0</v>
      </c>
      <c r="AQ16" s="381">
        <f t="shared" si="66"/>
        <v>0</v>
      </c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>
        <f t="shared" si="67"/>
        <v>0</v>
      </c>
      <c r="BG16" s="57">
        <f t="shared" si="63"/>
        <v>0</v>
      </c>
      <c r="BH16" s="57">
        <f t="shared" si="63"/>
        <v>0</v>
      </c>
      <c r="BI16" s="57">
        <f t="shared" si="63"/>
        <v>0</v>
      </c>
      <c r="BJ16" s="57">
        <f t="shared" si="63"/>
        <v>0</v>
      </c>
      <c r="BK16" s="57">
        <f t="shared" si="63"/>
        <v>0</v>
      </c>
      <c r="BL16" s="57">
        <f t="shared" si="63"/>
        <v>0</v>
      </c>
      <c r="BM16" s="57">
        <f t="shared" si="63"/>
        <v>0</v>
      </c>
      <c r="BN16" s="57">
        <f t="shared" si="63"/>
        <v>0</v>
      </c>
      <c r="BO16" s="57">
        <f t="shared" si="63"/>
        <v>0</v>
      </c>
      <c r="BP16" s="57">
        <f t="shared" si="63"/>
        <v>0</v>
      </c>
      <c r="BQ16" s="57">
        <f t="shared" si="63"/>
        <v>0</v>
      </c>
      <c r="BR16" s="57">
        <f t="shared" si="63"/>
        <v>0</v>
      </c>
      <c r="BS16" s="57">
        <f t="shared" si="68"/>
        <v>0</v>
      </c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>
        <f t="shared" si="69"/>
        <v>0</v>
      </c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>
        <f t="shared" si="70"/>
        <v>0</v>
      </c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>
        <f t="shared" si="71"/>
        <v>0</v>
      </c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>
        <f t="shared" si="72"/>
        <v>0</v>
      </c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>
        <f t="shared" si="73"/>
        <v>0</v>
      </c>
    </row>
    <row r="17" spans="1:141">
      <c r="A17" s="61">
        <v>4</v>
      </c>
      <c r="B17" s="62" t="s">
        <v>22</v>
      </c>
      <c r="C17" s="382">
        <f>SUM(C18:C20)</f>
        <v>129505341136.8568</v>
      </c>
      <c r="D17" s="63">
        <f t="shared" ref="D17:O17" si="74">SUM(D18:D20)</f>
        <v>127974441177.86678</v>
      </c>
      <c r="E17" s="63">
        <f t="shared" si="74"/>
        <v>141599491827.82724</v>
      </c>
      <c r="F17" s="63">
        <f t="shared" si="74"/>
        <v>131782266518.60179</v>
      </c>
      <c r="G17" s="63">
        <f t="shared" si="74"/>
        <v>140244307484.73706</v>
      </c>
      <c r="H17" s="63">
        <f t="shared" si="74"/>
        <v>141409300219.24365</v>
      </c>
      <c r="I17" s="63">
        <f t="shared" si="74"/>
        <v>145404057387.95996</v>
      </c>
      <c r="J17" s="63">
        <f t="shared" si="74"/>
        <v>141276361518.14462</v>
      </c>
      <c r="K17" s="63">
        <f t="shared" si="74"/>
        <v>148196499542.28259</v>
      </c>
      <c r="L17" s="63">
        <f t="shared" si="74"/>
        <v>137984481243.16364</v>
      </c>
      <c r="M17" s="63">
        <f t="shared" si="74"/>
        <v>145929060338.8269</v>
      </c>
      <c r="N17" s="63">
        <f t="shared" si="74"/>
        <v>147442013746.17145</v>
      </c>
      <c r="O17" s="383">
        <f t="shared" si="74"/>
        <v>1678747622141.6824</v>
      </c>
      <c r="Q17" s="63">
        <f>SUM(Q18:Q20)</f>
        <v>-28404956250</v>
      </c>
      <c r="R17" s="63">
        <f t="shared" ref="R17:AC17" si="75">SUM(R18:R20)</f>
        <v>-20210556250</v>
      </c>
      <c r="S17" s="63">
        <f t="shared" si="75"/>
        <v>-33329800000</v>
      </c>
      <c r="T17" s="63">
        <f t="shared" si="75"/>
        <v>-40468427500</v>
      </c>
      <c r="U17" s="63">
        <f t="shared" si="75"/>
        <v>-41125912500</v>
      </c>
      <c r="V17" s="63">
        <f t="shared" si="75"/>
        <v>-41125912500</v>
      </c>
      <c r="W17" s="63">
        <f t="shared" si="75"/>
        <v>-41783397500</v>
      </c>
      <c r="X17" s="63">
        <f t="shared" si="75"/>
        <v>-41806927500</v>
      </c>
      <c r="Y17" s="63">
        <f t="shared" si="75"/>
        <v>-41148537500</v>
      </c>
      <c r="Z17" s="63">
        <f t="shared" si="75"/>
        <v>-43154042500</v>
      </c>
      <c r="AA17" s="63">
        <f t="shared" si="75"/>
        <v>-42496151250</v>
      </c>
      <c r="AB17" s="63">
        <f t="shared" si="75"/>
        <v>-43143480000</v>
      </c>
      <c r="AC17" s="63">
        <f t="shared" si="75"/>
        <v>-458198101250</v>
      </c>
      <c r="AE17" s="384">
        <f>SUM(AE18:AE20)</f>
        <v>157910297386.85681</v>
      </c>
      <c r="AF17" s="63">
        <f t="shared" ref="AF17:AQ17" si="76">SUM(AF18:AF20)</f>
        <v>148184997427.86676</v>
      </c>
      <c r="AG17" s="63">
        <f t="shared" si="76"/>
        <v>174929291827.82724</v>
      </c>
      <c r="AH17" s="63">
        <f t="shared" si="76"/>
        <v>172250694018.60181</v>
      </c>
      <c r="AI17" s="63">
        <f t="shared" si="76"/>
        <v>181370219984.73706</v>
      </c>
      <c r="AJ17" s="63">
        <f t="shared" si="76"/>
        <v>182535212719.24365</v>
      </c>
      <c r="AK17" s="63">
        <f t="shared" si="76"/>
        <v>187187454887.95996</v>
      </c>
      <c r="AL17" s="63">
        <f t="shared" si="76"/>
        <v>183083289018.14462</v>
      </c>
      <c r="AM17" s="63">
        <f t="shared" si="76"/>
        <v>189345037042.28259</v>
      </c>
      <c r="AN17" s="63">
        <f t="shared" si="76"/>
        <v>181138523743.16364</v>
      </c>
      <c r="AO17" s="63">
        <f t="shared" si="76"/>
        <v>188425211588.8269</v>
      </c>
      <c r="AP17" s="63">
        <f t="shared" si="76"/>
        <v>190585493746.17145</v>
      </c>
      <c r="AQ17" s="385">
        <f t="shared" si="76"/>
        <v>2136945723391.6824</v>
      </c>
      <c r="AS17" s="63">
        <f>SUM(AS18:AS20)</f>
        <v>129505341136.8568</v>
      </c>
      <c r="AT17" s="63">
        <f t="shared" ref="AT17:BE17" si="77">SUM(AT18:AT20)</f>
        <v>127974441177.86678</v>
      </c>
      <c r="AU17" s="63">
        <f t="shared" si="77"/>
        <v>141599491827.82724</v>
      </c>
      <c r="AV17" s="63">
        <f t="shared" si="77"/>
        <v>131782266518.60179</v>
      </c>
      <c r="AW17" s="63">
        <f t="shared" si="77"/>
        <v>140244307484.73706</v>
      </c>
      <c r="AX17" s="63">
        <f t="shared" si="77"/>
        <v>141409300219.24365</v>
      </c>
      <c r="AY17" s="63">
        <f t="shared" si="77"/>
        <v>145404057387.95996</v>
      </c>
      <c r="AZ17" s="63">
        <f t="shared" si="77"/>
        <v>141276361518.14462</v>
      </c>
      <c r="BA17" s="63">
        <f t="shared" si="77"/>
        <v>148196499542.28259</v>
      </c>
      <c r="BB17" s="63">
        <f t="shared" si="77"/>
        <v>137984481243.16364</v>
      </c>
      <c r="BC17" s="63">
        <f t="shared" si="77"/>
        <v>145929060338.8269</v>
      </c>
      <c r="BD17" s="63">
        <f t="shared" si="77"/>
        <v>147442013746.17145</v>
      </c>
      <c r="BE17" s="63">
        <f t="shared" si="77"/>
        <v>1678747622141.6824</v>
      </c>
      <c r="BG17" s="63">
        <f>SUM(BG18:BG20)</f>
        <v>28404956250</v>
      </c>
      <c r="BH17" s="63">
        <f t="shared" ref="BH17:BS17" si="78">SUM(BH18:BH20)</f>
        <v>20210556250</v>
      </c>
      <c r="BI17" s="63">
        <f t="shared" si="78"/>
        <v>33329800000</v>
      </c>
      <c r="BJ17" s="63">
        <f t="shared" si="78"/>
        <v>40468427500</v>
      </c>
      <c r="BK17" s="63">
        <f t="shared" si="78"/>
        <v>41125912500</v>
      </c>
      <c r="BL17" s="63">
        <f t="shared" si="78"/>
        <v>41125912500</v>
      </c>
      <c r="BM17" s="63">
        <f t="shared" si="78"/>
        <v>41783397500</v>
      </c>
      <c r="BN17" s="63">
        <f t="shared" si="78"/>
        <v>41806927500</v>
      </c>
      <c r="BO17" s="63">
        <f t="shared" si="78"/>
        <v>41148537500</v>
      </c>
      <c r="BP17" s="63">
        <f t="shared" si="78"/>
        <v>43154042500</v>
      </c>
      <c r="BQ17" s="63">
        <f t="shared" si="78"/>
        <v>42496151250</v>
      </c>
      <c r="BR17" s="63">
        <f t="shared" si="78"/>
        <v>43143480000</v>
      </c>
      <c r="BS17" s="63">
        <f t="shared" si="78"/>
        <v>458198101250</v>
      </c>
      <c r="BU17" s="63">
        <f>SUM(BU18:BU20)</f>
        <v>9420187500</v>
      </c>
      <c r="BV17" s="63">
        <f t="shared" ref="BV17:CG17" si="79">SUM(BV18:BV20)</f>
        <v>5652112500</v>
      </c>
      <c r="BW17" s="63">
        <f t="shared" si="79"/>
        <v>12443100000</v>
      </c>
      <c r="BX17" s="63">
        <f t="shared" si="79"/>
        <v>15779640000</v>
      </c>
      <c r="BY17" s="63">
        <f t="shared" si="79"/>
        <v>16437125000</v>
      </c>
      <c r="BZ17" s="63">
        <f t="shared" si="79"/>
        <v>16437125000</v>
      </c>
      <c r="CA17" s="63">
        <f t="shared" si="79"/>
        <v>17094610000</v>
      </c>
      <c r="CB17" s="63">
        <f t="shared" si="79"/>
        <v>17118140000</v>
      </c>
      <c r="CC17" s="63">
        <f t="shared" si="79"/>
        <v>16459750000</v>
      </c>
      <c r="CD17" s="63">
        <f t="shared" si="79"/>
        <v>17105172500</v>
      </c>
      <c r="CE17" s="63">
        <f t="shared" si="79"/>
        <v>16447281250</v>
      </c>
      <c r="CF17" s="63">
        <f t="shared" si="79"/>
        <v>17094610000</v>
      </c>
      <c r="CG17" s="63">
        <f t="shared" si="79"/>
        <v>177488853750</v>
      </c>
      <c r="CI17" s="63">
        <f>SUM(CI18:CI20)</f>
        <v>7469550000</v>
      </c>
      <c r="CJ17" s="63">
        <f t="shared" ref="CJ17:CU17" si="80">SUM(CJ18:CJ20)</f>
        <v>5602162500</v>
      </c>
      <c r="CK17" s="63">
        <f t="shared" si="80"/>
        <v>8092012500</v>
      </c>
      <c r="CL17" s="63">
        <f t="shared" si="80"/>
        <v>8714475000</v>
      </c>
      <c r="CM17" s="63">
        <f t="shared" si="80"/>
        <v>8714475000</v>
      </c>
      <c r="CN17" s="63">
        <f t="shared" si="80"/>
        <v>8714475000</v>
      </c>
      <c r="CO17" s="63">
        <f t="shared" si="80"/>
        <v>8714475000</v>
      </c>
      <c r="CP17" s="63">
        <f t="shared" si="80"/>
        <v>8714475000</v>
      </c>
      <c r="CQ17" s="63">
        <f t="shared" si="80"/>
        <v>8714475000</v>
      </c>
      <c r="CR17" s="63">
        <f t="shared" si="80"/>
        <v>8714475000</v>
      </c>
      <c r="CS17" s="63">
        <f t="shared" si="80"/>
        <v>8714475000</v>
      </c>
      <c r="CT17" s="63">
        <f t="shared" si="80"/>
        <v>8714475000</v>
      </c>
      <c r="CU17" s="63">
        <f t="shared" si="80"/>
        <v>99594000000</v>
      </c>
      <c r="CW17" s="63">
        <f>SUM(CW18:CW20)</f>
        <v>11515218750</v>
      </c>
      <c r="CX17" s="63">
        <f t="shared" ref="CX17:DI17" si="81">SUM(CX18:CX20)</f>
        <v>8956281250</v>
      </c>
      <c r="CY17" s="63">
        <f t="shared" si="81"/>
        <v>12794687500</v>
      </c>
      <c r="CZ17" s="63">
        <f t="shared" si="81"/>
        <v>15974312500</v>
      </c>
      <c r="DA17" s="63">
        <f t="shared" si="81"/>
        <v>15974312500</v>
      </c>
      <c r="DB17" s="63">
        <f t="shared" si="81"/>
        <v>15974312500</v>
      </c>
      <c r="DC17" s="63">
        <f t="shared" si="81"/>
        <v>15974312500</v>
      </c>
      <c r="DD17" s="63">
        <f t="shared" si="81"/>
        <v>15974312500</v>
      </c>
      <c r="DE17" s="63">
        <f t="shared" si="81"/>
        <v>15974312500</v>
      </c>
      <c r="DF17" s="63">
        <f t="shared" si="81"/>
        <v>17334395000</v>
      </c>
      <c r="DG17" s="63">
        <f t="shared" si="81"/>
        <v>17334395000</v>
      </c>
      <c r="DH17" s="63">
        <f t="shared" si="81"/>
        <v>17334395000</v>
      </c>
      <c r="DI17" s="63">
        <f t="shared" si="81"/>
        <v>181115247500</v>
      </c>
      <c r="DK17" s="63">
        <f>SUM(DK18:DK20)</f>
        <v>0</v>
      </c>
      <c r="DL17" s="63">
        <f t="shared" ref="DL17:DW17" si="82">SUM(DL18:DL20)</f>
        <v>0</v>
      </c>
      <c r="DM17" s="63">
        <f t="shared" si="82"/>
        <v>0</v>
      </c>
      <c r="DN17" s="63">
        <f t="shared" si="82"/>
        <v>0</v>
      </c>
      <c r="DO17" s="63">
        <f t="shared" si="82"/>
        <v>0</v>
      </c>
      <c r="DP17" s="63">
        <f t="shared" si="82"/>
        <v>0</v>
      </c>
      <c r="DQ17" s="63">
        <f t="shared" si="82"/>
        <v>0</v>
      </c>
      <c r="DR17" s="63">
        <f t="shared" si="82"/>
        <v>0</v>
      </c>
      <c r="DS17" s="63">
        <f t="shared" si="82"/>
        <v>0</v>
      </c>
      <c r="DT17" s="63">
        <f t="shared" si="82"/>
        <v>0</v>
      </c>
      <c r="DU17" s="63">
        <f t="shared" si="82"/>
        <v>0</v>
      </c>
      <c r="DV17" s="63">
        <f t="shared" si="82"/>
        <v>0</v>
      </c>
      <c r="DW17" s="63">
        <f t="shared" si="82"/>
        <v>0</v>
      </c>
      <c r="DY17" s="63">
        <f>SUM(DY18:DY20)</f>
        <v>0</v>
      </c>
      <c r="DZ17" s="63">
        <f t="shared" ref="DZ17:EK17" si="83">SUM(DZ18:DZ20)</f>
        <v>0</v>
      </c>
      <c r="EA17" s="63">
        <f t="shared" si="83"/>
        <v>0</v>
      </c>
      <c r="EB17" s="63">
        <f t="shared" si="83"/>
        <v>0</v>
      </c>
      <c r="EC17" s="63">
        <f t="shared" si="83"/>
        <v>0</v>
      </c>
      <c r="ED17" s="63">
        <f t="shared" si="83"/>
        <v>0</v>
      </c>
      <c r="EE17" s="63">
        <f t="shared" si="83"/>
        <v>0</v>
      </c>
      <c r="EF17" s="63">
        <f t="shared" si="83"/>
        <v>0</v>
      </c>
      <c r="EG17" s="63">
        <f t="shared" si="83"/>
        <v>0</v>
      </c>
      <c r="EH17" s="63">
        <f t="shared" si="83"/>
        <v>0</v>
      </c>
      <c r="EI17" s="63">
        <f t="shared" si="83"/>
        <v>0</v>
      </c>
      <c r="EJ17" s="63">
        <f t="shared" si="83"/>
        <v>0</v>
      </c>
      <c r="EK17" s="63">
        <f t="shared" si="83"/>
        <v>0</v>
      </c>
    </row>
    <row r="18" spans="1:141" s="29" customFormat="1" outlineLevel="1">
      <c r="A18" s="58" t="s">
        <v>58</v>
      </c>
      <c r="B18" s="59" t="s">
        <v>1</v>
      </c>
      <c r="C18" s="386">
        <f>C10-C14</f>
        <v>129505341136.8568</v>
      </c>
      <c r="D18" s="60">
        <f t="shared" ref="D18:O18" si="84">D10-D14</f>
        <v>127974441177.86678</v>
      </c>
      <c r="E18" s="60">
        <f t="shared" si="84"/>
        <v>141599491827.82724</v>
      </c>
      <c r="F18" s="60">
        <f t="shared" si="84"/>
        <v>131782266518.60179</v>
      </c>
      <c r="G18" s="60">
        <f t="shared" si="84"/>
        <v>140244307484.73706</v>
      </c>
      <c r="H18" s="60">
        <f t="shared" si="84"/>
        <v>141409300219.24365</v>
      </c>
      <c r="I18" s="60">
        <f t="shared" si="84"/>
        <v>145404057387.95996</v>
      </c>
      <c r="J18" s="60">
        <f t="shared" si="84"/>
        <v>141276361518.14462</v>
      </c>
      <c r="K18" s="60">
        <f t="shared" si="84"/>
        <v>148196499542.28259</v>
      </c>
      <c r="L18" s="60">
        <f t="shared" si="84"/>
        <v>137984481243.16364</v>
      </c>
      <c r="M18" s="60">
        <f t="shared" si="84"/>
        <v>145929060338.8269</v>
      </c>
      <c r="N18" s="60">
        <f t="shared" si="84"/>
        <v>147442013746.17145</v>
      </c>
      <c r="O18" s="387">
        <f t="shared" si="84"/>
        <v>1678747622141.6824</v>
      </c>
      <c r="Q18" s="60">
        <f>Q10-Q14</f>
        <v>0</v>
      </c>
      <c r="R18" s="60">
        <f t="shared" ref="R18:AC18" si="85">R10-R14</f>
        <v>0</v>
      </c>
      <c r="S18" s="60">
        <f t="shared" si="85"/>
        <v>0</v>
      </c>
      <c r="T18" s="60">
        <f t="shared" si="85"/>
        <v>0</v>
      </c>
      <c r="U18" s="60">
        <f t="shared" si="85"/>
        <v>0</v>
      </c>
      <c r="V18" s="60">
        <f t="shared" si="85"/>
        <v>0</v>
      </c>
      <c r="W18" s="60">
        <f t="shared" si="85"/>
        <v>0</v>
      </c>
      <c r="X18" s="60">
        <f t="shared" si="85"/>
        <v>0</v>
      </c>
      <c r="Y18" s="60">
        <f t="shared" si="85"/>
        <v>0</v>
      </c>
      <c r="Z18" s="60">
        <f t="shared" si="85"/>
        <v>0</v>
      </c>
      <c r="AA18" s="60">
        <f t="shared" si="85"/>
        <v>0</v>
      </c>
      <c r="AB18" s="60">
        <f t="shared" si="85"/>
        <v>0</v>
      </c>
      <c r="AC18" s="60">
        <f t="shared" si="85"/>
        <v>0</v>
      </c>
      <c r="AE18" s="388">
        <f>AE10-AE14</f>
        <v>129505341136.8568</v>
      </c>
      <c r="AF18" s="60">
        <f t="shared" ref="AF18:AQ18" si="86">AF10-AF14</f>
        <v>127974441177.86678</v>
      </c>
      <c r="AG18" s="60">
        <f t="shared" si="86"/>
        <v>141599491827.82724</v>
      </c>
      <c r="AH18" s="60">
        <f t="shared" si="86"/>
        <v>131782266518.60179</v>
      </c>
      <c r="AI18" s="60">
        <f t="shared" si="86"/>
        <v>140244307484.73706</v>
      </c>
      <c r="AJ18" s="60">
        <f t="shared" si="86"/>
        <v>141409300219.24365</v>
      </c>
      <c r="AK18" s="60">
        <f t="shared" si="86"/>
        <v>145404057387.95996</v>
      </c>
      <c r="AL18" s="60">
        <f t="shared" si="86"/>
        <v>141276361518.14462</v>
      </c>
      <c r="AM18" s="60">
        <f t="shared" si="86"/>
        <v>148196499542.28259</v>
      </c>
      <c r="AN18" s="60">
        <f t="shared" si="86"/>
        <v>137984481243.16364</v>
      </c>
      <c r="AO18" s="60">
        <f t="shared" si="86"/>
        <v>145929060338.8269</v>
      </c>
      <c r="AP18" s="60">
        <f t="shared" si="86"/>
        <v>147442013746.17145</v>
      </c>
      <c r="AQ18" s="389">
        <f t="shared" si="86"/>
        <v>1678747622141.6824</v>
      </c>
      <c r="AS18" s="60">
        <f>AS10-AS14</f>
        <v>129505341136.8568</v>
      </c>
      <c r="AT18" s="60">
        <f t="shared" ref="AT18:BE18" si="87">AT10-AT14</f>
        <v>127974441177.86678</v>
      </c>
      <c r="AU18" s="60">
        <f t="shared" si="87"/>
        <v>141599491827.82724</v>
      </c>
      <c r="AV18" s="60">
        <f t="shared" si="87"/>
        <v>131782266518.60179</v>
      </c>
      <c r="AW18" s="60">
        <f t="shared" si="87"/>
        <v>140244307484.73706</v>
      </c>
      <c r="AX18" s="60">
        <f t="shared" si="87"/>
        <v>141409300219.24365</v>
      </c>
      <c r="AY18" s="60">
        <f t="shared" si="87"/>
        <v>145404057387.95996</v>
      </c>
      <c r="AZ18" s="60">
        <f t="shared" si="87"/>
        <v>141276361518.14462</v>
      </c>
      <c r="BA18" s="60">
        <f t="shared" si="87"/>
        <v>148196499542.28259</v>
      </c>
      <c r="BB18" s="60">
        <f t="shared" si="87"/>
        <v>137984481243.16364</v>
      </c>
      <c r="BC18" s="60">
        <f t="shared" si="87"/>
        <v>145929060338.8269</v>
      </c>
      <c r="BD18" s="60">
        <f t="shared" si="87"/>
        <v>147442013746.17145</v>
      </c>
      <c r="BE18" s="60">
        <f t="shared" si="87"/>
        <v>1678747622141.6824</v>
      </c>
      <c r="BG18" s="60">
        <f>BG10-BG14</f>
        <v>0</v>
      </c>
      <c r="BH18" s="60">
        <f t="shared" ref="BH18:BS18" si="88">BH10-BH14</f>
        <v>0</v>
      </c>
      <c r="BI18" s="60">
        <f t="shared" si="88"/>
        <v>0</v>
      </c>
      <c r="BJ18" s="60">
        <f t="shared" si="88"/>
        <v>0</v>
      </c>
      <c r="BK18" s="60">
        <f t="shared" si="88"/>
        <v>0</v>
      </c>
      <c r="BL18" s="60">
        <f t="shared" si="88"/>
        <v>0</v>
      </c>
      <c r="BM18" s="60">
        <f t="shared" si="88"/>
        <v>0</v>
      </c>
      <c r="BN18" s="60">
        <f t="shared" si="88"/>
        <v>0</v>
      </c>
      <c r="BO18" s="60">
        <f t="shared" si="88"/>
        <v>0</v>
      </c>
      <c r="BP18" s="60">
        <f t="shared" si="88"/>
        <v>0</v>
      </c>
      <c r="BQ18" s="60">
        <f t="shared" si="88"/>
        <v>0</v>
      </c>
      <c r="BR18" s="60">
        <f t="shared" si="88"/>
        <v>0</v>
      </c>
      <c r="BS18" s="60">
        <f t="shared" si="88"/>
        <v>0</v>
      </c>
      <c r="BU18" s="60">
        <f>BU10-BU14</f>
        <v>0</v>
      </c>
      <c r="BV18" s="60">
        <f t="shared" ref="BV18:CG18" si="89">BV10-BV14</f>
        <v>0</v>
      </c>
      <c r="BW18" s="60">
        <f t="shared" si="89"/>
        <v>0</v>
      </c>
      <c r="BX18" s="60">
        <f t="shared" si="89"/>
        <v>0</v>
      </c>
      <c r="BY18" s="60">
        <f t="shared" si="89"/>
        <v>0</v>
      </c>
      <c r="BZ18" s="60">
        <f t="shared" si="89"/>
        <v>0</v>
      </c>
      <c r="CA18" s="60">
        <f t="shared" si="89"/>
        <v>0</v>
      </c>
      <c r="CB18" s="60">
        <f t="shared" si="89"/>
        <v>0</v>
      </c>
      <c r="CC18" s="60">
        <f t="shared" si="89"/>
        <v>0</v>
      </c>
      <c r="CD18" s="60">
        <f t="shared" si="89"/>
        <v>0</v>
      </c>
      <c r="CE18" s="60">
        <f t="shared" si="89"/>
        <v>0</v>
      </c>
      <c r="CF18" s="60">
        <f t="shared" si="89"/>
        <v>0</v>
      </c>
      <c r="CG18" s="60">
        <f t="shared" si="89"/>
        <v>0</v>
      </c>
      <c r="CI18" s="60">
        <f>CI10-CI14</f>
        <v>0</v>
      </c>
      <c r="CJ18" s="60">
        <f t="shared" ref="CJ18:CU18" si="90">CJ10-CJ14</f>
        <v>0</v>
      </c>
      <c r="CK18" s="60">
        <f t="shared" si="90"/>
        <v>0</v>
      </c>
      <c r="CL18" s="60">
        <f t="shared" si="90"/>
        <v>0</v>
      </c>
      <c r="CM18" s="60">
        <f t="shared" si="90"/>
        <v>0</v>
      </c>
      <c r="CN18" s="60">
        <f t="shared" si="90"/>
        <v>0</v>
      </c>
      <c r="CO18" s="60">
        <f t="shared" si="90"/>
        <v>0</v>
      </c>
      <c r="CP18" s="60">
        <f t="shared" si="90"/>
        <v>0</v>
      </c>
      <c r="CQ18" s="60">
        <f t="shared" si="90"/>
        <v>0</v>
      </c>
      <c r="CR18" s="60">
        <f t="shared" si="90"/>
        <v>0</v>
      </c>
      <c r="CS18" s="60">
        <f t="shared" si="90"/>
        <v>0</v>
      </c>
      <c r="CT18" s="60">
        <f t="shared" si="90"/>
        <v>0</v>
      </c>
      <c r="CU18" s="60">
        <f t="shared" si="90"/>
        <v>0</v>
      </c>
      <c r="CW18" s="60">
        <f>CW10-CW14</f>
        <v>0</v>
      </c>
      <c r="CX18" s="60">
        <f t="shared" ref="CX18:DI18" si="91">CX10-CX14</f>
        <v>0</v>
      </c>
      <c r="CY18" s="60">
        <f t="shared" si="91"/>
        <v>0</v>
      </c>
      <c r="CZ18" s="60">
        <f t="shared" si="91"/>
        <v>0</v>
      </c>
      <c r="DA18" s="60">
        <f t="shared" si="91"/>
        <v>0</v>
      </c>
      <c r="DB18" s="60">
        <f t="shared" si="91"/>
        <v>0</v>
      </c>
      <c r="DC18" s="60">
        <f t="shared" si="91"/>
        <v>0</v>
      </c>
      <c r="DD18" s="60">
        <f t="shared" si="91"/>
        <v>0</v>
      </c>
      <c r="DE18" s="60">
        <f t="shared" si="91"/>
        <v>0</v>
      </c>
      <c r="DF18" s="60">
        <f t="shared" si="91"/>
        <v>0</v>
      </c>
      <c r="DG18" s="60">
        <f t="shared" si="91"/>
        <v>0</v>
      </c>
      <c r="DH18" s="60">
        <f t="shared" si="91"/>
        <v>0</v>
      </c>
      <c r="DI18" s="60">
        <f t="shared" si="91"/>
        <v>0</v>
      </c>
      <c r="DK18" s="60">
        <f>DK10-DK14</f>
        <v>0</v>
      </c>
      <c r="DL18" s="60">
        <f t="shared" ref="DL18:DW18" si="92">DL10-DL14</f>
        <v>0</v>
      </c>
      <c r="DM18" s="60">
        <f t="shared" si="92"/>
        <v>0</v>
      </c>
      <c r="DN18" s="60">
        <f t="shared" si="92"/>
        <v>0</v>
      </c>
      <c r="DO18" s="60">
        <f t="shared" si="92"/>
        <v>0</v>
      </c>
      <c r="DP18" s="60">
        <f t="shared" si="92"/>
        <v>0</v>
      </c>
      <c r="DQ18" s="60">
        <f t="shared" si="92"/>
        <v>0</v>
      </c>
      <c r="DR18" s="60">
        <f t="shared" si="92"/>
        <v>0</v>
      </c>
      <c r="DS18" s="60">
        <f t="shared" si="92"/>
        <v>0</v>
      </c>
      <c r="DT18" s="60">
        <f t="shared" si="92"/>
        <v>0</v>
      </c>
      <c r="DU18" s="60">
        <f t="shared" si="92"/>
        <v>0</v>
      </c>
      <c r="DV18" s="60">
        <f t="shared" si="92"/>
        <v>0</v>
      </c>
      <c r="DW18" s="60">
        <f t="shared" si="92"/>
        <v>0</v>
      </c>
      <c r="DY18" s="60">
        <f>DY10-DY14</f>
        <v>0</v>
      </c>
      <c r="DZ18" s="60">
        <f t="shared" ref="DZ18:EK18" si="93">DZ10-DZ14</f>
        <v>0</v>
      </c>
      <c r="EA18" s="60">
        <f t="shared" si="93"/>
        <v>0</v>
      </c>
      <c r="EB18" s="60">
        <f t="shared" si="93"/>
        <v>0</v>
      </c>
      <c r="EC18" s="60">
        <f t="shared" si="93"/>
        <v>0</v>
      </c>
      <c r="ED18" s="60">
        <f t="shared" si="93"/>
        <v>0</v>
      </c>
      <c r="EE18" s="60">
        <f t="shared" si="93"/>
        <v>0</v>
      </c>
      <c r="EF18" s="60">
        <f t="shared" si="93"/>
        <v>0</v>
      </c>
      <c r="EG18" s="60">
        <f t="shared" si="93"/>
        <v>0</v>
      </c>
      <c r="EH18" s="60">
        <f t="shared" si="93"/>
        <v>0</v>
      </c>
      <c r="EI18" s="60">
        <f t="shared" si="93"/>
        <v>0</v>
      </c>
      <c r="EJ18" s="60">
        <f t="shared" si="93"/>
        <v>0</v>
      </c>
      <c r="EK18" s="60">
        <f t="shared" si="93"/>
        <v>0</v>
      </c>
    </row>
    <row r="19" spans="1:141" s="29" customFormat="1" outlineLevel="1">
      <c r="A19" s="40" t="s">
        <v>59</v>
      </c>
      <c r="B19" s="41" t="s">
        <v>2</v>
      </c>
      <c r="C19" s="390">
        <f t="shared" ref="C19:O20" si="94">C11-C15</f>
        <v>0</v>
      </c>
      <c r="D19" s="42">
        <f t="shared" si="94"/>
        <v>0</v>
      </c>
      <c r="E19" s="42">
        <f t="shared" si="94"/>
        <v>0</v>
      </c>
      <c r="F19" s="42">
        <f t="shared" si="94"/>
        <v>0</v>
      </c>
      <c r="G19" s="42">
        <f t="shared" si="94"/>
        <v>0</v>
      </c>
      <c r="H19" s="42">
        <f t="shared" si="94"/>
        <v>0</v>
      </c>
      <c r="I19" s="42">
        <f t="shared" si="94"/>
        <v>0</v>
      </c>
      <c r="J19" s="42">
        <f t="shared" si="94"/>
        <v>0</v>
      </c>
      <c r="K19" s="42">
        <f t="shared" si="94"/>
        <v>0</v>
      </c>
      <c r="L19" s="42">
        <f t="shared" si="94"/>
        <v>0</v>
      </c>
      <c r="M19" s="42">
        <f t="shared" si="94"/>
        <v>0</v>
      </c>
      <c r="N19" s="42">
        <f t="shared" si="94"/>
        <v>0</v>
      </c>
      <c r="O19" s="391">
        <f t="shared" si="94"/>
        <v>0</v>
      </c>
      <c r="Q19" s="42">
        <f t="shared" ref="Q19:AC20" si="95">Q11-Q15</f>
        <v>-28404956250</v>
      </c>
      <c r="R19" s="42">
        <f t="shared" si="95"/>
        <v>-20210556250</v>
      </c>
      <c r="S19" s="42">
        <f t="shared" si="95"/>
        <v>-33329800000</v>
      </c>
      <c r="T19" s="42">
        <f t="shared" si="95"/>
        <v>-40468427500</v>
      </c>
      <c r="U19" s="42">
        <f t="shared" si="95"/>
        <v>-41125912500</v>
      </c>
      <c r="V19" s="42">
        <f t="shared" si="95"/>
        <v>-41125912500</v>
      </c>
      <c r="W19" s="42">
        <f t="shared" si="95"/>
        <v>-41783397500</v>
      </c>
      <c r="X19" s="42">
        <f t="shared" si="95"/>
        <v>-41806927500</v>
      </c>
      <c r="Y19" s="42">
        <f t="shared" si="95"/>
        <v>-41148537500</v>
      </c>
      <c r="Z19" s="42">
        <f t="shared" si="95"/>
        <v>-43154042500</v>
      </c>
      <c r="AA19" s="42">
        <f t="shared" si="95"/>
        <v>-42496151250</v>
      </c>
      <c r="AB19" s="42">
        <f t="shared" si="95"/>
        <v>-43143480000</v>
      </c>
      <c r="AC19" s="42">
        <f t="shared" si="95"/>
        <v>-458198101250</v>
      </c>
      <c r="AE19" s="392">
        <f t="shared" ref="AE19:AQ20" si="96">AE11-AE15</f>
        <v>28404956250</v>
      </c>
      <c r="AF19" s="42">
        <f t="shared" si="96"/>
        <v>20210556250</v>
      </c>
      <c r="AG19" s="42">
        <f t="shared" si="96"/>
        <v>33329800000</v>
      </c>
      <c r="AH19" s="42">
        <f t="shared" si="96"/>
        <v>40468427500</v>
      </c>
      <c r="AI19" s="42">
        <f t="shared" si="96"/>
        <v>41125912500</v>
      </c>
      <c r="AJ19" s="42">
        <f t="shared" si="96"/>
        <v>41125912500</v>
      </c>
      <c r="AK19" s="42">
        <f t="shared" si="96"/>
        <v>41783397500</v>
      </c>
      <c r="AL19" s="42">
        <f t="shared" si="96"/>
        <v>41806927500</v>
      </c>
      <c r="AM19" s="42">
        <f t="shared" si="96"/>
        <v>41148537500</v>
      </c>
      <c r="AN19" s="42">
        <f t="shared" si="96"/>
        <v>43154042500</v>
      </c>
      <c r="AO19" s="42">
        <f t="shared" si="96"/>
        <v>42496151250</v>
      </c>
      <c r="AP19" s="42">
        <f t="shared" si="96"/>
        <v>43143480000</v>
      </c>
      <c r="AQ19" s="393">
        <f t="shared" si="96"/>
        <v>458198101250</v>
      </c>
      <c r="AS19" s="42">
        <f t="shared" ref="AS19:BE20" si="97">AS11-AS15</f>
        <v>0</v>
      </c>
      <c r="AT19" s="42">
        <f t="shared" si="97"/>
        <v>0</v>
      </c>
      <c r="AU19" s="42">
        <f t="shared" si="97"/>
        <v>0</v>
      </c>
      <c r="AV19" s="42">
        <f t="shared" si="97"/>
        <v>0</v>
      </c>
      <c r="AW19" s="42">
        <f t="shared" si="97"/>
        <v>0</v>
      </c>
      <c r="AX19" s="42">
        <f t="shared" si="97"/>
        <v>0</v>
      </c>
      <c r="AY19" s="42">
        <f t="shared" si="97"/>
        <v>0</v>
      </c>
      <c r="AZ19" s="42">
        <f t="shared" si="97"/>
        <v>0</v>
      </c>
      <c r="BA19" s="42">
        <f t="shared" si="97"/>
        <v>0</v>
      </c>
      <c r="BB19" s="42">
        <f t="shared" si="97"/>
        <v>0</v>
      </c>
      <c r="BC19" s="42">
        <f t="shared" si="97"/>
        <v>0</v>
      </c>
      <c r="BD19" s="42">
        <f t="shared" si="97"/>
        <v>0</v>
      </c>
      <c r="BE19" s="42">
        <f t="shared" si="97"/>
        <v>0</v>
      </c>
      <c r="BG19" s="42">
        <f t="shared" ref="BG19:BS20" si="98">BG11-BG15</f>
        <v>28404956250</v>
      </c>
      <c r="BH19" s="42">
        <f t="shared" si="98"/>
        <v>20210556250</v>
      </c>
      <c r="BI19" s="42">
        <f t="shared" si="98"/>
        <v>33329800000</v>
      </c>
      <c r="BJ19" s="42">
        <f t="shared" si="98"/>
        <v>40468427500</v>
      </c>
      <c r="BK19" s="42">
        <f t="shared" si="98"/>
        <v>41125912500</v>
      </c>
      <c r="BL19" s="42">
        <f t="shared" si="98"/>
        <v>41125912500</v>
      </c>
      <c r="BM19" s="42">
        <f t="shared" si="98"/>
        <v>41783397500</v>
      </c>
      <c r="BN19" s="42">
        <f t="shared" si="98"/>
        <v>41806927500</v>
      </c>
      <c r="BO19" s="42">
        <f t="shared" si="98"/>
        <v>41148537500</v>
      </c>
      <c r="BP19" s="42">
        <f t="shared" si="98"/>
        <v>43154042500</v>
      </c>
      <c r="BQ19" s="42">
        <f t="shared" si="98"/>
        <v>42496151250</v>
      </c>
      <c r="BR19" s="42">
        <f t="shared" si="98"/>
        <v>43143480000</v>
      </c>
      <c r="BS19" s="42">
        <f t="shared" si="98"/>
        <v>458198101250</v>
      </c>
      <c r="BU19" s="42">
        <f t="shared" ref="BU19:CG20" si="99">BU11-BU15</f>
        <v>9420187500</v>
      </c>
      <c r="BV19" s="42">
        <f t="shared" si="99"/>
        <v>5652112500</v>
      </c>
      <c r="BW19" s="42">
        <f t="shared" si="99"/>
        <v>12443100000</v>
      </c>
      <c r="BX19" s="42">
        <f t="shared" si="99"/>
        <v>15779640000</v>
      </c>
      <c r="BY19" s="42">
        <f t="shared" si="99"/>
        <v>16437125000</v>
      </c>
      <c r="BZ19" s="42">
        <f t="shared" si="99"/>
        <v>16437125000</v>
      </c>
      <c r="CA19" s="42">
        <f t="shared" si="99"/>
        <v>17094610000</v>
      </c>
      <c r="CB19" s="42">
        <f t="shared" si="99"/>
        <v>17118140000</v>
      </c>
      <c r="CC19" s="42">
        <f t="shared" si="99"/>
        <v>16459750000</v>
      </c>
      <c r="CD19" s="42">
        <f t="shared" si="99"/>
        <v>17105172500</v>
      </c>
      <c r="CE19" s="42">
        <f t="shared" si="99"/>
        <v>16447281250</v>
      </c>
      <c r="CF19" s="42">
        <f t="shared" si="99"/>
        <v>17094610000</v>
      </c>
      <c r="CG19" s="42">
        <f t="shared" si="99"/>
        <v>177488853750</v>
      </c>
      <c r="CI19" s="42">
        <f t="shared" ref="CI19:CU20" si="100">CI11-CI15</f>
        <v>7469550000</v>
      </c>
      <c r="CJ19" s="42">
        <f t="shared" si="100"/>
        <v>5602162500</v>
      </c>
      <c r="CK19" s="42">
        <f t="shared" si="100"/>
        <v>8092012500</v>
      </c>
      <c r="CL19" s="42">
        <f t="shared" si="100"/>
        <v>8714475000</v>
      </c>
      <c r="CM19" s="42">
        <f t="shared" si="100"/>
        <v>8714475000</v>
      </c>
      <c r="CN19" s="42">
        <f t="shared" si="100"/>
        <v>8714475000</v>
      </c>
      <c r="CO19" s="42">
        <f t="shared" si="100"/>
        <v>8714475000</v>
      </c>
      <c r="CP19" s="42">
        <f t="shared" si="100"/>
        <v>8714475000</v>
      </c>
      <c r="CQ19" s="42">
        <f t="shared" si="100"/>
        <v>8714475000</v>
      </c>
      <c r="CR19" s="42">
        <f t="shared" si="100"/>
        <v>8714475000</v>
      </c>
      <c r="CS19" s="42">
        <f t="shared" si="100"/>
        <v>8714475000</v>
      </c>
      <c r="CT19" s="42">
        <f t="shared" si="100"/>
        <v>8714475000</v>
      </c>
      <c r="CU19" s="42">
        <f t="shared" si="100"/>
        <v>99594000000</v>
      </c>
      <c r="CW19" s="42">
        <f t="shared" ref="CW19:DI20" si="101">CW11-CW15</f>
        <v>11515218750</v>
      </c>
      <c r="CX19" s="42">
        <f t="shared" si="101"/>
        <v>8956281250</v>
      </c>
      <c r="CY19" s="42">
        <f t="shared" si="101"/>
        <v>12794687500</v>
      </c>
      <c r="CZ19" s="42">
        <f t="shared" si="101"/>
        <v>15974312500</v>
      </c>
      <c r="DA19" s="42">
        <f t="shared" si="101"/>
        <v>15974312500</v>
      </c>
      <c r="DB19" s="42">
        <f t="shared" si="101"/>
        <v>15974312500</v>
      </c>
      <c r="DC19" s="42">
        <f t="shared" si="101"/>
        <v>15974312500</v>
      </c>
      <c r="DD19" s="42">
        <f t="shared" si="101"/>
        <v>15974312500</v>
      </c>
      <c r="DE19" s="42">
        <f t="shared" si="101"/>
        <v>15974312500</v>
      </c>
      <c r="DF19" s="42">
        <f t="shared" si="101"/>
        <v>17334395000</v>
      </c>
      <c r="DG19" s="42">
        <f t="shared" si="101"/>
        <v>17334395000</v>
      </c>
      <c r="DH19" s="42">
        <f t="shared" si="101"/>
        <v>17334395000</v>
      </c>
      <c r="DI19" s="42">
        <f t="shared" si="101"/>
        <v>181115247500</v>
      </c>
      <c r="DK19" s="42">
        <f t="shared" ref="DK19:DW20" si="102">DK11-DK15</f>
        <v>0</v>
      </c>
      <c r="DL19" s="42">
        <f t="shared" si="102"/>
        <v>0</v>
      </c>
      <c r="DM19" s="42">
        <f t="shared" si="102"/>
        <v>0</v>
      </c>
      <c r="DN19" s="42">
        <f t="shared" si="102"/>
        <v>0</v>
      </c>
      <c r="DO19" s="42">
        <f t="shared" si="102"/>
        <v>0</v>
      </c>
      <c r="DP19" s="42">
        <f t="shared" si="102"/>
        <v>0</v>
      </c>
      <c r="DQ19" s="42">
        <f t="shared" si="102"/>
        <v>0</v>
      </c>
      <c r="DR19" s="42">
        <f t="shared" si="102"/>
        <v>0</v>
      </c>
      <c r="DS19" s="42">
        <f t="shared" si="102"/>
        <v>0</v>
      </c>
      <c r="DT19" s="42">
        <f t="shared" si="102"/>
        <v>0</v>
      </c>
      <c r="DU19" s="42">
        <f t="shared" si="102"/>
        <v>0</v>
      </c>
      <c r="DV19" s="42">
        <f t="shared" si="102"/>
        <v>0</v>
      </c>
      <c r="DW19" s="42">
        <f t="shared" si="102"/>
        <v>0</v>
      </c>
      <c r="DY19" s="42">
        <f t="shared" ref="DY19:EK20" si="103">DY11-DY15</f>
        <v>0</v>
      </c>
      <c r="DZ19" s="42">
        <f t="shared" si="103"/>
        <v>0</v>
      </c>
      <c r="EA19" s="42">
        <f t="shared" si="103"/>
        <v>0</v>
      </c>
      <c r="EB19" s="42">
        <f t="shared" si="103"/>
        <v>0</v>
      </c>
      <c r="EC19" s="42">
        <f t="shared" si="103"/>
        <v>0</v>
      </c>
      <c r="ED19" s="42">
        <f t="shared" si="103"/>
        <v>0</v>
      </c>
      <c r="EE19" s="42">
        <f t="shared" si="103"/>
        <v>0</v>
      </c>
      <c r="EF19" s="42">
        <f t="shared" si="103"/>
        <v>0</v>
      </c>
      <c r="EG19" s="42">
        <f t="shared" si="103"/>
        <v>0</v>
      </c>
      <c r="EH19" s="42">
        <f t="shared" si="103"/>
        <v>0</v>
      </c>
      <c r="EI19" s="42">
        <f t="shared" si="103"/>
        <v>0</v>
      </c>
      <c r="EJ19" s="42">
        <f t="shared" si="103"/>
        <v>0</v>
      </c>
      <c r="EK19" s="42">
        <f t="shared" si="103"/>
        <v>0</v>
      </c>
    </row>
    <row r="20" spans="1:141" s="29" customFormat="1" outlineLevel="1">
      <c r="A20" s="40" t="s">
        <v>60</v>
      </c>
      <c r="B20" s="41" t="s">
        <v>3</v>
      </c>
      <c r="C20" s="390">
        <f t="shared" si="94"/>
        <v>0</v>
      </c>
      <c r="D20" s="42">
        <f t="shared" si="94"/>
        <v>0</v>
      </c>
      <c r="E20" s="42">
        <f t="shared" si="94"/>
        <v>0</v>
      </c>
      <c r="F20" s="42">
        <f t="shared" si="94"/>
        <v>0</v>
      </c>
      <c r="G20" s="42">
        <f t="shared" si="94"/>
        <v>0</v>
      </c>
      <c r="H20" s="42">
        <f t="shared" si="94"/>
        <v>0</v>
      </c>
      <c r="I20" s="42">
        <f t="shared" si="94"/>
        <v>0</v>
      </c>
      <c r="J20" s="42">
        <f t="shared" si="94"/>
        <v>0</v>
      </c>
      <c r="K20" s="42">
        <f t="shared" si="94"/>
        <v>0</v>
      </c>
      <c r="L20" s="42">
        <f t="shared" si="94"/>
        <v>0</v>
      </c>
      <c r="M20" s="42">
        <f t="shared" si="94"/>
        <v>0</v>
      </c>
      <c r="N20" s="42">
        <f t="shared" si="94"/>
        <v>0</v>
      </c>
      <c r="O20" s="391">
        <f t="shared" si="94"/>
        <v>0</v>
      </c>
      <c r="Q20" s="42">
        <f t="shared" si="95"/>
        <v>0</v>
      </c>
      <c r="R20" s="42">
        <f t="shared" si="95"/>
        <v>0</v>
      </c>
      <c r="S20" s="42">
        <f t="shared" si="95"/>
        <v>0</v>
      </c>
      <c r="T20" s="42">
        <f t="shared" si="95"/>
        <v>0</v>
      </c>
      <c r="U20" s="42">
        <f t="shared" si="95"/>
        <v>0</v>
      </c>
      <c r="V20" s="42">
        <f t="shared" si="95"/>
        <v>0</v>
      </c>
      <c r="W20" s="42">
        <f t="shared" si="95"/>
        <v>0</v>
      </c>
      <c r="X20" s="42">
        <f t="shared" si="95"/>
        <v>0</v>
      </c>
      <c r="Y20" s="42">
        <f t="shared" si="95"/>
        <v>0</v>
      </c>
      <c r="Z20" s="42">
        <f t="shared" si="95"/>
        <v>0</v>
      </c>
      <c r="AA20" s="42">
        <f t="shared" si="95"/>
        <v>0</v>
      </c>
      <c r="AB20" s="42">
        <f t="shared" si="95"/>
        <v>0</v>
      </c>
      <c r="AC20" s="42">
        <f t="shared" si="95"/>
        <v>0</v>
      </c>
      <c r="AE20" s="392">
        <f t="shared" si="96"/>
        <v>0</v>
      </c>
      <c r="AF20" s="42">
        <f t="shared" si="96"/>
        <v>0</v>
      </c>
      <c r="AG20" s="42">
        <f t="shared" si="96"/>
        <v>0</v>
      </c>
      <c r="AH20" s="42">
        <f t="shared" si="96"/>
        <v>0</v>
      </c>
      <c r="AI20" s="42">
        <f t="shared" si="96"/>
        <v>0</v>
      </c>
      <c r="AJ20" s="42">
        <f t="shared" si="96"/>
        <v>0</v>
      </c>
      <c r="AK20" s="42">
        <f t="shared" si="96"/>
        <v>0</v>
      </c>
      <c r="AL20" s="42">
        <f t="shared" si="96"/>
        <v>0</v>
      </c>
      <c r="AM20" s="42">
        <f t="shared" si="96"/>
        <v>0</v>
      </c>
      <c r="AN20" s="42">
        <f t="shared" si="96"/>
        <v>0</v>
      </c>
      <c r="AO20" s="42">
        <f t="shared" si="96"/>
        <v>0</v>
      </c>
      <c r="AP20" s="42">
        <f t="shared" si="96"/>
        <v>0</v>
      </c>
      <c r="AQ20" s="393">
        <f t="shared" si="96"/>
        <v>0</v>
      </c>
      <c r="AS20" s="42">
        <f t="shared" si="97"/>
        <v>0</v>
      </c>
      <c r="AT20" s="42">
        <f t="shared" si="97"/>
        <v>0</v>
      </c>
      <c r="AU20" s="42">
        <f t="shared" si="97"/>
        <v>0</v>
      </c>
      <c r="AV20" s="42">
        <f t="shared" si="97"/>
        <v>0</v>
      </c>
      <c r="AW20" s="42">
        <f t="shared" si="97"/>
        <v>0</v>
      </c>
      <c r="AX20" s="42">
        <f t="shared" si="97"/>
        <v>0</v>
      </c>
      <c r="AY20" s="42">
        <f t="shared" si="97"/>
        <v>0</v>
      </c>
      <c r="AZ20" s="42">
        <f t="shared" si="97"/>
        <v>0</v>
      </c>
      <c r="BA20" s="42">
        <f t="shared" si="97"/>
        <v>0</v>
      </c>
      <c r="BB20" s="42">
        <f t="shared" si="97"/>
        <v>0</v>
      </c>
      <c r="BC20" s="42">
        <f t="shared" si="97"/>
        <v>0</v>
      </c>
      <c r="BD20" s="42">
        <f t="shared" si="97"/>
        <v>0</v>
      </c>
      <c r="BE20" s="42">
        <f t="shared" si="97"/>
        <v>0</v>
      </c>
      <c r="BG20" s="42">
        <f t="shared" si="98"/>
        <v>0</v>
      </c>
      <c r="BH20" s="42">
        <f t="shared" si="98"/>
        <v>0</v>
      </c>
      <c r="BI20" s="42">
        <f t="shared" si="98"/>
        <v>0</v>
      </c>
      <c r="BJ20" s="42">
        <f t="shared" si="98"/>
        <v>0</v>
      </c>
      <c r="BK20" s="42">
        <f t="shared" si="98"/>
        <v>0</v>
      </c>
      <c r="BL20" s="42">
        <f t="shared" si="98"/>
        <v>0</v>
      </c>
      <c r="BM20" s="42">
        <f t="shared" si="98"/>
        <v>0</v>
      </c>
      <c r="BN20" s="42">
        <f t="shared" si="98"/>
        <v>0</v>
      </c>
      <c r="BO20" s="42">
        <f t="shared" si="98"/>
        <v>0</v>
      </c>
      <c r="BP20" s="42">
        <f t="shared" si="98"/>
        <v>0</v>
      </c>
      <c r="BQ20" s="42">
        <f t="shared" si="98"/>
        <v>0</v>
      </c>
      <c r="BR20" s="42">
        <f t="shared" si="98"/>
        <v>0</v>
      </c>
      <c r="BS20" s="42">
        <f t="shared" si="98"/>
        <v>0</v>
      </c>
      <c r="BU20" s="42">
        <f t="shared" si="99"/>
        <v>0</v>
      </c>
      <c r="BV20" s="42">
        <f t="shared" si="99"/>
        <v>0</v>
      </c>
      <c r="BW20" s="42">
        <f t="shared" si="99"/>
        <v>0</v>
      </c>
      <c r="BX20" s="42">
        <f t="shared" si="99"/>
        <v>0</v>
      </c>
      <c r="BY20" s="42">
        <f t="shared" si="99"/>
        <v>0</v>
      </c>
      <c r="BZ20" s="42">
        <f t="shared" si="99"/>
        <v>0</v>
      </c>
      <c r="CA20" s="42">
        <f t="shared" si="99"/>
        <v>0</v>
      </c>
      <c r="CB20" s="42">
        <f t="shared" si="99"/>
        <v>0</v>
      </c>
      <c r="CC20" s="42">
        <f t="shared" si="99"/>
        <v>0</v>
      </c>
      <c r="CD20" s="42">
        <f t="shared" si="99"/>
        <v>0</v>
      </c>
      <c r="CE20" s="42">
        <f t="shared" si="99"/>
        <v>0</v>
      </c>
      <c r="CF20" s="42">
        <f t="shared" si="99"/>
        <v>0</v>
      </c>
      <c r="CG20" s="42">
        <f t="shared" si="99"/>
        <v>0</v>
      </c>
      <c r="CI20" s="42">
        <f t="shared" si="100"/>
        <v>0</v>
      </c>
      <c r="CJ20" s="42">
        <f t="shared" si="100"/>
        <v>0</v>
      </c>
      <c r="CK20" s="42">
        <f t="shared" si="100"/>
        <v>0</v>
      </c>
      <c r="CL20" s="42">
        <f t="shared" si="100"/>
        <v>0</v>
      </c>
      <c r="CM20" s="42">
        <f t="shared" si="100"/>
        <v>0</v>
      </c>
      <c r="CN20" s="42">
        <f t="shared" si="100"/>
        <v>0</v>
      </c>
      <c r="CO20" s="42">
        <f t="shared" si="100"/>
        <v>0</v>
      </c>
      <c r="CP20" s="42">
        <f t="shared" si="100"/>
        <v>0</v>
      </c>
      <c r="CQ20" s="42">
        <f t="shared" si="100"/>
        <v>0</v>
      </c>
      <c r="CR20" s="42">
        <f t="shared" si="100"/>
        <v>0</v>
      </c>
      <c r="CS20" s="42">
        <f t="shared" si="100"/>
        <v>0</v>
      </c>
      <c r="CT20" s="42">
        <f t="shared" si="100"/>
        <v>0</v>
      </c>
      <c r="CU20" s="42">
        <f t="shared" si="100"/>
        <v>0</v>
      </c>
      <c r="CW20" s="42">
        <f t="shared" si="101"/>
        <v>0</v>
      </c>
      <c r="CX20" s="42">
        <f t="shared" si="101"/>
        <v>0</v>
      </c>
      <c r="CY20" s="42">
        <f t="shared" si="101"/>
        <v>0</v>
      </c>
      <c r="CZ20" s="42">
        <f t="shared" si="101"/>
        <v>0</v>
      </c>
      <c r="DA20" s="42">
        <f t="shared" si="101"/>
        <v>0</v>
      </c>
      <c r="DB20" s="42">
        <f t="shared" si="101"/>
        <v>0</v>
      </c>
      <c r="DC20" s="42">
        <f t="shared" si="101"/>
        <v>0</v>
      </c>
      <c r="DD20" s="42">
        <f t="shared" si="101"/>
        <v>0</v>
      </c>
      <c r="DE20" s="42">
        <f t="shared" si="101"/>
        <v>0</v>
      </c>
      <c r="DF20" s="42">
        <f t="shared" si="101"/>
        <v>0</v>
      </c>
      <c r="DG20" s="42">
        <f t="shared" si="101"/>
        <v>0</v>
      </c>
      <c r="DH20" s="42">
        <f t="shared" si="101"/>
        <v>0</v>
      </c>
      <c r="DI20" s="42">
        <f t="shared" si="101"/>
        <v>0</v>
      </c>
      <c r="DK20" s="42">
        <f t="shared" si="102"/>
        <v>0</v>
      </c>
      <c r="DL20" s="42">
        <f t="shared" si="102"/>
        <v>0</v>
      </c>
      <c r="DM20" s="42">
        <f t="shared" si="102"/>
        <v>0</v>
      </c>
      <c r="DN20" s="42">
        <f t="shared" si="102"/>
        <v>0</v>
      </c>
      <c r="DO20" s="42">
        <f t="shared" si="102"/>
        <v>0</v>
      </c>
      <c r="DP20" s="42">
        <f t="shared" si="102"/>
        <v>0</v>
      </c>
      <c r="DQ20" s="42">
        <f t="shared" si="102"/>
        <v>0</v>
      </c>
      <c r="DR20" s="42">
        <f t="shared" si="102"/>
        <v>0</v>
      </c>
      <c r="DS20" s="42">
        <f t="shared" si="102"/>
        <v>0</v>
      </c>
      <c r="DT20" s="42">
        <f t="shared" si="102"/>
        <v>0</v>
      </c>
      <c r="DU20" s="42">
        <f t="shared" si="102"/>
        <v>0</v>
      </c>
      <c r="DV20" s="42">
        <f t="shared" si="102"/>
        <v>0</v>
      </c>
      <c r="DW20" s="42">
        <f t="shared" si="102"/>
        <v>0</v>
      </c>
      <c r="DY20" s="42">
        <f t="shared" si="103"/>
        <v>0</v>
      </c>
      <c r="DZ20" s="42">
        <f t="shared" si="103"/>
        <v>0</v>
      </c>
      <c r="EA20" s="42">
        <f t="shared" si="103"/>
        <v>0</v>
      </c>
      <c r="EB20" s="42">
        <f t="shared" si="103"/>
        <v>0</v>
      </c>
      <c r="EC20" s="42">
        <f t="shared" si="103"/>
        <v>0</v>
      </c>
      <c r="ED20" s="42">
        <f t="shared" si="103"/>
        <v>0</v>
      </c>
      <c r="EE20" s="42">
        <f t="shared" si="103"/>
        <v>0</v>
      </c>
      <c r="EF20" s="42">
        <f t="shared" si="103"/>
        <v>0</v>
      </c>
      <c r="EG20" s="42">
        <f t="shared" si="103"/>
        <v>0</v>
      </c>
      <c r="EH20" s="42">
        <f t="shared" si="103"/>
        <v>0</v>
      </c>
      <c r="EI20" s="42">
        <f t="shared" si="103"/>
        <v>0</v>
      </c>
      <c r="EJ20" s="42">
        <f t="shared" si="103"/>
        <v>0</v>
      </c>
      <c r="EK20" s="42">
        <f t="shared" si="103"/>
        <v>0</v>
      </c>
    </row>
    <row r="21" spans="1:141" s="51" customFormat="1" ht="14.25">
      <c r="A21" s="50">
        <v>5</v>
      </c>
      <c r="B21" s="91" t="s">
        <v>23</v>
      </c>
      <c r="C21" s="370">
        <f ca="1">SUM(C22:C24)-C25+C26</f>
        <v>111212601628.50815</v>
      </c>
      <c r="D21" s="92">
        <f t="shared" ref="D21:O21" ca="1" si="104">SUM(D22:D24)-D25+D26</f>
        <v>114873436029.88548</v>
      </c>
      <c r="E21" s="92">
        <f t="shared" ca="1" si="104"/>
        <v>119776625428.51089</v>
      </c>
      <c r="F21" s="92">
        <f t="shared" ca="1" si="104"/>
        <v>112734712585.69229</v>
      </c>
      <c r="G21" s="92">
        <f t="shared" ca="1" si="104"/>
        <v>117873445499.87956</v>
      </c>
      <c r="H21" s="92">
        <f t="shared" ca="1" si="104"/>
        <v>120582645115.09016</v>
      </c>
      <c r="I21" s="92">
        <f t="shared" ca="1" si="104"/>
        <v>117808728768.74878</v>
      </c>
      <c r="J21" s="92">
        <f t="shared" ca="1" si="104"/>
        <v>113823626530.15967</v>
      </c>
      <c r="K21" s="92">
        <f t="shared" ca="1" si="104"/>
        <v>120288847831.57895</v>
      </c>
      <c r="L21" s="92">
        <f t="shared" ca="1" si="104"/>
        <v>111590385881.41919</v>
      </c>
      <c r="M21" s="92">
        <f t="shared" ca="1" si="104"/>
        <v>118503066388.11282</v>
      </c>
      <c r="N21" s="92">
        <f t="shared" ca="1" si="104"/>
        <v>120122559977.8511</v>
      </c>
      <c r="O21" s="371">
        <f t="shared" ca="1" si="104"/>
        <v>1399190681665.437</v>
      </c>
      <c r="Q21" s="92">
        <f ca="1">SUM(Q22:Q24)-Q25+Q26</f>
        <v>-27323302697.108208</v>
      </c>
      <c r="R21" s="92">
        <f t="shared" ref="R21:AC21" ca="1" si="105">SUM(R22:R24)-R25+R26</f>
        <v>-20004195619.35812</v>
      </c>
      <c r="S21" s="92">
        <f t="shared" ca="1" si="105"/>
        <v>-32018611305.761116</v>
      </c>
      <c r="T21" s="92">
        <f t="shared" ca="1" si="105"/>
        <v>-38778923063.809082</v>
      </c>
      <c r="U21" s="92">
        <f t="shared" ca="1" si="105"/>
        <v>-40525449954.324837</v>
      </c>
      <c r="V21" s="92">
        <f t="shared" ca="1" si="105"/>
        <v>-39739119300.099083</v>
      </c>
      <c r="W21" s="92">
        <f t="shared" ca="1" si="105"/>
        <v>-41465120583.850342</v>
      </c>
      <c r="X21" s="92">
        <f t="shared" ca="1" si="105"/>
        <v>-41838143646.459785</v>
      </c>
      <c r="Y21" s="92">
        <f t="shared" ca="1" si="105"/>
        <v>-41281956350.234344</v>
      </c>
      <c r="Z21" s="92">
        <f t="shared" ca="1" si="105"/>
        <v>-42816980274.674599</v>
      </c>
      <c r="AA21" s="92">
        <f t="shared" ca="1" si="105"/>
        <v>-42342590645.937157</v>
      </c>
      <c r="AB21" s="92">
        <f t="shared" ca="1" si="105"/>
        <v>-42916102791.923332</v>
      </c>
      <c r="AC21" s="92">
        <f t="shared" ca="1" si="105"/>
        <v>-451050496233.53998</v>
      </c>
      <c r="AE21" s="372">
        <f>SUM(AE22:AE24)-AE25+AE26</f>
        <v>138535904325.61636</v>
      </c>
      <c r="AF21" s="92">
        <f t="shared" ref="AF21" si="106">SUM(AF22:AF24)-AF25+AF26</f>
        <v>134877631649.24359</v>
      </c>
      <c r="AG21" s="92">
        <f t="shared" ref="AG21" si="107">SUM(AG22:AG24)-AG25+AG26</f>
        <v>151795236734.272</v>
      </c>
      <c r="AH21" s="92">
        <f t="shared" ref="AH21:AQ21" si="108">SUM(AH22:AH24)-AH25+AH26</f>
        <v>151513635649.50137</v>
      </c>
      <c r="AI21" s="92">
        <f t="shared" si="108"/>
        <v>158398895454.20441</v>
      </c>
      <c r="AJ21" s="92">
        <f t="shared" si="108"/>
        <v>160321764415.18927</v>
      </c>
      <c r="AK21" s="92">
        <f t="shared" si="108"/>
        <v>159273849352.59912</v>
      </c>
      <c r="AL21" s="92">
        <f t="shared" si="108"/>
        <v>155661770176.61945</v>
      </c>
      <c r="AM21" s="92">
        <f t="shared" si="108"/>
        <v>161570804181.81329</v>
      </c>
      <c r="AN21" s="92">
        <f t="shared" si="108"/>
        <v>154407366156.09378</v>
      </c>
      <c r="AO21" s="92">
        <f t="shared" si="108"/>
        <v>160845657034.04999</v>
      </c>
      <c r="AP21" s="92">
        <f t="shared" si="108"/>
        <v>163038662769.77444</v>
      </c>
      <c r="AQ21" s="373">
        <f t="shared" si="108"/>
        <v>1850241177898.9771</v>
      </c>
      <c r="AS21" s="92">
        <f>SUM(AS22:AS24)-AS25+AS26</f>
        <v>111573152812.80542</v>
      </c>
      <c r="AT21" s="92">
        <f t="shared" ref="AT21" si="109">SUM(AT22:AT24)-AT25+AT26</f>
        <v>114942222906.7661</v>
      </c>
      <c r="AU21" s="92">
        <f t="shared" ref="AU21" si="110">SUM(AU22:AU24)-AU25+AU26</f>
        <v>120213688326.59052</v>
      </c>
      <c r="AV21" s="92">
        <f t="shared" ref="AV21:BE21" si="111">SUM(AV22:AV24)-AV25+AV26</f>
        <v>113297880731.08926</v>
      </c>
      <c r="AW21" s="92">
        <f t="shared" si="111"/>
        <v>119515804418.96034</v>
      </c>
      <c r="AX21" s="92">
        <f t="shared" si="111"/>
        <v>121320057022.57965</v>
      </c>
      <c r="AY21" s="92">
        <f t="shared" si="111"/>
        <v>119663072666.45052</v>
      </c>
      <c r="AZ21" s="92">
        <f t="shared" si="111"/>
        <v>116065893729.5943</v>
      </c>
      <c r="BA21" s="92">
        <f t="shared" si="111"/>
        <v>122487196346.25676</v>
      </c>
      <c r="BB21" s="92">
        <f t="shared" si="111"/>
        <v>113826945063.91806</v>
      </c>
      <c r="BC21" s="92">
        <f t="shared" si="111"/>
        <v>120726874069.98517</v>
      </c>
      <c r="BD21" s="92">
        <f t="shared" si="111"/>
        <v>122409403433.51817</v>
      </c>
      <c r="BE21" s="92">
        <f t="shared" si="111"/>
        <v>1416042191528.5142</v>
      </c>
      <c r="BG21" s="92">
        <f>SUM(BG22:BG24)-BG25+BG26</f>
        <v>26962751512.810944</v>
      </c>
      <c r="BH21" s="92">
        <f t="shared" ref="BH21:BS21" si="112">SUM(BH22:BH24)-BH25+BH26</f>
        <v>19935408742.477493</v>
      </c>
      <c r="BI21" s="92">
        <f t="shared" si="112"/>
        <v>31581548407.68148</v>
      </c>
      <c r="BJ21" s="92">
        <f t="shared" si="112"/>
        <v>38215754918.412109</v>
      </c>
      <c r="BK21" s="92">
        <f t="shared" si="112"/>
        <v>38883091035.244064</v>
      </c>
      <c r="BL21" s="92">
        <f t="shared" si="112"/>
        <v>39001707392.609604</v>
      </c>
      <c r="BM21" s="92">
        <f t="shared" si="112"/>
        <v>39610776686.148605</v>
      </c>
      <c r="BN21" s="92">
        <f t="shared" si="112"/>
        <v>39595876447.025162</v>
      </c>
      <c r="BO21" s="92">
        <f t="shared" si="112"/>
        <v>39083607835.556519</v>
      </c>
      <c r="BP21" s="92">
        <f t="shared" si="112"/>
        <v>40580421092.175728</v>
      </c>
      <c r="BQ21" s="92">
        <f t="shared" si="112"/>
        <v>40118782964.064819</v>
      </c>
      <c r="BR21" s="92">
        <f t="shared" si="112"/>
        <v>40629259336.256271</v>
      </c>
      <c r="BS21" s="92">
        <f t="shared" si="112"/>
        <v>434198986370.46283</v>
      </c>
      <c r="BU21" s="92">
        <f>SUM(BU22:BU24)-BU25+BU26</f>
        <v>8478157471.7655973</v>
      </c>
      <c r="BV21" s="92">
        <f t="shared" ref="BV21" si="113">SUM(BV22:BV24)-BV25+BV26</f>
        <v>5235740866.6198034</v>
      </c>
      <c r="BW21" s="92">
        <f t="shared" ref="BW21" si="114">SUM(BW22:BW24)-BW25+BW26</f>
        <v>11530976859.605236</v>
      </c>
      <c r="BX21" s="92">
        <f t="shared" ref="BX21:CG21" si="115">SUM(BX22:BX24)-BX25+BX26</f>
        <v>14968395993.026005</v>
      </c>
      <c r="BY21" s="92">
        <f t="shared" si="115"/>
        <v>15656322864.174459</v>
      </c>
      <c r="BZ21" s="92">
        <f t="shared" si="115"/>
        <v>15691296430.507793</v>
      </c>
      <c r="CA21" s="92">
        <f t="shared" si="115"/>
        <v>16260498469.03055</v>
      </c>
      <c r="CB21" s="92">
        <f t="shared" si="115"/>
        <v>16220814562.990442</v>
      </c>
      <c r="CC21" s="92">
        <f t="shared" si="115"/>
        <v>15730897670.588888</v>
      </c>
      <c r="CD21" s="92">
        <f t="shared" si="115"/>
        <v>16242258013.567102</v>
      </c>
      <c r="CE21" s="92">
        <f t="shared" si="115"/>
        <v>15724372504.23311</v>
      </c>
      <c r="CF21" s="92">
        <f t="shared" si="115"/>
        <v>16250234673.697218</v>
      </c>
      <c r="CG21" s="92">
        <f t="shared" si="115"/>
        <v>167989966379.80621</v>
      </c>
      <c r="CI21" s="92">
        <f>SUM(CI22:CI24)-CI25+CI26</f>
        <v>7000537685.8035145</v>
      </c>
      <c r="CJ21" s="92">
        <f t="shared" ref="CJ21" si="116">SUM(CJ22:CJ24)-CJ25+CJ26</f>
        <v>5496251537.248991</v>
      </c>
      <c r="CK21" s="92">
        <f t="shared" ref="CK21" si="117">SUM(CK22:CK24)-CK25+CK26</f>
        <v>7472657178.92169</v>
      </c>
      <c r="CL21" s="92">
        <f t="shared" ref="CL21:CU21" si="118">SUM(CL22:CL24)-CL25+CL26</f>
        <v>8021124720.639864</v>
      </c>
      <c r="CM21" s="92">
        <f t="shared" si="118"/>
        <v>7979613653.8398638</v>
      </c>
      <c r="CN21" s="92">
        <f t="shared" si="118"/>
        <v>8023942964.1065302</v>
      </c>
      <c r="CO21" s="92">
        <f t="shared" si="118"/>
        <v>8036990287.973197</v>
      </c>
      <c r="CP21" s="92">
        <f t="shared" si="118"/>
        <v>8054522932.556531</v>
      </c>
      <c r="CQ21" s="92">
        <f t="shared" si="118"/>
        <v>8042917711.6731977</v>
      </c>
      <c r="CR21" s="92">
        <f t="shared" si="118"/>
        <v>7984165295.0065308</v>
      </c>
      <c r="CS21" s="92">
        <f t="shared" si="118"/>
        <v>8001244068.306531</v>
      </c>
      <c r="CT21" s="92">
        <f t="shared" si="118"/>
        <v>7999740771.1065302</v>
      </c>
      <c r="CU21" s="92">
        <f t="shared" si="118"/>
        <v>92113708807.182983</v>
      </c>
      <c r="CW21" s="92">
        <f>SUM(CW22:CW24)-CW25+CW26</f>
        <v>11484056355.241835</v>
      </c>
      <c r="CX21" s="92">
        <f t="shared" ref="CX21" si="119">SUM(CX22:CX24)-CX25+CX26</f>
        <v>9203416338.6086998</v>
      </c>
      <c r="CY21" s="92">
        <f t="shared" ref="CY21" si="120">SUM(CY22:CY24)-CY25+CY26</f>
        <v>12577914369.154554</v>
      </c>
      <c r="CZ21" s="92">
        <f t="shared" ref="CZ21:DI21" si="121">SUM(CZ22:CZ24)-CZ25+CZ26</f>
        <v>15226234204.746243</v>
      </c>
      <c r="DA21" s="92">
        <f t="shared" si="121"/>
        <v>15247154517.229738</v>
      </c>
      <c r="DB21" s="92">
        <f t="shared" si="121"/>
        <v>15286467997.995285</v>
      </c>
      <c r="DC21" s="92">
        <f t="shared" si="121"/>
        <v>15313287929.144857</v>
      </c>
      <c r="DD21" s="92">
        <f t="shared" si="121"/>
        <v>15320538951.478191</v>
      </c>
      <c r="DE21" s="92">
        <f t="shared" si="121"/>
        <v>15309792453.29443</v>
      </c>
      <c r="DF21" s="92">
        <f t="shared" si="121"/>
        <v>16353997783.602098</v>
      </c>
      <c r="DG21" s="92">
        <f t="shared" si="121"/>
        <v>16393166391.525175</v>
      </c>
      <c r="DH21" s="92">
        <f t="shared" si="121"/>
        <v>16379283891.452524</v>
      </c>
      <c r="DI21" s="92">
        <f t="shared" si="121"/>
        <v>174095311183.47363</v>
      </c>
      <c r="DK21" s="92">
        <f>SUM(DK22:DK24)-DK25+DK26</f>
        <v>0</v>
      </c>
      <c r="DL21" s="92">
        <f t="shared" ref="DL21" si="122">SUM(DL22:DL24)-DL25+DL26</f>
        <v>0</v>
      </c>
      <c r="DM21" s="92">
        <f t="shared" ref="DM21" si="123">SUM(DM22:DM24)-DM25+DM26</f>
        <v>0</v>
      </c>
      <c r="DN21" s="92">
        <f t="shared" ref="DN21:DW21" si="124">SUM(DN22:DN24)-DN25+DN26</f>
        <v>0</v>
      </c>
      <c r="DO21" s="92">
        <f t="shared" si="124"/>
        <v>0</v>
      </c>
      <c r="DP21" s="92">
        <f t="shared" si="124"/>
        <v>0</v>
      </c>
      <c r="DQ21" s="92">
        <f t="shared" si="124"/>
        <v>0</v>
      </c>
      <c r="DR21" s="92">
        <f t="shared" si="124"/>
        <v>0</v>
      </c>
      <c r="DS21" s="92">
        <f t="shared" si="124"/>
        <v>0</v>
      </c>
      <c r="DT21" s="92">
        <f t="shared" si="124"/>
        <v>0</v>
      </c>
      <c r="DU21" s="92">
        <f t="shared" si="124"/>
        <v>0</v>
      </c>
      <c r="DV21" s="92">
        <f t="shared" si="124"/>
        <v>0</v>
      </c>
      <c r="DW21" s="92">
        <f t="shared" si="124"/>
        <v>0</v>
      </c>
      <c r="DY21" s="92">
        <f>SUM(DY22:DY24)-DY25+DY26</f>
        <v>0</v>
      </c>
      <c r="DZ21" s="92">
        <f t="shared" ref="DZ21:EK21" si="125">SUM(DZ22:DZ24)-DZ25+DZ26</f>
        <v>0</v>
      </c>
      <c r="EA21" s="92">
        <f t="shared" si="125"/>
        <v>0</v>
      </c>
      <c r="EB21" s="92">
        <f t="shared" si="125"/>
        <v>0</v>
      </c>
      <c r="EC21" s="92">
        <f t="shared" si="125"/>
        <v>0</v>
      </c>
      <c r="ED21" s="92">
        <f t="shared" si="125"/>
        <v>0</v>
      </c>
      <c r="EE21" s="92">
        <f t="shared" si="125"/>
        <v>0</v>
      </c>
      <c r="EF21" s="92">
        <f t="shared" si="125"/>
        <v>0</v>
      </c>
      <c r="EG21" s="92">
        <f t="shared" si="125"/>
        <v>0</v>
      </c>
      <c r="EH21" s="92">
        <f t="shared" si="125"/>
        <v>0</v>
      </c>
      <c r="EI21" s="92">
        <f t="shared" si="125"/>
        <v>0</v>
      </c>
      <c r="EJ21" s="92">
        <f t="shared" si="125"/>
        <v>0</v>
      </c>
      <c r="EK21" s="92">
        <f t="shared" si="125"/>
        <v>0</v>
      </c>
    </row>
    <row r="22" spans="1:141" outlineLevel="2">
      <c r="A22" s="38" t="s">
        <v>64</v>
      </c>
      <c r="B22" s="39" t="s">
        <v>1</v>
      </c>
      <c r="C22" s="394">
        <f t="shared" ref="C22:N26" si="126">Q22+AE22</f>
        <v>111573152812.80542</v>
      </c>
      <c r="D22" s="73">
        <f t="shared" si="126"/>
        <v>114942222906.7661</v>
      </c>
      <c r="E22" s="73">
        <f t="shared" si="126"/>
        <v>120213688326.59052</v>
      </c>
      <c r="F22" s="73">
        <f t="shared" si="126"/>
        <v>113297880731.08926</v>
      </c>
      <c r="G22" s="73">
        <f t="shared" si="126"/>
        <v>119515804418.96034</v>
      </c>
      <c r="H22" s="73">
        <f t="shared" si="126"/>
        <v>121320057022.57965</v>
      </c>
      <c r="I22" s="73">
        <f t="shared" si="126"/>
        <v>119663072666.45052</v>
      </c>
      <c r="J22" s="73">
        <f t="shared" si="126"/>
        <v>116065893729.5943</v>
      </c>
      <c r="K22" s="73">
        <f t="shared" si="126"/>
        <v>122487196346.25676</v>
      </c>
      <c r="L22" s="73">
        <f t="shared" si="126"/>
        <v>113826945063.91806</v>
      </c>
      <c r="M22" s="73">
        <f t="shared" si="126"/>
        <v>120726874069.98517</v>
      </c>
      <c r="N22" s="73">
        <f t="shared" si="126"/>
        <v>122409403433.51817</v>
      </c>
      <c r="O22" s="395">
        <f>SUM(C22:N22)</f>
        <v>1416042191528.5142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>
        <f>SUM(Q22:AB22)</f>
        <v>0</v>
      </c>
      <c r="AE22" s="396">
        <f t="shared" ref="AE22:AP24" si="127">AS22+BU22+CI22+CW22+DK22</f>
        <v>111573152812.80542</v>
      </c>
      <c r="AF22" s="73">
        <f t="shared" si="127"/>
        <v>114942222906.7661</v>
      </c>
      <c r="AG22" s="73">
        <f t="shared" si="127"/>
        <v>120213688326.59052</v>
      </c>
      <c r="AH22" s="73">
        <f t="shared" si="127"/>
        <v>113297880731.08926</v>
      </c>
      <c r="AI22" s="73">
        <f t="shared" si="127"/>
        <v>119515804418.96034</v>
      </c>
      <c r="AJ22" s="73">
        <f t="shared" si="127"/>
        <v>121320057022.57965</v>
      </c>
      <c r="AK22" s="73">
        <f t="shared" si="127"/>
        <v>119663072666.45052</v>
      </c>
      <c r="AL22" s="73">
        <f t="shared" si="127"/>
        <v>116065893729.5943</v>
      </c>
      <c r="AM22" s="73">
        <f t="shared" si="127"/>
        <v>122487196346.25676</v>
      </c>
      <c r="AN22" s="73">
        <f t="shared" si="127"/>
        <v>113826945063.91806</v>
      </c>
      <c r="AO22" s="73">
        <f t="shared" si="127"/>
        <v>120726874069.98517</v>
      </c>
      <c r="AP22" s="73">
        <f t="shared" si="127"/>
        <v>122409403433.51817</v>
      </c>
      <c r="AQ22" s="397">
        <f>SUM(AE22:AP22)</f>
        <v>1416042191528.5142</v>
      </c>
      <c r="AS22" s="73">
        <f>'PL-KH26-DTR'!BL8</f>
        <v>111573152812.80542</v>
      </c>
      <c r="AT22" s="73">
        <f>'PL-KH26-DTR'!BM8</f>
        <v>114942222906.7661</v>
      </c>
      <c r="AU22" s="73">
        <f>'PL-KH26-DTR'!BN8</f>
        <v>120213688326.59052</v>
      </c>
      <c r="AV22" s="73">
        <f>'PL-KH26-DTR'!BO8</f>
        <v>113297880731.08926</v>
      </c>
      <c r="AW22" s="73">
        <f>'PL-KH26-DTR'!BP8</f>
        <v>119515804418.96034</v>
      </c>
      <c r="AX22" s="73">
        <f>'PL-KH26-DTR'!BQ8</f>
        <v>121320057022.57965</v>
      </c>
      <c r="AY22" s="73">
        <f>'PL-KH26-DTR'!BR8</f>
        <v>119663072666.45052</v>
      </c>
      <c r="AZ22" s="73">
        <f>'PL-KH26-DTR'!BS8</f>
        <v>116065893729.5943</v>
      </c>
      <c r="BA22" s="73">
        <f>'PL-KH26-DTR'!BT8</f>
        <v>122487196346.25676</v>
      </c>
      <c r="BB22" s="73">
        <f>'PL-KH26-DTR'!BU8</f>
        <v>113826945063.91806</v>
      </c>
      <c r="BC22" s="73">
        <f>'PL-KH26-DTR'!BV8</f>
        <v>120726874069.98517</v>
      </c>
      <c r="BD22" s="73">
        <f>'PL-KH26-DTR'!BW8</f>
        <v>122409403433.51817</v>
      </c>
      <c r="BE22" s="73">
        <f>SUM(AS22:BD22)</f>
        <v>1416042191528.5142</v>
      </c>
      <c r="BG22" s="73">
        <f t="shared" ref="BG22:BR24" si="128">BU22+CI22+CW22</f>
        <v>0</v>
      </c>
      <c r="BH22" s="73">
        <f t="shared" si="128"/>
        <v>0</v>
      </c>
      <c r="BI22" s="73">
        <f t="shared" si="128"/>
        <v>0</v>
      </c>
      <c r="BJ22" s="73">
        <f t="shared" si="128"/>
        <v>0</v>
      </c>
      <c r="BK22" s="73">
        <f t="shared" si="128"/>
        <v>0</v>
      </c>
      <c r="BL22" s="73">
        <f t="shared" si="128"/>
        <v>0</v>
      </c>
      <c r="BM22" s="73">
        <f t="shared" si="128"/>
        <v>0</v>
      </c>
      <c r="BN22" s="73">
        <f t="shared" si="128"/>
        <v>0</v>
      </c>
      <c r="BO22" s="73">
        <f t="shared" si="128"/>
        <v>0</v>
      </c>
      <c r="BP22" s="73">
        <f t="shared" si="128"/>
        <v>0</v>
      </c>
      <c r="BQ22" s="73">
        <f t="shared" si="128"/>
        <v>0</v>
      </c>
      <c r="BR22" s="73">
        <f t="shared" si="128"/>
        <v>0</v>
      </c>
      <c r="BS22" s="73">
        <f>SUM(BG22:BR22)</f>
        <v>0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>
        <f>SUM(BU22:CF22)</f>
        <v>0</v>
      </c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>
        <f>SUM(CI22:CT22)</f>
        <v>0</v>
      </c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>
        <f>SUM(CW22:DH22)</f>
        <v>0</v>
      </c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>
        <f>SUM(DK22:DV22)</f>
        <v>0</v>
      </c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>
        <f>SUM(DY22:EJ22)</f>
        <v>0</v>
      </c>
    </row>
    <row r="23" spans="1:141" outlineLevel="2">
      <c r="A23" s="38" t="s">
        <v>67</v>
      </c>
      <c r="B23" s="39" t="s">
        <v>2</v>
      </c>
      <c r="C23" s="394">
        <f t="shared" si="126"/>
        <v>-1442204737.1890564</v>
      </c>
      <c r="D23" s="73">
        <f t="shared" si="126"/>
        <v>-275147507.52250671</v>
      </c>
      <c r="E23" s="73">
        <f t="shared" si="126"/>
        <v>-1748251592.3185196</v>
      </c>
      <c r="F23" s="73">
        <f t="shared" si="126"/>
        <v>-2252672581.5878906</v>
      </c>
      <c r="G23" s="73">
        <f t="shared" si="126"/>
        <v>-2242821464.7559357</v>
      </c>
      <c r="H23" s="73">
        <f t="shared" si="126"/>
        <v>-2124205107.3903961</v>
      </c>
      <c r="I23" s="73">
        <f t="shared" si="126"/>
        <v>-2172620813.8513947</v>
      </c>
      <c r="J23" s="73">
        <f t="shared" si="126"/>
        <v>-2211051052.9748383</v>
      </c>
      <c r="K23" s="73">
        <f t="shared" si="126"/>
        <v>-2064929664.4434814</v>
      </c>
      <c r="L23" s="73">
        <f t="shared" si="126"/>
        <v>-2573621407.8242722</v>
      </c>
      <c r="M23" s="73">
        <f t="shared" si="126"/>
        <v>-2377368285.9351807</v>
      </c>
      <c r="N23" s="73">
        <f t="shared" si="126"/>
        <v>-2514220663.7437286</v>
      </c>
      <c r="O23" s="395">
        <f t="shared" ref="O23:O24" si="129">SUM(C23:N23)</f>
        <v>-23999114879.537201</v>
      </c>
      <c r="Q23" s="73">
        <f>Q11</f>
        <v>-28404956250</v>
      </c>
      <c r="R23" s="73">
        <f t="shared" ref="R23:AB23" si="130">R11</f>
        <v>-20210556250</v>
      </c>
      <c r="S23" s="73">
        <f t="shared" si="130"/>
        <v>-33329800000</v>
      </c>
      <c r="T23" s="73">
        <f t="shared" si="130"/>
        <v>-40468427500</v>
      </c>
      <c r="U23" s="73">
        <f t="shared" si="130"/>
        <v>-41125912500</v>
      </c>
      <c r="V23" s="73">
        <f t="shared" si="130"/>
        <v>-41125912500</v>
      </c>
      <c r="W23" s="73">
        <f t="shared" si="130"/>
        <v>-41783397500</v>
      </c>
      <c r="X23" s="73">
        <f t="shared" si="130"/>
        <v>-41806927500</v>
      </c>
      <c r="Y23" s="73">
        <f t="shared" si="130"/>
        <v>-41148537500</v>
      </c>
      <c r="Z23" s="73">
        <f t="shared" si="130"/>
        <v>-43154042500</v>
      </c>
      <c r="AA23" s="73">
        <f t="shared" si="130"/>
        <v>-42496151250</v>
      </c>
      <c r="AB23" s="73">
        <f t="shared" si="130"/>
        <v>-43143480000</v>
      </c>
      <c r="AC23" s="73">
        <f t="shared" ref="AC23:AC24" si="131">SUM(Q23:AB23)</f>
        <v>-458198101250</v>
      </c>
      <c r="AE23" s="396">
        <f t="shared" si="127"/>
        <v>26962751512.810944</v>
      </c>
      <c r="AF23" s="73">
        <f t="shared" si="127"/>
        <v>19935408742.477493</v>
      </c>
      <c r="AG23" s="73">
        <f t="shared" si="127"/>
        <v>31581548407.68148</v>
      </c>
      <c r="AH23" s="73">
        <f t="shared" si="127"/>
        <v>38215754918.412109</v>
      </c>
      <c r="AI23" s="73">
        <f t="shared" si="127"/>
        <v>38883091035.244064</v>
      </c>
      <c r="AJ23" s="73">
        <f t="shared" si="127"/>
        <v>39001707392.609604</v>
      </c>
      <c r="AK23" s="73">
        <f t="shared" si="127"/>
        <v>39610776686.148605</v>
      </c>
      <c r="AL23" s="73">
        <f t="shared" si="127"/>
        <v>39595876447.025162</v>
      </c>
      <c r="AM23" s="73">
        <f t="shared" si="127"/>
        <v>39083607835.556519</v>
      </c>
      <c r="AN23" s="73">
        <f t="shared" si="127"/>
        <v>40580421092.175728</v>
      </c>
      <c r="AO23" s="73">
        <f t="shared" si="127"/>
        <v>40118782964.064819</v>
      </c>
      <c r="AP23" s="73">
        <f t="shared" si="127"/>
        <v>40629259336.256271</v>
      </c>
      <c r="AQ23" s="397">
        <f t="shared" ref="AQ23:AQ24" si="132">SUM(AE23:AP23)</f>
        <v>434198986370.46283</v>
      </c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>
        <f t="shared" ref="BE23:BE24" si="133">SUM(AS23:BD23)</f>
        <v>0</v>
      </c>
      <c r="BG23" s="73">
        <f t="shared" si="128"/>
        <v>26962751512.810944</v>
      </c>
      <c r="BH23" s="73">
        <f t="shared" si="128"/>
        <v>19935408742.477493</v>
      </c>
      <c r="BI23" s="73">
        <f t="shared" si="128"/>
        <v>31581548407.68148</v>
      </c>
      <c r="BJ23" s="73">
        <f t="shared" si="128"/>
        <v>38215754918.412109</v>
      </c>
      <c r="BK23" s="73">
        <f t="shared" si="128"/>
        <v>38883091035.244064</v>
      </c>
      <c r="BL23" s="73">
        <f t="shared" si="128"/>
        <v>39001707392.609604</v>
      </c>
      <c r="BM23" s="73">
        <f t="shared" si="128"/>
        <v>39610776686.148605</v>
      </c>
      <c r="BN23" s="73">
        <f t="shared" si="128"/>
        <v>39595876447.025162</v>
      </c>
      <c r="BO23" s="73">
        <f t="shared" si="128"/>
        <v>39083607835.556519</v>
      </c>
      <c r="BP23" s="73">
        <f t="shared" si="128"/>
        <v>40580421092.175728</v>
      </c>
      <c r="BQ23" s="73">
        <f t="shared" si="128"/>
        <v>40118782964.064819</v>
      </c>
      <c r="BR23" s="73">
        <f t="shared" si="128"/>
        <v>40629259336.256271</v>
      </c>
      <c r="BS23" s="73">
        <f t="shared" ref="BS23:BS24" si="134">SUM(BG23:BR23)</f>
        <v>434198986370.46283</v>
      </c>
      <c r="BU23" s="73">
        <f>'PL-KH26-DongLam'!G16+'PL-KH26-DongLam'!G28+'PL-KH26-DongLam'!G32</f>
        <v>8478157471.7655973</v>
      </c>
      <c r="BV23" s="73">
        <f>'PL-KH26-DongLam'!H16+'PL-KH26-DongLam'!H28+'PL-KH26-DongLam'!H32</f>
        <v>5235740866.6198034</v>
      </c>
      <c r="BW23" s="73">
        <f>'PL-KH26-DongLam'!I16+'PL-KH26-DongLam'!I28+'PL-KH26-DongLam'!I32</f>
        <v>11530976859.605236</v>
      </c>
      <c r="BX23" s="73">
        <f>'PL-KH26-DongLam'!J16+'PL-KH26-DongLam'!J28+'PL-KH26-DongLam'!J32</f>
        <v>14968395993.026005</v>
      </c>
      <c r="BY23" s="73">
        <f>'PL-KH26-DongLam'!K16+'PL-KH26-DongLam'!K28+'PL-KH26-DongLam'!K32</f>
        <v>15656322864.174459</v>
      </c>
      <c r="BZ23" s="73">
        <f>'PL-KH26-DongLam'!L16+'PL-KH26-DongLam'!L28+'PL-KH26-DongLam'!L32</f>
        <v>15691296430.507793</v>
      </c>
      <c r="CA23" s="73">
        <f>'PL-KH26-DongLam'!M16+'PL-KH26-DongLam'!M28+'PL-KH26-DongLam'!M32</f>
        <v>16260498469.03055</v>
      </c>
      <c r="CB23" s="73">
        <f>'PL-KH26-DongLam'!N16+'PL-KH26-DongLam'!N28+'PL-KH26-DongLam'!N32</f>
        <v>16220814562.990442</v>
      </c>
      <c r="CC23" s="73">
        <f>'PL-KH26-DongLam'!O16+'PL-KH26-DongLam'!O28+'PL-KH26-DongLam'!O32</f>
        <v>15730897670.588888</v>
      </c>
      <c r="CD23" s="73">
        <f>'PL-KH26-DongLam'!P16+'PL-KH26-DongLam'!P28+'PL-KH26-DongLam'!P32</f>
        <v>16242258013.567102</v>
      </c>
      <c r="CE23" s="73">
        <f>'PL-KH26-DongLam'!Q16+'PL-KH26-DongLam'!Q28+'PL-KH26-DongLam'!Q32</f>
        <v>15724372504.23311</v>
      </c>
      <c r="CF23" s="73">
        <f>'PL-KH26-DongLam'!R16+'PL-KH26-DongLam'!R28+'PL-KH26-DongLam'!R32</f>
        <v>16250234673.697218</v>
      </c>
      <c r="CG23" s="73">
        <f t="shared" ref="CG23:CG24" si="135">SUM(BU23:CF23)</f>
        <v>167989966379.80621</v>
      </c>
      <c r="CI23" s="73">
        <f>'PL-KH26-KhanhNga'!G15+'PL-KH26-KhanhNga'!G27+'PL-KH26-KhanhNga'!G31</f>
        <v>7000537685.8035145</v>
      </c>
      <c r="CJ23" s="73">
        <f>'PL-KH26-KhanhNga'!H15+'PL-KH26-KhanhNga'!H27+'PL-KH26-KhanhNga'!H31</f>
        <v>5496251537.248991</v>
      </c>
      <c r="CK23" s="73">
        <f>'PL-KH26-KhanhNga'!I15+'PL-KH26-KhanhNga'!I27+'PL-KH26-KhanhNga'!I31</f>
        <v>7472657178.92169</v>
      </c>
      <c r="CL23" s="73">
        <f>'PL-KH26-KhanhNga'!J15+'PL-KH26-KhanhNga'!J27+'PL-KH26-KhanhNga'!J31</f>
        <v>8021124720.639864</v>
      </c>
      <c r="CM23" s="73">
        <f>'PL-KH26-KhanhNga'!K15+'PL-KH26-KhanhNga'!K27+'PL-KH26-KhanhNga'!K31</f>
        <v>7979613653.8398638</v>
      </c>
      <c r="CN23" s="73">
        <f>'PL-KH26-KhanhNga'!L15+'PL-KH26-KhanhNga'!L27+'PL-KH26-KhanhNga'!L31</f>
        <v>8023942964.1065302</v>
      </c>
      <c r="CO23" s="73">
        <f>'PL-KH26-KhanhNga'!M15+'PL-KH26-KhanhNga'!M27+'PL-KH26-KhanhNga'!M31</f>
        <v>8036990287.973197</v>
      </c>
      <c r="CP23" s="73">
        <f>'PL-KH26-KhanhNga'!N15+'PL-KH26-KhanhNga'!N27+'PL-KH26-KhanhNga'!N31</f>
        <v>8054522932.556531</v>
      </c>
      <c r="CQ23" s="73">
        <f>'PL-KH26-KhanhNga'!O15+'PL-KH26-KhanhNga'!O27+'PL-KH26-KhanhNga'!O31</f>
        <v>8042917711.6731977</v>
      </c>
      <c r="CR23" s="73">
        <f>'PL-KH26-KhanhNga'!P15+'PL-KH26-KhanhNga'!P27+'PL-KH26-KhanhNga'!P31</f>
        <v>7984165295.0065308</v>
      </c>
      <c r="CS23" s="73">
        <f>'PL-KH26-KhanhNga'!Q15+'PL-KH26-KhanhNga'!Q27+'PL-KH26-KhanhNga'!Q31</f>
        <v>8001244068.306531</v>
      </c>
      <c r="CT23" s="73">
        <f>'PL-KH26-KhanhNga'!R15+'PL-KH26-KhanhNga'!R27+'PL-KH26-KhanhNga'!R31</f>
        <v>7999740771.1065302</v>
      </c>
      <c r="CU23" s="73">
        <f t="shared" ref="CU23:CU24" si="136">SUM(CI23:CT23)</f>
        <v>92113708807.182983</v>
      </c>
      <c r="CW23" s="73">
        <f>'PL-KH26-DaiLoc'!F17+'PL-KH26-DaiLoc'!F29+'PL-KH26-DaiLoc'!F33</f>
        <v>11484056355.241835</v>
      </c>
      <c r="CX23" s="73">
        <f>'PL-KH26-DaiLoc'!G17+'PL-KH26-DaiLoc'!G29+'PL-KH26-DaiLoc'!G33</f>
        <v>9203416338.6086998</v>
      </c>
      <c r="CY23" s="73">
        <f>'PL-KH26-DaiLoc'!H17+'PL-KH26-DaiLoc'!H29+'PL-KH26-DaiLoc'!H33</f>
        <v>12577914369.154554</v>
      </c>
      <c r="CZ23" s="73">
        <f>'PL-KH26-DaiLoc'!I17+'PL-KH26-DaiLoc'!I29+'PL-KH26-DaiLoc'!I33</f>
        <v>15226234204.746243</v>
      </c>
      <c r="DA23" s="73">
        <f>'PL-KH26-DaiLoc'!J17+'PL-KH26-DaiLoc'!J29+'PL-KH26-DaiLoc'!J33</f>
        <v>15247154517.229738</v>
      </c>
      <c r="DB23" s="73">
        <f>'PL-KH26-DaiLoc'!K17+'PL-KH26-DaiLoc'!K29+'PL-KH26-DaiLoc'!K33</f>
        <v>15286467997.995285</v>
      </c>
      <c r="DC23" s="73">
        <f>'PL-KH26-DaiLoc'!L17+'PL-KH26-DaiLoc'!L29+'PL-KH26-DaiLoc'!L33</f>
        <v>15313287929.144857</v>
      </c>
      <c r="DD23" s="73">
        <f>'PL-KH26-DaiLoc'!M17+'PL-KH26-DaiLoc'!M29+'PL-KH26-DaiLoc'!M33</f>
        <v>15320538951.478191</v>
      </c>
      <c r="DE23" s="73">
        <f>'PL-KH26-DaiLoc'!N17+'PL-KH26-DaiLoc'!N29+'PL-KH26-DaiLoc'!N33</f>
        <v>15309792453.29443</v>
      </c>
      <c r="DF23" s="73">
        <f>'PL-KH26-DaiLoc'!O17+'PL-KH26-DaiLoc'!O29+'PL-KH26-DaiLoc'!O33</f>
        <v>16353997783.602098</v>
      </c>
      <c r="DG23" s="73">
        <f>'PL-KH26-DaiLoc'!P17+'PL-KH26-DaiLoc'!P29+'PL-KH26-DaiLoc'!P33</f>
        <v>16393166391.525175</v>
      </c>
      <c r="DH23" s="73">
        <f>'PL-KH26-DaiLoc'!Q17+'PL-KH26-DaiLoc'!Q29+'PL-KH26-DaiLoc'!Q33</f>
        <v>16379283891.452524</v>
      </c>
      <c r="DI23" s="73">
        <f t="shared" ref="DI23:DI24" si="137">SUM(CW23:DH23)</f>
        <v>174095311183.47363</v>
      </c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>
        <f t="shared" ref="DW23:DW24" si="138">SUM(DK23:DV23)</f>
        <v>0</v>
      </c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>
        <f t="shared" ref="EK23:EK24" si="139">SUM(DY23:EJ23)</f>
        <v>0</v>
      </c>
    </row>
    <row r="24" spans="1:141" outlineLevel="2">
      <c r="A24" s="38" t="s">
        <v>68</v>
      </c>
      <c r="B24" s="39" t="s">
        <v>3</v>
      </c>
      <c r="C24" s="370">
        <f t="shared" si="126"/>
        <v>0</v>
      </c>
      <c r="D24" s="92">
        <f t="shared" si="126"/>
        <v>0</v>
      </c>
      <c r="E24" s="92">
        <f t="shared" si="126"/>
        <v>0</v>
      </c>
      <c r="F24" s="92">
        <f t="shared" si="126"/>
        <v>0</v>
      </c>
      <c r="G24" s="92">
        <f t="shared" si="126"/>
        <v>0</v>
      </c>
      <c r="H24" s="92">
        <f t="shared" si="126"/>
        <v>0</v>
      </c>
      <c r="I24" s="92">
        <f t="shared" si="126"/>
        <v>0</v>
      </c>
      <c r="J24" s="92">
        <f t="shared" si="126"/>
        <v>0</v>
      </c>
      <c r="K24" s="92">
        <f t="shared" si="126"/>
        <v>0</v>
      </c>
      <c r="L24" s="92">
        <f t="shared" si="126"/>
        <v>0</v>
      </c>
      <c r="M24" s="92">
        <f t="shared" si="126"/>
        <v>0</v>
      </c>
      <c r="N24" s="92">
        <f t="shared" si="126"/>
        <v>0</v>
      </c>
      <c r="O24" s="371">
        <f t="shared" si="129"/>
        <v>0</v>
      </c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>
        <f t="shared" si="131"/>
        <v>0</v>
      </c>
      <c r="AE24" s="372">
        <f t="shared" si="127"/>
        <v>0</v>
      </c>
      <c r="AF24" s="92">
        <f t="shared" si="127"/>
        <v>0</v>
      </c>
      <c r="AG24" s="92">
        <f t="shared" si="127"/>
        <v>0</v>
      </c>
      <c r="AH24" s="92">
        <f t="shared" si="127"/>
        <v>0</v>
      </c>
      <c r="AI24" s="92">
        <f t="shared" si="127"/>
        <v>0</v>
      </c>
      <c r="AJ24" s="92">
        <f t="shared" si="127"/>
        <v>0</v>
      </c>
      <c r="AK24" s="92">
        <f t="shared" si="127"/>
        <v>0</v>
      </c>
      <c r="AL24" s="92">
        <f t="shared" si="127"/>
        <v>0</v>
      </c>
      <c r="AM24" s="92">
        <f t="shared" si="127"/>
        <v>0</v>
      </c>
      <c r="AN24" s="92">
        <f t="shared" si="127"/>
        <v>0</v>
      </c>
      <c r="AO24" s="92">
        <f t="shared" si="127"/>
        <v>0</v>
      </c>
      <c r="AP24" s="92">
        <f t="shared" si="127"/>
        <v>0</v>
      </c>
      <c r="AQ24" s="373">
        <f t="shared" si="132"/>
        <v>0</v>
      </c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>
        <f t="shared" si="133"/>
        <v>0</v>
      </c>
      <c r="BG24" s="92">
        <f t="shared" si="128"/>
        <v>0</v>
      </c>
      <c r="BH24" s="92">
        <f t="shared" si="128"/>
        <v>0</v>
      </c>
      <c r="BI24" s="92">
        <f t="shared" si="128"/>
        <v>0</v>
      </c>
      <c r="BJ24" s="92">
        <f t="shared" si="128"/>
        <v>0</v>
      </c>
      <c r="BK24" s="92">
        <f t="shared" si="128"/>
        <v>0</v>
      </c>
      <c r="BL24" s="92">
        <f t="shared" si="128"/>
        <v>0</v>
      </c>
      <c r="BM24" s="92">
        <f t="shared" si="128"/>
        <v>0</v>
      </c>
      <c r="BN24" s="92">
        <f t="shared" si="128"/>
        <v>0</v>
      </c>
      <c r="BO24" s="92">
        <f t="shared" si="128"/>
        <v>0</v>
      </c>
      <c r="BP24" s="92">
        <f t="shared" si="128"/>
        <v>0</v>
      </c>
      <c r="BQ24" s="92">
        <f t="shared" si="128"/>
        <v>0</v>
      </c>
      <c r="BR24" s="92">
        <f t="shared" si="128"/>
        <v>0</v>
      </c>
      <c r="BS24" s="92">
        <f t="shared" si="134"/>
        <v>0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>
        <f t="shared" si="135"/>
        <v>0</v>
      </c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>
        <f t="shared" si="136"/>
        <v>0</v>
      </c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>
        <f t="shared" si="137"/>
        <v>0</v>
      </c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>
        <f t="shared" si="138"/>
        <v>0</v>
      </c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>
        <f t="shared" si="139"/>
        <v>0</v>
      </c>
    </row>
    <row r="25" spans="1:141" s="28" customFormat="1" outlineLevel="1">
      <c r="A25" s="43" t="s">
        <v>6</v>
      </c>
      <c r="B25" s="44" t="s">
        <v>4</v>
      </c>
      <c r="C25" s="398">
        <f t="shared" si="126"/>
        <v>0</v>
      </c>
      <c r="D25" s="102">
        <f t="shared" ca="1" si="126"/>
        <v>1081653552.8917923</v>
      </c>
      <c r="E25" s="102">
        <f t="shared" ca="1" si="126"/>
        <v>1288014183.5336723</v>
      </c>
      <c r="F25" s="102">
        <f t="shared" ca="1" si="126"/>
        <v>2599202877.772562</v>
      </c>
      <c r="G25" s="102">
        <f t="shared" ca="1" si="126"/>
        <v>4288707313.96348</v>
      </c>
      <c r="H25" s="102">
        <f t="shared" ca="1" si="126"/>
        <v>4889169859.6386395</v>
      </c>
      <c r="I25" s="102">
        <f t="shared" ca="1" si="126"/>
        <v>6275963059.5395565</v>
      </c>
      <c r="J25" s="102">
        <f t="shared" ca="1" si="126"/>
        <v>6594239975.6892128</v>
      </c>
      <c r="K25" s="102">
        <f t="shared" ca="1" si="126"/>
        <v>6563023829.2294235</v>
      </c>
      <c r="L25" s="102">
        <f t="shared" ca="1" si="126"/>
        <v>6429604978.9950829</v>
      </c>
      <c r="M25" s="102">
        <f t="shared" ca="1" si="126"/>
        <v>6766667204.3204899</v>
      </c>
      <c r="N25" s="102">
        <f t="shared" ca="1" si="126"/>
        <v>6920227808.3833294</v>
      </c>
      <c r="O25" s="399"/>
      <c r="Q25" s="102"/>
      <c r="R25" s="102">
        <f ca="1">Q26</f>
        <v>1081653552.8917923</v>
      </c>
      <c r="S25" s="102">
        <f t="shared" ref="S25:AB25" ca="1" si="140">R26</f>
        <v>1288014183.5336723</v>
      </c>
      <c r="T25" s="102">
        <f t="shared" ca="1" si="140"/>
        <v>2599202877.772562</v>
      </c>
      <c r="U25" s="102">
        <f t="shared" ca="1" si="140"/>
        <v>4288707313.96348</v>
      </c>
      <c r="V25" s="102">
        <f t="shared" ca="1" si="140"/>
        <v>4889169859.6386395</v>
      </c>
      <c r="W25" s="102">
        <f t="shared" ca="1" si="140"/>
        <v>6275963059.5395565</v>
      </c>
      <c r="X25" s="102">
        <f t="shared" ca="1" si="140"/>
        <v>6594239975.6892128</v>
      </c>
      <c r="Y25" s="102">
        <f t="shared" ca="1" si="140"/>
        <v>6563023829.2294235</v>
      </c>
      <c r="Z25" s="102">
        <f t="shared" ca="1" si="140"/>
        <v>6429604978.9950829</v>
      </c>
      <c r="AA25" s="102">
        <f t="shared" ca="1" si="140"/>
        <v>6766667204.3204899</v>
      </c>
      <c r="AB25" s="102">
        <f t="shared" ca="1" si="140"/>
        <v>6920227808.3833294</v>
      </c>
      <c r="AC25" s="102"/>
      <c r="AE25" s="400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401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</row>
    <row r="26" spans="1:141" s="28" customFormat="1" outlineLevel="1">
      <c r="A26" s="64" t="s">
        <v>7</v>
      </c>
      <c r="B26" s="65" t="s">
        <v>5</v>
      </c>
      <c r="C26" s="402">
        <f t="shared" ca="1" si="126"/>
        <v>1081653552.8917923</v>
      </c>
      <c r="D26" s="94">
        <f t="shared" ca="1" si="126"/>
        <v>1288014183.5336723</v>
      </c>
      <c r="E26" s="94">
        <f t="shared" ca="1" si="126"/>
        <v>2599202877.772562</v>
      </c>
      <c r="F26" s="94">
        <f t="shared" ca="1" si="126"/>
        <v>4288707313.96348</v>
      </c>
      <c r="G26" s="94">
        <f t="shared" ca="1" si="126"/>
        <v>4889169859.6386395</v>
      </c>
      <c r="H26" s="94">
        <f t="shared" ca="1" si="126"/>
        <v>6275963059.5395565</v>
      </c>
      <c r="I26" s="94">
        <f t="shared" ca="1" si="126"/>
        <v>6594239975.6892128</v>
      </c>
      <c r="J26" s="94">
        <f t="shared" ca="1" si="126"/>
        <v>6563023829.2294235</v>
      </c>
      <c r="K26" s="94">
        <f t="shared" ca="1" si="126"/>
        <v>6429604978.9950829</v>
      </c>
      <c r="L26" s="94">
        <f t="shared" ca="1" si="126"/>
        <v>6766667204.3204899</v>
      </c>
      <c r="M26" s="94">
        <f t="shared" ca="1" si="126"/>
        <v>6920227808.3833294</v>
      </c>
      <c r="N26" s="94">
        <f t="shared" ca="1" si="126"/>
        <v>7147605016.4599972</v>
      </c>
      <c r="O26" s="403">
        <f ca="1">N26</f>
        <v>7147605016.4599972</v>
      </c>
      <c r="Q26" s="94">
        <f ca="1">IF(OR($R$1=1,$R$1=0),0,SUM(OFFSET(AE29,0,MAX(-(AE$4-1),-($R$1-1)),1,MIN(AE$4,$R$1)))/$R$1*($R$1-1))</f>
        <v>1081653552.8917923</v>
      </c>
      <c r="R26" s="94">
        <f t="shared" ref="R26:AB26" ca="1" si="141">IF(OR($R$1=1,$R$1=0),0,SUM(OFFSET(AF29,0,MAX(-(AF$4-1),-($R$1-1)),1,MIN(AF$4,$R$1)))/$R$1*($R$1-1))</f>
        <v>1288014183.5336723</v>
      </c>
      <c r="S26" s="94">
        <f t="shared" ca="1" si="141"/>
        <v>2599202877.772562</v>
      </c>
      <c r="T26" s="94">
        <f t="shared" ca="1" si="141"/>
        <v>4288707313.96348</v>
      </c>
      <c r="U26" s="94">
        <f t="shared" ca="1" si="141"/>
        <v>4889169859.6386395</v>
      </c>
      <c r="V26" s="94">
        <f t="shared" ca="1" si="141"/>
        <v>6275963059.5395565</v>
      </c>
      <c r="W26" s="94">
        <f t="shared" ca="1" si="141"/>
        <v>6594239975.6892128</v>
      </c>
      <c r="X26" s="94">
        <f t="shared" ca="1" si="141"/>
        <v>6563023829.2294235</v>
      </c>
      <c r="Y26" s="94">
        <f t="shared" ca="1" si="141"/>
        <v>6429604978.9950829</v>
      </c>
      <c r="Z26" s="94">
        <f t="shared" ca="1" si="141"/>
        <v>6766667204.3204899</v>
      </c>
      <c r="AA26" s="94">
        <f t="shared" ca="1" si="141"/>
        <v>6920227808.3833294</v>
      </c>
      <c r="AB26" s="94">
        <f t="shared" ca="1" si="141"/>
        <v>7147605016.4599972</v>
      </c>
      <c r="AC26" s="94">
        <f ca="1">AB26</f>
        <v>7147605016.4599972</v>
      </c>
      <c r="AE26" s="40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405">
        <f>AP26</f>
        <v>0</v>
      </c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>
        <f>BD26</f>
        <v>0</v>
      </c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>
        <f>BR26</f>
        <v>0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>
        <f>CF26</f>
        <v>0</v>
      </c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>
        <f>CT26</f>
        <v>0</v>
      </c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>
        <f>DH26</f>
        <v>0</v>
      </c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>
        <f>DV26</f>
        <v>0</v>
      </c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>
        <f>EJ26</f>
        <v>0</v>
      </c>
    </row>
    <row r="27" spans="1:141" s="51" customFormat="1" ht="14.25">
      <c r="A27" s="66">
        <v>6</v>
      </c>
      <c r="B27" s="62" t="s">
        <v>24</v>
      </c>
      <c r="C27" s="406">
        <f ca="1">SUM(C28:C30)</f>
        <v>18292739508.34864</v>
      </c>
      <c r="D27" s="95">
        <f t="shared" ref="D27:O27" ca="1" si="142">SUM(D28:D30)</f>
        <v>13101005147.981304</v>
      </c>
      <c r="E27" s="95">
        <f t="shared" ca="1" si="142"/>
        <v>21822866399.316353</v>
      </c>
      <c r="F27" s="95">
        <f t="shared" ca="1" si="142"/>
        <v>19047553932.9095</v>
      </c>
      <c r="G27" s="95">
        <f t="shared" ca="1" si="142"/>
        <v>22370861984.857491</v>
      </c>
      <c r="H27" s="95">
        <f t="shared" ca="1" si="142"/>
        <v>20826655104.153481</v>
      </c>
      <c r="I27" s="95">
        <f t="shared" ca="1" si="142"/>
        <v>27595328619.211185</v>
      </c>
      <c r="J27" s="95">
        <f t="shared" ca="1" si="142"/>
        <v>27452734987.984951</v>
      </c>
      <c r="K27" s="95">
        <f t="shared" ca="1" si="142"/>
        <v>27907651710.703655</v>
      </c>
      <c r="L27" s="95">
        <f t="shared" ca="1" si="142"/>
        <v>26394095361.744438</v>
      </c>
      <c r="M27" s="95">
        <f t="shared" ca="1" si="142"/>
        <v>27425993950.714073</v>
      </c>
      <c r="N27" s="95">
        <f t="shared" ca="1" si="142"/>
        <v>27319453768.320335</v>
      </c>
      <c r="O27" s="407">
        <f t="shared" ca="1" si="142"/>
        <v>279556940476.24542</v>
      </c>
      <c r="Q27" s="95">
        <f ca="1">SUM(Q28:Q30)</f>
        <v>-1081653552.8917923</v>
      </c>
      <c r="R27" s="95">
        <f t="shared" ref="R27:AC27" ca="1" si="143">SUM(R28:R30)</f>
        <v>-206360630.64188004</v>
      </c>
      <c r="S27" s="95">
        <f t="shared" ca="1" si="143"/>
        <v>-1311188694.2388897</v>
      </c>
      <c r="T27" s="95">
        <f t="shared" ca="1" si="143"/>
        <v>-1689504436.190918</v>
      </c>
      <c r="U27" s="95">
        <f t="shared" ca="1" si="143"/>
        <v>-600462545.67515945</v>
      </c>
      <c r="V27" s="95">
        <f t="shared" ca="1" si="143"/>
        <v>-1386793199.9009171</v>
      </c>
      <c r="W27" s="95">
        <f t="shared" ca="1" si="143"/>
        <v>-318276916.1496563</v>
      </c>
      <c r="X27" s="95">
        <f t="shared" ca="1" si="143"/>
        <v>31216146.459789276</v>
      </c>
      <c r="Y27" s="95">
        <f t="shared" ca="1" si="143"/>
        <v>133418850.23434067</v>
      </c>
      <c r="Z27" s="95">
        <f t="shared" ca="1" si="143"/>
        <v>-337062225.32540703</v>
      </c>
      <c r="AA27" s="95">
        <f t="shared" ca="1" si="143"/>
        <v>-153560604.06283951</v>
      </c>
      <c r="AB27" s="95">
        <f t="shared" ca="1" si="143"/>
        <v>-227377208.07666779</v>
      </c>
      <c r="AC27" s="95">
        <f t="shared" ca="1" si="143"/>
        <v>-7147605016.4599972</v>
      </c>
      <c r="AE27" s="408">
        <f>SUM(AE28:AE30)</f>
        <v>19374393061.240433</v>
      </c>
      <c r="AF27" s="95">
        <f t="shared" ref="AF27:AQ27" si="144">SUM(AF28:AF30)</f>
        <v>13307365778.623184</v>
      </c>
      <c r="AG27" s="95">
        <f t="shared" si="144"/>
        <v>23134055093.555244</v>
      </c>
      <c r="AH27" s="95">
        <f t="shared" si="144"/>
        <v>20737058369.100418</v>
      </c>
      <c r="AI27" s="95">
        <f t="shared" si="144"/>
        <v>22971324530.532654</v>
      </c>
      <c r="AJ27" s="95">
        <f t="shared" si="144"/>
        <v>22213448304.054398</v>
      </c>
      <c r="AK27" s="95">
        <f t="shared" si="144"/>
        <v>27913605535.36084</v>
      </c>
      <c r="AL27" s="95">
        <f t="shared" si="144"/>
        <v>27421518841.525162</v>
      </c>
      <c r="AM27" s="95">
        <f t="shared" si="144"/>
        <v>27774232860.469315</v>
      </c>
      <c r="AN27" s="95">
        <f t="shared" si="144"/>
        <v>26731157587.069847</v>
      </c>
      <c r="AO27" s="95">
        <f t="shared" si="144"/>
        <v>27579554554.776917</v>
      </c>
      <c r="AP27" s="95">
        <f t="shared" si="144"/>
        <v>27546830976.397003</v>
      </c>
      <c r="AQ27" s="409">
        <f t="shared" si="144"/>
        <v>286704545492.70538</v>
      </c>
      <c r="AS27" s="95">
        <f>SUM(AS28:AS30)</f>
        <v>17932188324.051376</v>
      </c>
      <c r="AT27" s="95">
        <f t="shared" ref="AT27:BE27" si="145">SUM(AT28:AT30)</f>
        <v>13032218271.100677</v>
      </c>
      <c r="AU27" s="95">
        <f t="shared" si="145"/>
        <v>21385803501.236725</v>
      </c>
      <c r="AV27" s="95">
        <f t="shared" si="145"/>
        <v>18484385787.512527</v>
      </c>
      <c r="AW27" s="95">
        <f t="shared" si="145"/>
        <v>20728503065.776718</v>
      </c>
      <c r="AX27" s="95">
        <f t="shared" si="145"/>
        <v>20089243196.664001</v>
      </c>
      <c r="AY27" s="95">
        <f t="shared" si="145"/>
        <v>25740984721.509445</v>
      </c>
      <c r="AZ27" s="95">
        <f t="shared" si="145"/>
        <v>25210467788.550323</v>
      </c>
      <c r="BA27" s="95">
        <f t="shared" si="145"/>
        <v>25709303196.025833</v>
      </c>
      <c r="BB27" s="95">
        <f t="shared" si="145"/>
        <v>24157536179.245575</v>
      </c>
      <c r="BC27" s="95">
        <f t="shared" si="145"/>
        <v>25202186268.841736</v>
      </c>
      <c r="BD27" s="95">
        <f t="shared" si="145"/>
        <v>25032610312.653275</v>
      </c>
      <c r="BE27" s="95">
        <f t="shared" si="145"/>
        <v>262705430613.16821</v>
      </c>
      <c r="BG27" s="95">
        <f>SUM(BG28:BG30)</f>
        <v>1442204737.1890564</v>
      </c>
      <c r="BH27" s="95">
        <f t="shared" ref="BH27:BS27" si="146">SUM(BH28:BH30)</f>
        <v>275147507.52250671</v>
      </c>
      <c r="BI27" s="95">
        <f t="shared" si="146"/>
        <v>1748251592.3185196</v>
      </c>
      <c r="BJ27" s="95">
        <f t="shared" si="146"/>
        <v>2252672581.5878906</v>
      </c>
      <c r="BK27" s="95">
        <f t="shared" si="146"/>
        <v>2242821464.7559357</v>
      </c>
      <c r="BL27" s="95">
        <f t="shared" si="146"/>
        <v>2124205107.3903961</v>
      </c>
      <c r="BM27" s="95">
        <f t="shared" si="146"/>
        <v>2172620813.8513947</v>
      </c>
      <c r="BN27" s="95">
        <f t="shared" si="146"/>
        <v>2211051052.9748383</v>
      </c>
      <c r="BO27" s="95">
        <f t="shared" si="146"/>
        <v>2064929664.4434814</v>
      </c>
      <c r="BP27" s="95">
        <f t="shared" si="146"/>
        <v>2573621407.8242722</v>
      </c>
      <c r="BQ27" s="95">
        <f t="shared" si="146"/>
        <v>2377368285.9351807</v>
      </c>
      <c r="BR27" s="95">
        <f t="shared" si="146"/>
        <v>2514220663.7437286</v>
      </c>
      <c r="BS27" s="95">
        <f t="shared" si="146"/>
        <v>23999114879.53717</v>
      </c>
      <c r="BU27" s="95">
        <f>SUM(BU28:BU30)</f>
        <v>942030028.23440266</v>
      </c>
      <c r="BV27" s="95">
        <f t="shared" ref="BV27:CG27" si="147">SUM(BV28:BV30)</f>
        <v>416371633.38019657</v>
      </c>
      <c r="BW27" s="95">
        <f t="shared" si="147"/>
        <v>912123140.39476395</v>
      </c>
      <c r="BX27" s="95">
        <f t="shared" si="147"/>
        <v>811244006.97399521</v>
      </c>
      <c r="BY27" s="95">
        <f t="shared" si="147"/>
        <v>780802135.82554054</v>
      </c>
      <c r="BZ27" s="95">
        <f t="shared" si="147"/>
        <v>745828569.49220657</v>
      </c>
      <c r="CA27" s="95">
        <f t="shared" si="147"/>
        <v>834111530.96945</v>
      </c>
      <c r="CB27" s="95">
        <f t="shared" si="147"/>
        <v>897325437.00955772</v>
      </c>
      <c r="CC27" s="95">
        <f t="shared" si="147"/>
        <v>728852329.41111183</v>
      </c>
      <c r="CD27" s="95">
        <f t="shared" si="147"/>
        <v>862914486.43289757</v>
      </c>
      <c r="CE27" s="95">
        <f t="shared" si="147"/>
        <v>722908745.76688957</v>
      </c>
      <c r="CF27" s="95">
        <f t="shared" si="147"/>
        <v>844375326.30278206</v>
      </c>
      <c r="CG27" s="95">
        <f t="shared" si="147"/>
        <v>9498887370.1937866</v>
      </c>
      <c r="CI27" s="95">
        <f>SUM(CI28:CI30)</f>
        <v>469012314.19648552</v>
      </c>
      <c r="CJ27" s="95">
        <f t="shared" ref="CJ27:CU27" si="148">SUM(CJ28:CJ30)</f>
        <v>105910962.75100899</v>
      </c>
      <c r="CK27" s="95">
        <f t="shared" si="148"/>
        <v>619355321.07831001</v>
      </c>
      <c r="CL27" s="95">
        <f t="shared" si="148"/>
        <v>693350279.36013603</v>
      </c>
      <c r="CM27" s="95">
        <f t="shared" si="148"/>
        <v>734861346.16013622</v>
      </c>
      <c r="CN27" s="95">
        <f t="shared" si="148"/>
        <v>690532035.89346981</v>
      </c>
      <c r="CO27" s="95">
        <f t="shared" si="148"/>
        <v>677484712.02680302</v>
      </c>
      <c r="CP27" s="95">
        <f t="shared" si="148"/>
        <v>659952067.44346905</v>
      </c>
      <c r="CQ27" s="95">
        <f t="shared" si="148"/>
        <v>671557288.32680225</v>
      </c>
      <c r="CR27" s="95">
        <f t="shared" si="148"/>
        <v>730309704.99346924</v>
      </c>
      <c r="CS27" s="95">
        <f t="shared" si="148"/>
        <v>713230931.69346905</v>
      </c>
      <c r="CT27" s="95">
        <f t="shared" si="148"/>
        <v>714734228.89346981</v>
      </c>
      <c r="CU27" s="95">
        <f t="shared" si="148"/>
        <v>7480291192.8170166</v>
      </c>
      <c r="CW27" s="95">
        <f>SUM(CW28:CW30)</f>
        <v>31162394.758165359</v>
      </c>
      <c r="CX27" s="95">
        <f t="shared" ref="CX27:DI27" si="149">SUM(CX28:CX30)</f>
        <v>-247135088.6086998</v>
      </c>
      <c r="CY27" s="95">
        <f t="shared" si="149"/>
        <v>216773130.84544563</v>
      </c>
      <c r="CZ27" s="95">
        <f t="shared" si="149"/>
        <v>748078295.25375748</v>
      </c>
      <c r="DA27" s="95">
        <f t="shared" si="149"/>
        <v>727157982.77026176</v>
      </c>
      <c r="DB27" s="95">
        <f t="shared" si="149"/>
        <v>687844502.00471497</v>
      </c>
      <c r="DC27" s="95">
        <f t="shared" si="149"/>
        <v>661024570.85514259</v>
      </c>
      <c r="DD27" s="95">
        <f t="shared" si="149"/>
        <v>653773548.52180862</v>
      </c>
      <c r="DE27" s="95">
        <f t="shared" si="149"/>
        <v>664520046.70557022</v>
      </c>
      <c r="DF27" s="95">
        <f t="shared" si="149"/>
        <v>980397216.39790154</v>
      </c>
      <c r="DG27" s="95">
        <f t="shared" si="149"/>
        <v>941228608.47482491</v>
      </c>
      <c r="DH27" s="95">
        <f t="shared" si="149"/>
        <v>955111108.54747581</v>
      </c>
      <c r="DI27" s="95">
        <f t="shared" si="149"/>
        <v>7019936316.5263672</v>
      </c>
      <c r="DK27" s="95">
        <f>SUM(DK28:DK30)</f>
        <v>0</v>
      </c>
      <c r="DL27" s="95">
        <f t="shared" ref="DL27:DW27" si="150">SUM(DL28:DL30)</f>
        <v>0</v>
      </c>
      <c r="DM27" s="95">
        <f t="shared" si="150"/>
        <v>0</v>
      </c>
      <c r="DN27" s="95">
        <f t="shared" si="150"/>
        <v>0</v>
      </c>
      <c r="DO27" s="95">
        <f t="shared" si="150"/>
        <v>0</v>
      </c>
      <c r="DP27" s="95">
        <f t="shared" si="150"/>
        <v>0</v>
      </c>
      <c r="DQ27" s="95">
        <f t="shared" si="150"/>
        <v>0</v>
      </c>
      <c r="DR27" s="95">
        <f t="shared" si="150"/>
        <v>0</v>
      </c>
      <c r="DS27" s="95">
        <f t="shared" si="150"/>
        <v>0</v>
      </c>
      <c r="DT27" s="95">
        <f t="shared" si="150"/>
        <v>0</v>
      </c>
      <c r="DU27" s="95">
        <f t="shared" si="150"/>
        <v>0</v>
      </c>
      <c r="DV27" s="95">
        <f t="shared" si="150"/>
        <v>0</v>
      </c>
      <c r="DW27" s="95">
        <f t="shared" si="150"/>
        <v>0</v>
      </c>
      <c r="DY27" s="95">
        <f>SUM(DY28:DY30)</f>
        <v>0</v>
      </c>
      <c r="DZ27" s="95">
        <f t="shared" ref="DZ27:EK27" si="151">SUM(DZ28:DZ30)</f>
        <v>0</v>
      </c>
      <c r="EA27" s="95">
        <f t="shared" si="151"/>
        <v>0</v>
      </c>
      <c r="EB27" s="95">
        <f t="shared" si="151"/>
        <v>0</v>
      </c>
      <c r="EC27" s="95">
        <f t="shared" si="151"/>
        <v>0</v>
      </c>
      <c r="ED27" s="95">
        <f t="shared" si="151"/>
        <v>0</v>
      </c>
      <c r="EE27" s="95">
        <f t="shared" si="151"/>
        <v>0</v>
      </c>
      <c r="EF27" s="95">
        <f t="shared" si="151"/>
        <v>0</v>
      </c>
      <c r="EG27" s="95">
        <f t="shared" si="151"/>
        <v>0</v>
      </c>
      <c r="EH27" s="95">
        <f t="shared" si="151"/>
        <v>0</v>
      </c>
      <c r="EI27" s="95">
        <f t="shared" si="151"/>
        <v>0</v>
      </c>
      <c r="EJ27" s="95">
        <f t="shared" si="151"/>
        <v>0</v>
      </c>
      <c r="EK27" s="95">
        <f t="shared" si="151"/>
        <v>0</v>
      </c>
    </row>
    <row r="28" spans="1:141" s="29" customFormat="1" outlineLevel="1">
      <c r="A28" s="74" t="s">
        <v>8</v>
      </c>
      <c r="B28" s="59" t="s">
        <v>1</v>
      </c>
      <c r="C28" s="386">
        <f ca="1">C18-C22+C25-C26</f>
        <v>16850534771.159584</v>
      </c>
      <c r="D28" s="60">
        <f t="shared" ref="D28:O28" ca="1" si="152">D18-D22+D25-D26</f>
        <v>12825857640.458797</v>
      </c>
      <c r="E28" s="60">
        <f t="shared" ca="1" si="152"/>
        <v>20074614806.997833</v>
      </c>
      <c r="F28" s="60">
        <f t="shared" ca="1" si="152"/>
        <v>16794881351.321608</v>
      </c>
      <c r="G28" s="60">
        <f t="shared" ca="1" si="152"/>
        <v>20128040520.101555</v>
      </c>
      <c r="H28" s="60">
        <f t="shared" ca="1" si="152"/>
        <v>18702449996.763084</v>
      </c>
      <c r="I28" s="60">
        <f t="shared" ca="1" si="152"/>
        <v>25422707805.359791</v>
      </c>
      <c r="J28" s="60">
        <f t="shared" ca="1" si="152"/>
        <v>25241683935.010113</v>
      </c>
      <c r="K28" s="60">
        <f t="shared" ca="1" si="152"/>
        <v>25842722046.260174</v>
      </c>
      <c r="L28" s="60">
        <f t="shared" ca="1" si="152"/>
        <v>23820473953.920166</v>
      </c>
      <c r="M28" s="60">
        <f t="shared" ca="1" si="152"/>
        <v>25048625664.778893</v>
      </c>
      <c r="N28" s="60">
        <f t="shared" ca="1" si="152"/>
        <v>24805233104.576607</v>
      </c>
      <c r="O28" s="387">
        <f t="shared" ca="1" si="152"/>
        <v>255557825596.70822</v>
      </c>
      <c r="Q28" s="60">
        <f ca="1">Q18-Q22+Q25-Q26</f>
        <v>-1081653552.8917923</v>
      </c>
      <c r="R28" s="60">
        <f t="shared" ref="R28:AC28" ca="1" si="153">R18-R22+R25-R26</f>
        <v>-206360630.64188004</v>
      </c>
      <c r="S28" s="60">
        <f t="shared" ca="1" si="153"/>
        <v>-1311188694.2388897</v>
      </c>
      <c r="T28" s="60">
        <f t="shared" ca="1" si="153"/>
        <v>-1689504436.190918</v>
      </c>
      <c r="U28" s="60">
        <f t="shared" ca="1" si="153"/>
        <v>-600462545.67515945</v>
      </c>
      <c r="V28" s="60">
        <f t="shared" ca="1" si="153"/>
        <v>-1386793199.9009171</v>
      </c>
      <c r="W28" s="60">
        <f t="shared" ca="1" si="153"/>
        <v>-318276916.1496563</v>
      </c>
      <c r="X28" s="60">
        <f t="shared" ca="1" si="153"/>
        <v>31216146.459789276</v>
      </c>
      <c r="Y28" s="60">
        <f t="shared" ca="1" si="153"/>
        <v>133418850.23434067</v>
      </c>
      <c r="Z28" s="60">
        <f t="shared" ca="1" si="153"/>
        <v>-337062225.32540703</v>
      </c>
      <c r="AA28" s="60">
        <f t="shared" ca="1" si="153"/>
        <v>-153560604.06283951</v>
      </c>
      <c r="AB28" s="60">
        <f t="shared" ca="1" si="153"/>
        <v>-227377208.07666779</v>
      </c>
      <c r="AC28" s="60">
        <f t="shared" ca="1" si="153"/>
        <v>-7147605016.4599972</v>
      </c>
      <c r="AE28" s="388">
        <f>AE18-AE22+AE25-AE26</f>
        <v>17932188324.051376</v>
      </c>
      <c r="AF28" s="60">
        <f t="shared" ref="AF28:AQ28" si="154">AF18-AF22+AF25-AF26</f>
        <v>13032218271.100677</v>
      </c>
      <c r="AG28" s="60">
        <f t="shared" si="154"/>
        <v>21385803501.236725</v>
      </c>
      <c r="AH28" s="60">
        <f t="shared" si="154"/>
        <v>18484385787.512527</v>
      </c>
      <c r="AI28" s="60">
        <f t="shared" si="154"/>
        <v>20728503065.776718</v>
      </c>
      <c r="AJ28" s="60">
        <f t="shared" si="154"/>
        <v>20089243196.664001</v>
      </c>
      <c r="AK28" s="60">
        <f t="shared" si="154"/>
        <v>25740984721.509445</v>
      </c>
      <c r="AL28" s="60">
        <f t="shared" si="154"/>
        <v>25210467788.550323</v>
      </c>
      <c r="AM28" s="60">
        <f t="shared" si="154"/>
        <v>25709303196.025833</v>
      </c>
      <c r="AN28" s="60">
        <f t="shared" si="154"/>
        <v>24157536179.245575</v>
      </c>
      <c r="AO28" s="60">
        <f t="shared" si="154"/>
        <v>25202186268.841736</v>
      </c>
      <c r="AP28" s="60">
        <f t="shared" si="154"/>
        <v>25032610312.653275</v>
      </c>
      <c r="AQ28" s="389">
        <f t="shared" si="154"/>
        <v>262705430613.16821</v>
      </c>
      <c r="AS28" s="60">
        <f>AS18-AS22+AS25-AS26</f>
        <v>17932188324.051376</v>
      </c>
      <c r="AT28" s="60">
        <f t="shared" ref="AT28:BE28" si="155">AT18-AT22+AT25-AT26</f>
        <v>13032218271.100677</v>
      </c>
      <c r="AU28" s="60">
        <f t="shared" si="155"/>
        <v>21385803501.236725</v>
      </c>
      <c r="AV28" s="60">
        <f t="shared" si="155"/>
        <v>18484385787.512527</v>
      </c>
      <c r="AW28" s="60">
        <f t="shared" si="155"/>
        <v>20728503065.776718</v>
      </c>
      <c r="AX28" s="60">
        <f t="shared" si="155"/>
        <v>20089243196.664001</v>
      </c>
      <c r="AY28" s="60">
        <f t="shared" si="155"/>
        <v>25740984721.509445</v>
      </c>
      <c r="AZ28" s="60">
        <f t="shared" si="155"/>
        <v>25210467788.550323</v>
      </c>
      <c r="BA28" s="60">
        <f t="shared" si="155"/>
        <v>25709303196.025833</v>
      </c>
      <c r="BB28" s="60">
        <f t="shared" si="155"/>
        <v>24157536179.245575</v>
      </c>
      <c r="BC28" s="60">
        <f t="shared" si="155"/>
        <v>25202186268.841736</v>
      </c>
      <c r="BD28" s="60">
        <f t="shared" si="155"/>
        <v>25032610312.653275</v>
      </c>
      <c r="BE28" s="60">
        <f t="shared" si="155"/>
        <v>262705430613.16821</v>
      </c>
      <c r="BG28" s="60">
        <f>BG18-BG22+BG25-BG26</f>
        <v>0</v>
      </c>
      <c r="BH28" s="60">
        <f t="shared" ref="BH28:BS28" si="156">BH18-BH22+BH25-BH26</f>
        <v>0</v>
      </c>
      <c r="BI28" s="60">
        <f t="shared" si="156"/>
        <v>0</v>
      </c>
      <c r="BJ28" s="60">
        <f t="shared" si="156"/>
        <v>0</v>
      </c>
      <c r="BK28" s="60">
        <f t="shared" si="156"/>
        <v>0</v>
      </c>
      <c r="BL28" s="60">
        <f t="shared" si="156"/>
        <v>0</v>
      </c>
      <c r="BM28" s="60">
        <f t="shared" si="156"/>
        <v>0</v>
      </c>
      <c r="BN28" s="60">
        <f t="shared" si="156"/>
        <v>0</v>
      </c>
      <c r="BO28" s="60">
        <f t="shared" si="156"/>
        <v>0</v>
      </c>
      <c r="BP28" s="60">
        <f t="shared" si="156"/>
        <v>0</v>
      </c>
      <c r="BQ28" s="60">
        <f t="shared" si="156"/>
        <v>0</v>
      </c>
      <c r="BR28" s="60">
        <f t="shared" si="156"/>
        <v>0</v>
      </c>
      <c r="BS28" s="60">
        <f t="shared" si="156"/>
        <v>0</v>
      </c>
      <c r="BU28" s="60">
        <f>BU18-BU22+BU25-BU26</f>
        <v>0</v>
      </c>
      <c r="BV28" s="60">
        <f t="shared" ref="BV28:CG28" si="157">BV18-BV22+BV25-BV26</f>
        <v>0</v>
      </c>
      <c r="BW28" s="60">
        <f t="shared" si="157"/>
        <v>0</v>
      </c>
      <c r="BX28" s="60">
        <f t="shared" si="157"/>
        <v>0</v>
      </c>
      <c r="BY28" s="60">
        <f t="shared" si="157"/>
        <v>0</v>
      </c>
      <c r="BZ28" s="60">
        <f t="shared" si="157"/>
        <v>0</v>
      </c>
      <c r="CA28" s="60">
        <f t="shared" si="157"/>
        <v>0</v>
      </c>
      <c r="CB28" s="60">
        <f t="shared" si="157"/>
        <v>0</v>
      </c>
      <c r="CC28" s="60">
        <f t="shared" si="157"/>
        <v>0</v>
      </c>
      <c r="CD28" s="60">
        <f t="shared" si="157"/>
        <v>0</v>
      </c>
      <c r="CE28" s="60">
        <f t="shared" si="157"/>
        <v>0</v>
      </c>
      <c r="CF28" s="60">
        <f t="shared" si="157"/>
        <v>0</v>
      </c>
      <c r="CG28" s="60">
        <f t="shared" si="157"/>
        <v>0</v>
      </c>
      <c r="CI28" s="60">
        <f>CI18-CI22+CI25-CI26</f>
        <v>0</v>
      </c>
      <c r="CJ28" s="60">
        <f t="shared" ref="CJ28:CU28" si="158">CJ18-CJ22+CJ25-CJ26</f>
        <v>0</v>
      </c>
      <c r="CK28" s="60">
        <f t="shared" si="158"/>
        <v>0</v>
      </c>
      <c r="CL28" s="60">
        <f t="shared" si="158"/>
        <v>0</v>
      </c>
      <c r="CM28" s="60">
        <f t="shared" si="158"/>
        <v>0</v>
      </c>
      <c r="CN28" s="60">
        <f t="shared" si="158"/>
        <v>0</v>
      </c>
      <c r="CO28" s="60">
        <f t="shared" si="158"/>
        <v>0</v>
      </c>
      <c r="CP28" s="60">
        <f t="shared" si="158"/>
        <v>0</v>
      </c>
      <c r="CQ28" s="60">
        <f t="shared" si="158"/>
        <v>0</v>
      </c>
      <c r="CR28" s="60">
        <f t="shared" si="158"/>
        <v>0</v>
      </c>
      <c r="CS28" s="60">
        <f t="shared" si="158"/>
        <v>0</v>
      </c>
      <c r="CT28" s="60">
        <f t="shared" si="158"/>
        <v>0</v>
      </c>
      <c r="CU28" s="60">
        <f t="shared" si="158"/>
        <v>0</v>
      </c>
      <c r="CW28" s="60">
        <f>CW18-CW22+CW25-CW26</f>
        <v>0</v>
      </c>
      <c r="CX28" s="60">
        <f t="shared" ref="CX28:DI28" si="159">CX18-CX22+CX25-CX26</f>
        <v>0</v>
      </c>
      <c r="CY28" s="60">
        <f t="shared" si="159"/>
        <v>0</v>
      </c>
      <c r="CZ28" s="60">
        <f t="shared" si="159"/>
        <v>0</v>
      </c>
      <c r="DA28" s="60">
        <f t="shared" si="159"/>
        <v>0</v>
      </c>
      <c r="DB28" s="60">
        <f t="shared" si="159"/>
        <v>0</v>
      </c>
      <c r="DC28" s="60">
        <f t="shared" si="159"/>
        <v>0</v>
      </c>
      <c r="DD28" s="60">
        <f t="shared" si="159"/>
        <v>0</v>
      </c>
      <c r="DE28" s="60">
        <f t="shared" si="159"/>
        <v>0</v>
      </c>
      <c r="DF28" s="60">
        <f t="shared" si="159"/>
        <v>0</v>
      </c>
      <c r="DG28" s="60">
        <f t="shared" si="159"/>
        <v>0</v>
      </c>
      <c r="DH28" s="60">
        <f t="shared" si="159"/>
        <v>0</v>
      </c>
      <c r="DI28" s="60">
        <f t="shared" si="159"/>
        <v>0</v>
      </c>
      <c r="DK28" s="60">
        <f>DK18-DK22+DK25-DK26</f>
        <v>0</v>
      </c>
      <c r="DL28" s="60">
        <f t="shared" ref="DL28:DW28" si="160">DL18-DL22+DL25-DL26</f>
        <v>0</v>
      </c>
      <c r="DM28" s="60">
        <f t="shared" si="160"/>
        <v>0</v>
      </c>
      <c r="DN28" s="60">
        <f t="shared" si="160"/>
        <v>0</v>
      </c>
      <c r="DO28" s="60">
        <f t="shared" si="160"/>
        <v>0</v>
      </c>
      <c r="DP28" s="60">
        <f t="shared" si="160"/>
        <v>0</v>
      </c>
      <c r="DQ28" s="60">
        <f t="shared" si="160"/>
        <v>0</v>
      </c>
      <c r="DR28" s="60">
        <f t="shared" si="160"/>
        <v>0</v>
      </c>
      <c r="DS28" s="60">
        <f t="shared" si="160"/>
        <v>0</v>
      </c>
      <c r="DT28" s="60">
        <f t="shared" si="160"/>
        <v>0</v>
      </c>
      <c r="DU28" s="60">
        <f t="shared" si="160"/>
        <v>0</v>
      </c>
      <c r="DV28" s="60">
        <f t="shared" si="160"/>
        <v>0</v>
      </c>
      <c r="DW28" s="60">
        <f t="shared" si="160"/>
        <v>0</v>
      </c>
      <c r="DY28" s="60">
        <f>DY18-DY22+DY25-DY26</f>
        <v>0</v>
      </c>
      <c r="DZ28" s="60">
        <f t="shared" ref="DZ28:EK28" si="161">DZ18-DZ22+DZ25-DZ26</f>
        <v>0</v>
      </c>
      <c r="EA28" s="60">
        <f t="shared" si="161"/>
        <v>0</v>
      </c>
      <c r="EB28" s="60">
        <f t="shared" si="161"/>
        <v>0</v>
      </c>
      <c r="EC28" s="60">
        <f t="shared" si="161"/>
        <v>0</v>
      </c>
      <c r="ED28" s="60">
        <f t="shared" si="161"/>
        <v>0</v>
      </c>
      <c r="EE28" s="60">
        <f t="shared" si="161"/>
        <v>0</v>
      </c>
      <c r="EF28" s="60">
        <f t="shared" si="161"/>
        <v>0</v>
      </c>
      <c r="EG28" s="60">
        <f t="shared" si="161"/>
        <v>0</v>
      </c>
      <c r="EH28" s="60">
        <f t="shared" si="161"/>
        <v>0</v>
      </c>
      <c r="EI28" s="60">
        <f t="shared" si="161"/>
        <v>0</v>
      </c>
      <c r="EJ28" s="60">
        <f t="shared" si="161"/>
        <v>0</v>
      </c>
      <c r="EK28" s="60">
        <f t="shared" si="161"/>
        <v>0</v>
      </c>
    </row>
    <row r="29" spans="1:141" s="29" customFormat="1" outlineLevel="1">
      <c r="A29" s="75" t="s">
        <v>9</v>
      </c>
      <c r="B29" s="41" t="s">
        <v>2</v>
      </c>
      <c r="C29" s="410">
        <f>C19-C23</f>
        <v>1442204737.1890564</v>
      </c>
      <c r="D29" s="343">
        <f t="shared" ref="D29:O29" si="162">D19-D23</f>
        <v>275147507.52250671</v>
      </c>
      <c r="E29" s="343">
        <f t="shared" si="162"/>
        <v>1748251592.3185196</v>
      </c>
      <c r="F29" s="343">
        <f t="shared" si="162"/>
        <v>2252672581.5878906</v>
      </c>
      <c r="G29" s="343">
        <f t="shared" si="162"/>
        <v>2242821464.7559357</v>
      </c>
      <c r="H29" s="343">
        <f t="shared" si="162"/>
        <v>2124205107.3903961</v>
      </c>
      <c r="I29" s="343">
        <f t="shared" si="162"/>
        <v>2172620813.8513947</v>
      </c>
      <c r="J29" s="343">
        <f t="shared" si="162"/>
        <v>2211051052.9748383</v>
      </c>
      <c r="K29" s="343">
        <f t="shared" si="162"/>
        <v>2064929664.4434814</v>
      </c>
      <c r="L29" s="343">
        <f t="shared" si="162"/>
        <v>2573621407.8242722</v>
      </c>
      <c r="M29" s="343">
        <f t="shared" si="162"/>
        <v>2377368285.9351807</v>
      </c>
      <c r="N29" s="343">
        <f t="shared" si="162"/>
        <v>2514220663.7437286</v>
      </c>
      <c r="O29" s="411">
        <f t="shared" si="162"/>
        <v>23999114879.537201</v>
      </c>
      <c r="Q29" s="343">
        <f>Q19-Q23</f>
        <v>0</v>
      </c>
      <c r="R29" s="343">
        <f t="shared" ref="R29:AC29" si="163">R19-R23</f>
        <v>0</v>
      </c>
      <c r="S29" s="343">
        <f t="shared" si="163"/>
        <v>0</v>
      </c>
      <c r="T29" s="343">
        <f t="shared" si="163"/>
        <v>0</v>
      </c>
      <c r="U29" s="343">
        <f t="shared" si="163"/>
        <v>0</v>
      </c>
      <c r="V29" s="343">
        <f t="shared" si="163"/>
        <v>0</v>
      </c>
      <c r="W29" s="343">
        <f t="shared" si="163"/>
        <v>0</v>
      </c>
      <c r="X29" s="343">
        <f t="shared" si="163"/>
        <v>0</v>
      </c>
      <c r="Y29" s="343">
        <f t="shared" si="163"/>
        <v>0</v>
      </c>
      <c r="Z29" s="343">
        <f t="shared" si="163"/>
        <v>0</v>
      </c>
      <c r="AA29" s="343">
        <f t="shared" si="163"/>
        <v>0</v>
      </c>
      <c r="AB29" s="343">
        <f t="shared" si="163"/>
        <v>0</v>
      </c>
      <c r="AC29" s="343">
        <f t="shared" si="163"/>
        <v>0</v>
      </c>
      <c r="AE29" s="412">
        <f>AE19-AE23</f>
        <v>1442204737.1890564</v>
      </c>
      <c r="AF29" s="343">
        <f t="shared" ref="AF29:AQ29" si="164">AF19-AF23</f>
        <v>275147507.52250671</v>
      </c>
      <c r="AG29" s="343">
        <f t="shared" si="164"/>
        <v>1748251592.3185196</v>
      </c>
      <c r="AH29" s="343">
        <f t="shared" si="164"/>
        <v>2252672581.5878906</v>
      </c>
      <c r="AI29" s="343">
        <f t="shared" si="164"/>
        <v>2242821464.7559357</v>
      </c>
      <c r="AJ29" s="343">
        <f t="shared" si="164"/>
        <v>2124205107.3903961</v>
      </c>
      <c r="AK29" s="343">
        <f t="shared" si="164"/>
        <v>2172620813.8513947</v>
      </c>
      <c r="AL29" s="343">
        <f t="shared" si="164"/>
        <v>2211051052.9748383</v>
      </c>
      <c r="AM29" s="343">
        <f t="shared" si="164"/>
        <v>2064929664.4434814</v>
      </c>
      <c r="AN29" s="343">
        <f t="shared" si="164"/>
        <v>2573621407.8242722</v>
      </c>
      <c r="AO29" s="343">
        <f t="shared" si="164"/>
        <v>2377368285.9351807</v>
      </c>
      <c r="AP29" s="343">
        <f t="shared" si="164"/>
        <v>2514220663.7437286</v>
      </c>
      <c r="AQ29" s="413">
        <f t="shared" si="164"/>
        <v>23999114879.53717</v>
      </c>
      <c r="AS29" s="343">
        <f>AS19-AS23</f>
        <v>0</v>
      </c>
      <c r="AT29" s="343">
        <f t="shared" ref="AT29:BE29" si="165">AT19-AT23</f>
        <v>0</v>
      </c>
      <c r="AU29" s="343">
        <f t="shared" si="165"/>
        <v>0</v>
      </c>
      <c r="AV29" s="343">
        <f t="shared" si="165"/>
        <v>0</v>
      </c>
      <c r="AW29" s="343">
        <f t="shared" si="165"/>
        <v>0</v>
      </c>
      <c r="AX29" s="343">
        <f t="shared" si="165"/>
        <v>0</v>
      </c>
      <c r="AY29" s="343">
        <f t="shared" si="165"/>
        <v>0</v>
      </c>
      <c r="AZ29" s="343">
        <f t="shared" si="165"/>
        <v>0</v>
      </c>
      <c r="BA29" s="343">
        <f t="shared" si="165"/>
        <v>0</v>
      </c>
      <c r="BB29" s="343">
        <f t="shared" si="165"/>
        <v>0</v>
      </c>
      <c r="BC29" s="343">
        <f t="shared" si="165"/>
        <v>0</v>
      </c>
      <c r="BD29" s="343">
        <f t="shared" si="165"/>
        <v>0</v>
      </c>
      <c r="BE29" s="343">
        <f t="shared" si="165"/>
        <v>0</v>
      </c>
      <c r="BG29" s="343">
        <f>BG19-BG23</f>
        <v>1442204737.1890564</v>
      </c>
      <c r="BH29" s="343">
        <f t="shared" ref="BH29:BS29" si="166">BH19-BH23</f>
        <v>275147507.52250671</v>
      </c>
      <c r="BI29" s="343">
        <f t="shared" si="166"/>
        <v>1748251592.3185196</v>
      </c>
      <c r="BJ29" s="343">
        <f t="shared" si="166"/>
        <v>2252672581.5878906</v>
      </c>
      <c r="BK29" s="343">
        <f t="shared" si="166"/>
        <v>2242821464.7559357</v>
      </c>
      <c r="BL29" s="343">
        <f t="shared" si="166"/>
        <v>2124205107.3903961</v>
      </c>
      <c r="BM29" s="343">
        <f t="shared" si="166"/>
        <v>2172620813.8513947</v>
      </c>
      <c r="BN29" s="343">
        <f t="shared" si="166"/>
        <v>2211051052.9748383</v>
      </c>
      <c r="BO29" s="343">
        <f t="shared" si="166"/>
        <v>2064929664.4434814</v>
      </c>
      <c r="BP29" s="343">
        <f t="shared" si="166"/>
        <v>2573621407.8242722</v>
      </c>
      <c r="BQ29" s="343">
        <f t="shared" si="166"/>
        <v>2377368285.9351807</v>
      </c>
      <c r="BR29" s="343">
        <f t="shared" si="166"/>
        <v>2514220663.7437286</v>
      </c>
      <c r="BS29" s="343">
        <f t="shared" si="166"/>
        <v>23999114879.53717</v>
      </c>
      <c r="BU29" s="343">
        <f>BU19-BU23</f>
        <v>942030028.23440266</v>
      </c>
      <c r="BV29" s="343">
        <f t="shared" ref="BV29:CG29" si="167">BV19-BV23</f>
        <v>416371633.38019657</v>
      </c>
      <c r="BW29" s="343">
        <f t="shared" si="167"/>
        <v>912123140.39476395</v>
      </c>
      <c r="BX29" s="343">
        <f t="shared" si="167"/>
        <v>811244006.97399521</v>
      </c>
      <c r="BY29" s="343">
        <f t="shared" si="167"/>
        <v>780802135.82554054</v>
      </c>
      <c r="BZ29" s="343">
        <f t="shared" si="167"/>
        <v>745828569.49220657</v>
      </c>
      <c r="CA29" s="343">
        <f t="shared" si="167"/>
        <v>834111530.96945</v>
      </c>
      <c r="CB29" s="343">
        <f t="shared" si="167"/>
        <v>897325437.00955772</v>
      </c>
      <c r="CC29" s="343">
        <f t="shared" si="167"/>
        <v>728852329.41111183</v>
      </c>
      <c r="CD29" s="343">
        <f t="shared" si="167"/>
        <v>862914486.43289757</v>
      </c>
      <c r="CE29" s="343">
        <f t="shared" si="167"/>
        <v>722908745.76688957</v>
      </c>
      <c r="CF29" s="343">
        <f t="shared" si="167"/>
        <v>844375326.30278206</v>
      </c>
      <c r="CG29" s="343">
        <f t="shared" si="167"/>
        <v>9498887370.1937866</v>
      </c>
      <c r="CI29" s="343">
        <f>CI19-CI23</f>
        <v>469012314.19648552</v>
      </c>
      <c r="CJ29" s="343">
        <f t="shared" ref="CJ29:CU29" si="168">CJ19-CJ23</f>
        <v>105910962.75100899</v>
      </c>
      <c r="CK29" s="343">
        <f t="shared" si="168"/>
        <v>619355321.07831001</v>
      </c>
      <c r="CL29" s="343">
        <f t="shared" si="168"/>
        <v>693350279.36013603</v>
      </c>
      <c r="CM29" s="343">
        <f t="shared" si="168"/>
        <v>734861346.16013622</v>
      </c>
      <c r="CN29" s="343">
        <f t="shared" si="168"/>
        <v>690532035.89346981</v>
      </c>
      <c r="CO29" s="343">
        <f t="shared" si="168"/>
        <v>677484712.02680302</v>
      </c>
      <c r="CP29" s="343">
        <f t="shared" si="168"/>
        <v>659952067.44346905</v>
      </c>
      <c r="CQ29" s="343">
        <f t="shared" si="168"/>
        <v>671557288.32680225</v>
      </c>
      <c r="CR29" s="343">
        <f t="shared" si="168"/>
        <v>730309704.99346924</v>
      </c>
      <c r="CS29" s="343">
        <f t="shared" si="168"/>
        <v>713230931.69346905</v>
      </c>
      <c r="CT29" s="343">
        <f t="shared" si="168"/>
        <v>714734228.89346981</v>
      </c>
      <c r="CU29" s="343">
        <f t="shared" si="168"/>
        <v>7480291192.8170166</v>
      </c>
      <c r="CW29" s="343">
        <f>CW19-CW23</f>
        <v>31162394.758165359</v>
      </c>
      <c r="CX29" s="343">
        <f t="shared" ref="CX29:DI29" si="169">CX19-CX23</f>
        <v>-247135088.6086998</v>
      </c>
      <c r="CY29" s="343">
        <f t="shared" si="169"/>
        <v>216773130.84544563</v>
      </c>
      <c r="CZ29" s="343">
        <f t="shared" si="169"/>
        <v>748078295.25375748</v>
      </c>
      <c r="DA29" s="343">
        <f t="shared" si="169"/>
        <v>727157982.77026176</v>
      </c>
      <c r="DB29" s="343">
        <f t="shared" si="169"/>
        <v>687844502.00471497</v>
      </c>
      <c r="DC29" s="343">
        <f t="shared" si="169"/>
        <v>661024570.85514259</v>
      </c>
      <c r="DD29" s="343">
        <f t="shared" si="169"/>
        <v>653773548.52180862</v>
      </c>
      <c r="DE29" s="343">
        <f t="shared" si="169"/>
        <v>664520046.70557022</v>
      </c>
      <c r="DF29" s="343">
        <f t="shared" si="169"/>
        <v>980397216.39790154</v>
      </c>
      <c r="DG29" s="343">
        <f t="shared" si="169"/>
        <v>941228608.47482491</v>
      </c>
      <c r="DH29" s="343">
        <f t="shared" si="169"/>
        <v>955111108.54747581</v>
      </c>
      <c r="DI29" s="343">
        <f t="shared" si="169"/>
        <v>7019936316.5263672</v>
      </c>
      <c r="DK29" s="343">
        <f>DK19-DK23</f>
        <v>0</v>
      </c>
      <c r="DL29" s="343">
        <f t="shared" ref="DL29:DW29" si="170">DL19-DL23</f>
        <v>0</v>
      </c>
      <c r="DM29" s="343">
        <f t="shared" si="170"/>
        <v>0</v>
      </c>
      <c r="DN29" s="343">
        <f t="shared" si="170"/>
        <v>0</v>
      </c>
      <c r="DO29" s="343">
        <f t="shared" si="170"/>
        <v>0</v>
      </c>
      <c r="DP29" s="343">
        <f t="shared" si="170"/>
        <v>0</v>
      </c>
      <c r="DQ29" s="343">
        <f t="shared" si="170"/>
        <v>0</v>
      </c>
      <c r="DR29" s="343">
        <f t="shared" si="170"/>
        <v>0</v>
      </c>
      <c r="DS29" s="343">
        <f t="shared" si="170"/>
        <v>0</v>
      </c>
      <c r="DT29" s="343">
        <f t="shared" si="170"/>
        <v>0</v>
      </c>
      <c r="DU29" s="343">
        <f t="shared" si="170"/>
        <v>0</v>
      </c>
      <c r="DV29" s="343">
        <f t="shared" si="170"/>
        <v>0</v>
      </c>
      <c r="DW29" s="343">
        <f t="shared" si="170"/>
        <v>0</v>
      </c>
      <c r="DY29" s="343">
        <f>DY19-DY23</f>
        <v>0</v>
      </c>
      <c r="DZ29" s="343">
        <f t="shared" ref="DZ29:EK29" si="171">DZ19-DZ23</f>
        <v>0</v>
      </c>
      <c r="EA29" s="343">
        <f t="shared" si="171"/>
        <v>0</v>
      </c>
      <c r="EB29" s="343">
        <f t="shared" si="171"/>
        <v>0</v>
      </c>
      <c r="EC29" s="343">
        <f t="shared" si="171"/>
        <v>0</v>
      </c>
      <c r="ED29" s="343">
        <f t="shared" si="171"/>
        <v>0</v>
      </c>
      <c r="EE29" s="343">
        <f t="shared" si="171"/>
        <v>0</v>
      </c>
      <c r="EF29" s="343">
        <f t="shared" si="171"/>
        <v>0</v>
      </c>
      <c r="EG29" s="343">
        <f t="shared" si="171"/>
        <v>0</v>
      </c>
      <c r="EH29" s="343">
        <f t="shared" si="171"/>
        <v>0</v>
      </c>
      <c r="EI29" s="343">
        <f t="shared" si="171"/>
        <v>0</v>
      </c>
      <c r="EJ29" s="343">
        <f t="shared" si="171"/>
        <v>0</v>
      </c>
      <c r="EK29" s="343">
        <f t="shared" si="171"/>
        <v>0</v>
      </c>
    </row>
    <row r="30" spans="1:141" s="29" customFormat="1" outlineLevel="1">
      <c r="A30" s="75" t="s">
        <v>10</v>
      </c>
      <c r="B30" s="41" t="s">
        <v>3</v>
      </c>
      <c r="C30" s="390">
        <f t="shared" ref="C30:O30" si="172">C20-C24</f>
        <v>0</v>
      </c>
      <c r="D30" s="42">
        <f t="shared" si="172"/>
        <v>0</v>
      </c>
      <c r="E30" s="42">
        <f t="shared" si="172"/>
        <v>0</v>
      </c>
      <c r="F30" s="42">
        <f t="shared" si="172"/>
        <v>0</v>
      </c>
      <c r="G30" s="42">
        <f t="shared" si="172"/>
        <v>0</v>
      </c>
      <c r="H30" s="42">
        <f t="shared" si="172"/>
        <v>0</v>
      </c>
      <c r="I30" s="42">
        <f t="shared" si="172"/>
        <v>0</v>
      </c>
      <c r="J30" s="42">
        <f t="shared" si="172"/>
        <v>0</v>
      </c>
      <c r="K30" s="42">
        <f t="shared" si="172"/>
        <v>0</v>
      </c>
      <c r="L30" s="42">
        <f t="shared" si="172"/>
        <v>0</v>
      </c>
      <c r="M30" s="42">
        <f t="shared" si="172"/>
        <v>0</v>
      </c>
      <c r="N30" s="42">
        <f t="shared" si="172"/>
        <v>0</v>
      </c>
      <c r="O30" s="391">
        <f t="shared" si="172"/>
        <v>0</v>
      </c>
      <c r="Q30" s="42">
        <f t="shared" ref="Q30:AC30" si="173">Q20-Q24</f>
        <v>0</v>
      </c>
      <c r="R30" s="42">
        <f t="shared" si="173"/>
        <v>0</v>
      </c>
      <c r="S30" s="42">
        <f t="shared" si="173"/>
        <v>0</v>
      </c>
      <c r="T30" s="42">
        <f t="shared" si="173"/>
        <v>0</v>
      </c>
      <c r="U30" s="42">
        <f t="shared" si="173"/>
        <v>0</v>
      </c>
      <c r="V30" s="42">
        <f t="shared" si="173"/>
        <v>0</v>
      </c>
      <c r="W30" s="42">
        <f t="shared" si="173"/>
        <v>0</v>
      </c>
      <c r="X30" s="42">
        <f t="shared" si="173"/>
        <v>0</v>
      </c>
      <c r="Y30" s="42">
        <f t="shared" si="173"/>
        <v>0</v>
      </c>
      <c r="Z30" s="42">
        <f t="shared" si="173"/>
        <v>0</v>
      </c>
      <c r="AA30" s="42">
        <f t="shared" si="173"/>
        <v>0</v>
      </c>
      <c r="AB30" s="42">
        <f t="shared" si="173"/>
        <v>0</v>
      </c>
      <c r="AC30" s="42">
        <f t="shared" si="173"/>
        <v>0</v>
      </c>
      <c r="AE30" s="392">
        <f t="shared" ref="AE30:AQ30" si="174">AE20-AE24</f>
        <v>0</v>
      </c>
      <c r="AF30" s="42">
        <f t="shared" si="174"/>
        <v>0</v>
      </c>
      <c r="AG30" s="42">
        <f t="shared" si="174"/>
        <v>0</v>
      </c>
      <c r="AH30" s="42">
        <f t="shared" si="174"/>
        <v>0</v>
      </c>
      <c r="AI30" s="42">
        <f t="shared" si="174"/>
        <v>0</v>
      </c>
      <c r="AJ30" s="42">
        <f t="shared" si="174"/>
        <v>0</v>
      </c>
      <c r="AK30" s="42">
        <f t="shared" si="174"/>
        <v>0</v>
      </c>
      <c r="AL30" s="42">
        <f t="shared" si="174"/>
        <v>0</v>
      </c>
      <c r="AM30" s="42">
        <f t="shared" si="174"/>
        <v>0</v>
      </c>
      <c r="AN30" s="42">
        <f t="shared" si="174"/>
        <v>0</v>
      </c>
      <c r="AO30" s="42">
        <f t="shared" si="174"/>
        <v>0</v>
      </c>
      <c r="AP30" s="42">
        <f t="shared" si="174"/>
        <v>0</v>
      </c>
      <c r="AQ30" s="393">
        <f t="shared" si="174"/>
        <v>0</v>
      </c>
      <c r="AS30" s="42">
        <f t="shared" ref="AS30:BE30" si="175">AS20-AS24</f>
        <v>0</v>
      </c>
      <c r="AT30" s="42">
        <f t="shared" si="175"/>
        <v>0</v>
      </c>
      <c r="AU30" s="42">
        <f t="shared" si="175"/>
        <v>0</v>
      </c>
      <c r="AV30" s="42">
        <f t="shared" si="175"/>
        <v>0</v>
      </c>
      <c r="AW30" s="42">
        <f t="shared" si="175"/>
        <v>0</v>
      </c>
      <c r="AX30" s="42">
        <f t="shared" si="175"/>
        <v>0</v>
      </c>
      <c r="AY30" s="42">
        <f t="shared" si="175"/>
        <v>0</v>
      </c>
      <c r="AZ30" s="42">
        <f t="shared" si="175"/>
        <v>0</v>
      </c>
      <c r="BA30" s="42">
        <f t="shared" si="175"/>
        <v>0</v>
      </c>
      <c r="BB30" s="42">
        <f t="shared" si="175"/>
        <v>0</v>
      </c>
      <c r="BC30" s="42">
        <f t="shared" si="175"/>
        <v>0</v>
      </c>
      <c r="BD30" s="42">
        <f t="shared" si="175"/>
        <v>0</v>
      </c>
      <c r="BE30" s="42">
        <f t="shared" si="175"/>
        <v>0</v>
      </c>
      <c r="BG30" s="42">
        <f t="shared" ref="BG30:BS30" si="176">BG20-BG24</f>
        <v>0</v>
      </c>
      <c r="BH30" s="42">
        <f t="shared" si="176"/>
        <v>0</v>
      </c>
      <c r="BI30" s="42">
        <f t="shared" si="176"/>
        <v>0</v>
      </c>
      <c r="BJ30" s="42">
        <f t="shared" si="176"/>
        <v>0</v>
      </c>
      <c r="BK30" s="42">
        <f t="shared" si="176"/>
        <v>0</v>
      </c>
      <c r="BL30" s="42">
        <f t="shared" si="176"/>
        <v>0</v>
      </c>
      <c r="BM30" s="42">
        <f t="shared" si="176"/>
        <v>0</v>
      </c>
      <c r="BN30" s="42">
        <f t="shared" si="176"/>
        <v>0</v>
      </c>
      <c r="BO30" s="42">
        <f t="shared" si="176"/>
        <v>0</v>
      </c>
      <c r="BP30" s="42">
        <f t="shared" si="176"/>
        <v>0</v>
      </c>
      <c r="BQ30" s="42">
        <f t="shared" si="176"/>
        <v>0</v>
      </c>
      <c r="BR30" s="42">
        <f t="shared" si="176"/>
        <v>0</v>
      </c>
      <c r="BS30" s="42">
        <f t="shared" si="176"/>
        <v>0</v>
      </c>
      <c r="BU30" s="42">
        <f t="shared" ref="BU30:CG30" si="177">BU20-BU24</f>
        <v>0</v>
      </c>
      <c r="BV30" s="42">
        <f t="shared" si="177"/>
        <v>0</v>
      </c>
      <c r="BW30" s="42">
        <f t="shared" si="177"/>
        <v>0</v>
      </c>
      <c r="BX30" s="42">
        <f t="shared" si="177"/>
        <v>0</v>
      </c>
      <c r="BY30" s="42">
        <f t="shared" si="177"/>
        <v>0</v>
      </c>
      <c r="BZ30" s="42">
        <f t="shared" si="177"/>
        <v>0</v>
      </c>
      <c r="CA30" s="42">
        <f t="shared" si="177"/>
        <v>0</v>
      </c>
      <c r="CB30" s="42">
        <f t="shared" si="177"/>
        <v>0</v>
      </c>
      <c r="CC30" s="42">
        <f t="shared" si="177"/>
        <v>0</v>
      </c>
      <c r="CD30" s="42">
        <f t="shared" si="177"/>
        <v>0</v>
      </c>
      <c r="CE30" s="42">
        <f t="shared" si="177"/>
        <v>0</v>
      </c>
      <c r="CF30" s="42">
        <f t="shared" si="177"/>
        <v>0</v>
      </c>
      <c r="CG30" s="42">
        <f t="shared" si="177"/>
        <v>0</v>
      </c>
      <c r="CI30" s="42">
        <f t="shared" ref="CI30:CU30" si="178">CI20-CI24</f>
        <v>0</v>
      </c>
      <c r="CJ30" s="42">
        <f t="shared" si="178"/>
        <v>0</v>
      </c>
      <c r="CK30" s="42">
        <f t="shared" si="178"/>
        <v>0</v>
      </c>
      <c r="CL30" s="42">
        <f t="shared" si="178"/>
        <v>0</v>
      </c>
      <c r="CM30" s="42">
        <f t="shared" si="178"/>
        <v>0</v>
      </c>
      <c r="CN30" s="42">
        <f t="shared" si="178"/>
        <v>0</v>
      </c>
      <c r="CO30" s="42">
        <f t="shared" si="178"/>
        <v>0</v>
      </c>
      <c r="CP30" s="42">
        <f t="shared" si="178"/>
        <v>0</v>
      </c>
      <c r="CQ30" s="42">
        <f t="shared" si="178"/>
        <v>0</v>
      </c>
      <c r="CR30" s="42">
        <f t="shared" si="178"/>
        <v>0</v>
      </c>
      <c r="CS30" s="42">
        <f t="shared" si="178"/>
        <v>0</v>
      </c>
      <c r="CT30" s="42">
        <f t="shared" si="178"/>
        <v>0</v>
      </c>
      <c r="CU30" s="42">
        <f t="shared" si="178"/>
        <v>0</v>
      </c>
      <c r="CW30" s="42">
        <f t="shared" ref="CW30:DI30" si="179">CW20-CW24</f>
        <v>0</v>
      </c>
      <c r="CX30" s="42">
        <f t="shared" si="179"/>
        <v>0</v>
      </c>
      <c r="CY30" s="42">
        <f t="shared" si="179"/>
        <v>0</v>
      </c>
      <c r="CZ30" s="42">
        <f t="shared" si="179"/>
        <v>0</v>
      </c>
      <c r="DA30" s="42">
        <f t="shared" si="179"/>
        <v>0</v>
      </c>
      <c r="DB30" s="42">
        <f t="shared" si="179"/>
        <v>0</v>
      </c>
      <c r="DC30" s="42">
        <f t="shared" si="179"/>
        <v>0</v>
      </c>
      <c r="DD30" s="42">
        <f t="shared" si="179"/>
        <v>0</v>
      </c>
      <c r="DE30" s="42">
        <f t="shared" si="179"/>
        <v>0</v>
      </c>
      <c r="DF30" s="42">
        <f t="shared" si="179"/>
        <v>0</v>
      </c>
      <c r="DG30" s="42">
        <f t="shared" si="179"/>
        <v>0</v>
      </c>
      <c r="DH30" s="42">
        <f t="shared" si="179"/>
        <v>0</v>
      </c>
      <c r="DI30" s="42">
        <f t="shared" si="179"/>
        <v>0</v>
      </c>
      <c r="DK30" s="42">
        <f t="shared" ref="DK30:DW30" si="180">DK20-DK24</f>
        <v>0</v>
      </c>
      <c r="DL30" s="42">
        <f t="shared" si="180"/>
        <v>0</v>
      </c>
      <c r="DM30" s="42">
        <f t="shared" si="180"/>
        <v>0</v>
      </c>
      <c r="DN30" s="42">
        <f t="shared" si="180"/>
        <v>0</v>
      </c>
      <c r="DO30" s="42">
        <f t="shared" si="180"/>
        <v>0</v>
      </c>
      <c r="DP30" s="42">
        <f t="shared" si="180"/>
        <v>0</v>
      </c>
      <c r="DQ30" s="42">
        <f t="shared" si="180"/>
        <v>0</v>
      </c>
      <c r="DR30" s="42">
        <f t="shared" si="180"/>
        <v>0</v>
      </c>
      <c r="DS30" s="42">
        <f t="shared" si="180"/>
        <v>0</v>
      </c>
      <c r="DT30" s="42">
        <f t="shared" si="180"/>
        <v>0</v>
      </c>
      <c r="DU30" s="42">
        <f t="shared" si="180"/>
        <v>0</v>
      </c>
      <c r="DV30" s="42">
        <f t="shared" si="180"/>
        <v>0</v>
      </c>
      <c r="DW30" s="42">
        <f t="shared" si="180"/>
        <v>0</v>
      </c>
      <c r="DY30" s="42">
        <f t="shared" ref="DY30:EK30" si="181">DY20-DY24</f>
        <v>0</v>
      </c>
      <c r="DZ30" s="42">
        <f t="shared" si="181"/>
        <v>0</v>
      </c>
      <c r="EA30" s="42">
        <f t="shared" si="181"/>
        <v>0</v>
      </c>
      <c r="EB30" s="42">
        <f t="shared" si="181"/>
        <v>0</v>
      </c>
      <c r="EC30" s="42">
        <f t="shared" si="181"/>
        <v>0</v>
      </c>
      <c r="ED30" s="42">
        <f t="shared" si="181"/>
        <v>0</v>
      </c>
      <c r="EE30" s="42">
        <f t="shared" si="181"/>
        <v>0</v>
      </c>
      <c r="EF30" s="42">
        <f t="shared" si="181"/>
        <v>0</v>
      </c>
      <c r="EG30" s="42">
        <f t="shared" si="181"/>
        <v>0</v>
      </c>
      <c r="EH30" s="42">
        <f t="shared" si="181"/>
        <v>0</v>
      </c>
      <c r="EI30" s="42">
        <f t="shared" si="181"/>
        <v>0</v>
      </c>
      <c r="EJ30" s="42">
        <f t="shared" si="181"/>
        <v>0</v>
      </c>
      <c r="EK30" s="42">
        <f t="shared" si="181"/>
        <v>0</v>
      </c>
    </row>
    <row r="31" spans="1:141" ht="16.5" customHeight="1">
      <c r="A31" s="45">
        <v>7</v>
      </c>
      <c r="B31" s="35" t="s">
        <v>25</v>
      </c>
      <c r="C31" s="414">
        <f>SUM(C32:C34)</f>
        <v>0</v>
      </c>
      <c r="D31" s="53">
        <f t="shared" ref="D31:O31" si="182">SUM(D32:D34)</f>
        <v>0</v>
      </c>
      <c r="E31" s="53">
        <f t="shared" si="182"/>
        <v>0</v>
      </c>
      <c r="F31" s="53">
        <f t="shared" si="182"/>
        <v>0</v>
      </c>
      <c r="G31" s="53">
        <f t="shared" si="182"/>
        <v>0</v>
      </c>
      <c r="H31" s="53">
        <f t="shared" si="182"/>
        <v>0</v>
      </c>
      <c r="I31" s="53">
        <f t="shared" si="182"/>
        <v>0</v>
      </c>
      <c r="J31" s="53">
        <f t="shared" si="182"/>
        <v>0</v>
      </c>
      <c r="K31" s="53">
        <f t="shared" si="182"/>
        <v>0</v>
      </c>
      <c r="L31" s="53">
        <f t="shared" si="182"/>
        <v>0</v>
      </c>
      <c r="M31" s="53">
        <f t="shared" si="182"/>
        <v>0</v>
      </c>
      <c r="N31" s="53">
        <f t="shared" si="182"/>
        <v>0</v>
      </c>
      <c r="O31" s="415">
        <f t="shared" si="182"/>
        <v>0</v>
      </c>
      <c r="Q31" s="53">
        <f>SUM(Q32:Q34)</f>
        <v>0</v>
      </c>
      <c r="R31" s="53">
        <f t="shared" ref="R31:AC31" si="183">SUM(R32:R34)</f>
        <v>0</v>
      </c>
      <c r="S31" s="53">
        <f t="shared" si="183"/>
        <v>0</v>
      </c>
      <c r="T31" s="53">
        <f t="shared" si="183"/>
        <v>0</v>
      </c>
      <c r="U31" s="53">
        <f t="shared" si="183"/>
        <v>0</v>
      </c>
      <c r="V31" s="53">
        <f t="shared" si="183"/>
        <v>0</v>
      </c>
      <c r="W31" s="53">
        <f t="shared" si="183"/>
        <v>0</v>
      </c>
      <c r="X31" s="53">
        <f t="shared" si="183"/>
        <v>0</v>
      </c>
      <c r="Y31" s="53">
        <f t="shared" si="183"/>
        <v>0</v>
      </c>
      <c r="Z31" s="53">
        <f t="shared" si="183"/>
        <v>0</v>
      </c>
      <c r="AA31" s="53">
        <f t="shared" si="183"/>
        <v>0</v>
      </c>
      <c r="AB31" s="53">
        <f t="shared" si="183"/>
        <v>0</v>
      </c>
      <c r="AC31" s="53">
        <f t="shared" si="183"/>
        <v>0</v>
      </c>
      <c r="AE31" s="416">
        <f>SUM(AE32:AE34)</f>
        <v>0</v>
      </c>
      <c r="AF31" s="53">
        <f t="shared" ref="AF31:AQ31" si="184">SUM(AF32:AF34)</f>
        <v>0</v>
      </c>
      <c r="AG31" s="53">
        <f t="shared" si="184"/>
        <v>0</v>
      </c>
      <c r="AH31" s="53">
        <f t="shared" si="184"/>
        <v>0</v>
      </c>
      <c r="AI31" s="53">
        <f t="shared" si="184"/>
        <v>0</v>
      </c>
      <c r="AJ31" s="53">
        <f t="shared" si="184"/>
        <v>0</v>
      </c>
      <c r="AK31" s="53">
        <f t="shared" si="184"/>
        <v>0</v>
      </c>
      <c r="AL31" s="53">
        <f t="shared" si="184"/>
        <v>0</v>
      </c>
      <c r="AM31" s="53">
        <f t="shared" si="184"/>
        <v>0</v>
      </c>
      <c r="AN31" s="53">
        <f t="shared" si="184"/>
        <v>0</v>
      </c>
      <c r="AO31" s="53">
        <f t="shared" si="184"/>
        <v>0</v>
      </c>
      <c r="AP31" s="53">
        <f t="shared" si="184"/>
        <v>0</v>
      </c>
      <c r="AQ31" s="417">
        <f t="shared" si="184"/>
        <v>0</v>
      </c>
      <c r="AS31" s="53">
        <f>SUM(AS32:AS34)</f>
        <v>0</v>
      </c>
      <c r="AT31" s="53">
        <f t="shared" ref="AT31:BE31" si="185">SUM(AT32:AT34)</f>
        <v>0</v>
      </c>
      <c r="AU31" s="53">
        <f t="shared" si="185"/>
        <v>0</v>
      </c>
      <c r="AV31" s="53">
        <f t="shared" si="185"/>
        <v>0</v>
      </c>
      <c r="AW31" s="53">
        <f t="shared" si="185"/>
        <v>0</v>
      </c>
      <c r="AX31" s="53">
        <f t="shared" si="185"/>
        <v>0</v>
      </c>
      <c r="AY31" s="53">
        <f t="shared" si="185"/>
        <v>0</v>
      </c>
      <c r="AZ31" s="53">
        <f t="shared" si="185"/>
        <v>0</v>
      </c>
      <c r="BA31" s="53">
        <f t="shared" si="185"/>
        <v>0</v>
      </c>
      <c r="BB31" s="53">
        <f t="shared" si="185"/>
        <v>0</v>
      </c>
      <c r="BC31" s="53">
        <f t="shared" si="185"/>
        <v>0</v>
      </c>
      <c r="BD31" s="53">
        <f t="shared" si="185"/>
        <v>0</v>
      </c>
      <c r="BE31" s="53">
        <f t="shared" si="185"/>
        <v>0</v>
      </c>
      <c r="BG31" s="53">
        <f>SUM(BG32:BG34)</f>
        <v>0</v>
      </c>
      <c r="BH31" s="53">
        <f t="shared" ref="BH31:BS31" si="186">SUM(BH32:BH34)</f>
        <v>0</v>
      </c>
      <c r="BI31" s="53">
        <f t="shared" si="186"/>
        <v>0</v>
      </c>
      <c r="BJ31" s="53">
        <f t="shared" si="186"/>
        <v>0</v>
      </c>
      <c r="BK31" s="53">
        <f t="shared" si="186"/>
        <v>0</v>
      </c>
      <c r="BL31" s="53">
        <f t="shared" si="186"/>
        <v>0</v>
      </c>
      <c r="BM31" s="53">
        <f t="shared" si="186"/>
        <v>0</v>
      </c>
      <c r="BN31" s="53">
        <f t="shared" si="186"/>
        <v>0</v>
      </c>
      <c r="BO31" s="53">
        <f t="shared" si="186"/>
        <v>0</v>
      </c>
      <c r="BP31" s="53">
        <f t="shared" si="186"/>
        <v>0</v>
      </c>
      <c r="BQ31" s="53">
        <f t="shared" si="186"/>
        <v>0</v>
      </c>
      <c r="BR31" s="53">
        <f t="shared" si="186"/>
        <v>0</v>
      </c>
      <c r="BS31" s="53">
        <f t="shared" si="186"/>
        <v>0</v>
      </c>
      <c r="BU31" s="53">
        <f>SUM(BU32:BU34)</f>
        <v>0</v>
      </c>
      <c r="BV31" s="53">
        <f t="shared" ref="BV31:CG31" si="187">SUM(BV32:BV34)</f>
        <v>0</v>
      </c>
      <c r="BW31" s="53">
        <f t="shared" si="187"/>
        <v>0</v>
      </c>
      <c r="BX31" s="53">
        <f t="shared" si="187"/>
        <v>0</v>
      </c>
      <c r="BY31" s="53">
        <f t="shared" si="187"/>
        <v>0</v>
      </c>
      <c r="BZ31" s="53">
        <f t="shared" si="187"/>
        <v>0</v>
      </c>
      <c r="CA31" s="53">
        <f t="shared" si="187"/>
        <v>0</v>
      </c>
      <c r="CB31" s="53">
        <f t="shared" si="187"/>
        <v>0</v>
      </c>
      <c r="CC31" s="53">
        <f t="shared" si="187"/>
        <v>0</v>
      </c>
      <c r="CD31" s="53">
        <f t="shared" si="187"/>
        <v>0</v>
      </c>
      <c r="CE31" s="53">
        <f t="shared" si="187"/>
        <v>0</v>
      </c>
      <c r="CF31" s="53">
        <f t="shared" si="187"/>
        <v>0</v>
      </c>
      <c r="CG31" s="53">
        <f t="shared" si="187"/>
        <v>0</v>
      </c>
      <c r="CI31" s="53">
        <f>SUM(CI32:CI34)</f>
        <v>0</v>
      </c>
      <c r="CJ31" s="53">
        <f t="shared" ref="CJ31:CU31" si="188">SUM(CJ32:CJ34)</f>
        <v>0</v>
      </c>
      <c r="CK31" s="53">
        <f t="shared" si="188"/>
        <v>0</v>
      </c>
      <c r="CL31" s="53">
        <f t="shared" si="188"/>
        <v>0</v>
      </c>
      <c r="CM31" s="53">
        <f t="shared" si="188"/>
        <v>0</v>
      </c>
      <c r="CN31" s="53">
        <f t="shared" si="188"/>
        <v>0</v>
      </c>
      <c r="CO31" s="53">
        <f t="shared" si="188"/>
        <v>0</v>
      </c>
      <c r="CP31" s="53">
        <f t="shared" si="188"/>
        <v>0</v>
      </c>
      <c r="CQ31" s="53">
        <f t="shared" si="188"/>
        <v>0</v>
      </c>
      <c r="CR31" s="53">
        <f t="shared" si="188"/>
        <v>0</v>
      </c>
      <c r="CS31" s="53">
        <f t="shared" si="188"/>
        <v>0</v>
      </c>
      <c r="CT31" s="53">
        <f t="shared" si="188"/>
        <v>0</v>
      </c>
      <c r="CU31" s="53">
        <f t="shared" si="188"/>
        <v>0</v>
      </c>
      <c r="CW31" s="53">
        <f>SUM(CW32:CW34)</f>
        <v>0</v>
      </c>
      <c r="CX31" s="53">
        <f t="shared" ref="CX31:DI31" si="189">SUM(CX32:CX34)</f>
        <v>0</v>
      </c>
      <c r="CY31" s="53">
        <f t="shared" si="189"/>
        <v>0</v>
      </c>
      <c r="CZ31" s="53">
        <f t="shared" si="189"/>
        <v>0</v>
      </c>
      <c r="DA31" s="53">
        <f t="shared" si="189"/>
        <v>0</v>
      </c>
      <c r="DB31" s="53">
        <f t="shared" si="189"/>
        <v>0</v>
      </c>
      <c r="DC31" s="53">
        <f t="shared" si="189"/>
        <v>0</v>
      </c>
      <c r="DD31" s="53">
        <f t="shared" si="189"/>
        <v>0</v>
      </c>
      <c r="DE31" s="53">
        <f t="shared" si="189"/>
        <v>0</v>
      </c>
      <c r="DF31" s="53">
        <f t="shared" si="189"/>
        <v>0</v>
      </c>
      <c r="DG31" s="53">
        <f t="shared" si="189"/>
        <v>0</v>
      </c>
      <c r="DH31" s="53">
        <f t="shared" si="189"/>
        <v>0</v>
      </c>
      <c r="DI31" s="53">
        <f t="shared" si="189"/>
        <v>0</v>
      </c>
      <c r="DK31" s="53">
        <f>SUM(DK32:DK34)</f>
        <v>0</v>
      </c>
      <c r="DL31" s="53">
        <f t="shared" ref="DL31:DW31" si="190">SUM(DL32:DL34)</f>
        <v>0</v>
      </c>
      <c r="DM31" s="53">
        <f t="shared" si="190"/>
        <v>0</v>
      </c>
      <c r="DN31" s="53">
        <f t="shared" si="190"/>
        <v>0</v>
      </c>
      <c r="DO31" s="53">
        <f t="shared" si="190"/>
        <v>0</v>
      </c>
      <c r="DP31" s="53">
        <f t="shared" si="190"/>
        <v>0</v>
      </c>
      <c r="DQ31" s="53">
        <f t="shared" si="190"/>
        <v>0</v>
      </c>
      <c r="DR31" s="53">
        <f t="shared" si="190"/>
        <v>0</v>
      </c>
      <c r="DS31" s="53">
        <f t="shared" si="190"/>
        <v>0</v>
      </c>
      <c r="DT31" s="53">
        <f t="shared" si="190"/>
        <v>0</v>
      </c>
      <c r="DU31" s="53">
        <f t="shared" si="190"/>
        <v>0</v>
      </c>
      <c r="DV31" s="53">
        <f t="shared" si="190"/>
        <v>0</v>
      </c>
      <c r="DW31" s="53">
        <f t="shared" si="190"/>
        <v>0</v>
      </c>
      <c r="DY31" s="53">
        <f>SUM(DY32:DY34)</f>
        <v>0</v>
      </c>
      <c r="DZ31" s="53">
        <f t="shared" ref="DZ31:EK31" si="191">SUM(DZ32:DZ34)</f>
        <v>0</v>
      </c>
      <c r="EA31" s="53">
        <f t="shared" si="191"/>
        <v>0</v>
      </c>
      <c r="EB31" s="53">
        <f t="shared" si="191"/>
        <v>0</v>
      </c>
      <c r="EC31" s="53">
        <f t="shared" si="191"/>
        <v>0</v>
      </c>
      <c r="ED31" s="53">
        <f t="shared" si="191"/>
        <v>0</v>
      </c>
      <c r="EE31" s="53">
        <f t="shared" si="191"/>
        <v>0</v>
      </c>
      <c r="EF31" s="53">
        <f t="shared" si="191"/>
        <v>0</v>
      </c>
      <c r="EG31" s="53">
        <f t="shared" si="191"/>
        <v>0</v>
      </c>
      <c r="EH31" s="53">
        <f t="shared" si="191"/>
        <v>0</v>
      </c>
      <c r="EI31" s="53">
        <f t="shared" si="191"/>
        <v>0</v>
      </c>
      <c r="EJ31" s="53">
        <f t="shared" si="191"/>
        <v>0</v>
      </c>
      <c r="EK31" s="53">
        <f t="shared" si="191"/>
        <v>0</v>
      </c>
    </row>
    <row r="32" spans="1:141" outlineLevel="1">
      <c r="A32" s="46" t="s">
        <v>61</v>
      </c>
      <c r="B32" s="37" t="s">
        <v>1</v>
      </c>
      <c r="C32" s="374">
        <f t="shared" ref="C32:N39" si="192">Q32+AE32</f>
        <v>0</v>
      </c>
      <c r="D32" s="54">
        <f t="shared" si="192"/>
        <v>0</v>
      </c>
      <c r="E32" s="54">
        <f t="shared" si="192"/>
        <v>0</v>
      </c>
      <c r="F32" s="54">
        <f t="shared" si="192"/>
        <v>0</v>
      </c>
      <c r="G32" s="54">
        <f t="shared" si="192"/>
        <v>0</v>
      </c>
      <c r="H32" s="54">
        <f t="shared" si="192"/>
        <v>0</v>
      </c>
      <c r="I32" s="54">
        <f t="shared" si="192"/>
        <v>0</v>
      </c>
      <c r="J32" s="54">
        <f t="shared" si="192"/>
        <v>0</v>
      </c>
      <c r="K32" s="54">
        <f t="shared" si="192"/>
        <v>0</v>
      </c>
      <c r="L32" s="54">
        <f t="shared" si="192"/>
        <v>0</v>
      </c>
      <c r="M32" s="54">
        <f t="shared" si="192"/>
        <v>0</v>
      </c>
      <c r="N32" s="54">
        <f t="shared" si="192"/>
        <v>0</v>
      </c>
      <c r="O32" s="375">
        <f t="shared" ref="O32:O42" si="193">SUM(C32:N32)</f>
        <v>0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>
        <f t="shared" ref="AC32:AC39" si="194">SUM(Q32:AB32)</f>
        <v>0</v>
      </c>
      <c r="AE32" s="376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377">
        <f t="shared" ref="AQ32:AQ39" si="195">SUM(AE32:AP32)</f>
        <v>0</v>
      </c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>
        <f t="shared" ref="BE32:BE39" si="196">SUM(AS32:BD32)</f>
        <v>0</v>
      </c>
      <c r="BG32" s="54">
        <f t="shared" ref="BG32:BR39" si="197">BU32+CI32+CW32</f>
        <v>0</v>
      </c>
      <c r="BH32" s="54">
        <f t="shared" si="197"/>
        <v>0</v>
      </c>
      <c r="BI32" s="54">
        <f t="shared" si="197"/>
        <v>0</v>
      </c>
      <c r="BJ32" s="54">
        <f t="shared" si="197"/>
        <v>0</v>
      </c>
      <c r="BK32" s="54">
        <f t="shared" si="197"/>
        <v>0</v>
      </c>
      <c r="BL32" s="54">
        <f t="shared" si="197"/>
        <v>0</v>
      </c>
      <c r="BM32" s="54">
        <f t="shared" si="197"/>
        <v>0</v>
      </c>
      <c r="BN32" s="54">
        <f t="shared" si="197"/>
        <v>0</v>
      </c>
      <c r="BO32" s="54">
        <f t="shared" si="197"/>
        <v>0</v>
      </c>
      <c r="BP32" s="54">
        <f t="shared" si="197"/>
        <v>0</v>
      </c>
      <c r="BQ32" s="54">
        <f t="shared" si="197"/>
        <v>0</v>
      </c>
      <c r="BR32" s="54">
        <f t="shared" si="197"/>
        <v>0</v>
      </c>
      <c r="BS32" s="54">
        <f t="shared" ref="BS32:BS39" si="198">SUM(BG32:BR32)</f>
        <v>0</v>
      </c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>
        <f t="shared" ref="CG32:CG39" si="199">SUM(BU32:CF32)</f>
        <v>0</v>
      </c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>
        <f t="shared" ref="CU32:CU39" si="200">SUM(CI32:CT32)</f>
        <v>0</v>
      </c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>
        <f t="shared" ref="DI32:DI39" si="201">SUM(CW32:DH32)</f>
        <v>0</v>
      </c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>
        <f t="shared" ref="DW32:DW39" si="202">SUM(DK32:DV32)</f>
        <v>0</v>
      </c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>
        <f t="shared" ref="EK32:EK39" si="203">SUM(DY32:EJ32)</f>
        <v>0</v>
      </c>
    </row>
    <row r="33" spans="1:141" ht="15" customHeight="1" outlineLevel="1">
      <c r="A33" s="46" t="s">
        <v>69</v>
      </c>
      <c r="B33" s="37" t="s">
        <v>2</v>
      </c>
      <c r="C33" s="418">
        <f t="shared" si="192"/>
        <v>0</v>
      </c>
      <c r="D33" s="76">
        <f t="shared" si="192"/>
        <v>0</v>
      </c>
      <c r="E33" s="76">
        <f t="shared" si="192"/>
        <v>0</v>
      </c>
      <c r="F33" s="76">
        <f t="shared" si="192"/>
        <v>0</v>
      </c>
      <c r="G33" s="76">
        <f t="shared" si="192"/>
        <v>0</v>
      </c>
      <c r="H33" s="76">
        <f t="shared" si="192"/>
        <v>0</v>
      </c>
      <c r="I33" s="76">
        <f t="shared" si="192"/>
        <v>0</v>
      </c>
      <c r="J33" s="76">
        <f t="shared" si="192"/>
        <v>0</v>
      </c>
      <c r="K33" s="76">
        <f t="shared" si="192"/>
        <v>0</v>
      </c>
      <c r="L33" s="76">
        <f t="shared" si="192"/>
        <v>0</v>
      </c>
      <c r="M33" s="76">
        <f t="shared" si="192"/>
        <v>0</v>
      </c>
      <c r="N33" s="76">
        <f t="shared" si="192"/>
        <v>0</v>
      </c>
      <c r="O33" s="419">
        <f t="shared" si="193"/>
        <v>0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>
        <f t="shared" si="194"/>
        <v>0</v>
      </c>
      <c r="AE33" s="420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421">
        <f t="shared" si="195"/>
        <v>0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>
        <f t="shared" si="196"/>
        <v>0</v>
      </c>
      <c r="BG33" s="76">
        <f t="shared" si="197"/>
        <v>0</v>
      </c>
      <c r="BH33" s="76">
        <f t="shared" si="197"/>
        <v>0</v>
      </c>
      <c r="BI33" s="76">
        <f t="shared" si="197"/>
        <v>0</v>
      </c>
      <c r="BJ33" s="76">
        <f t="shared" si="197"/>
        <v>0</v>
      </c>
      <c r="BK33" s="76">
        <f t="shared" si="197"/>
        <v>0</v>
      </c>
      <c r="BL33" s="76">
        <f t="shared" si="197"/>
        <v>0</v>
      </c>
      <c r="BM33" s="76">
        <f t="shared" si="197"/>
        <v>0</v>
      </c>
      <c r="BN33" s="76">
        <f t="shared" si="197"/>
        <v>0</v>
      </c>
      <c r="BO33" s="76">
        <f t="shared" si="197"/>
        <v>0</v>
      </c>
      <c r="BP33" s="76">
        <f t="shared" si="197"/>
        <v>0</v>
      </c>
      <c r="BQ33" s="76">
        <f t="shared" si="197"/>
        <v>0</v>
      </c>
      <c r="BR33" s="76">
        <f t="shared" si="197"/>
        <v>0</v>
      </c>
      <c r="BS33" s="76">
        <f t="shared" si="198"/>
        <v>0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>
        <f t="shared" si="199"/>
        <v>0</v>
      </c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>
        <f t="shared" si="200"/>
        <v>0</v>
      </c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>
        <f t="shared" si="201"/>
        <v>0</v>
      </c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>
        <f t="shared" si="202"/>
        <v>0</v>
      </c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>
        <f t="shared" si="203"/>
        <v>0</v>
      </c>
    </row>
    <row r="34" spans="1:141" outlineLevel="1">
      <c r="A34" s="46" t="s">
        <v>70</v>
      </c>
      <c r="B34" s="37" t="s">
        <v>3</v>
      </c>
      <c r="C34" s="374">
        <f t="shared" si="192"/>
        <v>0</v>
      </c>
      <c r="D34" s="54">
        <f t="shared" si="192"/>
        <v>0</v>
      </c>
      <c r="E34" s="54">
        <f t="shared" si="192"/>
        <v>0</v>
      </c>
      <c r="F34" s="54">
        <f t="shared" si="192"/>
        <v>0</v>
      </c>
      <c r="G34" s="54">
        <f t="shared" si="192"/>
        <v>0</v>
      </c>
      <c r="H34" s="54">
        <f t="shared" si="192"/>
        <v>0</v>
      </c>
      <c r="I34" s="54">
        <f t="shared" si="192"/>
        <v>0</v>
      </c>
      <c r="J34" s="54">
        <f t="shared" si="192"/>
        <v>0</v>
      </c>
      <c r="K34" s="54">
        <f t="shared" si="192"/>
        <v>0</v>
      </c>
      <c r="L34" s="54">
        <f t="shared" si="192"/>
        <v>0</v>
      </c>
      <c r="M34" s="54">
        <f t="shared" si="192"/>
        <v>0</v>
      </c>
      <c r="N34" s="54">
        <f t="shared" si="192"/>
        <v>0</v>
      </c>
      <c r="O34" s="375">
        <f t="shared" si="193"/>
        <v>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>
        <f t="shared" si="194"/>
        <v>0</v>
      </c>
      <c r="AE34" s="376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377">
        <f t="shared" si="195"/>
        <v>0</v>
      </c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>
        <f t="shared" si="196"/>
        <v>0</v>
      </c>
      <c r="BG34" s="54">
        <f t="shared" si="197"/>
        <v>0</v>
      </c>
      <c r="BH34" s="54">
        <f t="shared" si="197"/>
        <v>0</v>
      </c>
      <c r="BI34" s="54">
        <f t="shared" si="197"/>
        <v>0</v>
      </c>
      <c r="BJ34" s="54">
        <f t="shared" si="197"/>
        <v>0</v>
      </c>
      <c r="BK34" s="54">
        <f t="shared" si="197"/>
        <v>0</v>
      </c>
      <c r="BL34" s="54">
        <f t="shared" si="197"/>
        <v>0</v>
      </c>
      <c r="BM34" s="54">
        <f t="shared" si="197"/>
        <v>0</v>
      </c>
      <c r="BN34" s="54">
        <f t="shared" si="197"/>
        <v>0</v>
      </c>
      <c r="BO34" s="54">
        <f t="shared" si="197"/>
        <v>0</v>
      </c>
      <c r="BP34" s="54">
        <f t="shared" si="197"/>
        <v>0</v>
      </c>
      <c r="BQ34" s="54">
        <f t="shared" si="197"/>
        <v>0</v>
      </c>
      <c r="BR34" s="54">
        <f t="shared" si="197"/>
        <v>0</v>
      </c>
      <c r="BS34" s="54">
        <f t="shared" si="198"/>
        <v>0</v>
      </c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>
        <f t="shared" si="199"/>
        <v>0</v>
      </c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>
        <f t="shared" si="200"/>
        <v>0</v>
      </c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>
        <f t="shared" si="201"/>
        <v>0</v>
      </c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>
        <f t="shared" si="202"/>
        <v>0</v>
      </c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>
        <f t="shared" si="203"/>
        <v>0</v>
      </c>
    </row>
    <row r="35" spans="1:141">
      <c r="A35" s="38">
        <v>8</v>
      </c>
      <c r="B35" s="39" t="s">
        <v>26</v>
      </c>
      <c r="C35" s="374">
        <f t="shared" si="192"/>
        <v>20065548.111111112</v>
      </c>
      <c r="D35" s="54">
        <f t="shared" si="192"/>
        <v>20065548.111111112</v>
      </c>
      <c r="E35" s="54">
        <f t="shared" si="192"/>
        <v>20065548.111111112</v>
      </c>
      <c r="F35" s="54">
        <f t="shared" si="192"/>
        <v>10065548.111111112</v>
      </c>
      <c r="G35" s="54">
        <f t="shared" si="192"/>
        <v>10065548.111111112</v>
      </c>
      <c r="H35" s="54">
        <f t="shared" si="192"/>
        <v>10065548.111111112</v>
      </c>
      <c r="I35" s="54">
        <f t="shared" si="192"/>
        <v>10065548.111111112</v>
      </c>
      <c r="J35" s="54">
        <f t="shared" si="192"/>
        <v>10065548.111111112</v>
      </c>
      <c r="K35" s="54">
        <f t="shared" si="192"/>
        <v>10065548.111111112</v>
      </c>
      <c r="L35" s="54">
        <f t="shared" si="192"/>
        <v>10065548.111111112</v>
      </c>
      <c r="M35" s="54">
        <f t="shared" si="192"/>
        <v>10065548.111111112</v>
      </c>
      <c r="N35" s="54">
        <f t="shared" si="192"/>
        <v>10065548.111111112</v>
      </c>
      <c r="O35" s="375">
        <f t="shared" si="193"/>
        <v>150786577.33333328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>
        <f t="shared" si="194"/>
        <v>0</v>
      </c>
      <c r="AE35" s="376">
        <f t="shared" ref="AE35:AP39" si="204">AS35+BU35+CI35+CW35+DK35</f>
        <v>20065548.111111112</v>
      </c>
      <c r="AF35" s="54">
        <f t="shared" si="204"/>
        <v>20065548.111111112</v>
      </c>
      <c r="AG35" s="54">
        <f t="shared" si="204"/>
        <v>20065548.111111112</v>
      </c>
      <c r="AH35" s="54">
        <f t="shared" si="204"/>
        <v>10065548.111111112</v>
      </c>
      <c r="AI35" s="54">
        <f t="shared" si="204"/>
        <v>10065548.111111112</v>
      </c>
      <c r="AJ35" s="54">
        <f t="shared" si="204"/>
        <v>10065548.111111112</v>
      </c>
      <c r="AK35" s="54">
        <f t="shared" si="204"/>
        <v>10065548.111111112</v>
      </c>
      <c r="AL35" s="54">
        <f t="shared" si="204"/>
        <v>10065548.111111112</v>
      </c>
      <c r="AM35" s="54">
        <f t="shared" si="204"/>
        <v>10065548.111111112</v>
      </c>
      <c r="AN35" s="54">
        <f t="shared" si="204"/>
        <v>10065548.111111112</v>
      </c>
      <c r="AO35" s="54">
        <f t="shared" si="204"/>
        <v>10065548.111111112</v>
      </c>
      <c r="AP35" s="54">
        <f t="shared" si="204"/>
        <v>10065548.111111112</v>
      </c>
      <c r="AQ35" s="377">
        <f t="shared" si="195"/>
        <v>150786577.33333328</v>
      </c>
      <c r="AS35" s="54">
        <f>'PL-KH26-DTR'!BL11</f>
        <v>0</v>
      </c>
      <c r="AT35" s="54">
        <f>'PL-KH26-DTR'!BM11</f>
        <v>0</v>
      </c>
      <c r="AU35" s="54">
        <f>'PL-KH26-DTR'!BN11</f>
        <v>0</v>
      </c>
      <c r="AV35" s="54">
        <f>'PL-KH26-DTR'!BO11</f>
        <v>0</v>
      </c>
      <c r="AW35" s="54">
        <f>'PL-KH26-DTR'!BP11</f>
        <v>0</v>
      </c>
      <c r="AX35" s="54">
        <f>'PL-KH26-DTR'!BQ11</f>
        <v>0</v>
      </c>
      <c r="AY35" s="54">
        <f>'PL-KH26-DTR'!BR11</f>
        <v>0</v>
      </c>
      <c r="AZ35" s="54">
        <f>'PL-KH26-DTR'!BS11</f>
        <v>0</v>
      </c>
      <c r="BA35" s="54">
        <f>'PL-KH26-DTR'!BT11</f>
        <v>0</v>
      </c>
      <c r="BB35" s="54">
        <f>'PL-KH26-DTR'!BU11</f>
        <v>0</v>
      </c>
      <c r="BC35" s="54">
        <f>'PL-KH26-DTR'!BV11</f>
        <v>0</v>
      </c>
      <c r="BD35" s="54">
        <f>'PL-KH26-DTR'!BW11</f>
        <v>0</v>
      </c>
      <c r="BE35" s="54">
        <f t="shared" si="196"/>
        <v>0</v>
      </c>
      <c r="BG35" s="54">
        <f t="shared" si="197"/>
        <v>20060000</v>
      </c>
      <c r="BH35" s="54">
        <f t="shared" si="197"/>
        <v>20060000</v>
      </c>
      <c r="BI35" s="54">
        <f t="shared" si="197"/>
        <v>20060000</v>
      </c>
      <c r="BJ35" s="54">
        <f t="shared" si="197"/>
        <v>10060000</v>
      </c>
      <c r="BK35" s="54">
        <f t="shared" si="197"/>
        <v>10060000</v>
      </c>
      <c r="BL35" s="54">
        <f t="shared" si="197"/>
        <v>10060000</v>
      </c>
      <c r="BM35" s="54">
        <f t="shared" si="197"/>
        <v>10060000</v>
      </c>
      <c r="BN35" s="54">
        <f t="shared" si="197"/>
        <v>10060000</v>
      </c>
      <c r="BO35" s="54">
        <f t="shared" si="197"/>
        <v>10060000</v>
      </c>
      <c r="BP35" s="54">
        <f t="shared" si="197"/>
        <v>10060000</v>
      </c>
      <c r="BQ35" s="54">
        <f t="shared" si="197"/>
        <v>10060000</v>
      </c>
      <c r="BR35" s="54">
        <f t="shared" si="197"/>
        <v>10060000</v>
      </c>
      <c r="BS35" s="54">
        <f t="shared" si="198"/>
        <v>150720000</v>
      </c>
      <c r="BU35" s="54">
        <f>'PL-KH26-DongLam'!G45</f>
        <v>20000000</v>
      </c>
      <c r="BV35" s="54">
        <f>'PL-KH26-DongLam'!H45</f>
        <v>20000000</v>
      </c>
      <c r="BW35" s="54">
        <f>'PL-KH26-DongLam'!I45</f>
        <v>20000000</v>
      </c>
      <c r="BX35" s="54">
        <f>'PL-KH26-DongLam'!J45</f>
        <v>10000000</v>
      </c>
      <c r="BY35" s="54">
        <f>'PL-KH26-DongLam'!K45</f>
        <v>10000000</v>
      </c>
      <c r="BZ35" s="54">
        <f>'PL-KH26-DongLam'!L45</f>
        <v>10000000</v>
      </c>
      <c r="CA35" s="54">
        <f>'PL-KH26-DongLam'!M45</f>
        <v>10000000</v>
      </c>
      <c r="CB35" s="54">
        <f>'PL-KH26-DongLam'!N45</f>
        <v>10000000</v>
      </c>
      <c r="CC35" s="54">
        <f>'PL-KH26-DongLam'!O45</f>
        <v>10000000</v>
      </c>
      <c r="CD35" s="54">
        <f>'PL-KH26-DongLam'!P45</f>
        <v>10000000</v>
      </c>
      <c r="CE35" s="54">
        <f>'PL-KH26-DongLam'!Q45</f>
        <v>10000000</v>
      </c>
      <c r="CF35" s="54">
        <f>'PL-KH26-DongLam'!R45</f>
        <v>10000000</v>
      </c>
      <c r="CG35" s="54">
        <f t="shared" si="199"/>
        <v>150000000</v>
      </c>
      <c r="CI35" s="54">
        <f>'PL-KH26-KhanhNga'!G44</f>
        <v>60000</v>
      </c>
      <c r="CJ35" s="54">
        <f>'PL-KH26-KhanhNga'!H44</f>
        <v>60000</v>
      </c>
      <c r="CK35" s="54">
        <f>'PL-KH26-KhanhNga'!I44</f>
        <v>60000</v>
      </c>
      <c r="CL35" s="54">
        <f>'PL-KH26-KhanhNga'!J44</f>
        <v>60000</v>
      </c>
      <c r="CM35" s="54">
        <f>'PL-KH26-KhanhNga'!K44</f>
        <v>60000</v>
      </c>
      <c r="CN35" s="54">
        <f>'PL-KH26-KhanhNga'!L44</f>
        <v>60000</v>
      </c>
      <c r="CO35" s="54">
        <f>'PL-KH26-KhanhNga'!M44</f>
        <v>60000</v>
      </c>
      <c r="CP35" s="54">
        <f>'PL-KH26-KhanhNga'!N44</f>
        <v>60000</v>
      </c>
      <c r="CQ35" s="54">
        <f>'PL-KH26-KhanhNga'!O44</f>
        <v>60000</v>
      </c>
      <c r="CR35" s="54">
        <f>'PL-KH26-KhanhNga'!P44</f>
        <v>60000</v>
      </c>
      <c r="CS35" s="54">
        <f>'PL-KH26-KhanhNga'!Q44</f>
        <v>60000</v>
      </c>
      <c r="CT35" s="54">
        <f>'PL-KH26-KhanhNga'!R44</f>
        <v>60000</v>
      </c>
      <c r="CU35" s="54">
        <f t="shared" si="200"/>
        <v>720000</v>
      </c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>
        <f t="shared" si="201"/>
        <v>0</v>
      </c>
      <c r="DK35" s="54">
        <f>'PL-KH26-TanDaiPhat'!B10</f>
        <v>5548.1111111111113</v>
      </c>
      <c r="DL35" s="54">
        <f>'PL-KH26-TanDaiPhat'!C10</f>
        <v>5548.1111111111113</v>
      </c>
      <c r="DM35" s="54">
        <f>'PL-KH26-TanDaiPhat'!D10</f>
        <v>5548.1111111111113</v>
      </c>
      <c r="DN35" s="54">
        <f>'PL-KH26-TanDaiPhat'!E10</f>
        <v>5548.1111111111113</v>
      </c>
      <c r="DO35" s="54">
        <f>'PL-KH26-TanDaiPhat'!F10</f>
        <v>5548.1111111111113</v>
      </c>
      <c r="DP35" s="54">
        <f>'PL-KH26-TanDaiPhat'!G10</f>
        <v>5548.1111111111113</v>
      </c>
      <c r="DQ35" s="54">
        <f>'PL-KH26-TanDaiPhat'!H10</f>
        <v>5548.1111111111113</v>
      </c>
      <c r="DR35" s="54">
        <f>'PL-KH26-TanDaiPhat'!I10</f>
        <v>5548.1111111111113</v>
      </c>
      <c r="DS35" s="54">
        <f>'PL-KH26-TanDaiPhat'!J10</f>
        <v>5548.1111111111113</v>
      </c>
      <c r="DT35" s="54">
        <f>'PL-KH26-TanDaiPhat'!K10</f>
        <v>5548.1111111111113</v>
      </c>
      <c r="DU35" s="54">
        <f>'PL-KH26-TanDaiPhat'!L10</f>
        <v>5548.1111111111113</v>
      </c>
      <c r="DV35" s="54">
        <f>'PL-KH26-TanDaiPhat'!M10</f>
        <v>5548.1111111111113</v>
      </c>
      <c r="DW35" s="54">
        <f t="shared" si="202"/>
        <v>66577.333333333328</v>
      </c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>
        <f t="shared" si="203"/>
        <v>0</v>
      </c>
    </row>
    <row r="36" spans="1:141">
      <c r="A36" s="47">
        <v>9</v>
      </c>
      <c r="B36" s="35" t="s">
        <v>27</v>
      </c>
      <c r="C36" s="374">
        <f t="shared" si="192"/>
        <v>1440729191.0893345</v>
      </c>
      <c r="D36" s="54">
        <f t="shared" si="192"/>
        <v>2314401491.6227865</v>
      </c>
      <c r="E36" s="54">
        <f t="shared" si="192"/>
        <v>2754845108.8531456</v>
      </c>
      <c r="F36" s="54">
        <f t="shared" si="192"/>
        <v>2658973977.945015</v>
      </c>
      <c r="G36" s="54">
        <f t="shared" si="192"/>
        <v>2984563857.6971397</v>
      </c>
      <c r="H36" s="54">
        <f t="shared" si="192"/>
        <v>3083765892.6644506</v>
      </c>
      <c r="I36" s="54">
        <f t="shared" si="192"/>
        <v>3139619158.6549101</v>
      </c>
      <c r="J36" s="54">
        <f t="shared" si="192"/>
        <v>3321581053.7279758</v>
      </c>
      <c r="K36" s="54">
        <f t="shared" si="192"/>
        <v>3248341883.5147653</v>
      </c>
      <c r="L36" s="54">
        <f t="shared" si="192"/>
        <v>3254733184.6761322</v>
      </c>
      <c r="M36" s="54">
        <f t="shared" si="192"/>
        <v>3261994460.9206567</v>
      </c>
      <c r="N36" s="54">
        <f t="shared" si="192"/>
        <v>3102355062.0342402</v>
      </c>
      <c r="O36" s="375">
        <f t="shared" si="193"/>
        <v>34565904323.400558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>
        <f t="shared" si="194"/>
        <v>0</v>
      </c>
      <c r="AE36" s="376">
        <f t="shared" si="204"/>
        <v>1440729191.0893345</v>
      </c>
      <c r="AF36" s="54">
        <f t="shared" si="204"/>
        <v>2314401491.6227865</v>
      </c>
      <c r="AG36" s="54">
        <f t="shared" si="204"/>
        <v>2754845108.8531456</v>
      </c>
      <c r="AH36" s="54">
        <f t="shared" si="204"/>
        <v>2658973977.945015</v>
      </c>
      <c r="AI36" s="54">
        <f t="shared" si="204"/>
        <v>2984563857.6971397</v>
      </c>
      <c r="AJ36" s="54">
        <f t="shared" si="204"/>
        <v>3083765892.6644506</v>
      </c>
      <c r="AK36" s="54">
        <f t="shared" si="204"/>
        <v>3139619158.6549101</v>
      </c>
      <c r="AL36" s="54">
        <f t="shared" si="204"/>
        <v>3321581053.7279758</v>
      </c>
      <c r="AM36" s="54">
        <f t="shared" si="204"/>
        <v>3248341883.5147653</v>
      </c>
      <c r="AN36" s="54">
        <f t="shared" si="204"/>
        <v>3254733184.6761322</v>
      </c>
      <c r="AO36" s="54">
        <f t="shared" si="204"/>
        <v>3261994460.9206567</v>
      </c>
      <c r="AP36" s="54">
        <f t="shared" si="204"/>
        <v>3102355062.0342402</v>
      </c>
      <c r="AQ36" s="377">
        <f t="shared" si="195"/>
        <v>34565904323.400558</v>
      </c>
      <c r="AS36" s="54">
        <f>'PL-KH26-DTR'!BL12</f>
        <v>1440729191.0893345</v>
      </c>
      <c r="AT36" s="54">
        <f>'PL-KH26-DTR'!BM12</f>
        <v>2314401491.6227865</v>
      </c>
      <c r="AU36" s="54">
        <f>'PL-KH26-DTR'!BN12</f>
        <v>2754845108.8531456</v>
      </c>
      <c r="AV36" s="54">
        <f>'PL-KH26-DTR'!BO12</f>
        <v>2658973977.945015</v>
      </c>
      <c r="AW36" s="54">
        <f>'PL-KH26-DTR'!BP12</f>
        <v>2984563857.6971397</v>
      </c>
      <c r="AX36" s="54">
        <f>'PL-KH26-DTR'!BQ12</f>
        <v>3083765892.6644506</v>
      </c>
      <c r="AY36" s="54">
        <f>'PL-KH26-DTR'!BR12</f>
        <v>3139619158.6549101</v>
      </c>
      <c r="AZ36" s="54">
        <f>'PL-KH26-DTR'!BS12</f>
        <v>3321581053.7279758</v>
      </c>
      <c r="BA36" s="54">
        <f>'PL-KH26-DTR'!BT12</f>
        <v>3248341883.5147653</v>
      </c>
      <c r="BB36" s="54">
        <f>'PL-KH26-DTR'!BU12</f>
        <v>3254733184.6761322</v>
      </c>
      <c r="BC36" s="54">
        <f>'PL-KH26-DTR'!BV12</f>
        <v>3261994460.9206567</v>
      </c>
      <c r="BD36" s="54">
        <f>'PL-KH26-DTR'!BW12</f>
        <v>3102355062.0342402</v>
      </c>
      <c r="BE36" s="54">
        <f t="shared" si="196"/>
        <v>34565904323.400558</v>
      </c>
      <c r="BG36" s="54">
        <f t="shared" si="197"/>
        <v>0</v>
      </c>
      <c r="BH36" s="54">
        <f t="shared" si="197"/>
        <v>0</v>
      </c>
      <c r="BI36" s="54">
        <f t="shared" si="197"/>
        <v>0</v>
      </c>
      <c r="BJ36" s="54">
        <f t="shared" si="197"/>
        <v>0</v>
      </c>
      <c r="BK36" s="54">
        <f t="shared" si="197"/>
        <v>0</v>
      </c>
      <c r="BL36" s="54">
        <f t="shared" si="197"/>
        <v>0</v>
      </c>
      <c r="BM36" s="54">
        <f t="shared" si="197"/>
        <v>0</v>
      </c>
      <c r="BN36" s="54">
        <f t="shared" si="197"/>
        <v>0</v>
      </c>
      <c r="BO36" s="54">
        <f t="shared" si="197"/>
        <v>0</v>
      </c>
      <c r="BP36" s="54">
        <f t="shared" si="197"/>
        <v>0</v>
      </c>
      <c r="BQ36" s="54">
        <f t="shared" si="197"/>
        <v>0</v>
      </c>
      <c r="BR36" s="54">
        <f t="shared" si="197"/>
        <v>0</v>
      </c>
      <c r="BS36" s="54">
        <f t="shared" si="198"/>
        <v>0</v>
      </c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>
        <f t="shared" si="199"/>
        <v>0</v>
      </c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>
        <f t="shared" si="200"/>
        <v>0</v>
      </c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>
        <f t="shared" si="201"/>
        <v>0</v>
      </c>
      <c r="DK36" s="54">
        <f>'PL-KH26-TanDaiPhat'!B11</f>
        <v>0</v>
      </c>
      <c r="DL36" s="54">
        <f>'PL-KH26-TanDaiPhat'!C11</f>
        <v>0</v>
      </c>
      <c r="DM36" s="54">
        <f>'PL-KH26-TanDaiPhat'!D11</f>
        <v>0</v>
      </c>
      <c r="DN36" s="54">
        <f>'PL-KH26-TanDaiPhat'!E11</f>
        <v>0</v>
      </c>
      <c r="DO36" s="54">
        <f>'PL-KH26-TanDaiPhat'!F11</f>
        <v>0</v>
      </c>
      <c r="DP36" s="54">
        <f>'PL-KH26-TanDaiPhat'!G11</f>
        <v>0</v>
      </c>
      <c r="DQ36" s="54">
        <f>'PL-KH26-TanDaiPhat'!H11</f>
        <v>0</v>
      </c>
      <c r="DR36" s="54">
        <f>'PL-KH26-TanDaiPhat'!I11</f>
        <v>0</v>
      </c>
      <c r="DS36" s="54">
        <f>'PL-KH26-TanDaiPhat'!J11</f>
        <v>0</v>
      </c>
      <c r="DT36" s="54">
        <f>'PL-KH26-TanDaiPhat'!K11</f>
        <v>0</v>
      </c>
      <c r="DU36" s="54">
        <f>'PL-KH26-TanDaiPhat'!L11</f>
        <v>0</v>
      </c>
      <c r="DV36" s="54">
        <f>'PL-KH26-TanDaiPhat'!M11</f>
        <v>0</v>
      </c>
      <c r="DW36" s="54">
        <f t="shared" si="202"/>
        <v>0</v>
      </c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>
        <f t="shared" si="203"/>
        <v>0</v>
      </c>
    </row>
    <row r="37" spans="1:141">
      <c r="A37" s="38">
        <v>10</v>
      </c>
      <c r="B37" s="48" t="s">
        <v>28</v>
      </c>
      <c r="C37" s="414">
        <f t="shared" si="192"/>
        <v>1440729191.0893345</v>
      </c>
      <c r="D37" s="53">
        <f t="shared" si="192"/>
        <v>2314401491.6227865</v>
      </c>
      <c r="E37" s="53">
        <f t="shared" si="192"/>
        <v>2754845108.8531456</v>
      </c>
      <c r="F37" s="53">
        <f t="shared" si="192"/>
        <v>2658973977.945015</v>
      </c>
      <c r="G37" s="53">
        <f t="shared" si="192"/>
        <v>2984563857.6971397</v>
      </c>
      <c r="H37" s="53">
        <f t="shared" si="192"/>
        <v>3083765892.6644506</v>
      </c>
      <c r="I37" s="53">
        <f t="shared" si="192"/>
        <v>3139619158.6549101</v>
      </c>
      <c r="J37" s="53">
        <f t="shared" si="192"/>
        <v>3321581053.7279758</v>
      </c>
      <c r="K37" s="53">
        <f t="shared" si="192"/>
        <v>3248341883.5147653</v>
      </c>
      <c r="L37" s="53">
        <f t="shared" si="192"/>
        <v>3254733184.6761322</v>
      </c>
      <c r="M37" s="53">
        <f t="shared" si="192"/>
        <v>3261994460.9206567</v>
      </c>
      <c r="N37" s="53">
        <f t="shared" si="192"/>
        <v>3102355062.0342402</v>
      </c>
      <c r="O37" s="415">
        <f t="shared" si="193"/>
        <v>34565904323.400558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>
        <f t="shared" si="194"/>
        <v>0</v>
      </c>
      <c r="AE37" s="416">
        <f t="shared" si="204"/>
        <v>1440729191.0893345</v>
      </c>
      <c r="AF37" s="53">
        <f t="shared" si="204"/>
        <v>2314401491.6227865</v>
      </c>
      <c r="AG37" s="53">
        <f t="shared" si="204"/>
        <v>2754845108.8531456</v>
      </c>
      <c r="AH37" s="53">
        <f t="shared" si="204"/>
        <v>2658973977.945015</v>
      </c>
      <c r="AI37" s="53">
        <f t="shared" si="204"/>
        <v>2984563857.6971397</v>
      </c>
      <c r="AJ37" s="53">
        <f t="shared" si="204"/>
        <v>3083765892.6644506</v>
      </c>
      <c r="AK37" s="53">
        <f t="shared" si="204"/>
        <v>3139619158.6549101</v>
      </c>
      <c r="AL37" s="53">
        <f t="shared" si="204"/>
        <v>3321581053.7279758</v>
      </c>
      <c r="AM37" s="53">
        <f t="shared" si="204"/>
        <v>3248341883.5147653</v>
      </c>
      <c r="AN37" s="53">
        <f t="shared" si="204"/>
        <v>3254733184.6761322</v>
      </c>
      <c r="AO37" s="53">
        <f t="shared" si="204"/>
        <v>3261994460.9206567</v>
      </c>
      <c r="AP37" s="53">
        <f t="shared" si="204"/>
        <v>3102355062.0342402</v>
      </c>
      <c r="AQ37" s="417">
        <f t="shared" si="195"/>
        <v>34565904323.400558</v>
      </c>
      <c r="AS37" s="53">
        <f>'PL-KH26-DTR'!BL13</f>
        <v>1440729191.0893345</v>
      </c>
      <c r="AT37" s="53">
        <f>'PL-KH26-DTR'!BM13</f>
        <v>2314401491.6227865</v>
      </c>
      <c r="AU37" s="53">
        <f>'PL-KH26-DTR'!BN13</f>
        <v>2754845108.8531456</v>
      </c>
      <c r="AV37" s="53">
        <f>'PL-KH26-DTR'!BO13</f>
        <v>2658973977.945015</v>
      </c>
      <c r="AW37" s="53">
        <f>'PL-KH26-DTR'!BP13</f>
        <v>2984563857.6971397</v>
      </c>
      <c r="AX37" s="53">
        <f>'PL-KH26-DTR'!BQ13</f>
        <v>3083765892.6644506</v>
      </c>
      <c r="AY37" s="53">
        <f>'PL-KH26-DTR'!BR13</f>
        <v>3139619158.6549101</v>
      </c>
      <c r="AZ37" s="53">
        <f>'PL-KH26-DTR'!BS13</f>
        <v>3321581053.7279758</v>
      </c>
      <c r="BA37" s="53">
        <f>'PL-KH26-DTR'!BT13</f>
        <v>3248341883.5147653</v>
      </c>
      <c r="BB37" s="53">
        <f>'PL-KH26-DTR'!BU13</f>
        <v>3254733184.6761322</v>
      </c>
      <c r="BC37" s="53">
        <f>'PL-KH26-DTR'!BV13</f>
        <v>3261994460.9206567</v>
      </c>
      <c r="BD37" s="53">
        <f>'PL-KH26-DTR'!BW13</f>
        <v>3102355062.0342402</v>
      </c>
      <c r="BE37" s="53">
        <f t="shared" si="196"/>
        <v>34565904323.400558</v>
      </c>
      <c r="BG37" s="53">
        <f t="shared" si="197"/>
        <v>0</v>
      </c>
      <c r="BH37" s="53">
        <f t="shared" si="197"/>
        <v>0</v>
      </c>
      <c r="BI37" s="53">
        <f t="shared" si="197"/>
        <v>0</v>
      </c>
      <c r="BJ37" s="53">
        <f t="shared" si="197"/>
        <v>0</v>
      </c>
      <c r="BK37" s="53">
        <f t="shared" si="197"/>
        <v>0</v>
      </c>
      <c r="BL37" s="53">
        <f t="shared" si="197"/>
        <v>0</v>
      </c>
      <c r="BM37" s="53">
        <f t="shared" si="197"/>
        <v>0</v>
      </c>
      <c r="BN37" s="53">
        <f t="shared" si="197"/>
        <v>0</v>
      </c>
      <c r="BO37" s="53">
        <f t="shared" si="197"/>
        <v>0</v>
      </c>
      <c r="BP37" s="53">
        <f t="shared" si="197"/>
        <v>0</v>
      </c>
      <c r="BQ37" s="53">
        <f t="shared" si="197"/>
        <v>0</v>
      </c>
      <c r="BR37" s="53">
        <f t="shared" si="197"/>
        <v>0</v>
      </c>
      <c r="BS37" s="53">
        <f t="shared" si="198"/>
        <v>0</v>
      </c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>
        <f t="shared" si="199"/>
        <v>0</v>
      </c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>
        <f t="shared" si="200"/>
        <v>0</v>
      </c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>
        <f t="shared" si="201"/>
        <v>0</v>
      </c>
      <c r="DK37" s="53">
        <f>'PL-KH26-TanDaiPhat'!B12</f>
        <v>0</v>
      </c>
      <c r="DL37" s="53">
        <f>'PL-KH26-TanDaiPhat'!C12</f>
        <v>0</v>
      </c>
      <c r="DM37" s="53">
        <f>'PL-KH26-TanDaiPhat'!D12</f>
        <v>0</v>
      </c>
      <c r="DN37" s="53">
        <f>'PL-KH26-TanDaiPhat'!E12</f>
        <v>0</v>
      </c>
      <c r="DO37" s="53">
        <f>'PL-KH26-TanDaiPhat'!F12</f>
        <v>0</v>
      </c>
      <c r="DP37" s="53">
        <f>'PL-KH26-TanDaiPhat'!G12</f>
        <v>0</v>
      </c>
      <c r="DQ37" s="53">
        <f>'PL-KH26-TanDaiPhat'!H12</f>
        <v>0</v>
      </c>
      <c r="DR37" s="53">
        <f>'PL-KH26-TanDaiPhat'!I12</f>
        <v>0</v>
      </c>
      <c r="DS37" s="53">
        <f>'PL-KH26-TanDaiPhat'!J12</f>
        <v>0</v>
      </c>
      <c r="DT37" s="53">
        <f>'PL-KH26-TanDaiPhat'!K12</f>
        <v>0</v>
      </c>
      <c r="DU37" s="53">
        <f>'PL-KH26-TanDaiPhat'!L12</f>
        <v>0</v>
      </c>
      <c r="DV37" s="53">
        <f>'PL-KH26-TanDaiPhat'!M12</f>
        <v>0</v>
      </c>
      <c r="DW37" s="53">
        <f t="shared" si="202"/>
        <v>0</v>
      </c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>
        <f t="shared" si="203"/>
        <v>0</v>
      </c>
    </row>
    <row r="38" spans="1:141">
      <c r="A38" s="38">
        <v>11</v>
      </c>
      <c r="B38" s="39" t="s">
        <v>29</v>
      </c>
      <c r="C38" s="374">
        <f t="shared" si="192"/>
        <v>5715119840.7360201</v>
      </c>
      <c r="D38" s="54">
        <f t="shared" si="192"/>
        <v>4532895339.4770603</v>
      </c>
      <c r="E38" s="54">
        <f t="shared" si="192"/>
        <v>5354985942.632905</v>
      </c>
      <c r="F38" s="54">
        <f t="shared" si="192"/>
        <v>4767228483.2620296</v>
      </c>
      <c r="G38" s="54">
        <f t="shared" si="192"/>
        <v>6360624030.7155828</v>
      </c>
      <c r="H38" s="54">
        <f t="shared" si="192"/>
        <v>5719886074.7977448</v>
      </c>
      <c r="I38" s="54">
        <f t="shared" si="192"/>
        <v>5096889953.4197016</v>
      </c>
      <c r="J38" s="54">
        <f t="shared" si="192"/>
        <v>4994444508.1737995</v>
      </c>
      <c r="K38" s="54">
        <f t="shared" si="192"/>
        <v>6990500871.4197016</v>
      </c>
      <c r="L38" s="54">
        <f t="shared" si="192"/>
        <v>5117052699.2266226</v>
      </c>
      <c r="M38" s="54">
        <f t="shared" si="192"/>
        <v>5444984743.641923</v>
      </c>
      <c r="N38" s="54">
        <f t="shared" si="192"/>
        <v>5540611374.603672</v>
      </c>
      <c r="O38" s="375">
        <f t="shared" si="193"/>
        <v>65635223862.106766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>
        <f t="shared" si="194"/>
        <v>0</v>
      </c>
      <c r="AE38" s="376">
        <f t="shared" si="204"/>
        <v>5715119840.7360201</v>
      </c>
      <c r="AF38" s="54">
        <f t="shared" si="204"/>
        <v>4532895339.4770603</v>
      </c>
      <c r="AG38" s="54">
        <f t="shared" si="204"/>
        <v>5354985942.632905</v>
      </c>
      <c r="AH38" s="54">
        <f t="shared" si="204"/>
        <v>4767228483.2620296</v>
      </c>
      <c r="AI38" s="54">
        <f t="shared" si="204"/>
        <v>6360624030.7155828</v>
      </c>
      <c r="AJ38" s="54">
        <f t="shared" si="204"/>
        <v>5719886074.7977448</v>
      </c>
      <c r="AK38" s="54">
        <f t="shared" si="204"/>
        <v>5096889953.4197016</v>
      </c>
      <c r="AL38" s="54">
        <f t="shared" si="204"/>
        <v>4994444508.1737995</v>
      </c>
      <c r="AM38" s="54">
        <f t="shared" si="204"/>
        <v>6990500871.4197016</v>
      </c>
      <c r="AN38" s="54">
        <f t="shared" si="204"/>
        <v>5117052699.2266226</v>
      </c>
      <c r="AO38" s="54">
        <f t="shared" si="204"/>
        <v>5444984743.641923</v>
      </c>
      <c r="AP38" s="54">
        <f t="shared" si="204"/>
        <v>5540611374.603672</v>
      </c>
      <c r="AQ38" s="377">
        <f t="shared" si="195"/>
        <v>65635223862.106766</v>
      </c>
      <c r="AS38" s="54">
        <f>'PL-KH26-DTR'!BL14</f>
        <v>5085051683.2684879</v>
      </c>
      <c r="AT38" s="54">
        <f>'PL-KH26-DTR'!BM14</f>
        <v>4093196981.7930779</v>
      </c>
      <c r="AU38" s="54">
        <f>'PL-KH26-DTR'!BN14</f>
        <v>4600864865.7930784</v>
      </c>
      <c r="AV38" s="54">
        <f>'PL-KH26-DTR'!BO14</f>
        <v>3968860918.7165751</v>
      </c>
      <c r="AW38" s="54">
        <f>'PL-KH26-DTR'!BP14</f>
        <v>5549018826.1701279</v>
      </c>
      <c r="AX38" s="54">
        <f>'PL-KH26-DTR'!BQ14</f>
        <v>4908280870.2522898</v>
      </c>
      <c r="AY38" s="54">
        <f>'PL-KH26-DTR'!BR14</f>
        <v>4272047108.8742466</v>
      </c>
      <c r="AZ38" s="54">
        <f>'PL-KH26-DTR'!BS14</f>
        <v>4169382223.6283445</v>
      </c>
      <c r="BA38" s="54">
        <f>'PL-KH26-DTR'!BT14</f>
        <v>6178684666.8742466</v>
      </c>
      <c r="BB38" s="54">
        <f>'PL-KH26-DTR'!BU14</f>
        <v>4321867491.3478346</v>
      </c>
      <c r="BC38" s="54">
        <f>'PL-KH26-DTR'!BV14</f>
        <v>4663039255.763135</v>
      </c>
      <c r="BD38" s="54">
        <f>'PL-KH26-DTR'!BW14</f>
        <v>4745480246.724884</v>
      </c>
      <c r="BE38" s="54">
        <f t="shared" si="196"/>
        <v>56555775139.206322</v>
      </c>
      <c r="BG38" s="54">
        <f t="shared" si="197"/>
        <v>630068157.4675324</v>
      </c>
      <c r="BH38" s="54">
        <f t="shared" si="197"/>
        <v>439698357.68398267</v>
      </c>
      <c r="BI38" s="54">
        <f t="shared" si="197"/>
        <v>754121076.83982682</v>
      </c>
      <c r="BJ38" s="54">
        <f t="shared" si="197"/>
        <v>798367564.5454545</v>
      </c>
      <c r="BK38" s="54">
        <f t="shared" si="197"/>
        <v>811605204.5454545</v>
      </c>
      <c r="BL38" s="54">
        <f t="shared" si="197"/>
        <v>811605204.5454545</v>
      </c>
      <c r="BM38" s="54">
        <f t="shared" si="197"/>
        <v>824842844.5454545</v>
      </c>
      <c r="BN38" s="54">
        <f t="shared" si="197"/>
        <v>825062284.5454545</v>
      </c>
      <c r="BO38" s="54">
        <f t="shared" si="197"/>
        <v>811816204.5454545</v>
      </c>
      <c r="BP38" s="54">
        <f t="shared" si="197"/>
        <v>795185207.87878799</v>
      </c>
      <c r="BQ38" s="54">
        <f t="shared" si="197"/>
        <v>781945487.87878799</v>
      </c>
      <c r="BR38" s="54">
        <f t="shared" si="197"/>
        <v>795131127.87878799</v>
      </c>
      <c r="BS38" s="54">
        <f t="shared" si="198"/>
        <v>9079448722.9004326</v>
      </c>
      <c r="BU38" s="54">
        <f>'PL-KH26-DongLam'!G24</f>
        <v>267000000</v>
      </c>
      <c r="BV38" s="54">
        <f>'PL-KH26-DongLam'!H24</f>
        <v>160200000</v>
      </c>
      <c r="BW38" s="54">
        <f>'PL-KH26-DongLam'!I24</f>
        <v>353600000</v>
      </c>
      <c r="BX38" s="54">
        <f>'PL-KH26-DongLam'!J24</f>
        <v>317703360</v>
      </c>
      <c r="BY38" s="54">
        <f>'PL-KH26-DongLam'!K24</f>
        <v>330941000</v>
      </c>
      <c r="BZ38" s="54">
        <f>'PL-KH26-DongLam'!L24</f>
        <v>330941000</v>
      </c>
      <c r="CA38" s="54">
        <f>'PL-KH26-DongLam'!M24</f>
        <v>344178640</v>
      </c>
      <c r="CB38" s="54">
        <f>'PL-KH26-DongLam'!N24</f>
        <v>344398080</v>
      </c>
      <c r="CC38" s="54">
        <f>'PL-KH26-DongLam'!O24</f>
        <v>331152000</v>
      </c>
      <c r="CD38" s="54">
        <f>'PL-KH26-DongLam'!P24</f>
        <v>344232720</v>
      </c>
      <c r="CE38" s="54">
        <f>'PL-KH26-DongLam'!Q24</f>
        <v>330993000</v>
      </c>
      <c r="CF38" s="54">
        <f>'PL-KH26-DongLam'!R24</f>
        <v>344178640</v>
      </c>
      <c r="CG38" s="54">
        <f t="shared" si="199"/>
        <v>3799518440</v>
      </c>
      <c r="CI38" s="54">
        <f>'PL-KH26-KhanhNga'!G23</f>
        <v>103967532.46753247</v>
      </c>
      <c r="CJ38" s="54">
        <f>'PL-KH26-KhanhNga'!H23</f>
        <v>77975649.350649357</v>
      </c>
      <c r="CK38" s="54">
        <f>'PL-KH26-KhanhNga'!I23</f>
        <v>112631493.50649351</v>
      </c>
      <c r="CL38" s="54">
        <f>'PL-KH26-KhanhNga'!J23</f>
        <v>121295454.54545455</v>
      </c>
      <c r="CM38" s="54">
        <f>'PL-KH26-KhanhNga'!K23</f>
        <v>121295454.54545455</v>
      </c>
      <c r="CN38" s="54">
        <f>'PL-KH26-KhanhNga'!L23</f>
        <v>121295454.54545455</v>
      </c>
      <c r="CO38" s="54">
        <f>'PL-KH26-KhanhNga'!M23</f>
        <v>121295454.54545455</v>
      </c>
      <c r="CP38" s="54">
        <f>'PL-KH26-KhanhNga'!N23</f>
        <v>121295454.54545455</v>
      </c>
      <c r="CQ38" s="54">
        <f>'PL-KH26-KhanhNga'!O23</f>
        <v>121295454.54545455</v>
      </c>
      <c r="CR38" s="54">
        <f>'PL-KH26-KhanhNga'!P23</f>
        <v>121295454.54545455</v>
      </c>
      <c r="CS38" s="54">
        <f>'PL-KH26-KhanhNga'!Q23</f>
        <v>121295454.54545455</v>
      </c>
      <c r="CT38" s="54">
        <f>'PL-KH26-KhanhNga'!R23</f>
        <v>121295454.54545455</v>
      </c>
      <c r="CU38" s="54">
        <f t="shared" si="200"/>
        <v>1386233766.2337661</v>
      </c>
      <c r="CW38" s="54">
        <f>'PL-KH26-DaiLoc'!F25</f>
        <v>259100625</v>
      </c>
      <c r="CX38" s="54">
        <f>'PL-KH26-DaiLoc'!G25</f>
        <v>201522708.33333331</v>
      </c>
      <c r="CY38" s="54">
        <f>'PL-KH26-DaiLoc'!H25</f>
        <v>287889583.33333331</v>
      </c>
      <c r="CZ38" s="54">
        <f>'PL-KH26-DaiLoc'!I25</f>
        <v>359368750</v>
      </c>
      <c r="DA38" s="54">
        <f>'PL-KH26-DaiLoc'!J25</f>
        <v>359368750</v>
      </c>
      <c r="DB38" s="54">
        <f>'PL-KH26-DaiLoc'!K25</f>
        <v>359368750</v>
      </c>
      <c r="DC38" s="54">
        <f>'PL-KH26-DaiLoc'!L25</f>
        <v>359368750</v>
      </c>
      <c r="DD38" s="54">
        <f>'PL-KH26-DaiLoc'!M25</f>
        <v>359368750</v>
      </c>
      <c r="DE38" s="54">
        <f>'PL-KH26-DaiLoc'!N25</f>
        <v>359368750</v>
      </c>
      <c r="DF38" s="54">
        <f>'PL-KH26-DaiLoc'!O25</f>
        <v>329657033.33333337</v>
      </c>
      <c r="DG38" s="54">
        <f>'PL-KH26-DaiLoc'!P25</f>
        <v>329657033.33333337</v>
      </c>
      <c r="DH38" s="54">
        <f>'PL-KH26-DaiLoc'!Q25</f>
        <v>329657033.33333337</v>
      </c>
      <c r="DI38" s="54">
        <f t="shared" si="201"/>
        <v>3893696516.666667</v>
      </c>
      <c r="DK38" s="54">
        <f>'PL-KH26-TanDaiPhat'!B13</f>
        <v>0</v>
      </c>
      <c r="DL38" s="54">
        <f>'PL-KH26-TanDaiPhat'!C13</f>
        <v>0</v>
      </c>
      <c r="DM38" s="54">
        <f>'PL-KH26-TanDaiPhat'!D13</f>
        <v>0</v>
      </c>
      <c r="DN38" s="54">
        <f>'PL-KH26-TanDaiPhat'!E13</f>
        <v>0</v>
      </c>
      <c r="DO38" s="54">
        <f>'PL-KH26-TanDaiPhat'!F13</f>
        <v>0</v>
      </c>
      <c r="DP38" s="54">
        <f>'PL-KH26-TanDaiPhat'!G13</f>
        <v>0</v>
      </c>
      <c r="DQ38" s="54">
        <f>'PL-KH26-TanDaiPhat'!H13</f>
        <v>0</v>
      </c>
      <c r="DR38" s="54">
        <f>'PL-KH26-TanDaiPhat'!I13</f>
        <v>0</v>
      </c>
      <c r="DS38" s="54">
        <f>'PL-KH26-TanDaiPhat'!J13</f>
        <v>0</v>
      </c>
      <c r="DT38" s="54">
        <f>'PL-KH26-TanDaiPhat'!K13</f>
        <v>0</v>
      </c>
      <c r="DU38" s="54">
        <f>'PL-KH26-TanDaiPhat'!L13</f>
        <v>0</v>
      </c>
      <c r="DV38" s="54">
        <f>'PL-KH26-TanDaiPhat'!M13</f>
        <v>0</v>
      </c>
      <c r="DW38" s="54">
        <f t="shared" si="202"/>
        <v>0</v>
      </c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>
        <f t="shared" si="203"/>
        <v>0</v>
      </c>
    </row>
    <row r="39" spans="1:141">
      <c r="A39" s="55">
        <v>12</v>
      </c>
      <c r="B39" s="56" t="s">
        <v>30</v>
      </c>
      <c r="C39" s="378">
        <f t="shared" si="192"/>
        <v>10275860698.748386</v>
      </c>
      <c r="D39" s="57">
        <f t="shared" si="192"/>
        <v>8716932392.5652218</v>
      </c>
      <c r="E39" s="57">
        <f t="shared" si="192"/>
        <v>8759904698.1036587</v>
      </c>
      <c r="F39" s="57">
        <f t="shared" si="192"/>
        <v>8918147544.1229057</v>
      </c>
      <c r="G39" s="57">
        <f t="shared" si="192"/>
        <v>9057039452.0205288</v>
      </c>
      <c r="H39" s="57">
        <f t="shared" si="192"/>
        <v>9504724354.2504253</v>
      </c>
      <c r="I39" s="57">
        <f t="shared" si="192"/>
        <v>9932085922.03512</v>
      </c>
      <c r="J39" s="57">
        <f t="shared" si="192"/>
        <v>10308460446.010513</v>
      </c>
      <c r="K39" s="57">
        <f t="shared" si="192"/>
        <v>9446289658.7034874</v>
      </c>
      <c r="L39" s="57">
        <f t="shared" si="192"/>
        <v>9009712006.4009361</v>
      </c>
      <c r="M39" s="57">
        <f t="shared" si="192"/>
        <v>9149105409.7559357</v>
      </c>
      <c r="N39" s="57">
        <f t="shared" si="192"/>
        <v>11367195758.417297</v>
      </c>
      <c r="O39" s="379">
        <f t="shared" si="193"/>
        <v>114445458341.13443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>
        <f t="shared" si="194"/>
        <v>0</v>
      </c>
      <c r="AE39" s="380">
        <f t="shared" si="204"/>
        <v>10275860698.748386</v>
      </c>
      <c r="AF39" s="57">
        <f t="shared" si="204"/>
        <v>8716932392.5652218</v>
      </c>
      <c r="AG39" s="57">
        <f t="shared" si="204"/>
        <v>8759904698.1036587</v>
      </c>
      <c r="AH39" s="57">
        <f t="shared" si="204"/>
        <v>8918147544.1229057</v>
      </c>
      <c r="AI39" s="57">
        <f t="shared" si="204"/>
        <v>9057039452.0205288</v>
      </c>
      <c r="AJ39" s="57">
        <f t="shared" si="204"/>
        <v>9504724354.2504253</v>
      </c>
      <c r="AK39" s="57">
        <f t="shared" si="204"/>
        <v>9932085922.03512</v>
      </c>
      <c r="AL39" s="57">
        <f t="shared" si="204"/>
        <v>10308460446.010513</v>
      </c>
      <c r="AM39" s="57">
        <f t="shared" si="204"/>
        <v>9446289658.7034874</v>
      </c>
      <c r="AN39" s="57">
        <f t="shared" si="204"/>
        <v>9009712006.4009361</v>
      </c>
      <c r="AO39" s="57">
        <f t="shared" si="204"/>
        <v>9149105409.7559357</v>
      </c>
      <c r="AP39" s="57">
        <f t="shared" si="204"/>
        <v>11367195758.417297</v>
      </c>
      <c r="AQ39" s="381">
        <f t="shared" si="195"/>
        <v>114445458341.13443</v>
      </c>
      <c r="AS39" s="57">
        <f>'PL-KH26-DTR'!BL15</f>
        <v>9071413074.9872189</v>
      </c>
      <c r="AT39" s="57">
        <f>'PL-KH26-DTR'!BM15</f>
        <v>7516098440.3346109</v>
      </c>
      <c r="AU39" s="57">
        <f>'PL-KH26-DTR'!BN15</f>
        <v>7598269672.2063799</v>
      </c>
      <c r="AV39" s="57">
        <f>'PL-KH26-DTR'!BO15</f>
        <v>7688191220.7811832</v>
      </c>
      <c r="AW39" s="57">
        <f>'PL-KH26-DTR'!BP15</f>
        <v>7848430527.1788063</v>
      </c>
      <c r="AX39" s="57">
        <f>'PL-KH26-DTR'!BQ15</f>
        <v>8123855633.0161085</v>
      </c>
      <c r="AY39" s="57">
        <f>'PL-KH26-DTR'!BR15</f>
        <v>8707815450.0008049</v>
      </c>
      <c r="AZ39" s="57">
        <f>'PL-KH26-DTR'!BS15</f>
        <v>8883369486.1761971</v>
      </c>
      <c r="BA39" s="57">
        <f>'PL-KH26-DTR'!BT15</f>
        <v>8212091289.1691723</v>
      </c>
      <c r="BB39" s="57">
        <f>'PL-KH26-DTR'!BU15</f>
        <v>7815232028.533287</v>
      </c>
      <c r="BC39" s="57">
        <f>'PL-KH26-DTR'!BV15</f>
        <v>7940180139.8882866</v>
      </c>
      <c r="BD39" s="57">
        <f>'PL-KH26-DTR'!BW15</f>
        <v>10136838744.549648</v>
      </c>
      <c r="BE39" s="57">
        <f t="shared" si="196"/>
        <v>99541785706.821701</v>
      </c>
      <c r="BG39" s="57">
        <f t="shared" si="197"/>
        <v>1199462886.761167</v>
      </c>
      <c r="BH39" s="57">
        <f t="shared" si="197"/>
        <v>1196249215.2306116</v>
      </c>
      <c r="BI39" s="57">
        <f t="shared" si="197"/>
        <v>1157050288.8972781</v>
      </c>
      <c r="BJ39" s="57">
        <f t="shared" si="197"/>
        <v>1224971586.3417225</v>
      </c>
      <c r="BK39" s="57">
        <f t="shared" si="197"/>
        <v>1204024187.8417225</v>
      </c>
      <c r="BL39" s="57">
        <f t="shared" si="197"/>
        <v>1376283984.2343154</v>
      </c>
      <c r="BM39" s="57">
        <f t="shared" si="197"/>
        <v>1219685735.0343153</v>
      </c>
      <c r="BN39" s="57">
        <f t="shared" si="197"/>
        <v>1420106222.8343153</v>
      </c>
      <c r="BO39" s="57">
        <f t="shared" si="197"/>
        <v>1229613632.5343153</v>
      </c>
      <c r="BP39" s="57">
        <f t="shared" si="197"/>
        <v>1189895240.8676486</v>
      </c>
      <c r="BQ39" s="57">
        <f t="shared" si="197"/>
        <v>1203940532.8676486</v>
      </c>
      <c r="BR39" s="57">
        <f t="shared" si="197"/>
        <v>1225772276.8676486</v>
      </c>
      <c r="BS39" s="57">
        <f t="shared" si="198"/>
        <v>14847055790.312708</v>
      </c>
      <c r="BU39" s="57">
        <f>'PL-KH26-DongLam'!G39</f>
        <v>269381341.25</v>
      </c>
      <c r="BV39" s="57">
        <f>'PL-KH26-DongLam'!H39</f>
        <v>333905348.25</v>
      </c>
      <c r="BW39" s="57">
        <f>'PL-KH26-DongLam'!I39</f>
        <v>289692466.25</v>
      </c>
      <c r="BX39" s="57">
        <f>'PL-KH26-DongLam'!J39</f>
        <v>351095825.25</v>
      </c>
      <c r="BY39" s="57">
        <f>'PL-KH26-DongLam'!K39</f>
        <v>344962243.25</v>
      </c>
      <c r="BZ39" s="57">
        <f>'PL-KH26-DongLam'!L39</f>
        <v>358733961.39814818</v>
      </c>
      <c r="CA39" s="57">
        <f>'PL-KH26-DongLam'!M39</f>
        <v>377502662.39814818</v>
      </c>
      <c r="CB39" s="57">
        <f>'PL-KH26-DongLam'!N39</f>
        <v>549192634.39814818</v>
      </c>
      <c r="CC39" s="57">
        <f>'PL-KH26-DongLam'!O39</f>
        <v>379644959.39814818</v>
      </c>
      <c r="CD39" s="57">
        <f>'PL-KH26-DongLam'!P39</f>
        <v>361192934.39814818</v>
      </c>
      <c r="CE39" s="57">
        <f>'PL-KH26-DongLam'!Q39</f>
        <v>357799656.39814818</v>
      </c>
      <c r="CF39" s="57">
        <f>'PL-KH26-DongLam'!R39</f>
        <v>376558217.39814818</v>
      </c>
      <c r="CG39" s="57">
        <f t="shared" si="199"/>
        <v>4349662250.0370369</v>
      </c>
      <c r="CI39" s="57">
        <f>'PL-KH26-KhanhNga'!G38</f>
        <v>378592319.54256791</v>
      </c>
      <c r="CJ39" s="57">
        <f>'PL-KH26-KhanhNga'!H38</f>
        <v>376999091.34534574</v>
      </c>
      <c r="CK39" s="57">
        <f>'PL-KH26-KhanhNga'!I38</f>
        <v>352798410.34534574</v>
      </c>
      <c r="CL39" s="57">
        <f>'PL-KH26-KhanhNga'!J38</f>
        <v>354484508.34534574</v>
      </c>
      <c r="CM39" s="57">
        <f>'PL-KH26-KhanhNga'!K38</f>
        <v>358145654.34534574</v>
      </c>
      <c r="CN39" s="57">
        <f>'PL-KH26-KhanhNga'!L38</f>
        <v>353846826.34534574</v>
      </c>
      <c r="CO39" s="57">
        <f>'PL-KH26-KhanhNga'!M38</f>
        <v>353706738.34534574</v>
      </c>
      <c r="CP39" s="57">
        <f>'PL-KH26-KhanhNga'!N38</f>
        <v>352062254.34534574</v>
      </c>
      <c r="CQ39" s="57">
        <f>'PL-KH26-KhanhNga'!O38</f>
        <v>352427137.34534574</v>
      </c>
      <c r="CR39" s="57">
        <f>'PL-KH26-KhanhNga'!P38</f>
        <v>349640791.34534574</v>
      </c>
      <c r="CS39" s="57">
        <f>'PL-KH26-KhanhNga'!Q38</f>
        <v>351542637.34534574</v>
      </c>
      <c r="CT39" s="57">
        <f>'PL-KH26-KhanhNga'!R38</f>
        <v>358591714.34534574</v>
      </c>
      <c r="CU39" s="57">
        <f t="shared" si="200"/>
        <v>4292838083.3413696</v>
      </c>
      <c r="CW39" s="57">
        <f>'PL-KH26-DaiLoc'!F40</f>
        <v>551489225.9685992</v>
      </c>
      <c r="CX39" s="57">
        <f>'PL-KH26-DaiLoc'!G40</f>
        <v>485344775.63526577</v>
      </c>
      <c r="CY39" s="57">
        <f>'PL-KH26-DaiLoc'!H40</f>
        <v>514559412.30193239</v>
      </c>
      <c r="CZ39" s="57">
        <f>'PL-KH26-DaiLoc'!I40</f>
        <v>519391252.74637687</v>
      </c>
      <c r="DA39" s="57">
        <f>'PL-KH26-DaiLoc'!J40</f>
        <v>500916290.24637687</v>
      </c>
      <c r="DB39" s="57">
        <f>'PL-KH26-DaiLoc'!K40</f>
        <v>663703196.49082148</v>
      </c>
      <c r="DC39" s="57">
        <f>'PL-KH26-DaiLoc'!L40</f>
        <v>488476334.29082137</v>
      </c>
      <c r="DD39" s="57">
        <f>'PL-KH26-DaiLoc'!M40</f>
        <v>518851334.09082139</v>
      </c>
      <c r="DE39" s="57">
        <f>'PL-KH26-DaiLoc'!N40</f>
        <v>497541535.79082137</v>
      </c>
      <c r="DF39" s="57">
        <f>'PL-KH26-DaiLoc'!O40</f>
        <v>479061515.12415469</v>
      </c>
      <c r="DG39" s="57">
        <f>'PL-KH26-DaiLoc'!P40</f>
        <v>494598239.12415469</v>
      </c>
      <c r="DH39" s="57">
        <f>'PL-KH26-DaiLoc'!Q40</f>
        <v>490622345.12415469</v>
      </c>
      <c r="DI39" s="57">
        <f t="shared" si="201"/>
        <v>6204555456.9343014</v>
      </c>
      <c r="DK39" s="57">
        <f>'PL-KH26-TanDaiPhat'!B14</f>
        <v>4984737</v>
      </c>
      <c r="DL39" s="57">
        <f>'PL-KH26-TanDaiPhat'!C14</f>
        <v>4584737</v>
      </c>
      <c r="DM39" s="57">
        <f>'PL-KH26-TanDaiPhat'!D14</f>
        <v>4584737</v>
      </c>
      <c r="DN39" s="57">
        <f>'PL-KH26-TanDaiPhat'!E14</f>
        <v>4984737</v>
      </c>
      <c r="DO39" s="57">
        <f>'PL-KH26-TanDaiPhat'!F14</f>
        <v>4584737</v>
      </c>
      <c r="DP39" s="57">
        <f>'PL-KH26-TanDaiPhat'!G14</f>
        <v>4584737</v>
      </c>
      <c r="DQ39" s="57">
        <f>'PL-KH26-TanDaiPhat'!H14</f>
        <v>4584737</v>
      </c>
      <c r="DR39" s="57">
        <f>'PL-KH26-TanDaiPhat'!I14</f>
        <v>4984737</v>
      </c>
      <c r="DS39" s="57">
        <f>'PL-KH26-TanDaiPhat'!J14</f>
        <v>4584737</v>
      </c>
      <c r="DT39" s="57">
        <f>'PL-KH26-TanDaiPhat'!K14</f>
        <v>4584737</v>
      </c>
      <c r="DU39" s="57">
        <f>'PL-KH26-TanDaiPhat'!L14</f>
        <v>4984737</v>
      </c>
      <c r="DV39" s="57">
        <f>'PL-KH26-TanDaiPhat'!M14</f>
        <v>4584737</v>
      </c>
      <c r="DW39" s="57">
        <f t="shared" si="202"/>
        <v>56616844</v>
      </c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>
        <f t="shared" si="203"/>
        <v>0</v>
      </c>
    </row>
    <row r="40" spans="1:141">
      <c r="A40" s="67">
        <v>13</v>
      </c>
      <c r="B40" s="68" t="s">
        <v>31</v>
      </c>
      <c r="C40" s="422">
        <f ca="1">C27+C31+C35-C36-C38-C39</f>
        <v>881095325.88600922</v>
      </c>
      <c r="D40" s="84">
        <f t="shared" ref="D40:O40" ca="1" si="205">D27+D31+D35-D36-D38-D39</f>
        <v>-2443158527.5726547</v>
      </c>
      <c r="E40" s="84">
        <f t="shared" ca="1" si="205"/>
        <v>4973196197.8377552</v>
      </c>
      <c r="F40" s="84">
        <f t="shared" ca="1" si="205"/>
        <v>2713269475.6906605</v>
      </c>
      <c r="G40" s="84">
        <f t="shared" ca="1" si="205"/>
        <v>3978700192.5353489</v>
      </c>
      <c r="H40" s="84">
        <f t="shared" ca="1" si="205"/>
        <v>2528344330.5519695</v>
      </c>
      <c r="I40" s="84">
        <f t="shared" ca="1" si="205"/>
        <v>9436799133.2125645</v>
      </c>
      <c r="J40" s="84">
        <f t="shared" ca="1" si="205"/>
        <v>8838314528.1837769</v>
      </c>
      <c r="K40" s="84">
        <f t="shared" ca="1" si="205"/>
        <v>8232584845.1768112</v>
      </c>
      <c r="L40" s="84">
        <f t="shared" ca="1" si="205"/>
        <v>9022663019.551857</v>
      </c>
      <c r="M40" s="84">
        <f t="shared" ca="1" si="205"/>
        <v>9579974884.5066681</v>
      </c>
      <c r="N40" s="84">
        <f t="shared" ca="1" si="205"/>
        <v>7319357121.376236</v>
      </c>
      <c r="O40" s="423">
        <f t="shared" ca="1" si="205"/>
        <v>65061140526.936981</v>
      </c>
      <c r="Q40" s="84">
        <f ca="1">Q27+Q31+Q35-Q36-Q38-Q39</f>
        <v>-1081653552.8917923</v>
      </c>
      <c r="R40" s="84">
        <f t="shared" ref="R40:AC40" ca="1" si="206">R27+R31+R35-R36-R38-R39</f>
        <v>-206360630.64188004</v>
      </c>
      <c r="S40" s="84">
        <f t="shared" ca="1" si="206"/>
        <v>-1311188694.2388897</v>
      </c>
      <c r="T40" s="84">
        <f t="shared" ca="1" si="206"/>
        <v>-1689504436.190918</v>
      </c>
      <c r="U40" s="84">
        <f t="shared" ca="1" si="206"/>
        <v>-600462545.67515945</v>
      </c>
      <c r="V40" s="84">
        <f t="shared" ca="1" si="206"/>
        <v>-1386793199.9009171</v>
      </c>
      <c r="W40" s="84">
        <f t="shared" ca="1" si="206"/>
        <v>-318276916.1496563</v>
      </c>
      <c r="X40" s="84">
        <f t="shared" ca="1" si="206"/>
        <v>31216146.459789276</v>
      </c>
      <c r="Y40" s="84">
        <f t="shared" ca="1" si="206"/>
        <v>133418850.23434067</v>
      </c>
      <c r="Z40" s="84">
        <f t="shared" ca="1" si="206"/>
        <v>-337062225.32540703</v>
      </c>
      <c r="AA40" s="84">
        <f t="shared" ca="1" si="206"/>
        <v>-153560604.06283951</v>
      </c>
      <c r="AB40" s="84">
        <f t="shared" ca="1" si="206"/>
        <v>-227377208.07666779</v>
      </c>
      <c r="AC40" s="84">
        <f t="shared" ca="1" si="206"/>
        <v>-7147605016.4599972</v>
      </c>
      <c r="AE40" s="424">
        <f>AE27+AE31+AE35-AE36-AE38-AE39</f>
        <v>1962748878.7778015</v>
      </c>
      <c r="AF40" s="84">
        <f t="shared" ref="AF40:AQ40" si="207">AF27+AF31+AF35-AF36-AF38-AF39</f>
        <v>-2236797896.9307747</v>
      </c>
      <c r="AG40" s="84">
        <f t="shared" si="207"/>
        <v>6284384892.0766468</v>
      </c>
      <c r="AH40" s="84">
        <f t="shared" si="207"/>
        <v>4402773911.8815784</v>
      </c>
      <c r="AI40" s="84">
        <f t="shared" si="207"/>
        <v>4579162738.2105122</v>
      </c>
      <c r="AJ40" s="84">
        <f t="shared" si="207"/>
        <v>3915137530.4528866</v>
      </c>
      <c r="AK40" s="84">
        <f t="shared" si="207"/>
        <v>9755076049.3622189</v>
      </c>
      <c r="AL40" s="84">
        <f t="shared" si="207"/>
        <v>8807098381.7239838</v>
      </c>
      <c r="AM40" s="84">
        <f t="shared" si="207"/>
        <v>8099165994.9424706</v>
      </c>
      <c r="AN40" s="84">
        <f t="shared" si="207"/>
        <v>9359725244.8772659</v>
      </c>
      <c r="AO40" s="84">
        <f t="shared" si="207"/>
        <v>9733535488.5695114</v>
      </c>
      <c r="AP40" s="84">
        <f t="shared" si="207"/>
        <v>7546734329.4529037</v>
      </c>
      <c r="AQ40" s="425">
        <f t="shared" si="207"/>
        <v>72208745543.396942</v>
      </c>
      <c r="AS40" s="84">
        <f>AS27+AS31+AS35-AS36-AS38-AS39</f>
        <v>2334994374.7063351</v>
      </c>
      <c r="AT40" s="84">
        <f t="shared" ref="AT40:BE40" si="208">AT27+AT31+AT35-AT36-AT38-AT39</f>
        <v>-891478642.64979839</v>
      </c>
      <c r="AU40" s="84">
        <f t="shared" si="208"/>
        <v>6431823854.38412</v>
      </c>
      <c r="AV40" s="84">
        <f t="shared" si="208"/>
        <v>4168359670.0697536</v>
      </c>
      <c r="AW40" s="84">
        <f t="shared" si="208"/>
        <v>4346489854.7306442</v>
      </c>
      <c r="AX40" s="84">
        <f t="shared" si="208"/>
        <v>3973340800.7311525</v>
      </c>
      <c r="AY40" s="84">
        <f t="shared" si="208"/>
        <v>9621503003.9794807</v>
      </c>
      <c r="AZ40" s="84">
        <f t="shared" si="208"/>
        <v>8836135025.017807</v>
      </c>
      <c r="BA40" s="84">
        <f t="shared" si="208"/>
        <v>8070185356.4676476</v>
      </c>
      <c r="BB40" s="84">
        <f t="shared" si="208"/>
        <v>8765703474.6883202</v>
      </c>
      <c r="BC40" s="84">
        <f t="shared" si="208"/>
        <v>9336972412.2696571</v>
      </c>
      <c r="BD40" s="84">
        <f t="shared" si="208"/>
        <v>7047936259.3445015</v>
      </c>
      <c r="BE40" s="84">
        <f t="shared" si="208"/>
        <v>72041965443.739609</v>
      </c>
      <c r="BG40" s="84">
        <f>BG27+BG31+BG35-BG36-BG38-BG39</f>
        <v>-367266307.03964305</v>
      </c>
      <c r="BH40" s="84">
        <f t="shared" ref="BH40:BS40" si="209">BH27+BH31+BH35-BH36-BH38-BH39</f>
        <v>-1340740065.3920875</v>
      </c>
      <c r="BI40" s="84">
        <f t="shared" si="209"/>
        <v>-142859773.4185853</v>
      </c>
      <c r="BJ40" s="84">
        <f t="shared" si="209"/>
        <v>239393430.70071363</v>
      </c>
      <c r="BK40" s="84">
        <f t="shared" si="209"/>
        <v>237252072.36875868</v>
      </c>
      <c r="BL40" s="84">
        <f t="shared" si="209"/>
        <v>-53624081.389373779</v>
      </c>
      <c r="BM40" s="84">
        <f t="shared" si="209"/>
        <v>138152234.2716248</v>
      </c>
      <c r="BN40" s="84">
        <f t="shared" si="209"/>
        <v>-24057454.404931545</v>
      </c>
      <c r="BO40" s="84">
        <f t="shared" si="209"/>
        <v>33559827.363711596</v>
      </c>
      <c r="BP40" s="84">
        <f t="shared" si="209"/>
        <v>598600959.07783556</v>
      </c>
      <c r="BQ40" s="84">
        <f t="shared" si="209"/>
        <v>401542265.18874407</v>
      </c>
      <c r="BR40" s="84">
        <f t="shared" si="209"/>
        <v>503377258.99729204</v>
      </c>
      <c r="BS40" s="84">
        <f t="shared" si="209"/>
        <v>223330366.32402992</v>
      </c>
      <c r="BU40" s="84">
        <f>BU27+BU31+BU35-BU36-BU38-BU39</f>
        <v>425648686.98440266</v>
      </c>
      <c r="BV40" s="84">
        <f t="shared" ref="BV40:CG40" si="210">BV27+BV31+BV35-BV36-BV38-BV39</f>
        <v>-57733714.869803429</v>
      </c>
      <c r="BW40" s="84">
        <f t="shared" si="210"/>
        <v>288830674.14476395</v>
      </c>
      <c r="BX40" s="84">
        <f t="shared" si="210"/>
        <v>152444821.72399521</v>
      </c>
      <c r="BY40" s="84">
        <f t="shared" si="210"/>
        <v>114898892.57554054</v>
      </c>
      <c r="BZ40" s="84">
        <f t="shared" si="210"/>
        <v>66153608.094058394</v>
      </c>
      <c r="CA40" s="84">
        <f t="shared" si="210"/>
        <v>122430228.57130182</v>
      </c>
      <c r="CB40" s="84">
        <f t="shared" si="210"/>
        <v>13734722.611409545</v>
      </c>
      <c r="CC40" s="84">
        <f t="shared" si="210"/>
        <v>28055370.012963653</v>
      </c>
      <c r="CD40" s="84">
        <f t="shared" si="210"/>
        <v>167488832.03474939</v>
      </c>
      <c r="CE40" s="84">
        <f t="shared" si="210"/>
        <v>44116089.368741393</v>
      </c>
      <c r="CF40" s="84">
        <f t="shared" si="210"/>
        <v>133638468.90463388</v>
      </c>
      <c r="CG40" s="84">
        <f t="shared" si="210"/>
        <v>1499706680.1567497</v>
      </c>
      <c r="CI40" s="84">
        <f>CI27+CI31+CI35-CI36-CI38-CI39</f>
        <v>-13487537.813614845</v>
      </c>
      <c r="CJ40" s="84">
        <f t="shared" ref="CJ40:CU40" si="211">CJ27+CJ31+CJ35-CJ36-CJ38-CJ39</f>
        <v>-349003777.9449861</v>
      </c>
      <c r="CK40" s="84">
        <f t="shared" si="211"/>
        <v>153985417.22647077</v>
      </c>
      <c r="CL40" s="84">
        <f t="shared" si="211"/>
        <v>217630316.46933579</v>
      </c>
      <c r="CM40" s="84">
        <f t="shared" si="211"/>
        <v>255480237.26933599</v>
      </c>
      <c r="CN40" s="84">
        <f t="shared" si="211"/>
        <v>215449755.00266957</v>
      </c>
      <c r="CO40" s="84">
        <f t="shared" si="211"/>
        <v>202542519.13600278</v>
      </c>
      <c r="CP40" s="84">
        <f t="shared" si="211"/>
        <v>186654358.55266881</v>
      </c>
      <c r="CQ40" s="84">
        <f t="shared" si="211"/>
        <v>197894696.43600202</v>
      </c>
      <c r="CR40" s="84">
        <f t="shared" si="211"/>
        <v>259433459.102669</v>
      </c>
      <c r="CS40" s="84">
        <f t="shared" si="211"/>
        <v>240452839.80266881</v>
      </c>
      <c r="CT40" s="84">
        <f t="shared" si="211"/>
        <v>234907060.00266957</v>
      </c>
      <c r="CU40" s="84">
        <f t="shared" si="211"/>
        <v>1801939343.2418804</v>
      </c>
      <c r="CW40" s="84">
        <f>CW27+CW31+CW35-CW36-CW38-CW39</f>
        <v>-779427456.21043384</v>
      </c>
      <c r="CX40" s="84">
        <f t="shared" ref="CX40:DI40" si="212">CX27+CX31+CX35-CX36-CX38-CX39</f>
        <v>-934002572.57729888</v>
      </c>
      <c r="CY40" s="84">
        <f t="shared" si="212"/>
        <v>-585675864.78982008</v>
      </c>
      <c r="CZ40" s="84">
        <f t="shared" si="212"/>
        <v>-130681707.4926194</v>
      </c>
      <c r="DA40" s="84">
        <f t="shared" si="212"/>
        <v>-133127057.47611511</v>
      </c>
      <c r="DB40" s="84">
        <f t="shared" si="212"/>
        <v>-335227444.48610651</v>
      </c>
      <c r="DC40" s="84">
        <f t="shared" si="212"/>
        <v>-186820513.43567878</v>
      </c>
      <c r="DD40" s="84">
        <f t="shared" si="212"/>
        <v>-224446535.56901276</v>
      </c>
      <c r="DE40" s="84">
        <f t="shared" si="212"/>
        <v>-192390239.08525115</v>
      </c>
      <c r="DF40" s="84">
        <f t="shared" si="212"/>
        <v>171678667.94041348</v>
      </c>
      <c r="DG40" s="84">
        <f t="shared" si="212"/>
        <v>116973336.01733685</v>
      </c>
      <c r="DH40" s="84">
        <f t="shared" si="212"/>
        <v>134831730.08998775</v>
      </c>
      <c r="DI40" s="84">
        <f t="shared" si="212"/>
        <v>-3078315657.0746012</v>
      </c>
      <c r="DK40" s="84">
        <f>DK27+DK31+DK35-DK36-DK38-DK39</f>
        <v>-4979188.888888889</v>
      </c>
      <c r="DL40" s="84">
        <f t="shared" ref="DL40:DW40" si="213">DL27+DL31+DL35-DL36-DL38-DL39</f>
        <v>-4579188.888888889</v>
      </c>
      <c r="DM40" s="84">
        <f t="shared" si="213"/>
        <v>-4579188.888888889</v>
      </c>
      <c r="DN40" s="84">
        <f t="shared" si="213"/>
        <v>-4979188.888888889</v>
      </c>
      <c r="DO40" s="84">
        <f t="shared" si="213"/>
        <v>-4579188.888888889</v>
      </c>
      <c r="DP40" s="84">
        <f t="shared" si="213"/>
        <v>-4579188.888888889</v>
      </c>
      <c r="DQ40" s="84">
        <f t="shared" si="213"/>
        <v>-4579188.888888889</v>
      </c>
      <c r="DR40" s="84">
        <f t="shared" si="213"/>
        <v>-4979188.888888889</v>
      </c>
      <c r="DS40" s="84">
        <f t="shared" si="213"/>
        <v>-4579188.888888889</v>
      </c>
      <c r="DT40" s="84">
        <f t="shared" si="213"/>
        <v>-4579188.888888889</v>
      </c>
      <c r="DU40" s="84">
        <f t="shared" si="213"/>
        <v>-4979188.888888889</v>
      </c>
      <c r="DV40" s="84">
        <f t="shared" si="213"/>
        <v>-4579188.888888889</v>
      </c>
      <c r="DW40" s="84">
        <f t="shared" si="213"/>
        <v>-56550266.666666664</v>
      </c>
      <c r="DY40" s="84">
        <f>DY27+DY31+DY35-DY36-DY38-DY39</f>
        <v>0</v>
      </c>
      <c r="DZ40" s="84">
        <f t="shared" ref="DZ40:EK40" si="214">DZ27+DZ31+DZ35-DZ36-DZ38-DZ39</f>
        <v>0</v>
      </c>
      <c r="EA40" s="84">
        <f t="shared" si="214"/>
        <v>0</v>
      </c>
      <c r="EB40" s="84">
        <f t="shared" si="214"/>
        <v>0</v>
      </c>
      <c r="EC40" s="84">
        <f t="shared" si="214"/>
        <v>0</v>
      </c>
      <c r="ED40" s="84">
        <f t="shared" si="214"/>
        <v>0</v>
      </c>
      <c r="EE40" s="84">
        <f t="shared" si="214"/>
        <v>0</v>
      </c>
      <c r="EF40" s="84">
        <f t="shared" si="214"/>
        <v>0</v>
      </c>
      <c r="EG40" s="84">
        <f t="shared" si="214"/>
        <v>0</v>
      </c>
      <c r="EH40" s="84">
        <f t="shared" si="214"/>
        <v>0</v>
      </c>
      <c r="EI40" s="84">
        <f t="shared" si="214"/>
        <v>0</v>
      </c>
      <c r="EJ40" s="84">
        <f t="shared" si="214"/>
        <v>0</v>
      </c>
      <c r="EK40" s="84">
        <f t="shared" si="214"/>
        <v>0</v>
      </c>
    </row>
    <row r="41" spans="1:141" s="79" customFormat="1">
      <c r="A41" s="77">
        <v>14</v>
      </c>
      <c r="B41" s="78" t="s">
        <v>32</v>
      </c>
      <c r="C41" s="426">
        <f t="shared" ref="C41:N42" si="215">Q41+AE41</f>
        <v>0</v>
      </c>
      <c r="D41" s="83">
        <f t="shared" si="215"/>
        <v>0</v>
      </c>
      <c r="E41" s="83">
        <f t="shared" si="215"/>
        <v>0</v>
      </c>
      <c r="F41" s="83">
        <f t="shared" si="215"/>
        <v>0</v>
      </c>
      <c r="G41" s="83">
        <f t="shared" si="215"/>
        <v>0</v>
      </c>
      <c r="H41" s="83">
        <f t="shared" si="215"/>
        <v>0</v>
      </c>
      <c r="I41" s="83">
        <f t="shared" si="215"/>
        <v>0</v>
      </c>
      <c r="J41" s="83">
        <f t="shared" si="215"/>
        <v>0</v>
      </c>
      <c r="K41" s="83">
        <f t="shared" si="215"/>
        <v>0</v>
      </c>
      <c r="L41" s="83">
        <f t="shared" si="215"/>
        <v>0</v>
      </c>
      <c r="M41" s="83">
        <f t="shared" si="215"/>
        <v>0</v>
      </c>
      <c r="N41" s="83">
        <f t="shared" si="215"/>
        <v>0</v>
      </c>
      <c r="O41" s="427">
        <f t="shared" si="193"/>
        <v>0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>
        <f t="shared" ref="AC41:AC42" si="216">SUM(Q41:AB41)</f>
        <v>0</v>
      </c>
      <c r="AE41" s="428">
        <f t="shared" ref="AE41:AP42" si="217">AS41+BU41+CI41+CW41+DK41</f>
        <v>0</v>
      </c>
      <c r="AF41" s="83">
        <f t="shared" si="217"/>
        <v>0</v>
      </c>
      <c r="AG41" s="83">
        <f t="shared" si="217"/>
        <v>0</v>
      </c>
      <c r="AH41" s="83">
        <f t="shared" si="217"/>
        <v>0</v>
      </c>
      <c r="AI41" s="83">
        <f t="shared" si="217"/>
        <v>0</v>
      </c>
      <c r="AJ41" s="83">
        <f t="shared" si="217"/>
        <v>0</v>
      </c>
      <c r="AK41" s="83">
        <f t="shared" si="217"/>
        <v>0</v>
      </c>
      <c r="AL41" s="83">
        <f t="shared" si="217"/>
        <v>0</v>
      </c>
      <c r="AM41" s="83">
        <f t="shared" si="217"/>
        <v>0</v>
      </c>
      <c r="AN41" s="83">
        <f t="shared" si="217"/>
        <v>0</v>
      </c>
      <c r="AO41" s="83">
        <f t="shared" si="217"/>
        <v>0</v>
      </c>
      <c r="AP41" s="83">
        <f t="shared" si="217"/>
        <v>0</v>
      </c>
      <c r="AQ41" s="429">
        <f t="shared" ref="AQ41:AQ42" si="218">SUM(AE41:AP41)</f>
        <v>0</v>
      </c>
      <c r="AS41" s="83">
        <f>'PL-KH26-DTR'!BL17</f>
        <v>0</v>
      </c>
      <c r="AT41" s="83">
        <f>'PL-KH26-DTR'!BM17</f>
        <v>0</v>
      </c>
      <c r="AU41" s="83">
        <f>'PL-KH26-DTR'!BN17</f>
        <v>0</v>
      </c>
      <c r="AV41" s="83">
        <f>'PL-KH26-DTR'!BO17</f>
        <v>0</v>
      </c>
      <c r="AW41" s="83">
        <f>'PL-KH26-DTR'!BP17</f>
        <v>0</v>
      </c>
      <c r="AX41" s="83">
        <f>'PL-KH26-DTR'!BQ17</f>
        <v>0</v>
      </c>
      <c r="AY41" s="83">
        <f>'PL-KH26-DTR'!BR17</f>
        <v>0</v>
      </c>
      <c r="AZ41" s="83">
        <f>'PL-KH26-DTR'!BS17</f>
        <v>0</v>
      </c>
      <c r="BA41" s="83">
        <f>'PL-KH26-DTR'!BT17</f>
        <v>0</v>
      </c>
      <c r="BB41" s="83">
        <f>'PL-KH26-DTR'!BU17</f>
        <v>0</v>
      </c>
      <c r="BC41" s="83">
        <f>'PL-KH26-DTR'!BV17</f>
        <v>0</v>
      </c>
      <c r="BD41" s="83">
        <f>'PL-KH26-DTR'!BW17</f>
        <v>0</v>
      </c>
      <c r="BE41" s="83">
        <f t="shared" ref="BE41:BE42" si="219">SUM(AS41:BD41)</f>
        <v>0</v>
      </c>
      <c r="BG41" s="83">
        <f t="shared" ref="BG41:BR42" si="220">BU41+CI41+CW41</f>
        <v>0</v>
      </c>
      <c r="BH41" s="83">
        <f t="shared" si="220"/>
        <v>0</v>
      </c>
      <c r="BI41" s="83">
        <f t="shared" si="220"/>
        <v>0</v>
      </c>
      <c r="BJ41" s="83">
        <f t="shared" si="220"/>
        <v>0</v>
      </c>
      <c r="BK41" s="83">
        <f t="shared" si="220"/>
        <v>0</v>
      </c>
      <c r="BL41" s="83">
        <f t="shared" si="220"/>
        <v>0</v>
      </c>
      <c r="BM41" s="83">
        <f t="shared" si="220"/>
        <v>0</v>
      </c>
      <c r="BN41" s="83">
        <f t="shared" si="220"/>
        <v>0</v>
      </c>
      <c r="BO41" s="83">
        <f t="shared" si="220"/>
        <v>0</v>
      </c>
      <c r="BP41" s="83">
        <f t="shared" si="220"/>
        <v>0</v>
      </c>
      <c r="BQ41" s="83">
        <f t="shared" si="220"/>
        <v>0</v>
      </c>
      <c r="BR41" s="83">
        <f t="shared" si="220"/>
        <v>0</v>
      </c>
      <c r="BS41" s="83">
        <f t="shared" ref="BS41:BS42" si="221">SUM(BG41:BR41)</f>
        <v>0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>
        <f t="shared" ref="CG41:CG42" si="222">SUM(BU41:CF41)</f>
        <v>0</v>
      </c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>
        <f t="shared" ref="CU41:CU42" si="223">SUM(CI41:CT41)</f>
        <v>0</v>
      </c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>
        <f t="shared" ref="DI41:DI42" si="224">SUM(CW41:DH41)</f>
        <v>0</v>
      </c>
      <c r="DK41" s="83">
        <f>'PL-KH26-TanDaiPhat'!B16</f>
        <v>0</v>
      </c>
      <c r="DL41" s="83">
        <f>'PL-KH26-TanDaiPhat'!C16</f>
        <v>0</v>
      </c>
      <c r="DM41" s="83">
        <f>'PL-KH26-TanDaiPhat'!D16</f>
        <v>0</v>
      </c>
      <c r="DN41" s="83">
        <f>'PL-KH26-TanDaiPhat'!E16</f>
        <v>0</v>
      </c>
      <c r="DO41" s="83">
        <f>'PL-KH26-TanDaiPhat'!F16</f>
        <v>0</v>
      </c>
      <c r="DP41" s="83">
        <f>'PL-KH26-TanDaiPhat'!G16</f>
        <v>0</v>
      </c>
      <c r="DQ41" s="83">
        <f>'PL-KH26-TanDaiPhat'!H16</f>
        <v>0</v>
      </c>
      <c r="DR41" s="83">
        <f>'PL-KH26-TanDaiPhat'!I16</f>
        <v>0</v>
      </c>
      <c r="DS41" s="83">
        <f>'PL-KH26-TanDaiPhat'!J16</f>
        <v>0</v>
      </c>
      <c r="DT41" s="83">
        <f>'PL-KH26-TanDaiPhat'!K16</f>
        <v>0</v>
      </c>
      <c r="DU41" s="83">
        <f>'PL-KH26-TanDaiPhat'!L16</f>
        <v>0</v>
      </c>
      <c r="DV41" s="83">
        <f>'PL-KH26-TanDaiPhat'!M16</f>
        <v>0</v>
      </c>
      <c r="DW41" s="83">
        <f t="shared" ref="DW41:DW42" si="225">SUM(DK41:DV41)</f>
        <v>0</v>
      </c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>
        <f t="shared" ref="EK41:EK42" si="226">SUM(DY41:EJ41)</f>
        <v>0</v>
      </c>
    </row>
    <row r="42" spans="1:141" s="79" customFormat="1">
      <c r="A42" s="80">
        <v>15</v>
      </c>
      <c r="B42" s="81" t="s">
        <v>33</v>
      </c>
      <c r="C42" s="430">
        <f t="shared" si="215"/>
        <v>433624999.99999994</v>
      </c>
      <c r="D42" s="82">
        <f t="shared" si="215"/>
        <v>433624999.99999994</v>
      </c>
      <c r="E42" s="82">
        <f t="shared" si="215"/>
        <v>433624999.99999994</v>
      </c>
      <c r="F42" s="82">
        <f t="shared" si="215"/>
        <v>433624999.99999994</v>
      </c>
      <c r="G42" s="82">
        <f t="shared" si="215"/>
        <v>433624999.99999994</v>
      </c>
      <c r="H42" s="82">
        <f t="shared" si="215"/>
        <v>433624999.99999994</v>
      </c>
      <c r="I42" s="82">
        <f t="shared" si="215"/>
        <v>433624999.99999994</v>
      </c>
      <c r="J42" s="82">
        <f t="shared" si="215"/>
        <v>433624999.99999994</v>
      </c>
      <c r="K42" s="82">
        <f t="shared" si="215"/>
        <v>433624999.99999994</v>
      </c>
      <c r="L42" s="82">
        <f t="shared" si="215"/>
        <v>433624999.99999994</v>
      </c>
      <c r="M42" s="82">
        <f t="shared" si="215"/>
        <v>433624999.99999994</v>
      </c>
      <c r="N42" s="82">
        <f t="shared" si="215"/>
        <v>433624999.99999994</v>
      </c>
      <c r="O42" s="431">
        <f t="shared" si="193"/>
        <v>5203499999.999999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>
        <f t="shared" si="216"/>
        <v>0</v>
      </c>
      <c r="AE42" s="432">
        <f t="shared" si="217"/>
        <v>433624999.99999994</v>
      </c>
      <c r="AF42" s="82">
        <f t="shared" si="217"/>
        <v>433624999.99999994</v>
      </c>
      <c r="AG42" s="82">
        <f t="shared" si="217"/>
        <v>433624999.99999994</v>
      </c>
      <c r="AH42" s="82">
        <f t="shared" si="217"/>
        <v>433624999.99999994</v>
      </c>
      <c r="AI42" s="82">
        <f t="shared" si="217"/>
        <v>433624999.99999994</v>
      </c>
      <c r="AJ42" s="82">
        <f t="shared" si="217"/>
        <v>433624999.99999994</v>
      </c>
      <c r="AK42" s="82">
        <f t="shared" si="217"/>
        <v>433624999.99999994</v>
      </c>
      <c r="AL42" s="82">
        <f t="shared" si="217"/>
        <v>433624999.99999994</v>
      </c>
      <c r="AM42" s="82">
        <f t="shared" si="217"/>
        <v>433624999.99999994</v>
      </c>
      <c r="AN42" s="82">
        <f t="shared" si="217"/>
        <v>433624999.99999994</v>
      </c>
      <c r="AO42" s="82">
        <f t="shared" si="217"/>
        <v>433624999.99999994</v>
      </c>
      <c r="AP42" s="82">
        <f t="shared" si="217"/>
        <v>433624999.99999994</v>
      </c>
      <c r="AQ42" s="433">
        <f t="shared" si="218"/>
        <v>5203499999.999999</v>
      </c>
      <c r="AS42" s="82">
        <f>'PL-KH26-DTR'!BL18</f>
        <v>433624999.99999994</v>
      </c>
      <c r="AT42" s="82">
        <f>'PL-KH26-DTR'!BM18</f>
        <v>433624999.99999994</v>
      </c>
      <c r="AU42" s="82">
        <f>'PL-KH26-DTR'!BN18</f>
        <v>433624999.99999994</v>
      </c>
      <c r="AV42" s="82">
        <f>'PL-KH26-DTR'!BO18</f>
        <v>433624999.99999994</v>
      </c>
      <c r="AW42" s="82">
        <f>'PL-KH26-DTR'!BP18</f>
        <v>433624999.99999994</v>
      </c>
      <c r="AX42" s="82">
        <f>'PL-KH26-DTR'!BQ18</f>
        <v>433624999.99999994</v>
      </c>
      <c r="AY42" s="82">
        <f>'PL-KH26-DTR'!BR18</f>
        <v>433624999.99999994</v>
      </c>
      <c r="AZ42" s="82">
        <f>'PL-KH26-DTR'!BS18</f>
        <v>433624999.99999994</v>
      </c>
      <c r="BA42" s="82">
        <f>'PL-KH26-DTR'!BT18</f>
        <v>433624999.99999994</v>
      </c>
      <c r="BB42" s="82">
        <f>'PL-KH26-DTR'!BU18</f>
        <v>433624999.99999994</v>
      </c>
      <c r="BC42" s="82">
        <f>'PL-KH26-DTR'!BV18</f>
        <v>433624999.99999994</v>
      </c>
      <c r="BD42" s="82">
        <f>'PL-KH26-DTR'!BW18</f>
        <v>433624999.99999994</v>
      </c>
      <c r="BE42" s="82">
        <f t="shared" si="219"/>
        <v>5203499999.999999</v>
      </c>
      <c r="BG42" s="82">
        <f t="shared" si="220"/>
        <v>0</v>
      </c>
      <c r="BH42" s="82">
        <f t="shared" si="220"/>
        <v>0</v>
      </c>
      <c r="BI42" s="82">
        <f t="shared" si="220"/>
        <v>0</v>
      </c>
      <c r="BJ42" s="82">
        <f t="shared" si="220"/>
        <v>0</v>
      </c>
      <c r="BK42" s="82">
        <f t="shared" si="220"/>
        <v>0</v>
      </c>
      <c r="BL42" s="82">
        <f t="shared" si="220"/>
        <v>0</v>
      </c>
      <c r="BM42" s="82">
        <f t="shared" si="220"/>
        <v>0</v>
      </c>
      <c r="BN42" s="82">
        <f t="shared" si="220"/>
        <v>0</v>
      </c>
      <c r="BO42" s="82">
        <f t="shared" si="220"/>
        <v>0</v>
      </c>
      <c r="BP42" s="82">
        <f t="shared" si="220"/>
        <v>0</v>
      </c>
      <c r="BQ42" s="82">
        <f t="shared" si="220"/>
        <v>0</v>
      </c>
      <c r="BR42" s="82">
        <f t="shared" si="220"/>
        <v>0</v>
      </c>
      <c r="BS42" s="82">
        <f t="shared" si="221"/>
        <v>0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>
        <f t="shared" si="222"/>
        <v>0</v>
      </c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>
        <f t="shared" si="223"/>
        <v>0</v>
      </c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>
        <f t="shared" si="224"/>
        <v>0</v>
      </c>
      <c r="DK42" s="82">
        <f>'PL-KH26-TanDaiPhat'!B17</f>
        <v>0</v>
      </c>
      <c r="DL42" s="82">
        <f>'PL-KH26-TanDaiPhat'!C17</f>
        <v>0</v>
      </c>
      <c r="DM42" s="82">
        <f>'PL-KH26-TanDaiPhat'!D17</f>
        <v>0</v>
      </c>
      <c r="DN42" s="82">
        <f>'PL-KH26-TanDaiPhat'!E17</f>
        <v>0</v>
      </c>
      <c r="DO42" s="82">
        <f>'PL-KH26-TanDaiPhat'!F17</f>
        <v>0</v>
      </c>
      <c r="DP42" s="82">
        <f>'PL-KH26-TanDaiPhat'!G17</f>
        <v>0</v>
      </c>
      <c r="DQ42" s="82">
        <f>'PL-KH26-TanDaiPhat'!H17</f>
        <v>0</v>
      </c>
      <c r="DR42" s="82">
        <f>'PL-KH26-TanDaiPhat'!I17</f>
        <v>0</v>
      </c>
      <c r="DS42" s="82">
        <f>'PL-KH26-TanDaiPhat'!J17</f>
        <v>0</v>
      </c>
      <c r="DT42" s="82">
        <f>'PL-KH26-TanDaiPhat'!K17</f>
        <v>0</v>
      </c>
      <c r="DU42" s="82">
        <f>'PL-KH26-TanDaiPhat'!L17</f>
        <v>0</v>
      </c>
      <c r="DV42" s="82">
        <f>'PL-KH26-TanDaiPhat'!M17</f>
        <v>0</v>
      </c>
      <c r="DW42" s="82">
        <f t="shared" si="225"/>
        <v>0</v>
      </c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>
        <f t="shared" si="226"/>
        <v>0</v>
      </c>
    </row>
    <row r="43" spans="1:141">
      <c r="A43" s="69">
        <v>16</v>
      </c>
      <c r="B43" s="70" t="s">
        <v>34</v>
      </c>
      <c r="C43" s="434">
        <f>C41-C42</f>
        <v>-433624999.99999994</v>
      </c>
      <c r="D43" s="85">
        <f t="shared" ref="D43:O43" si="227">D41-D42</f>
        <v>-433624999.99999994</v>
      </c>
      <c r="E43" s="85">
        <f t="shared" si="227"/>
        <v>-433624999.99999994</v>
      </c>
      <c r="F43" s="85">
        <f t="shared" si="227"/>
        <v>-433624999.99999994</v>
      </c>
      <c r="G43" s="85">
        <f t="shared" si="227"/>
        <v>-433624999.99999994</v>
      </c>
      <c r="H43" s="85">
        <f t="shared" si="227"/>
        <v>-433624999.99999994</v>
      </c>
      <c r="I43" s="85">
        <f t="shared" si="227"/>
        <v>-433624999.99999994</v>
      </c>
      <c r="J43" s="85">
        <f t="shared" si="227"/>
        <v>-433624999.99999994</v>
      </c>
      <c r="K43" s="85">
        <f t="shared" si="227"/>
        <v>-433624999.99999994</v>
      </c>
      <c r="L43" s="85">
        <f t="shared" si="227"/>
        <v>-433624999.99999994</v>
      </c>
      <c r="M43" s="85">
        <f t="shared" si="227"/>
        <v>-433624999.99999994</v>
      </c>
      <c r="N43" s="85">
        <f t="shared" si="227"/>
        <v>-433624999.99999994</v>
      </c>
      <c r="O43" s="435">
        <f t="shared" si="227"/>
        <v>-5203499999.999999</v>
      </c>
      <c r="Q43" s="85">
        <f>Q41-Q42</f>
        <v>0</v>
      </c>
      <c r="R43" s="85">
        <f t="shared" ref="R43:AC43" si="228">R41-R42</f>
        <v>0</v>
      </c>
      <c r="S43" s="85">
        <f t="shared" si="228"/>
        <v>0</v>
      </c>
      <c r="T43" s="85">
        <f t="shared" si="228"/>
        <v>0</v>
      </c>
      <c r="U43" s="85">
        <f t="shared" si="228"/>
        <v>0</v>
      </c>
      <c r="V43" s="85">
        <f t="shared" si="228"/>
        <v>0</v>
      </c>
      <c r="W43" s="85">
        <f t="shared" si="228"/>
        <v>0</v>
      </c>
      <c r="X43" s="85">
        <f t="shared" si="228"/>
        <v>0</v>
      </c>
      <c r="Y43" s="85">
        <f t="shared" si="228"/>
        <v>0</v>
      </c>
      <c r="Z43" s="85">
        <f t="shared" si="228"/>
        <v>0</v>
      </c>
      <c r="AA43" s="85">
        <f t="shared" si="228"/>
        <v>0</v>
      </c>
      <c r="AB43" s="85">
        <f t="shared" si="228"/>
        <v>0</v>
      </c>
      <c r="AC43" s="85">
        <f t="shared" si="228"/>
        <v>0</v>
      </c>
      <c r="AE43" s="436">
        <f>AE41-AE42</f>
        <v>-433624999.99999994</v>
      </c>
      <c r="AF43" s="85">
        <f t="shared" ref="AF43:AQ43" si="229">AF41-AF42</f>
        <v>-433624999.99999994</v>
      </c>
      <c r="AG43" s="85">
        <f t="shared" si="229"/>
        <v>-433624999.99999994</v>
      </c>
      <c r="AH43" s="85">
        <f t="shared" si="229"/>
        <v>-433624999.99999994</v>
      </c>
      <c r="AI43" s="85">
        <f t="shared" si="229"/>
        <v>-433624999.99999994</v>
      </c>
      <c r="AJ43" s="85">
        <f t="shared" si="229"/>
        <v>-433624999.99999994</v>
      </c>
      <c r="AK43" s="85">
        <f t="shared" si="229"/>
        <v>-433624999.99999994</v>
      </c>
      <c r="AL43" s="85">
        <f t="shared" si="229"/>
        <v>-433624999.99999994</v>
      </c>
      <c r="AM43" s="85">
        <f t="shared" si="229"/>
        <v>-433624999.99999994</v>
      </c>
      <c r="AN43" s="85">
        <f t="shared" si="229"/>
        <v>-433624999.99999994</v>
      </c>
      <c r="AO43" s="85">
        <f t="shared" si="229"/>
        <v>-433624999.99999994</v>
      </c>
      <c r="AP43" s="85">
        <f t="shared" si="229"/>
        <v>-433624999.99999994</v>
      </c>
      <c r="AQ43" s="437">
        <f t="shared" si="229"/>
        <v>-5203499999.999999</v>
      </c>
      <c r="AS43" s="85">
        <f>AS41-AS42</f>
        <v>-433624999.99999994</v>
      </c>
      <c r="AT43" s="85">
        <f t="shared" ref="AT43:BE43" si="230">AT41-AT42</f>
        <v>-433624999.99999994</v>
      </c>
      <c r="AU43" s="85">
        <f t="shared" si="230"/>
        <v>-433624999.99999994</v>
      </c>
      <c r="AV43" s="85">
        <f t="shared" si="230"/>
        <v>-433624999.99999994</v>
      </c>
      <c r="AW43" s="85">
        <f t="shared" si="230"/>
        <v>-433624999.99999994</v>
      </c>
      <c r="AX43" s="85">
        <f t="shared" si="230"/>
        <v>-433624999.99999994</v>
      </c>
      <c r="AY43" s="85">
        <f t="shared" si="230"/>
        <v>-433624999.99999994</v>
      </c>
      <c r="AZ43" s="85">
        <f t="shared" si="230"/>
        <v>-433624999.99999994</v>
      </c>
      <c r="BA43" s="85">
        <f t="shared" si="230"/>
        <v>-433624999.99999994</v>
      </c>
      <c r="BB43" s="85">
        <f t="shared" si="230"/>
        <v>-433624999.99999994</v>
      </c>
      <c r="BC43" s="85">
        <f t="shared" si="230"/>
        <v>-433624999.99999994</v>
      </c>
      <c r="BD43" s="85">
        <f t="shared" si="230"/>
        <v>-433624999.99999994</v>
      </c>
      <c r="BE43" s="85">
        <f t="shared" si="230"/>
        <v>-5203499999.999999</v>
      </c>
      <c r="BG43" s="85">
        <f>BG41-BG42</f>
        <v>0</v>
      </c>
      <c r="BH43" s="85">
        <f t="shared" ref="BH43:BS43" si="231">BH41-BH42</f>
        <v>0</v>
      </c>
      <c r="BI43" s="85">
        <f t="shared" si="231"/>
        <v>0</v>
      </c>
      <c r="BJ43" s="85">
        <f t="shared" si="231"/>
        <v>0</v>
      </c>
      <c r="BK43" s="85">
        <f t="shared" si="231"/>
        <v>0</v>
      </c>
      <c r="BL43" s="85">
        <f t="shared" si="231"/>
        <v>0</v>
      </c>
      <c r="BM43" s="85">
        <f t="shared" si="231"/>
        <v>0</v>
      </c>
      <c r="BN43" s="85">
        <f t="shared" si="231"/>
        <v>0</v>
      </c>
      <c r="BO43" s="85">
        <f t="shared" si="231"/>
        <v>0</v>
      </c>
      <c r="BP43" s="85">
        <f t="shared" si="231"/>
        <v>0</v>
      </c>
      <c r="BQ43" s="85">
        <f t="shared" si="231"/>
        <v>0</v>
      </c>
      <c r="BR43" s="85">
        <f t="shared" si="231"/>
        <v>0</v>
      </c>
      <c r="BS43" s="85">
        <f t="shared" si="231"/>
        <v>0</v>
      </c>
      <c r="BU43" s="85">
        <f>BU41-BU42</f>
        <v>0</v>
      </c>
      <c r="BV43" s="85">
        <f t="shared" ref="BV43:CG43" si="232">BV41-BV42</f>
        <v>0</v>
      </c>
      <c r="BW43" s="85">
        <f t="shared" si="232"/>
        <v>0</v>
      </c>
      <c r="BX43" s="85">
        <f t="shared" si="232"/>
        <v>0</v>
      </c>
      <c r="BY43" s="85">
        <f t="shared" si="232"/>
        <v>0</v>
      </c>
      <c r="BZ43" s="85">
        <f t="shared" si="232"/>
        <v>0</v>
      </c>
      <c r="CA43" s="85">
        <f t="shared" si="232"/>
        <v>0</v>
      </c>
      <c r="CB43" s="85">
        <f t="shared" si="232"/>
        <v>0</v>
      </c>
      <c r="CC43" s="85">
        <f t="shared" si="232"/>
        <v>0</v>
      </c>
      <c r="CD43" s="85">
        <f t="shared" si="232"/>
        <v>0</v>
      </c>
      <c r="CE43" s="85">
        <f t="shared" si="232"/>
        <v>0</v>
      </c>
      <c r="CF43" s="85">
        <f t="shared" si="232"/>
        <v>0</v>
      </c>
      <c r="CG43" s="85">
        <f t="shared" si="232"/>
        <v>0</v>
      </c>
      <c r="CI43" s="85">
        <f>CI41-CI42</f>
        <v>0</v>
      </c>
      <c r="CJ43" s="85">
        <f t="shared" ref="CJ43:CU43" si="233">CJ41-CJ42</f>
        <v>0</v>
      </c>
      <c r="CK43" s="85">
        <f t="shared" si="233"/>
        <v>0</v>
      </c>
      <c r="CL43" s="85">
        <f t="shared" si="233"/>
        <v>0</v>
      </c>
      <c r="CM43" s="85">
        <f t="shared" si="233"/>
        <v>0</v>
      </c>
      <c r="CN43" s="85">
        <f t="shared" si="233"/>
        <v>0</v>
      </c>
      <c r="CO43" s="85">
        <f t="shared" si="233"/>
        <v>0</v>
      </c>
      <c r="CP43" s="85">
        <f t="shared" si="233"/>
        <v>0</v>
      </c>
      <c r="CQ43" s="85">
        <f t="shared" si="233"/>
        <v>0</v>
      </c>
      <c r="CR43" s="85">
        <f t="shared" si="233"/>
        <v>0</v>
      </c>
      <c r="CS43" s="85">
        <f t="shared" si="233"/>
        <v>0</v>
      </c>
      <c r="CT43" s="85">
        <f t="shared" si="233"/>
        <v>0</v>
      </c>
      <c r="CU43" s="85">
        <f t="shared" si="233"/>
        <v>0</v>
      </c>
      <c r="CW43" s="85">
        <f>CW41-CW42</f>
        <v>0</v>
      </c>
      <c r="CX43" s="85">
        <f t="shared" ref="CX43:DI43" si="234">CX41-CX42</f>
        <v>0</v>
      </c>
      <c r="CY43" s="85">
        <f t="shared" si="234"/>
        <v>0</v>
      </c>
      <c r="CZ43" s="85">
        <f t="shared" si="234"/>
        <v>0</v>
      </c>
      <c r="DA43" s="85">
        <f t="shared" si="234"/>
        <v>0</v>
      </c>
      <c r="DB43" s="85">
        <f t="shared" si="234"/>
        <v>0</v>
      </c>
      <c r="DC43" s="85">
        <f t="shared" si="234"/>
        <v>0</v>
      </c>
      <c r="DD43" s="85">
        <f t="shared" si="234"/>
        <v>0</v>
      </c>
      <c r="DE43" s="85">
        <f t="shared" si="234"/>
        <v>0</v>
      </c>
      <c r="DF43" s="85">
        <f t="shared" si="234"/>
        <v>0</v>
      </c>
      <c r="DG43" s="85">
        <f t="shared" si="234"/>
        <v>0</v>
      </c>
      <c r="DH43" s="85">
        <f t="shared" si="234"/>
        <v>0</v>
      </c>
      <c r="DI43" s="85">
        <f t="shared" si="234"/>
        <v>0</v>
      </c>
      <c r="DK43" s="85">
        <f>DK41-DK42</f>
        <v>0</v>
      </c>
      <c r="DL43" s="85">
        <f t="shared" ref="DL43:DW43" si="235">DL41-DL42</f>
        <v>0</v>
      </c>
      <c r="DM43" s="85">
        <f t="shared" si="235"/>
        <v>0</v>
      </c>
      <c r="DN43" s="85">
        <f t="shared" si="235"/>
        <v>0</v>
      </c>
      <c r="DO43" s="85">
        <f t="shared" si="235"/>
        <v>0</v>
      </c>
      <c r="DP43" s="85">
        <f t="shared" si="235"/>
        <v>0</v>
      </c>
      <c r="DQ43" s="85">
        <f t="shared" si="235"/>
        <v>0</v>
      </c>
      <c r="DR43" s="85">
        <f t="shared" si="235"/>
        <v>0</v>
      </c>
      <c r="DS43" s="85">
        <f t="shared" si="235"/>
        <v>0</v>
      </c>
      <c r="DT43" s="85">
        <f t="shared" si="235"/>
        <v>0</v>
      </c>
      <c r="DU43" s="85">
        <f t="shared" si="235"/>
        <v>0</v>
      </c>
      <c r="DV43" s="85">
        <f t="shared" si="235"/>
        <v>0</v>
      </c>
      <c r="DW43" s="85">
        <f t="shared" si="235"/>
        <v>0</v>
      </c>
      <c r="DY43" s="85">
        <f>DY41-DY42</f>
        <v>0</v>
      </c>
      <c r="DZ43" s="85">
        <f t="shared" ref="DZ43:EK43" si="236">DZ41-DZ42</f>
        <v>0</v>
      </c>
      <c r="EA43" s="85">
        <f t="shared" si="236"/>
        <v>0</v>
      </c>
      <c r="EB43" s="85">
        <f t="shared" si="236"/>
        <v>0</v>
      </c>
      <c r="EC43" s="85">
        <f t="shared" si="236"/>
        <v>0</v>
      </c>
      <c r="ED43" s="85">
        <f t="shared" si="236"/>
        <v>0</v>
      </c>
      <c r="EE43" s="85">
        <f t="shared" si="236"/>
        <v>0</v>
      </c>
      <c r="EF43" s="85">
        <f t="shared" si="236"/>
        <v>0</v>
      </c>
      <c r="EG43" s="85">
        <f t="shared" si="236"/>
        <v>0</v>
      </c>
      <c r="EH43" s="85">
        <f t="shared" si="236"/>
        <v>0</v>
      </c>
      <c r="EI43" s="85">
        <f t="shared" si="236"/>
        <v>0</v>
      </c>
      <c r="EJ43" s="85">
        <f t="shared" si="236"/>
        <v>0</v>
      </c>
      <c r="EK43" s="85">
        <f t="shared" si="236"/>
        <v>0</v>
      </c>
    </row>
    <row r="44" spans="1:141">
      <c r="A44" s="71">
        <v>17</v>
      </c>
      <c r="B44" s="68" t="s">
        <v>35</v>
      </c>
      <c r="C44" s="422">
        <f ca="1">C40+C43</f>
        <v>447470325.88600928</v>
      </c>
      <c r="D44" s="84">
        <f t="shared" ref="D44:O44" ca="1" si="237">D40+D43</f>
        <v>-2876783527.5726547</v>
      </c>
      <c r="E44" s="84">
        <f t="shared" ca="1" si="237"/>
        <v>4539571197.8377552</v>
      </c>
      <c r="F44" s="84">
        <f t="shared" ca="1" si="237"/>
        <v>2279644475.6906605</v>
      </c>
      <c r="G44" s="84">
        <f t="shared" ca="1" si="237"/>
        <v>3545075192.5353489</v>
      </c>
      <c r="H44" s="84">
        <f t="shared" ca="1" si="237"/>
        <v>2094719330.5519695</v>
      </c>
      <c r="I44" s="84">
        <f t="shared" ca="1" si="237"/>
        <v>9003174133.2125645</v>
      </c>
      <c r="J44" s="84">
        <f t="shared" ca="1" si="237"/>
        <v>8404689528.1837769</v>
      </c>
      <c r="K44" s="84">
        <f t="shared" ca="1" si="237"/>
        <v>7798959845.1768112</v>
      </c>
      <c r="L44" s="84">
        <f t="shared" ca="1" si="237"/>
        <v>8589038019.551857</v>
      </c>
      <c r="M44" s="84">
        <f t="shared" ca="1" si="237"/>
        <v>9146349884.5066681</v>
      </c>
      <c r="N44" s="84">
        <f t="shared" ca="1" si="237"/>
        <v>6885732121.376236</v>
      </c>
      <c r="O44" s="423">
        <f t="shared" ca="1" si="237"/>
        <v>59857640526.936981</v>
      </c>
      <c r="Q44" s="84">
        <f ca="1">Q40+Q43</f>
        <v>-1081653552.8917923</v>
      </c>
      <c r="R44" s="84">
        <f t="shared" ref="R44:AC44" ca="1" si="238">R40+R43</f>
        <v>-206360630.64188004</v>
      </c>
      <c r="S44" s="84">
        <f t="shared" ca="1" si="238"/>
        <v>-1311188694.2388897</v>
      </c>
      <c r="T44" s="84">
        <f t="shared" ca="1" si="238"/>
        <v>-1689504436.190918</v>
      </c>
      <c r="U44" s="84">
        <f t="shared" ca="1" si="238"/>
        <v>-600462545.67515945</v>
      </c>
      <c r="V44" s="84">
        <f t="shared" ca="1" si="238"/>
        <v>-1386793199.9009171</v>
      </c>
      <c r="W44" s="84">
        <f t="shared" ca="1" si="238"/>
        <v>-318276916.1496563</v>
      </c>
      <c r="X44" s="84">
        <f t="shared" ca="1" si="238"/>
        <v>31216146.459789276</v>
      </c>
      <c r="Y44" s="84">
        <f t="shared" ca="1" si="238"/>
        <v>133418850.23434067</v>
      </c>
      <c r="Z44" s="84">
        <f t="shared" ca="1" si="238"/>
        <v>-337062225.32540703</v>
      </c>
      <c r="AA44" s="84">
        <f t="shared" ca="1" si="238"/>
        <v>-153560604.06283951</v>
      </c>
      <c r="AB44" s="84">
        <f t="shared" ca="1" si="238"/>
        <v>-227377208.07666779</v>
      </c>
      <c r="AC44" s="84">
        <f t="shared" ca="1" si="238"/>
        <v>-7147605016.4599972</v>
      </c>
      <c r="AE44" s="424">
        <f>AE40+AE43</f>
        <v>1529123878.7778015</v>
      </c>
      <c r="AF44" s="84">
        <f t="shared" ref="AF44:AQ44" si="239">AF40+AF43</f>
        <v>-2670422896.9307747</v>
      </c>
      <c r="AG44" s="84">
        <f t="shared" si="239"/>
        <v>5850759892.0766468</v>
      </c>
      <c r="AH44" s="84">
        <f t="shared" si="239"/>
        <v>3969148911.8815784</v>
      </c>
      <c r="AI44" s="84">
        <f t="shared" si="239"/>
        <v>4145537738.2105122</v>
      </c>
      <c r="AJ44" s="84">
        <f t="shared" si="239"/>
        <v>3481512530.4528866</v>
      </c>
      <c r="AK44" s="84">
        <f t="shared" si="239"/>
        <v>9321451049.3622189</v>
      </c>
      <c r="AL44" s="84">
        <f t="shared" si="239"/>
        <v>8373473381.7239838</v>
      </c>
      <c r="AM44" s="84">
        <f t="shared" si="239"/>
        <v>7665540994.9424706</v>
      </c>
      <c r="AN44" s="84">
        <f t="shared" si="239"/>
        <v>8926100244.8772659</v>
      </c>
      <c r="AO44" s="84">
        <f t="shared" si="239"/>
        <v>9299910488.5695114</v>
      </c>
      <c r="AP44" s="84">
        <f t="shared" si="239"/>
        <v>7113109329.4529037</v>
      </c>
      <c r="AQ44" s="425">
        <f t="shared" si="239"/>
        <v>67005245543.396942</v>
      </c>
      <c r="AS44" s="84">
        <f>AS40+AS43</f>
        <v>1901369374.7063351</v>
      </c>
      <c r="AT44" s="84">
        <f t="shared" ref="AT44:BE44" si="240">AT40+AT43</f>
        <v>-1325103642.6497984</v>
      </c>
      <c r="AU44" s="84">
        <f t="shared" si="240"/>
        <v>5998198854.38412</v>
      </c>
      <c r="AV44" s="84">
        <f t="shared" si="240"/>
        <v>3734734670.0697536</v>
      </c>
      <c r="AW44" s="84">
        <f t="shared" si="240"/>
        <v>3912864854.7306442</v>
      </c>
      <c r="AX44" s="84">
        <f t="shared" si="240"/>
        <v>3539715800.7311525</v>
      </c>
      <c r="AY44" s="84">
        <f t="shared" si="240"/>
        <v>9187878003.9794807</v>
      </c>
      <c r="AZ44" s="84">
        <f t="shared" si="240"/>
        <v>8402510025.017807</v>
      </c>
      <c r="BA44" s="84">
        <f t="shared" si="240"/>
        <v>7636560356.4676476</v>
      </c>
      <c r="BB44" s="84">
        <f t="shared" si="240"/>
        <v>8332078474.6883202</v>
      </c>
      <c r="BC44" s="84">
        <f t="shared" si="240"/>
        <v>8903347412.2696571</v>
      </c>
      <c r="BD44" s="84">
        <f t="shared" si="240"/>
        <v>6614311259.3445015</v>
      </c>
      <c r="BE44" s="84">
        <f t="shared" si="240"/>
        <v>66838465443.739609</v>
      </c>
      <c r="BG44" s="84">
        <f>BG40+BG43</f>
        <v>-367266307.03964305</v>
      </c>
      <c r="BH44" s="84">
        <f t="shared" ref="BH44:BS44" si="241">BH40+BH43</f>
        <v>-1340740065.3920875</v>
      </c>
      <c r="BI44" s="84">
        <f t="shared" si="241"/>
        <v>-142859773.4185853</v>
      </c>
      <c r="BJ44" s="84">
        <f t="shared" si="241"/>
        <v>239393430.70071363</v>
      </c>
      <c r="BK44" s="84">
        <f t="shared" si="241"/>
        <v>237252072.36875868</v>
      </c>
      <c r="BL44" s="84">
        <f t="shared" si="241"/>
        <v>-53624081.389373779</v>
      </c>
      <c r="BM44" s="84">
        <f t="shared" si="241"/>
        <v>138152234.2716248</v>
      </c>
      <c r="BN44" s="84">
        <f t="shared" si="241"/>
        <v>-24057454.404931545</v>
      </c>
      <c r="BO44" s="84">
        <f t="shared" si="241"/>
        <v>33559827.363711596</v>
      </c>
      <c r="BP44" s="84">
        <f t="shared" si="241"/>
        <v>598600959.07783556</v>
      </c>
      <c r="BQ44" s="84">
        <f t="shared" si="241"/>
        <v>401542265.18874407</v>
      </c>
      <c r="BR44" s="84">
        <f t="shared" si="241"/>
        <v>503377258.99729204</v>
      </c>
      <c r="BS44" s="84">
        <f t="shared" si="241"/>
        <v>223330366.32402992</v>
      </c>
      <c r="BU44" s="84">
        <f>BU40+BU43</f>
        <v>425648686.98440266</v>
      </c>
      <c r="BV44" s="84">
        <f t="shared" ref="BV44:CG44" si="242">BV40+BV43</f>
        <v>-57733714.869803429</v>
      </c>
      <c r="BW44" s="84">
        <f t="shared" si="242"/>
        <v>288830674.14476395</v>
      </c>
      <c r="BX44" s="84">
        <f t="shared" si="242"/>
        <v>152444821.72399521</v>
      </c>
      <c r="BY44" s="84">
        <f t="shared" si="242"/>
        <v>114898892.57554054</v>
      </c>
      <c r="BZ44" s="84">
        <f t="shared" si="242"/>
        <v>66153608.094058394</v>
      </c>
      <c r="CA44" s="84">
        <f t="shared" si="242"/>
        <v>122430228.57130182</v>
      </c>
      <c r="CB44" s="84">
        <f t="shared" si="242"/>
        <v>13734722.611409545</v>
      </c>
      <c r="CC44" s="84">
        <f t="shared" si="242"/>
        <v>28055370.012963653</v>
      </c>
      <c r="CD44" s="84">
        <f t="shared" si="242"/>
        <v>167488832.03474939</v>
      </c>
      <c r="CE44" s="84">
        <f t="shared" si="242"/>
        <v>44116089.368741393</v>
      </c>
      <c r="CF44" s="84">
        <f t="shared" si="242"/>
        <v>133638468.90463388</v>
      </c>
      <c r="CG44" s="84">
        <f t="shared" si="242"/>
        <v>1499706680.1567497</v>
      </c>
      <c r="CI44" s="84">
        <f>CI40+CI43</f>
        <v>-13487537.813614845</v>
      </c>
      <c r="CJ44" s="84">
        <f t="shared" ref="CJ44:CU44" si="243">CJ40+CJ43</f>
        <v>-349003777.9449861</v>
      </c>
      <c r="CK44" s="84">
        <f t="shared" si="243"/>
        <v>153985417.22647077</v>
      </c>
      <c r="CL44" s="84">
        <f t="shared" si="243"/>
        <v>217630316.46933579</v>
      </c>
      <c r="CM44" s="84">
        <f t="shared" si="243"/>
        <v>255480237.26933599</v>
      </c>
      <c r="CN44" s="84">
        <f t="shared" si="243"/>
        <v>215449755.00266957</v>
      </c>
      <c r="CO44" s="84">
        <f t="shared" si="243"/>
        <v>202542519.13600278</v>
      </c>
      <c r="CP44" s="84">
        <f t="shared" si="243"/>
        <v>186654358.55266881</v>
      </c>
      <c r="CQ44" s="84">
        <f t="shared" si="243"/>
        <v>197894696.43600202</v>
      </c>
      <c r="CR44" s="84">
        <f t="shared" si="243"/>
        <v>259433459.102669</v>
      </c>
      <c r="CS44" s="84">
        <f t="shared" si="243"/>
        <v>240452839.80266881</v>
      </c>
      <c r="CT44" s="84">
        <f t="shared" si="243"/>
        <v>234907060.00266957</v>
      </c>
      <c r="CU44" s="84">
        <f t="shared" si="243"/>
        <v>1801939343.2418804</v>
      </c>
      <c r="CW44" s="84">
        <f>CW40+CW43</f>
        <v>-779427456.21043384</v>
      </c>
      <c r="CX44" s="84">
        <f t="shared" ref="CX44:DI44" si="244">CX40+CX43</f>
        <v>-934002572.57729888</v>
      </c>
      <c r="CY44" s="84">
        <f t="shared" si="244"/>
        <v>-585675864.78982008</v>
      </c>
      <c r="CZ44" s="84">
        <f t="shared" si="244"/>
        <v>-130681707.4926194</v>
      </c>
      <c r="DA44" s="84">
        <f t="shared" si="244"/>
        <v>-133127057.47611511</v>
      </c>
      <c r="DB44" s="84">
        <f t="shared" si="244"/>
        <v>-335227444.48610651</v>
      </c>
      <c r="DC44" s="84">
        <f t="shared" si="244"/>
        <v>-186820513.43567878</v>
      </c>
      <c r="DD44" s="84">
        <f t="shared" si="244"/>
        <v>-224446535.56901276</v>
      </c>
      <c r="DE44" s="84">
        <f t="shared" si="244"/>
        <v>-192390239.08525115</v>
      </c>
      <c r="DF44" s="84">
        <f t="shared" si="244"/>
        <v>171678667.94041348</v>
      </c>
      <c r="DG44" s="84">
        <f t="shared" si="244"/>
        <v>116973336.01733685</v>
      </c>
      <c r="DH44" s="84">
        <f t="shared" si="244"/>
        <v>134831730.08998775</v>
      </c>
      <c r="DI44" s="84">
        <f t="shared" si="244"/>
        <v>-3078315657.0746012</v>
      </c>
      <c r="DK44" s="84">
        <f>DK40+DK43</f>
        <v>-4979188.888888889</v>
      </c>
      <c r="DL44" s="84">
        <f t="shared" ref="DL44:DW44" si="245">DL40+DL43</f>
        <v>-4579188.888888889</v>
      </c>
      <c r="DM44" s="84">
        <f t="shared" si="245"/>
        <v>-4579188.888888889</v>
      </c>
      <c r="DN44" s="84">
        <f t="shared" si="245"/>
        <v>-4979188.888888889</v>
      </c>
      <c r="DO44" s="84">
        <f t="shared" si="245"/>
        <v>-4579188.888888889</v>
      </c>
      <c r="DP44" s="84">
        <f t="shared" si="245"/>
        <v>-4579188.888888889</v>
      </c>
      <c r="DQ44" s="84">
        <f t="shared" si="245"/>
        <v>-4579188.888888889</v>
      </c>
      <c r="DR44" s="84">
        <f t="shared" si="245"/>
        <v>-4979188.888888889</v>
      </c>
      <c r="DS44" s="84">
        <f t="shared" si="245"/>
        <v>-4579188.888888889</v>
      </c>
      <c r="DT44" s="84">
        <f t="shared" si="245"/>
        <v>-4579188.888888889</v>
      </c>
      <c r="DU44" s="84">
        <f t="shared" si="245"/>
        <v>-4979188.888888889</v>
      </c>
      <c r="DV44" s="84">
        <f t="shared" si="245"/>
        <v>-4579188.888888889</v>
      </c>
      <c r="DW44" s="84">
        <f t="shared" si="245"/>
        <v>-56550266.666666664</v>
      </c>
      <c r="DY44" s="84">
        <f>DY40+DY43</f>
        <v>0</v>
      </c>
      <c r="DZ44" s="84">
        <f t="shared" ref="DZ44:EK44" si="246">DZ40+DZ43</f>
        <v>0</v>
      </c>
      <c r="EA44" s="84">
        <f t="shared" si="246"/>
        <v>0</v>
      </c>
      <c r="EB44" s="84">
        <f t="shared" si="246"/>
        <v>0</v>
      </c>
      <c r="EC44" s="84">
        <f t="shared" si="246"/>
        <v>0</v>
      </c>
      <c r="ED44" s="84">
        <f t="shared" si="246"/>
        <v>0</v>
      </c>
      <c r="EE44" s="84">
        <f t="shared" si="246"/>
        <v>0</v>
      </c>
      <c r="EF44" s="84">
        <f t="shared" si="246"/>
        <v>0</v>
      </c>
      <c r="EG44" s="84">
        <f t="shared" si="246"/>
        <v>0</v>
      </c>
      <c r="EH44" s="84">
        <f t="shared" si="246"/>
        <v>0</v>
      </c>
      <c r="EI44" s="84">
        <f t="shared" si="246"/>
        <v>0</v>
      </c>
      <c r="EJ44" s="84">
        <f t="shared" si="246"/>
        <v>0</v>
      </c>
      <c r="EK44" s="84">
        <f t="shared" si="246"/>
        <v>0</v>
      </c>
    </row>
    <row r="45" spans="1:141" s="29" customFormat="1">
      <c r="A45" s="87">
        <v>18</v>
      </c>
      <c r="B45" s="88" t="s">
        <v>36</v>
      </c>
      <c r="C45" s="438">
        <f t="shared" ref="C45:N46" si="247">Q45+AE45</f>
        <v>380273874.94127083</v>
      </c>
      <c r="D45" s="341">
        <f t="shared" si="247"/>
        <v>0</v>
      </c>
      <c r="E45" s="341">
        <f t="shared" si="247"/>
        <v>934619042.34686375</v>
      </c>
      <c r="F45" s="341">
        <f t="shared" si="247"/>
        <v>746946934.01394844</v>
      </c>
      <c r="G45" s="341">
        <f t="shared" si="247"/>
        <v>782572970.9461298</v>
      </c>
      <c r="H45" s="341">
        <f t="shared" si="247"/>
        <v>707943160.14623451</v>
      </c>
      <c r="I45" s="341">
        <f t="shared" si="247"/>
        <v>1837575600.7959003</v>
      </c>
      <c r="J45" s="341">
        <f t="shared" si="247"/>
        <v>1680502005.0035582</v>
      </c>
      <c r="K45" s="341">
        <f t="shared" si="247"/>
        <v>1527312071.2935266</v>
      </c>
      <c r="L45" s="341">
        <f t="shared" si="247"/>
        <v>1666415694.9376678</v>
      </c>
      <c r="M45" s="341">
        <f t="shared" si="247"/>
        <v>1780669482.453928</v>
      </c>
      <c r="N45" s="341">
        <f t="shared" si="247"/>
        <v>1322862251.8688984</v>
      </c>
      <c r="O45" s="439">
        <f t="shared" ref="O45:O46" si="248">SUM(C45:N45)</f>
        <v>13367693088.747927</v>
      </c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>
        <f t="shared" ref="AC45:AC46" si="249">SUM(Q45:AB45)</f>
        <v>0</v>
      </c>
      <c r="AE45" s="440">
        <f t="shared" ref="AE45:AP46" si="250">AS45+BU45+CI45+CW45+DK45</f>
        <v>380273874.94127083</v>
      </c>
      <c r="AF45" s="341">
        <f t="shared" si="250"/>
        <v>0</v>
      </c>
      <c r="AG45" s="341">
        <f t="shared" si="250"/>
        <v>934619042.34686375</v>
      </c>
      <c r="AH45" s="341">
        <f t="shared" si="250"/>
        <v>746946934.01394844</v>
      </c>
      <c r="AI45" s="341">
        <f t="shared" si="250"/>
        <v>782572970.9461298</v>
      </c>
      <c r="AJ45" s="341">
        <f t="shared" si="250"/>
        <v>707943160.14623451</v>
      </c>
      <c r="AK45" s="341">
        <f t="shared" si="250"/>
        <v>1837575600.7959003</v>
      </c>
      <c r="AL45" s="341">
        <f t="shared" si="250"/>
        <v>1680502005.0035582</v>
      </c>
      <c r="AM45" s="341">
        <f t="shared" si="250"/>
        <v>1527312071.2935266</v>
      </c>
      <c r="AN45" s="341">
        <f t="shared" si="250"/>
        <v>1666415694.9376678</v>
      </c>
      <c r="AO45" s="341">
        <f t="shared" si="250"/>
        <v>1780669482.453928</v>
      </c>
      <c r="AP45" s="341">
        <f t="shared" si="250"/>
        <v>1322862251.8688984</v>
      </c>
      <c r="AQ45" s="441">
        <f t="shared" ref="AQ45:AQ46" si="251">SUM(AE45:AP45)</f>
        <v>13367693088.747927</v>
      </c>
      <c r="AS45" s="341">
        <f>'PL-KH26-DTR'!BL21</f>
        <v>380273874.94127083</v>
      </c>
      <c r="AT45" s="341">
        <f>'PL-KH26-DTR'!BM21</f>
        <v>0</v>
      </c>
      <c r="AU45" s="341">
        <f>'PL-KH26-DTR'!BN21</f>
        <v>934619042.34686375</v>
      </c>
      <c r="AV45" s="341">
        <f>'PL-KH26-DTR'!BO21</f>
        <v>746946934.01394844</v>
      </c>
      <c r="AW45" s="341">
        <f>'PL-KH26-DTR'!BP21</f>
        <v>782572970.9461298</v>
      </c>
      <c r="AX45" s="341">
        <f>'PL-KH26-DTR'!BQ21</f>
        <v>707943160.14623451</v>
      </c>
      <c r="AY45" s="341">
        <f>'PL-KH26-DTR'!BR21</f>
        <v>1837575600.7959003</v>
      </c>
      <c r="AZ45" s="341">
        <f>'PL-KH26-DTR'!BS21</f>
        <v>1680502005.0035582</v>
      </c>
      <c r="BA45" s="341">
        <f>'PL-KH26-DTR'!BT21</f>
        <v>1527312071.2935266</v>
      </c>
      <c r="BB45" s="341">
        <f>'PL-KH26-DTR'!BU21</f>
        <v>1666415694.9376678</v>
      </c>
      <c r="BC45" s="341">
        <f>'PL-KH26-DTR'!BV21</f>
        <v>1780669482.453928</v>
      </c>
      <c r="BD45" s="341">
        <f>'PL-KH26-DTR'!BW21</f>
        <v>1322862251.8688984</v>
      </c>
      <c r="BE45" s="341">
        <f t="shared" ref="BE45:BE46" si="252">SUM(AS45:BD45)</f>
        <v>13367693088.747927</v>
      </c>
      <c r="BG45" s="341">
        <f t="shared" ref="BG45:BR46" si="253">BU45+CI45+CW45</f>
        <v>0</v>
      </c>
      <c r="BH45" s="341">
        <f t="shared" si="253"/>
        <v>0</v>
      </c>
      <c r="BI45" s="341">
        <f t="shared" si="253"/>
        <v>0</v>
      </c>
      <c r="BJ45" s="341">
        <f t="shared" si="253"/>
        <v>0</v>
      </c>
      <c r="BK45" s="341">
        <f t="shared" si="253"/>
        <v>0</v>
      </c>
      <c r="BL45" s="341">
        <f t="shared" si="253"/>
        <v>0</v>
      </c>
      <c r="BM45" s="341">
        <f t="shared" si="253"/>
        <v>0</v>
      </c>
      <c r="BN45" s="341">
        <f t="shared" si="253"/>
        <v>0</v>
      </c>
      <c r="BO45" s="341">
        <f t="shared" si="253"/>
        <v>0</v>
      </c>
      <c r="BP45" s="341">
        <f t="shared" si="253"/>
        <v>0</v>
      </c>
      <c r="BQ45" s="341">
        <f t="shared" si="253"/>
        <v>0</v>
      </c>
      <c r="BR45" s="341">
        <f t="shared" si="253"/>
        <v>0</v>
      </c>
      <c r="BS45" s="341">
        <f t="shared" ref="BS45:BS46" si="254">SUM(BG45:BR45)</f>
        <v>0</v>
      </c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>
        <f t="shared" ref="CG45:CG46" si="255">SUM(BU45:CF45)</f>
        <v>0</v>
      </c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>
        <f t="shared" ref="CU45:CU46" si="256">SUM(CI45:CT45)</f>
        <v>0</v>
      </c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>
        <f t="shared" ref="DI45:DI46" si="257">SUM(CW45:DH45)</f>
        <v>0</v>
      </c>
      <c r="DK45" s="341">
        <f>'PL-KH26-TanDaiPhat'!B20</f>
        <v>0</v>
      </c>
      <c r="DL45" s="341">
        <f>'PL-KH26-TanDaiPhat'!C20</f>
        <v>0</v>
      </c>
      <c r="DM45" s="341">
        <f>'PL-KH26-TanDaiPhat'!D20</f>
        <v>0</v>
      </c>
      <c r="DN45" s="341">
        <f>'PL-KH26-TanDaiPhat'!E20</f>
        <v>0</v>
      </c>
      <c r="DO45" s="341">
        <f>'PL-KH26-TanDaiPhat'!F20</f>
        <v>0</v>
      </c>
      <c r="DP45" s="341">
        <f>'PL-KH26-TanDaiPhat'!G20</f>
        <v>0</v>
      </c>
      <c r="DQ45" s="341">
        <f>'PL-KH26-TanDaiPhat'!H20</f>
        <v>0</v>
      </c>
      <c r="DR45" s="341">
        <f>'PL-KH26-TanDaiPhat'!I20</f>
        <v>0</v>
      </c>
      <c r="DS45" s="341">
        <f>'PL-KH26-TanDaiPhat'!J20</f>
        <v>0</v>
      </c>
      <c r="DT45" s="341">
        <f>'PL-KH26-TanDaiPhat'!K20</f>
        <v>0</v>
      </c>
      <c r="DU45" s="341">
        <f>'PL-KH26-TanDaiPhat'!L20</f>
        <v>0</v>
      </c>
      <c r="DV45" s="341">
        <f>'PL-KH26-TanDaiPhat'!M20</f>
        <v>0</v>
      </c>
      <c r="DW45" s="341">
        <f t="shared" ref="DW45:DW46" si="258">SUM(DK45:DV45)</f>
        <v>0</v>
      </c>
      <c r="DY45" s="341"/>
      <c r="DZ45" s="341"/>
      <c r="EA45" s="341"/>
      <c r="EB45" s="341"/>
      <c r="EC45" s="341"/>
      <c r="ED45" s="341"/>
      <c r="EE45" s="341"/>
      <c r="EF45" s="341"/>
      <c r="EG45" s="341"/>
      <c r="EH45" s="341"/>
      <c r="EI45" s="341"/>
      <c r="EJ45" s="341"/>
      <c r="EK45" s="341">
        <f t="shared" ref="EK45:EK46" si="259">SUM(DY45:EJ45)</f>
        <v>0</v>
      </c>
    </row>
    <row r="46" spans="1:141" s="29" customFormat="1">
      <c r="A46" s="89">
        <v>19</v>
      </c>
      <c r="B46" s="90" t="s">
        <v>37</v>
      </c>
      <c r="C46" s="434">
        <f t="shared" si="247"/>
        <v>0</v>
      </c>
      <c r="D46" s="85">
        <f t="shared" si="247"/>
        <v>0</v>
      </c>
      <c r="E46" s="85">
        <f t="shared" si="247"/>
        <v>0</v>
      </c>
      <c r="F46" s="85">
        <f t="shared" si="247"/>
        <v>0</v>
      </c>
      <c r="G46" s="85">
        <f t="shared" si="247"/>
        <v>0</v>
      </c>
      <c r="H46" s="85">
        <f t="shared" si="247"/>
        <v>0</v>
      </c>
      <c r="I46" s="85">
        <f t="shared" si="247"/>
        <v>0</v>
      </c>
      <c r="J46" s="85">
        <f t="shared" si="247"/>
        <v>0</v>
      </c>
      <c r="K46" s="85">
        <f t="shared" si="247"/>
        <v>0</v>
      </c>
      <c r="L46" s="85">
        <f t="shared" si="247"/>
        <v>0</v>
      </c>
      <c r="M46" s="85">
        <f t="shared" si="247"/>
        <v>0</v>
      </c>
      <c r="N46" s="85">
        <f t="shared" si="247"/>
        <v>0</v>
      </c>
      <c r="O46" s="435">
        <f t="shared" si="248"/>
        <v>0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>
        <f t="shared" si="249"/>
        <v>0</v>
      </c>
      <c r="AE46" s="436">
        <f t="shared" si="250"/>
        <v>0</v>
      </c>
      <c r="AF46" s="85">
        <f t="shared" si="250"/>
        <v>0</v>
      </c>
      <c r="AG46" s="85">
        <f t="shared" si="250"/>
        <v>0</v>
      </c>
      <c r="AH46" s="85">
        <f t="shared" si="250"/>
        <v>0</v>
      </c>
      <c r="AI46" s="85">
        <f t="shared" si="250"/>
        <v>0</v>
      </c>
      <c r="AJ46" s="85">
        <f t="shared" si="250"/>
        <v>0</v>
      </c>
      <c r="AK46" s="85">
        <f t="shared" si="250"/>
        <v>0</v>
      </c>
      <c r="AL46" s="85">
        <f t="shared" si="250"/>
        <v>0</v>
      </c>
      <c r="AM46" s="85">
        <f t="shared" si="250"/>
        <v>0</v>
      </c>
      <c r="AN46" s="85">
        <f t="shared" si="250"/>
        <v>0</v>
      </c>
      <c r="AO46" s="85">
        <f t="shared" si="250"/>
        <v>0</v>
      </c>
      <c r="AP46" s="85">
        <f t="shared" si="250"/>
        <v>0</v>
      </c>
      <c r="AQ46" s="437">
        <f t="shared" si="251"/>
        <v>0</v>
      </c>
      <c r="AS46" s="85">
        <f>'PL-KH26-DTR'!BL22</f>
        <v>0</v>
      </c>
      <c r="AT46" s="85">
        <f>'PL-KH26-DTR'!BM22</f>
        <v>0</v>
      </c>
      <c r="AU46" s="85">
        <f>'PL-KH26-DTR'!BN22</f>
        <v>0</v>
      </c>
      <c r="AV46" s="85">
        <f>'PL-KH26-DTR'!BO22</f>
        <v>0</v>
      </c>
      <c r="AW46" s="85">
        <f>'PL-KH26-DTR'!BP22</f>
        <v>0</v>
      </c>
      <c r="AX46" s="85">
        <f>'PL-KH26-DTR'!BQ22</f>
        <v>0</v>
      </c>
      <c r="AY46" s="85">
        <f>'PL-KH26-DTR'!BR22</f>
        <v>0</v>
      </c>
      <c r="AZ46" s="85">
        <f>'PL-KH26-DTR'!BS22</f>
        <v>0</v>
      </c>
      <c r="BA46" s="85">
        <f>'PL-KH26-DTR'!BT22</f>
        <v>0</v>
      </c>
      <c r="BB46" s="85">
        <f>'PL-KH26-DTR'!BU22</f>
        <v>0</v>
      </c>
      <c r="BC46" s="85">
        <f>'PL-KH26-DTR'!BV22</f>
        <v>0</v>
      </c>
      <c r="BD46" s="85">
        <f>'PL-KH26-DTR'!BW22</f>
        <v>0</v>
      </c>
      <c r="BE46" s="85">
        <f t="shared" si="252"/>
        <v>0</v>
      </c>
      <c r="BG46" s="85">
        <f t="shared" si="253"/>
        <v>0</v>
      </c>
      <c r="BH46" s="85">
        <f t="shared" si="253"/>
        <v>0</v>
      </c>
      <c r="BI46" s="85">
        <f t="shared" si="253"/>
        <v>0</v>
      </c>
      <c r="BJ46" s="85">
        <f t="shared" si="253"/>
        <v>0</v>
      </c>
      <c r="BK46" s="85">
        <f t="shared" si="253"/>
        <v>0</v>
      </c>
      <c r="BL46" s="85">
        <f t="shared" si="253"/>
        <v>0</v>
      </c>
      <c r="BM46" s="85">
        <f t="shared" si="253"/>
        <v>0</v>
      </c>
      <c r="BN46" s="85">
        <f t="shared" si="253"/>
        <v>0</v>
      </c>
      <c r="BO46" s="85">
        <f t="shared" si="253"/>
        <v>0</v>
      </c>
      <c r="BP46" s="85">
        <f t="shared" si="253"/>
        <v>0</v>
      </c>
      <c r="BQ46" s="85">
        <f t="shared" si="253"/>
        <v>0</v>
      </c>
      <c r="BR46" s="85">
        <f t="shared" si="253"/>
        <v>0</v>
      </c>
      <c r="BS46" s="85">
        <f t="shared" si="254"/>
        <v>0</v>
      </c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>
        <f t="shared" si="255"/>
        <v>0</v>
      </c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>
        <f t="shared" si="256"/>
        <v>0</v>
      </c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>
        <f t="shared" si="257"/>
        <v>0</v>
      </c>
      <c r="DK46" s="85">
        <f>'PL-KH26-TanDaiPhat'!B21</f>
        <v>0</v>
      </c>
      <c r="DL46" s="85">
        <f>'PL-KH26-TanDaiPhat'!C21</f>
        <v>0</v>
      </c>
      <c r="DM46" s="85">
        <f>'PL-KH26-TanDaiPhat'!D21</f>
        <v>0</v>
      </c>
      <c r="DN46" s="85">
        <f>'PL-KH26-TanDaiPhat'!E21</f>
        <v>0</v>
      </c>
      <c r="DO46" s="85">
        <f>'PL-KH26-TanDaiPhat'!F21</f>
        <v>0</v>
      </c>
      <c r="DP46" s="85">
        <f>'PL-KH26-TanDaiPhat'!G21</f>
        <v>0</v>
      </c>
      <c r="DQ46" s="85">
        <f>'PL-KH26-TanDaiPhat'!H21</f>
        <v>0</v>
      </c>
      <c r="DR46" s="85">
        <f>'PL-KH26-TanDaiPhat'!I21</f>
        <v>0</v>
      </c>
      <c r="DS46" s="85">
        <f>'PL-KH26-TanDaiPhat'!J21</f>
        <v>0</v>
      </c>
      <c r="DT46" s="85">
        <f>'PL-KH26-TanDaiPhat'!K21</f>
        <v>0</v>
      </c>
      <c r="DU46" s="85">
        <f>'PL-KH26-TanDaiPhat'!L21</f>
        <v>0</v>
      </c>
      <c r="DV46" s="85">
        <f>'PL-KH26-TanDaiPhat'!M21</f>
        <v>0</v>
      </c>
      <c r="DW46" s="85">
        <f t="shared" si="258"/>
        <v>0</v>
      </c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>
        <f t="shared" si="259"/>
        <v>0</v>
      </c>
    </row>
    <row r="47" spans="1:141" s="51" customFormat="1" ht="14.25">
      <c r="A47" s="72">
        <v>20</v>
      </c>
      <c r="B47" s="68" t="s">
        <v>38</v>
      </c>
      <c r="C47" s="442">
        <f ca="1">C44-C45-C46</f>
        <v>67196450.944738448</v>
      </c>
      <c r="D47" s="86">
        <f t="shared" ref="D47:O47" ca="1" si="260">D44-D45-D46</f>
        <v>-2876783527.5726547</v>
      </c>
      <c r="E47" s="86">
        <f t="shared" ca="1" si="260"/>
        <v>3604952155.4908915</v>
      </c>
      <c r="F47" s="86">
        <f t="shared" ca="1" si="260"/>
        <v>1532697541.676712</v>
      </c>
      <c r="G47" s="86">
        <f t="shared" ca="1" si="260"/>
        <v>2762502221.5892191</v>
      </c>
      <c r="H47" s="86">
        <f t="shared" ca="1" si="260"/>
        <v>1386776170.405735</v>
      </c>
      <c r="I47" s="86">
        <f t="shared" ca="1" si="260"/>
        <v>7165598532.4166641</v>
      </c>
      <c r="J47" s="86">
        <f t="shared" ca="1" si="260"/>
        <v>6724187523.1802187</v>
      </c>
      <c r="K47" s="86">
        <f t="shared" ca="1" si="260"/>
        <v>6271647773.8832846</v>
      </c>
      <c r="L47" s="86">
        <f t="shared" ca="1" si="260"/>
        <v>6922622324.6141891</v>
      </c>
      <c r="M47" s="86">
        <f t="shared" ca="1" si="260"/>
        <v>7365680402.0527401</v>
      </c>
      <c r="N47" s="86">
        <f t="shared" ca="1" si="260"/>
        <v>5562869869.5073376</v>
      </c>
      <c r="O47" s="443">
        <f t="shared" ca="1" si="260"/>
        <v>46489947438.189056</v>
      </c>
      <c r="Q47" s="86">
        <f ca="1">Q44-Q45-Q46</f>
        <v>-1081653552.8917923</v>
      </c>
      <c r="R47" s="86">
        <f t="shared" ref="R47:AC47" ca="1" si="261">R44-R45-R46</f>
        <v>-206360630.64188004</v>
      </c>
      <c r="S47" s="86">
        <f t="shared" ca="1" si="261"/>
        <v>-1311188694.2388897</v>
      </c>
      <c r="T47" s="86">
        <f t="shared" ca="1" si="261"/>
        <v>-1689504436.190918</v>
      </c>
      <c r="U47" s="86">
        <f t="shared" ca="1" si="261"/>
        <v>-600462545.67515945</v>
      </c>
      <c r="V47" s="86">
        <f t="shared" ca="1" si="261"/>
        <v>-1386793199.9009171</v>
      </c>
      <c r="W47" s="86">
        <f t="shared" ca="1" si="261"/>
        <v>-318276916.1496563</v>
      </c>
      <c r="X47" s="86">
        <f t="shared" ca="1" si="261"/>
        <v>31216146.459789276</v>
      </c>
      <c r="Y47" s="86">
        <f t="shared" ca="1" si="261"/>
        <v>133418850.23434067</v>
      </c>
      <c r="Z47" s="86">
        <f t="shared" ca="1" si="261"/>
        <v>-337062225.32540703</v>
      </c>
      <c r="AA47" s="86">
        <f t="shared" ca="1" si="261"/>
        <v>-153560604.06283951</v>
      </c>
      <c r="AB47" s="86">
        <f t="shared" ca="1" si="261"/>
        <v>-227377208.07666779</v>
      </c>
      <c r="AC47" s="86">
        <f t="shared" ca="1" si="261"/>
        <v>-7147605016.4599972</v>
      </c>
      <c r="AE47" s="444">
        <f>AE44-AE45-AE46</f>
        <v>1148850003.8365307</v>
      </c>
      <c r="AF47" s="86">
        <f t="shared" ref="AF47:AQ47" si="262">AF44-AF45-AF46</f>
        <v>-2670422896.9307747</v>
      </c>
      <c r="AG47" s="86">
        <f t="shared" si="262"/>
        <v>4916140849.7297831</v>
      </c>
      <c r="AH47" s="86">
        <f t="shared" si="262"/>
        <v>3222201977.86763</v>
      </c>
      <c r="AI47" s="86">
        <f t="shared" si="262"/>
        <v>3362964767.2643824</v>
      </c>
      <c r="AJ47" s="86">
        <f t="shared" si="262"/>
        <v>2773569370.3066521</v>
      </c>
      <c r="AK47" s="86">
        <f t="shared" si="262"/>
        <v>7483875448.5663185</v>
      </c>
      <c r="AL47" s="86">
        <f t="shared" si="262"/>
        <v>6692971376.7204256</v>
      </c>
      <c r="AM47" s="86">
        <f t="shared" si="262"/>
        <v>6138228923.6489439</v>
      </c>
      <c r="AN47" s="86">
        <f t="shared" si="262"/>
        <v>7259684549.9395981</v>
      </c>
      <c r="AO47" s="86">
        <f t="shared" si="262"/>
        <v>7519241006.1155834</v>
      </c>
      <c r="AP47" s="86">
        <f t="shared" si="262"/>
        <v>5790247077.5840054</v>
      </c>
      <c r="AQ47" s="445">
        <f t="shared" si="262"/>
        <v>53637552454.649017</v>
      </c>
      <c r="AS47" s="86">
        <f>AS44-AS45-AS46</f>
        <v>1521095499.7650642</v>
      </c>
      <c r="AT47" s="86">
        <f t="shared" ref="AT47:BE47" si="263">AT44-AT45-AT46</f>
        <v>-1325103642.6497984</v>
      </c>
      <c r="AU47" s="86">
        <f t="shared" si="263"/>
        <v>5063579812.0372562</v>
      </c>
      <c r="AV47" s="86">
        <f t="shared" si="263"/>
        <v>2987787736.0558052</v>
      </c>
      <c r="AW47" s="86">
        <f t="shared" si="263"/>
        <v>3130291883.7845144</v>
      </c>
      <c r="AX47" s="86">
        <f t="shared" si="263"/>
        <v>2831772640.584918</v>
      </c>
      <c r="AY47" s="86">
        <f t="shared" si="263"/>
        <v>7350302403.1835804</v>
      </c>
      <c r="AZ47" s="86">
        <f t="shared" si="263"/>
        <v>6722008020.0142488</v>
      </c>
      <c r="BA47" s="86">
        <f t="shared" si="263"/>
        <v>6109248285.1741209</v>
      </c>
      <c r="BB47" s="86">
        <f t="shared" si="263"/>
        <v>6665662779.7506523</v>
      </c>
      <c r="BC47" s="86">
        <f t="shared" si="263"/>
        <v>7122677929.8157291</v>
      </c>
      <c r="BD47" s="86">
        <f t="shared" si="263"/>
        <v>5291449007.4756031</v>
      </c>
      <c r="BE47" s="86">
        <f t="shared" si="263"/>
        <v>53470772354.991684</v>
      </c>
      <c r="BG47" s="86">
        <f t="shared" ref="BG47:BS47" si="264">BG44-BG45-BG46</f>
        <v>-367266307.03964305</v>
      </c>
      <c r="BH47" s="86">
        <f t="shared" si="264"/>
        <v>-1340740065.3920875</v>
      </c>
      <c r="BI47" s="86">
        <f t="shared" si="264"/>
        <v>-142859773.4185853</v>
      </c>
      <c r="BJ47" s="86">
        <f t="shared" si="264"/>
        <v>239393430.70071363</v>
      </c>
      <c r="BK47" s="86">
        <f t="shared" si="264"/>
        <v>237252072.36875868</v>
      </c>
      <c r="BL47" s="86">
        <f t="shared" si="264"/>
        <v>-53624081.389373779</v>
      </c>
      <c r="BM47" s="86">
        <f t="shared" si="264"/>
        <v>138152234.2716248</v>
      </c>
      <c r="BN47" s="86">
        <f t="shared" si="264"/>
        <v>-24057454.404931545</v>
      </c>
      <c r="BO47" s="86">
        <f t="shared" si="264"/>
        <v>33559827.363711596</v>
      </c>
      <c r="BP47" s="86">
        <f t="shared" si="264"/>
        <v>598600959.07783556</v>
      </c>
      <c r="BQ47" s="86">
        <f t="shared" si="264"/>
        <v>401542265.18874407</v>
      </c>
      <c r="BR47" s="86">
        <f t="shared" si="264"/>
        <v>503377258.99729204</v>
      </c>
      <c r="BS47" s="86">
        <f t="shared" si="264"/>
        <v>223330366.32402992</v>
      </c>
      <c r="BU47" s="86">
        <f>BU44-BU45-BU46</f>
        <v>425648686.98440266</v>
      </c>
      <c r="BV47" s="86">
        <f t="shared" ref="BV47:CG47" si="265">BV44-BV45-BV46</f>
        <v>-57733714.869803429</v>
      </c>
      <c r="BW47" s="86">
        <f t="shared" si="265"/>
        <v>288830674.14476395</v>
      </c>
      <c r="BX47" s="86">
        <f t="shared" si="265"/>
        <v>152444821.72399521</v>
      </c>
      <c r="BY47" s="86">
        <f t="shared" si="265"/>
        <v>114898892.57554054</v>
      </c>
      <c r="BZ47" s="86">
        <f t="shared" si="265"/>
        <v>66153608.094058394</v>
      </c>
      <c r="CA47" s="86">
        <f t="shared" si="265"/>
        <v>122430228.57130182</v>
      </c>
      <c r="CB47" s="86">
        <f t="shared" si="265"/>
        <v>13734722.611409545</v>
      </c>
      <c r="CC47" s="86">
        <f t="shared" si="265"/>
        <v>28055370.012963653</v>
      </c>
      <c r="CD47" s="86">
        <f t="shared" si="265"/>
        <v>167488832.03474939</v>
      </c>
      <c r="CE47" s="86">
        <f t="shared" si="265"/>
        <v>44116089.368741393</v>
      </c>
      <c r="CF47" s="86">
        <f t="shared" si="265"/>
        <v>133638468.90463388</v>
      </c>
      <c r="CG47" s="86">
        <f t="shared" si="265"/>
        <v>1499706680.1567497</v>
      </c>
      <c r="CI47" s="86">
        <f>CI44-CI45-CI46</f>
        <v>-13487537.813614845</v>
      </c>
      <c r="CJ47" s="86">
        <f t="shared" ref="CJ47:CU47" si="266">CJ44-CJ45-CJ46</f>
        <v>-349003777.9449861</v>
      </c>
      <c r="CK47" s="86">
        <f t="shared" si="266"/>
        <v>153985417.22647077</v>
      </c>
      <c r="CL47" s="86">
        <f t="shared" si="266"/>
        <v>217630316.46933579</v>
      </c>
      <c r="CM47" s="86">
        <f t="shared" si="266"/>
        <v>255480237.26933599</v>
      </c>
      <c r="CN47" s="86">
        <f t="shared" si="266"/>
        <v>215449755.00266957</v>
      </c>
      <c r="CO47" s="86">
        <f t="shared" si="266"/>
        <v>202542519.13600278</v>
      </c>
      <c r="CP47" s="86">
        <f t="shared" si="266"/>
        <v>186654358.55266881</v>
      </c>
      <c r="CQ47" s="86">
        <f t="shared" si="266"/>
        <v>197894696.43600202</v>
      </c>
      <c r="CR47" s="86">
        <f t="shared" si="266"/>
        <v>259433459.102669</v>
      </c>
      <c r="CS47" s="86">
        <f t="shared" si="266"/>
        <v>240452839.80266881</v>
      </c>
      <c r="CT47" s="86">
        <f t="shared" si="266"/>
        <v>234907060.00266957</v>
      </c>
      <c r="CU47" s="86">
        <f t="shared" si="266"/>
        <v>1801939343.2418804</v>
      </c>
      <c r="CW47" s="86">
        <f>CW44-CW45-CW46</f>
        <v>-779427456.21043384</v>
      </c>
      <c r="CX47" s="86">
        <f t="shared" ref="CX47:DI47" si="267">CX44-CX45-CX46</f>
        <v>-934002572.57729888</v>
      </c>
      <c r="CY47" s="86">
        <f t="shared" si="267"/>
        <v>-585675864.78982008</v>
      </c>
      <c r="CZ47" s="86">
        <f t="shared" si="267"/>
        <v>-130681707.4926194</v>
      </c>
      <c r="DA47" s="86">
        <f t="shared" si="267"/>
        <v>-133127057.47611511</v>
      </c>
      <c r="DB47" s="86">
        <f t="shared" si="267"/>
        <v>-335227444.48610651</v>
      </c>
      <c r="DC47" s="86">
        <f t="shared" si="267"/>
        <v>-186820513.43567878</v>
      </c>
      <c r="DD47" s="86">
        <f t="shared" si="267"/>
        <v>-224446535.56901276</v>
      </c>
      <c r="DE47" s="86">
        <f t="shared" si="267"/>
        <v>-192390239.08525115</v>
      </c>
      <c r="DF47" s="86">
        <f t="shared" si="267"/>
        <v>171678667.94041348</v>
      </c>
      <c r="DG47" s="86">
        <f t="shared" si="267"/>
        <v>116973336.01733685</v>
      </c>
      <c r="DH47" s="86">
        <f t="shared" si="267"/>
        <v>134831730.08998775</v>
      </c>
      <c r="DI47" s="86">
        <f t="shared" si="267"/>
        <v>-3078315657.0746012</v>
      </c>
      <c r="DK47" s="86">
        <f>DK44-DK45-DK46</f>
        <v>-4979188.888888889</v>
      </c>
      <c r="DL47" s="86">
        <f t="shared" ref="DL47:DW47" si="268">DL44-DL45-DL46</f>
        <v>-4579188.888888889</v>
      </c>
      <c r="DM47" s="86">
        <f t="shared" si="268"/>
        <v>-4579188.888888889</v>
      </c>
      <c r="DN47" s="86">
        <f t="shared" si="268"/>
        <v>-4979188.888888889</v>
      </c>
      <c r="DO47" s="86">
        <f t="shared" si="268"/>
        <v>-4579188.888888889</v>
      </c>
      <c r="DP47" s="86">
        <f t="shared" si="268"/>
        <v>-4579188.888888889</v>
      </c>
      <c r="DQ47" s="86">
        <f t="shared" si="268"/>
        <v>-4579188.888888889</v>
      </c>
      <c r="DR47" s="86">
        <f t="shared" si="268"/>
        <v>-4979188.888888889</v>
      </c>
      <c r="DS47" s="86">
        <f t="shared" si="268"/>
        <v>-4579188.888888889</v>
      </c>
      <c r="DT47" s="86">
        <f t="shared" si="268"/>
        <v>-4579188.888888889</v>
      </c>
      <c r="DU47" s="86">
        <f t="shared" si="268"/>
        <v>-4979188.888888889</v>
      </c>
      <c r="DV47" s="86">
        <f t="shared" si="268"/>
        <v>-4579188.888888889</v>
      </c>
      <c r="DW47" s="86">
        <f t="shared" si="268"/>
        <v>-56550266.666666664</v>
      </c>
      <c r="DY47" s="86">
        <f t="shared" ref="DY47:EK47" si="269">DY44-DY45-DY46</f>
        <v>0</v>
      </c>
      <c r="DZ47" s="86">
        <f t="shared" si="269"/>
        <v>0</v>
      </c>
      <c r="EA47" s="86">
        <f t="shared" si="269"/>
        <v>0</v>
      </c>
      <c r="EB47" s="86">
        <f t="shared" si="269"/>
        <v>0</v>
      </c>
      <c r="EC47" s="86">
        <f t="shared" si="269"/>
        <v>0</v>
      </c>
      <c r="ED47" s="86">
        <f t="shared" si="269"/>
        <v>0</v>
      </c>
      <c r="EE47" s="86">
        <f t="shared" si="269"/>
        <v>0</v>
      </c>
      <c r="EF47" s="86">
        <f t="shared" si="269"/>
        <v>0</v>
      </c>
      <c r="EG47" s="86">
        <f t="shared" si="269"/>
        <v>0</v>
      </c>
      <c r="EH47" s="86">
        <f t="shared" si="269"/>
        <v>0</v>
      </c>
      <c r="EI47" s="86">
        <f t="shared" si="269"/>
        <v>0</v>
      </c>
      <c r="EJ47" s="86">
        <f t="shared" si="269"/>
        <v>0</v>
      </c>
      <c r="EK47" s="86">
        <f t="shared" si="269"/>
        <v>0</v>
      </c>
    </row>
    <row r="48" spans="1:141" s="17" customFormat="1" ht="15.75" thickBot="1">
      <c r="B48" s="17" t="s">
        <v>18</v>
      </c>
      <c r="C48" s="446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7"/>
      <c r="O48" s="448">
        <f ca="1">O47-SUM(C47:N47)</f>
        <v>0</v>
      </c>
      <c r="AE48" s="449"/>
      <c r="AF48" s="450"/>
      <c r="AG48" s="450"/>
      <c r="AH48" s="450"/>
      <c r="AI48" s="450"/>
      <c r="AJ48" s="450"/>
      <c r="AK48" s="450"/>
      <c r="AL48" s="450"/>
      <c r="AM48" s="450"/>
      <c r="AN48" s="450"/>
      <c r="AO48" s="450"/>
      <c r="AP48" s="450"/>
      <c r="AQ48" s="451"/>
      <c r="BS48" s="313">
        <f>BS47-(CG47+CU47+DI47)</f>
        <v>9.5367431640625E-7</v>
      </c>
      <c r="CG48" s="313">
        <f>CG47-'PL-KH26-DongLam'!S50</f>
        <v>-1.33514404296875E-5</v>
      </c>
      <c r="CU48" s="313">
        <f>CU47-'PL-KH26-KhanhNga'!S49</f>
        <v>-7.8678131103515625E-6</v>
      </c>
      <c r="DI48" s="313">
        <f>DI47-'PL-KH26-DaiLoc'!R51</f>
        <v>-4.291534423828125E-6</v>
      </c>
      <c r="DW48" s="18">
        <f>DW47-'PL-KH26-TanDaiPhat'!N22</f>
        <v>0</v>
      </c>
    </row>
    <row r="49" spans="2:12" ht="15.75" thickTop="1"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12" s="96" customFormat="1">
      <c r="B50" s="17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2:12" s="96" customFormat="1">
      <c r="B51" s="17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2:12" s="96" customFormat="1">
      <c r="B52" s="17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2:12" s="17" customFormat="1"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2:12">
      <c r="C54" s="29"/>
      <c r="D54" s="29"/>
      <c r="E54" s="29"/>
      <c r="F54" s="29"/>
      <c r="G54" s="29"/>
      <c r="H54" s="29"/>
      <c r="I54" s="29"/>
      <c r="J54" s="29"/>
      <c r="K54" s="29"/>
      <c r="L54" s="29"/>
    </row>
  </sheetData>
  <mergeCells count="12">
    <mergeCell ref="DY3:EK3"/>
    <mergeCell ref="DK3:DW3"/>
    <mergeCell ref="A3:A4"/>
    <mergeCell ref="B3:B4"/>
    <mergeCell ref="Q3:AC3"/>
    <mergeCell ref="AE3:AQ3"/>
    <mergeCell ref="AS3:BE3"/>
    <mergeCell ref="BG3:BS3"/>
    <mergeCell ref="BU3:CG3"/>
    <mergeCell ref="CI3:CU3"/>
    <mergeCell ref="CW3:DI3"/>
    <mergeCell ref="C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CEE1-00AB-48DB-B14D-6BF90203BEB8}">
  <sheetPr>
    <tabColor rgb="FFFFFF00"/>
  </sheetPr>
  <dimension ref="A1:BW23"/>
  <sheetViews>
    <sheetView showGridLines="0" zoomScale="85" zoomScaleNormal="85" workbookViewId="0">
      <pane xSplit="3" ySplit="2" topLeftCell="BR3" activePane="bottomRight" state="frozen"/>
      <selection activeCell="N36" sqref="N36"/>
      <selection pane="topRight" activeCell="N36" sqref="N36"/>
      <selection pane="bottomLeft" activeCell="N36" sqref="N36"/>
      <selection pane="bottomRight" activeCell="BT24" sqref="BT24"/>
    </sheetView>
  </sheetViews>
  <sheetFormatPr defaultRowHeight="15"/>
  <cols>
    <col min="1" max="1" width="6.125" customWidth="1"/>
    <col min="2" max="2" width="49" bestFit="1" customWidth="1"/>
    <col min="3" max="3" width="10.625" customWidth="1"/>
    <col min="4" max="10" width="13.625" hidden="1" customWidth="1"/>
    <col min="11" max="11" width="14.25" hidden="1" customWidth="1"/>
    <col min="12" max="14" width="13.625" hidden="1" customWidth="1"/>
    <col min="15" max="15" width="14.625" hidden="1" customWidth="1"/>
    <col min="16" max="16" width="13.625" hidden="1" customWidth="1"/>
    <col min="17" max="17" width="14.25" hidden="1" customWidth="1"/>
    <col min="18" max="44" width="14.625" hidden="1" customWidth="1"/>
    <col min="45" max="46" width="15.25" hidden="1" customWidth="1"/>
    <col min="47" max="49" width="15.75" hidden="1" customWidth="1"/>
    <col min="50" max="50" width="14.625" hidden="1" customWidth="1"/>
    <col min="51" max="51" width="15.75" hidden="1" customWidth="1"/>
    <col min="52" max="52" width="14.625" hidden="1" customWidth="1"/>
    <col min="53" max="59" width="15.75" hidden="1" customWidth="1"/>
    <col min="60" max="60" width="15.25" hidden="1" customWidth="1"/>
    <col min="61" max="63" width="14.625" hidden="1" customWidth="1"/>
    <col min="64" max="64" width="18.375" bestFit="1" customWidth="1"/>
    <col min="65" max="65" width="16.375" bestFit="1" customWidth="1"/>
    <col min="66" max="66" width="17.25" customWidth="1"/>
    <col min="67" max="75" width="16.375" bestFit="1" customWidth="1"/>
  </cols>
  <sheetData>
    <row r="1" spans="1:75" ht="18.75">
      <c r="B1" s="19" t="s">
        <v>41</v>
      </c>
      <c r="BL1" s="103">
        <v>1000</v>
      </c>
    </row>
    <row r="2" spans="1:75">
      <c r="B2" s="20" t="s">
        <v>11</v>
      </c>
    </row>
    <row r="3" spans="1:75" ht="28.5">
      <c r="A3" s="6" t="s">
        <v>39</v>
      </c>
      <c r="B3" s="2" t="s">
        <v>19</v>
      </c>
      <c r="C3" s="6" t="s">
        <v>42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 t="s">
        <v>43</v>
      </c>
      <c r="BM3" s="6" t="s">
        <v>44</v>
      </c>
      <c r="BN3" s="6" t="s">
        <v>45</v>
      </c>
      <c r="BO3" s="6" t="s">
        <v>46</v>
      </c>
      <c r="BP3" s="6" t="s">
        <v>47</v>
      </c>
      <c r="BQ3" s="6" t="s">
        <v>48</v>
      </c>
      <c r="BR3" s="6" t="s">
        <v>49</v>
      </c>
      <c r="BS3" s="6" t="s">
        <v>50</v>
      </c>
      <c r="BT3" s="6" t="s">
        <v>51</v>
      </c>
      <c r="BU3" s="6" t="s">
        <v>52</v>
      </c>
      <c r="BV3" s="6" t="s">
        <v>53</v>
      </c>
      <c r="BW3" s="6" t="s">
        <v>54</v>
      </c>
    </row>
    <row r="4" spans="1:75">
      <c r="A4" s="22">
        <v>1</v>
      </c>
      <c r="B4" s="23" t="s">
        <v>55</v>
      </c>
      <c r="C4" s="22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>
        <v>4318.222932676138</v>
      </c>
      <c r="BM4" s="10">
        <v>4253.3145678240335</v>
      </c>
      <c r="BN4" s="10">
        <v>4678.5574034757401</v>
      </c>
      <c r="BO4" s="10">
        <v>4394.2315186767219</v>
      </c>
      <c r="BP4" s="10">
        <v>4663.4364391825357</v>
      </c>
      <c r="BQ4" s="10">
        <v>4691.9521822275938</v>
      </c>
      <c r="BR4" s="10">
        <v>4689.4225169732681</v>
      </c>
      <c r="BS4" s="10">
        <v>4562.8494989087403</v>
      </c>
      <c r="BT4" s="10">
        <v>4774.6231018888848</v>
      </c>
      <c r="BU4" s="10">
        <v>4468.6262974285746</v>
      </c>
      <c r="BV4" s="10">
        <v>4720.2431243544625</v>
      </c>
      <c r="BW4" s="10">
        <v>4784.5204185700313</v>
      </c>
    </row>
    <row r="5" spans="1:75">
      <c r="A5" s="1">
        <v>2</v>
      </c>
      <c r="B5" s="24" t="s">
        <v>20</v>
      </c>
      <c r="C5" s="1">
        <v>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14">
        <v>129505341136.8568</v>
      </c>
      <c r="BM5" s="14">
        <v>127974441177.86678</v>
      </c>
      <c r="BN5" s="14">
        <v>141599491827.82724</v>
      </c>
      <c r="BO5" s="14">
        <v>131782266518.60179</v>
      </c>
      <c r="BP5" s="14">
        <v>140244307484.73706</v>
      </c>
      <c r="BQ5" s="14">
        <v>141409300219.24365</v>
      </c>
      <c r="BR5" s="14">
        <v>145404057387.95996</v>
      </c>
      <c r="BS5" s="14">
        <v>141276361518.14462</v>
      </c>
      <c r="BT5" s="14">
        <v>148196499542.28259</v>
      </c>
      <c r="BU5" s="14">
        <v>137984481243.16364</v>
      </c>
      <c r="BV5" s="14">
        <v>145929060338.8269</v>
      </c>
      <c r="BW5" s="14">
        <v>147442013746.17145</v>
      </c>
    </row>
    <row r="6" spans="1:75">
      <c r="A6" s="21">
        <v>3</v>
      </c>
      <c r="B6" s="3" t="s">
        <v>21</v>
      </c>
      <c r="C6" s="21">
        <v>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</row>
    <row r="7" spans="1:75">
      <c r="A7" s="25">
        <v>4</v>
      </c>
      <c r="B7" s="24" t="s">
        <v>22</v>
      </c>
      <c r="C7" s="25">
        <v>5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04">
        <v>129505341136.8568</v>
      </c>
      <c r="BM7" s="104">
        <v>127974441177.86678</v>
      </c>
      <c r="BN7" s="104">
        <v>141599491827.82724</v>
      </c>
      <c r="BO7" s="104">
        <v>131782266518.60179</v>
      </c>
      <c r="BP7" s="104">
        <v>140244307484.73706</v>
      </c>
      <c r="BQ7" s="104">
        <v>141409300219.24365</v>
      </c>
      <c r="BR7" s="104">
        <v>145404057387.95996</v>
      </c>
      <c r="BS7" s="104">
        <v>141276361518.14462</v>
      </c>
      <c r="BT7" s="104">
        <v>148196499542.28259</v>
      </c>
      <c r="BU7" s="104">
        <v>137984481243.16364</v>
      </c>
      <c r="BV7" s="104">
        <v>145929060338.8269</v>
      </c>
      <c r="BW7" s="104">
        <v>147442013746.17145</v>
      </c>
    </row>
    <row r="8" spans="1:75">
      <c r="A8" s="26">
        <v>5</v>
      </c>
      <c r="B8" s="3" t="s">
        <v>23</v>
      </c>
      <c r="C8" s="26">
        <v>5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05">
        <v>111573152812.80542</v>
      </c>
      <c r="BM8" s="105">
        <v>114942222906.7661</v>
      </c>
      <c r="BN8" s="105">
        <v>120213688326.59052</v>
      </c>
      <c r="BO8" s="105">
        <v>113297880731.08926</v>
      </c>
      <c r="BP8" s="105">
        <v>119515804418.96034</v>
      </c>
      <c r="BQ8" s="105">
        <v>121320057022.57965</v>
      </c>
      <c r="BR8" s="105">
        <v>119663072666.45052</v>
      </c>
      <c r="BS8" s="105">
        <v>116065893729.5943</v>
      </c>
      <c r="BT8" s="105">
        <v>122487196346.25676</v>
      </c>
      <c r="BU8" s="105">
        <v>113826945063.91806</v>
      </c>
      <c r="BV8" s="105">
        <v>120726874069.98517</v>
      </c>
      <c r="BW8" s="105">
        <v>122409403433.51817</v>
      </c>
    </row>
    <row r="9" spans="1:75">
      <c r="A9" s="27">
        <v>6</v>
      </c>
      <c r="B9" s="24" t="s">
        <v>24</v>
      </c>
      <c r="C9" s="27">
        <v>5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6">
        <f>BL7-BL8</f>
        <v>17932188324.051376</v>
      </c>
      <c r="BM9" s="16">
        <f t="shared" ref="BM9:BW9" si="0">BM7-BM8</f>
        <v>13032218271.100677</v>
      </c>
      <c r="BN9" s="16">
        <f t="shared" si="0"/>
        <v>21385803501.236725</v>
      </c>
      <c r="BO9" s="16">
        <f t="shared" si="0"/>
        <v>18484385787.512527</v>
      </c>
      <c r="BP9" s="16">
        <f t="shared" si="0"/>
        <v>20728503065.776718</v>
      </c>
      <c r="BQ9" s="16">
        <f t="shared" si="0"/>
        <v>20089243196.664001</v>
      </c>
      <c r="BR9" s="16">
        <f t="shared" si="0"/>
        <v>25740984721.509445</v>
      </c>
      <c r="BS9" s="16">
        <f t="shared" si="0"/>
        <v>25210467788.550323</v>
      </c>
      <c r="BT9" s="16">
        <f t="shared" si="0"/>
        <v>25709303196.025833</v>
      </c>
      <c r="BU9" s="16">
        <f t="shared" si="0"/>
        <v>24157536179.245575</v>
      </c>
      <c r="BV9" s="16">
        <f t="shared" si="0"/>
        <v>25202186268.841736</v>
      </c>
      <c r="BW9" s="16">
        <f t="shared" si="0"/>
        <v>25032610312.653275</v>
      </c>
    </row>
    <row r="10" spans="1:75">
      <c r="A10" s="27">
        <v>7</v>
      </c>
      <c r="B10" s="24" t="s">
        <v>25</v>
      </c>
      <c r="C10" s="27">
        <v>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</row>
    <row r="11" spans="1:75">
      <c r="A11" s="21">
        <v>8</v>
      </c>
      <c r="B11" s="3" t="s">
        <v>26</v>
      </c>
      <c r="C11" s="21">
        <v>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</row>
    <row r="12" spans="1:75">
      <c r="A12" s="1">
        <v>9</v>
      </c>
      <c r="B12" s="24" t="s">
        <v>27</v>
      </c>
      <c r="C12" s="1">
        <v>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14">
        <v>1440729191.0893345</v>
      </c>
      <c r="BM12" s="14">
        <v>2314401491.6227865</v>
      </c>
      <c r="BN12" s="14">
        <v>2754845108.8531456</v>
      </c>
      <c r="BO12" s="14">
        <v>2658973977.945015</v>
      </c>
      <c r="BP12" s="14">
        <v>2984563857.6971397</v>
      </c>
      <c r="BQ12" s="14">
        <v>3083765892.6644506</v>
      </c>
      <c r="BR12" s="14">
        <v>3139619158.6549101</v>
      </c>
      <c r="BS12" s="14">
        <v>3321581053.7279758</v>
      </c>
      <c r="BT12" s="14">
        <v>3248341883.5147653</v>
      </c>
      <c r="BU12" s="14">
        <v>3254733184.6761322</v>
      </c>
      <c r="BV12" s="14">
        <v>3261994460.9206567</v>
      </c>
      <c r="BW12" s="14">
        <v>3102355062.0342402</v>
      </c>
    </row>
    <row r="13" spans="1:75">
      <c r="A13" s="21">
        <v>10</v>
      </c>
      <c r="B13" s="4" t="s">
        <v>28</v>
      </c>
      <c r="C13" s="21">
        <v>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15">
        <v>1440729191.0893345</v>
      </c>
      <c r="BM13" s="15">
        <v>2314401491.6227865</v>
      </c>
      <c r="BN13" s="15">
        <v>2754845108.8531456</v>
      </c>
      <c r="BO13" s="15">
        <v>2658973977.945015</v>
      </c>
      <c r="BP13" s="15">
        <v>2984563857.6971397</v>
      </c>
      <c r="BQ13" s="15">
        <v>3083765892.6644506</v>
      </c>
      <c r="BR13" s="15">
        <v>3139619158.6549101</v>
      </c>
      <c r="BS13" s="15">
        <v>3321581053.7279758</v>
      </c>
      <c r="BT13" s="15">
        <v>3248341883.5147653</v>
      </c>
      <c r="BU13" s="15">
        <v>3254733184.6761322</v>
      </c>
      <c r="BV13" s="15">
        <v>3261994460.9206567</v>
      </c>
      <c r="BW13" s="15">
        <v>3102355062.0342402</v>
      </c>
    </row>
    <row r="14" spans="1:75">
      <c r="A14" s="21">
        <v>11</v>
      </c>
      <c r="B14" s="3" t="s">
        <v>29</v>
      </c>
      <c r="C14" s="21">
        <v>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15">
        <v>5085051683.2684879</v>
      </c>
      <c r="BM14" s="15">
        <v>4093196981.7930779</v>
      </c>
      <c r="BN14" s="15">
        <v>4600864865.7930784</v>
      </c>
      <c r="BO14" s="15">
        <v>3968860918.7165751</v>
      </c>
      <c r="BP14" s="15">
        <v>5549018826.1701279</v>
      </c>
      <c r="BQ14" s="15">
        <v>4908280870.2522898</v>
      </c>
      <c r="BR14" s="15">
        <v>4272047108.8742466</v>
      </c>
      <c r="BS14" s="15">
        <v>4169382223.6283445</v>
      </c>
      <c r="BT14" s="15">
        <v>6178684666.8742466</v>
      </c>
      <c r="BU14" s="15">
        <v>4321867491.3478346</v>
      </c>
      <c r="BV14" s="15">
        <v>4663039255.763135</v>
      </c>
      <c r="BW14" s="15">
        <v>4745480246.724884</v>
      </c>
    </row>
    <row r="15" spans="1:75">
      <c r="A15" s="21">
        <v>12</v>
      </c>
      <c r="B15" s="3" t="s">
        <v>30</v>
      </c>
      <c r="C15" s="21">
        <v>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15">
        <v>9071413074.9872189</v>
      </c>
      <c r="BM15" s="15">
        <v>7516098440.3346109</v>
      </c>
      <c r="BN15" s="15">
        <v>7598269672.2063799</v>
      </c>
      <c r="BO15" s="15">
        <v>7688191220.7811832</v>
      </c>
      <c r="BP15" s="15">
        <v>7848430527.1788063</v>
      </c>
      <c r="BQ15" s="15">
        <v>8123855633.0161085</v>
      </c>
      <c r="BR15" s="15">
        <v>8707815450.0008049</v>
      </c>
      <c r="BS15" s="15">
        <v>8883369486.1761971</v>
      </c>
      <c r="BT15" s="15">
        <v>8212091289.1691723</v>
      </c>
      <c r="BU15" s="15">
        <v>7815232028.533287</v>
      </c>
      <c r="BV15" s="15">
        <v>7940180139.8882866</v>
      </c>
      <c r="BW15" s="15">
        <v>10136838744.549648</v>
      </c>
    </row>
    <row r="16" spans="1:75">
      <c r="A16" s="1">
        <v>13</v>
      </c>
      <c r="B16" s="24" t="s">
        <v>31</v>
      </c>
      <c r="C16" s="1">
        <v>5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14">
        <f>BL9+BL10+BL11-BL12-BL14-BL15</f>
        <v>2334994374.7063351</v>
      </c>
      <c r="BM16" s="14">
        <f t="shared" ref="BM16:BW16" si="1">BM9+BM10+BM11-BM12-BM14-BM15</f>
        <v>-891478642.64979839</v>
      </c>
      <c r="BN16" s="14">
        <f t="shared" si="1"/>
        <v>6431823854.38412</v>
      </c>
      <c r="BO16" s="14">
        <f t="shared" si="1"/>
        <v>4168359670.0697536</v>
      </c>
      <c r="BP16" s="14">
        <f t="shared" si="1"/>
        <v>4346489854.7306442</v>
      </c>
      <c r="BQ16" s="14">
        <f t="shared" si="1"/>
        <v>3973340800.7311525</v>
      </c>
      <c r="BR16" s="14">
        <f t="shared" si="1"/>
        <v>9621503003.9794807</v>
      </c>
      <c r="BS16" s="14">
        <f t="shared" si="1"/>
        <v>8836135025.017807</v>
      </c>
      <c r="BT16" s="14">
        <f t="shared" si="1"/>
        <v>8070185356.4676476</v>
      </c>
      <c r="BU16" s="14">
        <f t="shared" si="1"/>
        <v>8765703474.6883202</v>
      </c>
      <c r="BV16" s="14">
        <f t="shared" si="1"/>
        <v>9336972412.2696571</v>
      </c>
      <c r="BW16" s="14">
        <f t="shared" si="1"/>
        <v>7047936259.3445015</v>
      </c>
    </row>
    <row r="17" spans="1:75">
      <c r="A17" s="21">
        <v>14</v>
      </c>
      <c r="B17" s="3" t="s">
        <v>32</v>
      </c>
      <c r="C17" s="21">
        <v>5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</row>
    <row r="18" spans="1:75">
      <c r="A18" s="21">
        <v>15</v>
      </c>
      <c r="B18" s="3" t="s">
        <v>33</v>
      </c>
      <c r="C18" s="21">
        <v>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15">
        <v>433624999.99999994</v>
      </c>
      <c r="BM18" s="15">
        <v>433624999.99999994</v>
      </c>
      <c r="BN18" s="15">
        <v>433624999.99999994</v>
      </c>
      <c r="BO18" s="15">
        <v>433624999.99999994</v>
      </c>
      <c r="BP18" s="15">
        <v>433624999.99999994</v>
      </c>
      <c r="BQ18" s="15">
        <v>433624999.99999994</v>
      </c>
      <c r="BR18" s="15">
        <v>433624999.99999994</v>
      </c>
      <c r="BS18" s="15">
        <v>433624999.99999994</v>
      </c>
      <c r="BT18" s="15">
        <v>433624999.99999994</v>
      </c>
      <c r="BU18" s="15">
        <v>433624999.99999994</v>
      </c>
      <c r="BV18" s="15">
        <v>433624999.99999994</v>
      </c>
      <c r="BW18" s="15">
        <v>433624999.99999994</v>
      </c>
    </row>
    <row r="19" spans="1:75">
      <c r="A19" s="1">
        <v>16</v>
      </c>
      <c r="B19" s="24" t="s">
        <v>34</v>
      </c>
      <c r="C19" s="1">
        <v>5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14">
        <f>BL17-BL18</f>
        <v>-433624999.99999994</v>
      </c>
      <c r="BM19" s="14">
        <f t="shared" ref="BM19:BW19" si="2">BM17-BM18</f>
        <v>-433624999.99999994</v>
      </c>
      <c r="BN19" s="14">
        <f t="shared" si="2"/>
        <v>-433624999.99999994</v>
      </c>
      <c r="BO19" s="14">
        <f t="shared" si="2"/>
        <v>-433624999.99999994</v>
      </c>
      <c r="BP19" s="14">
        <f t="shared" si="2"/>
        <v>-433624999.99999994</v>
      </c>
      <c r="BQ19" s="14">
        <f t="shared" si="2"/>
        <v>-433624999.99999994</v>
      </c>
      <c r="BR19" s="14">
        <f t="shared" si="2"/>
        <v>-433624999.99999994</v>
      </c>
      <c r="BS19" s="14">
        <f t="shared" si="2"/>
        <v>-433624999.99999994</v>
      </c>
      <c r="BT19" s="14">
        <f t="shared" si="2"/>
        <v>-433624999.99999994</v>
      </c>
      <c r="BU19" s="14">
        <f t="shared" si="2"/>
        <v>-433624999.99999994</v>
      </c>
      <c r="BV19" s="14">
        <f t="shared" si="2"/>
        <v>-433624999.99999994</v>
      </c>
      <c r="BW19" s="14">
        <f t="shared" si="2"/>
        <v>-433624999.99999994</v>
      </c>
    </row>
    <row r="20" spans="1:75">
      <c r="A20" s="25">
        <v>17</v>
      </c>
      <c r="B20" s="24" t="s">
        <v>35</v>
      </c>
      <c r="C20" s="25">
        <v>5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04">
        <f>BL16+BL19</f>
        <v>1901369374.7063351</v>
      </c>
      <c r="BM20" s="104">
        <f t="shared" ref="BM20:BW20" si="3">BM16+BM19</f>
        <v>-1325103642.6497984</v>
      </c>
      <c r="BN20" s="104">
        <f t="shared" si="3"/>
        <v>5998198854.38412</v>
      </c>
      <c r="BO20" s="104">
        <f t="shared" si="3"/>
        <v>3734734670.0697536</v>
      </c>
      <c r="BP20" s="104">
        <f t="shared" si="3"/>
        <v>3912864854.7306442</v>
      </c>
      <c r="BQ20" s="104">
        <f t="shared" si="3"/>
        <v>3539715800.7311525</v>
      </c>
      <c r="BR20" s="104">
        <f t="shared" si="3"/>
        <v>9187878003.9794807</v>
      </c>
      <c r="BS20" s="104">
        <f t="shared" si="3"/>
        <v>8402510025.017807</v>
      </c>
      <c r="BT20" s="104">
        <f t="shared" si="3"/>
        <v>7636560356.4676476</v>
      </c>
      <c r="BU20" s="104">
        <f t="shared" si="3"/>
        <v>8332078474.6883202</v>
      </c>
      <c r="BV20" s="104">
        <f t="shared" si="3"/>
        <v>8903347412.2696571</v>
      </c>
      <c r="BW20" s="104">
        <f t="shared" si="3"/>
        <v>6614311259.3445015</v>
      </c>
    </row>
    <row r="21" spans="1:75">
      <c r="A21" s="21">
        <v>18</v>
      </c>
      <c r="B21" s="5" t="s">
        <v>36</v>
      </c>
      <c r="C21" s="21">
        <v>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106">
        <v>380273874.94127083</v>
      </c>
      <c r="BM21" s="15">
        <v>0</v>
      </c>
      <c r="BN21" s="15">
        <v>934619042.34686375</v>
      </c>
      <c r="BO21" s="15">
        <v>746946934.01394844</v>
      </c>
      <c r="BP21" s="15">
        <v>782572970.9461298</v>
      </c>
      <c r="BQ21" s="15">
        <v>707943160.14623451</v>
      </c>
      <c r="BR21" s="15">
        <v>1837575600.7959003</v>
      </c>
      <c r="BS21" s="15">
        <v>1680502005.0035582</v>
      </c>
      <c r="BT21" s="15">
        <v>1527312071.2935266</v>
      </c>
      <c r="BU21" s="15">
        <v>1666415694.9376678</v>
      </c>
      <c r="BV21" s="15">
        <v>1780669482.453928</v>
      </c>
      <c r="BW21" s="15">
        <v>1322862251.8688984</v>
      </c>
    </row>
    <row r="22" spans="1:75">
      <c r="A22" s="21">
        <v>19</v>
      </c>
      <c r="B22" s="3" t="s">
        <v>37</v>
      </c>
      <c r="C22" s="21">
        <v>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</row>
    <row r="23" spans="1:75">
      <c r="A23" s="27">
        <v>20</v>
      </c>
      <c r="B23" s="24" t="s">
        <v>38</v>
      </c>
      <c r="C23" s="27">
        <v>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6">
        <f>BL20-BL21-BL22</f>
        <v>1521095499.7650642</v>
      </c>
      <c r="BM23" s="16">
        <f t="shared" ref="BM23:BW23" si="4">BM20-BM21-BM22</f>
        <v>-1325103642.6497984</v>
      </c>
      <c r="BN23" s="16">
        <f t="shared" si="4"/>
        <v>5063579812.0372562</v>
      </c>
      <c r="BO23" s="16">
        <f t="shared" si="4"/>
        <v>2987787736.0558052</v>
      </c>
      <c r="BP23" s="16">
        <f t="shared" si="4"/>
        <v>3130291883.7845144</v>
      </c>
      <c r="BQ23" s="16">
        <f t="shared" si="4"/>
        <v>2831772640.584918</v>
      </c>
      <c r="BR23" s="16">
        <f t="shared" si="4"/>
        <v>7350302403.1835804</v>
      </c>
      <c r="BS23" s="16">
        <f t="shared" si="4"/>
        <v>6722008020.0142488</v>
      </c>
      <c r="BT23" s="16">
        <f t="shared" si="4"/>
        <v>6109248285.1741209</v>
      </c>
      <c r="BU23" s="16">
        <f t="shared" si="4"/>
        <v>6665662779.7506523</v>
      </c>
      <c r="BV23" s="16">
        <f t="shared" si="4"/>
        <v>7122677929.8157291</v>
      </c>
      <c r="BW23" s="16">
        <f t="shared" si="4"/>
        <v>5291449007.4756031</v>
      </c>
    </row>
  </sheetData>
  <protectedRanges>
    <protectedRange sqref="D4:AY23 BN4:BW23" name="PL"/>
    <protectedRange sqref="AZ4:BK23 BM4:BM23 BL4:BL20 BL22:BL23" name="PL_1"/>
  </protectedRange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6C9C-E191-4B08-8E34-1B4B0CE52CC0}">
  <sheetPr>
    <tabColor rgb="FFFFFF00"/>
  </sheetPr>
  <dimension ref="B3:W65"/>
  <sheetViews>
    <sheetView showGridLines="0" workbookViewId="0">
      <selection activeCell="U41" sqref="U41"/>
    </sheetView>
  </sheetViews>
  <sheetFormatPr defaultColWidth="7.25" defaultRowHeight="12.75" outlineLevelRow="2"/>
  <cols>
    <col min="1" max="1" width="3.25" style="111" customWidth="1"/>
    <col min="2" max="2" width="6.875" style="192" customWidth="1"/>
    <col min="3" max="3" width="40.875" style="108" customWidth="1"/>
    <col min="4" max="18" width="7.625" style="110" customWidth="1"/>
    <col min="19" max="19" width="11.625" style="110" customWidth="1"/>
    <col min="20" max="20" width="13.25" style="111" bestFit="1" customWidth="1"/>
    <col min="21" max="21" width="13.5" style="111" bestFit="1" customWidth="1"/>
    <col min="22" max="16384" width="7.25" style="111"/>
  </cols>
  <sheetData>
    <row r="3" spans="2:19" s="123" customFormat="1" ht="15.75">
      <c r="B3" s="116" t="s">
        <v>162</v>
      </c>
      <c r="C3" s="117"/>
      <c r="D3" s="193"/>
      <c r="E3" s="193"/>
      <c r="F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4" t="s">
        <v>79</v>
      </c>
    </row>
    <row r="4" spans="2:19" s="127" customFormat="1" ht="38.25">
      <c r="B4" s="195" t="s">
        <v>80</v>
      </c>
      <c r="C4" s="195" t="s">
        <v>81</v>
      </c>
      <c r="D4" s="196" t="s">
        <v>163</v>
      </c>
      <c r="E4" s="196" t="s">
        <v>82</v>
      </c>
      <c r="F4" s="196" t="s">
        <v>164</v>
      </c>
      <c r="G4" s="125" t="s">
        <v>76</v>
      </c>
      <c r="H4" s="125" t="s">
        <v>77</v>
      </c>
      <c r="I4" s="125" t="s">
        <v>84</v>
      </c>
      <c r="J4" s="125" t="s">
        <v>85</v>
      </c>
      <c r="K4" s="125" t="s">
        <v>86</v>
      </c>
      <c r="L4" s="125" t="s">
        <v>87</v>
      </c>
      <c r="M4" s="125" t="s">
        <v>88</v>
      </c>
      <c r="N4" s="125" t="s">
        <v>89</v>
      </c>
      <c r="O4" s="125" t="s">
        <v>90</v>
      </c>
      <c r="P4" s="125" t="s">
        <v>91</v>
      </c>
      <c r="Q4" s="125" t="s">
        <v>92</v>
      </c>
      <c r="R4" s="125" t="s">
        <v>93</v>
      </c>
      <c r="S4" s="197" t="s">
        <v>165</v>
      </c>
    </row>
    <row r="5" spans="2:19" s="132" customFormat="1">
      <c r="B5" s="198"/>
      <c r="C5" s="199" t="s">
        <v>166</v>
      </c>
      <c r="D5" s="200">
        <v>3173</v>
      </c>
      <c r="E5" s="200">
        <v>4044</v>
      </c>
      <c r="F5" s="201">
        <v>6481062</v>
      </c>
      <c r="G5" s="201">
        <v>750000</v>
      </c>
      <c r="H5" s="201">
        <v>450000</v>
      </c>
      <c r="I5" s="201">
        <v>1000000</v>
      </c>
      <c r="J5" s="201">
        <v>1200000</v>
      </c>
      <c r="K5" s="201">
        <v>1250000</v>
      </c>
      <c r="L5" s="201">
        <v>1250000</v>
      </c>
      <c r="M5" s="201">
        <v>1300000</v>
      </c>
      <c r="N5" s="201">
        <v>1300000</v>
      </c>
      <c r="O5" s="201">
        <v>1250000</v>
      </c>
      <c r="P5" s="201">
        <v>1300000</v>
      </c>
      <c r="Q5" s="201">
        <v>1250000</v>
      </c>
      <c r="R5" s="201">
        <v>1300000</v>
      </c>
      <c r="S5" s="201">
        <v>13600000</v>
      </c>
    </row>
    <row r="6" spans="2:19" s="132" customFormat="1">
      <c r="B6" s="198" t="s">
        <v>12</v>
      </c>
      <c r="C6" s="199" t="s">
        <v>95</v>
      </c>
      <c r="D6" s="201">
        <v>3125610.5</v>
      </c>
      <c r="E6" s="201">
        <v>4267466</v>
      </c>
      <c r="F6" s="201">
        <v>5702390</v>
      </c>
      <c r="G6" s="201">
        <v>667500</v>
      </c>
      <c r="H6" s="201">
        <v>400500</v>
      </c>
      <c r="I6" s="201">
        <v>884000</v>
      </c>
      <c r="J6" s="201">
        <v>984348</v>
      </c>
      <c r="K6" s="201">
        <v>1025362.5</v>
      </c>
      <c r="L6" s="201">
        <v>1025362.5</v>
      </c>
      <c r="M6" s="201">
        <v>1066377</v>
      </c>
      <c r="N6" s="201">
        <v>1067144</v>
      </c>
      <c r="O6" s="201">
        <v>1026100</v>
      </c>
      <c r="P6" s="201">
        <v>1066546</v>
      </c>
      <c r="Q6" s="201">
        <v>1025525</v>
      </c>
      <c r="R6" s="201">
        <v>1066377</v>
      </c>
      <c r="S6" s="201">
        <v>11305142</v>
      </c>
    </row>
    <row r="7" spans="2:19" s="137" customFormat="1" outlineLevel="1">
      <c r="B7" s="202" t="s">
        <v>96</v>
      </c>
      <c r="C7" s="203" t="s">
        <v>97</v>
      </c>
      <c r="D7" s="204">
        <v>2879091.5</v>
      </c>
      <c r="E7" s="204">
        <v>3867466</v>
      </c>
      <c r="F7" s="204">
        <v>5702390</v>
      </c>
      <c r="G7" s="204">
        <v>667500</v>
      </c>
      <c r="H7" s="204">
        <v>400500</v>
      </c>
      <c r="I7" s="204">
        <v>884000</v>
      </c>
      <c r="J7" s="204">
        <v>33900</v>
      </c>
      <c r="K7" s="204">
        <v>35312.5</v>
      </c>
      <c r="L7" s="204">
        <v>35312.5</v>
      </c>
      <c r="M7" s="204">
        <v>36725</v>
      </c>
      <c r="N7" s="204">
        <v>36400</v>
      </c>
      <c r="O7" s="204">
        <v>35000</v>
      </c>
      <c r="P7" s="204">
        <v>36725</v>
      </c>
      <c r="Q7" s="204">
        <v>35312.5</v>
      </c>
      <c r="R7" s="204">
        <v>36725</v>
      </c>
      <c r="S7" s="204">
        <v>2273412.5</v>
      </c>
    </row>
    <row r="8" spans="2:19" s="137" customFormat="1" outlineLevel="1">
      <c r="B8" s="202" t="s">
        <v>98</v>
      </c>
      <c r="C8" s="203" t="s">
        <v>15</v>
      </c>
      <c r="D8" s="204">
        <v>0</v>
      </c>
      <c r="E8" s="204">
        <v>400000</v>
      </c>
      <c r="F8" s="204">
        <v>0</v>
      </c>
      <c r="G8" s="204">
        <v>0</v>
      </c>
      <c r="H8" s="204">
        <v>0</v>
      </c>
      <c r="I8" s="204">
        <v>0</v>
      </c>
      <c r="J8" s="204">
        <v>950448</v>
      </c>
      <c r="K8" s="204">
        <v>990050</v>
      </c>
      <c r="L8" s="204">
        <v>990050</v>
      </c>
      <c r="M8" s="204">
        <v>1029652</v>
      </c>
      <c r="N8" s="204">
        <v>1030744</v>
      </c>
      <c r="O8" s="204">
        <v>991100</v>
      </c>
      <c r="P8" s="204">
        <v>1029821</v>
      </c>
      <c r="Q8" s="204">
        <v>990212.5</v>
      </c>
      <c r="R8" s="204">
        <v>1029652</v>
      </c>
      <c r="S8" s="204">
        <v>9031729.5</v>
      </c>
    </row>
    <row r="9" spans="2:19" s="137" customFormat="1" outlineLevel="1">
      <c r="B9" s="202" t="s">
        <v>99</v>
      </c>
      <c r="C9" s="203" t="s">
        <v>100</v>
      </c>
      <c r="D9" s="204">
        <v>246519</v>
      </c>
      <c r="E9" s="204">
        <v>0</v>
      </c>
      <c r="F9" s="204">
        <v>0</v>
      </c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>
        <v>0</v>
      </c>
    </row>
    <row r="10" spans="2:19" s="126" customFormat="1">
      <c r="B10" s="205">
        <v>2</v>
      </c>
      <c r="C10" s="206" t="s">
        <v>102</v>
      </c>
      <c r="D10" s="207">
        <v>44482013609</v>
      </c>
      <c r="E10" s="207">
        <v>63950445550</v>
      </c>
      <c r="F10" s="207">
        <v>96184706621</v>
      </c>
      <c r="G10" s="207">
        <v>9420187500</v>
      </c>
      <c r="H10" s="207">
        <v>5652112500</v>
      </c>
      <c r="I10" s="207">
        <v>12443100000</v>
      </c>
      <c r="J10" s="207">
        <v>15779640000</v>
      </c>
      <c r="K10" s="207">
        <v>16437125000</v>
      </c>
      <c r="L10" s="207">
        <v>16437125000</v>
      </c>
      <c r="M10" s="207">
        <v>17094610000</v>
      </c>
      <c r="N10" s="207">
        <v>17118140000</v>
      </c>
      <c r="O10" s="207">
        <v>16459750000</v>
      </c>
      <c r="P10" s="207">
        <v>17105172500</v>
      </c>
      <c r="Q10" s="207">
        <v>16447281250</v>
      </c>
      <c r="R10" s="207">
        <v>17094610000</v>
      </c>
      <c r="S10" s="207">
        <v>177488853750</v>
      </c>
    </row>
    <row r="11" spans="2:19" outlineLevel="1">
      <c r="B11" s="208" t="s">
        <v>103</v>
      </c>
      <c r="C11" s="203" t="s">
        <v>97</v>
      </c>
      <c r="D11" s="209">
        <v>39992361315</v>
      </c>
      <c r="E11" s="209">
        <v>58441845550</v>
      </c>
      <c r="F11" s="209">
        <v>96184706621</v>
      </c>
      <c r="G11" s="209">
        <v>9420187500</v>
      </c>
      <c r="H11" s="209">
        <v>5652112500</v>
      </c>
      <c r="I11" s="209">
        <v>12443100000</v>
      </c>
      <c r="J11" s="209">
        <v>352980000</v>
      </c>
      <c r="K11" s="209">
        <v>367687500</v>
      </c>
      <c r="L11" s="209">
        <v>367687500</v>
      </c>
      <c r="M11" s="209">
        <v>382395000</v>
      </c>
      <c r="N11" s="209">
        <v>381030000</v>
      </c>
      <c r="O11" s="209">
        <v>366375000</v>
      </c>
      <c r="P11" s="209">
        <v>382395000</v>
      </c>
      <c r="Q11" s="209">
        <v>367687500</v>
      </c>
      <c r="R11" s="209">
        <v>382395000</v>
      </c>
      <c r="S11" s="209">
        <v>30866032500</v>
      </c>
    </row>
    <row r="12" spans="2:19" outlineLevel="1">
      <c r="B12" s="208" t="s">
        <v>104</v>
      </c>
      <c r="C12" s="203" t="s">
        <v>15</v>
      </c>
      <c r="D12" s="209">
        <v>0</v>
      </c>
      <c r="E12" s="209">
        <v>5508600000</v>
      </c>
      <c r="F12" s="209">
        <v>0</v>
      </c>
      <c r="G12" s="209">
        <v>0</v>
      </c>
      <c r="H12" s="209">
        <v>0</v>
      </c>
      <c r="I12" s="209">
        <v>0</v>
      </c>
      <c r="J12" s="209">
        <v>15426660000</v>
      </c>
      <c r="K12" s="209">
        <v>16069437500</v>
      </c>
      <c r="L12" s="209">
        <v>16069437500</v>
      </c>
      <c r="M12" s="209">
        <v>16712215000</v>
      </c>
      <c r="N12" s="209">
        <v>16737110000</v>
      </c>
      <c r="O12" s="209">
        <v>16093375000</v>
      </c>
      <c r="P12" s="209">
        <v>16722777500</v>
      </c>
      <c r="Q12" s="209">
        <v>16079593750</v>
      </c>
      <c r="R12" s="209">
        <v>16712215000</v>
      </c>
      <c r="S12" s="209">
        <v>146622821250</v>
      </c>
    </row>
    <row r="13" spans="2:19" outlineLevel="1">
      <c r="B13" s="208" t="s">
        <v>105</v>
      </c>
      <c r="C13" s="203" t="s">
        <v>100</v>
      </c>
      <c r="D13" s="209">
        <v>4489652294</v>
      </c>
      <c r="E13" s="209">
        <v>0</v>
      </c>
      <c r="F13" s="209">
        <v>0</v>
      </c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>
        <v>0</v>
      </c>
    </row>
    <row r="14" spans="2:19" outlineLevel="1">
      <c r="B14" s="208" t="s">
        <v>106</v>
      </c>
      <c r="C14" s="210" t="s">
        <v>107</v>
      </c>
      <c r="D14" s="209">
        <v>0</v>
      </c>
      <c r="E14" s="209">
        <v>0</v>
      </c>
      <c r="F14" s="209">
        <v>0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>
        <v>0</v>
      </c>
    </row>
    <row r="15" spans="2:19" s="126" customFormat="1">
      <c r="B15" s="211">
        <v>3</v>
      </c>
      <c r="C15" s="212" t="s">
        <v>108</v>
      </c>
      <c r="D15" s="213">
        <v>43469013386.523079</v>
      </c>
      <c r="E15" s="213">
        <v>60363389060</v>
      </c>
      <c r="F15" s="213">
        <v>85223230750</v>
      </c>
      <c r="G15" s="213">
        <v>8260253901.3822641</v>
      </c>
      <c r="H15" s="213">
        <v>4973930722.7993584</v>
      </c>
      <c r="I15" s="213">
        <v>11276461013.510792</v>
      </c>
      <c r="J15" s="213">
        <v>14211787683.364893</v>
      </c>
      <c r="K15" s="213">
        <v>14870271479.846682</v>
      </c>
      <c r="L15" s="213">
        <v>14884925465.846682</v>
      </c>
      <c r="M15" s="213">
        <v>15446931587.147217</v>
      </c>
      <c r="N15" s="213">
        <v>15405636308.107109</v>
      </c>
      <c r="O15" s="213">
        <v>14887893470.038887</v>
      </c>
      <c r="P15" s="213">
        <v>15434024040.017101</v>
      </c>
      <c r="Q15" s="213">
        <v>14883703166.683109</v>
      </c>
      <c r="R15" s="213">
        <v>15446059337.147217</v>
      </c>
      <c r="S15" s="213">
        <v>159981878175.89133</v>
      </c>
    </row>
    <row r="16" spans="2:19" s="126" customFormat="1">
      <c r="B16" s="214" t="s">
        <v>167</v>
      </c>
      <c r="C16" s="215" t="s">
        <v>109</v>
      </c>
      <c r="D16" s="213">
        <v>42103863386.523079</v>
      </c>
      <c r="E16" s="213">
        <v>59322702660</v>
      </c>
      <c r="F16" s="213">
        <v>83097930750</v>
      </c>
      <c r="G16" s="213">
        <v>7993253901.3822641</v>
      </c>
      <c r="H16" s="213">
        <v>4813730722.7993584</v>
      </c>
      <c r="I16" s="213">
        <v>10922861013.510792</v>
      </c>
      <c r="J16" s="213">
        <v>13894084323.364893</v>
      </c>
      <c r="K16" s="213">
        <v>14539330479.846682</v>
      </c>
      <c r="L16" s="213">
        <v>14553984465.846682</v>
      </c>
      <c r="M16" s="213">
        <v>15102752947.147217</v>
      </c>
      <c r="N16" s="213">
        <v>15061238228.107109</v>
      </c>
      <c r="O16" s="213">
        <v>14556741470.038887</v>
      </c>
      <c r="P16" s="213">
        <v>15089791320.017101</v>
      </c>
      <c r="Q16" s="213">
        <v>14552710166.683109</v>
      </c>
      <c r="R16" s="213">
        <v>15101880697.147217</v>
      </c>
      <c r="S16" s="213">
        <v>156182359735.89133</v>
      </c>
    </row>
    <row r="17" spans="2:19" outlineLevel="1">
      <c r="B17" s="216" t="s">
        <v>110</v>
      </c>
      <c r="C17" s="217" t="s">
        <v>111</v>
      </c>
      <c r="D17" s="209">
        <v>38732631964</v>
      </c>
      <c r="E17" s="209">
        <v>56030510590</v>
      </c>
      <c r="F17" s="209">
        <v>78338746231</v>
      </c>
      <c r="G17" s="209">
        <v>7275000000</v>
      </c>
      <c r="H17" s="209">
        <v>4275000000</v>
      </c>
      <c r="I17" s="209">
        <v>10000000000</v>
      </c>
      <c r="J17" s="209">
        <v>12000000000</v>
      </c>
      <c r="K17" s="209">
        <v>12500000000</v>
      </c>
      <c r="L17" s="209">
        <v>12500000000</v>
      </c>
      <c r="M17" s="209">
        <v>13000000000</v>
      </c>
      <c r="N17" s="209">
        <v>13000000000</v>
      </c>
      <c r="O17" s="209">
        <v>12500000000</v>
      </c>
      <c r="P17" s="209">
        <v>13000000000</v>
      </c>
      <c r="Q17" s="209">
        <v>12500000000</v>
      </c>
      <c r="R17" s="209">
        <v>13000000000</v>
      </c>
      <c r="S17" s="209">
        <v>135550000000</v>
      </c>
    </row>
    <row r="18" spans="2:19" s="157" customFormat="1" outlineLevel="2">
      <c r="B18" s="218" t="s">
        <v>112</v>
      </c>
      <c r="C18" s="219" t="s">
        <v>113</v>
      </c>
      <c r="D18" s="220">
        <v>2260066610</v>
      </c>
      <c r="E18" s="220">
        <v>4917236579</v>
      </c>
      <c r="F18" s="220">
        <v>8584125746</v>
      </c>
      <c r="G18" s="220">
        <v>800250000</v>
      </c>
      <c r="H18" s="220">
        <v>470250000</v>
      </c>
      <c r="I18" s="220">
        <v>1160000000</v>
      </c>
      <c r="J18" s="220">
        <v>1398000000</v>
      </c>
      <c r="K18" s="220">
        <v>1456250000</v>
      </c>
      <c r="L18" s="220">
        <v>1456250000</v>
      </c>
      <c r="M18" s="220">
        <v>1514500000</v>
      </c>
      <c r="N18" s="220">
        <v>1508000000</v>
      </c>
      <c r="O18" s="220">
        <v>1450000000</v>
      </c>
      <c r="P18" s="220">
        <v>1514500000</v>
      </c>
      <c r="Q18" s="220">
        <v>1456250000</v>
      </c>
      <c r="R18" s="220">
        <v>1514500000</v>
      </c>
      <c r="S18" s="220">
        <v>15698750000</v>
      </c>
    </row>
    <row r="19" spans="2:19" s="157" customFormat="1" outlineLevel="2">
      <c r="B19" s="221"/>
      <c r="C19" s="219" t="s">
        <v>114</v>
      </c>
      <c r="D19" s="220"/>
      <c r="E19" s="220"/>
      <c r="F19" s="220"/>
      <c r="G19" s="220">
        <v>0</v>
      </c>
      <c r="H19" s="220">
        <v>0</v>
      </c>
      <c r="I19" s="220">
        <v>0</v>
      </c>
      <c r="J19" s="220">
        <v>758520000</v>
      </c>
      <c r="K19" s="220">
        <v>790125000</v>
      </c>
      <c r="L19" s="220">
        <v>790125000</v>
      </c>
      <c r="M19" s="220">
        <v>821730000</v>
      </c>
      <c r="N19" s="220">
        <v>820560000</v>
      </c>
      <c r="O19" s="220">
        <v>789000000</v>
      </c>
      <c r="P19" s="220">
        <v>820040000</v>
      </c>
      <c r="Q19" s="220">
        <v>788500000</v>
      </c>
      <c r="R19" s="220">
        <v>821730000</v>
      </c>
      <c r="S19" s="220">
        <v>7200330000</v>
      </c>
    </row>
    <row r="20" spans="2:19" s="163" customFormat="1" outlineLevel="1">
      <c r="B20" s="222" t="s">
        <v>115</v>
      </c>
      <c r="C20" s="223" t="s">
        <v>116</v>
      </c>
      <c r="D20" s="224">
        <v>0.87074817036077856</v>
      </c>
      <c r="E20" s="224">
        <v>0.87615512461429601</v>
      </c>
      <c r="F20" s="224">
        <v>0.81446156029441286</v>
      </c>
      <c r="G20" s="224">
        <v>0.77227762186262217</v>
      </c>
      <c r="H20" s="224">
        <v>0.75635437192731036</v>
      </c>
      <c r="I20" s="224">
        <v>0.8036582523647644</v>
      </c>
      <c r="J20" s="224">
        <v>0.76047362297238719</v>
      </c>
      <c r="K20" s="224">
        <v>0.76047362297238719</v>
      </c>
      <c r="L20" s="224">
        <v>0.76047362297238719</v>
      </c>
      <c r="M20" s="224">
        <v>0.76047362297238719</v>
      </c>
      <c r="N20" s="224">
        <v>0.75942830237397285</v>
      </c>
      <c r="O20" s="224">
        <v>0.75942830237397285</v>
      </c>
      <c r="P20" s="224">
        <v>0.76000402802134848</v>
      </c>
      <c r="Q20" s="224">
        <v>0.76000402802134848</v>
      </c>
      <c r="R20" s="224">
        <v>0.76047362297238719</v>
      </c>
      <c r="S20" s="224">
        <v>0.76370992958762063</v>
      </c>
    </row>
    <row r="21" spans="2:19" outlineLevel="1">
      <c r="B21" s="218" t="s">
        <v>117</v>
      </c>
      <c r="C21" s="217" t="s">
        <v>168</v>
      </c>
      <c r="D21" s="209">
        <v>638275817</v>
      </c>
      <c r="E21" s="209">
        <v>511506981</v>
      </c>
      <c r="F21" s="209">
        <v>995011960</v>
      </c>
      <c r="G21" s="209">
        <v>129058909.40044592</v>
      </c>
      <c r="H21" s="209">
        <v>106916439.39026757</v>
      </c>
      <c r="I21" s="209">
        <v>208945509.32208866</v>
      </c>
      <c r="J21" s="209">
        <v>725503672.80976701</v>
      </c>
      <c r="K21" s="209">
        <v>858790086.44898224</v>
      </c>
      <c r="L21" s="209">
        <v>858790086.44898224</v>
      </c>
      <c r="M21" s="209">
        <v>892821689.90694165</v>
      </c>
      <c r="N21" s="209">
        <v>893180131.36621368</v>
      </c>
      <c r="O21" s="209">
        <v>859134741.69828224</v>
      </c>
      <c r="P21" s="209">
        <v>892465834.73584342</v>
      </c>
      <c r="Q21" s="209">
        <v>858447918.01523399</v>
      </c>
      <c r="R21" s="209">
        <v>892821689.90694165</v>
      </c>
      <c r="S21" s="209">
        <v>8176876709.4499903</v>
      </c>
    </row>
    <row r="22" spans="2:19" outlineLevel="1">
      <c r="B22" s="218" t="s">
        <v>119</v>
      </c>
      <c r="C22" s="217" t="s">
        <v>120</v>
      </c>
      <c r="D22" s="209">
        <v>160219300</v>
      </c>
      <c r="E22" s="209">
        <v>225768346</v>
      </c>
      <c r="F22" s="209">
        <v>424175130</v>
      </c>
      <c r="G22" s="209">
        <v>114415568.18181816</v>
      </c>
      <c r="H22" s="209">
        <v>68649340.909090891</v>
      </c>
      <c r="I22" s="209">
        <v>172928086.85537028</v>
      </c>
      <c r="J22" s="209">
        <v>446729492.22179139</v>
      </c>
      <c r="K22" s="209">
        <v>465343221.06436598</v>
      </c>
      <c r="L22" s="209">
        <v>465343221.06436598</v>
      </c>
      <c r="M22" s="209">
        <v>483956949.90694064</v>
      </c>
      <c r="N22" s="209">
        <v>484359080.40756238</v>
      </c>
      <c r="O22" s="209">
        <v>465729885.00727153</v>
      </c>
      <c r="P22" s="209">
        <v>483999505.94792342</v>
      </c>
      <c r="Q22" s="209">
        <v>465384140.33454174</v>
      </c>
      <c r="R22" s="209">
        <v>483956949.90694064</v>
      </c>
      <c r="S22" s="209">
        <v>4600795441.8079834</v>
      </c>
    </row>
    <row r="23" spans="2:19" outlineLevel="1">
      <c r="B23" s="218" t="s">
        <v>121</v>
      </c>
      <c r="C23" s="217" t="s">
        <v>122</v>
      </c>
      <c r="D23" s="209">
        <v>2572736305.5230765</v>
      </c>
      <c r="E23" s="209">
        <v>2554916743</v>
      </c>
      <c r="F23" s="209">
        <v>3339997429</v>
      </c>
      <c r="G23" s="209">
        <v>474779423.80000001</v>
      </c>
      <c r="H23" s="209">
        <v>363164942.5</v>
      </c>
      <c r="I23" s="209">
        <v>540987417.33333337</v>
      </c>
      <c r="J23" s="209">
        <v>721851158.33333337</v>
      </c>
      <c r="K23" s="209">
        <v>715197172.33333337</v>
      </c>
      <c r="L23" s="209">
        <v>729851158.33333337</v>
      </c>
      <c r="M23" s="209">
        <v>725974307.33333337</v>
      </c>
      <c r="N23" s="209">
        <v>683699016.33333337</v>
      </c>
      <c r="O23" s="209">
        <v>731876843.33333337</v>
      </c>
      <c r="P23" s="209">
        <v>713325979.33333337</v>
      </c>
      <c r="Q23" s="209">
        <v>728878108.33333337</v>
      </c>
      <c r="R23" s="209">
        <v>725102057.33333337</v>
      </c>
      <c r="S23" s="209">
        <v>7854687584.6333323</v>
      </c>
    </row>
    <row r="24" spans="2:19" s="126" customFormat="1">
      <c r="B24" s="214" t="s">
        <v>169</v>
      </c>
      <c r="C24" s="215" t="s">
        <v>123</v>
      </c>
      <c r="D24" s="213">
        <v>1365150000</v>
      </c>
      <c r="E24" s="213">
        <v>1040686400</v>
      </c>
      <c r="F24" s="213">
        <v>2125300000</v>
      </c>
      <c r="G24" s="213">
        <v>267000000</v>
      </c>
      <c r="H24" s="213">
        <v>160200000</v>
      </c>
      <c r="I24" s="213">
        <v>353600000</v>
      </c>
      <c r="J24" s="213">
        <v>317703360</v>
      </c>
      <c r="K24" s="213">
        <v>330941000</v>
      </c>
      <c r="L24" s="213">
        <v>330941000</v>
      </c>
      <c r="M24" s="213">
        <v>344178640</v>
      </c>
      <c r="N24" s="213">
        <v>344398080</v>
      </c>
      <c r="O24" s="213">
        <v>331152000</v>
      </c>
      <c r="P24" s="213">
        <v>344232720</v>
      </c>
      <c r="Q24" s="213">
        <v>330993000</v>
      </c>
      <c r="R24" s="213">
        <v>344178640</v>
      </c>
      <c r="S24" s="213">
        <v>3799518440</v>
      </c>
    </row>
    <row r="25" spans="2:19" outlineLevel="1" collapsed="1">
      <c r="B25" s="216"/>
      <c r="C25" s="217" t="s">
        <v>124</v>
      </c>
      <c r="D25" s="209">
        <v>1365150000</v>
      </c>
      <c r="E25" s="209">
        <v>1040686400</v>
      </c>
      <c r="F25" s="209">
        <v>2125300000</v>
      </c>
      <c r="G25" s="209">
        <v>267000000</v>
      </c>
      <c r="H25" s="209">
        <v>160200000</v>
      </c>
      <c r="I25" s="209">
        <v>353600000</v>
      </c>
      <c r="J25" s="209">
        <v>317703360</v>
      </c>
      <c r="K25" s="209">
        <v>330941000</v>
      </c>
      <c r="L25" s="209">
        <v>330941000</v>
      </c>
      <c r="M25" s="209">
        <v>344178640</v>
      </c>
      <c r="N25" s="209">
        <v>344398080</v>
      </c>
      <c r="O25" s="209">
        <v>331152000</v>
      </c>
      <c r="P25" s="209">
        <v>344232720</v>
      </c>
      <c r="Q25" s="209">
        <v>330993000</v>
      </c>
      <c r="R25" s="209">
        <v>344178640</v>
      </c>
      <c r="S25" s="209">
        <v>3799518440</v>
      </c>
    </row>
    <row r="26" spans="2:19" s="126" customFormat="1">
      <c r="B26" s="205">
        <v>4</v>
      </c>
      <c r="C26" s="206" t="s">
        <v>125</v>
      </c>
      <c r="D26" s="207">
        <v>1013000222.4769211</v>
      </c>
      <c r="E26" s="207">
        <v>3587056490</v>
      </c>
      <c r="F26" s="207">
        <v>10961475871</v>
      </c>
      <c r="G26" s="207">
        <v>1159933598.6177359</v>
      </c>
      <c r="H26" s="207">
        <v>678181777.20064163</v>
      </c>
      <c r="I26" s="207">
        <v>1166638986.4892082</v>
      </c>
      <c r="J26" s="207">
        <v>1567852316.635107</v>
      </c>
      <c r="K26" s="207">
        <v>1566853520.1533184</v>
      </c>
      <c r="L26" s="207">
        <v>1552199534.1533184</v>
      </c>
      <c r="M26" s="207">
        <v>1647678412.8527832</v>
      </c>
      <c r="N26" s="207">
        <v>1712503691.8928909</v>
      </c>
      <c r="O26" s="207">
        <v>1571856529.961113</v>
      </c>
      <c r="P26" s="207">
        <v>1671148459.9828987</v>
      </c>
      <c r="Q26" s="207">
        <v>1563578083.3168907</v>
      </c>
      <c r="R26" s="207">
        <v>1648550662.8527832</v>
      </c>
      <c r="S26" s="207">
        <v>17506975574.108688</v>
      </c>
    </row>
    <row r="27" spans="2:19" s="163" customFormat="1">
      <c r="B27" s="225" t="s">
        <v>126</v>
      </c>
      <c r="C27" s="223" t="s">
        <v>127</v>
      </c>
      <c r="D27" s="224">
        <v>2.2773254632338896E-2</v>
      </c>
      <c r="E27" s="224">
        <v>5.609118840611424E-2</v>
      </c>
      <c r="F27" s="224">
        <v>0.11396277283655801</v>
      </c>
      <c r="G27" s="224">
        <v>0.12313275066103894</v>
      </c>
      <c r="H27" s="224">
        <v>0.11998731044377507</v>
      </c>
      <c r="I27" s="224">
        <v>9.3757904902251707E-2</v>
      </c>
      <c r="J27" s="224">
        <v>9.9359194293095851E-2</v>
      </c>
      <c r="K27" s="224">
        <v>9.5324061851042585E-2</v>
      </c>
      <c r="L27" s="224">
        <v>9.4432544265090054E-2</v>
      </c>
      <c r="M27" s="224">
        <v>9.6385844008888374E-2</v>
      </c>
      <c r="N27" s="224">
        <v>0.10004029011872148</v>
      </c>
      <c r="O27" s="224">
        <v>9.5496986889904947E-2</v>
      </c>
      <c r="P27" s="224">
        <v>9.7698427769898177E-2</v>
      </c>
      <c r="Q27" s="224">
        <v>9.5066051315738934E-2</v>
      </c>
      <c r="R27" s="224">
        <v>9.6436868864091266E-2</v>
      </c>
      <c r="S27" s="224">
        <v>9.8637042294317523E-2</v>
      </c>
    </row>
    <row r="28" spans="2:19" s="126" customFormat="1">
      <c r="B28" s="226">
        <v>5</v>
      </c>
      <c r="C28" s="215" t="s">
        <v>128</v>
      </c>
      <c r="D28" s="213">
        <v>509830218.47692376</v>
      </c>
      <c r="E28" s="213">
        <v>1164487071</v>
      </c>
      <c r="F28" s="213">
        <v>1910944639</v>
      </c>
      <c r="G28" s="213">
        <v>295220056.16666669</v>
      </c>
      <c r="H28" s="213">
        <v>231965518.82600001</v>
      </c>
      <c r="I28" s="213">
        <v>403904554.43333328</v>
      </c>
      <c r="J28" s="213">
        <v>833614266.88888884</v>
      </c>
      <c r="K28" s="213">
        <v>876294981.55555558</v>
      </c>
      <c r="L28" s="213">
        <v>896614561.88888884</v>
      </c>
      <c r="M28" s="213">
        <v>917048119.11111093</v>
      </c>
      <c r="N28" s="213">
        <v>918878932.11111093</v>
      </c>
      <c r="O28" s="213">
        <v>933458797.77777767</v>
      </c>
      <c r="P28" s="213">
        <v>911769290.77777767</v>
      </c>
      <c r="Q28" s="213">
        <v>930964934.77777767</v>
      </c>
      <c r="R28" s="213">
        <v>913767684.77777767</v>
      </c>
      <c r="S28" s="213">
        <v>9063501699.0926666</v>
      </c>
    </row>
    <row r="29" spans="2:19" outlineLevel="1" collapsed="1">
      <c r="B29" s="216" t="s">
        <v>170</v>
      </c>
      <c r="C29" s="210" t="s">
        <v>129</v>
      </c>
      <c r="D29" s="209">
        <v>398568332.47692329</v>
      </c>
      <c r="E29" s="209">
        <v>530657837</v>
      </c>
      <c r="F29" s="209">
        <v>1201415069</v>
      </c>
      <c r="G29" s="209">
        <v>193199593.5</v>
      </c>
      <c r="H29" s="209">
        <v>114974230.82600001</v>
      </c>
      <c r="I29" s="209">
        <v>207945144.09999999</v>
      </c>
      <c r="J29" s="209">
        <v>378400505</v>
      </c>
      <c r="K29" s="209">
        <v>365430740</v>
      </c>
      <c r="L29" s="209">
        <v>378400505</v>
      </c>
      <c r="M29" s="209">
        <v>368841683</v>
      </c>
      <c r="N29" s="209">
        <v>368646707</v>
      </c>
      <c r="O29" s="209">
        <v>380383257</v>
      </c>
      <c r="P29" s="209">
        <v>359087027</v>
      </c>
      <c r="Q29" s="209">
        <v>378092671</v>
      </c>
      <c r="R29" s="209">
        <v>368589849</v>
      </c>
      <c r="S29" s="209">
        <v>3861991912.4260001</v>
      </c>
    </row>
    <row r="30" spans="2:19" outlineLevel="1">
      <c r="B30" s="216" t="s">
        <v>171</v>
      </c>
      <c r="C30" s="210" t="s">
        <v>172</v>
      </c>
      <c r="D30" s="209"/>
      <c r="E30" s="209"/>
      <c r="F30" s="209"/>
      <c r="G30" s="209">
        <v>0</v>
      </c>
      <c r="H30" s="209">
        <v>0</v>
      </c>
      <c r="I30" s="209">
        <v>0</v>
      </c>
      <c r="J30" s="209">
        <v>192601388.8888889</v>
      </c>
      <c r="K30" s="209">
        <v>192601388.8888889</v>
      </c>
      <c r="L30" s="209">
        <v>192601388.8888889</v>
      </c>
      <c r="M30" s="209">
        <v>192601388.8888889</v>
      </c>
      <c r="N30" s="209">
        <v>192601388.8888889</v>
      </c>
      <c r="O30" s="209">
        <v>192601388.8888889</v>
      </c>
      <c r="P30" s="209">
        <v>192601388.8888889</v>
      </c>
      <c r="Q30" s="209">
        <v>192601388.8888889</v>
      </c>
      <c r="R30" s="209">
        <v>192601388.8888889</v>
      </c>
      <c r="S30" s="209">
        <v>1733412499.9999998</v>
      </c>
    </row>
    <row r="31" spans="2:19" ht="25.5" outlineLevel="1">
      <c r="B31" s="216" t="s">
        <v>173</v>
      </c>
      <c r="C31" s="210" t="s">
        <v>131</v>
      </c>
      <c r="D31" s="209">
        <v>111261886.00000048</v>
      </c>
      <c r="E31" s="209">
        <v>633829234</v>
      </c>
      <c r="F31" s="209">
        <v>709529570</v>
      </c>
      <c r="G31" s="209">
        <v>102020462.66666667</v>
      </c>
      <c r="H31" s="209">
        <v>116991288</v>
      </c>
      <c r="I31" s="209">
        <v>195959410.33333331</v>
      </c>
      <c r="J31" s="209">
        <v>262612373.00000006</v>
      </c>
      <c r="K31" s="209">
        <v>318262852.66666675</v>
      </c>
      <c r="L31" s="209">
        <v>325612668</v>
      </c>
      <c r="M31" s="209">
        <v>355605047.22222215</v>
      </c>
      <c r="N31" s="209">
        <v>357630836.22222215</v>
      </c>
      <c r="O31" s="209">
        <v>360474151.8888889</v>
      </c>
      <c r="P31" s="209">
        <v>360080874.8888889</v>
      </c>
      <c r="Q31" s="209">
        <v>360270874.8888889</v>
      </c>
      <c r="R31" s="209">
        <v>352576446.8888889</v>
      </c>
      <c r="S31" s="209">
        <v>3468097286.6666665</v>
      </c>
    </row>
    <row r="32" spans="2:19" s="126" customFormat="1">
      <c r="B32" s="226">
        <v>6</v>
      </c>
      <c r="C32" s="212" t="s">
        <v>174</v>
      </c>
      <c r="D32" s="213">
        <v>2815366932</v>
      </c>
      <c r="E32" s="213">
        <v>3970082577</v>
      </c>
      <c r="F32" s="213">
        <v>3851337229</v>
      </c>
      <c r="G32" s="213">
        <v>189683514.21666667</v>
      </c>
      <c r="H32" s="213">
        <v>190044624.99444446</v>
      </c>
      <c r="I32" s="213">
        <v>204211291.66111115</v>
      </c>
      <c r="J32" s="213">
        <v>240697402.77222228</v>
      </c>
      <c r="K32" s="213">
        <v>240697402.77222228</v>
      </c>
      <c r="L32" s="213">
        <v>240697402.77222228</v>
      </c>
      <c r="M32" s="213">
        <v>240697402.77222228</v>
      </c>
      <c r="N32" s="213">
        <v>240697402.77222228</v>
      </c>
      <c r="O32" s="213">
        <v>240697402.77222228</v>
      </c>
      <c r="P32" s="213">
        <v>240697402.77222228</v>
      </c>
      <c r="Q32" s="213">
        <v>240697402.77222228</v>
      </c>
      <c r="R32" s="213">
        <v>234586291.77222228</v>
      </c>
      <c r="S32" s="213">
        <v>2744104944.8222227</v>
      </c>
    </row>
    <row r="33" spans="2:23" s="126" customFormat="1" collapsed="1">
      <c r="B33" s="205">
        <v>7</v>
      </c>
      <c r="C33" s="206" t="s">
        <v>133</v>
      </c>
      <c r="D33" s="207">
        <v>-2312196928.0000029</v>
      </c>
      <c r="E33" s="207">
        <v>-1547513158</v>
      </c>
      <c r="F33" s="207">
        <v>5199194003</v>
      </c>
      <c r="G33" s="207">
        <v>675030028.23440242</v>
      </c>
      <c r="H33" s="207">
        <v>256171633.3801972</v>
      </c>
      <c r="I33" s="207">
        <v>558523140.39476383</v>
      </c>
      <c r="J33" s="207">
        <v>493540646.97399592</v>
      </c>
      <c r="K33" s="207">
        <v>449861135.82554054</v>
      </c>
      <c r="L33" s="207">
        <v>414887569.49220729</v>
      </c>
      <c r="M33" s="207">
        <v>489932890.96945</v>
      </c>
      <c r="N33" s="207">
        <v>552927357.00955772</v>
      </c>
      <c r="O33" s="207">
        <v>397700329.41111302</v>
      </c>
      <c r="P33" s="207">
        <v>518681766.43289876</v>
      </c>
      <c r="Q33" s="207">
        <v>391915745.76689076</v>
      </c>
      <c r="R33" s="207">
        <v>500196686.30278325</v>
      </c>
      <c r="S33" s="207">
        <v>5699368930.1938</v>
      </c>
    </row>
    <row r="34" spans="2:23" s="163" customFormat="1">
      <c r="B34" s="225" t="s">
        <v>134</v>
      </c>
      <c r="C34" s="223" t="s">
        <v>135</v>
      </c>
      <c r="D34" s="224">
        <v>-5.1980491448169928E-2</v>
      </c>
      <c r="E34" s="224">
        <v>-2.4198629809233596E-2</v>
      </c>
      <c r="F34" s="224">
        <v>5.4054268975280734E-2</v>
      </c>
      <c r="G34" s="224">
        <v>7.1657812356113126E-2</v>
      </c>
      <c r="H34" s="224">
        <v>4.5323166051666024E-2</v>
      </c>
      <c r="I34" s="224">
        <v>4.4886173091493585E-2</v>
      </c>
      <c r="J34" s="224">
        <v>3.1277053657370886E-2</v>
      </c>
      <c r="K34" s="224">
        <v>2.7368602223657758E-2</v>
      </c>
      <c r="L34" s="224">
        <v>2.5240884247835754E-2</v>
      </c>
      <c r="M34" s="224">
        <v>2.86600800468364E-2</v>
      </c>
      <c r="N34" s="224">
        <v>3.230066800537662E-2</v>
      </c>
      <c r="O34" s="224">
        <v>2.4161990881460108E-2</v>
      </c>
      <c r="P34" s="224">
        <v>3.0323094750017796E-2</v>
      </c>
      <c r="Q34" s="224">
        <v>2.382860363422622E-2</v>
      </c>
      <c r="R34" s="224">
        <v>2.9260491248573862E-2</v>
      </c>
      <c r="S34" s="224">
        <v>3.2111137177220063E-2</v>
      </c>
    </row>
    <row r="35" spans="2:23" s="126" customFormat="1">
      <c r="B35" s="226">
        <v>8</v>
      </c>
      <c r="C35" s="212" t="s">
        <v>136</v>
      </c>
      <c r="D35" s="213"/>
      <c r="E35" s="213"/>
      <c r="F35" s="213"/>
      <c r="G35" s="213">
        <v>0</v>
      </c>
      <c r="H35" s="213">
        <v>0</v>
      </c>
      <c r="I35" s="213">
        <v>0</v>
      </c>
      <c r="J35" s="213">
        <v>0</v>
      </c>
      <c r="K35" s="213">
        <v>0</v>
      </c>
      <c r="L35" s="213">
        <v>0</v>
      </c>
      <c r="M35" s="213">
        <v>0</v>
      </c>
      <c r="N35" s="213">
        <v>0</v>
      </c>
      <c r="O35" s="213">
        <v>0</v>
      </c>
      <c r="P35" s="213">
        <v>0</v>
      </c>
      <c r="Q35" s="213">
        <v>0</v>
      </c>
      <c r="R35" s="213">
        <v>0</v>
      </c>
      <c r="S35" s="213">
        <v>0</v>
      </c>
    </row>
    <row r="36" spans="2:23" outlineLevel="1" collapsed="1">
      <c r="B36" s="216" t="s">
        <v>175</v>
      </c>
      <c r="C36" s="210" t="s">
        <v>137</v>
      </c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 s="209">
        <v>0</v>
      </c>
    </row>
    <row r="37" spans="2:23" outlineLevel="1">
      <c r="B37" s="216" t="s">
        <v>176</v>
      </c>
      <c r="C37" s="210" t="s">
        <v>138</v>
      </c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>
        <v>0</v>
      </c>
    </row>
    <row r="38" spans="2:23" outlineLevel="1">
      <c r="B38" s="216" t="s">
        <v>177</v>
      </c>
      <c r="C38" s="210" t="s">
        <v>139</v>
      </c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>
        <v>0</v>
      </c>
    </row>
    <row r="39" spans="2:23" s="126" customFormat="1">
      <c r="B39" s="226">
        <v>9</v>
      </c>
      <c r="C39" s="212" t="s">
        <v>140</v>
      </c>
      <c r="D39" s="213">
        <v>1920530080</v>
      </c>
      <c r="E39" s="213">
        <v>1657750500</v>
      </c>
      <c r="F39" s="213">
        <v>2232089956</v>
      </c>
      <c r="G39" s="213">
        <v>269381341.25</v>
      </c>
      <c r="H39" s="213">
        <v>333905348.25</v>
      </c>
      <c r="I39" s="213">
        <v>289692466.25</v>
      </c>
      <c r="J39" s="213">
        <v>351095825.25</v>
      </c>
      <c r="K39" s="213">
        <v>344962243.25</v>
      </c>
      <c r="L39" s="213">
        <v>358733961.39814818</v>
      </c>
      <c r="M39" s="213">
        <v>377502662.39814818</v>
      </c>
      <c r="N39" s="213">
        <v>549192634.39814818</v>
      </c>
      <c r="O39" s="213">
        <v>379644959.39814818</v>
      </c>
      <c r="P39" s="213">
        <v>361192934.39814818</v>
      </c>
      <c r="Q39" s="213">
        <v>357799656.39814818</v>
      </c>
      <c r="R39" s="213">
        <v>376558217.39814818</v>
      </c>
      <c r="S39" s="213">
        <v>4349662250.0370369</v>
      </c>
    </row>
    <row r="40" spans="2:23" outlineLevel="1" collapsed="1">
      <c r="B40" s="216" t="s">
        <v>178</v>
      </c>
      <c r="C40" s="217" t="s">
        <v>137</v>
      </c>
      <c r="D40" s="209">
        <v>545455272</v>
      </c>
      <c r="E40" s="209">
        <v>507934414</v>
      </c>
      <c r="F40" s="209">
        <v>1445673625</v>
      </c>
      <c r="G40" s="209">
        <v>180647270</v>
      </c>
      <c r="H40" s="209">
        <v>183418574</v>
      </c>
      <c r="I40" s="209">
        <v>167991388.66666666</v>
      </c>
      <c r="J40" s="209">
        <v>230329766</v>
      </c>
      <c r="K40" s="209">
        <v>221578000</v>
      </c>
      <c r="L40" s="209">
        <v>230329766</v>
      </c>
      <c r="M40" s="209">
        <v>224351483</v>
      </c>
      <c r="N40" s="209">
        <v>224328197</v>
      </c>
      <c r="O40" s="209">
        <v>231717283</v>
      </c>
      <c r="P40" s="209">
        <v>218310050</v>
      </c>
      <c r="Q40" s="209">
        <v>229916754</v>
      </c>
      <c r="R40" s="209">
        <v>223960871</v>
      </c>
      <c r="S40" s="209">
        <v>2566879402.6666665</v>
      </c>
    </row>
    <row r="41" spans="2:23" outlineLevel="1">
      <c r="B41" s="216" t="s">
        <v>179</v>
      </c>
      <c r="C41" s="217" t="s">
        <v>142</v>
      </c>
      <c r="D41" s="209">
        <v>985729687</v>
      </c>
      <c r="E41" s="209">
        <v>1135468262</v>
      </c>
      <c r="F41" s="209">
        <v>599454767</v>
      </c>
      <c r="G41" s="209">
        <v>80221159</v>
      </c>
      <c r="H41" s="209">
        <v>141973862</v>
      </c>
      <c r="I41" s="209">
        <v>113188165.33333334</v>
      </c>
      <c r="J41" s="209">
        <v>109753147.00000001</v>
      </c>
      <c r="K41" s="209">
        <v>112371331.00000001</v>
      </c>
      <c r="L41" s="209">
        <v>117391283.14814815</v>
      </c>
      <c r="M41" s="209">
        <v>142138267.14814815</v>
      </c>
      <c r="N41" s="209">
        <v>313851525.14814818</v>
      </c>
      <c r="O41" s="209">
        <v>136914764.14814815</v>
      </c>
      <c r="P41" s="209">
        <v>131869972.14814815</v>
      </c>
      <c r="Q41" s="209">
        <v>116869990.14814815</v>
      </c>
      <c r="R41" s="209">
        <v>141584434.14814815</v>
      </c>
      <c r="S41" s="209">
        <v>1658127900.3703701</v>
      </c>
    </row>
    <row r="42" spans="2:23" outlineLevel="1">
      <c r="B42" s="216" t="s">
        <v>180</v>
      </c>
      <c r="C42" s="217" t="s">
        <v>139</v>
      </c>
      <c r="D42" s="209">
        <v>389345121</v>
      </c>
      <c r="E42" s="209">
        <v>14347824</v>
      </c>
      <c r="F42" s="209">
        <v>186961564</v>
      </c>
      <c r="G42" s="209">
        <v>8512912.25</v>
      </c>
      <c r="H42" s="209">
        <v>8512912.25</v>
      </c>
      <c r="I42" s="209">
        <v>8512912.25</v>
      </c>
      <c r="J42" s="209">
        <v>11012912.25</v>
      </c>
      <c r="K42" s="209">
        <v>11012912.25</v>
      </c>
      <c r="L42" s="209">
        <v>11012912.25</v>
      </c>
      <c r="M42" s="209">
        <v>11012912.25</v>
      </c>
      <c r="N42" s="209">
        <v>11012912.25</v>
      </c>
      <c r="O42" s="209">
        <v>11012912.25</v>
      </c>
      <c r="P42" s="209">
        <v>11012912.25</v>
      </c>
      <c r="Q42" s="209">
        <v>11012912.25</v>
      </c>
      <c r="R42" s="209">
        <v>11012912.25</v>
      </c>
      <c r="S42" s="209">
        <v>124654947</v>
      </c>
    </row>
    <row r="43" spans="2:23" s="126" customFormat="1">
      <c r="B43" s="226">
        <v>10</v>
      </c>
      <c r="C43" s="215" t="s">
        <v>144</v>
      </c>
      <c r="D43" s="209">
        <v>0</v>
      </c>
      <c r="E43" s="209">
        <v>0</v>
      </c>
      <c r="F43" s="209">
        <v>87340287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</row>
    <row r="44" spans="2:23" s="126" customFormat="1" collapsed="1">
      <c r="B44" s="205">
        <v>11</v>
      </c>
      <c r="C44" s="206" t="s">
        <v>145</v>
      </c>
      <c r="D44" s="207">
        <v>-4232727008.0000029</v>
      </c>
      <c r="E44" s="207">
        <v>-3205263658</v>
      </c>
      <c r="F44" s="207">
        <v>3054444334</v>
      </c>
      <c r="G44" s="207">
        <v>405648686.98440242</v>
      </c>
      <c r="H44" s="207">
        <v>-77733714.869802803</v>
      </c>
      <c r="I44" s="207">
        <v>268830674.14476383</v>
      </c>
      <c r="J44" s="207">
        <v>142444821.72399592</v>
      </c>
      <c r="K44" s="207">
        <v>104898892.57554054</v>
      </c>
      <c r="L44" s="207">
        <v>56153608.09405911</v>
      </c>
      <c r="M44" s="207">
        <v>112430228.57130182</v>
      </c>
      <c r="N44" s="207">
        <v>3734722.6114095449</v>
      </c>
      <c r="O44" s="207">
        <v>18055370.012964845</v>
      </c>
      <c r="P44" s="207">
        <v>157488832.03475058</v>
      </c>
      <c r="Q44" s="207">
        <v>34116089.368742585</v>
      </c>
      <c r="R44" s="207">
        <v>123638468.90463507</v>
      </c>
      <c r="S44" s="207">
        <v>1349706680.1567631</v>
      </c>
    </row>
    <row r="45" spans="2:23" s="126" customFormat="1">
      <c r="B45" s="226">
        <v>12</v>
      </c>
      <c r="C45" s="215" t="s">
        <v>146</v>
      </c>
      <c r="D45" s="213">
        <v>27142139</v>
      </c>
      <c r="E45" s="213">
        <v>52016376</v>
      </c>
      <c r="F45" s="213">
        <v>318990785</v>
      </c>
      <c r="G45" s="227">
        <v>20000000</v>
      </c>
      <c r="H45" s="213">
        <v>20000000</v>
      </c>
      <c r="I45" s="213">
        <v>20000000</v>
      </c>
      <c r="J45" s="213">
        <v>10000000</v>
      </c>
      <c r="K45" s="213">
        <v>10000000</v>
      </c>
      <c r="L45" s="213">
        <v>10000000</v>
      </c>
      <c r="M45" s="213">
        <v>10000000</v>
      </c>
      <c r="N45" s="213">
        <v>10000000</v>
      </c>
      <c r="O45" s="213">
        <v>10000000</v>
      </c>
      <c r="P45" s="213">
        <v>10000000</v>
      </c>
      <c r="Q45" s="213">
        <v>10000000</v>
      </c>
      <c r="R45" s="213">
        <v>10000000</v>
      </c>
      <c r="S45" s="213">
        <v>150000000</v>
      </c>
      <c r="W45" s="126" t="s">
        <v>181</v>
      </c>
    </row>
    <row r="46" spans="2:23" s="126" customFormat="1">
      <c r="B46" s="226">
        <v>13</v>
      </c>
      <c r="C46" s="215" t="s">
        <v>147</v>
      </c>
      <c r="D46" s="213">
        <v>0</v>
      </c>
      <c r="E46" s="213">
        <v>0</v>
      </c>
      <c r="F46" s="213">
        <v>3187200</v>
      </c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</row>
    <row r="47" spans="2:23" s="157" customFormat="1" outlineLevel="1">
      <c r="B47" s="218" t="s">
        <v>182</v>
      </c>
      <c r="C47" s="219" t="s">
        <v>148</v>
      </c>
      <c r="D47" s="213">
        <v>0</v>
      </c>
      <c r="E47" s="213">
        <v>0</v>
      </c>
      <c r="F47" s="209">
        <v>3187200</v>
      </c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</row>
    <row r="48" spans="2:23" s="126" customFormat="1">
      <c r="B48" s="205">
        <v>14</v>
      </c>
      <c r="C48" s="206" t="s">
        <v>149</v>
      </c>
      <c r="D48" s="207">
        <v>-4205584869.0000029</v>
      </c>
      <c r="E48" s="207">
        <v>-3153247282</v>
      </c>
      <c r="F48" s="207">
        <v>3370247919</v>
      </c>
      <c r="G48" s="207">
        <v>425648686.98440242</v>
      </c>
      <c r="H48" s="207">
        <v>-57733714.869802803</v>
      </c>
      <c r="I48" s="207">
        <v>288830674.14476383</v>
      </c>
      <c r="J48" s="207">
        <v>152444821.72399592</v>
      </c>
      <c r="K48" s="207">
        <v>114898892.57554054</v>
      </c>
      <c r="L48" s="207">
        <v>66153608.09405911</v>
      </c>
      <c r="M48" s="207">
        <v>122430228.57130182</v>
      </c>
      <c r="N48" s="207">
        <v>13734722.611409545</v>
      </c>
      <c r="O48" s="207">
        <v>28055370.012964845</v>
      </c>
      <c r="P48" s="207">
        <v>167488832.03475058</v>
      </c>
      <c r="Q48" s="207">
        <v>44116089.368742585</v>
      </c>
      <c r="R48" s="207">
        <v>133638468.90463507</v>
      </c>
      <c r="S48" s="207">
        <v>1499706680.1567631</v>
      </c>
    </row>
    <row r="49" spans="2:19">
      <c r="B49" s="228">
        <v>15</v>
      </c>
      <c r="C49" s="229" t="s">
        <v>150</v>
      </c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>
        <v>0</v>
      </c>
    </row>
    <row r="50" spans="2:19" s="126" customFormat="1" collapsed="1">
      <c r="B50" s="230">
        <v>16</v>
      </c>
      <c r="C50" s="231" t="s">
        <v>151</v>
      </c>
      <c r="D50" s="232">
        <v>-4205584869.0000029</v>
      </c>
      <c r="E50" s="232">
        <v>-3153247282</v>
      </c>
      <c r="F50" s="232">
        <v>3370247919</v>
      </c>
      <c r="G50" s="232">
        <v>425648686.98440242</v>
      </c>
      <c r="H50" s="232">
        <v>-57733714.869802803</v>
      </c>
      <c r="I50" s="232">
        <v>288830674.14476383</v>
      </c>
      <c r="J50" s="232">
        <v>152444821.72399592</v>
      </c>
      <c r="K50" s="232">
        <v>114898892.57554054</v>
      </c>
      <c r="L50" s="232">
        <v>66153608.09405911</v>
      </c>
      <c r="M50" s="232">
        <v>122430228.57130182</v>
      </c>
      <c r="N50" s="232">
        <v>13734722.611409545</v>
      </c>
      <c r="O50" s="232">
        <v>28055370.012964845</v>
      </c>
      <c r="P50" s="232">
        <v>167488832.03475058</v>
      </c>
      <c r="Q50" s="232">
        <v>44116089.368742585</v>
      </c>
      <c r="R50" s="232">
        <v>133638468.90463507</v>
      </c>
      <c r="S50" s="233">
        <v>1499706680.1567631</v>
      </c>
    </row>
    <row r="51" spans="2:19" s="177" customFormat="1">
      <c r="B51" s="234" t="s">
        <v>152</v>
      </c>
      <c r="C51" s="223" t="s">
        <v>153</v>
      </c>
      <c r="D51" s="224">
        <v>-9.4545739452520899E-2</v>
      </c>
      <c r="E51" s="224">
        <v>-4.9307667130084602E-2</v>
      </c>
      <c r="F51" s="224">
        <v>3.5039332523827377E-2</v>
      </c>
      <c r="G51" s="224">
        <v>4.5184736183266246E-2</v>
      </c>
      <c r="H51" s="224">
        <v>-1.0214537461843302E-2</v>
      </c>
      <c r="I51" s="224">
        <v>2.3212115481251763E-2</v>
      </c>
      <c r="J51" s="224">
        <v>9.6608554899855724E-3</v>
      </c>
      <c r="K51" s="224">
        <v>6.990206168994915E-3</v>
      </c>
      <c r="L51" s="224">
        <v>4.0246459215987655E-3</v>
      </c>
      <c r="M51" s="224">
        <v>7.1619199602273361E-3</v>
      </c>
      <c r="N51" s="224">
        <v>8.0234900587385929E-4</v>
      </c>
      <c r="O51" s="224">
        <v>1.7044833617135646E-3</v>
      </c>
      <c r="P51" s="224">
        <v>9.7917066919231931E-3</v>
      </c>
      <c r="Q51" s="224">
        <v>2.6822724496635324E-3</v>
      </c>
      <c r="R51" s="224">
        <v>7.8175792781838872E-3</v>
      </c>
      <c r="S51" s="224">
        <v>8.4495823172600956E-3</v>
      </c>
    </row>
    <row r="52" spans="2:19">
      <c r="B52" s="228">
        <v>17</v>
      </c>
      <c r="C52" s="229" t="s">
        <v>139</v>
      </c>
      <c r="D52" s="209">
        <v>2904227598</v>
      </c>
      <c r="E52" s="209">
        <v>3977819339</v>
      </c>
      <c r="F52" s="209">
        <v>4038298793</v>
      </c>
      <c r="G52" s="209">
        <v>198196426.46666667</v>
      </c>
      <c r="H52" s="209">
        <v>198557537.24444446</v>
      </c>
      <c r="I52" s="209">
        <v>212724203.91111115</v>
      </c>
      <c r="J52" s="209">
        <v>251710315.02222228</v>
      </c>
      <c r="K52" s="209">
        <v>251710315.02222228</v>
      </c>
      <c r="L52" s="209">
        <v>251710315.02222228</v>
      </c>
      <c r="M52" s="209">
        <v>251710315.02222228</v>
      </c>
      <c r="N52" s="209">
        <v>251710315.02222228</v>
      </c>
      <c r="O52" s="209">
        <v>251710315.02222228</v>
      </c>
      <c r="P52" s="209">
        <v>251710315.02222228</v>
      </c>
      <c r="Q52" s="209">
        <v>251710315.02222228</v>
      </c>
      <c r="R52" s="209">
        <v>245599204.02222228</v>
      </c>
      <c r="S52" s="209">
        <v>2868759891.8222237</v>
      </c>
    </row>
    <row r="53" spans="2:19" s="126" customFormat="1" ht="25.5" collapsed="1">
      <c r="B53" s="230">
        <v>18</v>
      </c>
      <c r="C53" s="231" t="s">
        <v>154</v>
      </c>
      <c r="D53" s="232">
        <v>-1301357271.0000029</v>
      </c>
      <c r="E53" s="232">
        <v>824572057</v>
      </c>
      <c r="F53" s="232">
        <v>7411733912</v>
      </c>
      <c r="G53" s="232">
        <v>623845113.45106912</v>
      </c>
      <c r="H53" s="232">
        <v>140823822.37464166</v>
      </c>
      <c r="I53" s="232">
        <v>501554878.05587494</v>
      </c>
      <c r="J53" s="232">
        <v>404155136.7462182</v>
      </c>
      <c r="K53" s="232">
        <v>366609207.59776282</v>
      </c>
      <c r="L53" s="232">
        <v>317863923.11628139</v>
      </c>
      <c r="M53" s="232">
        <v>374140543.5935241</v>
      </c>
      <c r="N53" s="232">
        <v>265445037.63363183</v>
      </c>
      <c r="O53" s="232">
        <v>279765685.03518713</v>
      </c>
      <c r="P53" s="232">
        <v>419199147.05697286</v>
      </c>
      <c r="Q53" s="232">
        <v>295826404.39096487</v>
      </c>
      <c r="R53" s="232">
        <v>379237672.92685735</v>
      </c>
      <c r="S53" s="233">
        <v>4368466571.9789858</v>
      </c>
    </row>
    <row r="54" spans="2:19" s="177" customFormat="1">
      <c r="B54" s="234" t="s">
        <v>155</v>
      </c>
      <c r="C54" s="223" t="s">
        <v>156</v>
      </c>
      <c r="D54" s="224">
        <v>-2.9255808481131813E-2</v>
      </c>
      <c r="E54" s="224">
        <v>1.2893922003331532E-2</v>
      </c>
      <c r="F54" s="224">
        <v>7.7057301231938227E-2</v>
      </c>
      <c r="G54" s="224">
        <v>6.6224277749362112E-2</v>
      </c>
      <c r="H54" s="224">
        <v>2.4915254672415253E-2</v>
      </c>
      <c r="I54" s="224">
        <v>4.0307871676340701E-2</v>
      </c>
      <c r="J54" s="224">
        <v>2.5612443423691428E-2</v>
      </c>
      <c r="K54" s="224">
        <v>2.2303730585352538E-2</v>
      </c>
      <c r="L54" s="224">
        <v>1.9338170337956387E-2</v>
      </c>
      <c r="M54" s="224">
        <v>2.1886462668263509E-2</v>
      </c>
      <c r="N54" s="224">
        <v>1.550665186951572E-2</v>
      </c>
      <c r="O54" s="224">
        <v>1.69969583399011E-2</v>
      </c>
      <c r="P54" s="224">
        <v>2.4507156946647155E-2</v>
      </c>
      <c r="Q54" s="224">
        <v>1.798634071457645E-2</v>
      </c>
      <c r="R54" s="224">
        <v>2.2184634392177261E-2</v>
      </c>
      <c r="S54" s="224">
        <v>2.4612624847598272E-2</v>
      </c>
    </row>
    <row r="55" spans="2:19" s="158" customFormat="1" collapsed="1">
      <c r="B55" s="235"/>
      <c r="C55" s="236"/>
      <c r="D55" s="237"/>
      <c r="E55" s="237"/>
      <c r="F55" s="237"/>
      <c r="G55" s="238"/>
      <c r="H55" s="237"/>
      <c r="I55" s="237"/>
      <c r="J55" s="237"/>
      <c r="K55" s="237"/>
      <c r="L55" s="237"/>
      <c r="M55" s="237"/>
      <c r="N55" s="237"/>
      <c r="O55" s="239"/>
      <c r="P55" s="237"/>
      <c r="Q55" s="237"/>
      <c r="R55" s="237"/>
      <c r="S55" s="237"/>
    </row>
    <row r="56" spans="2:19">
      <c r="D56" s="109"/>
      <c r="E56" s="109"/>
      <c r="F56" s="109"/>
      <c r="H56" s="109"/>
    </row>
    <row r="57" spans="2:19" s="126" customFormat="1" hidden="1">
      <c r="B57" s="182" t="s">
        <v>157</v>
      </c>
      <c r="C57" s="183"/>
      <c r="D57" s="185" t="s">
        <v>163</v>
      </c>
      <c r="E57" s="185" t="s">
        <v>82</v>
      </c>
      <c r="F57" s="185" t="s">
        <v>164</v>
      </c>
      <c r="G57" s="185" t="s">
        <v>76</v>
      </c>
      <c r="H57" s="185" t="s">
        <v>77</v>
      </c>
      <c r="I57" s="185" t="s">
        <v>84</v>
      </c>
      <c r="J57" s="185" t="s">
        <v>85</v>
      </c>
      <c r="K57" s="185" t="s">
        <v>86</v>
      </c>
      <c r="L57" s="185" t="s">
        <v>87</v>
      </c>
      <c r="M57" s="185" t="s">
        <v>88</v>
      </c>
      <c r="N57" s="185" t="s">
        <v>89</v>
      </c>
      <c r="O57" s="185" t="s">
        <v>90</v>
      </c>
      <c r="P57" s="185" t="s">
        <v>91</v>
      </c>
      <c r="Q57" s="185" t="s">
        <v>92</v>
      </c>
      <c r="R57" s="185" t="s">
        <v>93</v>
      </c>
      <c r="S57" s="185" t="s">
        <v>165</v>
      </c>
    </row>
    <row r="58" spans="2:19" hidden="1">
      <c r="B58" s="122" t="s">
        <v>158</v>
      </c>
      <c r="D58" s="187">
        <v>17130124.54586418</v>
      </c>
      <c r="E58" s="187">
        <v>8789882.678026082</v>
      </c>
      <c r="F58" s="187">
        <v>4614553.4265395524</v>
      </c>
      <c r="G58" s="187">
        <v>481810.81125498685</v>
      </c>
      <c r="H58" s="187">
        <v>495510.23468145542</v>
      </c>
      <c r="I58" s="187">
        <v>759212.93043615494</v>
      </c>
      <c r="J58" s="187">
        <v>1055742.0262914088</v>
      </c>
      <c r="K58" s="187">
        <v>1128647.1458245814</v>
      </c>
      <c r="L58" s="187">
        <v>1165869.8411330974</v>
      </c>
      <c r="M58" s="187">
        <v>1172174.234373149</v>
      </c>
      <c r="N58" s="187">
        <v>1255546.6831511406</v>
      </c>
      <c r="O58" s="187">
        <v>1195997.3879954622</v>
      </c>
      <c r="P58" s="187">
        <v>1139515.3669632364</v>
      </c>
      <c r="Q58" s="187">
        <v>1183294.2866696585</v>
      </c>
      <c r="R58" s="187">
        <v>1163666.6000716779</v>
      </c>
      <c r="S58" s="187">
        <v>12196158.18615263</v>
      </c>
    </row>
    <row r="59" spans="2:19" s="126" customFormat="1" hidden="1">
      <c r="B59" s="122" t="s">
        <v>159</v>
      </c>
      <c r="C59" s="188"/>
      <c r="D59" s="187">
        <v>16185682.636499265</v>
      </c>
      <c r="E59" s="187">
        <v>8080718.9330617338</v>
      </c>
      <c r="F59" s="187">
        <v>4158840.1490775272</v>
      </c>
      <c r="G59" s="187">
        <v>434063.79392341152</v>
      </c>
      <c r="H59" s="187">
        <v>446405.61683014</v>
      </c>
      <c r="I59" s="187">
        <v>680298.32476357964</v>
      </c>
      <c r="J59" s="187">
        <v>894916.56957337726</v>
      </c>
      <c r="K59" s="187">
        <v>956715.75711368164</v>
      </c>
      <c r="L59" s="187">
        <v>988268.16856100003</v>
      </c>
      <c r="M59" s="187">
        <v>993612.18805736059</v>
      </c>
      <c r="N59" s="187">
        <v>1064816.7134398031</v>
      </c>
      <c r="O59" s="187">
        <v>1014313.5456912462</v>
      </c>
      <c r="P59" s="187">
        <v>966034.83185814985</v>
      </c>
      <c r="Q59" s="187">
        <v>1003148.8213344228</v>
      </c>
      <c r="R59" s="187">
        <v>986400.5561296232</v>
      </c>
      <c r="S59" s="187">
        <v>10433567.945822019</v>
      </c>
    </row>
    <row r="60" spans="2:19" hidden="1">
      <c r="B60" s="122" t="s">
        <v>160</v>
      </c>
      <c r="D60" s="110">
        <v>230345961311.4671</v>
      </c>
      <c r="E60" s="110">
        <v>121094245656.23218</v>
      </c>
      <c r="F60" s="110">
        <v>70148976064.888214</v>
      </c>
      <c r="G60" s="110">
        <v>6125786255.7601452</v>
      </c>
      <c r="H60" s="110">
        <v>6299961964.933445</v>
      </c>
      <c r="I60" s="110">
        <v>9575814575.6399288</v>
      </c>
      <c r="J60" s="110">
        <v>14346004967.656609</v>
      </c>
      <c r="K60" s="110">
        <v>15336679944.065855</v>
      </c>
      <c r="L60" s="110">
        <v>15842482458.796989</v>
      </c>
      <c r="M60" s="110">
        <v>15928150031.449701</v>
      </c>
      <c r="N60" s="110">
        <v>17080807815.067537</v>
      </c>
      <c r="O60" s="110">
        <v>16270682568.649731</v>
      </c>
      <c r="P60" s="110">
        <v>15493183078.781551</v>
      </c>
      <c r="Q60" s="110">
        <v>16088414031.928284</v>
      </c>
      <c r="R60" s="110">
        <v>15812543604.015295</v>
      </c>
      <c r="S60" s="110">
        <v>163805285703.32794</v>
      </c>
    </row>
    <row r="61" spans="2:19" s="126" customFormat="1" hidden="1">
      <c r="B61" s="182" t="s">
        <v>161</v>
      </c>
      <c r="C61" s="183"/>
      <c r="D61" s="191" t="s">
        <v>163</v>
      </c>
      <c r="E61" s="191" t="s">
        <v>82</v>
      </c>
      <c r="F61" s="191" t="s">
        <v>164</v>
      </c>
      <c r="G61" s="191" t="s">
        <v>76</v>
      </c>
      <c r="H61" s="191" t="s">
        <v>77</v>
      </c>
      <c r="I61" s="191" t="s">
        <v>84</v>
      </c>
      <c r="J61" s="191" t="s">
        <v>85</v>
      </c>
      <c r="K61" s="191" t="s">
        <v>86</v>
      </c>
      <c r="L61" s="191" t="s">
        <v>87</v>
      </c>
      <c r="M61" s="191" t="s">
        <v>88</v>
      </c>
      <c r="N61" s="191" t="s">
        <v>89</v>
      </c>
      <c r="O61" s="191" t="s">
        <v>90</v>
      </c>
      <c r="P61" s="191" t="s">
        <v>91</v>
      </c>
      <c r="Q61" s="191" t="s">
        <v>92</v>
      </c>
      <c r="R61" s="191" t="s">
        <v>93</v>
      </c>
      <c r="S61" s="191" t="s">
        <v>165</v>
      </c>
    </row>
    <row r="62" spans="2:19" hidden="1">
      <c r="B62" s="122" t="s">
        <v>158</v>
      </c>
      <c r="D62" s="187">
        <v>7646257.3378559425</v>
      </c>
      <c r="E62" s="187">
        <v>3642221.1216890207</v>
      </c>
      <c r="F62" s="187">
        <v>2283545.3194754687</v>
      </c>
      <c r="G62" s="187">
        <v>355209.86836065992</v>
      </c>
      <c r="H62" s="187">
        <v>365353.76493073668</v>
      </c>
      <c r="I62" s="187">
        <v>579327.13075546303</v>
      </c>
      <c r="J62" s="187">
        <v>869310.31538155326</v>
      </c>
      <c r="K62" s="187">
        <v>934323.65365497011</v>
      </c>
      <c r="L62" s="187">
        <v>969711.78216258949</v>
      </c>
      <c r="M62" s="187">
        <v>979991.40112454002</v>
      </c>
      <c r="N62" s="187">
        <v>1070598.304041723</v>
      </c>
      <c r="O62" s="187">
        <v>1002250.0237521899</v>
      </c>
      <c r="P62" s="187">
        <v>950022.4540949777</v>
      </c>
      <c r="Q62" s="187">
        <v>988554.32004077011</v>
      </c>
      <c r="R62" s="187">
        <v>976248.86424460926</v>
      </c>
      <c r="S62" s="187">
        <v>10030702.522302734</v>
      </c>
    </row>
    <row r="63" spans="2:19" s="126" customFormat="1" hidden="1">
      <c r="B63" s="122" t="s">
        <v>159</v>
      </c>
      <c r="C63" s="188"/>
      <c r="D63" s="187">
        <v>7224693.2178563792</v>
      </c>
      <c r="E63" s="187">
        <v>3348368.374700448</v>
      </c>
      <c r="F63" s="187">
        <v>2058032.2902436</v>
      </c>
      <c r="G63" s="187">
        <v>320008.89041500894</v>
      </c>
      <c r="H63" s="187">
        <v>329147.53597363661</v>
      </c>
      <c r="I63" s="187">
        <v>519110.33221815678</v>
      </c>
      <c r="J63" s="187">
        <v>736884.75589895248</v>
      </c>
      <c r="K63" s="187">
        <v>791994.34916629514</v>
      </c>
      <c r="L63" s="187">
        <v>821991.66080018773</v>
      </c>
      <c r="M63" s="187">
        <v>830705.34379172849</v>
      </c>
      <c r="N63" s="187">
        <v>907963.8239040327</v>
      </c>
      <c r="O63" s="187">
        <v>849998.32396379497</v>
      </c>
      <c r="P63" s="187">
        <v>805390.439050321</v>
      </c>
      <c r="Q63" s="187">
        <v>838056.18952573801</v>
      </c>
      <c r="R63" s="187">
        <v>827532.92270524893</v>
      </c>
      <c r="S63" s="187">
        <v>8581064.1936080381</v>
      </c>
    </row>
    <row r="64" spans="2:19" hidden="1">
      <c r="B64" s="122" t="s">
        <v>160</v>
      </c>
      <c r="D64" s="110">
        <v>102817962134.92931</v>
      </c>
      <c r="E64" s="110">
        <v>50177236193.006104</v>
      </c>
      <c r="F64" s="110">
        <v>34713730918.724503</v>
      </c>
      <c r="G64" s="110">
        <v>4516170411.0506926</v>
      </c>
      <c r="H64" s="110">
        <v>4645140830.0144596</v>
      </c>
      <c r="I64" s="110">
        <v>7306947709.0766363</v>
      </c>
      <c r="J64" s="110">
        <v>11812668049.890228</v>
      </c>
      <c r="K64" s="110">
        <v>12696105149.68125</v>
      </c>
      <c r="L64" s="110">
        <v>13176978558.831911</v>
      </c>
      <c r="M64" s="110">
        <v>13316663691.204443</v>
      </c>
      <c r="N64" s="110">
        <v>14564718400.257677</v>
      </c>
      <c r="O64" s="110">
        <v>13634889302.078817</v>
      </c>
      <c r="P64" s="110">
        <v>12916782201.430109</v>
      </c>
      <c r="Q64" s="110">
        <v>13440672682.219465</v>
      </c>
      <c r="R64" s="110">
        <v>13265808035.813204</v>
      </c>
      <c r="S64" s="110">
        <v>134721284144.74216</v>
      </c>
    </row>
    <row r="65" hidden="1"/>
  </sheetData>
  <conditionalFormatting sqref="B20:C25">
    <cfRule type="containsText" dxfId="30" priority="11" operator="containsText" text="xxx">
      <formula>NOT(ISERROR(SEARCH("xxx",B20)))</formula>
    </cfRule>
  </conditionalFormatting>
  <conditionalFormatting sqref="B3:F3">
    <cfRule type="containsText" dxfId="29" priority="7" operator="containsText" text="xxx">
      <formula>NOT(ISERROR(SEARCH("xxx",B3)))</formula>
    </cfRule>
  </conditionalFormatting>
  <conditionalFormatting sqref="B5:S19">
    <cfRule type="containsText" dxfId="28" priority="3" operator="containsText" text="xxx">
      <formula>NOT(ISERROR(SEARCH("xxx",B5)))</formula>
    </cfRule>
  </conditionalFormatting>
  <conditionalFormatting sqref="B65:S1048576">
    <cfRule type="containsText" dxfId="27" priority="6" operator="containsText" text="xxx">
      <formula>NOT(ISERROR(SEARCH("xxx",B65)))</formula>
    </cfRule>
  </conditionalFormatting>
  <conditionalFormatting sqref="C26:C57">
    <cfRule type="containsText" dxfId="26" priority="10" operator="containsText" text="xxx">
      <formula>NOT(ISERROR(SEARCH("xxx",C26)))</formula>
    </cfRule>
  </conditionalFormatting>
  <conditionalFormatting sqref="D4:Q4">
    <cfRule type="containsText" dxfId="25" priority="8" operator="containsText" text="xxx">
      <formula>NOT(ISERROR(SEARCH("xxx",D4)))</formula>
    </cfRule>
  </conditionalFormatting>
  <conditionalFormatting sqref="D20:S57">
    <cfRule type="containsText" dxfId="24" priority="4" operator="containsText" text="xxx">
      <formula>NOT(ISERROR(SEARCH("xxx",D20)))</formula>
    </cfRule>
  </conditionalFormatting>
  <conditionalFormatting sqref="D50:S50 D53:S53">
    <cfRule type="cellIs" dxfId="23" priority="2" operator="lessThan">
      <formula>0</formula>
    </cfRule>
  </conditionalFormatting>
  <conditionalFormatting sqref="H3:R3 B26:B64">
    <cfRule type="containsText" dxfId="22" priority="9" operator="containsText" text="xxx">
      <formula>NOT(ISERROR(SEARCH("xxx",B3)))</formula>
    </cfRule>
  </conditionalFormatting>
  <conditionalFormatting sqref="S3:S4">
    <cfRule type="containsText" dxfId="21" priority="1" operator="containsText" text="xxx">
      <formula>NOT(ISERROR(SEARCH("xxx",S3)))</formula>
    </cfRule>
  </conditionalFormatting>
  <conditionalFormatting sqref="T3:XFD1048576">
    <cfRule type="containsText" dxfId="20" priority="5" operator="containsText" text="xxx">
      <formula>NOT(ISERROR(SEARCH("xxx",T3)))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2DEC8-DB0E-4DDA-9450-8E8AE4BF3500}">
  <sheetPr>
    <tabColor rgb="FFFFFF00"/>
  </sheetPr>
  <dimension ref="A1:AB66"/>
  <sheetViews>
    <sheetView topLeftCell="B1" zoomScaleNormal="100" workbookViewId="0">
      <pane xSplit="2" ySplit="4" topLeftCell="D31" activePane="bottomRight" state="frozen"/>
      <selection activeCell="B1" sqref="B1"/>
      <selection pane="topRight" activeCell="D1" sqref="D1"/>
      <selection pane="bottomLeft" activeCell="B5" sqref="B5"/>
      <selection pane="bottomRight" activeCell="S49" sqref="S49"/>
    </sheetView>
  </sheetViews>
  <sheetFormatPr defaultColWidth="7.375" defaultRowHeight="12.75" outlineLevelRow="1" outlineLevelCol="1"/>
  <cols>
    <col min="1" max="1" width="4.375" style="111" hidden="1" customWidth="1"/>
    <col min="2" max="2" width="5.5" style="192" customWidth="1"/>
    <col min="3" max="3" width="32.875" style="108" customWidth="1"/>
    <col min="4" max="4" width="10.25" style="108" customWidth="1"/>
    <col min="5" max="5" width="9.375" style="108" customWidth="1"/>
    <col min="6" max="6" width="8.375" style="109" customWidth="1"/>
    <col min="7" max="18" width="8.25" style="110" customWidth="1" outlineLevel="1"/>
    <col min="19" max="19" width="10.25" style="110" customWidth="1"/>
    <col min="20" max="20" width="3.5" style="111" customWidth="1"/>
    <col min="21" max="21" width="14.375" style="240" customWidth="1" collapsed="1"/>
    <col min="22" max="22" width="18.375" style="111" customWidth="1" outlineLevel="1"/>
    <col min="23" max="23" width="19.875" style="189" customWidth="1"/>
    <col min="24" max="24" width="13.375" style="111" bestFit="1" customWidth="1"/>
    <col min="25" max="25" width="7.375" style="111"/>
    <col min="26" max="26" width="13.375" style="111" bestFit="1" customWidth="1"/>
    <col min="27" max="27" width="14.25" style="111" bestFit="1" customWidth="1"/>
    <col min="28" max="16384" width="7.375" style="111"/>
  </cols>
  <sheetData>
    <row r="1" spans="1:28" ht="6.6" customHeight="1">
      <c r="B1" s="107"/>
    </row>
    <row r="2" spans="1:28" ht="6.6" customHeight="1"/>
    <row r="3" spans="1:28" s="123" customFormat="1" ht="15.75">
      <c r="B3" s="116" t="s">
        <v>78</v>
      </c>
      <c r="C3" s="117"/>
      <c r="D3" s="117"/>
      <c r="E3" s="117"/>
      <c r="F3" s="241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21" t="s">
        <v>79</v>
      </c>
      <c r="U3" s="242"/>
      <c r="W3" s="243"/>
    </row>
    <row r="4" spans="1:28" s="127" customFormat="1" ht="44.45" customHeight="1">
      <c r="B4" s="124" t="s">
        <v>80</v>
      </c>
      <c r="C4" s="124" t="s">
        <v>81</v>
      </c>
      <c r="D4" s="124" t="s">
        <v>163</v>
      </c>
      <c r="E4" s="124" t="s">
        <v>82</v>
      </c>
      <c r="F4" s="244" t="s">
        <v>83</v>
      </c>
      <c r="G4" s="125" t="s">
        <v>76</v>
      </c>
      <c r="H4" s="125" t="s">
        <v>77</v>
      </c>
      <c r="I4" s="125" t="s">
        <v>84</v>
      </c>
      <c r="J4" s="125" t="s">
        <v>85</v>
      </c>
      <c r="K4" s="125" t="s">
        <v>86</v>
      </c>
      <c r="L4" s="125" t="s">
        <v>87</v>
      </c>
      <c r="M4" s="125" t="s">
        <v>88</v>
      </c>
      <c r="N4" s="125" t="s">
        <v>89</v>
      </c>
      <c r="O4" s="125" t="s">
        <v>90</v>
      </c>
      <c r="P4" s="125" t="s">
        <v>91</v>
      </c>
      <c r="Q4" s="125" t="s">
        <v>92</v>
      </c>
      <c r="R4" s="125" t="s">
        <v>93</v>
      </c>
      <c r="S4" s="125" t="s">
        <v>183</v>
      </c>
      <c r="U4" s="245" t="s">
        <v>184</v>
      </c>
      <c r="V4" s="127" t="s">
        <v>185</v>
      </c>
      <c r="W4" s="125" t="s">
        <v>186</v>
      </c>
    </row>
    <row r="5" spans="1:28" s="132" customFormat="1" ht="15.75">
      <c r="A5" s="246">
        <v>1</v>
      </c>
      <c r="B5" s="247" t="s">
        <v>12</v>
      </c>
      <c r="C5" s="248" t="s">
        <v>95</v>
      </c>
      <c r="D5" s="249">
        <v>5652770.5</v>
      </c>
      <c r="E5" s="249">
        <v>4895018.4000000004</v>
      </c>
      <c r="F5" s="249">
        <v>7096700.8000000007</v>
      </c>
      <c r="G5" s="249">
        <v>533700</v>
      </c>
      <c r="H5" s="249">
        <v>400275</v>
      </c>
      <c r="I5" s="249">
        <v>578175</v>
      </c>
      <c r="J5" s="249">
        <v>622650</v>
      </c>
      <c r="K5" s="249">
        <v>622650</v>
      </c>
      <c r="L5" s="249">
        <v>622650</v>
      </c>
      <c r="M5" s="249">
        <v>622650</v>
      </c>
      <c r="N5" s="249">
        <v>622650</v>
      </c>
      <c r="O5" s="249">
        <v>622650</v>
      </c>
      <c r="P5" s="249">
        <v>622650</v>
      </c>
      <c r="Q5" s="249">
        <v>622650</v>
      </c>
      <c r="R5" s="249">
        <v>622650</v>
      </c>
      <c r="S5" s="249">
        <v>7116000</v>
      </c>
      <c r="T5" s="250"/>
      <c r="U5" s="251"/>
      <c r="V5" s="132">
        <v>7116000</v>
      </c>
      <c r="W5" s="252"/>
    </row>
    <row r="6" spans="1:28" s="137" customFormat="1" ht="15.75">
      <c r="A6" s="246"/>
      <c r="B6" s="253" t="s">
        <v>96</v>
      </c>
      <c r="C6" s="254" t="s">
        <v>97</v>
      </c>
      <c r="D6" s="255">
        <v>5652770.5</v>
      </c>
      <c r="E6" s="255">
        <v>4895018.4000000004</v>
      </c>
      <c r="F6" s="255">
        <v>7096700.8000000007</v>
      </c>
      <c r="G6" s="255">
        <v>533700</v>
      </c>
      <c r="H6" s="255">
        <v>400275</v>
      </c>
      <c r="I6" s="255">
        <v>578175</v>
      </c>
      <c r="J6" s="255">
        <v>622650</v>
      </c>
      <c r="K6" s="255">
        <v>622650</v>
      </c>
      <c r="L6" s="255">
        <v>622650</v>
      </c>
      <c r="M6" s="255">
        <v>622650</v>
      </c>
      <c r="N6" s="255">
        <v>622650</v>
      </c>
      <c r="O6" s="255">
        <v>622650</v>
      </c>
      <c r="P6" s="255">
        <v>622650</v>
      </c>
      <c r="Q6" s="255">
        <v>622650</v>
      </c>
      <c r="R6" s="255">
        <v>622650</v>
      </c>
      <c r="S6" s="255">
        <v>7116000</v>
      </c>
      <c r="T6" s="256"/>
      <c r="U6" s="257">
        <v>2.7194608514423003E-3</v>
      </c>
      <c r="W6" s="258"/>
    </row>
    <row r="7" spans="1:28" s="137" customFormat="1" ht="15.75">
      <c r="A7" s="246"/>
      <c r="B7" s="253" t="s">
        <v>98</v>
      </c>
      <c r="C7" s="254" t="s">
        <v>15</v>
      </c>
      <c r="D7" s="255">
        <v>0</v>
      </c>
      <c r="E7" s="255">
        <v>0</v>
      </c>
      <c r="F7" s="255">
        <v>0</v>
      </c>
      <c r="G7" s="255">
        <v>0</v>
      </c>
      <c r="H7" s="255">
        <v>0</v>
      </c>
      <c r="I7" s="255">
        <v>0</v>
      </c>
      <c r="J7" s="255">
        <v>0</v>
      </c>
      <c r="K7" s="255">
        <v>0</v>
      </c>
      <c r="L7" s="255">
        <v>0</v>
      </c>
      <c r="M7" s="255">
        <v>0</v>
      </c>
      <c r="N7" s="255">
        <v>0</v>
      </c>
      <c r="O7" s="255">
        <v>0</v>
      </c>
      <c r="P7" s="255">
        <v>0</v>
      </c>
      <c r="Q7" s="255">
        <v>0</v>
      </c>
      <c r="R7" s="255">
        <v>0</v>
      </c>
      <c r="S7" s="255">
        <v>0</v>
      </c>
      <c r="T7" s="256"/>
      <c r="U7" s="257"/>
      <c r="W7" s="258"/>
    </row>
    <row r="8" spans="1:28" s="137" customFormat="1" ht="15.75">
      <c r="A8" s="246"/>
      <c r="B8" s="253" t="s">
        <v>99</v>
      </c>
      <c r="C8" s="254" t="s">
        <v>100</v>
      </c>
      <c r="D8" s="255">
        <v>0</v>
      </c>
      <c r="E8" s="255">
        <v>0</v>
      </c>
      <c r="F8" s="255">
        <v>0</v>
      </c>
      <c r="G8" s="255">
        <v>0</v>
      </c>
      <c r="H8" s="255">
        <v>0</v>
      </c>
      <c r="I8" s="255">
        <v>0</v>
      </c>
      <c r="J8" s="255">
        <v>0</v>
      </c>
      <c r="K8" s="255">
        <v>0</v>
      </c>
      <c r="L8" s="255">
        <v>0</v>
      </c>
      <c r="M8" s="255">
        <v>0</v>
      </c>
      <c r="N8" s="255">
        <v>0</v>
      </c>
      <c r="O8" s="255">
        <v>0</v>
      </c>
      <c r="P8" s="255">
        <v>0</v>
      </c>
      <c r="Q8" s="255">
        <v>0</v>
      </c>
      <c r="R8" s="255">
        <v>0</v>
      </c>
      <c r="S8" s="255">
        <v>0</v>
      </c>
      <c r="T8" s="256"/>
      <c r="U8" s="257"/>
      <c r="W8" s="258"/>
    </row>
    <row r="9" spans="1:28" s="126" customFormat="1" ht="15.75">
      <c r="A9" s="246">
        <v>2</v>
      </c>
      <c r="B9" s="259">
        <v>2</v>
      </c>
      <c r="C9" s="260" t="s">
        <v>102</v>
      </c>
      <c r="D9" s="261">
        <v>78915665269</v>
      </c>
      <c r="E9" s="261">
        <v>74523104085</v>
      </c>
      <c r="F9" s="261">
        <v>102263015418</v>
      </c>
      <c r="G9" s="261">
        <v>7469550000</v>
      </c>
      <c r="H9" s="261">
        <v>5602162500</v>
      </c>
      <c r="I9" s="261">
        <v>8092012500</v>
      </c>
      <c r="J9" s="261">
        <v>8714475000</v>
      </c>
      <c r="K9" s="261">
        <v>8714475000</v>
      </c>
      <c r="L9" s="261">
        <v>8714475000</v>
      </c>
      <c r="M9" s="261">
        <v>8714475000</v>
      </c>
      <c r="N9" s="261">
        <v>8714475000</v>
      </c>
      <c r="O9" s="261">
        <v>8714475000</v>
      </c>
      <c r="P9" s="261">
        <v>8714475000</v>
      </c>
      <c r="Q9" s="261">
        <v>8714475000</v>
      </c>
      <c r="R9" s="261">
        <v>8714475000</v>
      </c>
      <c r="S9" s="261">
        <v>99594000000</v>
      </c>
      <c r="U9" s="262"/>
      <c r="V9" s="126">
        <v>102263015418</v>
      </c>
      <c r="W9" s="263"/>
      <c r="X9" s="126">
        <v>0</v>
      </c>
    </row>
    <row r="10" spans="1:28" ht="25.5" outlineLevel="1">
      <c r="A10" s="246"/>
      <c r="B10" s="264" t="s">
        <v>103</v>
      </c>
      <c r="C10" s="254" t="s">
        <v>97</v>
      </c>
      <c r="D10" s="265">
        <v>78915665269</v>
      </c>
      <c r="E10" s="265">
        <v>74523104085</v>
      </c>
      <c r="F10" s="265">
        <v>102263015418</v>
      </c>
      <c r="G10" s="265">
        <v>7469550000</v>
      </c>
      <c r="H10" s="265">
        <v>5602162500</v>
      </c>
      <c r="I10" s="265">
        <v>8092012500</v>
      </c>
      <c r="J10" s="265">
        <v>8714475000</v>
      </c>
      <c r="K10" s="265">
        <v>8714475000</v>
      </c>
      <c r="L10" s="265">
        <v>8714475000</v>
      </c>
      <c r="M10" s="265">
        <v>8714475000</v>
      </c>
      <c r="N10" s="265">
        <v>8714475000</v>
      </c>
      <c r="O10" s="265">
        <v>8714475000</v>
      </c>
      <c r="P10" s="265">
        <v>8714475000</v>
      </c>
      <c r="Q10" s="265">
        <v>8714475000</v>
      </c>
      <c r="R10" s="265">
        <v>8714475000</v>
      </c>
      <c r="S10" s="265">
        <v>99594000000</v>
      </c>
      <c r="U10" s="266">
        <v>-2.6099518062228082E-2</v>
      </c>
      <c r="V10" s="126">
        <v>102263015418</v>
      </c>
      <c r="W10" s="267" t="s">
        <v>187</v>
      </c>
      <c r="X10" s="126">
        <v>0</v>
      </c>
      <c r="AB10" s="126"/>
    </row>
    <row r="11" spans="1:28" ht="15.75" outlineLevel="1">
      <c r="A11" s="246"/>
      <c r="B11" s="264" t="s">
        <v>104</v>
      </c>
      <c r="C11" s="254" t="s">
        <v>15</v>
      </c>
      <c r="D11" s="265">
        <v>0</v>
      </c>
      <c r="E11" s="265">
        <v>0</v>
      </c>
      <c r="F11" s="265">
        <v>0</v>
      </c>
      <c r="G11" s="265">
        <v>0</v>
      </c>
      <c r="H11" s="265">
        <v>0</v>
      </c>
      <c r="I11" s="265">
        <v>0</v>
      </c>
      <c r="J11" s="265">
        <v>0</v>
      </c>
      <c r="K11" s="265">
        <v>0</v>
      </c>
      <c r="L11" s="265">
        <v>0</v>
      </c>
      <c r="M11" s="265">
        <v>0</v>
      </c>
      <c r="N11" s="265">
        <v>0</v>
      </c>
      <c r="O11" s="265">
        <v>0</v>
      </c>
      <c r="P11" s="265">
        <v>0</v>
      </c>
      <c r="Q11" s="265">
        <v>0</v>
      </c>
      <c r="R11" s="265">
        <v>0</v>
      </c>
      <c r="S11" s="265">
        <v>0</v>
      </c>
      <c r="U11" s="266"/>
      <c r="W11" s="267"/>
      <c r="X11" s="126">
        <v>0</v>
      </c>
      <c r="AB11" s="126"/>
    </row>
    <row r="12" spans="1:28" ht="15.75" outlineLevel="1">
      <c r="A12" s="246"/>
      <c r="B12" s="264" t="s">
        <v>105</v>
      </c>
      <c r="C12" s="254" t="s">
        <v>100</v>
      </c>
      <c r="D12" s="265">
        <v>0</v>
      </c>
      <c r="E12" s="265">
        <v>0</v>
      </c>
      <c r="F12" s="265">
        <v>0</v>
      </c>
      <c r="G12" s="265">
        <v>0</v>
      </c>
      <c r="H12" s="265">
        <v>0</v>
      </c>
      <c r="I12" s="265">
        <v>0</v>
      </c>
      <c r="J12" s="265">
        <v>0</v>
      </c>
      <c r="K12" s="265">
        <v>0</v>
      </c>
      <c r="L12" s="265">
        <v>0</v>
      </c>
      <c r="M12" s="265">
        <v>0</v>
      </c>
      <c r="N12" s="265">
        <v>0</v>
      </c>
      <c r="O12" s="265">
        <v>0</v>
      </c>
      <c r="P12" s="265">
        <v>0</v>
      </c>
      <c r="Q12" s="265">
        <v>0</v>
      </c>
      <c r="R12" s="265">
        <v>0</v>
      </c>
      <c r="S12" s="265">
        <v>0</v>
      </c>
      <c r="U12" s="266"/>
      <c r="W12" s="267"/>
      <c r="X12" s="126">
        <v>0</v>
      </c>
      <c r="AB12" s="126"/>
    </row>
    <row r="13" spans="1:28" ht="15.75" outlineLevel="1">
      <c r="A13" s="246"/>
      <c r="B13" s="264" t="s">
        <v>106</v>
      </c>
      <c r="C13" s="268" t="s">
        <v>107</v>
      </c>
      <c r="D13" s="265">
        <v>0</v>
      </c>
      <c r="E13" s="265">
        <v>0</v>
      </c>
      <c r="F13" s="265">
        <v>0</v>
      </c>
      <c r="G13" s="265">
        <v>0</v>
      </c>
      <c r="H13" s="265">
        <v>0</v>
      </c>
      <c r="I13" s="265">
        <v>0</v>
      </c>
      <c r="J13" s="265">
        <v>0</v>
      </c>
      <c r="K13" s="265">
        <v>0</v>
      </c>
      <c r="L13" s="265">
        <v>0</v>
      </c>
      <c r="M13" s="265">
        <v>0</v>
      </c>
      <c r="N13" s="265">
        <v>0</v>
      </c>
      <c r="O13" s="265">
        <v>0</v>
      </c>
      <c r="P13" s="265">
        <v>0</v>
      </c>
      <c r="Q13" s="265">
        <v>0</v>
      </c>
      <c r="R13" s="265">
        <v>0</v>
      </c>
      <c r="S13" s="265">
        <v>0</v>
      </c>
      <c r="U13" s="266"/>
      <c r="W13" s="267"/>
      <c r="X13" s="126">
        <v>0</v>
      </c>
      <c r="AB13" s="126"/>
    </row>
    <row r="14" spans="1:28" s="126" customFormat="1" ht="15.75">
      <c r="A14" s="246">
        <v>3</v>
      </c>
      <c r="B14" s="269">
        <v>3</v>
      </c>
      <c r="C14" s="270" t="s">
        <v>108</v>
      </c>
      <c r="D14" s="271">
        <v>88817087938.5</v>
      </c>
      <c r="E14" s="271">
        <v>70945682854</v>
      </c>
      <c r="F14" s="271">
        <v>87927104510</v>
      </c>
      <c r="G14" s="271">
        <v>6572958652.6757622</v>
      </c>
      <c r="H14" s="271">
        <v>5040013458.0656452</v>
      </c>
      <c r="I14" s="271">
        <v>7076087265.8791351</v>
      </c>
      <c r="J14" s="271">
        <v>7615907391.0825071</v>
      </c>
      <c r="K14" s="271">
        <v>7591044915.0825071</v>
      </c>
      <c r="L14" s="271">
        <v>7609694009.0825071</v>
      </c>
      <c r="M14" s="271">
        <v>7641222460.0825071</v>
      </c>
      <c r="N14" s="271">
        <v>7653188933.0825071</v>
      </c>
      <c r="O14" s="271">
        <v>7646163592.0825071</v>
      </c>
      <c r="P14" s="271">
        <v>7594738642.0825071</v>
      </c>
      <c r="Q14" s="271">
        <v>7609694009.0825071</v>
      </c>
      <c r="R14" s="271">
        <v>7599339776.0825071</v>
      </c>
      <c r="S14" s="271">
        <v>87250053104.363098</v>
      </c>
      <c r="U14" s="272"/>
      <c r="V14" s="126">
        <v>87927104510</v>
      </c>
      <c r="W14" s="273"/>
      <c r="X14" s="126">
        <v>0</v>
      </c>
    </row>
    <row r="15" spans="1:28" s="126" customFormat="1" ht="15.75">
      <c r="A15" s="246">
        <v>4</v>
      </c>
      <c r="B15" s="274">
        <v>3.1</v>
      </c>
      <c r="C15" s="275" t="s">
        <v>109</v>
      </c>
      <c r="D15" s="271">
        <v>87338488904.5</v>
      </c>
      <c r="E15" s="271">
        <v>69651631026</v>
      </c>
      <c r="F15" s="271">
        <v>86378512595</v>
      </c>
      <c r="G15" s="271">
        <v>6468991120.20823</v>
      </c>
      <c r="H15" s="271">
        <v>4962037808.7149963</v>
      </c>
      <c r="I15" s="271">
        <v>6963455772.3726416</v>
      </c>
      <c r="J15" s="271">
        <v>7494611936.5370522</v>
      </c>
      <c r="K15" s="271">
        <v>7469749460.5370522</v>
      </c>
      <c r="L15" s="271">
        <v>7488398554.5370522</v>
      </c>
      <c r="M15" s="271">
        <v>7519927005.5370522</v>
      </c>
      <c r="N15" s="271">
        <v>7531893478.5370522</v>
      </c>
      <c r="O15" s="271">
        <v>7524868137.5370522</v>
      </c>
      <c r="P15" s="271">
        <v>7473443187.5370522</v>
      </c>
      <c r="Q15" s="271">
        <v>7488398554.5370522</v>
      </c>
      <c r="R15" s="271">
        <v>7478044321.5370522</v>
      </c>
      <c r="S15" s="271">
        <v>85863819338.129318</v>
      </c>
      <c r="U15" s="272"/>
      <c r="W15" s="273"/>
    </row>
    <row r="16" spans="1:28" ht="25.5">
      <c r="A16" s="246">
        <v>5</v>
      </c>
      <c r="B16" s="276" t="s">
        <v>110</v>
      </c>
      <c r="C16" s="277" t="s">
        <v>111</v>
      </c>
      <c r="D16" s="278">
        <v>80577236536</v>
      </c>
      <c r="E16" s="278">
        <v>64023356129</v>
      </c>
      <c r="F16" s="278">
        <v>80577236536</v>
      </c>
      <c r="G16" s="278">
        <v>6000000000</v>
      </c>
      <c r="H16" s="278">
        <v>4500000000</v>
      </c>
      <c r="I16" s="278">
        <v>6500000000</v>
      </c>
      <c r="J16" s="278">
        <v>7000000000</v>
      </c>
      <c r="K16" s="278">
        <v>7000000000</v>
      </c>
      <c r="L16" s="278">
        <v>7000000000</v>
      </c>
      <c r="M16" s="278">
        <v>7000000000</v>
      </c>
      <c r="N16" s="278">
        <v>7000000000</v>
      </c>
      <c r="O16" s="278">
        <v>7000000000</v>
      </c>
      <c r="P16" s="278">
        <v>7000000000</v>
      </c>
      <c r="Q16" s="278">
        <v>7000000000</v>
      </c>
      <c r="R16" s="278">
        <v>7000000000</v>
      </c>
      <c r="S16" s="278">
        <v>80000000000</v>
      </c>
      <c r="T16" s="279"/>
      <c r="U16" s="280">
        <v>-7.1637668504814555E-3</v>
      </c>
      <c r="V16" s="111">
        <v>80577236536</v>
      </c>
      <c r="W16" s="281" t="s">
        <v>187</v>
      </c>
      <c r="X16" s="126">
        <v>0</v>
      </c>
      <c r="AB16" s="126"/>
    </row>
    <row r="17" spans="1:28" s="157" customFormat="1" ht="15.75" outlineLevel="1">
      <c r="A17" s="246">
        <v>6</v>
      </c>
      <c r="B17" s="282" t="s">
        <v>112</v>
      </c>
      <c r="C17" s="283" t="s">
        <v>113</v>
      </c>
      <c r="D17" s="265">
        <v>8141919944</v>
      </c>
      <c r="E17" s="265">
        <v>5823164953</v>
      </c>
      <c r="F17" s="265">
        <v>8141919944</v>
      </c>
      <c r="G17" s="265">
        <v>663000000</v>
      </c>
      <c r="H17" s="265">
        <v>497250000</v>
      </c>
      <c r="I17" s="265">
        <v>718250000</v>
      </c>
      <c r="J17" s="265">
        <v>773500000</v>
      </c>
      <c r="K17" s="265">
        <v>773500000</v>
      </c>
      <c r="L17" s="265">
        <v>773500000</v>
      </c>
      <c r="M17" s="265">
        <v>773500000</v>
      </c>
      <c r="N17" s="265">
        <v>773500000</v>
      </c>
      <c r="O17" s="265">
        <v>773500000</v>
      </c>
      <c r="P17" s="265">
        <v>773500000</v>
      </c>
      <c r="Q17" s="265">
        <v>773500000</v>
      </c>
      <c r="R17" s="265">
        <v>773500000</v>
      </c>
      <c r="S17" s="265">
        <v>8840000000</v>
      </c>
      <c r="T17" s="158"/>
      <c r="U17" s="266"/>
      <c r="W17" s="267"/>
      <c r="X17" s="126"/>
      <c r="AB17" s="126"/>
    </row>
    <row r="18" spans="1:28" s="157" customFormat="1" ht="15.75" outlineLevel="1">
      <c r="A18" s="246">
        <v>7</v>
      </c>
      <c r="B18" s="282"/>
      <c r="C18" s="283" t="s">
        <v>114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>
        <v>0</v>
      </c>
      <c r="J18" s="265">
        <v>0</v>
      </c>
      <c r="K18" s="265">
        <v>0</v>
      </c>
      <c r="L18" s="265">
        <v>0</v>
      </c>
      <c r="M18" s="265">
        <v>0</v>
      </c>
      <c r="N18" s="265">
        <v>0</v>
      </c>
      <c r="O18" s="265">
        <v>0</v>
      </c>
      <c r="P18" s="265">
        <v>0</v>
      </c>
      <c r="Q18" s="265">
        <v>0</v>
      </c>
      <c r="R18" s="265">
        <v>0</v>
      </c>
      <c r="S18" s="265">
        <v>0</v>
      </c>
      <c r="T18" s="158"/>
      <c r="U18" s="266"/>
      <c r="W18" s="267"/>
      <c r="X18" s="126">
        <v>0</v>
      </c>
      <c r="AB18" s="126"/>
    </row>
    <row r="19" spans="1:28" s="163" customFormat="1" ht="15.75">
      <c r="A19" s="246">
        <v>8</v>
      </c>
      <c r="B19" s="284" t="s">
        <v>115</v>
      </c>
      <c r="C19" s="285" t="s">
        <v>116</v>
      </c>
      <c r="D19" s="286">
        <v>1.0210550245168206</v>
      </c>
      <c r="E19" s="286">
        <v>0.85910747968812284</v>
      </c>
      <c r="F19" s="286">
        <v>0.78794113596827364</v>
      </c>
      <c r="G19" s="286">
        <v>0.80326124063698612</v>
      </c>
      <c r="H19" s="286">
        <v>0.80326124063698612</v>
      </c>
      <c r="I19" s="286">
        <v>0.80326124063698612</v>
      </c>
      <c r="J19" s="286">
        <v>0.80326124063698612</v>
      </c>
      <c r="K19" s="286">
        <v>0.80326124063698612</v>
      </c>
      <c r="L19" s="286">
        <v>0.80326124063698612</v>
      </c>
      <c r="M19" s="286">
        <v>0.80326124063698612</v>
      </c>
      <c r="N19" s="286">
        <v>0.80326124063698612</v>
      </c>
      <c r="O19" s="286">
        <v>0.80326124063698612</v>
      </c>
      <c r="P19" s="286">
        <v>0.80326124063698612</v>
      </c>
      <c r="Q19" s="286">
        <v>0.80326124063698612</v>
      </c>
      <c r="R19" s="286">
        <v>0.80326124063698612</v>
      </c>
      <c r="S19" s="286">
        <v>0.80326124063698612</v>
      </c>
      <c r="U19" s="287"/>
      <c r="W19" s="288"/>
      <c r="X19" s="126"/>
      <c r="AB19" s="126"/>
    </row>
    <row r="20" spans="1:28" ht="15.75">
      <c r="A20" s="246">
        <v>9</v>
      </c>
      <c r="B20" s="282" t="s">
        <v>117</v>
      </c>
      <c r="C20" s="277" t="s">
        <v>168</v>
      </c>
      <c r="D20" s="278">
        <v>630817585</v>
      </c>
      <c r="E20" s="278">
        <v>620417107</v>
      </c>
      <c r="F20" s="278">
        <v>284390496</v>
      </c>
      <c r="G20" s="278">
        <v>22645123.043478258</v>
      </c>
      <c r="H20" s="278">
        <v>16983842.282608695</v>
      </c>
      <c r="I20" s="278">
        <v>24532216.630434781</v>
      </c>
      <c r="J20" s="278">
        <v>26419310.217391305</v>
      </c>
      <c r="K20" s="278">
        <v>26419310.217391305</v>
      </c>
      <c r="L20" s="278">
        <v>26419310.217391305</v>
      </c>
      <c r="M20" s="278">
        <v>26419310.217391305</v>
      </c>
      <c r="N20" s="278">
        <v>26419310.217391305</v>
      </c>
      <c r="O20" s="278">
        <v>26419310.217391305</v>
      </c>
      <c r="P20" s="278">
        <v>26419310.217391305</v>
      </c>
      <c r="Q20" s="278">
        <v>26419310.217391305</v>
      </c>
      <c r="R20" s="278">
        <v>26419310.217391305</v>
      </c>
      <c r="S20" s="278">
        <v>301934973.9130435</v>
      </c>
      <c r="T20" s="279"/>
      <c r="U20" s="280">
        <v>6.1691505728248733E-2</v>
      </c>
      <c r="V20" s="111">
        <v>284390496</v>
      </c>
      <c r="W20" s="281"/>
      <c r="X20" s="126">
        <v>0</v>
      </c>
      <c r="AB20" s="126"/>
    </row>
    <row r="21" spans="1:28" ht="15.75">
      <c r="A21" s="246">
        <v>10</v>
      </c>
      <c r="B21" s="282" t="s">
        <v>119</v>
      </c>
      <c r="C21" s="277" t="s">
        <v>120</v>
      </c>
      <c r="D21" s="278">
        <v>326356700</v>
      </c>
      <c r="E21" s="278">
        <v>377182809</v>
      </c>
      <c r="F21" s="278">
        <v>452560080</v>
      </c>
      <c r="G21" s="278">
        <v>36467418.929457642</v>
      </c>
      <c r="H21" s="278">
        <v>27350564.19709323</v>
      </c>
      <c r="I21" s="278">
        <v>39506370.50691244</v>
      </c>
      <c r="J21" s="278">
        <v>42545322.084367245</v>
      </c>
      <c r="K21" s="278">
        <v>42545322.084367245</v>
      </c>
      <c r="L21" s="278">
        <v>42545322.084367245</v>
      </c>
      <c r="M21" s="278">
        <v>42545322.084367245</v>
      </c>
      <c r="N21" s="278">
        <v>42545322.084367245</v>
      </c>
      <c r="O21" s="278">
        <v>42545322.084367245</v>
      </c>
      <c r="P21" s="278">
        <v>42545322.084367245</v>
      </c>
      <c r="Q21" s="278">
        <v>42545322.084367245</v>
      </c>
      <c r="R21" s="278">
        <v>42545322.084367245</v>
      </c>
      <c r="S21" s="278">
        <v>486232252.39276862</v>
      </c>
      <c r="T21" s="279"/>
      <c r="U21" s="280">
        <v>7.4403761800573801E-2</v>
      </c>
      <c r="V21" s="111">
        <v>452560080</v>
      </c>
      <c r="W21" s="281"/>
      <c r="X21" s="126">
        <v>0</v>
      </c>
      <c r="AB21" s="126"/>
    </row>
    <row r="22" spans="1:28" ht="15.75">
      <c r="A22" s="246">
        <v>11</v>
      </c>
      <c r="B22" s="282" t="s">
        <v>121</v>
      </c>
      <c r="C22" s="277" t="s">
        <v>122</v>
      </c>
      <c r="D22" s="278">
        <v>5804078083.499999</v>
      </c>
      <c r="E22" s="278">
        <v>4630674981</v>
      </c>
      <c r="F22" s="278">
        <v>5064325483</v>
      </c>
      <c r="G22" s="278">
        <v>409878578.2352941</v>
      </c>
      <c r="H22" s="278">
        <v>417703402.2352941</v>
      </c>
      <c r="I22" s="278">
        <v>399417185.2352941</v>
      </c>
      <c r="J22" s="278">
        <v>425647304.2352941</v>
      </c>
      <c r="K22" s="278">
        <v>400784828.2352941</v>
      </c>
      <c r="L22" s="278">
        <v>419433922.2352941</v>
      </c>
      <c r="M22" s="278">
        <v>450962373.2352941</v>
      </c>
      <c r="N22" s="278">
        <v>462928846.2352941</v>
      </c>
      <c r="O22" s="278">
        <v>455903505.2352941</v>
      </c>
      <c r="P22" s="278">
        <v>404478555.2352941</v>
      </c>
      <c r="Q22" s="278">
        <v>419433922.2352941</v>
      </c>
      <c r="R22" s="278">
        <v>409079689.2352941</v>
      </c>
      <c r="S22" s="278">
        <v>5075652111.8235302</v>
      </c>
      <c r="T22" s="279"/>
      <c r="U22" s="280">
        <v>2.2365523032734738E-3</v>
      </c>
      <c r="V22" s="111">
        <v>5064325483</v>
      </c>
      <c r="W22" s="281"/>
      <c r="X22" s="126">
        <v>0</v>
      </c>
      <c r="AB22" s="126"/>
    </row>
    <row r="23" spans="1:28" s="126" customFormat="1" ht="15.75">
      <c r="A23" s="246">
        <v>12</v>
      </c>
      <c r="B23" s="274">
        <v>3.2</v>
      </c>
      <c r="C23" s="275" t="s">
        <v>123</v>
      </c>
      <c r="D23" s="271">
        <v>1478599034</v>
      </c>
      <c r="E23" s="271">
        <v>1294051828</v>
      </c>
      <c r="F23" s="271">
        <v>1386300000</v>
      </c>
      <c r="G23" s="271">
        <v>103967532.46753247</v>
      </c>
      <c r="H23" s="271">
        <v>77975649.350649357</v>
      </c>
      <c r="I23" s="271">
        <v>112631493.50649351</v>
      </c>
      <c r="J23" s="271">
        <v>121295454.54545455</v>
      </c>
      <c r="K23" s="271">
        <v>121295454.54545455</v>
      </c>
      <c r="L23" s="271">
        <v>121295454.54545455</v>
      </c>
      <c r="M23" s="271">
        <v>121295454.54545455</v>
      </c>
      <c r="N23" s="271">
        <v>121295454.54545455</v>
      </c>
      <c r="O23" s="271">
        <v>121295454.54545455</v>
      </c>
      <c r="P23" s="271">
        <v>121295454.54545455</v>
      </c>
      <c r="Q23" s="271">
        <v>121295454.54545455</v>
      </c>
      <c r="R23" s="271">
        <v>121295454.54545455</v>
      </c>
      <c r="S23" s="271">
        <v>1386233766.2337661</v>
      </c>
      <c r="T23" s="279"/>
      <c r="U23" s="272"/>
      <c r="V23" s="111">
        <v>1386300000</v>
      </c>
      <c r="W23" s="273"/>
      <c r="X23" s="126">
        <v>0</v>
      </c>
    </row>
    <row r="24" spans="1:28" ht="15.75" outlineLevel="1" collapsed="1">
      <c r="A24" s="246">
        <v>13</v>
      </c>
      <c r="B24" s="276"/>
      <c r="C24" s="277" t="s">
        <v>124</v>
      </c>
      <c r="D24" s="278">
        <v>1478599034</v>
      </c>
      <c r="E24" s="278">
        <v>1294051828</v>
      </c>
      <c r="F24" s="278">
        <v>1386300000</v>
      </c>
      <c r="G24" s="278">
        <v>103967532.46753247</v>
      </c>
      <c r="H24" s="278">
        <v>77975649.350649357</v>
      </c>
      <c r="I24" s="278">
        <v>112631493.50649351</v>
      </c>
      <c r="J24" s="278">
        <v>121295454.54545455</v>
      </c>
      <c r="K24" s="278">
        <v>121295454.54545455</v>
      </c>
      <c r="L24" s="278">
        <v>121295454.54545455</v>
      </c>
      <c r="M24" s="278">
        <v>121295454.54545455</v>
      </c>
      <c r="N24" s="278">
        <v>121295454.54545455</v>
      </c>
      <c r="O24" s="278">
        <v>121295454.54545455</v>
      </c>
      <c r="P24" s="278">
        <v>121295454.54545455</v>
      </c>
      <c r="Q24" s="278">
        <v>121295454.54545455</v>
      </c>
      <c r="R24" s="278">
        <v>121295454.54545455</v>
      </c>
      <c r="S24" s="278">
        <v>1386233766.2337661</v>
      </c>
      <c r="U24" s="280">
        <v>-4.7777368703686831E-5</v>
      </c>
      <c r="V24" s="111">
        <v>1386300000</v>
      </c>
      <c r="W24" s="281"/>
      <c r="X24" s="126">
        <v>0</v>
      </c>
      <c r="AB24" s="126"/>
    </row>
    <row r="25" spans="1:28" s="126" customFormat="1" ht="15.75">
      <c r="A25" s="246">
        <v>14</v>
      </c>
      <c r="B25" s="259">
        <v>4</v>
      </c>
      <c r="C25" s="260" t="s">
        <v>125</v>
      </c>
      <c r="D25" s="261">
        <v>-9901422669.5</v>
      </c>
      <c r="E25" s="261">
        <v>3577421231</v>
      </c>
      <c r="F25" s="261">
        <v>14335910908</v>
      </c>
      <c r="G25" s="261">
        <v>896591347.32423782</v>
      </c>
      <c r="H25" s="261">
        <v>562149041.93435478</v>
      </c>
      <c r="I25" s="261">
        <v>1015925234.1208649</v>
      </c>
      <c r="J25" s="261">
        <v>1098567608.9174929</v>
      </c>
      <c r="K25" s="261">
        <v>1123430084.9174929</v>
      </c>
      <c r="L25" s="261">
        <v>1104780990.9174929</v>
      </c>
      <c r="M25" s="261">
        <v>1073252539.9174929</v>
      </c>
      <c r="N25" s="261">
        <v>1061286066.9174929</v>
      </c>
      <c r="O25" s="261">
        <v>1068311407.9174929</v>
      </c>
      <c r="P25" s="261">
        <v>1119736357.9174929</v>
      </c>
      <c r="Q25" s="261">
        <v>1104780990.9174929</v>
      </c>
      <c r="R25" s="261">
        <v>1115135223.9174929</v>
      </c>
      <c r="S25" s="261">
        <v>12343946895.63689</v>
      </c>
      <c r="U25" s="262"/>
      <c r="V25" s="126">
        <v>14335910908</v>
      </c>
      <c r="W25" s="263"/>
      <c r="X25" s="126">
        <v>0</v>
      </c>
    </row>
    <row r="26" spans="1:28" s="163" customFormat="1" ht="15.75">
      <c r="A26" s="246">
        <v>15</v>
      </c>
      <c r="B26" s="289" t="s">
        <v>126</v>
      </c>
      <c r="C26" s="285" t="s">
        <v>127</v>
      </c>
      <c r="D26" s="286">
        <v>-0.12546840523676761</v>
      </c>
      <c r="E26" s="286">
        <v>4.8004189773410991E-2</v>
      </c>
      <c r="F26" s="290">
        <v>0.14018666327608251</v>
      </c>
      <c r="G26" s="286">
        <v>0.12003284633267571</v>
      </c>
      <c r="H26" s="286">
        <v>0.10034500818824066</v>
      </c>
      <c r="I26" s="286">
        <v>0.12554667137759176</v>
      </c>
      <c r="J26" s="286">
        <v>0.12606239720895324</v>
      </c>
      <c r="K26" s="286">
        <v>0.12891540625424858</v>
      </c>
      <c r="L26" s="286">
        <v>0.12677539277093489</v>
      </c>
      <c r="M26" s="286">
        <v>0.12315745239013169</v>
      </c>
      <c r="N26" s="286">
        <v>0.12178428039755612</v>
      </c>
      <c r="O26" s="286">
        <v>0.12259044955863582</v>
      </c>
      <c r="P26" s="286">
        <v>0.12849154514959224</v>
      </c>
      <c r="Q26" s="286">
        <v>0.12677539277093489</v>
      </c>
      <c r="R26" s="286">
        <v>0.12796355763456696</v>
      </c>
      <c r="S26" s="286">
        <v>0.12394267622182953</v>
      </c>
      <c r="U26" s="287"/>
      <c r="W26" s="288"/>
      <c r="X26" s="126">
        <v>0.14018666327608251</v>
      </c>
      <c r="AB26" s="126"/>
    </row>
    <row r="27" spans="1:28" s="126" customFormat="1" ht="15.75">
      <c r="A27" s="246">
        <v>16</v>
      </c>
      <c r="B27" s="274">
        <v>5</v>
      </c>
      <c r="C27" s="275" t="s">
        <v>128</v>
      </c>
      <c r="D27" s="271">
        <v>2094157795.5</v>
      </c>
      <c r="E27" s="271">
        <v>2385196776</v>
      </c>
      <c r="F27" s="271">
        <v>3782814255</v>
      </c>
      <c r="G27" s="271">
        <v>426116455.18623471</v>
      </c>
      <c r="H27" s="271">
        <v>434809263.28623474</v>
      </c>
      <c r="I27" s="271">
        <v>401762747.75290143</v>
      </c>
      <c r="J27" s="271">
        <v>417065576.91956806</v>
      </c>
      <c r="K27" s="271">
        <v>400416986.11956811</v>
      </c>
      <c r="L27" s="271">
        <v>426097202.3862347</v>
      </c>
      <c r="M27" s="271">
        <v>407616075.25290143</v>
      </c>
      <c r="N27" s="271">
        <v>413182246.83623469</v>
      </c>
      <c r="O27" s="271">
        <v>408602366.95290142</v>
      </c>
      <c r="P27" s="271">
        <v>401274900.28623474</v>
      </c>
      <c r="Q27" s="271">
        <v>403398306.58623469</v>
      </c>
      <c r="R27" s="271">
        <v>412249242.38623476</v>
      </c>
      <c r="S27" s="271">
        <v>4952591369.9514828</v>
      </c>
      <c r="T27" s="291"/>
      <c r="U27" s="272"/>
      <c r="W27" s="273"/>
    </row>
    <row r="28" spans="1:28" ht="63.75" collapsed="1">
      <c r="A28" s="246">
        <v>17</v>
      </c>
      <c r="B28" s="276">
        <v>5.0999999999999996</v>
      </c>
      <c r="C28" s="268" t="s">
        <v>129</v>
      </c>
      <c r="D28" s="278">
        <v>315172859.5</v>
      </c>
      <c r="E28" s="278">
        <v>220439144</v>
      </c>
      <c r="F28" s="278">
        <v>1005626325</v>
      </c>
      <c r="G28" s="278">
        <v>169136919.66666666</v>
      </c>
      <c r="H28" s="278">
        <v>189506458.66666666</v>
      </c>
      <c r="I28" s="278">
        <v>161747201.83333331</v>
      </c>
      <c r="J28" s="278">
        <v>173887064.99999997</v>
      </c>
      <c r="K28" s="278">
        <v>166825770.49999997</v>
      </c>
      <c r="L28" s="278">
        <v>172211366.66666666</v>
      </c>
      <c r="M28" s="278">
        <v>173314952.33333331</v>
      </c>
      <c r="N28" s="278">
        <v>174535725.66666666</v>
      </c>
      <c r="O28" s="278">
        <v>177780237.33333331</v>
      </c>
      <c r="P28" s="278">
        <v>165418199.66666666</v>
      </c>
      <c r="Q28" s="278">
        <v>173253200.66666666</v>
      </c>
      <c r="R28" s="278">
        <v>169042245.66666666</v>
      </c>
      <c r="S28" s="278">
        <v>2066659343.6666667</v>
      </c>
      <c r="T28" s="279"/>
      <c r="U28" s="280">
        <v>1.0550967017163824</v>
      </c>
      <c r="W28" s="281" t="s">
        <v>188</v>
      </c>
      <c r="X28" s="126"/>
      <c r="AB28" s="126"/>
    </row>
    <row r="29" spans="1:28" ht="15.75">
      <c r="A29" s="246">
        <v>18</v>
      </c>
      <c r="B29" s="276">
        <v>5.2</v>
      </c>
      <c r="C29" s="268" t="s">
        <v>130</v>
      </c>
      <c r="D29" s="278">
        <v>1118310000</v>
      </c>
      <c r="E29" s="278">
        <v>1557000000</v>
      </c>
      <c r="F29" s="278">
        <v>1800000000</v>
      </c>
      <c r="G29" s="278">
        <v>150000000</v>
      </c>
      <c r="H29" s="278">
        <v>150000000</v>
      </c>
      <c r="I29" s="278">
        <v>150000000</v>
      </c>
      <c r="J29" s="278">
        <v>150000000</v>
      </c>
      <c r="K29" s="278">
        <v>150000000</v>
      </c>
      <c r="L29" s="278">
        <v>150000000</v>
      </c>
      <c r="M29" s="278">
        <v>150000000</v>
      </c>
      <c r="N29" s="278">
        <v>150000000</v>
      </c>
      <c r="O29" s="278">
        <v>150000000</v>
      </c>
      <c r="P29" s="278">
        <v>150000000</v>
      </c>
      <c r="Q29" s="278">
        <v>150000000</v>
      </c>
      <c r="R29" s="278">
        <v>150000000</v>
      </c>
      <c r="S29" s="278">
        <v>1800000000</v>
      </c>
      <c r="T29" s="279"/>
      <c r="U29" s="280">
        <v>0</v>
      </c>
      <c r="W29" s="281"/>
      <c r="X29" s="126"/>
      <c r="AB29" s="126"/>
    </row>
    <row r="30" spans="1:28" ht="25.5">
      <c r="A30" s="246">
        <v>19</v>
      </c>
      <c r="B30" s="276">
        <v>5.3</v>
      </c>
      <c r="C30" s="268" t="s">
        <v>131</v>
      </c>
      <c r="D30" s="278">
        <v>660674936</v>
      </c>
      <c r="E30" s="278">
        <v>607757632</v>
      </c>
      <c r="F30" s="278">
        <v>977187930</v>
      </c>
      <c r="G30" s="278">
        <v>106979535.5195681</v>
      </c>
      <c r="H30" s="278">
        <v>95302804.61956811</v>
      </c>
      <c r="I30" s="278">
        <v>90015545.919568092</v>
      </c>
      <c r="J30" s="278">
        <v>93178511.919568092</v>
      </c>
      <c r="K30" s="278">
        <v>83591215.619568095</v>
      </c>
      <c r="L30" s="278">
        <v>103885835.71956809</v>
      </c>
      <c r="M30" s="278">
        <v>84301122.919568092</v>
      </c>
      <c r="N30" s="278">
        <v>88646521.169568092</v>
      </c>
      <c r="O30" s="278">
        <v>80822129.619568095</v>
      </c>
      <c r="P30" s="278">
        <v>85856700.619568095</v>
      </c>
      <c r="Q30" s="278">
        <v>80145105.919568092</v>
      </c>
      <c r="R30" s="278">
        <v>93206996.719568104</v>
      </c>
      <c r="S30" s="278">
        <v>1085932026.284817</v>
      </c>
      <c r="T30" s="279"/>
      <c r="U30" s="280">
        <v>0.1112826846774673</v>
      </c>
      <c r="W30" s="281" t="s">
        <v>189</v>
      </c>
      <c r="X30" s="126"/>
      <c r="AB30" s="126"/>
    </row>
    <row r="31" spans="1:28" s="126" customFormat="1" ht="15.75">
      <c r="A31" s="246">
        <v>20</v>
      </c>
      <c r="B31" s="274">
        <v>6</v>
      </c>
      <c r="C31" s="270" t="s">
        <v>174</v>
      </c>
      <c r="D31" s="271">
        <v>1036408270</v>
      </c>
      <c r="E31" s="271">
        <v>1382050356</v>
      </c>
      <c r="F31" s="271">
        <v>2130924335</v>
      </c>
      <c r="G31" s="271">
        <v>105430110.40905017</v>
      </c>
      <c r="H31" s="271">
        <v>99404465.247759849</v>
      </c>
      <c r="I31" s="271">
        <v>107438658.79614694</v>
      </c>
      <c r="J31" s="271">
        <v>109447207.18324372</v>
      </c>
      <c r="K31" s="271">
        <v>109447207.18324372</v>
      </c>
      <c r="L31" s="271">
        <v>109447207.18324372</v>
      </c>
      <c r="M31" s="271">
        <v>109447207.18324372</v>
      </c>
      <c r="N31" s="271">
        <v>109447207.18324372</v>
      </c>
      <c r="O31" s="271">
        <v>109447207.18324372</v>
      </c>
      <c r="P31" s="271">
        <v>109447207.18324372</v>
      </c>
      <c r="Q31" s="271">
        <v>109447207.18324372</v>
      </c>
      <c r="R31" s="271">
        <v>109447207.18324372</v>
      </c>
      <c r="S31" s="271">
        <v>1297298099.1021507</v>
      </c>
      <c r="U31" s="272"/>
      <c r="V31" s="126">
        <v>2130924335</v>
      </c>
      <c r="W31" s="273"/>
      <c r="X31" s="126">
        <v>0</v>
      </c>
    </row>
    <row r="32" spans="1:28" s="126" customFormat="1" ht="15.75" collapsed="1">
      <c r="A32" s="246">
        <v>21</v>
      </c>
      <c r="B32" s="259">
        <v>7</v>
      </c>
      <c r="C32" s="260" t="s">
        <v>133</v>
      </c>
      <c r="D32" s="261">
        <v>-13031988735</v>
      </c>
      <c r="E32" s="261">
        <v>-189825901</v>
      </c>
      <c r="F32" s="261">
        <v>8037560262</v>
      </c>
      <c r="G32" s="261">
        <v>365044781.72895294</v>
      </c>
      <c r="H32" s="261">
        <v>27935313.400360197</v>
      </c>
      <c r="I32" s="261">
        <v>506723827.5718165</v>
      </c>
      <c r="J32" s="261">
        <v>572054824.81468105</v>
      </c>
      <c r="K32" s="261">
        <v>613565891.61468101</v>
      </c>
      <c r="L32" s="261">
        <v>569236581.34801435</v>
      </c>
      <c r="M32" s="261">
        <v>556189257.48134768</v>
      </c>
      <c r="N32" s="261">
        <v>538656612.89801443</v>
      </c>
      <c r="O32" s="261">
        <v>550261833.78134775</v>
      </c>
      <c r="P32" s="261">
        <v>609014250.44801438</v>
      </c>
      <c r="Q32" s="261">
        <v>591935477.14801443</v>
      </c>
      <c r="R32" s="261">
        <v>593438774.34801435</v>
      </c>
      <c r="S32" s="261">
        <v>6094057426.5832577</v>
      </c>
      <c r="U32" s="262"/>
      <c r="V32" s="126">
        <v>8037560262</v>
      </c>
      <c r="W32" s="263"/>
      <c r="X32" s="126">
        <v>0</v>
      </c>
    </row>
    <row r="33" spans="1:28" s="163" customFormat="1" ht="15.75">
      <c r="A33" s="246">
        <v>22</v>
      </c>
      <c r="B33" s="289" t="s">
        <v>134</v>
      </c>
      <c r="C33" s="285" t="s">
        <v>135</v>
      </c>
      <c r="D33" s="286">
        <v>-0.16513817238412465</v>
      </c>
      <c r="E33" s="286">
        <v>-2.5472087258132359E-3</v>
      </c>
      <c r="F33" s="286">
        <v>7.8596941711003523E-2</v>
      </c>
      <c r="G33" s="286">
        <v>4.8871054043276095E-2</v>
      </c>
      <c r="H33" s="286">
        <v>4.9865232221236351E-3</v>
      </c>
      <c r="I33" s="286">
        <v>6.2620247753178399E-2</v>
      </c>
      <c r="J33" s="286">
        <v>6.5644209756144919E-2</v>
      </c>
      <c r="K33" s="286">
        <v>7.0407671330135327E-2</v>
      </c>
      <c r="L33" s="286">
        <v>6.532081179279467E-2</v>
      </c>
      <c r="M33" s="286">
        <v>6.3823610427633071E-2</v>
      </c>
      <c r="N33" s="286">
        <v>6.1811711307682267E-2</v>
      </c>
      <c r="O33" s="286">
        <v>6.3143429039769786E-2</v>
      </c>
      <c r="P33" s="286">
        <v>6.9885363197210892E-2</v>
      </c>
      <c r="Q33" s="286">
        <v>6.7925546535851491E-2</v>
      </c>
      <c r="R33" s="286">
        <v>6.8098052303554077E-2</v>
      </c>
      <c r="S33" s="286">
        <v>6.1189001612378835E-2</v>
      </c>
      <c r="U33" s="287"/>
      <c r="W33" s="273"/>
      <c r="X33" s="126">
        <v>7.8596941711003523E-2</v>
      </c>
      <c r="AB33" s="126"/>
    </row>
    <row r="34" spans="1:28" s="126" customFormat="1" ht="15.75">
      <c r="A34" s="246">
        <v>23</v>
      </c>
      <c r="B34" s="274">
        <v>8</v>
      </c>
      <c r="C34" s="270" t="s">
        <v>136</v>
      </c>
      <c r="D34" s="271">
        <v>0</v>
      </c>
      <c r="E34" s="271">
        <v>0</v>
      </c>
      <c r="F34" s="271">
        <v>0</v>
      </c>
      <c r="G34" s="271">
        <v>0</v>
      </c>
      <c r="H34" s="271">
        <v>0</v>
      </c>
      <c r="I34" s="271">
        <v>0</v>
      </c>
      <c r="J34" s="271">
        <v>0</v>
      </c>
      <c r="K34" s="271">
        <v>0</v>
      </c>
      <c r="L34" s="271">
        <v>0</v>
      </c>
      <c r="M34" s="271">
        <v>0</v>
      </c>
      <c r="N34" s="271">
        <v>0</v>
      </c>
      <c r="O34" s="271">
        <v>0</v>
      </c>
      <c r="P34" s="271">
        <v>0</v>
      </c>
      <c r="Q34" s="271">
        <v>0</v>
      </c>
      <c r="R34" s="271">
        <v>0</v>
      </c>
      <c r="S34" s="271">
        <v>0</v>
      </c>
      <c r="U34" s="272"/>
      <c r="X34" s="126">
        <v>0</v>
      </c>
    </row>
    <row r="35" spans="1:28" ht="15.75" outlineLevel="1" collapsed="1">
      <c r="A35" s="246">
        <v>24</v>
      </c>
      <c r="B35" s="276">
        <v>8.1</v>
      </c>
      <c r="C35" s="268" t="s">
        <v>137</v>
      </c>
      <c r="D35" s="278">
        <v>0</v>
      </c>
      <c r="E35" s="278">
        <v>0</v>
      </c>
      <c r="F35" s="278">
        <v>0</v>
      </c>
      <c r="G35" s="278">
        <v>0</v>
      </c>
      <c r="H35" s="278">
        <v>0</v>
      </c>
      <c r="I35" s="278">
        <v>0</v>
      </c>
      <c r="J35" s="278">
        <v>0</v>
      </c>
      <c r="K35" s="278">
        <v>0</v>
      </c>
      <c r="L35" s="278">
        <v>0</v>
      </c>
      <c r="M35" s="278">
        <v>0</v>
      </c>
      <c r="N35" s="278">
        <v>0</v>
      </c>
      <c r="O35" s="278">
        <v>0</v>
      </c>
      <c r="P35" s="278">
        <v>0</v>
      </c>
      <c r="Q35" s="278">
        <v>0</v>
      </c>
      <c r="R35" s="278">
        <v>0</v>
      </c>
      <c r="S35" s="278">
        <v>0</v>
      </c>
      <c r="U35" s="280"/>
      <c r="W35" s="281"/>
      <c r="X35" s="126">
        <v>0</v>
      </c>
      <c r="AB35" s="126"/>
    </row>
    <row r="36" spans="1:28" ht="15.75" outlineLevel="1">
      <c r="A36" s="246">
        <v>25</v>
      </c>
      <c r="B36" s="276">
        <v>8.1999999999999993</v>
      </c>
      <c r="C36" s="268" t="s">
        <v>138</v>
      </c>
      <c r="D36" s="278">
        <v>0</v>
      </c>
      <c r="E36" s="278">
        <v>0</v>
      </c>
      <c r="F36" s="278">
        <v>0</v>
      </c>
      <c r="G36" s="278">
        <v>0</v>
      </c>
      <c r="H36" s="278">
        <v>0</v>
      </c>
      <c r="I36" s="278">
        <v>0</v>
      </c>
      <c r="J36" s="278">
        <v>0</v>
      </c>
      <c r="K36" s="278">
        <v>0</v>
      </c>
      <c r="L36" s="278">
        <v>0</v>
      </c>
      <c r="M36" s="278">
        <v>0</v>
      </c>
      <c r="N36" s="278">
        <v>0</v>
      </c>
      <c r="O36" s="278">
        <v>0</v>
      </c>
      <c r="P36" s="278">
        <v>0</v>
      </c>
      <c r="Q36" s="278">
        <v>0</v>
      </c>
      <c r="R36" s="278">
        <v>0</v>
      </c>
      <c r="S36" s="278">
        <v>0</v>
      </c>
      <c r="U36" s="280"/>
      <c r="W36" s="281"/>
      <c r="X36" s="126">
        <v>0</v>
      </c>
      <c r="AB36" s="126"/>
    </row>
    <row r="37" spans="1:28" ht="15.75" outlineLevel="1">
      <c r="A37" s="246">
        <v>26</v>
      </c>
      <c r="B37" s="276">
        <v>83</v>
      </c>
      <c r="C37" s="268" t="s">
        <v>139</v>
      </c>
      <c r="D37" s="278">
        <v>0</v>
      </c>
      <c r="E37" s="278">
        <v>0</v>
      </c>
      <c r="F37" s="278">
        <v>0</v>
      </c>
      <c r="G37" s="278">
        <v>0</v>
      </c>
      <c r="H37" s="278">
        <v>0</v>
      </c>
      <c r="I37" s="278">
        <v>0</v>
      </c>
      <c r="J37" s="278">
        <v>0</v>
      </c>
      <c r="K37" s="278">
        <v>0</v>
      </c>
      <c r="L37" s="278">
        <v>0</v>
      </c>
      <c r="M37" s="278">
        <v>0</v>
      </c>
      <c r="N37" s="278">
        <v>0</v>
      </c>
      <c r="O37" s="278">
        <v>0</v>
      </c>
      <c r="P37" s="278">
        <v>0</v>
      </c>
      <c r="Q37" s="278">
        <v>0</v>
      </c>
      <c r="R37" s="278">
        <v>0</v>
      </c>
      <c r="S37" s="278">
        <v>0</v>
      </c>
      <c r="U37" s="280"/>
      <c r="W37" s="281"/>
      <c r="X37" s="126">
        <v>0</v>
      </c>
      <c r="AB37" s="126"/>
    </row>
    <row r="38" spans="1:28" s="126" customFormat="1" ht="15.75">
      <c r="A38" s="246">
        <v>27</v>
      </c>
      <c r="B38" s="274">
        <v>9</v>
      </c>
      <c r="C38" s="270" t="s">
        <v>140</v>
      </c>
      <c r="D38" s="271">
        <v>1414416772</v>
      </c>
      <c r="E38" s="271">
        <v>2036034770</v>
      </c>
      <c r="F38" s="271">
        <v>4197280868</v>
      </c>
      <c r="G38" s="271">
        <v>378592319.54256791</v>
      </c>
      <c r="H38" s="271">
        <v>376999091.34534574</v>
      </c>
      <c r="I38" s="271">
        <v>352798410.34534574</v>
      </c>
      <c r="J38" s="271">
        <v>354484508.34534574</v>
      </c>
      <c r="K38" s="271">
        <v>358145654.34534574</v>
      </c>
      <c r="L38" s="271">
        <v>353846826.34534574</v>
      </c>
      <c r="M38" s="271">
        <v>353706738.34534574</v>
      </c>
      <c r="N38" s="271">
        <v>352062254.34534574</v>
      </c>
      <c r="O38" s="271">
        <v>352427137.34534574</v>
      </c>
      <c r="P38" s="271">
        <v>349640791.34534574</v>
      </c>
      <c r="Q38" s="271">
        <v>351542637.34534574</v>
      </c>
      <c r="R38" s="271">
        <v>358591714.34534574</v>
      </c>
      <c r="S38" s="271">
        <v>4292838083.3413696</v>
      </c>
      <c r="T38" s="279"/>
      <c r="U38" s="272"/>
      <c r="V38" s="126">
        <v>4197280868</v>
      </c>
      <c r="W38" s="273"/>
      <c r="X38" s="126">
        <v>0</v>
      </c>
    </row>
    <row r="39" spans="1:28" ht="15.75" collapsed="1">
      <c r="A39" s="246">
        <v>24</v>
      </c>
      <c r="B39" s="276">
        <v>9.1</v>
      </c>
      <c r="C39" s="277" t="s">
        <v>137</v>
      </c>
      <c r="D39" s="278">
        <v>1124385437</v>
      </c>
      <c r="E39" s="278">
        <v>1412576558</v>
      </c>
      <c r="F39" s="278">
        <v>3223671987</v>
      </c>
      <c r="G39" s="278">
        <v>277171835.79245287</v>
      </c>
      <c r="H39" s="278">
        <v>279746758.79245287</v>
      </c>
      <c r="I39" s="278">
        <v>274363989.79245287</v>
      </c>
      <c r="J39" s="278">
        <v>277216758.79245287</v>
      </c>
      <c r="K39" s="278">
        <v>276632912.79245287</v>
      </c>
      <c r="L39" s="278">
        <v>277216758.79245287</v>
      </c>
      <c r="M39" s="278">
        <v>276265835.79245287</v>
      </c>
      <c r="N39" s="278">
        <v>276265835.79245287</v>
      </c>
      <c r="O39" s="278">
        <v>277628758.79245287</v>
      </c>
      <c r="P39" s="278">
        <v>275314912.79245287</v>
      </c>
      <c r="Q39" s="278">
        <v>277216758.79245287</v>
      </c>
      <c r="R39" s="278">
        <v>276265835.79245287</v>
      </c>
      <c r="S39" s="278">
        <v>3321306952.5094342</v>
      </c>
      <c r="T39" s="279"/>
      <c r="U39" s="280">
        <v>3.0286879652509206E-2</v>
      </c>
      <c r="V39" s="111">
        <v>3223671987</v>
      </c>
      <c r="W39" s="281"/>
      <c r="X39" s="126">
        <v>0</v>
      </c>
      <c r="AB39" s="126"/>
    </row>
    <row r="40" spans="1:28" ht="15.75">
      <c r="A40" s="246">
        <v>29</v>
      </c>
      <c r="B40" s="276">
        <v>9.1999999999999993</v>
      </c>
      <c r="C40" s="277" t="s">
        <v>142</v>
      </c>
      <c r="D40" s="278">
        <v>290031335</v>
      </c>
      <c r="E40" s="278">
        <v>609710270</v>
      </c>
      <c r="F40" s="278">
        <v>882287894</v>
      </c>
      <c r="G40" s="278">
        <v>96092575.416781753</v>
      </c>
      <c r="H40" s="278">
        <v>91924424.219559535</v>
      </c>
      <c r="I40" s="278">
        <v>73106512.219559535</v>
      </c>
      <c r="J40" s="278">
        <v>71939841.219559535</v>
      </c>
      <c r="K40" s="278">
        <v>76184833.219559535</v>
      </c>
      <c r="L40" s="278">
        <v>71302159.219559535</v>
      </c>
      <c r="M40" s="278">
        <v>72112994.219559535</v>
      </c>
      <c r="N40" s="278">
        <v>70468510.219559535</v>
      </c>
      <c r="O40" s="278">
        <v>69470470.219559535</v>
      </c>
      <c r="P40" s="278">
        <v>68997970.219559535</v>
      </c>
      <c r="Q40" s="278">
        <v>68997970.219559535</v>
      </c>
      <c r="R40" s="278">
        <v>76997970.219559535</v>
      </c>
      <c r="S40" s="278">
        <v>907596230.83193672</v>
      </c>
      <c r="T40" s="279"/>
      <c r="U40" s="280">
        <v>2.8684896397248669E-2</v>
      </c>
      <c r="V40" s="111">
        <v>882287894</v>
      </c>
      <c r="W40" s="281"/>
      <c r="X40" s="126">
        <v>0</v>
      </c>
      <c r="AB40" s="126"/>
    </row>
    <row r="41" spans="1:28" ht="15.75">
      <c r="A41" s="246">
        <v>26</v>
      </c>
      <c r="B41" s="276">
        <v>9.3000000000000007</v>
      </c>
      <c r="C41" s="277" t="s">
        <v>139</v>
      </c>
      <c r="D41" s="278">
        <v>0</v>
      </c>
      <c r="E41" s="278">
        <v>13747942</v>
      </c>
      <c r="F41" s="278">
        <v>91320987</v>
      </c>
      <c r="G41" s="278">
        <v>5327908.3333333349</v>
      </c>
      <c r="H41" s="278">
        <v>5327908.3333333349</v>
      </c>
      <c r="I41" s="278">
        <v>5327908.3333333349</v>
      </c>
      <c r="J41" s="278">
        <v>5327908.3333333349</v>
      </c>
      <c r="K41" s="278">
        <v>5327908.3333333349</v>
      </c>
      <c r="L41" s="278">
        <v>5327908.3333333349</v>
      </c>
      <c r="M41" s="278">
        <v>5327908.3333333349</v>
      </c>
      <c r="N41" s="278">
        <v>5327908.3333333349</v>
      </c>
      <c r="O41" s="278">
        <v>5327908.3333333349</v>
      </c>
      <c r="P41" s="278">
        <v>5327908.3333333349</v>
      </c>
      <c r="Q41" s="278">
        <v>5327908.3333333349</v>
      </c>
      <c r="R41" s="278">
        <v>5327908.3333333349</v>
      </c>
      <c r="S41" s="278">
        <v>63934900.000000022</v>
      </c>
      <c r="T41" s="279"/>
      <c r="U41" s="280">
        <v>-0.299888206420721</v>
      </c>
      <c r="V41" s="111">
        <v>91320987</v>
      </c>
      <c r="W41" s="281"/>
      <c r="X41" s="126">
        <v>0</v>
      </c>
      <c r="AB41" s="126"/>
    </row>
    <row r="42" spans="1:28" s="126" customFormat="1" ht="15.75">
      <c r="A42" s="246">
        <v>31</v>
      </c>
      <c r="B42" s="274">
        <v>10</v>
      </c>
      <c r="C42" s="275" t="s">
        <v>144</v>
      </c>
      <c r="D42" s="271">
        <v>114814093</v>
      </c>
      <c r="E42" s="271">
        <v>-59489094</v>
      </c>
      <c r="F42" s="271">
        <v>364850046</v>
      </c>
      <c r="G42" s="271">
        <v>0</v>
      </c>
      <c r="H42" s="271">
        <v>0</v>
      </c>
      <c r="I42" s="271">
        <v>0</v>
      </c>
      <c r="J42" s="271">
        <v>0</v>
      </c>
      <c r="K42" s="271">
        <v>0</v>
      </c>
      <c r="L42" s="271">
        <v>0</v>
      </c>
      <c r="M42" s="271">
        <v>0</v>
      </c>
      <c r="N42" s="271">
        <v>0</v>
      </c>
      <c r="O42" s="271">
        <v>0</v>
      </c>
      <c r="P42" s="271">
        <v>0</v>
      </c>
      <c r="Q42" s="271">
        <v>0</v>
      </c>
      <c r="R42" s="271">
        <v>0</v>
      </c>
      <c r="S42" s="271">
        <v>0</v>
      </c>
      <c r="U42" s="272"/>
      <c r="V42" s="126">
        <v>364850046</v>
      </c>
      <c r="W42" s="273"/>
      <c r="X42" s="126">
        <v>0</v>
      </c>
    </row>
    <row r="43" spans="1:28" s="126" customFormat="1" ht="25.5" collapsed="1">
      <c r="A43" s="246">
        <v>32</v>
      </c>
      <c r="B43" s="259">
        <v>11</v>
      </c>
      <c r="C43" s="260" t="s">
        <v>145</v>
      </c>
      <c r="D43" s="261">
        <v>-14331591414</v>
      </c>
      <c r="E43" s="261">
        <v>-2285349765</v>
      </c>
      <c r="F43" s="261">
        <v>4205129440</v>
      </c>
      <c r="G43" s="261">
        <v>-13547537.813614964</v>
      </c>
      <c r="H43" s="261">
        <v>-349063777.94498551</v>
      </c>
      <c r="I43" s="261">
        <v>153925417.22647077</v>
      </c>
      <c r="J43" s="261">
        <v>217570316.46933532</v>
      </c>
      <c r="K43" s="261">
        <v>255420237.26933527</v>
      </c>
      <c r="L43" s="261">
        <v>215389755.00266862</v>
      </c>
      <c r="M43" s="261">
        <v>202482519.13600194</v>
      </c>
      <c r="N43" s="261">
        <v>186594358.55266869</v>
      </c>
      <c r="O43" s="261">
        <v>197834696.43600202</v>
      </c>
      <c r="P43" s="261">
        <v>259373459.10266864</v>
      </c>
      <c r="Q43" s="261">
        <v>240392839.80266869</v>
      </c>
      <c r="R43" s="261">
        <v>234847060.00266862</v>
      </c>
      <c r="S43" s="261">
        <v>1801219343.2418883</v>
      </c>
      <c r="U43" s="292"/>
      <c r="W43" s="263"/>
      <c r="X43" s="126">
        <v>4205129440</v>
      </c>
    </row>
    <row r="44" spans="1:28" s="126" customFormat="1" ht="15.75">
      <c r="A44" s="246">
        <v>33</v>
      </c>
      <c r="B44" s="274">
        <v>12</v>
      </c>
      <c r="C44" s="275" t="s">
        <v>146</v>
      </c>
      <c r="D44" s="271">
        <v>4823037</v>
      </c>
      <c r="E44" s="271">
        <v>438643</v>
      </c>
      <c r="F44" s="271">
        <v>0</v>
      </c>
      <c r="G44" s="271">
        <v>60000</v>
      </c>
      <c r="H44" s="271">
        <v>60000</v>
      </c>
      <c r="I44" s="271">
        <v>60000</v>
      </c>
      <c r="J44" s="271">
        <v>60000</v>
      </c>
      <c r="K44" s="271">
        <v>60000</v>
      </c>
      <c r="L44" s="271">
        <v>60000</v>
      </c>
      <c r="M44" s="271">
        <v>60000</v>
      </c>
      <c r="N44" s="271">
        <v>60000</v>
      </c>
      <c r="O44" s="271">
        <v>60000</v>
      </c>
      <c r="P44" s="271">
        <v>60000</v>
      </c>
      <c r="Q44" s="271">
        <v>60000</v>
      </c>
      <c r="R44" s="271">
        <v>60000</v>
      </c>
      <c r="S44" s="271">
        <v>720000</v>
      </c>
      <c r="U44" s="272"/>
      <c r="W44" s="273"/>
      <c r="X44" s="126">
        <v>0</v>
      </c>
    </row>
    <row r="45" spans="1:28" s="126" customFormat="1" ht="15.75">
      <c r="A45" s="246">
        <v>34</v>
      </c>
      <c r="B45" s="274">
        <v>13</v>
      </c>
      <c r="C45" s="275" t="s">
        <v>147</v>
      </c>
      <c r="D45" s="271">
        <v>0</v>
      </c>
      <c r="E45" s="271">
        <v>0</v>
      </c>
      <c r="F45" s="271">
        <v>0</v>
      </c>
      <c r="G45" s="271">
        <v>0</v>
      </c>
      <c r="H45" s="271">
        <v>0</v>
      </c>
      <c r="I45" s="271">
        <v>0</v>
      </c>
      <c r="J45" s="271">
        <v>0</v>
      </c>
      <c r="K45" s="271">
        <v>0</v>
      </c>
      <c r="L45" s="271">
        <v>0</v>
      </c>
      <c r="M45" s="271">
        <v>0</v>
      </c>
      <c r="N45" s="271">
        <v>0</v>
      </c>
      <c r="O45" s="271">
        <v>0</v>
      </c>
      <c r="P45" s="271">
        <v>0</v>
      </c>
      <c r="Q45" s="271">
        <v>0</v>
      </c>
      <c r="R45" s="271">
        <v>0</v>
      </c>
      <c r="S45" s="271">
        <v>0</v>
      </c>
      <c r="U45" s="272"/>
      <c r="W45" s="273"/>
      <c r="X45" s="126">
        <v>0</v>
      </c>
    </row>
    <row r="46" spans="1:28" s="157" customFormat="1" ht="15.75">
      <c r="A46" s="246">
        <v>35</v>
      </c>
      <c r="B46" s="282">
        <v>13.1</v>
      </c>
      <c r="C46" s="283" t="s">
        <v>148</v>
      </c>
      <c r="D46" s="265">
        <v>0</v>
      </c>
      <c r="E46" s="265">
        <v>0</v>
      </c>
      <c r="F46" s="265">
        <v>0</v>
      </c>
      <c r="G46" s="265">
        <v>0</v>
      </c>
      <c r="H46" s="265">
        <v>0</v>
      </c>
      <c r="I46" s="265">
        <v>0</v>
      </c>
      <c r="J46" s="265">
        <v>0</v>
      </c>
      <c r="K46" s="265">
        <v>0</v>
      </c>
      <c r="L46" s="265">
        <v>0</v>
      </c>
      <c r="M46" s="265">
        <v>0</v>
      </c>
      <c r="N46" s="265">
        <v>0</v>
      </c>
      <c r="O46" s="265">
        <v>0</v>
      </c>
      <c r="P46" s="265">
        <v>0</v>
      </c>
      <c r="Q46" s="265">
        <v>0</v>
      </c>
      <c r="R46" s="265">
        <v>0</v>
      </c>
      <c r="S46" s="265">
        <v>0</v>
      </c>
      <c r="U46" s="266"/>
      <c r="W46" s="267"/>
      <c r="X46" s="126">
        <v>0</v>
      </c>
      <c r="AB46" s="126"/>
    </row>
    <row r="47" spans="1:28" s="126" customFormat="1" ht="15.75" collapsed="1">
      <c r="A47" s="246">
        <v>36</v>
      </c>
      <c r="B47" s="259">
        <v>14</v>
      </c>
      <c r="C47" s="260" t="s">
        <v>149</v>
      </c>
      <c r="D47" s="261">
        <v>-14326768377</v>
      </c>
      <c r="E47" s="261">
        <v>-2284911122</v>
      </c>
      <c r="F47" s="261">
        <v>4205129440</v>
      </c>
      <c r="G47" s="261">
        <v>-13487537.813614964</v>
      </c>
      <c r="H47" s="261">
        <v>-349003777.94498551</v>
      </c>
      <c r="I47" s="261">
        <v>153985417.22647077</v>
      </c>
      <c r="J47" s="261">
        <v>217630316.46933532</v>
      </c>
      <c r="K47" s="261">
        <v>255480237.26933527</v>
      </c>
      <c r="L47" s="261">
        <v>215449755.00266862</v>
      </c>
      <c r="M47" s="261">
        <v>202542519.13600194</v>
      </c>
      <c r="N47" s="261">
        <v>186654358.55266869</v>
      </c>
      <c r="O47" s="261">
        <v>197894696.43600202</v>
      </c>
      <c r="P47" s="261">
        <v>259433459.10266864</v>
      </c>
      <c r="Q47" s="261">
        <v>240452839.80266869</v>
      </c>
      <c r="R47" s="261">
        <v>234907060.00266862</v>
      </c>
      <c r="S47" s="261">
        <v>1801939343.2418883</v>
      </c>
      <c r="U47" s="292"/>
      <c r="V47" s="126">
        <v>4205129440</v>
      </c>
      <c r="W47" s="263"/>
      <c r="X47" s="126">
        <v>0</v>
      </c>
    </row>
    <row r="48" spans="1:28" ht="15.75">
      <c r="A48" s="246">
        <v>37</v>
      </c>
      <c r="B48" s="276">
        <v>15</v>
      </c>
      <c r="C48" s="277" t="s">
        <v>150</v>
      </c>
      <c r="D48" s="278">
        <v>0</v>
      </c>
      <c r="E48" s="278">
        <v>0</v>
      </c>
      <c r="F48" s="278">
        <v>0</v>
      </c>
      <c r="G48" s="278"/>
      <c r="H48" s="278"/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>
        <v>0</v>
      </c>
      <c r="U48" s="280"/>
      <c r="W48" s="281"/>
      <c r="X48" s="126">
        <v>0</v>
      </c>
      <c r="AB48" s="126"/>
    </row>
    <row r="49" spans="1:28" s="126" customFormat="1" ht="15.75" outlineLevel="1" collapsed="1">
      <c r="A49" s="246">
        <v>38</v>
      </c>
      <c r="B49" s="259">
        <v>16</v>
      </c>
      <c r="C49" s="260" t="s">
        <v>151</v>
      </c>
      <c r="D49" s="261">
        <v>-14326768377</v>
      </c>
      <c r="E49" s="261">
        <v>-2284911122</v>
      </c>
      <c r="F49" s="261">
        <v>4205129440</v>
      </c>
      <c r="G49" s="261">
        <v>-13487537.813614964</v>
      </c>
      <c r="H49" s="261">
        <v>-349003777.94498551</v>
      </c>
      <c r="I49" s="261">
        <v>153985417.22647077</v>
      </c>
      <c r="J49" s="261">
        <v>217630316.46933532</v>
      </c>
      <c r="K49" s="261">
        <v>255480237.26933527</v>
      </c>
      <c r="L49" s="261">
        <v>215449755.00266862</v>
      </c>
      <c r="M49" s="261">
        <v>202542519.13600194</v>
      </c>
      <c r="N49" s="261">
        <v>186654358.55266869</v>
      </c>
      <c r="O49" s="261">
        <v>197894696.43600202</v>
      </c>
      <c r="P49" s="261">
        <v>259433459.10266864</v>
      </c>
      <c r="Q49" s="261">
        <v>240452839.80266869</v>
      </c>
      <c r="R49" s="261">
        <v>234907060.00266862</v>
      </c>
      <c r="S49" s="261">
        <v>1801939343.2418883</v>
      </c>
      <c r="U49" s="292"/>
      <c r="V49" s="126">
        <v>4205129440</v>
      </c>
      <c r="W49" s="263"/>
      <c r="X49" s="126">
        <v>0</v>
      </c>
    </row>
    <row r="50" spans="1:28" s="177" customFormat="1" ht="15.75" outlineLevel="1">
      <c r="A50" s="246">
        <v>39</v>
      </c>
      <c r="B50" s="293" t="s">
        <v>152</v>
      </c>
      <c r="C50" s="285" t="s">
        <v>153</v>
      </c>
      <c r="D50" s="286">
        <v>-0.18154530318111509</v>
      </c>
      <c r="E50" s="286">
        <v>-3.0660439471145252E-2</v>
      </c>
      <c r="F50" s="294">
        <v>4.112072602994872E-2</v>
      </c>
      <c r="G50" s="295">
        <v>-1.80566939288377E-3</v>
      </c>
      <c r="H50" s="295">
        <v>-6.2298046146463178E-2</v>
      </c>
      <c r="I50" s="295">
        <v>1.9029310350975208E-2</v>
      </c>
      <c r="J50" s="295">
        <v>2.4973428286768316E-2</v>
      </c>
      <c r="K50" s="295">
        <v>2.9316767478171121E-2</v>
      </c>
      <c r="L50" s="295">
        <v>2.4723205356911186E-2</v>
      </c>
      <c r="M50" s="295">
        <v>2.3242079314703634E-2</v>
      </c>
      <c r="N50" s="295">
        <v>2.1418887374473929E-2</v>
      </c>
      <c r="O50" s="295">
        <v>2.2708734196380392E-2</v>
      </c>
      <c r="P50" s="295">
        <v>2.9770406031650633E-2</v>
      </c>
      <c r="Q50" s="295">
        <v>2.7592349487796878E-2</v>
      </c>
      <c r="R50" s="295">
        <v>2.6955962350304362E-2</v>
      </c>
      <c r="S50" s="295">
        <v>1.8092850405063442E-2</v>
      </c>
      <c r="U50" s="296"/>
      <c r="W50" s="297"/>
      <c r="X50" s="126">
        <v>4.112072602994872E-2</v>
      </c>
      <c r="AB50" s="126"/>
    </row>
    <row r="51" spans="1:28" ht="15.75" outlineLevel="1">
      <c r="A51" s="246">
        <v>26</v>
      </c>
      <c r="B51" s="276">
        <v>17</v>
      </c>
      <c r="C51" s="277" t="s">
        <v>139</v>
      </c>
      <c r="D51" s="278">
        <v>1036408270</v>
      </c>
      <c r="E51" s="278">
        <v>1395798298</v>
      </c>
      <c r="F51" s="278">
        <v>2130924335</v>
      </c>
      <c r="G51" s="278">
        <v>110758018.74238349</v>
      </c>
      <c r="H51" s="278">
        <v>104732373.58109318</v>
      </c>
      <c r="I51" s="278">
        <v>112766567.12948027</v>
      </c>
      <c r="J51" s="278">
        <v>114775115.51657705</v>
      </c>
      <c r="K51" s="278">
        <v>114775115.51657705</v>
      </c>
      <c r="L51" s="278">
        <v>114775115.51657705</v>
      </c>
      <c r="M51" s="278">
        <v>114775115.51657705</v>
      </c>
      <c r="N51" s="278">
        <v>114775115.51657705</v>
      </c>
      <c r="O51" s="278">
        <v>114775115.51657705</v>
      </c>
      <c r="P51" s="278">
        <v>114775115.51657705</v>
      </c>
      <c r="Q51" s="278">
        <v>114775115.51657705</v>
      </c>
      <c r="R51" s="278">
        <v>114775115.51657705</v>
      </c>
      <c r="S51" s="278">
        <v>1361232999.1021502</v>
      </c>
      <c r="U51" s="280">
        <v>-0.36120068800934213</v>
      </c>
      <c r="V51" s="126">
        <v>2130924335</v>
      </c>
      <c r="W51" s="281"/>
      <c r="X51" s="126">
        <v>0</v>
      </c>
      <c r="Y51" s="177"/>
      <c r="AB51" s="126"/>
    </row>
    <row r="52" spans="1:28" s="126" customFormat="1" ht="25.5" outlineLevel="1" collapsed="1">
      <c r="A52" s="246">
        <v>41</v>
      </c>
      <c r="B52" s="259">
        <v>18</v>
      </c>
      <c r="C52" s="260" t="s">
        <v>154</v>
      </c>
      <c r="D52" s="261">
        <v>-13290360107</v>
      </c>
      <c r="E52" s="261">
        <v>-889112824</v>
      </c>
      <c r="F52" s="261">
        <v>6336053775</v>
      </c>
      <c r="G52" s="261">
        <v>97270480.92876853</v>
      </c>
      <c r="H52" s="261">
        <v>-244271404.36389232</v>
      </c>
      <c r="I52" s="261">
        <v>266751984.35595104</v>
      </c>
      <c r="J52" s="261">
        <v>332405431.98591238</v>
      </c>
      <c r="K52" s="261">
        <v>370255352.78591233</v>
      </c>
      <c r="L52" s="261">
        <v>330224870.51924568</v>
      </c>
      <c r="M52" s="261">
        <v>317317634.65257901</v>
      </c>
      <c r="N52" s="261">
        <v>301429474.06924576</v>
      </c>
      <c r="O52" s="261">
        <v>312669811.95257908</v>
      </c>
      <c r="P52" s="261">
        <v>374208574.61924571</v>
      </c>
      <c r="Q52" s="261">
        <v>355227955.31924576</v>
      </c>
      <c r="R52" s="261">
        <v>349682175.51924568</v>
      </c>
      <c r="S52" s="261">
        <v>3163172342.3440385</v>
      </c>
      <c r="U52" s="292"/>
      <c r="W52" s="263"/>
      <c r="Y52" s="177"/>
    </row>
    <row r="53" spans="1:28" s="177" customFormat="1" ht="15.75" outlineLevel="1">
      <c r="A53" s="246">
        <v>42</v>
      </c>
      <c r="B53" s="293" t="s">
        <v>155</v>
      </c>
      <c r="C53" s="285" t="s">
        <v>156</v>
      </c>
      <c r="D53" s="298">
        <v>-0.16841219118786011</v>
      </c>
      <c r="E53" s="298">
        <v>-1.1930700350134242E-2</v>
      </c>
      <c r="F53" s="298">
        <v>6.1958409392695736E-2</v>
      </c>
      <c r="G53" s="298">
        <v>1.3022267864699819E-2</v>
      </c>
      <c r="H53" s="298">
        <v>-4.3603055849217566E-2</v>
      </c>
      <c r="I53" s="298">
        <v>3.296485075325218E-2</v>
      </c>
      <c r="J53" s="298">
        <v>3.814405709878247E-2</v>
      </c>
      <c r="K53" s="298">
        <v>4.2487396290185275E-2</v>
      </c>
      <c r="L53" s="298">
        <v>3.789383416892534E-2</v>
      </c>
      <c r="M53" s="298">
        <v>3.6412708126717791E-2</v>
      </c>
      <c r="N53" s="298">
        <v>3.4589516186488083E-2</v>
      </c>
      <c r="O53" s="298">
        <v>3.5879363008394546E-2</v>
      </c>
      <c r="P53" s="298">
        <v>4.2941034843664787E-2</v>
      </c>
      <c r="Q53" s="298">
        <v>4.0762978299811035E-2</v>
      </c>
      <c r="R53" s="298">
        <v>4.0126591162318523E-2</v>
      </c>
      <c r="S53" s="286">
        <v>3.1760671750748426E-2</v>
      </c>
      <c r="U53" s="287"/>
      <c r="W53" s="288"/>
      <c r="X53" s="126">
        <v>6.1958409392695736E-2</v>
      </c>
    </row>
    <row r="54" spans="1:28" s="158" customFormat="1" outlineLevel="1" collapsed="1">
      <c r="B54" s="299"/>
      <c r="C54" s="300"/>
      <c r="D54" s="300"/>
      <c r="E54" s="300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U54" s="302"/>
      <c r="V54" s="177"/>
      <c r="W54" s="303"/>
      <c r="X54" s="126">
        <v>0</v>
      </c>
      <c r="Y54" s="177"/>
    </row>
    <row r="56" spans="1:28" s="126" customFormat="1" ht="26.65" customHeight="1" outlineLevel="1">
      <c r="B56" s="182" t="s">
        <v>157</v>
      </c>
      <c r="C56" s="183"/>
      <c r="D56" s="184" t="s">
        <v>163</v>
      </c>
      <c r="E56" s="184" t="s">
        <v>82</v>
      </c>
      <c r="F56" s="184" t="s">
        <v>83</v>
      </c>
      <c r="G56" s="185" t="s">
        <v>76</v>
      </c>
      <c r="H56" s="185" t="s">
        <v>77</v>
      </c>
      <c r="I56" s="185" t="s">
        <v>84</v>
      </c>
      <c r="J56" s="185" t="s">
        <v>85</v>
      </c>
      <c r="K56" s="185" t="s">
        <v>86</v>
      </c>
      <c r="L56" s="185" t="s">
        <v>87</v>
      </c>
      <c r="M56" s="185" t="s">
        <v>88</v>
      </c>
      <c r="N56" s="185" t="s">
        <v>89</v>
      </c>
      <c r="O56" s="185" t="s">
        <v>90</v>
      </c>
      <c r="P56" s="185" t="s">
        <v>91</v>
      </c>
      <c r="Q56" s="185" t="s">
        <v>92</v>
      </c>
      <c r="R56" s="185" t="s">
        <v>93</v>
      </c>
      <c r="S56" s="184" t="s">
        <v>183</v>
      </c>
      <c r="U56" s="304"/>
      <c r="W56" s="184"/>
    </row>
    <row r="57" spans="1:28" ht="18" customHeight="1" outlineLevel="1">
      <c r="B57" s="122" t="s">
        <v>158</v>
      </c>
      <c r="D57" s="187">
        <v>-2856939.4528616569</v>
      </c>
      <c r="E57" s="187">
        <v>8662919.1138616428</v>
      </c>
      <c r="F57" s="186">
        <v>5511009.8030470517</v>
      </c>
      <c r="G57" s="187">
        <v>601629.18000399589</v>
      </c>
      <c r="H57" s="187">
        <v>720518.89691334299</v>
      </c>
      <c r="I57" s="187">
        <v>544782.68751591863</v>
      </c>
      <c r="J57" s="187">
        <v>554511.22146309423</v>
      </c>
      <c r="K57" s="187">
        <v>534245.85058020533</v>
      </c>
      <c r="L57" s="187">
        <v>556646.14766120096</v>
      </c>
      <c r="M57" s="187">
        <v>561001.59878583404</v>
      </c>
      <c r="N57" s="187">
        <v>569882.2132939141</v>
      </c>
      <c r="O57" s="187">
        <v>563406.49064478755</v>
      </c>
      <c r="P57" s="187">
        <v>531286.09489568288</v>
      </c>
      <c r="Q57" s="187">
        <v>540997.38672052172</v>
      </c>
      <c r="R57" s="187">
        <v>545833.11933656887</v>
      </c>
      <c r="S57" s="187">
        <v>6749217.767279488</v>
      </c>
      <c r="W57" s="186"/>
    </row>
    <row r="58" spans="1:28" s="126" customFormat="1" ht="18" customHeight="1" outlineLevel="1">
      <c r="B58" s="122" t="s">
        <v>159</v>
      </c>
      <c r="C58" s="188"/>
      <c r="D58" s="187">
        <v>-2594752.8718237891</v>
      </c>
      <c r="E58" s="187">
        <v>7940684.0448409589</v>
      </c>
      <c r="F58" s="186">
        <v>5005254.3111412711</v>
      </c>
      <c r="G58" s="187">
        <v>541764.2323313785</v>
      </c>
      <c r="H58" s="187">
        <v>648823.86034519854</v>
      </c>
      <c r="I58" s="187">
        <v>490574.23459335306</v>
      </c>
      <c r="J58" s="187">
        <v>499334.73342016584</v>
      </c>
      <c r="K58" s="187">
        <v>481085.86274669541</v>
      </c>
      <c r="L58" s="187">
        <v>501257.22436848347</v>
      </c>
      <c r="M58" s="187">
        <v>505179.28751538403</v>
      </c>
      <c r="N58" s="187">
        <v>513176.23889591539</v>
      </c>
      <c r="O58" s="187">
        <v>507344.88126500457</v>
      </c>
      <c r="P58" s="187">
        <v>478420.61674532446</v>
      </c>
      <c r="Q58" s="187">
        <v>487165.58912248688</v>
      </c>
      <c r="R58" s="187">
        <v>491520.14348182699</v>
      </c>
      <c r="S58" s="187">
        <v>6077638.691832047</v>
      </c>
      <c r="U58" s="240"/>
      <c r="W58" s="186"/>
    </row>
    <row r="59" spans="1:28" ht="18" customHeight="1" outlineLevel="1">
      <c r="B59" s="122" t="s">
        <v>160</v>
      </c>
      <c r="D59" s="110">
        <v>-36224122151.893944</v>
      </c>
      <c r="E59" s="110">
        <v>120891154072.02179</v>
      </c>
      <c r="F59" s="189">
        <v>72125402101.107422</v>
      </c>
      <c r="G59" s="110">
        <v>7582415255.032505</v>
      </c>
      <c r="H59" s="110">
        <v>9080798699.7217121</v>
      </c>
      <c r="I59" s="110">
        <v>6865971096.1341209</v>
      </c>
      <c r="J59" s="110">
        <v>6988581146.7464857</v>
      </c>
      <c r="K59" s="110">
        <v>6733173891.8485641</v>
      </c>
      <c r="L59" s="110">
        <v>7015487915.0863886</v>
      </c>
      <c r="M59" s="110">
        <v>7070380264.3067951</v>
      </c>
      <c r="N59" s="110">
        <v>7182303869.6739454</v>
      </c>
      <c r="O59" s="110">
        <v>7100689446.9796038</v>
      </c>
      <c r="P59" s="110">
        <v>6695871684.1109953</v>
      </c>
      <c r="Q59" s="110">
        <v>6818264429.8854628</v>
      </c>
      <c r="R59" s="110">
        <v>6879209832.7612524</v>
      </c>
      <c r="S59" s="110">
        <v>85061319262.833176</v>
      </c>
    </row>
    <row r="60" spans="1:28" s="126" customFormat="1" ht="26.65" customHeight="1" outlineLevel="1">
      <c r="B60" s="182" t="s">
        <v>161</v>
      </c>
      <c r="C60" s="183"/>
      <c r="D60" s="190" t="s">
        <v>163</v>
      </c>
      <c r="E60" s="190" t="s">
        <v>82</v>
      </c>
      <c r="F60" s="190" t="s">
        <v>83</v>
      </c>
      <c r="G60" s="191" t="s">
        <v>76</v>
      </c>
      <c r="H60" s="191" t="s">
        <v>77</v>
      </c>
      <c r="I60" s="191" t="s">
        <v>84</v>
      </c>
      <c r="J60" s="191" t="s">
        <v>85</v>
      </c>
      <c r="K60" s="191" t="s">
        <v>86</v>
      </c>
      <c r="L60" s="191" t="s">
        <v>87</v>
      </c>
      <c r="M60" s="191" t="s">
        <v>88</v>
      </c>
      <c r="N60" s="191" t="s">
        <v>89</v>
      </c>
      <c r="O60" s="191" t="s">
        <v>90</v>
      </c>
      <c r="P60" s="191" t="s">
        <v>91</v>
      </c>
      <c r="Q60" s="191" t="s">
        <v>92</v>
      </c>
      <c r="R60" s="191" t="s">
        <v>93</v>
      </c>
      <c r="S60" s="190" t="s">
        <v>183</v>
      </c>
      <c r="U60" s="305"/>
      <c r="W60" s="190"/>
    </row>
    <row r="61" spans="1:28" ht="18" customHeight="1" outlineLevel="1">
      <c r="B61" s="122" t="s">
        <v>158</v>
      </c>
      <c r="D61" s="187">
        <v>-2205461.5965747908</v>
      </c>
      <c r="E61" s="187">
        <v>6579324.3550627362</v>
      </c>
      <c r="F61" s="186">
        <v>4349549.7793058408</v>
      </c>
      <c r="G61" s="187">
        <v>528414.79802013561</v>
      </c>
      <c r="H61" s="187">
        <v>637704.37473206187</v>
      </c>
      <c r="I61" s="187">
        <v>473514.3736500598</v>
      </c>
      <c r="J61" s="187">
        <v>482270.26221813716</v>
      </c>
      <c r="K61" s="187">
        <v>463603.64602373121</v>
      </c>
      <c r="L61" s="187">
        <v>484811.47769848665</v>
      </c>
      <c r="M61" s="187">
        <v>487056.67444422521</v>
      </c>
      <c r="N61" s="187">
        <v>495103.52700234298</v>
      </c>
      <c r="O61" s="187">
        <v>489119.5577566126</v>
      </c>
      <c r="P61" s="187">
        <v>460410.85957579315</v>
      </c>
      <c r="Q61" s="187">
        <v>469162.71675780747</v>
      </c>
      <c r="R61" s="187">
        <v>474665.44732559996</v>
      </c>
      <c r="S61" s="187">
        <v>5877786.9257549634</v>
      </c>
      <c r="W61" s="186"/>
    </row>
    <row r="62" spans="1:28" s="126" customFormat="1" ht="18" customHeight="1" outlineLevel="1">
      <c r="B62" s="122" t="s">
        <v>159</v>
      </c>
      <c r="C62" s="188"/>
      <c r="D62" s="187">
        <v>-2003062.335002389</v>
      </c>
      <c r="E62" s="187">
        <v>6030800.3855748111</v>
      </c>
      <c r="F62" s="187">
        <v>3950383.6070763478</v>
      </c>
      <c r="G62" s="187">
        <v>475835.02748323785</v>
      </c>
      <c r="H62" s="187">
        <v>574249.77463490481</v>
      </c>
      <c r="I62" s="187">
        <v>426397.4548852407</v>
      </c>
      <c r="J62" s="187">
        <v>434282.09114645398</v>
      </c>
      <c r="K62" s="187">
        <v>417472.89151168952</v>
      </c>
      <c r="L62" s="187">
        <v>436570.44367265794</v>
      </c>
      <c r="M62" s="187">
        <v>438592.23272780294</v>
      </c>
      <c r="N62" s="187">
        <v>445838.3854140864</v>
      </c>
      <c r="O62" s="187">
        <v>440449.84939812031</v>
      </c>
      <c r="P62" s="187">
        <v>414597.80240953906</v>
      </c>
      <c r="Q62" s="187">
        <v>422478.80842666136</v>
      </c>
      <c r="R62" s="187">
        <v>427433.99128824851</v>
      </c>
      <c r="S62" s="187">
        <v>5292919.3388158157</v>
      </c>
      <c r="U62" s="240"/>
      <c r="W62" s="186"/>
    </row>
    <row r="63" spans="1:28" ht="18" customHeight="1" outlineLevel="1">
      <c r="B63" s="122" t="s">
        <v>160</v>
      </c>
      <c r="D63" s="110">
        <v>-27963809381.96413</v>
      </c>
      <c r="E63" s="110">
        <v>91814560870.710876</v>
      </c>
      <c r="F63" s="110">
        <v>56924781120.469803</v>
      </c>
      <c r="G63" s="110">
        <v>6659684334.9024153</v>
      </c>
      <c r="H63" s="110">
        <v>8037075893.0563107</v>
      </c>
      <c r="I63" s="110">
        <v>5967766740.0000925</v>
      </c>
      <c r="J63" s="110">
        <v>6078118407.2006655</v>
      </c>
      <c r="K63" s="110">
        <v>5842860477.4051723</v>
      </c>
      <c r="L63" s="110">
        <v>6110145695.2128572</v>
      </c>
      <c r="M63" s="110">
        <v>6138442218.4222603</v>
      </c>
      <c r="N63" s="110">
        <v>6239857807.3258181</v>
      </c>
      <c r="O63" s="110">
        <v>6164441020.3704882</v>
      </c>
      <c r="P63" s="110">
        <v>5802621350.9240627</v>
      </c>
      <c r="Q63" s="110">
        <v>5912922210.0119324</v>
      </c>
      <c r="R63" s="110">
        <v>5982273879.7585468</v>
      </c>
      <c r="S63" s="110">
        <v>74078556580.947495</v>
      </c>
    </row>
    <row r="66" spans="19:23">
      <c r="S66" s="306"/>
      <c r="U66" s="307"/>
      <c r="W66" s="308"/>
    </row>
  </sheetData>
  <conditionalFormatting sqref="B3:F3 B5:S18 B19:B22 F20:R20 C20:C22 S20:S25 G21:R25 F21:F40 B23:C24 G26:S40 F41:S55 B64:S65 U64:U65 W64:W65 B66:R66 B67:S1048576 U67:U1048576 W67:W1048576">
    <cfRule type="containsText" dxfId="19" priority="11" operator="containsText" text="xxx">
      <formula>NOT(ISERROR(SEARCH("xxx",B3)))</formula>
    </cfRule>
  </conditionalFormatting>
  <conditionalFormatting sqref="C19:S19">
    <cfRule type="containsText" dxfId="18" priority="9" operator="containsText" text="xxx">
      <formula>NOT(ISERROR(SEARCH("xxx",C19)))</formula>
    </cfRule>
  </conditionalFormatting>
  <conditionalFormatting sqref="C56:S56">
    <cfRule type="containsText" dxfId="17" priority="7" operator="containsText" text="xxx">
      <formula>NOT(ISERROR(SEARCH("xxx",C56)))</formula>
    </cfRule>
  </conditionalFormatting>
  <conditionalFormatting sqref="D20:E54 C25:C54 C55:E55">
    <cfRule type="containsText" dxfId="16" priority="10" operator="containsText" text="xxx">
      <formula>NOT(ISERROR(SEARCH("xxx",C20)))</formula>
    </cfRule>
  </conditionalFormatting>
  <conditionalFormatting sqref="F4:Q4">
    <cfRule type="containsText" dxfId="15" priority="6" operator="containsText" text="xxx">
      <formula>NOT(ISERROR(SEARCH("xxx",F4)))</formula>
    </cfRule>
  </conditionalFormatting>
  <conditionalFormatting sqref="H3:S3">
    <cfRule type="containsText" dxfId="14" priority="12" operator="containsText" text="xxx">
      <formula>NOT(ISERROR(SEARCH("xxx",H3)))</formula>
    </cfRule>
  </conditionalFormatting>
  <conditionalFormatting sqref="U3">
    <cfRule type="containsText" dxfId="13" priority="5" operator="containsText" text="xxx">
      <formula>NOT(ISERROR(SEARCH("xxx",U3)))</formula>
    </cfRule>
  </conditionalFormatting>
  <conditionalFormatting sqref="U5:U56">
    <cfRule type="containsText" dxfId="12" priority="4" operator="containsText" text="xxx">
      <formula>NOT(ISERROR(SEARCH("xxx",U5)))</formula>
    </cfRule>
  </conditionalFormatting>
  <conditionalFormatting sqref="V3:V1048576 X3:XFD1048576 B25:B63 T56:T63">
    <cfRule type="containsText" dxfId="11" priority="8" operator="containsText" text="xxx">
      <formula>NOT(ISERROR(SEARCH("xxx",B3)))</formula>
    </cfRule>
  </conditionalFormatting>
  <conditionalFormatting sqref="W3">
    <cfRule type="containsText" dxfId="10" priority="3" operator="containsText" text="xxx">
      <formula>NOT(ISERROR(SEARCH("xxx",W3)))</formula>
    </cfRule>
  </conditionalFormatting>
  <conditionalFormatting sqref="W5:W33">
    <cfRule type="containsText" dxfId="9" priority="2" operator="containsText" text="xxx">
      <formula>NOT(ISERROR(SEARCH("xxx",W5)))</formula>
    </cfRule>
  </conditionalFormatting>
  <conditionalFormatting sqref="W35:W56">
    <cfRule type="containsText" dxfId="8" priority="1" operator="containsText" text="xxx">
      <formula>NOT(ISERROR(SEARCH("xxx",W35)))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4A2D-6181-4CC5-A703-C97A4DF8B6F3}">
  <sheetPr>
    <tabColor rgb="FFFFFF00"/>
  </sheetPr>
  <dimension ref="B1:W70"/>
  <sheetViews>
    <sheetView showGridLines="0" workbookViewId="0">
      <pane xSplit="5" ySplit="5" topLeftCell="F26" activePane="bottomRight" state="frozen"/>
      <selection activeCell="AQ47" sqref="AQ47"/>
      <selection pane="topRight" activeCell="AQ47" sqref="AQ47"/>
      <selection pane="bottomLeft" activeCell="AQ47" sqref="AQ47"/>
      <selection pane="bottomRight" activeCell="AQ47" sqref="AQ47"/>
    </sheetView>
  </sheetViews>
  <sheetFormatPr defaultColWidth="7.25" defaultRowHeight="12.75" outlineLevelRow="1" outlineLevelCol="1"/>
  <cols>
    <col min="1" max="1" width="3.125" style="111" customWidth="1"/>
    <col min="2" max="2" width="6.875" style="192" customWidth="1"/>
    <col min="3" max="3" width="33" style="108" customWidth="1"/>
    <col min="4" max="4" width="11.125" style="108" hidden="1" customWidth="1" outlineLevel="1"/>
    <col min="5" max="5" width="11.25" style="109" customWidth="1" collapsed="1"/>
    <col min="6" max="17" width="8.125" style="110" customWidth="1" outlineLevel="1"/>
    <col min="18" max="18" width="10.75" style="110" customWidth="1"/>
    <col min="19" max="19" width="25" style="111" customWidth="1"/>
    <col min="20" max="20" width="13.375" style="111" bestFit="1" customWidth="1"/>
    <col min="21" max="21" width="7.25" style="111"/>
    <col min="22" max="22" width="10" style="111" bestFit="1" customWidth="1"/>
    <col min="23" max="16384" width="7.25" style="111"/>
  </cols>
  <sheetData>
    <row r="1" spans="2:19" ht="15.75">
      <c r="B1" s="107"/>
      <c r="E1" s="109">
        <v>22617107745</v>
      </c>
      <c r="R1" s="109">
        <v>23161895693.655853</v>
      </c>
    </row>
    <row r="2" spans="2:19" s="115" customFormat="1">
      <c r="B2" s="112"/>
      <c r="C2" s="113"/>
      <c r="D2" s="113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>
        <v>16873505089.384615</v>
      </c>
    </row>
    <row r="3" spans="2:19" s="123" customFormat="1" ht="15.75">
      <c r="B3" s="116" t="s">
        <v>78</v>
      </c>
      <c r="C3" s="117"/>
      <c r="D3" s="117"/>
      <c r="E3" s="118"/>
      <c r="F3" s="119">
        <v>13307.438891724081</v>
      </c>
      <c r="G3" s="119">
        <v>13277.287794155573</v>
      </c>
      <c r="H3" s="119">
        <v>13317.824758536355</v>
      </c>
      <c r="I3" s="119">
        <v>13140.122631151215</v>
      </c>
      <c r="J3" s="119">
        <v>13150.498516668684</v>
      </c>
      <c r="K3" s="119">
        <v>13155.330717386705</v>
      </c>
      <c r="L3" s="119">
        <v>13178.936667671909</v>
      </c>
      <c r="M3" s="119">
        <v>13179.045646586857</v>
      </c>
      <c r="N3" s="119">
        <v>13117.508473441596</v>
      </c>
      <c r="O3" s="120">
        <v>14300000000</v>
      </c>
      <c r="P3" s="120">
        <v>14300000000</v>
      </c>
      <c r="Q3" s="120">
        <v>14300000000</v>
      </c>
      <c r="R3" s="121" t="s">
        <v>79</v>
      </c>
      <c r="S3" s="122"/>
    </row>
    <row r="4" spans="2:19" s="127" customFormat="1" ht="30" customHeight="1">
      <c r="B4" s="124" t="s">
        <v>80</v>
      </c>
      <c r="C4" s="124" t="s">
        <v>81</v>
      </c>
      <c r="D4" s="124" t="s">
        <v>82</v>
      </c>
      <c r="E4" s="125" t="s">
        <v>83</v>
      </c>
      <c r="F4" s="125" t="s">
        <v>76</v>
      </c>
      <c r="G4" s="125" t="s">
        <v>77</v>
      </c>
      <c r="H4" s="125" t="s">
        <v>84</v>
      </c>
      <c r="I4" s="125" t="s">
        <v>85</v>
      </c>
      <c r="J4" s="125" t="s">
        <v>86</v>
      </c>
      <c r="K4" s="125" t="s">
        <v>87</v>
      </c>
      <c r="L4" s="125" t="s">
        <v>88</v>
      </c>
      <c r="M4" s="125" t="s">
        <v>89</v>
      </c>
      <c r="N4" s="125" t="s">
        <v>90</v>
      </c>
      <c r="O4" s="125" t="s">
        <v>91</v>
      </c>
      <c r="P4" s="125" t="s">
        <v>92</v>
      </c>
      <c r="Q4" s="125" t="s">
        <v>93</v>
      </c>
      <c r="R4" s="125" t="s">
        <v>94</v>
      </c>
      <c r="S4" s="126"/>
    </row>
    <row r="5" spans="2:19" s="132" customFormat="1">
      <c r="B5" s="128" t="s">
        <v>12</v>
      </c>
      <c r="C5" s="129" t="s">
        <v>95</v>
      </c>
      <c r="D5" s="130">
        <v>0</v>
      </c>
      <c r="E5" s="130">
        <v>9805731</v>
      </c>
      <c r="F5" s="130">
        <v>760725</v>
      </c>
      <c r="G5" s="130">
        <v>591675</v>
      </c>
      <c r="H5" s="130">
        <v>845250</v>
      </c>
      <c r="I5" s="130">
        <v>1055250</v>
      </c>
      <c r="J5" s="130">
        <v>1055250</v>
      </c>
      <c r="K5" s="130">
        <v>1055250</v>
      </c>
      <c r="L5" s="130">
        <v>1055250</v>
      </c>
      <c r="M5" s="130">
        <v>1055250</v>
      </c>
      <c r="N5" s="130">
        <v>1055250</v>
      </c>
      <c r="O5" s="130">
        <v>1057212</v>
      </c>
      <c r="P5" s="130">
        <v>1057212</v>
      </c>
      <c r="Q5" s="130">
        <v>1057212</v>
      </c>
      <c r="R5" s="130">
        <v>11700786</v>
      </c>
      <c r="S5" s="131"/>
    </row>
    <row r="6" spans="2:19" s="137" customFormat="1">
      <c r="B6" s="133" t="s">
        <v>96</v>
      </c>
      <c r="C6" s="134" t="s">
        <v>97</v>
      </c>
      <c r="D6" s="135">
        <v>0</v>
      </c>
      <c r="E6" s="135">
        <v>7883386</v>
      </c>
      <c r="F6" s="135">
        <v>519750</v>
      </c>
      <c r="G6" s="135">
        <v>404250</v>
      </c>
      <c r="H6" s="135">
        <v>577500</v>
      </c>
      <c r="I6" s="135">
        <v>720000</v>
      </c>
      <c r="J6" s="135">
        <v>720000</v>
      </c>
      <c r="K6" s="135">
        <v>720000</v>
      </c>
      <c r="L6" s="135">
        <v>720000</v>
      </c>
      <c r="M6" s="135">
        <v>720000</v>
      </c>
      <c r="N6" s="135">
        <v>720000</v>
      </c>
      <c r="O6" s="135">
        <v>78000</v>
      </c>
      <c r="P6" s="135">
        <v>78000</v>
      </c>
      <c r="Q6" s="135">
        <v>78000</v>
      </c>
      <c r="R6" s="135">
        <v>6055500</v>
      </c>
      <c r="S6" s="136"/>
    </row>
    <row r="7" spans="2:19" s="137" customFormat="1">
      <c r="B7" s="133" t="s">
        <v>98</v>
      </c>
      <c r="C7" s="134" t="s">
        <v>15</v>
      </c>
      <c r="D7" s="135">
        <v>0</v>
      </c>
      <c r="E7" s="135">
        <v>1688932</v>
      </c>
      <c r="F7" s="135">
        <v>240975</v>
      </c>
      <c r="G7" s="135">
        <v>187425</v>
      </c>
      <c r="H7" s="135">
        <v>267750</v>
      </c>
      <c r="I7" s="135">
        <v>335250</v>
      </c>
      <c r="J7" s="135">
        <v>335250</v>
      </c>
      <c r="K7" s="135">
        <v>335250</v>
      </c>
      <c r="L7" s="135">
        <v>335250</v>
      </c>
      <c r="M7" s="135">
        <v>335250</v>
      </c>
      <c r="N7" s="135">
        <v>335250</v>
      </c>
      <c r="O7" s="135">
        <v>979212</v>
      </c>
      <c r="P7" s="135">
        <v>979212</v>
      </c>
      <c r="Q7" s="135">
        <v>979212</v>
      </c>
      <c r="R7" s="135">
        <v>5645286</v>
      </c>
      <c r="S7" s="136"/>
    </row>
    <row r="8" spans="2:19" s="137" customFormat="1">
      <c r="B8" s="133" t="s">
        <v>99</v>
      </c>
      <c r="C8" s="134" t="s">
        <v>100</v>
      </c>
      <c r="D8" s="135">
        <v>0</v>
      </c>
      <c r="E8" s="135">
        <v>233413</v>
      </c>
      <c r="F8" s="135">
        <v>0</v>
      </c>
      <c r="G8" s="135">
        <v>0</v>
      </c>
      <c r="H8" s="135">
        <v>0</v>
      </c>
      <c r="I8" s="135">
        <v>0</v>
      </c>
      <c r="J8" s="135">
        <v>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5">
        <v>0</v>
      </c>
      <c r="R8" s="135">
        <v>0</v>
      </c>
      <c r="S8" s="136"/>
    </row>
    <row r="9" spans="2:19" s="137" customFormat="1" hidden="1">
      <c r="B9" s="138">
        <v>1.4</v>
      </c>
      <c r="C9" s="134" t="s">
        <v>101</v>
      </c>
      <c r="D9" s="135"/>
      <c r="E9" s="135"/>
      <c r="F9" s="135">
        <v>0</v>
      </c>
      <c r="G9" s="135">
        <v>0</v>
      </c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5">
        <v>0</v>
      </c>
      <c r="R9" s="135">
        <v>0</v>
      </c>
      <c r="S9" s="136"/>
    </row>
    <row r="10" spans="2:19" s="126" customFormat="1">
      <c r="B10" s="139">
        <v>2</v>
      </c>
      <c r="C10" s="140" t="s">
        <v>102</v>
      </c>
      <c r="D10" s="141">
        <v>64684339330</v>
      </c>
      <c r="E10" s="141">
        <v>173927684403</v>
      </c>
      <c r="F10" s="141">
        <v>11515218750</v>
      </c>
      <c r="G10" s="141">
        <v>8956281250</v>
      </c>
      <c r="H10" s="141">
        <v>12794687500</v>
      </c>
      <c r="I10" s="141">
        <v>15974312500</v>
      </c>
      <c r="J10" s="141">
        <v>15974312500</v>
      </c>
      <c r="K10" s="141">
        <v>15974312500</v>
      </c>
      <c r="L10" s="141">
        <v>15974312500</v>
      </c>
      <c r="M10" s="141">
        <v>15974312500</v>
      </c>
      <c r="N10" s="141">
        <v>15974312500</v>
      </c>
      <c r="O10" s="141">
        <v>17334395000</v>
      </c>
      <c r="P10" s="141">
        <v>17334395000</v>
      </c>
      <c r="Q10" s="141">
        <v>17334395000</v>
      </c>
      <c r="R10" s="141">
        <v>181115247500</v>
      </c>
      <c r="S10" s="142"/>
    </row>
    <row r="11" spans="2:19" outlineLevel="1">
      <c r="B11" s="143" t="s">
        <v>103</v>
      </c>
      <c r="C11" s="134" t="s">
        <v>97</v>
      </c>
      <c r="D11" s="144">
        <v>64684339330</v>
      </c>
      <c r="E11" s="144">
        <v>140227158729</v>
      </c>
      <c r="F11" s="144">
        <v>7626150000</v>
      </c>
      <c r="G11" s="144">
        <v>5931450000</v>
      </c>
      <c r="H11" s="144">
        <v>8473500000</v>
      </c>
      <c r="I11" s="144">
        <v>10563750000</v>
      </c>
      <c r="J11" s="144">
        <v>10563750000</v>
      </c>
      <c r="K11" s="144">
        <v>10563750000</v>
      </c>
      <c r="L11" s="144">
        <v>10563750000</v>
      </c>
      <c r="M11" s="144">
        <v>10563750000</v>
      </c>
      <c r="N11" s="144">
        <v>10563750000</v>
      </c>
      <c r="O11" s="144">
        <v>924300000</v>
      </c>
      <c r="P11" s="144">
        <v>924300000</v>
      </c>
      <c r="Q11" s="144">
        <v>924300000</v>
      </c>
      <c r="R11" s="144">
        <v>88186500000</v>
      </c>
    </row>
    <row r="12" spans="2:19" outlineLevel="1">
      <c r="B12" s="143" t="s">
        <v>104</v>
      </c>
      <c r="C12" s="134" t="s">
        <v>15</v>
      </c>
      <c r="D12" s="144">
        <v>0</v>
      </c>
      <c r="E12" s="144">
        <v>30731028704</v>
      </c>
      <c r="F12" s="144">
        <v>3889068750</v>
      </c>
      <c r="G12" s="144">
        <v>3024831250</v>
      </c>
      <c r="H12" s="144">
        <v>4321187500</v>
      </c>
      <c r="I12" s="144">
        <v>5410562500</v>
      </c>
      <c r="J12" s="144">
        <v>5410562500</v>
      </c>
      <c r="K12" s="144">
        <v>5410562500</v>
      </c>
      <c r="L12" s="144">
        <v>5410562500</v>
      </c>
      <c r="M12" s="144">
        <v>5410562500</v>
      </c>
      <c r="N12" s="144">
        <v>5410562500</v>
      </c>
      <c r="O12" s="144">
        <v>16410095000</v>
      </c>
      <c r="P12" s="144">
        <v>16410095000</v>
      </c>
      <c r="Q12" s="144">
        <v>16410095000</v>
      </c>
      <c r="R12" s="144">
        <v>92928747500</v>
      </c>
    </row>
    <row r="13" spans="2:19" outlineLevel="1">
      <c r="B13" s="143" t="s">
        <v>105</v>
      </c>
      <c r="C13" s="134" t="s">
        <v>100</v>
      </c>
      <c r="D13" s="144">
        <v>0</v>
      </c>
      <c r="E13" s="144">
        <v>2969496970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0</v>
      </c>
      <c r="O13" s="144">
        <v>0</v>
      </c>
      <c r="P13" s="144">
        <v>0</v>
      </c>
      <c r="Q13" s="144">
        <v>0</v>
      </c>
      <c r="R13" s="144">
        <v>0</v>
      </c>
    </row>
    <row r="14" spans="2:19" outlineLevel="1">
      <c r="B14" s="145" t="s">
        <v>106</v>
      </c>
      <c r="C14" s="134" t="s">
        <v>101</v>
      </c>
      <c r="D14" s="144"/>
      <c r="E14" s="144"/>
      <c r="F14" s="144">
        <v>0</v>
      </c>
      <c r="G14" s="144">
        <v>0</v>
      </c>
      <c r="H14" s="144">
        <v>0</v>
      </c>
      <c r="I14" s="144">
        <v>0</v>
      </c>
      <c r="J14" s="144">
        <v>0</v>
      </c>
      <c r="K14" s="144">
        <v>0</v>
      </c>
      <c r="L14" s="144">
        <v>0</v>
      </c>
      <c r="M14" s="144">
        <v>0</v>
      </c>
      <c r="N14" s="144">
        <v>0</v>
      </c>
      <c r="O14" s="144">
        <v>0</v>
      </c>
      <c r="P14" s="144">
        <v>0</v>
      </c>
      <c r="Q14" s="144">
        <v>0</v>
      </c>
      <c r="R14" s="144">
        <v>0</v>
      </c>
    </row>
    <row r="15" spans="2:19" outlineLevel="1">
      <c r="B15" s="143" t="s">
        <v>106</v>
      </c>
      <c r="C15" s="146" t="s">
        <v>107</v>
      </c>
      <c r="D15" s="144">
        <v>0</v>
      </c>
      <c r="E15" s="144">
        <v>0</v>
      </c>
      <c r="F15" s="144">
        <v>0</v>
      </c>
      <c r="G15" s="144">
        <v>0</v>
      </c>
      <c r="H15" s="144">
        <v>0</v>
      </c>
      <c r="I15" s="144">
        <v>0</v>
      </c>
      <c r="J15" s="144">
        <v>0</v>
      </c>
      <c r="K15" s="144">
        <v>0</v>
      </c>
      <c r="L15" s="144">
        <v>0</v>
      </c>
      <c r="M15" s="144">
        <v>0</v>
      </c>
      <c r="N15" s="144">
        <v>0</v>
      </c>
      <c r="O15" s="144">
        <v>0</v>
      </c>
      <c r="P15" s="144">
        <v>0</v>
      </c>
      <c r="Q15" s="144">
        <v>0</v>
      </c>
      <c r="R15" s="144">
        <v>0</v>
      </c>
    </row>
    <row r="16" spans="2:19" s="126" customFormat="1">
      <c r="B16" s="147">
        <v>3</v>
      </c>
      <c r="C16" s="148" t="s">
        <v>108</v>
      </c>
      <c r="D16" s="149">
        <v>0</v>
      </c>
      <c r="E16" s="149">
        <v>158046392045.08923</v>
      </c>
      <c r="F16" s="149">
        <v>10382402075.906801</v>
      </c>
      <c r="G16" s="149">
        <v>8057361963.9403315</v>
      </c>
      <c r="H16" s="149">
        <v>11544780960.486189</v>
      </c>
      <c r="I16" s="149">
        <v>14225483156.52232</v>
      </c>
      <c r="J16" s="149">
        <v>14236432309.714628</v>
      </c>
      <c r="K16" s="149">
        <v>14241531489.52232</v>
      </c>
      <c r="L16" s="149">
        <v>14266441668.560781</v>
      </c>
      <c r="M16" s="149">
        <v>14266556668.560781</v>
      </c>
      <c r="N16" s="149">
        <v>14201619566.599243</v>
      </c>
      <c r="O16" s="149">
        <v>15207174379.906912</v>
      </c>
      <c r="P16" s="149">
        <v>15205807355.829988</v>
      </c>
      <c r="Q16" s="149">
        <v>15196075867.86845</v>
      </c>
      <c r="R16" s="149">
        <v>161031667463.41873</v>
      </c>
    </row>
    <row r="17" spans="2:20" s="126" customFormat="1">
      <c r="B17" s="150">
        <v>3.1</v>
      </c>
      <c r="C17" s="151" t="s">
        <v>109</v>
      </c>
      <c r="D17" s="149">
        <v>0</v>
      </c>
      <c r="E17" s="149">
        <v>154918492045.08923</v>
      </c>
      <c r="F17" s="149">
        <v>10123301450.906801</v>
      </c>
      <c r="G17" s="149">
        <v>7855839255.6069984</v>
      </c>
      <c r="H17" s="149">
        <v>11256891377.152855</v>
      </c>
      <c r="I17" s="149">
        <v>13866114406.52232</v>
      </c>
      <c r="J17" s="149">
        <v>13877063559.714628</v>
      </c>
      <c r="K17" s="149">
        <v>13882162739.52232</v>
      </c>
      <c r="L17" s="149">
        <v>13907072918.560781</v>
      </c>
      <c r="M17" s="149">
        <v>13907187918.560781</v>
      </c>
      <c r="N17" s="149">
        <v>13842250816.599243</v>
      </c>
      <c r="O17" s="149">
        <v>14877517346.573578</v>
      </c>
      <c r="P17" s="149">
        <v>14876150322.496655</v>
      </c>
      <c r="Q17" s="149">
        <v>14866418834.535116</v>
      </c>
      <c r="R17" s="149">
        <v>157137970946.75208</v>
      </c>
    </row>
    <row r="18" spans="2:20">
      <c r="B18" s="152" t="s">
        <v>110</v>
      </c>
      <c r="C18" s="153" t="s">
        <v>111</v>
      </c>
      <c r="D18" s="154">
        <v>0</v>
      </c>
      <c r="E18" s="154">
        <v>144569179803.24307</v>
      </c>
      <c r="F18" s="154">
        <v>9000000000</v>
      </c>
      <c r="G18" s="154">
        <v>7000000000</v>
      </c>
      <c r="H18" s="154">
        <v>10000000000</v>
      </c>
      <c r="I18" s="154">
        <v>12500000000</v>
      </c>
      <c r="J18" s="154">
        <v>12500000000</v>
      </c>
      <c r="K18" s="154">
        <v>12500000000</v>
      </c>
      <c r="L18" s="154">
        <v>12500000000</v>
      </c>
      <c r="M18" s="154">
        <v>12500000000</v>
      </c>
      <c r="N18" s="154">
        <v>12500000000</v>
      </c>
      <c r="O18" s="154">
        <v>13000000000</v>
      </c>
      <c r="P18" s="154">
        <v>13000000000</v>
      </c>
      <c r="Q18" s="154">
        <v>13000000000</v>
      </c>
      <c r="R18" s="154">
        <v>140000000000</v>
      </c>
    </row>
    <row r="19" spans="2:20" s="157" customFormat="1" outlineLevel="1">
      <c r="B19" s="155" t="s">
        <v>112</v>
      </c>
      <c r="C19" s="156" t="s">
        <v>113</v>
      </c>
      <c r="D19" s="144">
        <v>0</v>
      </c>
      <c r="E19" s="144">
        <v>13748236145.861044</v>
      </c>
      <c r="F19" s="144">
        <v>1125000000</v>
      </c>
      <c r="G19" s="144">
        <v>875000000</v>
      </c>
      <c r="H19" s="144">
        <v>1250000000</v>
      </c>
      <c r="I19" s="144">
        <v>1575000000</v>
      </c>
      <c r="J19" s="144">
        <v>1575000000</v>
      </c>
      <c r="K19" s="144">
        <v>1575000000</v>
      </c>
      <c r="L19" s="144">
        <v>1575000000</v>
      </c>
      <c r="M19" s="144">
        <v>1575000000</v>
      </c>
      <c r="N19" s="144">
        <v>1575000000</v>
      </c>
      <c r="O19" s="144">
        <v>1638000000</v>
      </c>
      <c r="P19" s="144">
        <v>1638000000</v>
      </c>
      <c r="Q19" s="144">
        <v>1638000000</v>
      </c>
      <c r="R19" s="144">
        <v>17614000000</v>
      </c>
    </row>
    <row r="20" spans="2:20" s="157" customFormat="1" outlineLevel="1">
      <c r="B20" s="155"/>
      <c r="C20" s="156" t="s">
        <v>114</v>
      </c>
      <c r="D20" s="144">
        <v>0</v>
      </c>
      <c r="E20" s="144">
        <v>1715398955.2401547</v>
      </c>
      <c r="F20" s="144">
        <v>267750000</v>
      </c>
      <c r="G20" s="144">
        <v>208250000</v>
      </c>
      <c r="H20" s="144">
        <v>297500000</v>
      </c>
      <c r="I20" s="144">
        <v>372500000</v>
      </c>
      <c r="J20" s="144">
        <v>372500000</v>
      </c>
      <c r="K20" s="144">
        <v>372500000</v>
      </c>
      <c r="L20" s="144">
        <v>372500000</v>
      </c>
      <c r="M20" s="144">
        <v>372500000</v>
      </c>
      <c r="N20" s="144">
        <v>372500000</v>
      </c>
      <c r="O20" s="144">
        <v>1192360000</v>
      </c>
      <c r="P20" s="144">
        <v>1192360000</v>
      </c>
      <c r="Q20" s="144">
        <v>1192360000</v>
      </c>
      <c r="R20" s="144">
        <v>6585580000</v>
      </c>
      <c r="T20" s="158"/>
    </row>
    <row r="21" spans="2:20" s="163" customFormat="1">
      <c r="B21" s="159" t="s">
        <v>115</v>
      </c>
      <c r="C21" s="160" t="s">
        <v>116</v>
      </c>
      <c r="D21" s="161">
        <v>0</v>
      </c>
      <c r="E21" s="161">
        <v>0.83120280879649</v>
      </c>
      <c r="F21" s="161">
        <v>0.78157438389956768</v>
      </c>
      <c r="G21" s="161">
        <v>0.78157438389956768</v>
      </c>
      <c r="H21" s="161">
        <v>0.78157438389956768</v>
      </c>
      <c r="I21" s="161">
        <v>0.782506289394301</v>
      </c>
      <c r="J21" s="161">
        <v>0.782506289394301</v>
      </c>
      <c r="K21" s="161">
        <v>0.782506289394301</v>
      </c>
      <c r="L21" s="161">
        <v>0.782506289394301</v>
      </c>
      <c r="M21" s="161">
        <v>0.782506289394301</v>
      </c>
      <c r="N21" s="161">
        <v>0.782506289394301</v>
      </c>
      <c r="O21" s="161">
        <v>0.74995406531349951</v>
      </c>
      <c r="P21" s="161">
        <v>0.74995406531349951</v>
      </c>
      <c r="Q21" s="161">
        <v>0.74995406531349951</v>
      </c>
      <c r="R21" s="161">
        <v>0.77298848071860982</v>
      </c>
      <c r="S21" s="162"/>
    </row>
    <row r="22" spans="2:20" ht="25.5">
      <c r="B22" s="164" t="s">
        <v>117</v>
      </c>
      <c r="C22" s="146" t="s">
        <v>118</v>
      </c>
      <c r="D22" s="154">
        <v>0</v>
      </c>
      <c r="E22" s="154">
        <v>2778989541.8461542</v>
      </c>
      <c r="F22" s="154">
        <v>308026922.05015671</v>
      </c>
      <c r="G22" s="154">
        <v>238895383.81678861</v>
      </c>
      <c r="H22" s="154">
        <v>338114191.16684079</v>
      </c>
      <c r="I22" s="154">
        <v>422423758.48285818</v>
      </c>
      <c r="J22" s="154">
        <v>421123758.48285818</v>
      </c>
      <c r="K22" s="154">
        <v>420782091.48285818</v>
      </c>
      <c r="L22" s="154">
        <v>420158758.48285818</v>
      </c>
      <c r="M22" s="154">
        <v>420273758.48285818</v>
      </c>
      <c r="N22" s="154">
        <v>420008758.48285818</v>
      </c>
      <c r="O22" s="154">
        <v>671656557.57407856</v>
      </c>
      <c r="P22" s="154">
        <v>670116557.57407856</v>
      </c>
      <c r="Q22" s="154">
        <v>670231557.57407856</v>
      </c>
      <c r="R22" s="165">
        <v>5421812053.6531706</v>
      </c>
    </row>
    <row r="23" spans="2:20">
      <c r="B23" s="155" t="s">
        <v>119</v>
      </c>
      <c r="C23" s="153" t="s">
        <v>120</v>
      </c>
      <c r="D23" s="154">
        <v>0</v>
      </c>
      <c r="E23" s="154">
        <v>1409501660</v>
      </c>
      <c r="F23" s="154">
        <v>115678431.81818181</v>
      </c>
      <c r="G23" s="154">
        <v>89972113.63636364</v>
      </c>
      <c r="H23" s="154">
        <v>128531590.90909091</v>
      </c>
      <c r="I23" s="154">
        <v>160712922.07792208</v>
      </c>
      <c r="J23" s="154">
        <v>160712922.07792208</v>
      </c>
      <c r="K23" s="154">
        <v>160712922.07792208</v>
      </c>
      <c r="L23" s="154">
        <v>160712922.07792208</v>
      </c>
      <c r="M23" s="154">
        <v>160712922.07792208</v>
      </c>
      <c r="N23" s="154">
        <v>160712922.07792208</v>
      </c>
      <c r="O23" s="154">
        <v>340096038.96103895</v>
      </c>
      <c r="P23" s="154">
        <v>340096038.96103895</v>
      </c>
      <c r="Q23" s="154">
        <v>340096038.96103895</v>
      </c>
      <c r="R23" s="165">
        <v>2318747785.7142859</v>
      </c>
    </row>
    <row r="24" spans="2:20">
      <c r="B24" s="155" t="s">
        <v>121</v>
      </c>
      <c r="C24" s="153" t="s">
        <v>122</v>
      </c>
      <c r="D24" s="154">
        <v>0</v>
      </c>
      <c r="E24" s="154">
        <v>6160821040</v>
      </c>
      <c r="F24" s="154">
        <v>699596097.03846157</v>
      </c>
      <c r="G24" s="154">
        <v>526971758.15384614</v>
      </c>
      <c r="H24" s="154">
        <v>790245595.07692313</v>
      </c>
      <c r="I24" s="154">
        <v>782977725.96153843</v>
      </c>
      <c r="J24" s="154">
        <v>795226879.15384614</v>
      </c>
      <c r="K24" s="154">
        <v>800667725.96153843</v>
      </c>
      <c r="L24" s="154">
        <v>826201238</v>
      </c>
      <c r="M24" s="154">
        <v>826201238</v>
      </c>
      <c r="N24" s="154">
        <v>761529136.03846157</v>
      </c>
      <c r="O24" s="154">
        <v>865764750.03846157</v>
      </c>
      <c r="P24" s="154">
        <v>865937725.96153843</v>
      </c>
      <c r="Q24" s="154">
        <v>856091237.99999988</v>
      </c>
      <c r="R24" s="165">
        <v>9397411107.3846149</v>
      </c>
      <c r="S24" s="166">
        <v>9050781100</v>
      </c>
      <c r="T24" s="166"/>
    </row>
    <row r="25" spans="2:20" s="126" customFormat="1">
      <c r="B25" s="150">
        <v>3.2</v>
      </c>
      <c r="C25" s="151" t="s">
        <v>123</v>
      </c>
      <c r="D25" s="149">
        <v>0</v>
      </c>
      <c r="E25" s="149">
        <v>3127900000</v>
      </c>
      <c r="F25" s="149">
        <v>259100625</v>
      </c>
      <c r="G25" s="149">
        <v>201522708.33333331</v>
      </c>
      <c r="H25" s="149">
        <v>287889583.33333331</v>
      </c>
      <c r="I25" s="149">
        <v>359368750</v>
      </c>
      <c r="J25" s="149">
        <v>359368750</v>
      </c>
      <c r="K25" s="149">
        <v>359368750</v>
      </c>
      <c r="L25" s="149">
        <v>359368750</v>
      </c>
      <c r="M25" s="149">
        <v>359368750</v>
      </c>
      <c r="N25" s="149">
        <v>359368750</v>
      </c>
      <c r="O25" s="149">
        <v>329657033.33333337</v>
      </c>
      <c r="P25" s="149">
        <v>329657033.33333337</v>
      </c>
      <c r="Q25" s="149">
        <v>329657033.33333337</v>
      </c>
      <c r="R25" s="149">
        <v>3893696516.666667</v>
      </c>
      <c r="S25" s="166">
        <v>-346630007.38461494</v>
      </c>
      <c r="T25" s="167"/>
    </row>
    <row r="26" spans="2:20" outlineLevel="1" collapsed="1">
      <c r="B26" s="152"/>
      <c r="C26" s="153" t="s">
        <v>124</v>
      </c>
      <c r="D26" s="154">
        <v>0</v>
      </c>
      <c r="E26" s="154">
        <v>3127900000</v>
      </c>
      <c r="F26" s="154">
        <v>259100625</v>
      </c>
      <c r="G26" s="154">
        <v>201522708.33333331</v>
      </c>
      <c r="H26" s="154">
        <v>287889583.33333331</v>
      </c>
      <c r="I26" s="154">
        <v>359368750</v>
      </c>
      <c r="J26" s="154">
        <v>359368750</v>
      </c>
      <c r="K26" s="154">
        <v>359368750</v>
      </c>
      <c r="L26" s="154">
        <v>359368750</v>
      </c>
      <c r="M26" s="154">
        <v>359368750</v>
      </c>
      <c r="N26" s="154">
        <v>359368750</v>
      </c>
      <c r="O26" s="154">
        <v>329657033.33333337</v>
      </c>
      <c r="P26" s="154">
        <v>329657033.33333337</v>
      </c>
      <c r="Q26" s="154">
        <v>329657033.33333337</v>
      </c>
      <c r="R26" s="154">
        <v>3893696516.666667</v>
      </c>
      <c r="S26" s="166"/>
      <c r="T26" s="166"/>
    </row>
    <row r="27" spans="2:20" s="126" customFormat="1">
      <c r="B27" s="139">
        <v>4</v>
      </c>
      <c r="C27" s="140" t="s">
        <v>125</v>
      </c>
      <c r="D27" s="141">
        <v>64684339330</v>
      </c>
      <c r="E27" s="141">
        <v>15881292357.91078</v>
      </c>
      <c r="F27" s="141">
        <v>1132816674.0931988</v>
      </c>
      <c r="G27" s="141">
        <v>898919286.05966854</v>
      </c>
      <c r="H27" s="141">
        <v>1249906539.5138111</v>
      </c>
      <c r="I27" s="141">
        <v>1748829343.4776802</v>
      </c>
      <c r="J27" s="141">
        <v>1737880190.2853718</v>
      </c>
      <c r="K27" s="141">
        <v>1732781010.4776802</v>
      </c>
      <c r="L27" s="141">
        <v>1707870831.4392185</v>
      </c>
      <c r="M27" s="141">
        <v>1707755831.4392185</v>
      </c>
      <c r="N27" s="141">
        <v>1772692933.4007568</v>
      </c>
      <c r="O27" s="141">
        <v>2127220620.0930882</v>
      </c>
      <c r="P27" s="141">
        <v>2128587644.1700115</v>
      </c>
      <c r="Q27" s="141">
        <v>2138319132.1315498</v>
      </c>
      <c r="R27" s="141">
        <v>20083580036.581257</v>
      </c>
      <c r="S27" s="167">
        <v>208875731492.3299</v>
      </c>
      <c r="T27" s="167" t="e">
        <v>#DIV/0!</v>
      </c>
    </row>
    <row r="28" spans="2:20" s="163" customFormat="1">
      <c r="B28" s="168" t="s">
        <v>126</v>
      </c>
      <c r="C28" s="160" t="s">
        <v>127</v>
      </c>
      <c r="D28" s="161">
        <v>0</v>
      </c>
      <c r="E28" s="161">
        <v>9.130974411821037E-2</v>
      </c>
      <c r="F28" s="161">
        <v>9.8375610458394352E-2</v>
      </c>
      <c r="G28" s="161">
        <v>0.10036746959678924</v>
      </c>
      <c r="H28" s="161">
        <v>9.7689493355254758E-2</v>
      </c>
      <c r="I28" s="161">
        <v>0.10947759682788728</v>
      </c>
      <c r="J28" s="161">
        <v>0.10879217432896544</v>
      </c>
      <c r="K28" s="161">
        <v>0.10847296310734375</v>
      </c>
      <c r="L28" s="161">
        <v>0.10691357336594101</v>
      </c>
      <c r="M28" s="161">
        <v>0.10690637430807857</v>
      </c>
      <c r="N28" s="161">
        <v>0.110971469564074</v>
      </c>
      <c r="O28" s="161">
        <v>0.12271675014288576</v>
      </c>
      <c r="P28" s="161">
        <v>0.12279561208626039</v>
      </c>
      <c r="Q28" s="161">
        <v>0.12335700969843769</v>
      </c>
      <c r="R28" s="161">
        <v>0.11088840014191106</v>
      </c>
      <c r="S28" s="169">
        <v>17406310957.694157</v>
      </c>
      <c r="T28" s="170" t="e">
        <v>#DIV/0!</v>
      </c>
    </row>
    <row r="29" spans="2:20" s="126" customFormat="1">
      <c r="B29" s="150">
        <v>5</v>
      </c>
      <c r="C29" s="151" t="s">
        <v>128</v>
      </c>
      <c r="D29" s="149">
        <v>0</v>
      </c>
      <c r="E29" s="149">
        <v>11547786451</v>
      </c>
      <c r="F29" s="149">
        <v>983270292.07222223</v>
      </c>
      <c r="G29" s="149">
        <v>970092470.73888898</v>
      </c>
      <c r="H29" s="149">
        <v>946102015.73888874</v>
      </c>
      <c r="I29" s="149">
        <v>985198821.96111107</v>
      </c>
      <c r="J29" s="149">
        <v>995169981.25229883</v>
      </c>
      <c r="K29" s="149">
        <v>1029384282.2101533</v>
      </c>
      <c r="L29" s="149">
        <v>1031294034.3212645</v>
      </c>
      <c r="M29" s="149">
        <v>1038430056.6545978</v>
      </c>
      <c r="N29" s="149">
        <v>1092620660.4323754</v>
      </c>
      <c r="O29" s="149">
        <v>1084198349.6545978</v>
      </c>
      <c r="P29" s="149">
        <v>1124733981.6545978</v>
      </c>
      <c r="Q29" s="149">
        <v>1120582969.5434866</v>
      </c>
      <c r="R29" s="149">
        <v>12401077916.234486</v>
      </c>
      <c r="S29" s="167">
        <v>16957340236.721554</v>
      </c>
      <c r="T29" s="171" t="e">
        <v>#DIV/0!</v>
      </c>
    </row>
    <row r="30" spans="2:20" collapsed="1">
      <c r="B30" s="152">
        <v>5.0999999999999996</v>
      </c>
      <c r="C30" s="146" t="s">
        <v>129</v>
      </c>
      <c r="D30" s="154">
        <v>0</v>
      </c>
      <c r="E30" s="154">
        <v>3749845944</v>
      </c>
      <c r="F30" s="154">
        <v>296914317.33333331</v>
      </c>
      <c r="G30" s="154">
        <v>294603662.33333331</v>
      </c>
      <c r="H30" s="154">
        <v>282254749.33333331</v>
      </c>
      <c r="I30" s="154">
        <v>305060166.33333331</v>
      </c>
      <c r="J30" s="154">
        <v>289775491.33333331</v>
      </c>
      <c r="K30" s="154">
        <v>305322666.33333331</v>
      </c>
      <c r="L30" s="154">
        <v>298077765.33333331</v>
      </c>
      <c r="M30" s="154">
        <v>298077765.33333331</v>
      </c>
      <c r="N30" s="154">
        <v>304968925.33333331</v>
      </c>
      <c r="O30" s="154">
        <v>290167159.33333331</v>
      </c>
      <c r="P30" s="154">
        <v>305322666.33333331</v>
      </c>
      <c r="Q30" s="154">
        <v>298077765.33333331</v>
      </c>
      <c r="R30" s="154">
        <v>3568623100.0000005</v>
      </c>
    </row>
    <row r="31" spans="2:20">
      <c r="B31" s="152">
        <v>5.2</v>
      </c>
      <c r="C31" s="146" t="s">
        <v>130</v>
      </c>
      <c r="D31" s="154">
        <v>0</v>
      </c>
      <c r="E31" s="154">
        <v>5585152224</v>
      </c>
      <c r="F31" s="154">
        <v>461679352</v>
      </c>
      <c r="G31" s="154">
        <v>461679352</v>
      </c>
      <c r="H31" s="154">
        <v>461679352</v>
      </c>
      <c r="I31" s="154">
        <v>461679352</v>
      </c>
      <c r="J31" s="154">
        <v>461679352</v>
      </c>
      <c r="K31" s="154">
        <v>461679352</v>
      </c>
      <c r="L31" s="154">
        <v>461679352</v>
      </c>
      <c r="M31" s="154">
        <v>461679352</v>
      </c>
      <c r="N31" s="154">
        <v>461679352</v>
      </c>
      <c r="O31" s="154">
        <v>461679352</v>
      </c>
      <c r="P31" s="154">
        <v>461679352</v>
      </c>
      <c r="Q31" s="154">
        <v>461679352</v>
      </c>
      <c r="R31" s="154">
        <v>5540152224</v>
      </c>
    </row>
    <row r="32" spans="2:20" ht="25.5">
      <c r="B32" s="172">
        <v>5.3</v>
      </c>
      <c r="C32" s="146" t="s">
        <v>131</v>
      </c>
      <c r="D32" s="154">
        <v>0</v>
      </c>
      <c r="E32" s="154">
        <v>2212788283</v>
      </c>
      <c r="F32" s="154">
        <v>224676622.73888892</v>
      </c>
      <c r="G32" s="154">
        <v>213809456.40555567</v>
      </c>
      <c r="H32" s="154">
        <v>202167914.40555543</v>
      </c>
      <c r="I32" s="154">
        <v>218459303.62777776</v>
      </c>
      <c r="J32" s="154">
        <v>243715137.91896552</v>
      </c>
      <c r="K32" s="154">
        <v>262382263.87682003</v>
      </c>
      <c r="L32" s="154">
        <v>271536916.98793119</v>
      </c>
      <c r="M32" s="154">
        <v>278672939.32126445</v>
      </c>
      <c r="N32" s="154">
        <v>325972383.09904212</v>
      </c>
      <c r="O32" s="154">
        <v>332351838.32126445</v>
      </c>
      <c r="P32" s="154">
        <v>357731963.32126445</v>
      </c>
      <c r="Q32" s="154">
        <v>360825852.21015328</v>
      </c>
      <c r="R32" s="154">
        <v>3292302592.2344828</v>
      </c>
    </row>
    <row r="33" spans="2:19" s="126" customFormat="1">
      <c r="B33" s="150">
        <v>6</v>
      </c>
      <c r="C33" s="148" t="s">
        <v>132</v>
      </c>
      <c r="D33" s="149">
        <v>0</v>
      </c>
      <c r="E33" s="149">
        <v>7149747131</v>
      </c>
      <c r="F33" s="173">
        <v>377484612.26281112</v>
      </c>
      <c r="G33" s="173">
        <v>377484612.26281112</v>
      </c>
      <c r="H33" s="173">
        <v>374920976.26281112</v>
      </c>
      <c r="I33" s="173">
        <v>374920976.26281112</v>
      </c>
      <c r="J33" s="173">
        <v>374920976.26281112</v>
      </c>
      <c r="K33" s="173">
        <v>374920976.26281112</v>
      </c>
      <c r="L33" s="173">
        <v>374920976.26281112</v>
      </c>
      <c r="M33" s="173">
        <v>374920976.26281112</v>
      </c>
      <c r="N33" s="173">
        <v>374920976.26281112</v>
      </c>
      <c r="O33" s="173">
        <v>392282087.37392223</v>
      </c>
      <c r="P33" s="173">
        <v>392282087.37392223</v>
      </c>
      <c r="Q33" s="173">
        <v>392282087.37392223</v>
      </c>
      <c r="R33" s="173">
        <v>4556262320.4870672</v>
      </c>
    </row>
    <row r="34" spans="2:19" s="126" customFormat="1" collapsed="1">
      <c r="B34" s="139">
        <v>7</v>
      </c>
      <c r="C34" s="140" t="s">
        <v>133</v>
      </c>
      <c r="D34" s="141">
        <v>64684339330</v>
      </c>
      <c r="E34" s="141">
        <v>-2816241224.08922</v>
      </c>
      <c r="F34" s="141">
        <v>-227938230.24183458</v>
      </c>
      <c r="G34" s="141">
        <v>-448657796.94203156</v>
      </c>
      <c r="H34" s="141">
        <v>-71116452.487888753</v>
      </c>
      <c r="I34" s="141">
        <v>388709545.25375801</v>
      </c>
      <c r="J34" s="141">
        <v>367789232.77026182</v>
      </c>
      <c r="K34" s="141">
        <v>328475752.00471574</v>
      </c>
      <c r="L34" s="141">
        <v>301655820.85514289</v>
      </c>
      <c r="M34" s="141">
        <v>294404798.52180964</v>
      </c>
      <c r="N34" s="141">
        <v>305151296.70557028</v>
      </c>
      <c r="O34" s="141">
        <v>650740183.06456816</v>
      </c>
      <c r="P34" s="141">
        <v>611571575.14149153</v>
      </c>
      <c r="Q34" s="141">
        <v>625454075.21414101</v>
      </c>
      <c r="R34" s="141">
        <v>3126239799.859704</v>
      </c>
    </row>
    <row r="35" spans="2:19" s="163" customFormat="1">
      <c r="B35" s="168" t="s">
        <v>134</v>
      </c>
      <c r="C35" s="160" t="s">
        <v>135</v>
      </c>
      <c r="D35" s="161">
        <v>0</v>
      </c>
      <c r="E35" s="161">
        <v>-1.6192023907843415E-2</v>
      </c>
      <c r="F35" s="161">
        <v>-1.9794520207602185E-2</v>
      </c>
      <c r="G35" s="161">
        <v>-5.0094205889529383E-2</v>
      </c>
      <c r="H35" s="161">
        <v>-5.5582797538344534E-3</v>
      </c>
      <c r="I35" s="161">
        <v>2.4333413112693145E-2</v>
      </c>
      <c r="J35" s="161">
        <v>2.3023791025138754E-2</v>
      </c>
      <c r="K35" s="161">
        <v>2.0562747348577021E-2</v>
      </c>
      <c r="L35" s="161">
        <v>1.8883806164123988E-2</v>
      </c>
      <c r="M35" s="161">
        <v>1.8429888517694244E-2</v>
      </c>
      <c r="N35" s="161">
        <v>1.9102624711114815E-2</v>
      </c>
      <c r="O35" s="161">
        <v>3.7540403519394139E-2</v>
      </c>
      <c r="P35" s="161">
        <v>3.5280814539041687E-2</v>
      </c>
      <c r="Q35" s="161">
        <v>3.6081678951826179E-2</v>
      </c>
      <c r="R35" s="161">
        <v>1.726105252325431E-2</v>
      </c>
      <c r="S35" s="162"/>
    </row>
    <row r="36" spans="2:19" s="126" customFormat="1">
      <c r="B36" s="150">
        <v>8</v>
      </c>
      <c r="C36" s="148" t="s">
        <v>136</v>
      </c>
      <c r="D36" s="149">
        <v>0</v>
      </c>
      <c r="E36" s="149">
        <v>0</v>
      </c>
      <c r="F36" s="149">
        <v>0</v>
      </c>
      <c r="G36" s="149">
        <v>0</v>
      </c>
      <c r="H36" s="149">
        <v>0</v>
      </c>
      <c r="I36" s="149">
        <v>0</v>
      </c>
      <c r="J36" s="149">
        <v>0</v>
      </c>
      <c r="K36" s="149">
        <v>0</v>
      </c>
      <c r="L36" s="149">
        <v>0</v>
      </c>
      <c r="M36" s="149">
        <v>0</v>
      </c>
      <c r="N36" s="149">
        <v>0</v>
      </c>
      <c r="O36" s="149">
        <v>0</v>
      </c>
      <c r="P36" s="149">
        <v>0</v>
      </c>
      <c r="Q36" s="149">
        <v>0</v>
      </c>
      <c r="R36" s="149">
        <v>0</v>
      </c>
    </row>
    <row r="37" spans="2:19" outlineLevel="1" collapsed="1">
      <c r="B37" s="152">
        <v>8.1</v>
      </c>
      <c r="C37" s="146" t="s">
        <v>137</v>
      </c>
      <c r="D37" s="154">
        <v>0</v>
      </c>
      <c r="E37" s="154">
        <v>0</v>
      </c>
      <c r="F37" s="154">
        <v>0</v>
      </c>
      <c r="G37" s="154">
        <v>0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</row>
    <row r="38" spans="2:19" outlineLevel="1">
      <c r="B38" s="152">
        <v>8.1999999999999993</v>
      </c>
      <c r="C38" s="146" t="s">
        <v>138</v>
      </c>
      <c r="D38" s="154">
        <v>0</v>
      </c>
      <c r="E38" s="154">
        <v>0</v>
      </c>
      <c r="F38" s="154">
        <v>0</v>
      </c>
      <c r="G38" s="154">
        <v>0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0</v>
      </c>
      <c r="Q38" s="154">
        <v>0</v>
      </c>
      <c r="R38" s="154">
        <v>0</v>
      </c>
    </row>
    <row r="39" spans="2:19" outlineLevel="1">
      <c r="B39" s="152">
        <v>83</v>
      </c>
      <c r="C39" s="146" t="s">
        <v>139</v>
      </c>
      <c r="D39" s="154">
        <v>0</v>
      </c>
      <c r="E39" s="154">
        <v>0</v>
      </c>
      <c r="F39" s="154">
        <v>0</v>
      </c>
      <c r="G39" s="154">
        <v>0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0</v>
      </c>
      <c r="Q39" s="154">
        <v>0</v>
      </c>
      <c r="R39" s="154">
        <v>0</v>
      </c>
    </row>
    <row r="40" spans="2:19" s="126" customFormat="1">
      <c r="B40" s="150">
        <v>9</v>
      </c>
      <c r="C40" s="148" t="s">
        <v>140</v>
      </c>
      <c r="D40" s="149">
        <v>0</v>
      </c>
      <c r="E40" s="149">
        <v>3919574163</v>
      </c>
      <c r="F40" s="149">
        <v>551489225.9685992</v>
      </c>
      <c r="G40" s="149">
        <v>485344775.63526577</v>
      </c>
      <c r="H40" s="149">
        <v>514559412.30193239</v>
      </c>
      <c r="I40" s="149">
        <v>519391252.74637687</v>
      </c>
      <c r="J40" s="149">
        <v>500916290.24637687</v>
      </c>
      <c r="K40" s="149">
        <v>663703196.49082148</v>
      </c>
      <c r="L40" s="149">
        <v>488476334.29082137</v>
      </c>
      <c r="M40" s="149">
        <v>518851334.09082139</v>
      </c>
      <c r="N40" s="149">
        <v>497541535.79082137</v>
      </c>
      <c r="O40" s="149">
        <v>479061515.12415469</v>
      </c>
      <c r="P40" s="149">
        <v>494598239.12415469</v>
      </c>
      <c r="Q40" s="149">
        <v>490622345.12415469</v>
      </c>
      <c r="R40" s="149">
        <v>6204555456.9343014</v>
      </c>
      <c r="S40" s="111">
        <v>6204555456.9343004</v>
      </c>
    </row>
    <row r="41" spans="2:19" collapsed="1">
      <c r="B41" s="152">
        <v>9.1</v>
      </c>
      <c r="C41" s="153" t="s">
        <v>137</v>
      </c>
      <c r="D41" s="154">
        <v>0</v>
      </c>
      <c r="E41" s="154">
        <v>2289784061</v>
      </c>
      <c r="F41" s="154">
        <v>324799137.66666669</v>
      </c>
      <c r="G41" s="154">
        <v>325691015.66666669</v>
      </c>
      <c r="H41" s="154">
        <v>309654659.66666669</v>
      </c>
      <c r="I41" s="154">
        <v>332723245.66666669</v>
      </c>
      <c r="J41" s="154">
        <v>319935783.66666669</v>
      </c>
      <c r="K41" s="154">
        <v>333028245.66666669</v>
      </c>
      <c r="L41" s="154">
        <v>325801383.66666669</v>
      </c>
      <c r="M41" s="154">
        <v>325801383.66666669</v>
      </c>
      <c r="N41" s="154">
        <v>333409875.66666669</v>
      </c>
      <c r="O41" s="154">
        <v>317796521.66666669</v>
      </c>
      <c r="P41" s="154">
        <v>333333245.66666669</v>
      </c>
      <c r="Q41" s="154">
        <v>325496383.66666669</v>
      </c>
      <c r="R41" s="154">
        <v>3907470881.9999995</v>
      </c>
      <c r="S41" s="111" t="s">
        <v>141</v>
      </c>
    </row>
    <row r="42" spans="2:19">
      <c r="B42" s="152">
        <v>9.1999999999999993</v>
      </c>
      <c r="C42" s="153" t="s">
        <v>142</v>
      </c>
      <c r="D42" s="154">
        <v>0</v>
      </c>
      <c r="E42" s="154">
        <v>1543688629</v>
      </c>
      <c r="F42" s="154">
        <v>224046622.28438854</v>
      </c>
      <c r="G42" s="154">
        <v>157010293.95105523</v>
      </c>
      <c r="H42" s="154">
        <v>202261286.61772186</v>
      </c>
      <c r="I42" s="154">
        <v>184024541.06216633</v>
      </c>
      <c r="J42" s="154">
        <v>178337040.56216633</v>
      </c>
      <c r="K42" s="154">
        <v>328031484.80661094</v>
      </c>
      <c r="L42" s="154">
        <v>160031484.60661083</v>
      </c>
      <c r="M42" s="154">
        <v>190406484.40661085</v>
      </c>
      <c r="N42" s="154">
        <v>161488194.10661083</v>
      </c>
      <c r="O42" s="154">
        <v>158621527.43994415</v>
      </c>
      <c r="P42" s="154">
        <v>158621527.43994415</v>
      </c>
      <c r="Q42" s="154">
        <v>162482495.43994415</v>
      </c>
      <c r="R42" s="154">
        <v>2265362982.7237744</v>
      </c>
      <c r="S42" s="111" t="s">
        <v>143</v>
      </c>
    </row>
    <row r="43" spans="2:19">
      <c r="B43" s="152">
        <v>9.3000000000000007</v>
      </c>
      <c r="C43" s="153" t="s">
        <v>139</v>
      </c>
      <c r="D43" s="154">
        <v>0</v>
      </c>
      <c r="E43" s="154">
        <v>86101473</v>
      </c>
      <c r="F43" s="165">
        <v>2643466.0175438598</v>
      </c>
      <c r="G43" s="165">
        <v>2643466.0175438598</v>
      </c>
      <c r="H43" s="165">
        <v>2643466.0175438598</v>
      </c>
      <c r="I43" s="165">
        <v>2643466.0175438598</v>
      </c>
      <c r="J43" s="165">
        <v>2643466.0175438598</v>
      </c>
      <c r="K43" s="165">
        <v>2643466.0175438598</v>
      </c>
      <c r="L43" s="165">
        <v>2643466.0175438598</v>
      </c>
      <c r="M43" s="165">
        <v>2643466.0175438598</v>
      </c>
      <c r="N43" s="165">
        <v>2643466.0175438598</v>
      </c>
      <c r="O43" s="165">
        <v>2643466.0175438598</v>
      </c>
      <c r="P43" s="165">
        <v>2643466.0175438598</v>
      </c>
      <c r="Q43" s="165">
        <v>2643466.0175438598</v>
      </c>
      <c r="R43" s="165">
        <v>31721592.210526317</v>
      </c>
      <c r="S43" s="174"/>
    </row>
    <row r="44" spans="2:19" s="126" customFormat="1">
      <c r="B44" s="150">
        <v>10</v>
      </c>
      <c r="C44" s="151" t="s">
        <v>144</v>
      </c>
      <c r="D44" s="149">
        <v>0</v>
      </c>
      <c r="E44" s="149">
        <v>82396393</v>
      </c>
      <c r="F44" s="149">
        <v>0</v>
      </c>
      <c r="G44" s="149">
        <v>0</v>
      </c>
      <c r="H44" s="149">
        <v>0</v>
      </c>
      <c r="I44" s="149">
        <v>0</v>
      </c>
      <c r="J44" s="149">
        <v>0</v>
      </c>
      <c r="K44" s="149">
        <v>0</v>
      </c>
      <c r="L44" s="149">
        <v>0</v>
      </c>
      <c r="M44" s="149">
        <v>0</v>
      </c>
      <c r="N44" s="149">
        <v>0</v>
      </c>
      <c r="O44" s="149">
        <v>0</v>
      </c>
      <c r="P44" s="149">
        <v>0</v>
      </c>
      <c r="Q44" s="149">
        <v>0</v>
      </c>
      <c r="R44" s="149">
        <v>0</v>
      </c>
    </row>
    <row r="45" spans="2:19" s="126" customFormat="1" ht="25.5" collapsed="1">
      <c r="B45" s="139">
        <v>11</v>
      </c>
      <c r="C45" s="140" t="s">
        <v>145</v>
      </c>
      <c r="D45" s="141">
        <v>64684339330</v>
      </c>
      <c r="E45" s="141">
        <v>-6653418994.08922</v>
      </c>
      <c r="F45" s="141">
        <v>-779427456.21043372</v>
      </c>
      <c r="G45" s="141">
        <v>-934002572.57729733</v>
      </c>
      <c r="H45" s="141">
        <v>-585675864.78982115</v>
      </c>
      <c r="I45" s="141">
        <v>-130681707.49261886</v>
      </c>
      <c r="J45" s="141">
        <v>-133127057.47611505</v>
      </c>
      <c r="K45" s="141">
        <v>-335227444.48610574</v>
      </c>
      <c r="L45" s="141">
        <v>-186820513.43567848</v>
      </c>
      <c r="M45" s="141">
        <v>-224446535.56901175</v>
      </c>
      <c r="N45" s="141">
        <v>-192390239.08525109</v>
      </c>
      <c r="O45" s="141">
        <v>171678667.94041348</v>
      </c>
      <c r="P45" s="141">
        <v>116973336.01733685</v>
      </c>
      <c r="Q45" s="141">
        <v>134831730.08998632</v>
      </c>
      <c r="R45" s="141">
        <v>-3078315657.0745969</v>
      </c>
    </row>
    <row r="46" spans="2:19" s="126" customFormat="1">
      <c r="B46" s="150">
        <v>12</v>
      </c>
      <c r="C46" s="151" t="s">
        <v>146</v>
      </c>
      <c r="D46" s="149">
        <v>0</v>
      </c>
      <c r="E46" s="149">
        <v>0</v>
      </c>
      <c r="F46" s="149">
        <v>0</v>
      </c>
      <c r="G46" s="149">
        <v>0</v>
      </c>
      <c r="H46" s="149">
        <v>0</v>
      </c>
      <c r="I46" s="149">
        <v>0</v>
      </c>
      <c r="J46" s="149">
        <v>0</v>
      </c>
      <c r="K46" s="149">
        <v>0</v>
      </c>
      <c r="L46" s="149">
        <v>0</v>
      </c>
      <c r="M46" s="149">
        <v>0</v>
      </c>
      <c r="N46" s="149">
        <v>0</v>
      </c>
      <c r="O46" s="149">
        <v>0</v>
      </c>
      <c r="P46" s="149">
        <v>0</v>
      </c>
      <c r="Q46" s="149">
        <v>0</v>
      </c>
      <c r="R46" s="149">
        <v>0</v>
      </c>
    </row>
    <row r="47" spans="2:19" s="126" customFormat="1">
      <c r="B47" s="150">
        <v>13</v>
      </c>
      <c r="C47" s="151" t="s">
        <v>147</v>
      </c>
      <c r="D47" s="149">
        <v>0</v>
      </c>
      <c r="E47" s="149">
        <v>0</v>
      </c>
      <c r="F47" s="149">
        <v>0</v>
      </c>
      <c r="G47" s="149">
        <v>0</v>
      </c>
      <c r="H47" s="149">
        <v>0</v>
      </c>
      <c r="I47" s="149">
        <v>0</v>
      </c>
      <c r="J47" s="149">
        <v>0</v>
      </c>
      <c r="K47" s="149">
        <v>0</v>
      </c>
      <c r="L47" s="149">
        <v>0</v>
      </c>
      <c r="M47" s="149">
        <v>0</v>
      </c>
      <c r="N47" s="149">
        <v>0</v>
      </c>
      <c r="O47" s="149">
        <v>0</v>
      </c>
      <c r="P47" s="149">
        <v>0</v>
      </c>
      <c r="Q47" s="149">
        <v>0</v>
      </c>
      <c r="R47" s="149">
        <v>0</v>
      </c>
    </row>
    <row r="48" spans="2:19" s="157" customFormat="1">
      <c r="B48" s="155">
        <v>13.1</v>
      </c>
      <c r="C48" s="156" t="s">
        <v>148</v>
      </c>
      <c r="D48" s="144">
        <v>0</v>
      </c>
      <c r="E48" s="144">
        <v>0</v>
      </c>
      <c r="F48" s="144">
        <v>0</v>
      </c>
      <c r="G48" s="144">
        <v>0</v>
      </c>
      <c r="H48" s="144">
        <v>0</v>
      </c>
      <c r="I48" s="144">
        <v>0</v>
      </c>
      <c r="J48" s="144">
        <v>0</v>
      </c>
      <c r="K48" s="144">
        <v>0</v>
      </c>
      <c r="L48" s="144">
        <v>0</v>
      </c>
      <c r="M48" s="144">
        <v>0</v>
      </c>
      <c r="N48" s="144">
        <v>0</v>
      </c>
      <c r="O48" s="144">
        <v>0</v>
      </c>
      <c r="P48" s="144">
        <v>0</v>
      </c>
      <c r="Q48" s="144">
        <v>0</v>
      </c>
      <c r="R48" s="144">
        <v>0</v>
      </c>
    </row>
    <row r="49" spans="2:23" s="126" customFormat="1" collapsed="1">
      <c r="B49" s="139">
        <v>14</v>
      </c>
      <c r="C49" s="140" t="s">
        <v>149</v>
      </c>
      <c r="D49" s="141">
        <v>64684339330</v>
      </c>
      <c r="E49" s="141">
        <v>-6653418994.08922</v>
      </c>
      <c r="F49" s="141">
        <v>-779427456.21043372</v>
      </c>
      <c r="G49" s="141">
        <v>-934002572.57729733</v>
      </c>
      <c r="H49" s="141">
        <v>-585675864.78982115</v>
      </c>
      <c r="I49" s="141">
        <v>-130681707.49261886</v>
      </c>
      <c r="J49" s="141">
        <v>-133127057.47611505</v>
      </c>
      <c r="K49" s="141">
        <v>-335227444.48610574</v>
      </c>
      <c r="L49" s="141">
        <v>-186820513.43567848</v>
      </c>
      <c r="M49" s="141">
        <v>-224446535.56901175</v>
      </c>
      <c r="N49" s="141">
        <v>-192390239.08525109</v>
      </c>
      <c r="O49" s="141">
        <v>171678667.94041348</v>
      </c>
      <c r="P49" s="141">
        <v>116973336.01733685</v>
      </c>
      <c r="Q49" s="141">
        <v>134831730.08998632</v>
      </c>
      <c r="R49" s="141">
        <v>-3078315657.0745969</v>
      </c>
    </row>
    <row r="50" spans="2:23">
      <c r="B50" s="152">
        <v>15</v>
      </c>
      <c r="C50" s="153" t="s">
        <v>150</v>
      </c>
      <c r="D50" s="154">
        <v>0</v>
      </c>
      <c r="E50" s="154">
        <v>0</v>
      </c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>
        <v>0</v>
      </c>
    </row>
    <row r="51" spans="2:23" s="126" customFormat="1" collapsed="1">
      <c r="B51" s="139">
        <v>16</v>
      </c>
      <c r="C51" s="140" t="s">
        <v>151</v>
      </c>
      <c r="D51" s="141">
        <v>64684339330</v>
      </c>
      <c r="E51" s="141">
        <v>-6779760836.08922</v>
      </c>
      <c r="F51" s="141">
        <v>-779427456.21043372</v>
      </c>
      <c r="G51" s="141">
        <v>-934002572.57729733</v>
      </c>
      <c r="H51" s="141">
        <v>-585675864.78982115</v>
      </c>
      <c r="I51" s="141">
        <v>-130681707.49261886</v>
      </c>
      <c r="J51" s="141">
        <v>-133127057.47611505</v>
      </c>
      <c r="K51" s="141">
        <v>-335227444.48610574</v>
      </c>
      <c r="L51" s="141">
        <v>-186820513.43567848</v>
      </c>
      <c r="M51" s="141">
        <v>-224446535.56901175</v>
      </c>
      <c r="N51" s="141">
        <v>-192390239.08525109</v>
      </c>
      <c r="O51" s="141">
        <v>171678667.94041348</v>
      </c>
      <c r="P51" s="141">
        <v>116973336.01733685</v>
      </c>
      <c r="Q51" s="141">
        <v>134831730.08998632</v>
      </c>
      <c r="R51" s="141">
        <v>-3078315657.0745969</v>
      </c>
    </row>
    <row r="52" spans="2:23" s="177" customFormat="1">
      <c r="B52" s="175" t="s">
        <v>152</v>
      </c>
      <c r="C52" s="160" t="s">
        <v>153</v>
      </c>
      <c r="D52" s="161">
        <v>0.37864333260711308</v>
      </c>
      <c r="E52" s="176">
        <v>-3.8980343234951267E-2</v>
      </c>
      <c r="F52" s="176">
        <v>-6.7686725986897442E-2</v>
      </c>
      <c r="G52" s="176">
        <v>-0.10428464074610178</v>
      </c>
      <c r="H52" s="176">
        <v>-4.5774925318795096E-2</v>
      </c>
      <c r="I52" s="176">
        <v>-8.1807406417408485E-3</v>
      </c>
      <c r="J52" s="176">
        <v>-8.3338207810893308E-3</v>
      </c>
      <c r="K52" s="176">
        <v>-2.098540669503653E-2</v>
      </c>
      <c r="L52" s="176">
        <v>-1.1695058140103274E-2</v>
      </c>
      <c r="M52" s="176">
        <v>-1.4050466057241071E-2</v>
      </c>
      <c r="N52" s="176">
        <v>-1.204372576818258E-2</v>
      </c>
      <c r="O52" s="176">
        <v>9.9039319191938039E-3</v>
      </c>
      <c r="P52" s="176">
        <v>6.7480483753449049E-3</v>
      </c>
      <c r="Q52" s="176">
        <v>7.7782772395567495E-3</v>
      </c>
      <c r="R52" s="176">
        <v>-1.6996446735245727E-2</v>
      </c>
      <c r="S52" s="162"/>
    </row>
    <row r="53" spans="2:23">
      <c r="B53" s="152">
        <v>17</v>
      </c>
      <c r="C53" s="153" t="s">
        <v>139</v>
      </c>
      <c r="D53" s="154">
        <v>0</v>
      </c>
      <c r="E53" s="154">
        <v>7235848604</v>
      </c>
      <c r="F53" s="154">
        <v>380128078.28035498</v>
      </c>
      <c r="G53" s="154">
        <v>380128078.28035498</v>
      </c>
      <c r="H53" s="154">
        <v>377564442.28035498</v>
      </c>
      <c r="I53" s="154">
        <v>377564442.28035498</v>
      </c>
      <c r="J53" s="154">
        <v>377564442.28035498</v>
      </c>
      <c r="K53" s="154">
        <v>377564442.28035498</v>
      </c>
      <c r="L53" s="154">
        <v>377564442.28035498</v>
      </c>
      <c r="M53" s="154">
        <v>377564442.28035498</v>
      </c>
      <c r="N53" s="154">
        <v>377564442.28035498</v>
      </c>
      <c r="O53" s="154">
        <v>394925553.39146608</v>
      </c>
      <c r="P53" s="154">
        <v>394925553.39146608</v>
      </c>
      <c r="Q53" s="154">
        <v>394925553.39146608</v>
      </c>
      <c r="R53" s="154">
        <v>4587983912.6975927</v>
      </c>
      <c r="T53" s="162"/>
      <c r="U53" s="177"/>
      <c r="V53" s="177"/>
      <c r="W53" s="177"/>
    </row>
    <row r="54" spans="2:23" s="126" customFormat="1" ht="25.5" collapsed="1">
      <c r="B54" s="139">
        <v>18</v>
      </c>
      <c r="C54" s="140" t="s">
        <v>154</v>
      </c>
      <c r="D54" s="141">
        <v>64684339330</v>
      </c>
      <c r="E54" s="141">
        <v>582429609.91077995</v>
      </c>
      <c r="F54" s="141">
        <v>-399299377.93007874</v>
      </c>
      <c r="G54" s="141">
        <v>-553874494.29694235</v>
      </c>
      <c r="H54" s="141">
        <v>-208111422.50946617</v>
      </c>
      <c r="I54" s="141">
        <v>246882734.78773612</v>
      </c>
      <c r="J54" s="141">
        <v>244437384.80423993</v>
      </c>
      <c r="K54" s="141">
        <v>42336997.794249237</v>
      </c>
      <c r="L54" s="141">
        <v>190743928.84467649</v>
      </c>
      <c r="M54" s="141">
        <v>153117906.71134323</v>
      </c>
      <c r="N54" s="141">
        <v>185174203.19510388</v>
      </c>
      <c r="O54" s="141">
        <v>566604221.33187962</v>
      </c>
      <c r="P54" s="141">
        <v>511898889.40880293</v>
      </c>
      <c r="Q54" s="141">
        <v>529757283.48145241</v>
      </c>
      <c r="R54" s="141">
        <v>1509668255.6229966</v>
      </c>
      <c r="T54" s="177"/>
      <c r="U54" s="177"/>
      <c r="V54" s="177"/>
      <c r="W54" s="177"/>
    </row>
    <row r="55" spans="2:23" s="177" customFormat="1">
      <c r="B55" s="175" t="s">
        <v>155</v>
      </c>
      <c r="C55" s="160" t="s">
        <v>156</v>
      </c>
      <c r="D55" s="178">
        <v>2.2164680788712459E-12</v>
      </c>
      <c r="E55" s="178">
        <v>3.3486883465961553E-3</v>
      </c>
      <c r="F55" s="178">
        <v>-3.4675796144131327E-2</v>
      </c>
      <c r="G55" s="178">
        <v>-6.1842016662545331E-2</v>
      </c>
      <c r="H55" s="178">
        <v>-1.6265455683029863E-2</v>
      </c>
      <c r="I55" s="178">
        <v>1.5454983417141497E-2</v>
      </c>
      <c r="J55" s="178">
        <v>1.5301903277793015E-2</v>
      </c>
      <c r="K55" s="178">
        <v>2.6503173638458143E-3</v>
      </c>
      <c r="L55" s="178">
        <v>1.1940665918779072E-2</v>
      </c>
      <c r="M55" s="178">
        <v>9.5852580016412749E-3</v>
      </c>
      <c r="N55" s="178">
        <v>1.1591998290699764E-2</v>
      </c>
      <c r="O55" s="178">
        <v>3.2686703016279461E-2</v>
      </c>
      <c r="P55" s="178">
        <v>2.953081947243056E-2</v>
      </c>
      <c r="Q55" s="178">
        <v>3.0561048336642405E-2</v>
      </c>
      <c r="R55" s="178">
        <v>8.3354012235938146E-3</v>
      </c>
      <c r="S55" s="162"/>
    </row>
    <row r="56" spans="2:23" s="158" customFormat="1" collapsed="1">
      <c r="B56" s="179"/>
      <c r="C56" s="180"/>
      <c r="D56" s="180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57"/>
      <c r="T56" s="177"/>
      <c r="U56" s="177"/>
      <c r="V56" s="177"/>
      <c r="W56" s="177"/>
    </row>
    <row r="58" spans="2:23" s="126" customFormat="1" ht="26.45" customHeight="1">
      <c r="B58" s="182" t="s">
        <v>157</v>
      </c>
      <c r="C58" s="183"/>
      <c r="D58" s="184" t="s">
        <v>82</v>
      </c>
      <c r="E58" s="184" t="s">
        <v>83</v>
      </c>
      <c r="F58" s="185" t="s">
        <v>76</v>
      </c>
      <c r="G58" s="185" t="s">
        <v>77</v>
      </c>
      <c r="H58" s="185" t="s">
        <v>84</v>
      </c>
      <c r="I58" s="185" t="s">
        <v>85</v>
      </c>
      <c r="J58" s="185" t="s">
        <v>86</v>
      </c>
      <c r="K58" s="185" t="s">
        <v>87</v>
      </c>
      <c r="L58" s="185" t="s">
        <v>88</v>
      </c>
      <c r="M58" s="185" t="s">
        <v>89</v>
      </c>
      <c r="N58" s="185" t="s">
        <v>90</v>
      </c>
      <c r="O58" s="185" t="s">
        <v>91</v>
      </c>
      <c r="P58" s="185" t="s">
        <v>92</v>
      </c>
      <c r="Q58" s="185" t="s">
        <v>93</v>
      </c>
      <c r="R58" s="185" t="s">
        <v>94</v>
      </c>
    </row>
    <row r="59" spans="2:23" ht="18" customHeight="1">
      <c r="B59" s="122" t="s">
        <v>158</v>
      </c>
      <c r="D59" s="186">
        <v>0</v>
      </c>
      <c r="E59" s="186">
        <v>15458399.562368056</v>
      </c>
      <c r="F59" s="187">
        <v>1482857.3134967247</v>
      </c>
      <c r="G59" s="187">
        <v>1393138.9758007952</v>
      </c>
      <c r="H59" s="187">
        <v>1433406.9174880683</v>
      </c>
      <c r="I59" s="187">
        <v>1310797.1935501993</v>
      </c>
      <c r="J59" s="187">
        <v>1313087.5632256325</v>
      </c>
      <c r="K59" s="187">
        <v>1455615.5322065076</v>
      </c>
      <c r="L59" s="187">
        <v>1353073.8502193931</v>
      </c>
      <c r="M59" s="187">
        <v>1379954.8709163822</v>
      </c>
      <c r="N59" s="187">
        <v>1352027.3413263203</v>
      </c>
      <c r="O59" s="187">
        <v>1183488.7286517222</v>
      </c>
      <c r="P59" s="187">
        <v>1216641.712452339</v>
      </c>
      <c r="Q59" s="187">
        <v>1206211.9235374124</v>
      </c>
      <c r="R59" s="187">
        <v>15826759.859371284</v>
      </c>
    </row>
    <row r="60" spans="2:23" s="126" customFormat="1" ht="18" customHeight="1">
      <c r="B60" s="122" t="s">
        <v>159</v>
      </c>
      <c r="C60" s="188"/>
      <c r="D60" s="186">
        <v>0</v>
      </c>
      <c r="E60" s="186">
        <v>13964686.849619959</v>
      </c>
      <c r="F60" s="187">
        <v>1284137.0976373455</v>
      </c>
      <c r="G60" s="187">
        <v>1206442.0660755967</v>
      </c>
      <c r="H60" s="187">
        <v>1241313.6328106243</v>
      </c>
      <c r="I60" s="187">
        <v>1134103.8186106586</v>
      </c>
      <c r="J60" s="187">
        <v>1136085.4501000454</v>
      </c>
      <c r="K60" s="187">
        <v>1259400.8757626819</v>
      </c>
      <c r="L60" s="187">
        <v>1170681.6492640537</v>
      </c>
      <c r="M60" s="187">
        <v>1193939.1511648921</v>
      </c>
      <c r="N60" s="187">
        <v>1169776.2081037553</v>
      </c>
      <c r="O60" s="187">
        <v>971889.04563587869</v>
      </c>
      <c r="P60" s="187">
        <v>999114.50288435689</v>
      </c>
      <c r="Q60" s="187">
        <v>990549.48882946197</v>
      </c>
      <c r="R60" s="187">
        <v>13494226.844623962</v>
      </c>
    </row>
    <row r="61" spans="2:23" ht="18" customHeight="1">
      <c r="B61" s="122" t="s">
        <v>160</v>
      </c>
      <c r="D61" s="189">
        <v>0</v>
      </c>
      <c r="E61" s="189">
        <v>247696540642.14328</v>
      </c>
      <c r="F61" s="110">
        <v>19438193281.782696</v>
      </c>
      <c r="G61" s="110">
        <v>18262110881.149494</v>
      </c>
      <c r="H61" s="110">
        <v>18789967490.448605</v>
      </c>
      <c r="I61" s="110">
        <v>17167996973.162735</v>
      </c>
      <c r="J61" s="110">
        <v>17197994794.220592</v>
      </c>
      <c r="K61" s="110">
        <v>19064736462.645588</v>
      </c>
      <c r="L61" s="110">
        <v>17721710024.505463</v>
      </c>
      <c r="M61" s="110">
        <v>18073780721.81258</v>
      </c>
      <c r="N61" s="110">
        <v>17708003509.419018</v>
      </c>
      <c r="O61" s="110">
        <v>15935411831.520401</v>
      </c>
      <c r="P61" s="110">
        <v>16381809365.790476</v>
      </c>
      <c r="Q61" s="110">
        <v>16241374583.733423</v>
      </c>
      <c r="R61" s="110">
        <v>208875731492.3299</v>
      </c>
    </row>
    <row r="62" spans="2:23" s="126" customFormat="1" ht="26.45" customHeight="1">
      <c r="B62" s="182" t="s">
        <v>161</v>
      </c>
      <c r="C62" s="183"/>
      <c r="D62" s="190" t="s">
        <v>82</v>
      </c>
      <c r="E62" s="190" t="s">
        <v>83</v>
      </c>
      <c r="F62" s="191" t="s">
        <v>76</v>
      </c>
      <c r="G62" s="191" t="s">
        <v>77</v>
      </c>
      <c r="H62" s="191" t="s">
        <v>84</v>
      </c>
      <c r="I62" s="191" t="s">
        <v>85</v>
      </c>
      <c r="J62" s="191" t="s">
        <v>86</v>
      </c>
      <c r="K62" s="191" t="s">
        <v>87</v>
      </c>
      <c r="L62" s="191" t="s">
        <v>88</v>
      </c>
      <c r="M62" s="191" t="s">
        <v>89</v>
      </c>
      <c r="N62" s="191" t="s">
        <v>90</v>
      </c>
      <c r="O62" s="191" t="s">
        <v>91</v>
      </c>
      <c r="P62" s="191" t="s">
        <v>92</v>
      </c>
      <c r="Q62" s="191" t="s">
        <v>93</v>
      </c>
      <c r="R62" s="191" t="s">
        <v>94</v>
      </c>
    </row>
    <row r="63" spans="2:23" ht="18" customHeight="1">
      <c r="B63" s="122" t="s">
        <v>158</v>
      </c>
      <c r="D63" s="186">
        <v>0</v>
      </c>
      <c r="E63" s="186">
        <v>10512822.959269324</v>
      </c>
      <c r="F63" s="187">
        <v>1188085.4838904405</v>
      </c>
      <c r="G63" s="187">
        <v>1104217.0890584828</v>
      </c>
      <c r="H63" s="187">
        <v>1138566.7174004549</v>
      </c>
      <c r="I63" s="187">
        <v>1047478.4910238492</v>
      </c>
      <c r="J63" s="187">
        <v>1048109.8759036232</v>
      </c>
      <c r="K63" s="187">
        <v>1189858.0759093589</v>
      </c>
      <c r="L63" s="187">
        <v>1083440.1840266816</v>
      </c>
      <c r="M63" s="187">
        <v>1110303.0476364328</v>
      </c>
      <c r="N63" s="187">
        <v>1092253.375408194</v>
      </c>
      <c r="O63" s="187">
        <v>944480.84616633854</v>
      </c>
      <c r="P63" s="187">
        <v>977787.3258922121</v>
      </c>
      <c r="Q63" s="187">
        <v>968444.56302145391</v>
      </c>
      <c r="R63" s="187">
        <v>12691743.598814836</v>
      </c>
    </row>
    <row r="64" spans="2:23" s="126" customFormat="1" ht="18" customHeight="1">
      <c r="B64" s="122" t="s">
        <v>159</v>
      </c>
      <c r="C64" s="188"/>
      <c r="D64" s="187">
        <v>0</v>
      </c>
      <c r="E64" s="187">
        <v>9496990.9361821227</v>
      </c>
      <c r="F64" s="187">
        <v>1028868.1393292405</v>
      </c>
      <c r="G64" s="187">
        <v>956239.08989693248</v>
      </c>
      <c r="H64" s="187">
        <v>985985.4664649968</v>
      </c>
      <c r="I64" s="187">
        <v>906280.05798914109</v>
      </c>
      <c r="J64" s="187">
        <v>906826.33319226792</v>
      </c>
      <c r="K64" s="187">
        <v>1029467.1014962442</v>
      </c>
      <c r="L64" s="187">
        <v>937394.17202516156</v>
      </c>
      <c r="M64" s="187">
        <v>960635.96438521624</v>
      </c>
      <c r="N64" s="187">
        <v>945019.35923879058</v>
      </c>
      <c r="O64" s="187">
        <v>775614.13639123819</v>
      </c>
      <c r="P64" s="187">
        <v>802965.64554430591</v>
      </c>
      <c r="Q64" s="187">
        <v>795293.30471820617</v>
      </c>
      <c r="R64" s="187">
        <v>10821246.338352857</v>
      </c>
    </row>
    <row r="65" spans="2:18" ht="18" customHeight="1">
      <c r="B65" s="122" t="s">
        <v>160</v>
      </c>
      <c r="D65" s="110">
        <v>0</v>
      </c>
      <c r="E65" s="110">
        <v>168451453780.08386</v>
      </c>
      <c r="F65" s="110">
        <v>15574145307.807266</v>
      </c>
      <c r="G65" s="110">
        <v>14474747507.264902</v>
      </c>
      <c r="H65" s="110">
        <v>14925023274.725067</v>
      </c>
      <c r="I65" s="110">
        <v>13719214270.397215</v>
      </c>
      <c r="J65" s="110">
        <v>13727483752.326378</v>
      </c>
      <c r="K65" s="110">
        <v>15584012497.294691</v>
      </c>
      <c r="L65" s="110">
        <v>14190217900.600512</v>
      </c>
      <c r="M65" s="110">
        <v>14542050787.80224</v>
      </c>
      <c r="N65" s="110">
        <v>14305647536.631323</v>
      </c>
      <c r="O65" s="110">
        <v>12717223988.934666</v>
      </c>
      <c r="P65" s="110">
        <v>13165688311.611094</v>
      </c>
      <c r="Q65" s="110">
        <v>13039890092.84869</v>
      </c>
      <c r="R65" s="110">
        <v>167500944708.26544</v>
      </c>
    </row>
    <row r="69" spans="2:18">
      <c r="E69" s="185"/>
    </row>
    <row r="70" spans="2:18">
      <c r="E70" s="185"/>
    </row>
  </sheetData>
  <conditionalFormatting sqref="B27:B65 S58:IV65">
    <cfRule type="containsText" dxfId="7" priority="4" operator="containsText" text="xxx">
      <formula>NOT(ISERROR(SEARCH("xxx",B27)))</formula>
    </cfRule>
  </conditionalFormatting>
  <conditionalFormatting sqref="B3:D3 T3:IV3 U4:IV4 B5:R20 T5:IV57 B21:B24 E22:Q22 C22:C24 R22:R27 D22:D55 F23:Q27 E23:E57 B25:C26 F28:R57 T66:IV65536">
    <cfRule type="containsText" dxfId="6" priority="7" operator="containsText" text="xxx">
      <formula>NOT(ISERROR(SEARCH("xxx",B3)))</formula>
    </cfRule>
  </conditionalFormatting>
  <conditionalFormatting sqref="B66:R65536">
    <cfRule type="containsText" dxfId="5" priority="1" operator="containsText" text="xxx">
      <formula>NOT(ISERROR(SEARCH("xxx",B66)))</formula>
    </cfRule>
  </conditionalFormatting>
  <conditionalFormatting sqref="C27:C55 C56:D57">
    <cfRule type="containsText" dxfId="4" priority="6" operator="containsText" text="xxx">
      <formula>NOT(ISERROR(SEARCH("xxx",C27)))</formula>
    </cfRule>
  </conditionalFormatting>
  <conditionalFormatting sqref="C21:R21">
    <cfRule type="containsText" dxfId="3" priority="5" operator="containsText" text="xxx">
      <formula>NOT(ISERROR(SEARCH("xxx",C21)))</formula>
    </cfRule>
  </conditionalFormatting>
  <conditionalFormatting sqref="C58:R58">
    <cfRule type="containsText" dxfId="2" priority="3" operator="containsText" text="xxx">
      <formula>NOT(ISERROR(SEARCH("xxx",C58)))</formula>
    </cfRule>
  </conditionalFormatting>
  <conditionalFormatting sqref="E4:P4">
    <cfRule type="containsText" dxfId="1" priority="2" operator="containsText" text="xxx">
      <formula>NOT(ISERROR(SEARCH("xxx",E4)))</formula>
    </cfRule>
  </conditionalFormatting>
  <conditionalFormatting sqref="R3">
    <cfRule type="containsText" dxfId="0" priority="8" operator="containsText" text="xxx">
      <formula>NOT(ISERROR(SEARCH("xxx",R3)))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9ACC-F14A-4811-8E25-77E656F229EA}">
  <sheetPr>
    <tabColor rgb="FFFFFF00"/>
  </sheetPr>
  <dimension ref="A2:N22"/>
  <sheetViews>
    <sheetView showGridLines="0" workbookViewId="0">
      <selection activeCell="E22" sqref="E22"/>
    </sheetView>
  </sheetViews>
  <sheetFormatPr defaultRowHeight="15"/>
  <cols>
    <col min="1" max="1" width="39" bestFit="1" customWidth="1"/>
    <col min="2" max="13" width="8.625" bestFit="1" customWidth="1"/>
    <col min="14" max="14" width="9.125" bestFit="1" customWidth="1"/>
  </cols>
  <sheetData>
    <row r="2" spans="1:14" ht="28.5">
      <c r="A2" s="314" t="s">
        <v>19</v>
      </c>
      <c r="B2" s="319" t="s">
        <v>43</v>
      </c>
      <c r="C2" s="319" t="s">
        <v>44</v>
      </c>
      <c r="D2" s="319" t="s">
        <v>45</v>
      </c>
      <c r="E2" s="319" t="s">
        <v>46</v>
      </c>
      <c r="F2" s="319" t="s">
        <v>47</v>
      </c>
      <c r="G2" s="319" t="s">
        <v>48</v>
      </c>
      <c r="H2" s="319" t="s">
        <v>49</v>
      </c>
      <c r="I2" s="319" t="s">
        <v>50</v>
      </c>
      <c r="J2" s="319" t="s">
        <v>51</v>
      </c>
      <c r="K2" s="319" t="s">
        <v>52</v>
      </c>
      <c r="L2" s="319" t="s">
        <v>53</v>
      </c>
      <c r="M2" s="319" t="s">
        <v>54</v>
      </c>
      <c r="N2" s="320">
        <v>2026</v>
      </c>
    </row>
    <row r="3" spans="1:14">
      <c r="A3" s="315" t="s">
        <v>56</v>
      </c>
      <c r="B3" s="321"/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</row>
    <row r="4" spans="1:14">
      <c r="A4" s="316" t="s">
        <v>20</v>
      </c>
      <c r="B4" s="322">
        <v>0</v>
      </c>
      <c r="C4" s="322">
        <v>0</v>
      </c>
      <c r="D4" s="322">
        <v>0</v>
      </c>
      <c r="E4" s="322">
        <v>0</v>
      </c>
      <c r="F4" s="322">
        <v>0</v>
      </c>
      <c r="G4" s="322">
        <v>0</v>
      </c>
      <c r="H4" s="322">
        <v>0</v>
      </c>
      <c r="I4" s="322">
        <v>0</v>
      </c>
      <c r="J4" s="322">
        <v>0</v>
      </c>
      <c r="K4" s="322">
        <v>0</v>
      </c>
      <c r="L4" s="322">
        <v>0</v>
      </c>
      <c r="M4" s="322">
        <v>0</v>
      </c>
      <c r="N4" s="323">
        <v>0</v>
      </c>
    </row>
    <row r="5" spans="1:14">
      <c r="A5" s="317" t="s">
        <v>21</v>
      </c>
      <c r="B5" s="324">
        <v>0</v>
      </c>
      <c r="C5" s="324">
        <v>0</v>
      </c>
      <c r="D5" s="324">
        <v>0</v>
      </c>
      <c r="E5" s="324">
        <v>0</v>
      </c>
      <c r="F5" s="324">
        <v>0</v>
      </c>
      <c r="G5" s="324">
        <v>0</v>
      </c>
      <c r="H5" s="324">
        <v>0</v>
      </c>
      <c r="I5" s="324">
        <v>0</v>
      </c>
      <c r="J5" s="324">
        <v>0</v>
      </c>
      <c r="K5" s="324">
        <v>0</v>
      </c>
      <c r="L5" s="324">
        <v>0</v>
      </c>
      <c r="M5" s="324">
        <v>0</v>
      </c>
      <c r="N5" s="323">
        <v>0</v>
      </c>
    </row>
    <row r="6" spans="1:14">
      <c r="A6" s="316" t="s">
        <v>22</v>
      </c>
      <c r="B6" s="325">
        <v>0</v>
      </c>
      <c r="C6" s="322">
        <v>0</v>
      </c>
      <c r="D6" s="322">
        <v>0</v>
      </c>
      <c r="E6" s="322">
        <v>0</v>
      </c>
      <c r="F6" s="322">
        <v>0</v>
      </c>
      <c r="G6" s="322">
        <v>0</v>
      </c>
      <c r="H6" s="322">
        <v>0</v>
      </c>
      <c r="I6" s="322">
        <v>0</v>
      </c>
      <c r="J6" s="322">
        <v>0</v>
      </c>
      <c r="K6" s="322">
        <v>0</v>
      </c>
      <c r="L6" s="322">
        <v>0</v>
      </c>
      <c r="M6" s="322">
        <v>0</v>
      </c>
      <c r="N6" s="323">
        <v>0</v>
      </c>
    </row>
    <row r="7" spans="1:14">
      <c r="A7" s="317" t="s">
        <v>23</v>
      </c>
      <c r="B7" s="326"/>
      <c r="C7" s="327"/>
      <c r="D7" s="327"/>
      <c r="E7" s="327"/>
      <c r="F7" s="327"/>
      <c r="G7" s="327"/>
      <c r="H7" s="327"/>
      <c r="I7" s="327"/>
      <c r="J7" s="327"/>
      <c r="K7" s="327"/>
      <c r="L7" s="327"/>
      <c r="M7" s="327"/>
      <c r="N7" s="328">
        <v>0</v>
      </c>
    </row>
    <row r="8" spans="1:14">
      <c r="A8" s="316" t="s">
        <v>24</v>
      </c>
      <c r="B8" s="329">
        <v>0</v>
      </c>
      <c r="C8" s="330">
        <v>0</v>
      </c>
      <c r="D8" s="330">
        <v>0</v>
      </c>
      <c r="E8" s="330">
        <v>0</v>
      </c>
      <c r="F8" s="330">
        <v>0</v>
      </c>
      <c r="G8" s="330">
        <v>0</v>
      </c>
      <c r="H8" s="330">
        <v>0</v>
      </c>
      <c r="I8" s="330">
        <v>0</v>
      </c>
      <c r="J8" s="330">
        <v>0</v>
      </c>
      <c r="K8" s="330">
        <v>0</v>
      </c>
      <c r="L8" s="330">
        <v>0</v>
      </c>
      <c r="M8" s="330">
        <v>0</v>
      </c>
      <c r="N8" s="331">
        <v>0</v>
      </c>
    </row>
    <row r="9" spans="1:14">
      <c r="A9" s="316" t="s">
        <v>25</v>
      </c>
      <c r="B9" s="329">
        <v>0</v>
      </c>
      <c r="C9" s="330">
        <v>0</v>
      </c>
      <c r="D9" s="330">
        <v>0</v>
      </c>
      <c r="E9" s="330">
        <v>0</v>
      </c>
      <c r="F9" s="330">
        <v>0</v>
      </c>
      <c r="G9" s="330">
        <v>0</v>
      </c>
      <c r="H9" s="330">
        <v>0</v>
      </c>
      <c r="I9" s="330">
        <v>0</v>
      </c>
      <c r="J9" s="330">
        <v>0</v>
      </c>
      <c r="K9" s="330">
        <v>0</v>
      </c>
      <c r="L9" s="330">
        <v>0</v>
      </c>
      <c r="M9" s="330">
        <v>0</v>
      </c>
      <c r="N9" s="331">
        <v>0</v>
      </c>
    </row>
    <row r="10" spans="1:14">
      <c r="A10" s="317" t="s">
        <v>26</v>
      </c>
      <c r="B10" s="332">
        <v>5548.1111111111113</v>
      </c>
      <c r="C10" s="333">
        <v>5548.1111111111113</v>
      </c>
      <c r="D10" s="333">
        <v>5548.1111111111113</v>
      </c>
      <c r="E10" s="333">
        <v>5548.1111111111113</v>
      </c>
      <c r="F10" s="333">
        <v>5548.1111111111113</v>
      </c>
      <c r="G10" s="333">
        <v>5548.1111111111113</v>
      </c>
      <c r="H10" s="333">
        <v>5548.1111111111113</v>
      </c>
      <c r="I10" s="333">
        <v>5548.1111111111113</v>
      </c>
      <c r="J10" s="333">
        <v>5548.1111111111113</v>
      </c>
      <c r="K10" s="333">
        <v>5548.1111111111113</v>
      </c>
      <c r="L10" s="333">
        <v>5548.1111111111113</v>
      </c>
      <c r="M10" s="333">
        <v>5548.1111111111113</v>
      </c>
      <c r="N10" s="334">
        <v>66577.333333333328</v>
      </c>
    </row>
    <row r="11" spans="1:14">
      <c r="A11" s="316" t="s">
        <v>27</v>
      </c>
      <c r="B11" s="329">
        <v>0</v>
      </c>
      <c r="C11" s="330">
        <v>0</v>
      </c>
      <c r="D11" s="330">
        <v>0</v>
      </c>
      <c r="E11" s="330">
        <v>0</v>
      </c>
      <c r="F11" s="330">
        <v>0</v>
      </c>
      <c r="G11" s="330">
        <v>0</v>
      </c>
      <c r="H11" s="330">
        <v>0</v>
      </c>
      <c r="I11" s="330">
        <v>0</v>
      </c>
      <c r="J11" s="330">
        <v>0</v>
      </c>
      <c r="K11" s="330">
        <v>0</v>
      </c>
      <c r="L11" s="330">
        <v>0</v>
      </c>
      <c r="M11" s="330">
        <v>0</v>
      </c>
      <c r="N11" s="331">
        <v>0</v>
      </c>
    </row>
    <row r="12" spans="1:14">
      <c r="A12" s="317" t="s">
        <v>28</v>
      </c>
      <c r="B12" s="332">
        <v>0</v>
      </c>
      <c r="C12" s="333">
        <v>0</v>
      </c>
      <c r="D12" s="333">
        <v>0</v>
      </c>
      <c r="E12" s="333">
        <v>0</v>
      </c>
      <c r="F12" s="333">
        <v>0</v>
      </c>
      <c r="G12" s="333">
        <v>0</v>
      </c>
      <c r="H12" s="333">
        <v>0</v>
      </c>
      <c r="I12" s="333">
        <v>0</v>
      </c>
      <c r="J12" s="333">
        <v>0</v>
      </c>
      <c r="K12" s="333">
        <v>0</v>
      </c>
      <c r="L12" s="333">
        <v>0</v>
      </c>
      <c r="M12" s="333">
        <v>0</v>
      </c>
      <c r="N12" s="334">
        <v>0</v>
      </c>
    </row>
    <row r="13" spans="1:14">
      <c r="A13" s="317" t="s">
        <v>29</v>
      </c>
      <c r="B13" s="335">
        <v>0</v>
      </c>
      <c r="C13" s="336">
        <v>0</v>
      </c>
      <c r="D13" s="336">
        <v>0</v>
      </c>
      <c r="E13" s="336">
        <v>0</v>
      </c>
      <c r="F13" s="336">
        <v>0</v>
      </c>
      <c r="G13" s="336">
        <v>0</v>
      </c>
      <c r="H13" s="336">
        <v>0</v>
      </c>
      <c r="I13" s="336">
        <v>0</v>
      </c>
      <c r="J13" s="336">
        <v>0</v>
      </c>
      <c r="K13" s="336">
        <v>0</v>
      </c>
      <c r="L13" s="336">
        <v>0</v>
      </c>
      <c r="M13" s="336">
        <v>0</v>
      </c>
      <c r="N13" s="337">
        <v>0</v>
      </c>
    </row>
    <row r="14" spans="1:14">
      <c r="A14" s="317" t="s">
        <v>30</v>
      </c>
      <c r="B14" s="335">
        <v>4984737</v>
      </c>
      <c r="C14" s="336">
        <v>4584737</v>
      </c>
      <c r="D14" s="336">
        <v>4584737</v>
      </c>
      <c r="E14" s="336">
        <v>4984737</v>
      </c>
      <c r="F14" s="336">
        <v>4584737</v>
      </c>
      <c r="G14" s="336">
        <v>4584737</v>
      </c>
      <c r="H14" s="336">
        <v>4584737</v>
      </c>
      <c r="I14" s="336">
        <v>4984737</v>
      </c>
      <c r="J14" s="336">
        <v>4584737</v>
      </c>
      <c r="K14" s="336">
        <v>4584737</v>
      </c>
      <c r="L14" s="336">
        <v>4984737</v>
      </c>
      <c r="M14" s="336">
        <v>4584737</v>
      </c>
      <c r="N14" s="337">
        <v>56616844</v>
      </c>
    </row>
    <row r="15" spans="1:14">
      <c r="A15" s="316" t="s">
        <v>31</v>
      </c>
      <c r="B15" s="329">
        <v>-4979188.888888889</v>
      </c>
      <c r="C15" s="330">
        <v>-4579188.888888889</v>
      </c>
      <c r="D15" s="330">
        <v>-4579188.888888889</v>
      </c>
      <c r="E15" s="330">
        <v>-4979188.888888889</v>
      </c>
      <c r="F15" s="330">
        <v>-4579188.888888889</v>
      </c>
      <c r="G15" s="330">
        <v>-4579188.888888889</v>
      </c>
      <c r="H15" s="330">
        <v>-4579188.888888889</v>
      </c>
      <c r="I15" s="330">
        <v>-4979188.888888889</v>
      </c>
      <c r="J15" s="330">
        <v>-4579188.888888889</v>
      </c>
      <c r="K15" s="330">
        <v>-4579188.888888889</v>
      </c>
      <c r="L15" s="330">
        <v>-4979188.888888889</v>
      </c>
      <c r="M15" s="330">
        <v>-4579188.888888889</v>
      </c>
      <c r="N15" s="331">
        <v>-56550266.666666664</v>
      </c>
    </row>
    <row r="16" spans="1:14">
      <c r="A16" s="317" t="s">
        <v>32</v>
      </c>
      <c r="B16" s="332">
        <v>0</v>
      </c>
      <c r="C16" s="333">
        <v>0</v>
      </c>
      <c r="D16" s="333">
        <v>0</v>
      </c>
      <c r="E16" s="333">
        <v>0</v>
      </c>
      <c r="F16" s="333">
        <v>0</v>
      </c>
      <c r="G16" s="333">
        <v>0</v>
      </c>
      <c r="H16" s="333">
        <v>0</v>
      </c>
      <c r="I16" s="333">
        <v>0</v>
      </c>
      <c r="J16" s="333">
        <v>0</v>
      </c>
      <c r="K16" s="333">
        <v>0</v>
      </c>
      <c r="L16" s="333">
        <v>0</v>
      </c>
      <c r="M16" s="333">
        <v>0</v>
      </c>
      <c r="N16" s="334">
        <v>0</v>
      </c>
    </row>
    <row r="17" spans="1:14">
      <c r="A17" s="317" t="s">
        <v>33</v>
      </c>
      <c r="B17" s="332">
        <v>0</v>
      </c>
      <c r="C17" s="333">
        <v>0</v>
      </c>
      <c r="D17" s="333">
        <v>0</v>
      </c>
      <c r="E17" s="333">
        <v>0</v>
      </c>
      <c r="F17" s="333">
        <v>0</v>
      </c>
      <c r="G17" s="333">
        <v>0</v>
      </c>
      <c r="H17" s="333">
        <v>0</v>
      </c>
      <c r="I17" s="333">
        <v>0</v>
      </c>
      <c r="J17" s="333">
        <v>0</v>
      </c>
      <c r="K17" s="333">
        <v>0</v>
      </c>
      <c r="L17" s="333">
        <v>0</v>
      </c>
      <c r="M17" s="333">
        <v>0</v>
      </c>
      <c r="N17" s="334">
        <v>0</v>
      </c>
    </row>
    <row r="18" spans="1:14">
      <c r="A18" s="316" t="s">
        <v>34</v>
      </c>
      <c r="B18" s="329">
        <v>0</v>
      </c>
      <c r="C18" s="330">
        <v>0</v>
      </c>
      <c r="D18" s="330">
        <v>0</v>
      </c>
      <c r="E18" s="330">
        <v>0</v>
      </c>
      <c r="F18" s="330">
        <v>0</v>
      </c>
      <c r="G18" s="330">
        <v>0</v>
      </c>
      <c r="H18" s="330">
        <v>0</v>
      </c>
      <c r="I18" s="330">
        <v>0</v>
      </c>
      <c r="J18" s="330">
        <v>0</v>
      </c>
      <c r="K18" s="330">
        <v>0</v>
      </c>
      <c r="L18" s="330">
        <v>0</v>
      </c>
      <c r="M18" s="330">
        <v>0</v>
      </c>
      <c r="N18" s="331">
        <v>0</v>
      </c>
    </row>
    <row r="19" spans="1:14">
      <c r="A19" s="316" t="s">
        <v>35</v>
      </c>
      <c r="B19" s="325">
        <v>-4979188.888888889</v>
      </c>
      <c r="C19" s="322">
        <v>-4579188.888888889</v>
      </c>
      <c r="D19" s="322">
        <v>-4579188.888888889</v>
      </c>
      <c r="E19" s="322">
        <v>-4979188.888888889</v>
      </c>
      <c r="F19" s="322">
        <v>-4579188.888888889</v>
      </c>
      <c r="G19" s="322">
        <v>-4579188.888888889</v>
      </c>
      <c r="H19" s="322">
        <v>-4579188.888888889</v>
      </c>
      <c r="I19" s="322">
        <v>-4979188.888888889</v>
      </c>
      <c r="J19" s="322">
        <v>-4579188.888888889</v>
      </c>
      <c r="K19" s="322">
        <v>-4579188.888888889</v>
      </c>
      <c r="L19" s="322">
        <v>-4979188.888888889</v>
      </c>
      <c r="M19" s="322">
        <v>-4579188.888888889</v>
      </c>
      <c r="N19" s="323">
        <v>-56550266.666666664</v>
      </c>
    </row>
    <row r="20" spans="1:14">
      <c r="A20" s="318" t="s">
        <v>36</v>
      </c>
      <c r="B20" s="338">
        <v>0</v>
      </c>
      <c r="C20" s="339">
        <v>0</v>
      </c>
      <c r="D20" s="339">
        <v>0</v>
      </c>
      <c r="E20" s="339">
        <v>0</v>
      </c>
      <c r="F20" s="339">
        <v>0</v>
      </c>
      <c r="G20" s="339">
        <v>0</v>
      </c>
      <c r="H20" s="339">
        <v>0</v>
      </c>
      <c r="I20" s="339">
        <v>0</v>
      </c>
      <c r="J20" s="339">
        <v>0</v>
      </c>
      <c r="K20" s="339">
        <v>0</v>
      </c>
      <c r="L20" s="339">
        <v>0</v>
      </c>
      <c r="M20" s="339">
        <v>0</v>
      </c>
      <c r="N20" s="340">
        <v>0</v>
      </c>
    </row>
    <row r="21" spans="1:14">
      <c r="A21" s="317" t="s">
        <v>37</v>
      </c>
      <c r="B21" s="332">
        <v>0</v>
      </c>
      <c r="C21" s="333">
        <v>0</v>
      </c>
      <c r="D21" s="333">
        <v>0</v>
      </c>
      <c r="E21" s="333">
        <v>0</v>
      </c>
      <c r="F21" s="333">
        <v>0</v>
      </c>
      <c r="G21" s="333">
        <v>0</v>
      </c>
      <c r="H21" s="333">
        <v>0</v>
      </c>
      <c r="I21" s="333">
        <v>0</v>
      </c>
      <c r="J21" s="333">
        <v>0</v>
      </c>
      <c r="K21" s="333">
        <v>0</v>
      </c>
      <c r="L21" s="333">
        <v>0</v>
      </c>
      <c r="M21" s="333">
        <v>0</v>
      </c>
      <c r="N21" s="334">
        <v>0</v>
      </c>
    </row>
    <row r="22" spans="1:14">
      <c r="A22" s="316" t="s">
        <v>38</v>
      </c>
      <c r="B22" s="329">
        <v>-4979188.888888889</v>
      </c>
      <c r="C22" s="330">
        <v>-4579188.888888889</v>
      </c>
      <c r="D22" s="330">
        <v>-4579188.888888889</v>
      </c>
      <c r="E22" s="330">
        <v>-4979188.888888889</v>
      </c>
      <c r="F22" s="330">
        <v>-4579188.888888889</v>
      </c>
      <c r="G22" s="330">
        <v>-4579188.888888889</v>
      </c>
      <c r="H22" s="330">
        <v>-4579188.888888889</v>
      </c>
      <c r="I22" s="330">
        <v>-4979188.888888889</v>
      </c>
      <c r="J22" s="330">
        <v>-4579188.888888889</v>
      </c>
      <c r="K22" s="330">
        <v>-4579188.888888889</v>
      </c>
      <c r="L22" s="330">
        <v>-4979188.888888889</v>
      </c>
      <c r="M22" s="330">
        <v>-4579188.888888889</v>
      </c>
      <c r="N22" s="331">
        <v>-56550266.666666664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DD7-2D38-4EEB-AA79-18648677FD82}">
  <dimension ref="A1:EK54"/>
  <sheetViews>
    <sheetView showGridLines="0" zoomScale="85" zoomScaleNormal="85" workbookViewId="0">
      <pane xSplit="2" ySplit="4" topLeftCell="DH21" activePane="bottomRight" state="frozen"/>
      <selection pane="topRight" activeCell="C1" sqref="C1"/>
      <selection pane="bottomLeft" activeCell="A4" sqref="A4"/>
      <selection pane="bottomRight" activeCell="EO43" sqref="EO43"/>
    </sheetView>
  </sheetViews>
  <sheetFormatPr defaultColWidth="9" defaultRowHeight="15" outlineLevelRow="2" outlineLevelCol="1"/>
  <cols>
    <col min="1" max="1" width="12" style="7" bestFit="1" customWidth="1"/>
    <col min="2" max="2" width="48.125" style="7" bestFit="1" customWidth="1"/>
    <col min="3" max="3" width="16.625" style="7" bestFit="1" customWidth="1"/>
    <col min="4" max="13" width="16.625" style="7" hidden="1" customWidth="1" outlineLevel="1"/>
    <col min="14" max="14" width="16.625" style="7" bestFit="1" customWidth="1" collapsed="1"/>
    <col min="15" max="15" width="18.25" style="7" bestFit="1" customWidth="1"/>
    <col min="16" max="16" width="2.875" style="7" customWidth="1"/>
    <col min="17" max="17" width="16.5" style="7" bestFit="1" customWidth="1"/>
    <col min="18" max="27" width="16.5" style="7" hidden="1" customWidth="1" outlineLevel="1"/>
    <col min="28" max="28" width="16.5" style="7" bestFit="1" customWidth="1" collapsed="1"/>
    <col min="29" max="29" width="17.5" style="7" bestFit="1" customWidth="1"/>
    <col min="30" max="30" width="3.75" style="7" customWidth="1"/>
    <col min="31" max="31" width="16.625" style="7" bestFit="1" customWidth="1"/>
    <col min="32" max="41" width="16.625" style="7" hidden="1" customWidth="1" outlineLevel="1"/>
    <col min="42" max="42" width="16.625" style="7" bestFit="1" customWidth="1" collapsed="1"/>
    <col min="43" max="43" width="18.25" style="7" bestFit="1" customWidth="1"/>
    <col min="44" max="44" width="2.5" style="7" customWidth="1"/>
    <col min="45" max="45" width="16.625" style="7" bestFit="1" customWidth="1"/>
    <col min="46" max="55" width="16.625" style="7" hidden="1" customWidth="1" outlineLevel="1"/>
    <col min="56" max="56" width="16.625" style="7" bestFit="1" customWidth="1" collapsed="1"/>
    <col min="57" max="57" width="18.25" style="7" customWidth="1"/>
    <col min="58" max="58" width="1.5" style="7" customWidth="1"/>
    <col min="59" max="59" width="15.625" style="7" bestFit="1" customWidth="1"/>
    <col min="60" max="69" width="15.625" style="7" hidden="1" customWidth="1" outlineLevel="1"/>
    <col min="70" max="70" width="15.625" style="7" bestFit="1" customWidth="1" collapsed="1"/>
    <col min="71" max="71" width="16.625" style="7" bestFit="1" customWidth="1"/>
    <col min="72" max="72" width="9" style="7"/>
    <col min="73" max="73" width="15.625" style="7" bestFit="1" customWidth="1"/>
    <col min="74" max="74" width="14.375" style="7" hidden="1" customWidth="1" outlineLevel="1"/>
    <col min="75" max="83" width="15.625" style="7" hidden="1" customWidth="1" outlineLevel="1"/>
    <col min="84" max="84" width="15.625" style="7" bestFit="1" customWidth="1" collapsed="1"/>
    <col min="85" max="85" width="16.625" style="7" bestFit="1" customWidth="1"/>
    <col min="86" max="86" width="9" style="7"/>
    <col min="87" max="87" width="14.375" style="7" bestFit="1" customWidth="1"/>
    <col min="88" max="97" width="14.375" style="7" hidden="1" customWidth="1" outlineLevel="1"/>
    <col min="98" max="98" width="14.375" style="7" bestFit="1" customWidth="1" collapsed="1"/>
    <col min="99" max="99" width="15.625" style="7" bestFit="1" customWidth="1"/>
    <col min="100" max="100" width="9" style="7"/>
    <col min="101" max="101" width="15.625" style="7" bestFit="1" customWidth="1"/>
    <col min="102" max="102" width="14.375" style="7" hidden="1" customWidth="1" outlineLevel="1"/>
    <col min="103" max="111" width="15.625" style="7" hidden="1" customWidth="1" outlineLevel="1"/>
    <col min="112" max="112" width="15.625" style="7" bestFit="1" customWidth="1" collapsed="1"/>
    <col min="113" max="113" width="16.625" style="7" bestFit="1" customWidth="1"/>
    <col min="114" max="114" width="9" style="7"/>
    <col min="115" max="115" width="10.625" style="7" bestFit="1" customWidth="1"/>
    <col min="116" max="125" width="10.625" style="7" hidden="1" customWidth="1" outlineLevel="1"/>
    <col min="126" max="126" width="10.625" style="7" bestFit="1" customWidth="1" collapsed="1"/>
    <col min="127" max="127" width="11.625" style="7" bestFit="1" customWidth="1"/>
    <col min="128" max="128" width="9" style="7"/>
    <col min="129" max="141" width="9" style="7" customWidth="1"/>
    <col min="142" max="16384" width="9" style="7"/>
  </cols>
  <sheetData>
    <row r="1" spans="1:141" ht="20.25" thickTop="1" thickBot="1">
      <c r="B1" s="19" t="s">
        <v>57</v>
      </c>
      <c r="C1" s="344">
        <f ca="1">C17-C21-C27</f>
        <v>0</v>
      </c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Q1" s="347" t="s">
        <v>194</v>
      </c>
      <c r="R1" s="348">
        <v>0</v>
      </c>
      <c r="AE1" s="346"/>
      <c r="AF1" s="345"/>
      <c r="AG1" s="346"/>
      <c r="AH1" s="346"/>
      <c r="AP1" s="345"/>
    </row>
    <row r="2" spans="1:141" ht="16.5" thickTop="1" thickBot="1">
      <c r="B2" s="20" t="s">
        <v>11</v>
      </c>
      <c r="AE2" s="346"/>
      <c r="AF2" s="345"/>
      <c r="AG2" s="345"/>
      <c r="AH2" s="345"/>
      <c r="AM2" s="345"/>
      <c r="AN2" s="345"/>
      <c r="AO2" s="345"/>
      <c r="AP2" s="345"/>
      <c r="AS2" s="312"/>
    </row>
    <row r="3" spans="1:141" ht="17.25" thickTop="1">
      <c r="A3" s="518" t="s">
        <v>39</v>
      </c>
      <c r="B3" s="524" t="s">
        <v>19</v>
      </c>
      <c r="C3" s="511" t="s">
        <v>190</v>
      </c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3"/>
      <c r="Q3" s="519" t="s">
        <v>191</v>
      </c>
      <c r="R3" s="519"/>
      <c r="S3" s="519"/>
      <c r="T3" s="519"/>
      <c r="U3" s="519"/>
      <c r="V3" s="519"/>
      <c r="W3" s="519"/>
      <c r="X3" s="519"/>
      <c r="Y3" s="519"/>
      <c r="Z3" s="519"/>
      <c r="AA3" s="519"/>
      <c r="AB3" s="519"/>
      <c r="AC3" s="519"/>
      <c r="AE3" s="520" t="s">
        <v>17</v>
      </c>
      <c r="AF3" s="521"/>
      <c r="AG3" s="521"/>
      <c r="AH3" s="521"/>
      <c r="AI3" s="521"/>
      <c r="AJ3" s="521"/>
      <c r="AK3" s="521"/>
      <c r="AL3" s="521"/>
      <c r="AM3" s="521"/>
      <c r="AN3" s="521"/>
      <c r="AO3" s="521"/>
      <c r="AP3" s="521"/>
      <c r="AQ3" s="522"/>
      <c r="AS3" s="517" t="s">
        <v>0</v>
      </c>
      <c r="AT3" s="517"/>
      <c r="AU3" s="517"/>
      <c r="AV3" s="517"/>
      <c r="AW3" s="517"/>
      <c r="AX3" s="517"/>
      <c r="AY3" s="517"/>
      <c r="AZ3" s="517"/>
      <c r="BA3" s="517"/>
      <c r="BB3" s="517"/>
      <c r="BC3" s="517"/>
      <c r="BD3" s="517"/>
      <c r="BE3" s="517"/>
      <c r="BG3" s="517" t="s">
        <v>195</v>
      </c>
      <c r="BH3" s="517"/>
      <c r="BI3" s="517"/>
      <c r="BJ3" s="517"/>
      <c r="BK3" s="517"/>
      <c r="BL3" s="517"/>
      <c r="BM3" s="517"/>
      <c r="BN3" s="517"/>
      <c r="BO3" s="517"/>
      <c r="BP3" s="517"/>
      <c r="BQ3" s="517"/>
      <c r="BR3" s="517"/>
      <c r="BS3" s="517"/>
      <c r="BU3" s="523" t="s">
        <v>13</v>
      </c>
      <c r="BV3" s="523"/>
      <c r="BW3" s="523"/>
      <c r="BX3" s="523"/>
      <c r="BY3" s="523"/>
      <c r="BZ3" s="523"/>
      <c r="CA3" s="523"/>
      <c r="CB3" s="523"/>
      <c r="CC3" s="523"/>
      <c r="CD3" s="523"/>
      <c r="CE3" s="523"/>
      <c r="CF3" s="523"/>
      <c r="CG3" s="523"/>
      <c r="CI3" s="523" t="s">
        <v>14</v>
      </c>
      <c r="CJ3" s="523"/>
      <c r="CK3" s="523"/>
      <c r="CL3" s="523"/>
      <c r="CM3" s="523"/>
      <c r="CN3" s="523"/>
      <c r="CO3" s="523"/>
      <c r="CP3" s="523"/>
      <c r="CQ3" s="523"/>
      <c r="CR3" s="523"/>
      <c r="CS3" s="523"/>
      <c r="CT3" s="523"/>
      <c r="CU3" s="523"/>
      <c r="CW3" s="523" t="s">
        <v>16</v>
      </c>
      <c r="CX3" s="523"/>
      <c r="CY3" s="523"/>
      <c r="CZ3" s="523"/>
      <c r="DA3" s="523"/>
      <c r="DB3" s="523"/>
      <c r="DC3" s="523"/>
      <c r="DD3" s="523"/>
      <c r="DE3" s="523"/>
      <c r="DF3" s="523"/>
      <c r="DG3" s="523"/>
      <c r="DH3" s="523"/>
      <c r="DI3" s="523"/>
      <c r="DK3" s="517" t="s">
        <v>192</v>
      </c>
      <c r="DL3" s="517"/>
      <c r="DM3" s="517"/>
      <c r="DN3" s="517"/>
      <c r="DO3" s="517"/>
      <c r="DP3" s="517"/>
      <c r="DQ3" s="517"/>
      <c r="DR3" s="517"/>
      <c r="DS3" s="517"/>
      <c r="DT3" s="517"/>
      <c r="DU3" s="517"/>
      <c r="DV3" s="517"/>
      <c r="DW3" s="517"/>
      <c r="DY3" s="516" t="s">
        <v>193</v>
      </c>
      <c r="DZ3" s="516"/>
      <c r="EA3" s="516"/>
      <c r="EB3" s="516"/>
      <c r="EC3" s="516"/>
      <c r="ED3" s="516"/>
      <c r="EE3" s="516"/>
      <c r="EF3" s="516"/>
      <c r="EG3" s="516"/>
      <c r="EH3" s="516"/>
      <c r="EI3" s="516"/>
      <c r="EJ3" s="516"/>
      <c r="EK3" s="516"/>
    </row>
    <row r="4" spans="1:141" s="30" customFormat="1" ht="16.5">
      <c r="A4" s="518"/>
      <c r="B4" s="524"/>
      <c r="C4" s="349">
        <v>1</v>
      </c>
      <c r="D4" s="310">
        <v>2</v>
      </c>
      <c r="E4" s="310">
        <v>3</v>
      </c>
      <c r="F4" s="310">
        <v>4</v>
      </c>
      <c r="G4" s="310">
        <v>5</v>
      </c>
      <c r="H4" s="310">
        <v>6</v>
      </c>
      <c r="I4" s="310">
        <v>7</v>
      </c>
      <c r="J4" s="310">
        <v>8</v>
      </c>
      <c r="K4" s="310">
        <v>9</v>
      </c>
      <c r="L4" s="310">
        <v>10</v>
      </c>
      <c r="M4" s="310">
        <v>11</v>
      </c>
      <c r="N4" s="310">
        <v>12</v>
      </c>
      <c r="O4" s="350" t="s">
        <v>17</v>
      </c>
      <c r="Q4" s="309">
        <v>1</v>
      </c>
      <c r="R4" s="309">
        <v>2</v>
      </c>
      <c r="S4" s="309">
        <v>3</v>
      </c>
      <c r="T4" s="309">
        <v>4</v>
      </c>
      <c r="U4" s="309">
        <v>5</v>
      </c>
      <c r="V4" s="309">
        <v>6</v>
      </c>
      <c r="W4" s="309">
        <v>7</v>
      </c>
      <c r="X4" s="309">
        <v>8</v>
      </c>
      <c r="Y4" s="309">
        <v>9</v>
      </c>
      <c r="Z4" s="309">
        <v>10</v>
      </c>
      <c r="AA4" s="309">
        <v>11</v>
      </c>
      <c r="AB4" s="309">
        <v>12</v>
      </c>
      <c r="AC4" s="309" t="s">
        <v>17</v>
      </c>
      <c r="AE4" s="351">
        <v>1</v>
      </c>
      <c r="AF4" s="352">
        <v>2</v>
      </c>
      <c r="AG4" s="352">
        <v>3</v>
      </c>
      <c r="AH4" s="352">
        <v>4</v>
      </c>
      <c r="AI4" s="352">
        <v>5</v>
      </c>
      <c r="AJ4" s="352">
        <v>6</v>
      </c>
      <c r="AK4" s="352">
        <v>7</v>
      </c>
      <c r="AL4" s="352">
        <v>8</v>
      </c>
      <c r="AM4" s="352">
        <v>9</v>
      </c>
      <c r="AN4" s="352">
        <v>10</v>
      </c>
      <c r="AO4" s="352">
        <v>11</v>
      </c>
      <c r="AP4" s="352">
        <v>12</v>
      </c>
      <c r="AQ4" s="353" t="s">
        <v>17</v>
      </c>
      <c r="AS4" s="31">
        <v>1</v>
      </c>
      <c r="AT4" s="31">
        <v>2</v>
      </c>
      <c r="AU4" s="31">
        <v>3</v>
      </c>
      <c r="AV4" s="31">
        <v>4</v>
      </c>
      <c r="AW4" s="31">
        <v>5</v>
      </c>
      <c r="AX4" s="31">
        <v>6</v>
      </c>
      <c r="AY4" s="31">
        <v>7</v>
      </c>
      <c r="AZ4" s="31">
        <v>8</v>
      </c>
      <c r="BA4" s="31">
        <v>9</v>
      </c>
      <c r="BB4" s="31">
        <v>10</v>
      </c>
      <c r="BC4" s="31">
        <v>11</v>
      </c>
      <c r="BD4" s="31">
        <v>12</v>
      </c>
      <c r="BE4" s="31" t="s">
        <v>17</v>
      </c>
      <c r="BG4" s="31">
        <v>1</v>
      </c>
      <c r="BH4" s="31">
        <v>2</v>
      </c>
      <c r="BI4" s="31">
        <v>3</v>
      </c>
      <c r="BJ4" s="31">
        <v>4</v>
      </c>
      <c r="BK4" s="31">
        <v>5</v>
      </c>
      <c r="BL4" s="31">
        <v>6</v>
      </c>
      <c r="BM4" s="31">
        <v>7</v>
      </c>
      <c r="BN4" s="31">
        <v>8</v>
      </c>
      <c r="BO4" s="31">
        <v>9</v>
      </c>
      <c r="BP4" s="31">
        <v>10</v>
      </c>
      <c r="BQ4" s="31">
        <v>11</v>
      </c>
      <c r="BR4" s="31">
        <v>12</v>
      </c>
      <c r="BS4" s="31" t="s">
        <v>17</v>
      </c>
      <c r="BU4" s="311">
        <v>1</v>
      </c>
      <c r="BV4" s="311">
        <v>2</v>
      </c>
      <c r="BW4" s="311">
        <v>3</v>
      </c>
      <c r="BX4" s="311">
        <v>4</v>
      </c>
      <c r="BY4" s="311">
        <v>5</v>
      </c>
      <c r="BZ4" s="311">
        <v>6</v>
      </c>
      <c r="CA4" s="311">
        <v>7</v>
      </c>
      <c r="CB4" s="311">
        <v>8</v>
      </c>
      <c r="CC4" s="311">
        <v>9</v>
      </c>
      <c r="CD4" s="311">
        <v>10</v>
      </c>
      <c r="CE4" s="311">
        <v>11</v>
      </c>
      <c r="CF4" s="311">
        <v>12</v>
      </c>
      <c r="CG4" s="311" t="s">
        <v>17</v>
      </c>
      <c r="CI4" s="311">
        <v>1</v>
      </c>
      <c r="CJ4" s="311">
        <v>2</v>
      </c>
      <c r="CK4" s="311">
        <v>3</v>
      </c>
      <c r="CL4" s="311">
        <v>4</v>
      </c>
      <c r="CM4" s="311">
        <v>5</v>
      </c>
      <c r="CN4" s="311">
        <v>6</v>
      </c>
      <c r="CO4" s="311">
        <v>7</v>
      </c>
      <c r="CP4" s="311">
        <v>8</v>
      </c>
      <c r="CQ4" s="311">
        <v>9</v>
      </c>
      <c r="CR4" s="311">
        <v>10</v>
      </c>
      <c r="CS4" s="311">
        <v>11</v>
      </c>
      <c r="CT4" s="311">
        <v>12</v>
      </c>
      <c r="CU4" s="311" t="s">
        <v>17</v>
      </c>
      <c r="CW4" s="311">
        <v>1</v>
      </c>
      <c r="CX4" s="311">
        <v>2</v>
      </c>
      <c r="CY4" s="311">
        <v>3</v>
      </c>
      <c r="CZ4" s="311">
        <v>4</v>
      </c>
      <c r="DA4" s="311">
        <v>5</v>
      </c>
      <c r="DB4" s="311">
        <v>6</v>
      </c>
      <c r="DC4" s="311">
        <v>7</v>
      </c>
      <c r="DD4" s="311">
        <v>8</v>
      </c>
      <c r="DE4" s="311">
        <v>9</v>
      </c>
      <c r="DF4" s="311">
        <v>10</v>
      </c>
      <c r="DG4" s="311">
        <v>11</v>
      </c>
      <c r="DH4" s="311">
        <v>12</v>
      </c>
      <c r="DI4" s="311" t="s">
        <v>17</v>
      </c>
      <c r="DK4" s="31">
        <v>1</v>
      </c>
      <c r="DL4" s="31">
        <v>2</v>
      </c>
      <c r="DM4" s="31">
        <v>3</v>
      </c>
      <c r="DN4" s="31">
        <v>4</v>
      </c>
      <c r="DO4" s="31">
        <v>5</v>
      </c>
      <c r="DP4" s="31">
        <v>6</v>
      </c>
      <c r="DQ4" s="31">
        <v>7</v>
      </c>
      <c r="DR4" s="31">
        <v>8</v>
      </c>
      <c r="DS4" s="31">
        <v>9</v>
      </c>
      <c r="DT4" s="31">
        <v>10</v>
      </c>
      <c r="DU4" s="31">
        <v>11</v>
      </c>
      <c r="DV4" s="31">
        <v>12</v>
      </c>
      <c r="DW4" s="31" t="s">
        <v>17</v>
      </c>
      <c r="DY4" s="342">
        <v>1</v>
      </c>
      <c r="DZ4" s="342">
        <v>2</v>
      </c>
      <c r="EA4" s="342">
        <v>3</v>
      </c>
      <c r="EB4" s="342">
        <v>4</v>
      </c>
      <c r="EC4" s="342">
        <v>5</v>
      </c>
      <c r="ED4" s="342">
        <v>6</v>
      </c>
      <c r="EE4" s="342">
        <v>7</v>
      </c>
      <c r="EF4" s="342">
        <v>8</v>
      </c>
      <c r="EG4" s="342">
        <v>9</v>
      </c>
      <c r="EH4" s="342">
        <v>10</v>
      </c>
      <c r="EI4" s="342">
        <v>11</v>
      </c>
      <c r="EJ4" s="342">
        <v>12</v>
      </c>
      <c r="EK4" s="342" t="s">
        <v>17</v>
      </c>
    </row>
    <row r="5" spans="1:141">
      <c r="A5" s="32">
        <v>1</v>
      </c>
      <c r="B5" s="33" t="s">
        <v>40</v>
      </c>
      <c r="C5" s="354">
        <f t="shared" ref="C5:O5" si="0">SUM(C6:C8)</f>
        <v>4318.222932676138</v>
      </c>
      <c r="D5" s="101">
        <f t="shared" si="0"/>
        <v>4253.3145678240335</v>
      </c>
      <c r="E5" s="101">
        <f t="shared" si="0"/>
        <v>4678.5574034757401</v>
      </c>
      <c r="F5" s="101">
        <f t="shared" si="0"/>
        <v>4394.2315186767219</v>
      </c>
      <c r="G5" s="101">
        <f t="shared" si="0"/>
        <v>4663.4364391825357</v>
      </c>
      <c r="H5" s="101">
        <f t="shared" si="0"/>
        <v>4691.9521822275938</v>
      </c>
      <c r="I5" s="101">
        <f t="shared" si="0"/>
        <v>4689.4225169732681</v>
      </c>
      <c r="J5" s="101">
        <f t="shared" si="0"/>
        <v>4562.8494989087403</v>
      </c>
      <c r="K5" s="101">
        <f t="shared" si="0"/>
        <v>4774.6231018888848</v>
      </c>
      <c r="L5" s="101">
        <f t="shared" si="0"/>
        <v>4468.6262974285746</v>
      </c>
      <c r="M5" s="101">
        <f t="shared" si="0"/>
        <v>4720.2431243544625</v>
      </c>
      <c r="N5" s="101">
        <f t="shared" si="0"/>
        <v>4784.5204185700313</v>
      </c>
      <c r="O5" s="355">
        <f t="shared" si="0"/>
        <v>55000.000002186731</v>
      </c>
      <c r="Q5" s="101">
        <f t="shared" ref="Q5:AC5" si="1">SUM(Q6:Q8)</f>
        <v>-2101.9549999999999</v>
      </c>
      <c r="R5" s="101">
        <f t="shared" si="1"/>
        <v>-1488.2180000000001</v>
      </c>
      <c r="S5" s="101">
        <f t="shared" si="1"/>
        <v>-2386.5422749999998</v>
      </c>
      <c r="T5" s="101">
        <f t="shared" si="1"/>
        <v>-2581.6968750000001</v>
      </c>
      <c r="U5" s="101">
        <f t="shared" si="1"/>
        <v>-2580.5418749999999</v>
      </c>
      <c r="V5" s="101">
        <f t="shared" si="1"/>
        <v>-2584.9947499999998</v>
      </c>
      <c r="W5" s="101">
        <f t="shared" si="1"/>
        <v>-2625.747625</v>
      </c>
      <c r="X5" s="101">
        <f t="shared" si="1"/>
        <v>-2584.9947499999998</v>
      </c>
      <c r="Y5" s="101">
        <f t="shared" si="1"/>
        <v>-2503.489</v>
      </c>
      <c r="Z5" s="101">
        <f t="shared" si="1"/>
        <v>-2625.747625</v>
      </c>
      <c r="AA5" s="101">
        <f t="shared" si="1"/>
        <v>-2544.2418749999997</v>
      </c>
      <c r="AB5" s="101">
        <f t="shared" si="1"/>
        <v>-2625.747625</v>
      </c>
      <c r="AC5" s="101">
        <f t="shared" si="1"/>
        <v>-29233.917275</v>
      </c>
      <c r="AE5" s="356">
        <f t="shared" ref="AE5:AQ5" si="2">SUM(AE6:AE8)</f>
        <v>6420.177932676138</v>
      </c>
      <c r="AF5" s="101">
        <f t="shared" si="2"/>
        <v>5741.5325678240333</v>
      </c>
      <c r="AG5" s="101">
        <f t="shared" si="2"/>
        <v>7065.0996784757399</v>
      </c>
      <c r="AH5" s="101">
        <f t="shared" si="2"/>
        <v>6975.9283936767224</v>
      </c>
      <c r="AI5" s="101">
        <f t="shared" si="2"/>
        <v>7243.9783141825355</v>
      </c>
      <c r="AJ5" s="101">
        <f t="shared" si="2"/>
        <v>7276.9469322275936</v>
      </c>
      <c r="AK5" s="101">
        <f t="shared" si="2"/>
        <v>7315.1701419732681</v>
      </c>
      <c r="AL5" s="101">
        <f t="shared" si="2"/>
        <v>7147.8442489087402</v>
      </c>
      <c r="AM5" s="101">
        <f t="shared" si="2"/>
        <v>7278.1121018888844</v>
      </c>
      <c r="AN5" s="101">
        <f t="shared" si="2"/>
        <v>7094.3739224285746</v>
      </c>
      <c r="AO5" s="101">
        <f t="shared" si="2"/>
        <v>7264.4849993544622</v>
      </c>
      <c r="AP5" s="101">
        <f t="shared" si="2"/>
        <v>7410.2680435700313</v>
      </c>
      <c r="AQ5" s="357">
        <f t="shared" si="2"/>
        <v>84233.917277186731</v>
      </c>
      <c r="AS5" s="101">
        <f t="shared" ref="AS5:BE5" si="3">SUM(AS6:AS8)</f>
        <v>4318.222932676138</v>
      </c>
      <c r="AT5" s="101">
        <f t="shared" si="3"/>
        <v>4253.3145678240335</v>
      </c>
      <c r="AU5" s="101">
        <f t="shared" si="3"/>
        <v>4678.5574034757401</v>
      </c>
      <c r="AV5" s="101">
        <f t="shared" si="3"/>
        <v>4394.2315186767219</v>
      </c>
      <c r="AW5" s="101">
        <f t="shared" si="3"/>
        <v>4663.4364391825357</v>
      </c>
      <c r="AX5" s="101">
        <f t="shared" si="3"/>
        <v>4691.9521822275938</v>
      </c>
      <c r="AY5" s="101">
        <f t="shared" si="3"/>
        <v>4689.4225169732681</v>
      </c>
      <c r="AZ5" s="101">
        <f t="shared" si="3"/>
        <v>4562.8494989087403</v>
      </c>
      <c r="BA5" s="101">
        <f t="shared" si="3"/>
        <v>4774.6231018888848</v>
      </c>
      <c r="BB5" s="101">
        <f t="shared" si="3"/>
        <v>4468.6262974285746</v>
      </c>
      <c r="BC5" s="101">
        <f t="shared" si="3"/>
        <v>4720.2431243544625</v>
      </c>
      <c r="BD5" s="101">
        <f t="shared" si="3"/>
        <v>4784.5204185700313</v>
      </c>
      <c r="BE5" s="101">
        <f t="shared" si="3"/>
        <v>55000.000002186731</v>
      </c>
      <c r="BG5" s="101">
        <f t="shared" ref="BG5:BS5" si="4">SUM(BG6:BG8)</f>
        <v>2101.9549999999999</v>
      </c>
      <c r="BH5" s="101">
        <f t="shared" si="4"/>
        <v>1488.2180000000001</v>
      </c>
      <c r="BI5" s="101">
        <f t="shared" si="4"/>
        <v>2386.5422749999998</v>
      </c>
      <c r="BJ5" s="101">
        <f t="shared" si="4"/>
        <v>2581.6968750000001</v>
      </c>
      <c r="BK5" s="101">
        <f t="shared" si="4"/>
        <v>2580.5418749999999</v>
      </c>
      <c r="BL5" s="101">
        <f t="shared" si="4"/>
        <v>2584.9947499999998</v>
      </c>
      <c r="BM5" s="101">
        <f t="shared" si="4"/>
        <v>2625.747625</v>
      </c>
      <c r="BN5" s="101">
        <f t="shared" si="4"/>
        <v>2584.9947499999998</v>
      </c>
      <c r="BO5" s="101">
        <f t="shared" si="4"/>
        <v>2503.489</v>
      </c>
      <c r="BP5" s="101">
        <f t="shared" si="4"/>
        <v>2625.747625</v>
      </c>
      <c r="BQ5" s="101">
        <f t="shared" si="4"/>
        <v>2544.2418749999997</v>
      </c>
      <c r="BR5" s="101">
        <f t="shared" si="4"/>
        <v>2625.747625</v>
      </c>
      <c r="BS5" s="101">
        <f t="shared" si="4"/>
        <v>29233.917275</v>
      </c>
      <c r="BU5" s="101">
        <f t="shared" ref="BU5:CG5" si="5">SUM(BU6:BU8)</f>
        <v>798.98</v>
      </c>
      <c r="BV5" s="101">
        <f t="shared" si="5"/>
        <v>489.61799999999999</v>
      </c>
      <c r="BW5" s="101">
        <f t="shared" si="5"/>
        <v>953.61727499999984</v>
      </c>
      <c r="BX5" s="101">
        <f t="shared" si="5"/>
        <v>1018.821875</v>
      </c>
      <c r="BY5" s="101">
        <f t="shared" si="5"/>
        <v>1018.821875</v>
      </c>
      <c r="BZ5" s="101">
        <f t="shared" si="5"/>
        <v>1059.57475</v>
      </c>
      <c r="CA5" s="101">
        <f t="shared" si="5"/>
        <v>1100.3276249999999</v>
      </c>
      <c r="CB5" s="101">
        <f t="shared" si="5"/>
        <v>1059.57475</v>
      </c>
      <c r="CC5" s="101">
        <f t="shared" si="5"/>
        <v>978.06899999999996</v>
      </c>
      <c r="CD5" s="101">
        <f t="shared" si="5"/>
        <v>1100.3276249999999</v>
      </c>
      <c r="CE5" s="101">
        <f t="shared" si="5"/>
        <v>1018.821875</v>
      </c>
      <c r="CF5" s="101">
        <f t="shared" si="5"/>
        <v>1100.3276249999999</v>
      </c>
      <c r="CG5" s="101">
        <f t="shared" si="5"/>
        <v>11696.882274999998</v>
      </c>
      <c r="CI5" s="101">
        <f t="shared" ref="CI5:CU5" si="6">SUM(CI6:CI8)</f>
        <v>533.70000000000005</v>
      </c>
      <c r="CJ5" s="101">
        <f t="shared" si="6"/>
        <v>400.27499999999998</v>
      </c>
      <c r="CK5" s="101">
        <f t="shared" si="6"/>
        <v>578.17499999999995</v>
      </c>
      <c r="CL5" s="101">
        <f t="shared" si="6"/>
        <v>622.65</v>
      </c>
      <c r="CM5" s="101">
        <f t="shared" si="6"/>
        <v>622.65</v>
      </c>
      <c r="CN5" s="101">
        <f t="shared" si="6"/>
        <v>622.65</v>
      </c>
      <c r="CO5" s="101">
        <f t="shared" si="6"/>
        <v>622.65</v>
      </c>
      <c r="CP5" s="101">
        <f t="shared" si="6"/>
        <v>622.65</v>
      </c>
      <c r="CQ5" s="101">
        <f t="shared" si="6"/>
        <v>622.65</v>
      </c>
      <c r="CR5" s="101">
        <f t="shared" si="6"/>
        <v>622.65</v>
      </c>
      <c r="CS5" s="101">
        <f t="shared" si="6"/>
        <v>622.65</v>
      </c>
      <c r="CT5" s="101">
        <f t="shared" si="6"/>
        <v>622.65</v>
      </c>
      <c r="CU5" s="101">
        <f t="shared" si="6"/>
        <v>7115.9999999999991</v>
      </c>
      <c r="CW5" s="101">
        <f t="shared" ref="CW5:DI5" si="7">SUM(CW6:CW8)</f>
        <v>769.27499999999998</v>
      </c>
      <c r="CX5" s="101">
        <f t="shared" si="7"/>
        <v>598.32500000000005</v>
      </c>
      <c r="CY5" s="101">
        <f t="shared" si="7"/>
        <v>854.75</v>
      </c>
      <c r="CZ5" s="101">
        <f t="shared" si="7"/>
        <v>940.22500000000002</v>
      </c>
      <c r="DA5" s="101">
        <f t="shared" si="7"/>
        <v>939.07</v>
      </c>
      <c r="DB5" s="101">
        <f t="shared" si="7"/>
        <v>902.77</v>
      </c>
      <c r="DC5" s="101">
        <f t="shared" si="7"/>
        <v>902.77</v>
      </c>
      <c r="DD5" s="101">
        <f t="shared" si="7"/>
        <v>902.77</v>
      </c>
      <c r="DE5" s="101">
        <f t="shared" si="7"/>
        <v>902.77</v>
      </c>
      <c r="DF5" s="101">
        <f t="shared" si="7"/>
        <v>902.77</v>
      </c>
      <c r="DG5" s="101">
        <f t="shared" si="7"/>
        <v>902.77</v>
      </c>
      <c r="DH5" s="101">
        <f t="shared" si="7"/>
        <v>902.77</v>
      </c>
      <c r="DI5" s="101">
        <f t="shared" si="7"/>
        <v>10421.035000000002</v>
      </c>
      <c r="DK5" s="101">
        <f t="shared" ref="DK5:DW5" si="8">SUM(DK6:DK8)</f>
        <v>0</v>
      </c>
      <c r="DL5" s="101">
        <f t="shared" si="8"/>
        <v>0</v>
      </c>
      <c r="DM5" s="101">
        <f t="shared" si="8"/>
        <v>0</v>
      </c>
      <c r="DN5" s="101">
        <f t="shared" si="8"/>
        <v>0</v>
      </c>
      <c r="DO5" s="101">
        <f t="shared" si="8"/>
        <v>0</v>
      </c>
      <c r="DP5" s="101">
        <f t="shared" si="8"/>
        <v>0</v>
      </c>
      <c r="DQ5" s="101">
        <f t="shared" si="8"/>
        <v>0</v>
      </c>
      <c r="DR5" s="101">
        <f t="shared" si="8"/>
        <v>0</v>
      </c>
      <c r="DS5" s="101">
        <f t="shared" si="8"/>
        <v>0</v>
      </c>
      <c r="DT5" s="101">
        <f t="shared" si="8"/>
        <v>0</v>
      </c>
      <c r="DU5" s="101">
        <f t="shared" si="8"/>
        <v>0</v>
      </c>
      <c r="DV5" s="101">
        <f t="shared" si="8"/>
        <v>0</v>
      </c>
      <c r="DW5" s="101">
        <f t="shared" si="8"/>
        <v>0</v>
      </c>
      <c r="DY5" s="101">
        <f t="shared" ref="DY5:EK5" si="9">SUM(DY6:DY8)</f>
        <v>0</v>
      </c>
      <c r="DZ5" s="101">
        <f t="shared" si="9"/>
        <v>0</v>
      </c>
      <c r="EA5" s="101">
        <f t="shared" si="9"/>
        <v>0</v>
      </c>
      <c r="EB5" s="101">
        <f t="shared" si="9"/>
        <v>0</v>
      </c>
      <c r="EC5" s="101">
        <f t="shared" si="9"/>
        <v>0</v>
      </c>
      <c r="ED5" s="101">
        <f t="shared" si="9"/>
        <v>0</v>
      </c>
      <c r="EE5" s="101">
        <f t="shared" si="9"/>
        <v>0</v>
      </c>
      <c r="EF5" s="101">
        <f t="shared" si="9"/>
        <v>0</v>
      </c>
      <c r="EG5" s="101">
        <f t="shared" si="9"/>
        <v>0</v>
      </c>
      <c r="EH5" s="101">
        <f t="shared" si="9"/>
        <v>0</v>
      </c>
      <c r="EI5" s="101">
        <f t="shared" si="9"/>
        <v>0</v>
      </c>
      <c r="EJ5" s="101">
        <f t="shared" si="9"/>
        <v>0</v>
      </c>
      <c r="EK5" s="101">
        <f t="shared" si="9"/>
        <v>0</v>
      </c>
    </row>
    <row r="6" spans="1:141" s="97" customFormat="1" outlineLevel="1">
      <c r="A6" s="99" t="s">
        <v>73</v>
      </c>
      <c r="B6" s="100" t="s">
        <v>1</v>
      </c>
      <c r="C6" s="358">
        <f t="shared" ref="C6:N8" si="10">Q6+AE6</f>
        <v>4318.222932676138</v>
      </c>
      <c r="D6" s="98">
        <f t="shared" si="10"/>
        <v>4253.3145678240335</v>
      </c>
      <c r="E6" s="98">
        <f t="shared" si="10"/>
        <v>4678.5574034757401</v>
      </c>
      <c r="F6" s="98">
        <f t="shared" si="10"/>
        <v>4394.2315186767219</v>
      </c>
      <c r="G6" s="98">
        <f t="shared" si="10"/>
        <v>4663.4364391825357</v>
      </c>
      <c r="H6" s="98">
        <f t="shared" si="10"/>
        <v>4691.9521822275938</v>
      </c>
      <c r="I6" s="98">
        <f t="shared" si="10"/>
        <v>4689.4225169732681</v>
      </c>
      <c r="J6" s="98">
        <f t="shared" si="10"/>
        <v>4562.8494989087403</v>
      </c>
      <c r="K6" s="98">
        <f t="shared" si="10"/>
        <v>4774.6231018888848</v>
      </c>
      <c r="L6" s="98">
        <f t="shared" si="10"/>
        <v>4468.6262974285746</v>
      </c>
      <c r="M6" s="98">
        <f t="shared" si="10"/>
        <v>4720.2431243544625</v>
      </c>
      <c r="N6" s="98">
        <f t="shared" si="10"/>
        <v>4784.5204185700313</v>
      </c>
      <c r="O6" s="359">
        <f>SUM(C6:N6)</f>
        <v>55000.000002186731</v>
      </c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>
        <f>SUM(Q6:AB6)</f>
        <v>0</v>
      </c>
      <c r="AE6" s="360">
        <f t="shared" ref="AE6:AP8" si="11">AS6+BU6+CI6+CW6+DK6</f>
        <v>4318.222932676138</v>
      </c>
      <c r="AF6" s="98">
        <f t="shared" si="11"/>
        <v>4253.3145678240335</v>
      </c>
      <c r="AG6" s="98">
        <f t="shared" si="11"/>
        <v>4678.5574034757401</v>
      </c>
      <c r="AH6" s="98">
        <f t="shared" si="11"/>
        <v>4394.2315186767219</v>
      </c>
      <c r="AI6" s="98">
        <f t="shared" si="11"/>
        <v>4663.4364391825357</v>
      </c>
      <c r="AJ6" s="98">
        <f t="shared" si="11"/>
        <v>4691.9521822275938</v>
      </c>
      <c r="AK6" s="98">
        <f t="shared" si="11"/>
        <v>4689.4225169732681</v>
      </c>
      <c r="AL6" s="98">
        <f t="shared" si="11"/>
        <v>4562.8494989087403</v>
      </c>
      <c r="AM6" s="98">
        <f t="shared" si="11"/>
        <v>4774.6231018888848</v>
      </c>
      <c r="AN6" s="98">
        <f t="shared" si="11"/>
        <v>4468.6262974285746</v>
      </c>
      <c r="AO6" s="98">
        <f t="shared" si="11"/>
        <v>4720.2431243544625</v>
      </c>
      <c r="AP6" s="98">
        <f t="shared" si="11"/>
        <v>4784.5204185700313</v>
      </c>
      <c r="AQ6" s="361">
        <f>SUM(AE6:AP6)</f>
        <v>55000.000002186731</v>
      </c>
      <c r="AS6" s="98">
        <v>4318.222932676138</v>
      </c>
      <c r="AT6" s="98">
        <v>4253.3145678240335</v>
      </c>
      <c r="AU6" s="98">
        <v>4678.5574034757401</v>
      </c>
      <c r="AV6" s="98">
        <v>4394.2315186767219</v>
      </c>
      <c r="AW6" s="98">
        <v>4663.4364391825357</v>
      </c>
      <c r="AX6" s="98">
        <v>4691.9521822275938</v>
      </c>
      <c r="AY6" s="98">
        <v>4689.4225169732681</v>
      </c>
      <c r="AZ6" s="98">
        <v>4562.8494989087403</v>
      </c>
      <c r="BA6" s="98">
        <v>4774.6231018888848</v>
      </c>
      <c r="BB6" s="98">
        <v>4468.6262974285746</v>
      </c>
      <c r="BC6" s="98">
        <v>4720.2431243544625</v>
      </c>
      <c r="BD6" s="98">
        <v>4784.5204185700313</v>
      </c>
      <c r="BE6" s="98">
        <f>SUM(AS6:BD6)</f>
        <v>55000.000002186731</v>
      </c>
      <c r="BG6" s="98">
        <f t="shared" ref="BG6:BR8" si="12">BU6+CI6+CW6</f>
        <v>0</v>
      </c>
      <c r="BH6" s="98">
        <f t="shared" si="12"/>
        <v>0</v>
      </c>
      <c r="BI6" s="98">
        <f t="shared" si="12"/>
        <v>0</v>
      </c>
      <c r="BJ6" s="98">
        <f t="shared" si="12"/>
        <v>0</v>
      </c>
      <c r="BK6" s="98">
        <f t="shared" si="12"/>
        <v>0</v>
      </c>
      <c r="BL6" s="98">
        <f t="shared" si="12"/>
        <v>0</v>
      </c>
      <c r="BM6" s="98">
        <f t="shared" si="12"/>
        <v>0</v>
      </c>
      <c r="BN6" s="98">
        <f t="shared" si="12"/>
        <v>0</v>
      </c>
      <c r="BO6" s="98">
        <f t="shared" si="12"/>
        <v>0</v>
      </c>
      <c r="BP6" s="98">
        <f t="shared" si="12"/>
        <v>0</v>
      </c>
      <c r="BQ6" s="98">
        <f t="shared" si="12"/>
        <v>0</v>
      </c>
      <c r="BR6" s="98">
        <f t="shared" si="12"/>
        <v>0</v>
      </c>
      <c r="BS6" s="98">
        <f>SUM(BG6:BR6)</f>
        <v>0</v>
      </c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>
        <f>SUM(BU6:CF6)</f>
        <v>0</v>
      </c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>
        <f>SUM(CI6:CT6)</f>
        <v>0</v>
      </c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>
        <f>SUM(CW6:DH6)</f>
        <v>0</v>
      </c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>
        <f>SUM(DK6:DV6)</f>
        <v>0</v>
      </c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>
        <f>SUM(DY6:EJ6)</f>
        <v>0</v>
      </c>
    </row>
    <row r="7" spans="1:141" s="97" customFormat="1" outlineLevel="1">
      <c r="A7" s="99" t="s">
        <v>74</v>
      </c>
      <c r="B7" s="100" t="s">
        <v>2</v>
      </c>
      <c r="C7" s="358">
        <f t="shared" si="10"/>
        <v>0</v>
      </c>
      <c r="D7" s="98">
        <f t="shared" si="10"/>
        <v>0</v>
      </c>
      <c r="E7" s="98">
        <f t="shared" si="10"/>
        <v>0</v>
      </c>
      <c r="F7" s="98">
        <f t="shared" si="10"/>
        <v>0</v>
      </c>
      <c r="G7" s="98">
        <f t="shared" si="10"/>
        <v>0</v>
      </c>
      <c r="H7" s="98">
        <f t="shared" si="10"/>
        <v>0</v>
      </c>
      <c r="I7" s="98">
        <f t="shared" si="10"/>
        <v>0</v>
      </c>
      <c r="J7" s="98">
        <f t="shared" si="10"/>
        <v>0</v>
      </c>
      <c r="K7" s="98">
        <f t="shared" si="10"/>
        <v>0</v>
      </c>
      <c r="L7" s="98">
        <f t="shared" si="10"/>
        <v>0</v>
      </c>
      <c r="M7" s="98">
        <f t="shared" si="10"/>
        <v>0</v>
      </c>
      <c r="N7" s="98">
        <f t="shared" si="10"/>
        <v>0</v>
      </c>
      <c r="O7" s="359">
        <f>SUM(C7:N7)</f>
        <v>0</v>
      </c>
      <c r="Q7" s="98">
        <f t="shared" ref="Q7:AB7" si="13">-AE7</f>
        <v>-2101.9549999999999</v>
      </c>
      <c r="R7" s="98">
        <f t="shared" si="13"/>
        <v>-1488.2180000000001</v>
      </c>
      <c r="S7" s="98">
        <f t="shared" si="13"/>
        <v>-2386.5422749999998</v>
      </c>
      <c r="T7" s="98">
        <f t="shared" si="13"/>
        <v>-2581.6968750000001</v>
      </c>
      <c r="U7" s="98">
        <f t="shared" si="13"/>
        <v>-2580.5418749999999</v>
      </c>
      <c r="V7" s="98">
        <f t="shared" si="13"/>
        <v>-2584.9947499999998</v>
      </c>
      <c r="W7" s="98">
        <f t="shared" si="13"/>
        <v>-2625.747625</v>
      </c>
      <c r="X7" s="98">
        <f t="shared" si="13"/>
        <v>-2584.9947499999998</v>
      </c>
      <c r="Y7" s="98">
        <f t="shared" si="13"/>
        <v>-2503.489</v>
      </c>
      <c r="Z7" s="98">
        <f t="shared" si="13"/>
        <v>-2625.747625</v>
      </c>
      <c r="AA7" s="98">
        <f t="shared" si="13"/>
        <v>-2544.2418749999997</v>
      </c>
      <c r="AB7" s="98">
        <f t="shared" si="13"/>
        <v>-2625.747625</v>
      </c>
      <c r="AC7" s="98">
        <f>SUM(Q7:AB7)</f>
        <v>-29233.917275</v>
      </c>
      <c r="AE7" s="360">
        <f t="shared" si="11"/>
        <v>2101.9549999999999</v>
      </c>
      <c r="AF7" s="98">
        <f t="shared" si="11"/>
        <v>1488.2180000000001</v>
      </c>
      <c r="AG7" s="98">
        <f t="shared" si="11"/>
        <v>2386.5422749999998</v>
      </c>
      <c r="AH7" s="98">
        <f t="shared" si="11"/>
        <v>2581.6968750000001</v>
      </c>
      <c r="AI7" s="98">
        <f t="shared" si="11"/>
        <v>2580.5418749999999</v>
      </c>
      <c r="AJ7" s="98">
        <f t="shared" si="11"/>
        <v>2584.9947499999998</v>
      </c>
      <c r="AK7" s="98">
        <f t="shared" si="11"/>
        <v>2625.747625</v>
      </c>
      <c r="AL7" s="98">
        <f t="shared" si="11"/>
        <v>2584.9947499999998</v>
      </c>
      <c r="AM7" s="98">
        <f t="shared" si="11"/>
        <v>2503.489</v>
      </c>
      <c r="AN7" s="98">
        <f t="shared" si="11"/>
        <v>2625.747625</v>
      </c>
      <c r="AO7" s="98">
        <f t="shared" si="11"/>
        <v>2544.2418749999997</v>
      </c>
      <c r="AP7" s="98">
        <f t="shared" si="11"/>
        <v>2625.747625</v>
      </c>
      <c r="AQ7" s="361">
        <f>SUM(AE7:AP7)</f>
        <v>29233.917275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>
        <f>SUM(AS7:BD7)</f>
        <v>0</v>
      </c>
      <c r="BG7" s="98">
        <f t="shared" si="12"/>
        <v>2101.9549999999999</v>
      </c>
      <c r="BH7" s="98">
        <f t="shared" si="12"/>
        <v>1488.2180000000001</v>
      </c>
      <c r="BI7" s="98">
        <f t="shared" si="12"/>
        <v>2386.5422749999998</v>
      </c>
      <c r="BJ7" s="98">
        <f t="shared" si="12"/>
        <v>2581.6968750000001</v>
      </c>
      <c r="BK7" s="98">
        <f t="shared" si="12"/>
        <v>2580.5418749999999</v>
      </c>
      <c r="BL7" s="98">
        <f t="shared" si="12"/>
        <v>2584.9947499999998</v>
      </c>
      <c r="BM7" s="98">
        <f t="shared" si="12"/>
        <v>2625.747625</v>
      </c>
      <c r="BN7" s="98">
        <f t="shared" si="12"/>
        <v>2584.9947499999998</v>
      </c>
      <c r="BO7" s="98">
        <f t="shared" si="12"/>
        <v>2503.489</v>
      </c>
      <c r="BP7" s="98">
        <f t="shared" si="12"/>
        <v>2625.747625</v>
      </c>
      <c r="BQ7" s="98">
        <f t="shared" si="12"/>
        <v>2544.2418749999997</v>
      </c>
      <c r="BR7" s="98">
        <f t="shared" si="12"/>
        <v>2625.747625</v>
      </c>
      <c r="BS7" s="98">
        <f>SUM(BG7:BR7)</f>
        <v>29233.917275</v>
      </c>
      <c r="BU7" s="98">
        <v>798.98</v>
      </c>
      <c r="BV7" s="98">
        <v>489.61799999999999</v>
      </c>
      <c r="BW7" s="98">
        <v>953.61727499999984</v>
      </c>
      <c r="BX7" s="98">
        <v>1018.821875</v>
      </c>
      <c r="BY7" s="98">
        <v>1018.821875</v>
      </c>
      <c r="BZ7" s="98">
        <v>1059.57475</v>
      </c>
      <c r="CA7" s="98">
        <v>1100.3276249999999</v>
      </c>
      <c r="CB7" s="98">
        <v>1059.57475</v>
      </c>
      <c r="CC7" s="98">
        <v>978.06899999999996</v>
      </c>
      <c r="CD7" s="98">
        <v>1100.3276249999999</v>
      </c>
      <c r="CE7" s="98">
        <v>1018.821875</v>
      </c>
      <c r="CF7" s="98">
        <v>1100.3276249999999</v>
      </c>
      <c r="CG7" s="98">
        <f>SUM(BU7:CF7)</f>
        <v>11696.882274999998</v>
      </c>
      <c r="CI7" s="98">
        <v>533.70000000000005</v>
      </c>
      <c r="CJ7" s="98">
        <v>400.27499999999998</v>
      </c>
      <c r="CK7" s="98">
        <v>578.17499999999995</v>
      </c>
      <c r="CL7" s="98">
        <v>622.65</v>
      </c>
      <c r="CM7" s="98">
        <v>622.65</v>
      </c>
      <c r="CN7" s="98">
        <v>622.65</v>
      </c>
      <c r="CO7" s="98">
        <v>622.65</v>
      </c>
      <c r="CP7" s="98">
        <v>622.65</v>
      </c>
      <c r="CQ7" s="98">
        <v>622.65</v>
      </c>
      <c r="CR7" s="98">
        <v>622.65</v>
      </c>
      <c r="CS7" s="98">
        <v>622.65</v>
      </c>
      <c r="CT7" s="98">
        <v>622.65</v>
      </c>
      <c r="CU7" s="98">
        <f>SUM(CI7:CT7)</f>
        <v>7115.9999999999991</v>
      </c>
      <c r="CW7" s="98">
        <v>769.27499999999998</v>
      </c>
      <c r="CX7" s="98">
        <v>598.32500000000005</v>
      </c>
      <c r="CY7" s="98">
        <v>854.75</v>
      </c>
      <c r="CZ7" s="98">
        <v>940.22500000000002</v>
      </c>
      <c r="DA7" s="98">
        <v>939.07</v>
      </c>
      <c r="DB7" s="98">
        <v>902.77</v>
      </c>
      <c r="DC7" s="98">
        <v>902.77</v>
      </c>
      <c r="DD7" s="98">
        <v>902.77</v>
      </c>
      <c r="DE7" s="98">
        <v>902.77</v>
      </c>
      <c r="DF7" s="98">
        <v>902.77</v>
      </c>
      <c r="DG7" s="98">
        <v>902.77</v>
      </c>
      <c r="DH7" s="98">
        <v>902.77</v>
      </c>
      <c r="DI7" s="98">
        <f>SUM(CW7:DH7)</f>
        <v>10421.035000000002</v>
      </c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>
        <f>SUM(DK7:DV7)</f>
        <v>0</v>
      </c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>
        <f>SUM(DY7:EJ7)</f>
        <v>0</v>
      </c>
    </row>
    <row r="8" spans="1:141" s="97" customFormat="1" outlineLevel="1">
      <c r="A8" s="99" t="s">
        <v>75</v>
      </c>
      <c r="B8" s="100" t="s">
        <v>3</v>
      </c>
      <c r="C8" s="358">
        <f t="shared" si="10"/>
        <v>0</v>
      </c>
      <c r="D8" s="98">
        <f t="shared" si="10"/>
        <v>0</v>
      </c>
      <c r="E8" s="98">
        <f t="shared" si="10"/>
        <v>0</v>
      </c>
      <c r="F8" s="98">
        <f t="shared" si="10"/>
        <v>0</v>
      </c>
      <c r="G8" s="98">
        <f t="shared" si="10"/>
        <v>0</v>
      </c>
      <c r="H8" s="98">
        <f t="shared" si="10"/>
        <v>0</v>
      </c>
      <c r="I8" s="98">
        <f t="shared" si="10"/>
        <v>0</v>
      </c>
      <c r="J8" s="98">
        <f t="shared" si="10"/>
        <v>0</v>
      </c>
      <c r="K8" s="98">
        <f t="shared" si="10"/>
        <v>0</v>
      </c>
      <c r="L8" s="98">
        <f t="shared" si="10"/>
        <v>0</v>
      </c>
      <c r="M8" s="98">
        <f t="shared" si="10"/>
        <v>0</v>
      </c>
      <c r="N8" s="98">
        <f t="shared" si="10"/>
        <v>0</v>
      </c>
      <c r="O8" s="359">
        <f>SUM(C8:N8)</f>
        <v>0</v>
      </c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>
        <f>SUM(Q8:AB8)</f>
        <v>0</v>
      </c>
      <c r="AE8" s="360">
        <f t="shared" si="11"/>
        <v>0</v>
      </c>
      <c r="AF8" s="98">
        <f t="shared" si="11"/>
        <v>0</v>
      </c>
      <c r="AG8" s="98">
        <f t="shared" si="11"/>
        <v>0</v>
      </c>
      <c r="AH8" s="98">
        <f t="shared" si="11"/>
        <v>0</v>
      </c>
      <c r="AI8" s="98">
        <f t="shared" si="11"/>
        <v>0</v>
      </c>
      <c r="AJ8" s="98">
        <f t="shared" si="11"/>
        <v>0</v>
      </c>
      <c r="AK8" s="98">
        <f t="shared" si="11"/>
        <v>0</v>
      </c>
      <c r="AL8" s="98">
        <f t="shared" si="11"/>
        <v>0</v>
      </c>
      <c r="AM8" s="98">
        <f t="shared" si="11"/>
        <v>0</v>
      </c>
      <c r="AN8" s="98">
        <f t="shared" si="11"/>
        <v>0</v>
      </c>
      <c r="AO8" s="98">
        <f t="shared" si="11"/>
        <v>0</v>
      </c>
      <c r="AP8" s="98">
        <f t="shared" si="11"/>
        <v>0</v>
      </c>
      <c r="AQ8" s="361">
        <f>SUM(AE8:AP8)</f>
        <v>0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>
        <f>SUM(AS8:BD8)</f>
        <v>0</v>
      </c>
      <c r="BG8" s="98">
        <f t="shared" si="12"/>
        <v>0</v>
      </c>
      <c r="BH8" s="98">
        <f t="shared" si="12"/>
        <v>0</v>
      </c>
      <c r="BI8" s="98">
        <f t="shared" si="12"/>
        <v>0</v>
      </c>
      <c r="BJ8" s="98">
        <f t="shared" si="12"/>
        <v>0</v>
      </c>
      <c r="BK8" s="98">
        <f t="shared" si="12"/>
        <v>0</v>
      </c>
      <c r="BL8" s="98">
        <f t="shared" si="12"/>
        <v>0</v>
      </c>
      <c r="BM8" s="98">
        <f t="shared" si="12"/>
        <v>0</v>
      </c>
      <c r="BN8" s="98">
        <f t="shared" si="12"/>
        <v>0</v>
      </c>
      <c r="BO8" s="98">
        <f t="shared" si="12"/>
        <v>0</v>
      </c>
      <c r="BP8" s="98">
        <f t="shared" si="12"/>
        <v>0</v>
      </c>
      <c r="BQ8" s="98">
        <f t="shared" si="12"/>
        <v>0</v>
      </c>
      <c r="BR8" s="98">
        <f t="shared" si="12"/>
        <v>0</v>
      </c>
      <c r="BS8" s="98">
        <f>SUM(BG8:BR8)</f>
        <v>0</v>
      </c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>
        <f>SUM(BU8:CF8)</f>
        <v>0</v>
      </c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>
        <f>SUM(CI8:CT8)</f>
        <v>0</v>
      </c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>
        <f>SUM(CW8:DH8)</f>
        <v>0</v>
      </c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>
        <f>SUM(DK8:DV8)</f>
        <v>0</v>
      </c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>
        <f>SUM(DY8:EJ8)</f>
        <v>0</v>
      </c>
    </row>
    <row r="9" spans="1:141" s="49" customFormat="1" ht="15.75">
      <c r="A9" s="34">
        <v>2</v>
      </c>
      <c r="B9" s="35" t="s">
        <v>20</v>
      </c>
      <c r="C9" s="362">
        <f t="shared" ref="C9:O9" si="14">SUM(C10:C12)</f>
        <v>129505341136.8568</v>
      </c>
      <c r="D9" s="93">
        <f t="shared" si="14"/>
        <v>127974441177.86678</v>
      </c>
      <c r="E9" s="93">
        <f t="shared" si="14"/>
        <v>141599491827.82724</v>
      </c>
      <c r="F9" s="93">
        <f t="shared" si="14"/>
        <v>131782266518.60179</v>
      </c>
      <c r="G9" s="93">
        <f t="shared" si="14"/>
        <v>140244307484.73706</v>
      </c>
      <c r="H9" s="93">
        <f t="shared" si="14"/>
        <v>141409300219.24365</v>
      </c>
      <c r="I9" s="93">
        <f t="shared" si="14"/>
        <v>145404057387.95996</v>
      </c>
      <c r="J9" s="93">
        <f t="shared" si="14"/>
        <v>141276361518.14462</v>
      </c>
      <c r="K9" s="93">
        <f t="shared" si="14"/>
        <v>148196499542.28259</v>
      </c>
      <c r="L9" s="93">
        <f t="shared" si="14"/>
        <v>137984481243.16364</v>
      </c>
      <c r="M9" s="93">
        <f t="shared" si="14"/>
        <v>145929060338.8269</v>
      </c>
      <c r="N9" s="93">
        <f t="shared" si="14"/>
        <v>147442013746.17145</v>
      </c>
      <c r="O9" s="363">
        <f t="shared" si="14"/>
        <v>1678747622141.6824</v>
      </c>
      <c r="Q9" s="93">
        <f t="shared" ref="Q9:AC9" si="15">SUM(Q10:Q12)</f>
        <v>-30204664500</v>
      </c>
      <c r="R9" s="93">
        <f t="shared" si="15"/>
        <v>-21944360000</v>
      </c>
      <c r="S9" s="93">
        <f t="shared" si="15"/>
        <v>-35315047250</v>
      </c>
      <c r="T9" s="93">
        <f t="shared" si="15"/>
        <v>-38773623125</v>
      </c>
      <c r="U9" s="93">
        <f t="shared" si="15"/>
        <v>-38756394375</v>
      </c>
      <c r="V9" s="93">
        <f t="shared" si="15"/>
        <v>-39491807000</v>
      </c>
      <c r="W9" s="93">
        <f t="shared" si="15"/>
        <v>-40136084625</v>
      </c>
      <c r="X9" s="93">
        <f t="shared" si="15"/>
        <v>-39491807000</v>
      </c>
      <c r="Y9" s="93">
        <f t="shared" si="15"/>
        <v>-38203251750</v>
      </c>
      <c r="Z9" s="93">
        <f t="shared" si="15"/>
        <v>-40136084625</v>
      </c>
      <c r="AA9" s="93">
        <f t="shared" si="15"/>
        <v>-38847529375</v>
      </c>
      <c r="AB9" s="93">
        <f t="shared" si="15"/>
        <v>-40136084625</v>
      </c>
      <c r="AC9" s="93">
        <f t="shared" si="15"/>
        <v>-441436738250</v>
      </c>
      <c r="AE9" s="364">
        <f t="shared" ref="AE9:AQ9" si="16">SUM(AE10:AE12)</f>
        <v>159710005636.85681</v>
      </c>
      <c r="AF9" s="93">
        <f t="shared" si="16"/>
        <v>149918801177.86676</v>
      </c>
      <c r="AG9" s="93">
        <f t="shared" si="16"/>
        <v>176914539077.82724</v>
      </c>
      <c r="AH9" s="93">
        <f t="shared" si="16"/>
        <v>170555889643.60181</v>
      </c>
      <c r="AI9" s="93">
        <f t="shared" si="16"/>
        <v>179000701859.73706</v>
      </c>
      <c r="AJ9" s="93">
        <f t="shared" si="16"/>
        <v>180901107219.24365</v>
      </c>
      <c r="AK9" s="93">
        <f t="shared" si="16"/>
        <v>185540142012.95996</v>
      </c>
      <c r="AL9" s="93">
        <f t="shared" si="16"/>
        <v>180768168518.14462</v>
      </c>
      <c r="AM9" s="93">
        <f t="shared" si="16"/>
        <v>186399751292.28259</v>
      </c>
      <c r="AN9" s="93">
        <f t="shared" si="16"/>
        <v>178120565868.16364</v>
      </c>
      <c r="AO9" s="93">
        <f t="shared" si="16"/>
        <v>184776589713.8269</v>
      </c>
      <c r="AP9" s="93">
        <f t="shared" si="16"/>
        <v>187578098371.17145</v>
      </c>
      <c r="AQ9" s="365">
        <f t="shared" si="16"/>
        <v>2120184360391.6824</v>
      </c>
      <c r="AS9" s="93">
        <f t="shared" ref="AS9:BE9" si="17">SUM(AS10:AS12)</f>
        <v>129505341136.8568</v>
      </c>
      <c r="AT9" s="93">
        <f t="shared" si="17"/>
        <v>127974441177.86678</v>
      </c>
      <c r="AU9" s="93">
        <f t="shared" si="17"/>
        <v>141599491827.82724</v>
      </c>
      <c r="AV9" s="93">
        <f t="shared" si="17"/>
        <v>131782266518.60179</v>
      </c>
      <c r="AW9" s="93">
        <f t="shared" si="17"/>
        <v>140244307484.73706</v>
      </c>
      <c r="AX9" s="93">
        <f t="shared" si="17"/>
        <v>141409300219.24365</v>
      </c>
      <c r="AY9" s="93">
        <f t="shared" si="17"/>
        <v>145404057387.95996</v>
      </c>
      <c r="AZ9" s="93">
        <f t="shared" si="17"/>
        <v>141276361518.14462</v>
      </c>
      <c r="BA9" s="93">
        <f t="shared" si="17"/>
        <v>148196499542.28259</v>
      </c>
      <c r="BB9" s="93">
        <f t="shared" si="17"/>
        <v>137984481243.16364</v>
      </c>
      <c r="BC9" s="93">
        <f t="shared" si="17"/>
        <v>145929060338.8269</v>
      </c>
      <c r="BD9" s="93">
        <f t="shared" si="17"/>
        <v>147442013746.17145</v>
      </c>
      <c r="BE9" s="93">
        <f t="shared" si="17"/>
        <v>1678747622141.6824</v>
      </c>
      <c r="BG9" s="93">
        <f t="shared" ref="BG9:BS9" si="18">SUM(BG10:BG12)</f>
        <v>30204664500</v>
      </c>
      <c r="BH9" s="93">
        <f t="shared" si="18"/>
        <v>21944360000</v>
      </c>
      <c r="BI9" s="93">
        <f t="shared" si="18"/>
        <v>35315047250</v>
      </c>
      <c r="BJ9" s="93">
        <f t="shared" si="18"/>
        <v>38773623125</v>
      </c>
      <c r="BK9" s="93">
        <f t="shared" si="18"/>
        <v>38756394375</v>
      </c>
      <c r="BL9" s="93">
        <f t="shared" si="18"/>
        <v>39491807000</v>
      </c>
      <c r="BM9" s="93">
        <f t="shared" si="18"/>
        <v>40136084625</v>
      </c>
      <c r="BN9" s="93">
        <f t="shared" si="18"/>
        <v>39491807000</v>
      </c>
      <c r="BO9" s="93">
        <f t="shared" si="18"/>
        <v>38203251750</v>
      </c>
      <c r="BP9" s="93">
        <f t="shared" si="18"/>
        <v>40136084625</v>
      </c>
      <c r="BQ9" s="93">
        <f t="shared" si="18"/>
        <v>38847529375</v>
      </c>
      <c r="BR9" s="93">
        <f t="shared" si="18"/>
        <v>40136084625</v>
      </c>
      <c r="BS9" s="93">
        <f t="shared" si="18"/>
        <v>441436738250</v>
      </c>
      <c r="BU9" s="93">
        <f t="shared" ref="BU9:CG9" si="19">SUM(BU10:BU12)</f>
        <v>11319672000</v>
      </c>
      <c r="BV9" s="93">
        <f t="shared" si="19"/>
        <v>7463520000</v>
      </c>
      <c r="BW9" s="93">
        <f t="shared" si="19"/>
        <v>14539209750</v>
      </c>
      <c r="BX9" s="93">
        <f t="shared" si="19"/>
        <v>16106940625</v>
      </c>
      <c r="BY9" s="93">
        <f t="shared" si="19"/>
        <v>16106940625</v>
      </c>
      <c r="BZ9" s="93">
        <f t="shared" si="19"/>
        <v>16751218250</v>
      </c>
      <c r="CA9" s="93">
        <f t="shared" si="19"/>
        <v>17395495875</v>
      </c>
      <c r="CB9" s="93">
        <f t="shared" si="19"/>
        <v>16751218250</v>
      </c>
      <c r="CC9" s="93">
        <f t="shared" si="19"/>
        <v>15462663000</v>
      </c>
      <c r="CD9" s="93">
        <f t="shared" si="19"/>
        <v>17395495875</v>
      </c>
      <c r="CE9" s="93">
        <f t="shared" si="19"/>
        <v>16106940625</v>
      </c>
      <c r="CF9" s="93">
        <f t="shared" si="19"/>
        <v>17395495875</v>
      </c>
      <c r="CG9" s="93">
        <f t="shared" si="19"/>
        <v>182794810750</v>
      </c>
      <c r="CI9" s="93">
        <f t="shared" ref="CI9:CU9" si="20">SUM(CI10:CI12)</f>
        <v>7469550000</v>
      </c>
      <c r="CJ9" s="93">
        <f t="shared" si="20"/>
        <v>5602162500</v>
      </c>
      <c r="CK9" s="93">
        <f t="shared" si="20"/>
        <v>8092012500</v>
      </c>
      <c r="CL9" s="93">
        <f t="shared" si="20"/>
        <v>8714475000</v>
      </c>
      <c r="CM9" s="93">
        <f t="shared" si="20"/>
        <v>8714475000</v>
      </c>
      <c r="CN9" s="93">
        <f t="shared" si="20"/>
        <v>8714475000</v>
      </c>
      <c r="CO9" s="93">
        <f t="shared" si="20"/>
        <v>8714475000</v>
      </c>
      <c r="CP9" s="93">
        <f t="shared" si="20"/>
        <v>8714475000</v>
      </c>
      <c r="CQ9" s="93">
        <f t="shared" si="20"/>
        <v>8714475000</v>
      </c>
      <c r="CR9" s="93">
        <f t="shared" si="20"/>
        <v>8714475000</v>
      </c>
      <c r="CS9" s="93">
        <f t="shared" si="20"/>
        <v>8714475000</v>
      </c>
      <c r="CT9" s="93">
        <f t="shared" si="20"/>
        <v>8714475000</v>
      </c>
      <c r="CU9" s="93">
        <f t="shared" si="20"/>
        <v>99594000000</v>
      </c>
      <c r="CW9" s="93">
        <f t="shared" ref="CW9:DI9" si="21">SUM(CW10:CW12)</f>
        <v>11415442500</v>
      </c>
      <c r="CX9" s="93">
        <f t="shared" si="21"/>
        <v>8878677500</v>
      </c>
      <c r="CY9" s="93">
        <f t="shared" si="21"/>
        <v>12683825000</v>
      </c>
      <c r="CZ9" s="93">
        <f t="shared" si="21"/>
        <v>13952207500</v>
      </c>
      <c r="DA9" s="93">
        <f t="shared" si="21"/>
        <v>13934978750</v>
      </c>
      <c r="DB9" s="93">
        <f t="shared" si="21"/>
        <v>14026113750</v>
      </c>
      <c r="DC9" s="93">
        <f t="shared" si="21"/>
        <v>14026113750</v>
      </c>
      <c r="DD9" s="93">
        <f t="shared" si="21"/>
        <v>14026113750</v>
      </c>
      <c r="DE9" s="93">
        <f t="shared" si="21"/>
        <v>14026113750</v>
      </c>
      <c r="DF9" s="93">
        <f t="shared" si="21"/>
        <v>14026113750</v>
      </c>
      <c r="DG9" s="93">
        <f t="shared" si="21"/>
        <v>14026113750</v>
      </c>
      <c r="DH9" s="93">
        <f t="shared" si="21"/>
        <v>14026113750</v>
      </c>
      <c r="DI9" s="93">
        <f t="shared" si="21"/>
        <v>159047927500</v>
      </c>
      <c r="DK9" s="93">
        <f t="shared" ref="DK9:DW9" si="22">SUM(DK10:DK12)</f>
        <v>0</v>
      </c>
      <c r="DL9" s="93">
        <f t="shared" si="22"/>
        <v>0</v>
      </c>
      <c r="DM9" s="93">
        <f t="shared" si="22"/>
        <v>0</v>
      </c>
      <c r="DN9" s="93">
        <f t="shared" si="22"/>
        <v>0</v>
      </c>
      <c r="DO9" s="93">
        <f t="shared" si="22"/>
        <v>0</v>
      </c>
      <c r="DP9" s="93">
        <f t="shared" si="22"/>
        <v>0</v>
      </c>
      <c r="DQ9" s="93">
        <f t="shared" si="22"/>
        <v>0</v>
      </c>
      <c r="DR9" s="93">
        <f t="shared" si="22"/>
        <v>0</v>
      </c>
      <c r="DS9" s="93">
        <f t="shared" si="22"/>
        <v>0</v>
      </c>
      <c r="DT9" s="93">
        <f t="shared" si="22"/>
        <v>0</v>
      </c>
      <c r="DU9" s="93">
        <f t="shared" si="22"/>
        <v>0</v>
      </c>
      <c r="DV9" s="93">
        <f t="shared" si="22"/>
        <v>0</v>
      </c>
      <c r="DW9" s="93">
        <f t="shared" si="22"/>
        <v>0</v>
      </c>
      <c r="DY9" s="93">
        <f t="shared" ref="DY9:EK9" si="23">SUM(DY10:DY12)</f>
        <v>0</v>
      </c>
      <c r="DZ9" s="93">
        <f t="shared" si="23"/>
        <v>0</v>
      </c>
      <c r="EA9" s="93">
        <f t="shared" si="23"/>
        <v>0</v>
      </c>
      <c r="EB9" s="93">
        <f t="shared" si="23"/>
        <v>0</v>
      </c>
      <c r="EC9" s="93">
        <f t="shared" si="23"/>
        <v>0</v>
      </c>
      <c r="ED9" s="93">
        <f t="shared" si="23"/>
        <v>0</v>
      </c>
      <c r="EE9" s="93">
        <f t="shared" si="23"/>
        <v>0</v>
      </c>
      <c r="EF9" s="93">
        <f t="shared" si="23"/>
        <v>0</v>
      </c>
      <c r="EG9" s="93">
        <f t="shared" si="23"/>
        <v>0</v>
      </c>
      <c r="EH9" s="93">
        <f t="shared" si="23"/>
        <v>0</v>
      </c>
      <c r="EI9" s="93">
        <f t="shared" si="23"/>
        <v>0</v>
      </c>
      <c r="EJ9" s="93">
        <f t="shared" si="23"/>
        <v>0</v>
      </c>
      <c r="EK9" s="93">
        <f t="shared" si="23"/>
        <v>0</v>
      </c>
    </row>
    <row r="10" spans="1:141" s="29" customFormat="1" outlineLevel="1">
      <c r="A10" s="36" t="s">
        <v>62</v>
      </c>
      <c r="B10" s="37" t="s">
        <v>1</v>
      </c>
      <c r="C10" s="366">
        <f t="shared" ref="C10:N12" si="24">Q10+AE10</f>
        <v>129505341136.8568</v>
      </c>
      <c r="D10" s="52">
        <f t="shared" si="24"/>
        <v>127974441177.86678</v>
      </c>
      <c r="E10" s="52">
        <f t="shared" si="24"/>
        <v>141599491827.82724</v>
      </c>
      <c r="F10" s="52">
        <f t="shared" si="24"/>
        <v>131782266518.60179</v>
      </c>
      <c r="G10" s="52">
        <f t="shared" si="24"/>
        <v>140244307484.73706</v>
      </c>
      <c r="H10" s="52">
        <f t="shared" si="24"/>
        <v>141409300219.24365</v>
      </c>
      <c r="I10" s="52">
        <f t="shared" si="24"/>
        <v>145404057387.95996</v>
      </c>
      <c r="J10" s="52">
        <f t="shared" si="24"/>
        <v>141276361518.14462</v>
      </c>
      <c r="K10" s="52">
        <f t="shared" si="24"/>
        <v>148196499542.28259</v>
      </c>
      <c r="L10" s="52">
        <f t="shared" si="24"/>
        <v>137984481243.16364</v>
      </c>
      <c r="M10" s="52">
        <f t="shared" si="24"/>
        <v>145929060338.8269</v>
      </c>
      <c r="N10" s="52">
        <f t="shared" si="24"/>
        <v>147442013746.17145</v>
      </c>
      <c r="O10" s="367">
        <f>SUM(C10:N10)</f>
        <v>1678747622141.6824</v>
      </c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>
        <f>SUM(Q10:AB10)</f>
        <v>0</v>
      </c>
      <c r="AE10" s="368">
        <f t="shared" ref="AE10:AP12" si="25">AS10+BU10+CI10+CW10+DK10</f>
        <v>129505341136.8568</v>
      </c>
      <c r="AF10" s="52">
        <f t="shared" si="25"/>
        <v>127974441177.86678</v>
      </c>
      <c r="AG10" s="52">
        <f t="shared" si="25"/>
        <v>141599491827.82724</v>
      </c>
      <c r="AH10" s="52">
        <f t="shared" si="25"/>
        <v>131782266518.60179</v>
      </c>
      <c r="AI10" s="52">
        <f t="shared" si="25"/>
        <v>140244307484.73706</v>
      </c>
      <c r="AJ10" s="52">
        <f t="shared" si="25"/>
        <v>141409300219.24365</v>
      </c>
      <c r="AK10" s="52">
        <f t="shared" si="25"/>
        <v>145404057387.95996</v>
      </c>
      <c r="AL10" s="52">
        <f t="shared" si="25"/>
        <v>141276361518.14462</v>
      </c>
      <c r="AM10" s="52">
        <f t="shared" si="25"/>
        <v>148196499542.28259</v>
      </c>
      <c r="AN10" s="52">
        <f t="shared" si="25"/>
        <v>137984481243.16364</v>
      </c>
      <c r="AO10" s="52">
        <f t="shared" si="25"/>
        <v>145929060338.8269</v>
      </c>
      <c r="AP10" s="52">
        <f t="shared" si="25"/>
        <v>147442013746.17145</v>
      </c>
      <c r="AQ10" s="369">
        <f>SUM(AE10:AP10)</f>
        <v>1678747622141.6824</v>
      </c>
      <c r="AS10" s="52">
        <v>129505341136.8568</v>
      </c>
      <c r="AT10" s="52">
        <v>127974441177.86678</v>
      </c>
      <c r="AU10" s="52">
        <v>141599491827.82724</v>
      </c>
      <c r="AV10" s="52">
        <v>131782266518.60179</v>
      </c>
      <c r="AW10" s="52">
        <v>140244307484.73706</v>
      </c>
      <c r="AX10" s="52">
        <v>141409300219.24365</v>
      </c>
      <c r="AY10" s="52">
        <v>145404057387.95996</v>
      </c>
      <c r="AZ10" s="52">
        <v>141276361518.14462</v>
      </c>
      <c r="BA10" s="52">
        <v>148196499542.28259</v>
      </c>
      <c r="BB10" s="52">
        <v>137984481243.16364</v>
      </c>
      <c r="BC10" s="52">
        <v>145929060338.8269</v>
      </c>
      <c r="BD10" s="52">
        <v>147442013746.17145</v>
      </c>
      <c r="BE10" s="52">
        <f>SUM(AS10:BD10)</f>
        <v>1678747622141.6824</v>
      </c>
      <c r="BG10" s="52">
        <f t="shared" ref="BG10:BR12" si="26">BU10+CI10+CW10</f>
        <v>0</v>
      </c>
      <c r="BH10" s="52">
        <f t="shared" si="26"/>
        <v>0</v>
      </c>
      <c r="BI10" s="52">
        <f t="shared" si="26"/>
        <v>0</v>
      </c>
      <c r="BJ10" s="52">
        <f t="shared" si="26"/>
        <v>0</v>
      </c>
      <c r="BK10" s="52">
        <f t="shared" si="26"/>
        <v>0</v>
      </c>
      <c r="BL10" s="52">
        <f t="shared" si="26"/>
        <v>0</v>
      </c>
      <c r="BM10" s="52">
        <f t="shared" si="26"/>
        <v>0</v>
      </c>
      <c r="BN10" s="52">
        <f t="shared" si="26"/>
        <v>0</v>
      </c>
      <c r="BO10" s="52">
        <f t="shared" si="26"/>
        <v>0</v>
      </c>
      <c r="BP10" s="52">
        <f t="shared" si="26"/>
        <v>0</v>
      </c>
      <c r="BQ10" s="52">
        <f t="shared" si="26"/>
        <v>0</v>
      </c>
      <c r="BR10" s="52">
        <f t="shared" si="26"/>
        <v>0</v>
      </c>
      <c r="BS10" s="52">
        <f>SUM(BG10:BR10)</f>
        <v>0</v>
      </c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>
        <f>SUM(BU10:CF10)</f>
        <v>0</v>
      </c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>
        <f>SUM(CI10:CT10)</f>
        <v>0</v>
      </c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>
        <f>SUM(CW10:DH10)</f>
        <v>0</v>
      </c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>
        <f>SUM(DK10:DV10)</f>
        <v>0</v>
      </c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>
        <f>SUM(DY10:EJ10)</f>
        <v>0</v>
      </c>
    </row>
    <row r="11" spans="1:141" s="29" customFormat="1" outlineLevel="1">
      <c r="A11" s="36" t="s">
        <v>65</v>
      </c>
      <c r="B11" s="37" t="s">
        <v>2</v>
      </c>
      <c r="C11" s="366">
        <f t="shared" si="24"/>
        <v>0</v>
      </c>
      <c r="D11" s="52">
        <f t="shared" si="24"/>
        <v>0</v>
      </c>
      <c r="E11" s="52">
        <f t="shared" si="24"/>
        <v>0</v>
      </c>
      <c r="F11" s="52">
        <f t="shared" si="24"/>
        <v>0</v>
      </c>
      <c r="G11" s="52">
        <f t="shared" si="24"/>
        <v>0</v>
      </c>
      <c r="H11" s="52">
        <f t="shared" si="24"/>
        <v>0</v>
      </c>
      <c r="I11" s="52">
        <f t="shared" si="24"/>
        <v>0</v>
      </c>
      <c r="J11" s="52">
        <f t="shared" si="24"/>
        <v>0</v>
      </c>
      <c r="K11" s="52">
        <f t="shared" si="24"/>
        <v>0</v>
      </c>
      <c r="L11" s="52">
        <f t="shared" si="24"/>
        <v>0</v>
      </c>
      <c r="M11" s="52">
        <f t="shared" si="24"/>
        <v>0</v>
      </c>
      <c r="N11" s="52">
        <f t="shared" si="24"/>
        <v>0</v>
      </c>
      <c r="O11" s="367">
        <f>SUM(C11:N11)</f>
        <v>0</v>
      </c>
      <c r="Q11" s="52">
        <f t="shared" ref="Q11:AB11" si="27">-AE11</f>
        <v>-30204664500</v>
      </c>
      <c r="R11" s="52">
        <f t="shared" si="27"/>
        <v>-21944360000</v>
      </c>
      <c r="S11" s="52">
        <f t="shared" si="27"/>
        <v>-35315047250</v>
      </c>
      <c r="T11" s="52">
        <f t="shared" si="27"/>
        <v>-38773623125</v>
      </c>
      <c r="U11" s="52">
        <f t="shared" si="27"/>
        <v>-38756394375</v>
      </c>
      <c r="V11" s="52">
        <f t="shared" si="27"/>
        <v>-39491807000</v>
      </c>
      <c r="W11" s="52">
        <f t="shared" si="27"/>
        <v>-40136084625</v>
      </c>
      <c r="X11" s="52">
        <f t="shared" si="27"/>
        <v>-39491807000</v>
      </c>
      <c r="Y11" s="52">
        <f t="shared" si="27"/>
        <v>-38203251750</v>
      </c>
      <c r="Z11" s="52">
        <f t="shared" si="27"/>
        <v>-40136084625</v>
      </c>
      <c r="AA11" s="52">
        <f t="shared" si="27"/>
        <v>-38847529375</v>
      </c>
      <c r="AB11" s="52">
        <f t="shared" si="27"/>
        <v>-40136084625</v>
      </c>
      <c r="AC11" s="52">
        <f>SUM(Q11:AB11)</f>
        <v>-441436738250</v>
      </c>
      <c r="AE11" s="368">
        <f t="shared" si="25"/>
        <v>30204664500</v>
      </c>
      <c r="AF11" s="52">
        <f t="shared" si="25"/>
        <v>21944360000</v>
      </c>
      <c r="AG11" s="52">
        <f t="shared" si="25"/>
        <v>35315047250</v>
      </c>
      <c r="AH11" s="52">
        <f t="shared" si="25"/>
        <v>38773623125</v>
      </c>
      <c r="AI11" s="52">
        <f t="shared" si="25"/>
        <v>38756394375</v>
      </c>
      <c r="AJ11" s="52">
        <f t="shared" si="25"/>
        <v>39491807000</v>
      </c>
      <c r="AK11" s="52">
        <f t="shared" si="25"/>
        <v>40136084625</v>
      </c>
      <c r="AL11" s="52">
        <f t="shared" si="25"/>
        <v>39491807000</v>
      </c>
      <c r="AM11" s="52">
        <f t="shared" si="25"/>
        <v>38203251750</v>
      </c>
      <c r="AN11" s="52">
        <f t="shared" si="25"/>
        <v>40136084625</v>
      </c>
      <c r="AO11" s="52">
        <f t="shared" si="25"/>
        <v>38847529375</v>
      </c>
      <c r="AP11" s="52">
        <f t="shared" si="25"/>
        <v>40136084625</v>
      </c>
      <c r="AQ11" s="369">
        <f>SUM(AE11:AP11)</f>
        <v>441436738250</v>
      </c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>
        <f>SUM(AS11:BD11)</f>
        <v>0</v>
      </c>
      <c r="BG11" s="52">
        <f t="shared" si="26"/>
        <v>30204664500</v>
      </c>
      <c r="BH11" s="52">
        <f t="shared" si="26"/>
        <v>21944360000</v>
      </c>
      <c r="BI11" s="52">
        <f t="shared" si="26"/>
        <v>35315047250</v>
      </c>
      <c r="BJ11" s="52">
        <f t="shared" si="26"/>
        <v>38773623125</v>
      </c>
      <c r="BK11" s="52">
        <f t="shared" si="26"/>
        <v>38756394375</v>
      </c>
      <c r="BL11" s="52">
        <f t="shared" si="26"/>
        <v>39491807000</v>
      </c>
      <c r="BM11" s="52">
        <f t="shared" si="26"/>
        <v>40136084625</v>
      </c>
      <c r="BN11" s="52">
        <f t="shared" si="26"/>
        <v>39491807000</v>
      </c>
      <c r="BO11" s="52">
        <f t="shared" si="26"/>
        <v>38203251750</v>
      </c>
      <c r="BP11" s="52">
        <f t="shared" si="26"/>
        <v>40136084625</v>
      </c>
      <c r="BQ11" s="52">
        <f t="shared" si="26"/>
        <v>38847529375</v>
      </c>
      <c r="BR11" s="52">
        <f t="shared" si="26"/>
        <v>40136084625</v>
      </c>
      <c r="BS11" s="52">
        <f>SUM(BG11:BR11)</f>
        <v>441436738250</v>
      </c>
      <c r="BU11" s="52">
        <v>11319672000</v>
      </c>
      <c r="BV11" s="52">
        <v>7463520000</v>
      </c>
      <c r="BW11" s="52">
        <v>14539209750</v>
      </c>
      <c r="BX11" s="52">
        <v>16106940625</v>
      </c>
      <c r="BY11" s="52">
        <v>16106940625</v>
      </c>
      <c r="BZ11" s="52">
        <v>16751218250</v>
      </c>
      <c r="CA11" s="52">
        <v>17395495875</v>
      </c>
      <c r="CB11" s="52">
        <v>16751218250</v>
      </c>
      <c r="CC11" s="52">
        <v>15462663000</v>
      </c>
      <c r="CD11" s="52">
        <v>17395495875</v>
      </c>
      <c r="CE11" s="52">
        <v>16106940625</v>
      </c>
      <c r="CF11" s="52">
        <v>17395495875</v>
      </c>
      <c r="CG11" s="52">
        <f>SUM(BU11:CF11)</f>
        <v>182794810750</v>
      </c>
      <c r="CI11" s="52">
        <v>7469550000</v>
      </c>
      <c r="CJ11" s="52">
        <v>5602162500</v>
      </c>
      <c r="CK11" s="52">
        <v>8092012500</v>
      </c>
      <c r="CL11" s="52">
        <v>8714475000</v>
      </c>
      <c r="CM11" s="52">
        <v>8714475000</v>
      </c>
      <c r="CN11" s="52">
        <v>8714475000</v>
      </c>
      <c r="CO11" s="52">
        <v>8714475000</v>
      </c>
      <c r="CP11" s="52">
        <v>8714475000</v>
      </c>
      <c r="CQ11" s="52">
        <v>8714475000</v>
      </c>
      <c r="CR11" s="52">
        <v>8714475000</v>
      </c>
      <c r="CS11" s="52">
        <v>8714475000</v>
      </c>
      <c r="CT11" s="52">
        <v>8714475000</v>
      </c>
      <c r="CU11" s="52">
        <f>SUM(CI11:CT11)</f>
        <v>99594000000</v>
      </c>
      <c r="CW11" s="52">
        <v>11415442500</v>
      </c>
      <c r="CX11" s="52">
        <v>8878677500</v>
      </c>
      <c r="CY11" s="52">
        <v>12683825000</v>
      </c>
      <c r="CZ11" s="52">
        <v>13952207500</v>
      </c>
      <c r="DA11" s="52">
        <v>13934978750</v>
      </c>
      <c r="DB11" s="52">
        <v>14026113750</v>
      </c>
      <c r="DC11" s="52">
        <v>14026113750</v>
      </c>
      <c r="DD11" s="52">
        <v>14026113750</v>
      </c>
      <c r="DE11" s="52">
        <v>14026113750</v>
      </c>
      <c r="DF11" s="52">
        <v>14026113750</v>
      </c>
      <c r="DG11" s="52">
        <v>14026113750</v>
      </c>
      <c r="DH11" s="52">
        <v>14026113750</v>
      </c>
      <c r="DI11" s="52">
        <f>SUM(CW11:DH11)</f>
        <v>159047927500</v>
      </c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>
        <f>SUM(DK11:DV11)</f>
        <v>0</v>
      </c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>
        <f>SUM(DY11:EJ11)</f>
        <v>0</v>
      </c>
    </row>
    <row r="12" spans="1:141" s="29" customFormat="1" outlineLevel="1">
      <c r="A12" s="36" t="s">
        <v>71</v>
      </c>
      <c r="B12" s="37" t="s">
        <v>3</v>
      </c>
      <c r="C12" s="366">
        <f t="shared" si="24"/>
        <v>0</v>
      </c>
      <c r="D12" s="52">
        <f t="shared" si="24"/>
        <v>0</v>
      </c>
      <c r="E12" s="52">
        <f t="shared" si="24"/>
        <v>0</v>
      </c>
      <c r="F12" s="52">
        <f t="shared" si="24"/>
        <v>0</v>
      </c>
      <c r="G12" s="52">
        <f t="shared" si="24"/>
        <v>0</v>
      </c>
      <c r="H12" s="52">
        <f t="shared" si="24"/>
        <v>0</v>
      </c>
      <c r="I12" s="52">
        <f t="shared" si="24"/>
        <v>0</v>
      </c>
      <c r="J12" s="52">
        <f t="shared" si="24"/>
        <v>0</v>
      </c>
      <c r="K12" s="52">
        <f t="shared" si="24"/>
        <v>0</v>
      </c>
      <c r="L12" s="52">
        <f t="shared" si="24"/>
        <v>0</v>
      </c>
      <c r="M12" s="52">
        <f t="shared" si="24"/>
        <v>0</v>
      </c>
      <c r="N12" s="52">
        <f t="shared" si="24"/>
        <v>0</v>
      </c>
      <c r="O12" s="367">
        <f>SUM(C12:N12)</f>
        <v>0</v>
      </c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>
        <f>SUM(Q12:AB12)</f>
        <v>0</v>
      </c>
      <c r="AE12" s="368">
        <f t="shared" si="25"/>
        <v>0</v>
      </c>
      <c r="AF12" s="52">
        <f t="shared" si="25"/>
        <v>0</v>
      </c>
      <c r="AG12" s="52">
        <f t="shared" si="25"/>
        <v>0</v>
      </c>
      <c r="AH12" s="52">
        <f t="shared" si="25"/>
        <v>0</v>
      </c>
      <c r="AI12" s="52">
        <f t="shared" si="25"/>
        <v>0</v>
      </c>
      <c r="AJ12" s="52">
        <f t="shared" si="25"/>
        <v>0</v>
      </c>
      <c r="AK12" s="52">
        <f t="shared" si="25"/>
        <v>0</v>
      </c>
      <c r="AL12" s="52">
        <f t="shared" si="25"/>
        <v>0</v>
      </c>
      <c r="AM12" s="52">
        <f t="shared" si="25"/>
        <v>0</v>
      </c>
      <c r="AN12" s="52">
        <f t="shared" si="25"/>
        <v>0</v>
      </c>
      <c r="AO12" s="52">
        <f t="shared" si="25"/>
        <v>0</v>
      </c>
      <c r="AP12" s="52">
        <f t="shared" si="25"/>
        <v>0</v>
      </c>
      <c r="AQ12" s="369">
        <f>SUM(AE12:AP12)</f>
        <v>0</v>
      </c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>
        <f>SUM(AS12:BD12)</f>
        <v>0</v>
      </c>
      <c r="BG12" s="52">
        <f t="shared" si="26"/>
        <v>0</v>
      </c>
      <c r="BH12" s="52">
        <f t="shared" si="26"/>
        <v>0</v>
      </c>
      <c r="BI12" s="52">
        <f t="shared" si="26"/>
        <v>0</v>
      </c>
      <c r="BJ12" s="52">
        <f t="shared" si="26"/>
        <v>0</v>
      </c>
      <c r="BK12" s="52">
        <f t="shared" si="26"/>
        <v>0</v>
      </c>
      <c r="BL12" s="52">
        <f t="shared" si="26"/>
        <v>0</v>
      </c>
      <c r="BM12" s="52">
        <f t="shared" si="26"/>
        <v>0</v>
      </c>
      <c r="BN12" s="52">
        <f t="shared" si="26"/>
        <v>0</v>
      </c>
      <c r="BO12" s="52">
        <f t="shared" si="26"/>
        <v>0</v>
      </c>
      <c r="BP12" s="52">
        <f t="shared" si="26"/>
        <v>0</v>
      </c>
      <c r="BQ12" s="52">
        <f t="shared" si="26"/>
        <v>0</v>
      </c>
      <c r="BR12" s="52">
        <f t="shared" si="26"/>
        <v>0</v>
      </c>
      <c r="BS12" s="52">
        <f>SUM(BG12:BR12)</f>
        <v>0</v>
      </c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>
        <f>SUM(BU12:CF12)</f>
        <v>0</v>
      </c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>
        <f>SUM(CI12:CT12)</f>
        <v>0</v>
      </c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>
        <f>SUM(CW12:DH12)</f>
        <v>0</v>
      </c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>
        <f>SUM(DK12:DV12)</f>
        <v>0</v>
      </c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>
        <f>SUM(DY12:EJ12)</f>
        <v>0</v>
      </c>
    </row>
    <row r="13" spans="1:141" s="51" customFormat="1" ht="14.25">
      <c r="A13" s="50">
        <v>3</v>
      </c>
      <c r="B13" s="91" t="s">
        <v>21</v>
      </c>
      <c r="C13" s="370">
        <f t="shared" ref="C13:O13" si="28">SUM(C14:C16)</f>
        <v>0</v>
      </c>
      <c r="D13" s="92">
        <f t="shared" si="28"/>
        <v>0</v>
      </c>
      <c r="E13" s="92">
        <f t="shared" si="28"/>
        <v>0</v>
      </c>
      <c r="F13" s="92">
        <f t="shared" si="28"/>
        <v>0</v>
      </c>
      <c r="G13" s="92">
        <f t="shared" si="28"/>
        <v>0</v>
      </c>
      <c r="H13" s="92">
        <f t="shared" si="28"/>
        <v>0</v>
      </c>
      <c r="I13" s="92">
        <f t="shared" si="28"/>
        <v>0</v>
      </c>
      <c r="J13" s="92">
        <f t="shared" si="28"/>
        <v>0</v>
      </c>
      <c r="K13" s="92">
        <f t="shared" si="28"/>
        <v>0</v>
      </c>
      <c r="L13" s="92">
        <f t="shared" si="28"/>
        <v>0</v>
      </c>
      <c r="M13" s="92">
        <f t="shared" si="28"/>
        <v>0</v>
      </c>
      <c r="N13" s="92">
        <f t="shared" si="28"/>
        <v>0</v>
      </c>
      <c r="O13" s="371">
        <f t="shared" si="28"/>
        <v>0</v>
      </c>
      <c r="Q13" s="92">
        <f t="shared" ref="Q13:AC13" si="29">SUM(Q14:Q16)</f>
        <v>0</v>
      </c>
      <c r="R13" s="92">
        <f t="shared" si="29"/>
        <v>0</v>
      </c>
      <c r="S13" s="92">
        <f t="shared" si="29"/>
        <v>0</v>
      </c>
      <c r="T13" s="92">
        <f t="shared" si="29"/>
        <v>0</v>
      </c>
      <c r="U13" s="92">
        <f t="shared" si="29"/>
        <v>0</v>
      </c>
      <c r="V13" s="92">
        <f t="shared" si="29"/>
        <v>0</v>
      </c>
      <c r="W13" s="92">
        <f t="shared" si="29"/>
        <v>0</v>
      </c>
      <c r="X13" s="92">
        <f t="shared" si="29"/>
        <v>0</v>
      </c>
      <c r="Y13" s="92">
        <f t="shared" si="29"/>
        <v>0</v>
      </c>
      <c r="Z13" s="92">
        <f t="shared" si="29"/>
        <v>0</v>
      </c>
      <c r="AA13" s="92">
        <f t="shared" si="29"/>
        <v>0</v>
      </c>
      <c r="AB13" s="92">
        <f t="shared" si="29"/>
        <v>0</v>
      </c>
      <c r="AC13" s="92">
        <f t="shared" si="29"/>
        <v>0</v>
      </c>
      <c r="AE13" s="372">
        <f t="shared" ref="AE13:AQ13" si="30">SUM(AE14:AE16)</f>
        <v>0</v>
      </c>
      <c r="AF13" s="92">
        <f t="shared" si="30"/>
        <v>0</v>
      </c>
      <c r="AG13" s="92">
        <f t="shared" si="30"/>
        <v>0</v>
      </c>
      <c r="AH13" s="92">
        <f t="shared" si="30"/>
        <v>0</v>
      </c>
      <c r="AI13" s="92">
        <f t="shared" si="30"/>
        <v>0</v>
      </c>
      <c r="AJ13" s="92">
        <f t="shared" si="30"/>
        <v>0</v>
      </c>
      <c r="AK13" s="92">
        <f t="shared" si="30"/>
        <v>0</v>
      </c>
      <c r="AL13" s="92">
        <f t="shared" si="30"/>
        <v>0</v>
      </c>
      <c r="AM13" s="92">
        <f t="shared" si="30"/>
        <v>0</v>
      </c>
      <c r="AN13" s="92">
        <f t="shared" si="30"/>
        <v>0</v>
      </c>
      <c r="AO13" s="92">
        <f t="shared" si="30"/>
        <v>0</v>
      </c>
      <c r="AP13" s="92">
        <f t="shared" si="30"/>
        <v>0</v>
      </c>
      <c r="AQ13" s="373">
        <f t="shared" si="30"/>
        <v>0</v>
      </c>
      <c r="AS13" s="92">
        <f t="shared" ref="AS13:BE13" si="31">SUM(AS14:AS16)</f>
        <v>0</v>
      </c>
      <c r="AT13" s="92">
        <f t="shared" si="31"/>
        <v>0</v>
      </c>
      <c r="AU13" s="92">
        <f t="shared" si="31"/>
        <v>0</v>
      </c>
      <c r="AV13" s="92">
        <f t="shared" si="31"/>
        <v>0</v>
      </c>
      <c r="AW13" s="92">
        <f t="shared" si="31"/>
        <v>0</v>
      </c>
      <c r="AX13" s="92">
        <f t="shared" si="31"/>
        <v>0</v>
      </c>
      <c r="AY13" s="92">
        <f t="shared" si="31"/>
        <v>0</v>
      </c>
      <c r="AZ13" s="92">
        <f t="shared" si="31"/>
        <v>0</v>
      </c>
      <c r="BA13" s="92">
        <f t="shared" si="31"/>
        <v>0</v>
      </c>
      <c r="BB13" s="92">
        <f t="shared" si="31"/>
        <v>0</v>
      </c>
      <c r="BC13" s="92">
        <f t="shared" si="31"/>
        <v>0</v>
      </c>
      <c r="BD13" s="92">
        <f t="shared" si="31"/>
        <v>0</v>
      </c>
      <c r="BE13" s="92">
        <f t="shared" si="31"/>
        <v>0</v>
      </c>
      <c r="BG13" s="92">
        <f t="shared" ref="BG13:BS13" si="32">SUM(BG14:BG16)</f>
        <v>0</v>
      </c>
      <c r="BH13" s="92">
        <f t="shared" si="32"/>
        <v>0</v>
      </c>
      <c r="BI13" s="92">
        <f t="shared" si="32"/>
        <v>0</v>
      </c>
      <c r="BJ13" s="92">
        <f t="shared" si="32"/>
        <v>0</v>
      </c>
      <c r="BK13" s="92">
        <f t="shared" si="32"/>
        <v>0</v>
      </c>
      <c r="BL13" s="92">
        <f t="shared" si="32"/>
        <v>0</v>
      </c>
      <c r="BM13" s="92">
        <f t="shared" si="32"/>
        <v>0</v>
      </c>
      <c r="BN13" s="92">
        <f t="shared" si="32"/>
        <v>0</v>
      </c>
      <c r="BO13" s="92">
        <f t="shared" si="32"/>
        <v>0</v>
      </c>
      <c r="BP13" s="92">
        <f t="shared" si="32"/>
        <v>0</v>
      </c>
      <c r="BQ13" s="92">
        <f t="shared" si="32"/>
        <v>0</v>
      </c>
      <c r="BR13" s="92">
        <f t="shared" si="32"/>
        <v>0</v>
      </c>
      <c r="BS13" s="92">
        <f t="shared" si="32"/>
        <v>0</v>
      </c>
      <c r="BU13" s="92">
        <f t="shared" ref="BU13:CG13" si="33">SUM(BU14:BU16)</f>
        <v>0</v>
      </c>
      <c r="BV13" s="92">
        <f t="shared" si="33"/>
        <v>0</v>
      </c>
      <c r="BW13" s="92">
        <f t="shared" si="33"/>
        <v>0</v>
      </c>
      <c r="BX13" s="92">
        <f t="shared" si="33"/>
        <v>0</v>
      </c>
      <c r="BY13" s="92">
        <f t="shared" si="33"/>
        <v>0</v>
      </c>
      <c r="BZ13" s="92">
        <f t="shared" si="33"/>
        <v>0</v>
      </c>
      <c r="CA13" s="92">
        <f t="shared" si="33"/>
        <v>0</v>
      </c>
      <c r="CB13" s="92">
        <f t="shared" si="33"/>
        <v>0</v>
      </c>
      <c r="CC13" s="92">
        <f t="shared" si="33"/>
        <v>0</v>
      </c>
      <c r="CD13" s="92">
        <f t="shared" si="33"/>
        <v>0</v>
      </c>
      <c r="CE13" s="92">
        <f t="shared" si="33"/>
        <v>0</v>
      </c>
      <c r="CF13" s="92">
        <f t="shared" si="33"/>
        <v>0</v>
      </c>
      <c r="CG13" s="92">
        <f t="shared" si="33"/>
        <v>0</v>
      </c>
      <c r="CI13" s="92">
        <f t="shared" ref="CI13:CU13" si="34">SUM(CI14:CI16)</f>
        <v>0</v>
      </c>
      <c r="CJ13" s="92">
        <f t="shared" si="34"/>
        <v>0</v>
      </c>
      <c r="CK13" s="92">
        <f t="shared" si="34"/>
        <v>0</v>
      </c>
      <c r="CL13" s="92">
        <f t="shared" si="34"/>
        <v>0</v>
      </c>
      <c r="CM13" s="92">
        <f t="shared" si="34"/>
        <v>0</v>
      </c>
      <c r="CN13" s="92">
        <f t="shared" si="34"/>
        <v>0</v>
      </c>
      <c r="CO13" s="92">
        <f t="shared" si="34"/>
        <v>0</v>
      </c>
      <c r="CP13" s="92">
        <f t="shared" si="34"/>
        <v>0</v>
      </c>
      <c r="CQ13" s="92">
        <f t="shared" si="34"/>
        <v>0</v>
      </c>
      <c r="CR13" s="92">
        <f t="shared" si="34"/>
        <v>0</v>
      </c>
      <c r="CS13" s="92">
        <f t="shared" si="34"/>
        <v>0</v>
      </c>
      <c r="CT13" s="92">
        <f t="shared" si="34"/>
        <v>0</v>
      </c>
      <c r="CU13" s="92">
        <f t="shared" si="34"/>
        <v>0</v>
      </c>
      <c r="CW13" s="92">
        <f t="shared" ref="CW13:DI13" si="35">SUM(CW14:CW16)</f>
        <v>0</v>
      </c>
      <c r="CX13" s="92">
        <f t="shared" si="35"/>
        <v>0</v>
      </c>
      <c r="CY13" s="92">
        <f t="shared" si="35"/>
        <v>0</v>
      </c>
      <c r="CZ13" s="92">
        <f t="shared" si="35"/>
        <v>0</v>
      </c>
      <c r="DA13" s="92">
        <f t="shared" si="35"/>
        <v>0</v>
      </c>
      <c r="DB13" s="92">
        <f t="shared" si="35"/>
        <v>0</v>
      </c>
      <c r="DC13" s="92">
        <f t="shared" si="35"/>
        <v>0</v>
      </c>
      <c r="DD13" s="92">
        <f t="shared" si="35"/>
        <v>0</v>
      </c>
      <c r="DE13" s="92">
        <f t="shared" si="35"/>
        <v>0</v>
      </c>
      <c r="DF13" s="92">
        <f t="shared" si="35"/>
        <v>0</v>
      </c>
      <c r="DG13" s="92">
        <f t="shared" si="35"/>
        <v>0</v>
      </c>
      <c r="DH13" s="92">
        <f t="shared" si="35"/>
        <v>0</v>
      </c>
      <c r="DI13" s="92">
        <f t="shared" si="35"/>
        <v>0</v>
      </c>
      <c r="DK13" s="92">
        <f t="shared" ref="DK13:DW13" si="36">SUM(DK14:DK16)</f>
        <v>0</v>
      </c>
      <c r="DL13" s="92">
        <f t="shared" si="36"/>
        <v>0</v>
      </c>
      <c r="DM13" s="92">
        <f t="shared" si="36"/>
        <v>0</v>
      </c>
      <c r="DN13" s="92">
        <f t="shared" si="36"/>
        <v>0</v>
      </c>
      <c r="DO13" s="92">
        <f t="shared" si="36"/>
        <v>0</v>
      </c>
      <c r="DP13" s="92">
        <f t="shared" si="36"/>
        <v>0</v>
      </c>
      <c r="DQ13" s="92">
        <f t="shared" si="36"/>
        <v>0</v>
      </c>
      <c r="DR13" s="92">
        <f t="shared" si="36"/>
        <v>0</v>
      </c>
      <c r="DS13" s="92">
        <f t="shared" si="36"/>
        <v>0</v>
      </c>
      <c r="DT13" s="92">
        <f t="shared" si="36"/>
        <v>0</v>
      </c>
      <c r="DU13" s="92">
        <f t="shared" si="36"/>
        <v>0</v>
      </c>
      <c r="DV13" s="92">
        <f t="shared" si="36"/>
        <v>0</v>
      </c>
      <c r="DW13" s="92">
        <f t="shared" si="36"/>
        <v>0</v>
      </c>
      <c r="DY13" s="92">
        <f t="shared" ref="DY13:EK13" si="37">SUM(DY14:DY16)</f>
        <v>0</v>
      </c>
      <c r="DZ13" s="92">
        <f t="shared" si="37"/>
        <v>0</v>
      </c>
      <c r="EA13" s="92">
        <f t="shared" si="37"/>
        <v>0</v>
      </c>
      <c r="EB13" s="92">
        <f t="shared" si="37"/>
        <v>0</v>
      </c>
      <c r="EC13" s="92">
        <f t="shared" si="37"/>
        <v>0</v>
      </c>
      <c r="ED13" s="92">
        <f t="shared" si="37"/>
        <v>0</v>
      </c>
      <c r="EE13" s="92">
        <f t="shared" si="37"/>
        <v>0</v>
      </c>
      <c r="EF13" s="92">
        <f t="shared" si="37"/>
        <v>0</v>
      </c>
      <c r="EG13" s="92">
        <f t="shared" si="37"/>
        <v>0</v>
      </c>
      <c r="EH13" s="92">
        <f t="shared" si="37"/>
        <v>0</v>
      </c>
      <c r="EI13" s="92">
        <f t="shared" si="37"/>
        <v>0</v>
      </c>
      <c r="EJ13" s="92">
        <f t="shared" si="37"/>
        <v>0</v>
      </c>
      <c r="EK13" s="92">
        <f t="shared" si="37"/>
        <v>0</v>
      </c>
    </row>
    <row r="14" spans="1:141" outlineLevel="1">
      <c r="A14" s="38" t="s">
        <v>63</v>
      </c>
      <c r="B14" s="39" t="s">
        <v>1</v>
      </c>
      <c r="C14" s="374">
        <f t="shared" ref="C14:N16" si="38">Q14+AE14</f>
        <v>0</v>
      </c>
      <c r="D14" s="54">
        <f t="shared" si="38"/>
        <v>0</v>
      </c>
      <c r="E14" s="54">
        <f t="shared" si="38"/>
        <v>0</v>
      </c>
      <c r="F14" s="54">
        <f t="shared" si="38"/>
        <v>0</v>
      </c>
      <c r="G14" s="54">
        <f t="shared" si="38"/>
        <v>0</v>
      </c>
      <c r="H14" s="54">
        <f t="shared" si="38"/>
        <v>0</v>
      </c>
      <c r="I14" s="54">
        <f t="shared" si="38"/>
        <v>0</v>
      </c>
      <c r="J14" s="54">
        <f t="shared" si="38"/>
        <v>0</v>
      </c>
      <c r="K14" s="54">
        <f t="shared" si="38"/>
        <v>0</v>
      </c>
      <c r="L14" s="54">
        <f t="shared" si="38"/>
        <v>0</v>
      </c>
      <c r="M14" s="54">
        <f t="shared" si="38"/>
        <v>0</v>
      </c>
      <c r="N14" s="54">
        <f t="shared" si="38"/>
        <v>0</v>
      </c>
      <c r="O14" s="375">
        <f>SUM(C14:N14)</f>
        <v>0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>
        <f>SUM(Q14:AB14)</f>
        <v>0</v>
      </c>
      <c r="AE14" s="376">
        <f t="shared" ref="AE14:AP16" si="39">AS14+BU14+CI14+CW14+DK14</f>
        <v>0</v>
      </c>
      <c r="AF14" s="54">
        <f t="shared" si="39"/>
        <v>0</v>
      </c>
      <c r="AG14" s="54">
        <f t="shared" si="39"/>
        <v>0</v>
      </c>
      <c r="AH14" s="54">
        <f t="shared" si="39"/>
        <v>0</v>
      </c>
      <c r="AI14" s="54">
        <f t="shared" si="39"/>
        <v>0</v>
      </c>
      <c r="AJ14" s="54">
        <f t="shared" si="39"/>
        <v>0</v>
      </c>
      <c r="AK14" s="54">
        <f t="shared" si="39"/>
        <v>0</v>
      </c>
      <c r="AL14" s="54">
        <f t="shared" si="39"/>
        <v>0</v>
      </c>
      <c r="AM14" s="54">
        <f t="shared" si="39"/>
        <v>0</v>
      </c>
      <c r="AN14" s="54">
        <f t="shared" si="39"/>
        <v>0</v>
      </c>
      <c r="AO14" s="54">
        <f t="shared" si="39"/>
        <v>0</v>
      </c>
      <c r="AP14" s="54">
        <f t="shared" si="39"/>
        <v>0</v>
      </c>
      <c r="AQ14" s="377">
        <f>SUM(AE14:AP14)</f>
        <v>0</v>
      </c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>
        <f>SUM(AS14:BD14)</f>
        <v>0</v>
      </c>
      <c r="BG14" s="54">
        <f t="shared" ref="BG14:BR16" si="40">BU14+CI14+CW14</f>
        <v>0</v>
      </c>
      <c r="BH14" s="54">
        <f t="shared" si="40"/>
        <v>0</v>
      </c>
      <c r="BI14" s="54">
        <f t="shared" si="40"/>
        <v>0</v>
      </c>
      <c r="BJ14" s="54">
        <f t="shared" si="40"/>
        <v>0</v>
      </c>
      <c r="BK14" s="54">
        <f t="shared" si="40"/>
        <v>0</v>
      </c>
      <c r="BL14" s="54">
        <f t="shared" si="40"/>
        <v>0</v>
      </c>
      <c r="BM14" s="54">
        <f t="shared" si="40"/>
        <v>0</v>
      </c>
      <c r="BN14" s="54">
        <f t="shared" si="40"/>
        <v>0</v>
      </c>
      <c r="BO14" s="54">
        <f t="shared" si="40"/>
        <v>0</v>
      </c>
      <c r="BP14" s="54">
        <f t="shared" si="40"/>
        <v>0</v>
      </c>
      <c r="BQ14" s="54">
        <f t="shared" si="40"/>
        <v>0</v>
      </c>
      <c r="BR14" s="54">
        <f t="shared" si="40"/>
        <v>0</v>
      </c>
      <c r="BS14" s="54">
        <f>SUM(BG14:BR14)</f>
        <v>0</v>
      </c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>
        <f>SUM(BU14:CF14)</f>
        <v>0</v>
      </c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>
        <f>SUM(CI14:CT14)</f>
        <v>0</v>
      </c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>
        <f>SUM(CW14:DH14)</f>
        <v>0</v>
      </c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>
        <f>SUM(DK14:DV14)</f>
        <v>0</v>
      </c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>
        <f>SUM(DY14:EJ14)</f>
        <v>0</v>
      </c>
    </row>
    <row r="15" spans="1:141" outlineLevel="1">
      <c r="A15" s="38" t="s">
        <v>66</v>
      </c>
      <c r="B15" s="39" t="s">
        <v>2</v>
      </c>
      <c r="C15" s="374">
        <f t="shared" si="38"/>
        <v>0</v>
      </c>
      <c r="D15" s="54">
        <f t="shared" si="38"/>
        <v>0</v>
      </c>
      <c r="E15" s="54">
        <f t="shared" si="38"/>
        <v>0</v>
      </c>
      <c r="F15" s="54">
        <f t="shared" si="38"/>
        <v>0</v>
      </c>
      <c r="G15" s="54">
        <f t="shared" si="38"/>
        <v>0</v>
      </c>
      <c r="H15" s="54">
        <f t="shared" si="38"/>
        <v>0</v>
      </c>
      <c r="I15" s="54">
        <f t="shared" si="38"/>
        <v>0</v>
      </c>
      <c r="J15" s="54">
        <f t="shared" si="38"/>
        <v>0</v>
      </c>
      <c r="K15" s="54">
        <f t="shared" si="38"/>
        <v>0</v>
      </c>
      <c r="L15" s="54">
        <f t="shared" si="38"/>
        <v>0</v>
      </c>
      <c r="M15" s="54">
        <f t="shared" si="38"/>
        <v>0</v>
      </c>
      <c r="N15" s="54">
        <f t="shared" si="38"/>
        <v>0</v>
      </c>
      <c r="O15" s="375">
        <f>SUM(C15:N15)</f>
        <v>0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>
        <f>SUM(Q15:AB15)</f>
        <v>0</v>
      </c>
      <c r="AE15" s="376">
        <f t="shared" si="39"/>
        <v>0</v>
      </c>
      <c r="AF15" s="54">
        <f t="shared" si="39"/>
        <v>0</v>
      </c>
      <c r="AG15" s="54">
        <f t="shared" si="39"/>
        <v>0</v>
      </c>
      <c r="AH15" s="54">
        <f t="shared" si="39"/>
        <v>0</v>
      </c>
      <c r="AI15" s="54">
        <f t="shared" si="39"/>
        <v>0</v>
      </c>
      <c r="AJ15" s="54">
        <f t="shared" si="39"/>
        <v>0</v>
      </c>
      <c r="AK15" s="54">
        <f t="shared" si="39"/>
        <v>0</v>
      </c>
      <c r="AL15" s="54">
        <f t="shared" si="39"/>
        <v>0</v>
      </c>
      <c r="AM15" s="54">
        <f t="shared" si="39"/>
        <v>0</v>
      </c>
      <c r="AN15" s="54">
        <f t="shared" si="39"/>
        <v>0</v>
      </c>
      <c r="AO15" s="54">
        <f t="shared" si="39"/>
        <v>0</v>
      </c>
      <c r="AP15" s="54">
        <f t="shared" si="39"/>
        <v>0</v>
      </c>
      <c r="AQ15" s="377">
        <f>SUM(AE15:AP15)</f>
        <v>0</v>
      </c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>
        <f>SUM(AS15:BD15)</f>
        <v>0</v>
      </c>
      <c r="BG15" s="54">
        <f t="shared" si="40"/>
        <v>0</v>
      </c>
      <c r="BH15" s="54">
        <f t="shared" si="40"/>
        <v>0</v>
      </c>
      <c r="BI15" s="54">
        <f t="shared" si="40"/>
        <v>0</v>
      </c>
      <c r="BJ15" s="54">
        <f t="shared" si="40"/>
        <v>0</v>
      </c>
      <c r="BK15" s="54">
        <f t="shared" si="40"/>
        <v>0</v>
      </c>
      <c r="BL15" s="54">
        <f t="shared" si="40"/>
        <v>0</v>
      </c>
      <c r="BM15" s="54">
        <f t="shared" si="40"/>
        <v>0</v>
      </c>
      <c r="BN15" s="54">
        <f t="shared" si="40"/>
        <v>0</v>
      </c>
      <c r="BO15" s="54">
        <f t="shared" si="40"/>
        <v>0</v>
      </c>
      <c r="BP15" s="54">
        <f t="shared" si="40"/>
        <v>0</v>
      </c>
      <c r="BQ15" s="54">
        <f t="shared" si="40"/>
        <v>0</v>
      </c>
      <c r="BR15" s="54">
        <f t="shared" si="40"/>
        <v>0</v>
      </c>
      <c r="BS15" s="54">
        <f>SUM(BG15:BR15)</f>
        <v>0</v>
      </c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>
        <f>SUM(BU15:CF15)</f>
        <v>0</v>
      </c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>
        <f>SUM(CI15:CT15)</f>
        <v>0</v>
      </c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>
        <f>SUM(CW15:DH15)</f>
        <v>0</v>
      </c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>
        <f>SUM(DK15:DV15)</f>
        <v>0</v>
      </c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>
        <f>SUM(DY15:EJ15)</f>
        <v>0</v>
      </c>
    </row>
    <row r="16" spans="1:141" outlineLevel="1">
      <c r="A16" s="55" t="s">
        <v>72</v>
      </c>
      <c r="B16" s="56" t="s">
        <v>3</v>
      </c>
      <c r="C16" s="378">
        <f t="shared" si="38"/>
        <v>0</v>
      </c>
      <c r="D16" s="57">
        <f t="shared" si="38"/>
        <v>0</v>
      </c>
      <c r="E16" s="57">
        <f t="shared" si="38"/>
        <v>0</v>
      </c>
      <c r="F16" s="57">
        <f t="shared" si="38"/>
        <v>0</v>
      </c>
      <c r="G16" s="57">
        <f t="shared" si="38"/>
        <v>0</v>
      </c>
      <c r="H16" s="57">
        <f t="shared" si="38"/>
        <v>0</v>
      </c>
      <c r="I16" s="57">
        <f t="shared" si="38"/>
        <v>0</v>
      </c>
      <c r="J16" s="57">
        <f t="shared" si="38"/>
        <v>0</v>
      </c>
      <c r="K16" s="57">
        <f t="shared" si="38"/>
        <v>0</v>
      </c>
      <c r="L16" s="57">
        <f t="shared" si="38"/>
        <v>0</v>
      </c>
      <c r="M16" s="57">
        <f t="shared" si="38"/>
        <v>0</v>
      </c>
      <c r="N16" s="57">
        <f t="shared" si="38"/>
        <v>0</v>
      </c>
      <c r="O16" s="379">
        <f>SUM(C16:N16)</f>
        <v>0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>
        <f>SUM(Q16:AB16)</f>
        <v>0</v>
      </c>
      <c r="AE16" s="380">
        <f t="shared" si="39"/>
        <v>0</v>
      </c>
      <c r="AF16" s="57">
        <f t="shared" si="39"/>
        <v>0</v>
      </c>
      <c r="AG16" s="57">
        <f t="shared" si="39"/>
        <v>0</v>
      </c>
      <c r="AH16" s="57">
        <f t="shared" si="39"/>
        <v>0</v>
      </c>
      <c r="AI16" s="57">
        <f t="shared" si="39"/>
        <v>0</v>
      </c>
      <c r="AJ16" s="57">
        <f t="shared" si="39"/>
        <v>0</v>
      </c>
      <c r="AK16" s="57">
        <f t="shared" si="39"/>
        <v>0</v>
      </c>
      <c r="AL16" s="57">
        <f t="shared" si="39"/>
        <v>0</v>
      </c>
      <c r="AM16" s="57">
        <f t="shared" si="39"/>
        <v>0</v>
      </c>
      <c r="AN16" s="57">
        <f t="shared" si="39"/>
        <v>0</v>
      </c>
      <c r="AO16" s="57">
        <f t="shared" si="39"/>
        <v>0</v>
      </c>
      <c r="AP16" s="57">
        <f t="shared" si="39"/>
        <v>0</v>
      </c>
      <c r="AQ16" s="381">
        <f>SUM(AE16:AP16)</f>
        <v>0</v>
      </c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>
        <f>SUM(AS16:BD16)</f>
        <v>0</v>
      </c>
      <c r="BG16" s="57">
        <f t="shared" si="40"/>
        <v>0</v>
      </c>
      <c r="BH16" s="57">
        <f t="shared" si="40"/>
        <v>0</v>
      </c>
      <c r="BI16" s="57">
        <f t="shared" si="40"/>
        <v>0</v>
      </c>
      <c r="BJ16" s="57">
        <f t="shared" si="40"/>
        <v>0</v>
      </c>
      <c r="BK16" s="57">
        <f t="shared" si="40"/>
        <v>0</v>
      </c>
      <c r="BL16" s="57">
        <f t="shared" si="40"/>
        <v>0</v>
      </c>
      <c r="BM16" s="57">
        <f t="shared" si="40"/>
        <v>0</v>
      </c>
      <c r="BN16" s="57">
        <f t="shared" si="40"/>
        <v>0</v>
      </c>
      <c r="BO16" s="57">
        <f t="shared" si="40"/>
        <v>0</v>
      </c>
      <c r="BP16" s="57">
        <f t="shared" si="40"/>
        <v>0</v>
      </c>
      <c r="BQ16" s="57">
        <f t="shared" si="40"/>
        <v>0</v>
      </c>
      <c r="BR16" s="57">
        <f t="shared" si="40"/>
        <v>0</v>
      </c>
      <c r="BS16" s="57">
        <f>SUM(BG16:BR16)</f>
        <v>0</v>
      </c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>
        <f>SUM(BU16:CF16)</f>
        <v>0</v>
      </c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>
        <f>SUM(CI16:CT16)</f>
        <v>0</v>
      </c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>
        <f>SUM(CW16:DH16)</f>
        <v>0</v>
      </c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>
        <f>SUM(DK16:DV16)</f>
        <v>0</v>
      </c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>
        <f>SUM(DY16:EJ16)</f>
        <v>0</v>
      </c>
    </row>
    <row r="17" spans="1:141">
      <c r="A17" s="61">
        <v>4</v>
      </c>
      <c r="B17" s="62" t="s">
        <v>22</v>
      </c>
      <c r="C17" s="382">
        <f t="shared" ref="C17:O17" si="41">SUM(C18:C20)</f>
        <v>129505341136.8568</v>
      </c>
      <c r="D17" s="63">
        <f t="shared" si="41"/>
        <v>127974441177.86678</v>
      </c>
      <c r="E17" s="63">
        <f t="shared" si="41"/>
        <v>141599491827.82724</v>
      </c>
      <c r="F17" s="63">
        <f t="shared" si="41"/>
        <v>131782266518.60179</v>
      </c>
      <c r="G17" s="63">
        <f t="shared" si="41"/>
        <v>140244307484.73706</v>
      </c>
      <c r="H17" s="63">
        <f t="shared" si="41"/>
        <v>141409300219.24365</v>
      </c>
      <c r="I17" s="63">
        <f t="shared" si="41"/>
        <v>145404057387.95996</v>
      </c>
      <c r="J17" s="63">
        <f t="shared" si="41"/>
        <v>141276361518.14462</v>
      </c>
      <c r="K17" s="63">
        <f t="shared" si="41"/>
        <v>148196499542.28259</v>
      </c>
      <c r="L17" s="63">
        <f t="shared" si="41"/>
        <v>137984481243.16364</v>
      </c>
      <c r="M17" s="63">
        <f t="shared" si="41"/>
        <v>145929060338.8269</v>
      </c>
      <c r="N17" s="63">
        <f t="shared" si="41"/>
        <v>147442013746.17145</v>
      </c>
      <c r="O17" s="383">
        <f t="shared" si="41"/>
        <v>1678747622141.6824</v>
      </c>
      <c r="Q17" s="63">
        <f t="shared" ref="Q17:AC17" si="42">SUM(Q18:Q20)</f>
        <v>-30204664500</v>
      </c>
      <c r="R17" s="63">
        <f t="shared" si="42"/>
        <v>-21944360000</v>
      </c>
      <c r="S17" s="63">
        <f t="shared" si="42"/>
        <v>-35315047250</v>
      </c>
      <c r="T17" s="63">
        <f t="shared" si="42"/>
        <v>-38773623125</v>
      </c>
      <c r="U17" s="63">
        <f t="shared" si="42"/>
        <v>-38756394375</v>
      </c>
      <c r="V17" s="63">
        <f t="shared" si="42"/>
        <v>-39491807000</v>
      </c>
      <c r="W17" s="63">
        <f t="shared" si="42"/>
        <v>-40136084625</v>
      </c>
      <c r="X17" s="63">
        <f t="shared" si="42"/>
        <v>-39491807000</v>
      </c>
      <c r="Y17" s="63">
        <f t="shared" si="42"/>
        <v>-38203251750</v>
      </c>
      <c r="Z17" s="63">
        <f t="shared" si="42"/>
        <v>-40136084625</v>
      </c>
      <c r="AA17" s="63">
        <f t="shared" si="42"/>
        <v>-38847529375</v>
      </c>
      <c r="AB17" s="63">
        <f t="shared" si="42"/>
        <v>-40136084625</v>
      </c>
      <c r="AC17" s="63">
        <f t="shared" si="42"/>
        <v>-441436738250</v>
      </c>
      <c r="AE17" s="384">
        <f t="shared" ref="AE17:AQ17" si="43">SUM(AE18:AE20)</f>
        <v>159710005636.85681</v>
      </c>
      <c r="AF17" s="63">
        <f t="shared" si="43"/>
        <v>149918801177.86676</v>
      </c>
      <c r="AG17" s="63">
        <f t="shared" si="43"/>
        <v>176914539077.82724</v>
      </c>
      <c r="AH17" s="63">
        <f t="shared" si="43"/>
        <v>170555889643.60181</v>
      </c>
      <c r="AI17" s="63">
        <f t="shared" si="43"/>
        <v>179000701859.73706</v>
      </c>
      <c r="AJ17" s="63">
        <f t="shared" si="43"/>
        <v>180901107219.24365</v>
      </c>
      <c r="AK17" s="63">
        <f t="shared" si="43"/>
        <v>185540142012.95996</v>
      </c>
      <c r="AL17" s="63">
        <f t="shared" si="43"/>
        <v>180768168518.14462</v>
      </c>
      <c r="AM17" s="63">
        <f t="shared" si="43"/>
        <v>186399751292.28259</v>
      </c>
      <c r="AN17" s="63">
        <f t="shared" si="43"/>
        <v>178120565868.16364</v>
      </c>
      <c r="AO17" s="63">
        <f t="shared" si="43"/>
        <v>184776589713.8269</v>
      </c>
      <c r="AP17" s="63">
        <f t="shared" si="43"/>
        <v>187578098371.17145</v>
      </c>
      <c r="AQ17" s="385">
        <f t="shared" si="43"/>
        <v>2120184360391.6824</v>
      </c>
      <c r="AS17" s="63">
        <f t="shared" ref="AS17:BE17" si="44">SUM(AS18:AS20)</f>
        <v>129505341136.8568</v>
      </c>
      <c r="AT17" s="63">
        <f t="shared" si="44"/>
        <v>127974441177.86678</v>
      </c>
      <c r="AU17" s="63">
        <f t="shared" si="44"/>
        <v>141599491827.82724</v>
      </c>
      <c r="AV17" s="63">
        <f t="shared" si="44"/>
        <v>131782266518.60179</v>
      </c>
      <c r="AW17" s="63">
        <f t="shared" si="44"/>
        <v>140244307484.73706</v>
      </c>
      <c r="AX17" s="63">
        <f t="shared" si="44"/>
        <v>141409300219.24365</v>
      </c>
      <c r="AY17" s="63">
        <f t="shared" si="44"/>
        <v>145404057387.95996</v>
      </c>
      <c r="AZ17" s="63">
        <f t="shared" si="44"/>
        <v>141276361518.14462</v>
      </c>
      <c r="BA17" s="63">
        <f t="shared" si="44"/>
        <v>148196499542.28259</v>
      </c>
      <c r="BB17" s="63">
        <f t="shared" si="44"/>
        <v>137984481243.16364</v>
      </c>
      <c r="BC17" s="63">
        <f t="shared" si="44"/>
        <v>145929060338.8269</v>
      </c>
      <c r="BD17" s="63">
        <f t="shared" si="44"/>
        <v>147442013746.17145</v>
      </c>
      <c r="BE17" s="63">
        <f t="shared" si="44"/>
        <v>1678747622141.6824</v>
      </c>
      <c r="BG17" s="63">
        <f t="shared" ref="BG17:BS17" si="45">SUM(BG18:BG20)</f>
        <v>30204664500</v>
      </c>
      <c r="BH17" s="63">
        <f t="shared" si="45"/>
        <v>21944360000</v>
      </c>
      <c r="BI17" s="63">
        <f t="shared" si="45"/>
        <v>35315047250</v>
      </c>
      <c r="BJ17" s="63">
        <f t="shared" si="45"/>
        <v>38773623125</v>
      </c>
      <c r="BK17" s="63">
        <f t="shared" si="45"/>
        <v>38756394375</v>
      </c>
      <c r="BL17" s="63">
        <f t="shared" si="45"/>
        <v>39491807000</v>
      </c>
      <c r="BM17" s="63">
        <f t="shared" si="45"/>
        <v>40136084625</v>
      </c>
      <c r="BN17" s="63">
        <f t="shared" si="45"/>
        <v>39491807000</v>
      </c>
      <c r="BO17" s="63">
        <f t="shared" si="45"/>
        <v>38203251750</v>
      </c>
      <c r="BP17" s="63">
        <f t="shared" si="45"/>
        <v>40136084625</v>
      </c>
      <c r="BQ17" s="63">
        <f t="shared" si="45"/>
        <v>38847529375</v>
      </c>
      <c r="BR17" s="63">
        <f t="shared" si="45"/>
        <v>40136084625</v>
      </c>
      <c r="BS17" s="63">
        <f t="shared" si="45"/>
        <v>441436738250</v>
      </c>
      <c r="BU17" s="63">
        <f t="shared" ref="BU17:CG17" si="46">SUM(BU18:BU20)</f>
        <v>11319672000</v>
      </c>
      <c r="BV17" s="63">
        <f t="shared" si="46"/>
        <v>7463520000</v>
      </c>
      <c r="BW17" s="63">
        <f t="shared" si="46"/>
        <v>14539209750</v>
      </c>
      <c r="BX17" s="63">
        <f t="shared" si="46"/>
        <v>16106940625</v>
      </c>
      <c r="BY17" s="63">
        <f t="shared" si="46"/>
        <v>16106940625</v>
      </c>
      <c r="BZ17" s="63">
        <f t="shared" si="46"/>
        <v>16751218250</v>
      </c>
      <c r="CA17" s="63">
        <f t="shared" si="46"/>
        <v>17395495875</v>
      </c>
      <c r="CB17" s="63">
        <f t="shared" si="46"/>
        <v>16751218250</v>
      </c>
      <c r="CC17" s="63">
        <f t="shared" si="46"/>
        <v>15462663000</v>
      </c>
      <c r="CD17" s="63">
        <f t="shared" si="46"/>
        <v>17395495875</v>
      </c>
      <c r="CE17" s="63">
        <f t="shared" si="46"/>
        <v>16106940625</v>
      </c>
      <c r="CF17" s="63">
        <f t="shared" si="46"/>
        <v>17395495875</v>
      </c>
      <c r="CG17" s="63">
        <f t="shared" si="46"/>
        <v>182794810750</v>
      </c>
      <c r="CI17" s="63">
        <f t="shared" ref="CI17:CU17" si="47">SUM(CI18:CI20)</f>
        <v>7469550000</v>
      </c>
      <c r="CJ17" s="63">
        <f t="shared" si="47"/>
        <v>5602162500</v>
      </c>
      <c r="CK17" s="63">
        <f t="shared" si="47"/>
        <v>8092012500</v>
      </c>
      <c r="CL17" s="63">
        <f t="shared" si="47"/>
        <v>8714475000</v>
      </c>
      <c r="CM17" s="63">
        <f t="shared" si="47"/>
        <v>8714475000</v>
      </c>
      <c r="CN17" s="63">
        <f t="shared" si="47"/>
        <v>8714475000</v>
      </c>
      <c r="CO17" s="63">
        <f t="shared" si="47"/>
        <v>8714475000</v>
      </c>
      <c r="CP17" s="63">
        <f t="shared" si="47"/>
        <v>8714475000</v>
      </c>
      <c r="CQ17" s="63">
        <f t="shared" si="47"/>
        <v>8714475000</v>
      </c>
      <c r="CR17" s="63">
        <f t="shared" si="47"/>
        <v>8714475000</v>
      </c>
      <c r="CS17" s="63">
        <f t="shared" si="47"/>
        <v>8714475000</v>
      </c>
      <c r="CT17" s="63">
        <f t="shared" si="47"/>
        <v>8714475000</v>
      </c>
      <c r="CU17" s="63">
        <f t="shared" si="47"/>
        <v>99594000000</v>
      </c>
      <c r="CW17" s="63">
        <f t="shared" ref="CW17:DI17" si="48">SUM(CW18:CW20)</f>
        <v>11415442500</v>
      </c>
      <c r="CX17" s="63">
        <f t="shared" si="48"/>
        <v>8878677500</v>
      </c>
      <c r="CY17" s="63">
        <f t="shared" si="48"/>
        <v>12683825000</v>
      </c>
      <c r="CZ17" s="63">
        <f t="shared" si="48"/>
        <v>13952207500</v>
      </c>
      <c r="DA17" s="63">
        <f t="shared" si="48"/>
        <v>13934978750</v>
      </c>
      <c r="DB17" s="63">
        <f t="shared" si="48"/>
        <v>14026113750</v>
      </c>
      <c r="DC17" s="63">
        <f t="shared" si="48"/>
        <v>14026113750</v>
      </c>
      <c r="DD17" s="63">
        <f t="shared" si="48"/>
        <v>14026113750</v>
      </c>
      <c r="DE17" s="63">
        <f t="shared" si="48"/>
        <v>14026113750</v>
      </c>
      <c r="DF17" s="63">
        <f t="shared" si="48"/>
        <v>14026113750</v>
      </c>
      <c r="DG17" s="63">
        <f t="shared" si="48"/>
        <v>14026113750</v>
      </c>
      <c r="DH17" s="63">
        <f t="shared" si="48"/>
        <v>14026113750</v>
      </c>
      <c r="DI17" s="63">
        <f t="shared" si="48"/>
        <v>159047927500</v>
      </c>
      <c r="DK17" s="63">
        <f t="shared" ref="DK17:DW17" si="49">SUM(DK18:DK20)</f>
        <v>0</v>
      </c>
      <c r="DL17" s="63">
        <f t="shared" si="49"/>
        <v>0</v>
      </c>
      <c r="DM17" s="63">
        <f t="shared" si="49"/>
        <v>0</v>
      </c>
      <c r="DN17" s="63">
        <f t="shared" si="49"/>
        <v>0</v>
      </c>
      <c r="DO17" s="63">
        <f t="shared" si="49"/>
        <v>0</v>
      </c>
      <c r="DP17" s="63">
        <f t="shared" si="49"/>
        <v>0</v>
      </c>
      <c r="DQ17" s="63">
        <f t="shared" si="49"/>
        <v>0</v>
      </c>
      <c r="DR17" s="63">
        <f t="shared" si="49"/>
        <v>0</v>
      </c>
      <c r="DS17" s="63">
        <f t="shared" si="49"/>
        <v>0</v>
      </c>
      <c r="DT17" s="63">
        <f t="shared" si="49"/>
        <v>0</v>
      </c>
      <c r="DU17" s="63">
        <f t="shared" si="49"/>
        <v>0</v>
      </c>
      <c r="DV17" s="63">
        <f t="shared" si="49"/>
        <v>0</v>
      </c>
      <c r="DW17" s="63">
        <f t="shared" si="49"/>
        <v>0</v>
      </c>
      <c r="DY17" s="63">
        <f t="shared" ref="DY17:EK17" si="50">SUM(DY18:DY20)</f>
        <v>0</v>
      </c>
      <c r="DZ17" s="63">
        <f t="shared" si="50"/>
        <v>0</v>
      </c>
      <c r="EA17" s="63">
        <f t="shared" si="50"/>
        <v>0</v>
      </c>
      <c r="EB17" s="63">
        <f t="shared" si="50"/>
        <v>0</v>
      </c>
      <c r="EC17" s="63">
        <f t="shared" si="50"/>
        <v>0</v>
      </c>
      <c r="ED17" s="63">
        <f t="shared" si="50"/>
        <v>0</v>
      </c>
      <c r="EE17" s="63">
        <f t="shared" si="50"/>
        <v>0</v>
      </c>
      <c r="EF17" s="63">
        <f t="shared" si="50"/>
        <v>0</v>
      </c>
      <c r="EG17" s="63">
        <f t="shared" si="50"/>
        <v>0</v>
      </c>
      <c r="EH17" s="63">
        <f t="shared" si="50"/>
        <v>0</v>
      </c>
      <c r="EI17" s="63">
        <f t="shared" si="50"/>
        <v>0</v>
      </c>
      <c r="EJ17" s="63">
        <f t="shared" si="50"/>
        <v>0</v>
      </c>
      <c r="EK17" s="63">
        <f t="shared" si="50"/>
        <v>0</v>
      </c>
    </row>
    <row r="18" spans="1:141" s="29" customFormat="1" outlineLevel="1">
      <c r="A18" s="58" t="s">
        <v>58</v>
      </c>
      <c r="B18" s="59" t="s">
        <v>1</v>
      </c>
      <c r="C18" s="386">
        <f t="shared" ref="C18:O18" si="51">C10-C14</f>
        <v>129505341136.8568</v>
      </c>
      <c r="D18" s="60">
        <f t="shared" si="51"/>
        <v>127974441177.86678</v>
      </c>
      <c r="E18" s="60">
        <f t="shared" si="51"/>
        <v>141599491827.82724</v>
      </c>
      <c r="F18" s="60">
        <f t="shared" si="51"/>
        <v>131782266518.60179</v>
      </c>
      <c r="G18" s="60">
        <f t="shared" si="51"/>
        <v>140244307484.73706</v>
      </c>
      <c r="H18" s="60">
        <f t="shared" si="51"/>
        <v>141409300219.24365</v>
      </c>
      <c r="I18" s="60">
        <f t="shared" si="51"/>
        <v>145404057387.95996</v>
      </c>
      <c r="J18" s="60">
        <f t="shared" si="51"/>
        <v>141276361518.14462</v>
      </c>
      <c r="K18" s="60">
        <f t="shared" si="51"/>
        <v>148196499542.28259</v>
      </c>
      <c r="L18" s="60">
        <f t="shared" si="51"/>
        <v>137984481243.16364</v>
      </c>
      <c r="M18" s="60">
        <f t="shared" si="51"/>
        <v>145929060338.8269</v>
      </c>
      <c r="N18" s="60">
        <f t="shared" si="51"/>
        <v>147442013746.17145</v>
      </c>
      <c r="O18" s="387">
        <f t="shared" si="51"/>
        <v>1678747622141.6824</v>
      </c>
      <c r="Q18" s="60">
        <f t="shared" ref="Q18:AC18" si="52">Q10-Q14</f>
        <v>0</v>
      </c>
      <c r="R18" s="60">
        <f t="shared" si="52"/>
        <v>0</v>
      </c>
      <c r="S18" s="60">
        <f t="shared" si="52"/>
        <v>0</v>
      </c>
      <c r="T18" s="60">
        <f t="shared" si="52"/>
        <v>0</v>
      </c>
      <c r="U18" s="60">
        <f t="shared" si="52"/>
        <v>0</v>
      </c>
      <c r="V18" s="60">
        <f t="shared" si="52"/>
        <v>0</v>
      </c>
      <c r="W18" s="60">
        <f t="shared" si="52"/>
        <v>0</v>
      </c>
      <c r="X18" s="60">
        <f t="shared" si="52"/>
        <v>0</v>
      </c>
      <c r="Y18" s="60">
        <f t="shared" si="52"/>
        <v>0</v>
      </c>
      <c r="Z18" s="60">
        <f t="shared" si="52"/>
        <v>0</v>
      </c>
      <c r="AA18" s="60">
        <f t="shared" si="52"/>
        <v>0</v>
      </c>
      <c r="AB18" s="60">
        <f t="shared" si="52"/>
        <v>0</v>
      </c>
      <c r="AC18" s="60">
        <f t="shared" si="52"/>
        <v>0</v>
      </c>
      <c r="AE18" s="388">
        <f t="shared" ref="AE18:AQ18" si="53">AE10-AE14</f>
        <v>129505341136.8568</v>
      </c>
      <c r="AF18" s="60">
        <f t="shared" si="53"/>
        <v>127974441177.86678</v>
      </c>
      <c r="AG18" s="60">
        <f t="shared" si="53"/>
        <v>141599491827.82724</v>
      </c>
      <c r="AH18" s="60">
        <f t="shared" si="53"/>
        <v>131782266518.60179</v>
      </c>
      <c r="AI18" s="60">
        <f t="shared" si="53"/>
        <v>140244307484.73706</v>
      </c>
      <c r="AJ18" s="60">
        <f t="shared" si="53"/>
        <v>141409300219.24365</v>
      </c>
      <c r="AK18" s="60">
        <f t="shared" si="53"/>
        <v>145404057387.95996</v>
      </c>
      <c r="AL18" s="60">
        <f t="shared" si="53"/>
        <v>141276361518.14462</v>
      </c>
      <c r="AM18" s="60">
        <f t="shared" si="53"/>
        <v>148196499542.28259</v>
      </c>
      <c r="AN18" s="60">
        <f t="shared" si="53"/>
        <v>137984481243.16364</v>
      </c>
      <c r="AO18" s="60">
        <f t="shared" si="53"/>
        <v>145929060338.8269</v>
      </c>
      <c r="AP18" s="60">
        <f t="shared" si="53"/>
        <v>147442013746.17145</v>
      </c>
      <c r="AQ18" s="389">
        <f t="shared" si="53"/>
        <v>1678747622141.6824</v>
      </c>
      <c r="AS18" s="60">
        <f t="shared" ref="AS18:BE18" si="54">AS10-AS14</f>
        <v>129505341136.8568</v>
      </c>
      <c r="AT18" s="60">
        <f t="shared" si="54"/>
        <v>127974441177.86678</v>
      </c>
      <c r="AU18" s="60">
        <f t="shared" si="54"/>
        <v>141599491827.82724</v>
      </c>
      <c r="AV18" s="60">
        <f t="shared" si="54"/>
        <v>131782266518.60179</v>
      </c>
      <c r="AW18" s="60">
        <f t="shared" si="54"/>
        <v>140244307484.73706</v>
      </c>
      <c r="AX18" s="60">
        <f t="shared" si="54"/>
        <v>141409300219.24365</v>
      </c>
      <c r="AY18" s="60">
        <f t="shared" si="54"/>
        <v>145404057387.95996</v>
      </c>
      <c r="AZ18" s="60">
        <f t="shared" si="54"/>
        <v>141276361518.14462</v>
      </c>
      <c r="BA18" s="60">
        <f t="shared" si="54"/>
        <v>148196499542.28259</v>
      </c>
      <c r="BB18" s="60">
        <f t="shared" si="54"/>
        <v>137984481243.16364</v>
      </c>
      <c r="BC18" s="60">
        <f t="shared" si="54"/>
        <v>145929060338.8269</v>
      </c>
      <c r="BD18" s="60">
        <f t="shared" si="54"/>
        <v>147442013746.17145</v>
      </c>
      <c r="BE18" s="60">
        <f t="shared" si="54"/>
        <v>1678747622141.6824</v>
      </c>
      <c r="BG18" s="60">
        <f t="shared" ref="BG18:BS18" si="55">BG10-BG14</f>
        <v>0</v>
      </c>
      <c r="BH18" s="60">
        <f t="shared" si="55"/>
        <v>0</v>
      </c>
      <c r="BI18" s="60">
        <f t="shared" si="55"/>
        <v>0</v>
      </c>
      <c r="BJ18" s="60">
        <f t="shared" si="55"/>
        <v>0</v>
      </c>
      <c r="BK18" s="60">
        <f t="shared" si="55"/>
        <v>0</v>
      </c>
      <c r="BL18" s="60">
        <f t="shared" si="55"/>
        <v>0</v>
      </c>
      <c r="BM18" s="60">
        <f t="shared" si="55"/>
        <v>0</v>
      </c>
      <c r="BN18" s="60">
        <f t="shared" si="55"/>
        <v>0</v>
      </c>
      <c r="BO18" s="60">
        <f t="shared" si="55"/>
        <v>0</v>
      </c>
      <c r="BP18" s="60">
        <f t="shared" si="55"/>
        <v>0</v>
      </c>
      <c r="BQ18" s="60">
        <f t="shared" si="55"/>
        <v>0</v>
      </c>
      <c r="BR18" s="60">
        <f t="shared" si="55"/>
        <v>0</v>
      </c>
      <c r="BS18" s="60">
        <f t="shared" si="55"/>
        <v>0</v>
      </c>
      <c r="BU18" s="60">
        <f t="shared" ref="BU18:CG18" si="56">BU10-BU14</f>
        <v>0</v>
      </c>
      <c r="BV18" s="60">
        <f t="shared" si="56"/>
        <v>0</v>
      </c>
      <c r="BW18" s="60">
        <f t="shared" si="56"/>
        <v>0</v>
      </c>
      <c r="BX18" s="60">
        <f t="shared" si="56"/>
        <v>0</v>
      </c>
      <c r="BY18" s="60">
        <f t="shared" si="56"/>
        <v>0</v>
      </c>
      <c r="BZ18" s="60">
        <f t="shared" si="56"/>
        <v>0</v>
      </c>
      <c r="CA18" s="60">
        <f t="shared" si="56"/>
        <v>0</v>
      </c>
      <c r="CB18" s="60">
        <f t="shared" si="56"/>
        <v>0</v>
      </c>
      <c r="CC18" s="60">
        <f t="shared" si="56"/>
        <v>0</v>
      </c>
      <c r="CD18" s="60">
        <f t="shared" si="56"/>
        <v>0</v>
      </c>
      <c r="CE18" s="60">
        <f t="shared" si="56"/>
        <v>0</v>
      </c>
      <c r="CF18" s="60">
        <f t="shared" si="56"/>
        <v>0</v>
      </c>
      <c r="CG18" s="60">
        <f t="shared" si="56"/>
        <v>0</v>
      </c>
      <c r="CI18" s="60">
        <f t="shared" ref="CI18:CU18" si="57">CI10-CI14</f>
        <v>0</v>
      </c>
      <c r="CJ18" s="60">
        <f t="shared" si="57"/>
        <v>0</v>
      </c>
      <c r="CK18" s="60">
        <f t="shared" si="57"/>
        <v>0</v>
      </c>
      <c r="CL18" s="60">
        <f t="shared" si="57"/>
        <v>0</v>
      </c>
      <c r="CM18" s="60">
        <f t="shared" si="57"/>
        <v>0</v>
      </c>
      <c r="CN18" s="60">
        <f t="shared" si="57"/>
        <v>0</v>
      </c>
      <c r="CO18" s="60">
        <f t="shared" si="57"/>
        <v>0</v>
      </c>
      <c r="CP18" s="60">
        <f t="shared" si="57"/>
        <v>0</v>
      </c>
      <c r="CQ18" s="60">
        <f t="shared" si="57"/>
        <v>0</v>
      </c>
      <c r="CR18" s="60">
        <f t="shared" si="57"/>
        <v>0</v>
      </c>
      <c r="CS18" s="60">
        <f t="shared" si="57"/>
        <v>0</v>
      </c>
      <c r="CT18" s="60">
        <f t="shared" si="57"/>
        <v>0</v>
      </c>
      <c r="CU18" s="60">
        <f t="shared" si="57"/>
        <v>0</v>
      </c>
      <c r="CW18" s="60">
        <f t="shared" ref="CW18:DI18" si="58">CW10-CW14</f>
        <v>0</v>
      </c>
      <c r="CX18" s="60">
        <f t="shared" si="58"/>
        <v>0</v>
      </c>
      <c r="CY18" s="60">
        <f t="shared" si="58"/>
        <v>0</v>
      </c>
      <c r="CZ18" s="60">
        <f t="shared" si="58"/>
        <v>0</v>
      </c>
      <c r="DA18" s="60">
        <f t="shared" si="58"/>
        <v>0</v>
      </c>
      <c r="DB18" s="60">
        <f t="shared" si="58"/>
        <v>0</v>
      </c>
      <c r="DC18" s="60">
        <f t="shared" si="58"/>
        <v>0</v>
      </c>
      <c r="DD18" s="60">
        <f t="shared" si="58"/>
        <v>0</v>
      </c>
      <c r="DE18" s="60">
        <f t="shared" si="58"/>
        <v>0</v>
      </c>
      <c r="DF18" s="60">
        <f t="shared" si="58"/>
        <v>0</v>
      </c>
      <c r="DG18" s="60">
        <f t="shared" si="58"/>
        <v>0</v>
      </c>
      <c r="DH18" s="60">
        <f t="shared" si="58"/>
        <v>0</v>
      </c>
      <c r="DI18" s="60">
        <f t="shared" si="58"/>
        <v>0</v>
      </c>
      <c r="DK18" s="60">
        <f t="shared" ref="DK18:DW18" si="59">DK10-DK14</f>
        <v>0</v>
      </c>
      <c r="DL18" s="60">
        <f t="shared" si="59"/>
        <v>0</v>
      </c>
      <c r="DM18" s="60">
        <f t="shared" si="59"/>
        <v>0</v>
      </c>
      <c r="DN18" s="60">
        <f t="shared" si="59"/>
        <v>0</v>
      </c>
      <c r="DO18" s="60">
        <f t="shared" si="59"/>
        <v>0</v>
      </c>
      <c r="DP18" s="60">
        <f t="shared" si="59"/>
        <v>0</v>
      </c>
      <c r="DQ18" s="60">
        <f t="shared" si="59"/>
        <v>0</v>
      </c>
      <c r="DR18" s="60">
        <f t="shared" si="59"/>
        <v>0</v>
      </c>
      <c r="DS18" s="60">
        <f t="shared" si="59"/>
        <v>0</v>
      </c>
      <c r="DT18" s="60">
        <f t="shared" si="59"/>
        <v>0</v>
      </c>
      <c r="DU18" s="60">
        <f t="shared" si="59"/>
        <v>0</v>
      </c>
      <c r="DV18" s="60">
        <f t="shared" si="59"/>
        <v>0</v>
      </c>
      <c r="DW18" s="60">
        <f t="shared" si="59"/>
        <v>0</v>
      </c>
      <c r="DY18" s="60">
        <f t="shared" ref="DY18:EK18" si="60">DY10-DY14</f>
        <v>0</v>
      </c>
      <c r="DZ18" s="60">
        <f t="shared" si="60"/>
        <v>0</v>
      </c>
      <c r="EA18" s="60">
        <f t="shared" si="60"/>
        <v>0</v>
      </c>
      <c r="EB18" s="60">
        <f t="shared" si="60"/>
        <v>0</v>
      </c>
      <c r="EC18" s="60">
        <f t="shared" si="60"/>
        <v>0</v>
      </c>
      <c r="ED18" s="60">
        <f t="shared" si="60"/>
        <v>0</v>
      </c>
      <c r="EE18" s="60">
        <f t="shared" si="60"/>
        <v>0</v>
      </c>
      <c r="EF18" s="60">
        <f t="shared" si="60"/>
        <v>0</v>
      </c>
      <c r="EG18" s="60">
        <f t="shared" si="60"/>
        <v>0</v>
      </c>
      <c r="EH18" s="60">
        <f t="shared" si="60"/>
        <v>0</v>
      </c>
      <c r="EI18" s="60">
        <f t="shared" si="60"/>
        <v>0</v>
      </c>
      <c r="EJ18" s="60">
        <f t="shared" si="60"/>
        <v>0</v>
      </c>
      <c r="EK18" s="60">
        <f t="shared" si="60"/>
        <v>0</v>
      </c>
    </row>
    <row r="19" spans="1:141" s="29" customFormat="1" outlineLevel="1">
      <c r="A19" s="40" t="s">
        <v>59</v>
      </c>
      <c r="B19" s="41" t="s">
        <v>2</v>
      </c>
      <c r="C19" s="390">
        <f t="shared" ref="C19:O19" si="61">C11-C15</f>
        <v>0</v>
      </c>
      <c r="D19" s="42">
        <f t="shared" si="61"/>
        <v>0</v>
      </c>
      <c r="E19" s="42">
        <f t="shared" si="61"/>
        <v>0</v>
      </c>
      <c r="F19" s="42">
        <f t="shared" si="61"/>
        <v>0</v>
      </c>
      <c r="G19" s="42">
        <f t="shared" si="61"/>
        <v>0</v>
      </c>
      <c r="H19" s="42">
        <f t="shared" si="61"/>
        <v>0</v>
      </c>
      <c r="I19" s="42">
        <f t="shared" si="61"/>
        <v>0</v>
      </c>
      <c r="J19" s="42">
        <f t="shared" si="61"/>
        <v>0</v>
      </c>
      <c r="K19" s="42">
        <f t="shared" si="61"/>
        <v>0</v>
      </c>
      <c r="L19" s="42">
        <f t="shared" si="61"/>
        <v>0</v>
      </c>
      <c r="M19" s="42">
        <f t="shared" si="61"/>
        <v>0</v>
      </c>
      <c r="N19" s="42">
        <f t="shared" si="61"/>
        <v>0</v>
      </c>
      <c r="O19" s="391">
        <f t="shared" si="61"/>
        <v>0</v>
      </c>
      <c r="Q19" s="42">
        <f t="shared" ref="Q19:AC19" si="62">Q11-Q15</f>
        <v>-30204664500</v>
      </c>
      <c r="R19" s="42">
        <f t="shared" si="62"/>
        <v>-21944360000</v>
      </c>
      <c r="S19" s="42">
        <f t="shared" si="62"/>
        <v>-35315047250</v>
      </c>
      <c r="T19" s="42">
        <f t="shared" si="62"/>
        <v>-38773623125</v>
      </c>
      <c r="U19" s="42">
        <f t="shared" si="62"/>
        <v>-38756394375</v>
      </c>
      <c r="V19" s="42">
        <f t="shared" si="62"/>
        <v>-39491807000</v>
      </c>
      <c r="W19" s="42">
        <f t="shared" si="62"/>
        <v>-40136084625</v>
      </c>
      <c r="X19" s="42">
        <f t="shared" si="62"/>
        <v>-39491807000</v>
      </c>
      <c r="Y19" s="42">
        <f t="shared" si="62"/>
        <v>-38203251750</v>
      </c>
      <c r="Z19" s="42">
        <f t="shared" si="62"/>
        <v>-40136084625</v>
      </c>
      <c r="AA19" s="42">
        <f t="shared" si="62"/>
        <v>-38847529375</v>
      </c>
      <c r="AB19" s="42">
        <f t="shared" si="62"/>
        <v>-40136084625</v>
      </c>
      <c r="AC19" s="42">
        <f t="shared" si="62"/>
        <v>-441436738250</v>
      </c>
      <c r="AE19" s="392">
        <f t="shared" ref="AE19:AQ19" si="63">AE11-AE15</f>
        <v>30204664500</v>
      </c>
      <c r="AF19" s="42">
        <f t="shared" si="63"/>
        <v>21944360000</v>
      </c>
      <c r="AG19" s="42">
        <f t="shared" si="63"/>
        <v>35315047250</v>
      </c>
      <c r="AH19" s="42">
        <f t="shared" si="63"/>
        <v>38773623125</v>
      </c>
      <c r="AI19" s="42">
        <f t="shared" si="63"/>
        <v>38756394375</v>
      </c>
      <c r="AJ19" s="42">
        <f t="shared" si="63"/>
        <v>39491807000</v>
      </c>
      <c r="AK19" s="42">
        <f t="shared" si="63"/>
        <v>40136084625</v>
      </c>
      <c r="AL19" s="42">
        <f t="shared" si="63"/>
        <v>39491807000</v>
      </c>
      <c r="AM19" s="42">
        <f t="shared" si="63"/>
        <v>38203251750</v>
      </c>
      <c r="AN19" s="42">
        <f t="shared" si="63"/>
        <v>40136084625</v>
      </c>
      <c r="AO19" s="42">
        <f t="shared" si="63"/>
        <v>38847529375</v>
      </c>
      <c r="AP19" s="42">
        <f t="shared" si="63"/>
        <v>40136084625</v>
      </c>
      <c r="AQ19" s="393">
        <f t="shared" si="63"/>
        <v>441436738250</v>
      </c>
      <c r="AS19" s="42">
        <f t="shared" ref="AS19:BE19" si="64">AS11-AS15</f>
        <v>0</v>
      </c>
      <c r="AT19" s="42">
        <f t="shared" si="64"/>
        <v>0</v>
      </c>
      <c r="AU19" s="42">
        <f t="shared" si="64"/>
        <v>0</v>
      </c>
      <c r="AV19" s="42">
        <f t="shared" si="64"/>
        <v>0</v>
      </c>
      <c r="AW19" s="42">
        <f t="shared" si="64"/>
        <v>0</v>
      </c>
      <c r="AX19" s="42">
        <f t="shared" si="64"/>
        <v>0</v>
      </c>
      <c r="AY19" s="42">
        <f t="shared" si="64"/>
        <v>0</v>
      </c>
      <c r="AZ19" s="42">
        <f t="shared" si="64"/>
        <v>0</v>
      </c>
      <c r="BA19" s="42">
        <f t="shared" si="64"/>
        <v>0</v>
      </c>
      <c r="BB19" s="42">
        <f t="shared" si="64"/>
        <v>0</v>
      </c>
      <c r="BC19" s="42">
        <f t="shared" si="64"/>
        <v>0</v>
      </c>
      <c r="BD19" s="42">
        <f t="shared" si="64"/>
        <v>0</v>
      </c>
      <c r="BE19" s="42">
        <f t="shared" si="64"/>
        <v>0</v>
      </c>
      <c r="BG19" s="42">
        <f t="shared" ref="BG19:BS19" si="65">BG11-BG15</f>
        <v>30204664500</v>
      </c>
      <c r="BH19" s="42">
        <f t="shared" si="65"/>
        <v>21944360000</v>
      </c>
      <c r="BI19" s="42">
        <f t="shared" si="65"/>
        <v>35315047250</v>
      </c>
      <c r="BJ19" s="42">
        <f t="shared" si="65"/>
        <v>38773623125</v>
      </c>
      <c r="BK19" s="42">
        <f t="shared" si="65"/>
        <v>38756394375</v>
      </c>
      <c r="BL19" s="42">
        <f t="shared" si="65"/>
        <v>39491807000</v>
      </c>
      <c r="BM19" s="42">
        <f t="shared" si="65"/>
        <v>40136084625</v>
      </c>
      <c r="BN19" s="42">
        <f t="shared" si="65"/>
        <v>39491807000</v>
      </c>
      <c r="BO19" s="42">
        <f t="shared" si="65"/>
        <v>38203251750</v>
      </c>
      <c r="BP19" s="42">
        <f t="shared" si="65"/>
        <v>40136084625</v>
      </c>
      <c r="BQ19" s="42">
        <f t="shared" si="65"/>
        <v>38847529375</v>
      </c>
      <c r="BR19" s="42">
        <f t="shared" si="65"/>
        <v>40136084625</v>
      </c>
      <c r="BS19" s="42">
        <f t="shared" si="65"/>
        <v>441436738250</v>
      </c>
      <c r="BU19" s="42">
        <f t="shared" ref="BU19:CG19" si="66">BU11-BU15</f>
        <v>11319672000</v>
      </c>
      <c r="BV19" s="42">
        <f t="shared" si="66"/>
        <v>7463520000</v>
      </c>
      <c r="BW19" s="42">
        <f t="shared" si="66"/>
        <v>14539209750</v>
      </c>
      <c r="BX19" s="42">
        <f t="shared" si="66"/>
        <v>16106940625</v>
      </c>
      <c r="BY19" s="42">
        <f t="shared" si="66"/>
        <v>16106940625</v>
      </c>
      <c r="BZ19" s="42">
        <f t="shared" si="66"/>
        <v>16751218250</v>
      </c>
      <c r="CA19" s="42">
        <f t="shared" si="66"/>
        <v>17395495875</v>
      </c>
      <c r="CB19" s="42">
        <f t="shared" si="66"/>
        <v>16751218250</v>
      </c>
      <c r="CC19" s="42">
        <f t="shared" si="66"/>
        <v>15462663000</v>
      </c>
      <c r="CD19" s="42">
        <f t="shared" si="66"/>
        <v>17395495875</v>
      </c>
      <c r="CE19" s="42">
        <f t="shared" si="66"/>
        <v>16106940625</v>
      </c>
      <c r="CF19" s="42">
        <f t="shared" si="66"/>
        <v>17395495875</v>
      </c>
      <c r="CG19" s="42">
        <f t="shared" si="66"/>
        <v>182794810750</v>
      </c>
      <c r="CI19" s="42">
        <f t="shared" ref="CI19:CU19" si="67">CI11-CI15</f>
        <v>7469550000</v>
      </c>
      <c r="CJ19" s="42">
        <f t="shared" si="67"/>
        <v>5602162500</v>
      </c>
      <c r="CK19" s="42">
        <f t="shared" si="67"/>
        <v>8092012500</v>
      </c>
      <c r="CL19" s="42">
        <f t="shared" si="67"/>
        <v>8714475000</v>
      </c>
      <c r="CM19" s="42">
        <f t="shared" si="67"/>
        <v>8714475000</v>
      </c>
      <c r="CN19" s="42">
        <f t="shared" si="67"/>
        <v>8714475000</v>
      </c>
      <c r="CO19" s="42">
        <f t="shared" si="67"/>
        <v>8714475000</v>
      </c>
      <c r="CP19" s="42">
        <f t="shared" si="67"/>
        <v>8714475000</v>
      </c>
      <c r="CQ19" s="42">
        <f t="shared" si="67"/>
        <v>8714475000</v>
      </c>
      <c r="CR19" s="42">
        <f t="shared" si="67"/>
        <v>8714475000</v>
      </c>
      <c r="CS19" s="42">
        <f t="shared" si="67"/>
        <v>8714475000</v>
      </c>
      <c r="CT19" s="42">
        <f t="shared" si="67"/>
        <v>8714475000</v>
      </c>
      <c r="CU19" s="42">
        <f t="shared" si="67"/>
        <v>99594000000</v>
      </c>
      <c r="CW19" s="42">
        <f t="shared" ref="CW19:DI19" si="68">CW11-CW15</f>
        <v>11415442500</v>
      </c>
      <c r="CX19" s="42">
        <f t="shared" si="68"/>
        <v>8878677500</v>
      </c>
      <c r="CY19" s="42">
        <f t="shared" si="68"/>
        <v>12683825000</v>
      </c>
      <c r="CZ19" s="42">
        <f t="shared" si="68"/>
        <v>13952207500</v>
      </c>
      <c r="DA19" s="42">
        <f t="shared" si="68"/>
        <v>13934978750</v>
      </c>
      <c r="DB19" s="42">
        <f t="shared" si="68"/>
        <v>14026113750</v>
      </c>
      <c r="DC19" s="42">
        <f t="shared" si="68"/>
        <v>14026113750</v>
      </c>
      <c r="DD19" s="42">
        <f t="shared" si="68"/>
        <v>14026113750</v>
      </c>
      <c r="DE19" s="42">
        <f t="shared" si="68"/>
        <v>14026113750</v>
      </c>
      <c r="DF19" s="42">
        <f t="shared" si="68"/>
        <v>14026113750</v>
      </c>
      <c r="DG19" s="42">
        <f t="shared" si="68"/>
        <v>14026113750</v>
      </c>
      <c r="DH19" s="42">
        <f t="shared" si="68"/>
        <v>14026113750</v>
      </c>
      <c r="DI19" s="42">
        <f t="shared" si="68"/>
        <v>159047927500</v>
      </c>
      <c r="DK19" s="42">
        <f t="shared" ref="DK19:DW19" si="69">DK11-DK15</f>
        <v>0</v>
      </c>
      <c r="DL19" s="42">
        <f t="shared" si="69"/>
        <v>0</v>
      </c>
      <c r="DM19" s="42">
        <f t="shared" si="69"/>
        <v>0</v>
      </c>
      <c r="DN19" s="42">
        <f t="shared" si="69"/>
        <v>0</v>
      </c>
      <c r="DO19" s="42">
        <f t="shared" si="69"/>
        <v>0</v>
      </c>
      <c r="DP19" s="42">
        <f t="shared" si="69"/>
        <v>0</v>
      </c>
      <c r="DQ19" s="42">
        <f t="shared" si="69"/>
        <v>0</v>
      </c>
      <c r="DR19" s="42">
        <f t="shared" si="69"/>
        <v>0</v>
      </c>
      <c r="DS19" s="42">
        <f t="shared" si="69"/>
        <v>0</v>
      </c>
      <c r="DT19" s="42">
        <f t="shared" si="69"/>
        <v>0</v>
      </c>
      <c r="DU19" s="42">
        <f t="shared" si="69"/>
        <v>0</v>
      </c>
      <c r="DV19" s="42">
        <f t="shared" si="69"/>
        <v>0</v>
      </c>
      <c r="DW19" s="42">
        <f t="shared" si="69"/>
        <v>0</v>
      </c>
      <c r="DY19" s="42">
        <f t="shared" ref="DY19:EK19" si="70">DY11-DY15</f>
        <v>0</v>
      </c>
      <c r="DZ19" s="42">
        <f t="shared" si="70"/>
        <v>0</v>
      </c>
      <c r="EA19" s="42">
        <f t="shared" si="70"/>
        <v>0</v>
      </c>
      <c r="EB19" s="42">
        <f t="shared" si="70"/>
        <v>0</v>
      </c>
      <c r="EC19" s="42">
        <f t="shared" si="70"/>
        <v>0</v>
      </c>
      <c r="ED19" s="42">
        <f t="shared" si="70"/>
        <v>0</v>
      </c>
      <c r="EE19" s="42">
        <f t="shared" si="70"/>
        <v>0</v>
      </c>
      <c r="EF19" s="42">
        <f t="shared" si="70"/>
        <v>0</v>
      </c>
      <c r="EG19" s="42">
        <f t="shared" si="70"/>
        <v>0</v>
      </c>
      <c r="EH19" s="42">
        <f t="shared" si="70"/>
        <v>0</v>
      </c>
      <c r="EI19" s="42">
        <f t="shared" si="70"/>
        <v>0</v>
      </c>
      <c r="EJ19" s="42">
        <f t="shared" si="70"/>
        <v>0</v>
      </c>
      <c r="EK19" s="42">
        <f t="shared" si="70"/>
        <v>0</v>
      </c>
    </row>
    <row r="20" spans="1:141" s="29" customFormat="1" outlineLevel="1">
      <c r="A20" s="40" t="s">
        <v>60</v>
      </c>
      <c r="B20" s="41" t="s">
        <v>3</v>
      </c>
      <c r="C20" s="390">
        <f t="shared" ref="C20:O20" si="71">C12-C16</f>
        <v>0</v>
      </c>
      <c r="D20" s="42">
        <f t="shared" si="71"/>
        <v>0</v>
      </c>
      <c r="E20" s="42">
        <f t="shared" si="71"/>
        <v>0</v>
      </c>
      <c r="F20" s="42">
        <f t="shared" si="71"/>
        <v>0</v>
      </c>
      <c r="G20" s="42">
        <f t="shared" si="71"/>
        <v>0</v>
      </c>
      <c r="H20" s="42">
        <f t="shared" si="71"/>
        <v>0</v>
      </c>
      <c r="I20" s="42">
        <f t="shared" si="71"/>
        <v>0</v>
      </c>
      <c r="J20" s="42">
        <f t="shared" si="71"/>
        <v>0</v>
      </c>
      <c r="K20" s="42">
        <f t="shared" si="71"/>
        <v>0</v>
      </c>
      <c r="L20" s="42">
        <f t="shared" si="71"/>
        <v>0</v>
      </c>
      <c r="M20" s="42">
        <f t="shared" si="71"/>
        <v>0</v>
      </c>
      <c r="N20" s="42">
        <f t="shared" si="71"/>
        <v>0</v>
      </c>
      <c r="O20" s="391">
        <f t="shared" si="71"/>
        <v>0</v>
      </c>
      <c r="Q20" s="42">
        <f t="shared" ref="Q20:AC20" si="72">Q12-Q16</f>
        <v>0</v>
      </c>
      <c r="R20" s="42">
        <f t="shared" si="72"/>
        <v>0</v>
      </c>
      <c r="S20" s="42">
        <f t="shared" si="72"/>
        <v>0</v>
      </c>
      <c r="T20" s="42">
        <f t="shared" si="72"/>
        <v>0</v>
      </c>
      <c r="U20" s="42">
        <f t="shared" si="72"/>
        <v>0</v>
      </c>
      <c r="V20" s="42">
        <f t="shared" si="72"/>
        <v>0</v>
      </c>
      <c r="W20" s="42">
        <f t="shared" si="72"/>
        <v>0</v>
      </c>
      <c r="X20" s="42">
        <f t="shared" si="72"/>
        <v>0</v>
      </c>
      <c r="Y20" s="42">
        <f t="shared" si="72"/>
        <v>0</v>
      </c>
      <c r="Z20" s="42">
        <f t="shared" si="72"/>
        <v>0</v>
      </c>
      <c r="AA20" s="42">
        <f t="shared" si="72"/>
        <v>0</v>
      </c>
      <c r="AB20" s="42">
        <f t="shared" si="72"/>
        <v>0</v>
      </c>
      <c r="AC20" s="42">
        <f t="shared" si="72"/>
        <v>0</v>
      </c>
      <c r="AE20" s="392">
        <f t="shared" ref="AE20:AQ20" si="73">AE12-AE16</f>
        <v>0</v>
      </c>
      <c r="AF20" s="42">
        <f t="shared" si="73"/>
        <v>0</v>
      </c>
      <c r="AG20" s="42">
        <f t="shared" si="73"/>
        <v>0</v>
      </c>
      <c r="AH20" s="42">
        <f t="shared" si="73"/>
        <v>0</v>
      </c>
      <c r="AI20" s="42">
        <f t="shared" si="73"/>
        <v>0</v>
      </c>
      <c r="AJ20" s="42">
        <f t="shared" si="73"/>
        <v>0</v>
      </c>
      <c r="AK20" s="42">
        <f t="shared" si="73"/>
        <v>0</v>
      </c>
      <c r="AL20" s="42">
        <f t="shared" si="73"/>
        <v>0</v>
      </c>
      <c r="AM20" s="42">
        <f t="shared" si="73"/>
        <v>0</v>
      </c>
      <c r="AN20" s="42">
        <f t="shared" si="73"/>
        <v>0</v>
      </c>
      <c r="AO20" s="42">
        <f t="shared" si="73"/>
        <v>0</v>
      </c>
      <c r="AP20" s="42">
        <f t="shared" si="73"/>
        <v>0</v>
      </c>
      <c r="AQ20" s="393">
        <f t="shared" si="73"/>
        <v>0</v>
      </c>
      <c r="AS20" s="42">
        <f t="shared" ref="AS20:BE20" si="74">AS12-AS16</f>
        <v>0</v>
      </c>
      <c r="AT20" s="42">
        <f t="shared" si="74"/>
        <v>0</v>
      </c>
      <c r="AU20" s="42">
        <f t="shared" si="74"/>
        <v>0</v>
      </c>
      <c r="AV20" s="42">
        <f t="shared" si="74"/>
        <v>0</v>
      </c>
      <c r="AW20" s="42">
        <f t="shared" si="74"/>
        <v>0</v>
      </c>
      <c r="AX20" s="42">
        <f t="shared" si="74"/>
        <v>0</v>
      </c>
      <c r="AY20" s="42">
        <f t="shared" si="74"/>
        <v>0</v>
      </c>
      <c r="AZ20" s="42">
        <f t="shared" si="74"/>
        <v>0</v>
      </c>
      <c r="BA20" s="42">
        <f t="shared" si="74"/>
        <v>0</v>
      </c>
      <c r="BB20" s="42">
        <f t="shared" si="74"/>
        <v>0</v>
      </c>
      <c r="BC20" s="42">
        <f t="shared" si="74"/>
        <v>0</v>
      </c>
      <c r="BD20" s="42">
        <f t="shared" si="74"/>
        <v>0</v>
      </c>
      <c r="BE20" s="42">
        <f t="shared" si="74"/>
        <v>0</v>
      </c>
      <c r="BG20" s="42">
        <f t="shared" ref="BG20:BS20" si="75">BG12-BG16</f>
        <v>0</v>
      </c>
      <c r="BH20" s="42">
        <f t="shared" si="75"/>
        <v>0</v>
      </c>
      <c r="BI20" s="42">
        <f t="shared" si="75"/>
        <v>0</v>
      </c>
      <c r="BJ20" s="42">
        <f t="shared" si="75"/>
        <v>0</v>
      </c>
      <c r="BK20" s="42">
        <f t="shared" si="75"/>
        <v>0</v>
      </c>
      <c r="BL20" s="42">
        <f t="shared" si="75"/>
        <v>0</v>
      </c>
      <c r="BM20" s="42">
        <f t="shared" si="75"/>
        <v>0</v>
      </c>
      <c r="BN20" s="42">
        <f t="shared" si="75"/>
        <v>0</v>
      </c>
      <c r="BO20" s="42">
        <f t="shared" si="75"/>
        <v>0</v>
      </c>
      <c r="BP20" s="42">
        <f t="shared" si="75"/>
        <v>0</v>
      </c>
      <c r="BQ20" s="42">
        <f t="shared" si="75"/>
        <v>0</v>
      </c>
      <c r="BR20" s="42">
        <f t="shared" si="75"/>
        <v>0</v>
      </c>
      <c r="BS20" s="42">
        <f t="shared" si="75"/>
        <v>0</v>
      </c>
      <c r="BU20" s="42">
        <f t="shared" ref="BU20:CG20" si="76">BU12-BU16</f>
        <v>0</v>
      </c>
      <c r="BV20" s="42">
        <f t="shared" si="76"/>
        <v>0</v>
      </c>
      <c r="BW20" s="42">
        <f t="shared" si="76"/>
        <v>0</v>
      </c>
      <c r="BX20" s="42">
        <f t="shared" si="76"/>
        <v>0</v>
      </c>
      <c r="BY20" s="42">
        <f t="shared" si="76"/>
        <v>0</v>
      </c>
      <c r="BZ20" s="42">
        <f t="shared" si="76"/>
        <v>0</v>
      </c>
      <c r="CA20" s="42">
        <f t="shared" si="76"/>
        <v>0</v>
      </c>
      <c r="CB20" s="42">
        <f t="shared" si="76"/>
        <v>0</v>
      </c>
      <c r="CC20" s="42">
        <f t="shared" si="76"/>
        <v>0</v>
      </c>
      <c r="CD20" s="42">
        <f t="shared" si="76"/>
        <v>0</v>
      </c>
      <c r="CE20" s="42">
        <f t="shared" si="76"/>
        <v>0</v>
      </c>
      <c r="CF20" s="42">
        <f t="shared" si="76"/>
        <v>0</v>
      </c>
      <c r="CG20" s="42">
        <f t="shared" si="76"/>
        <v>0</v>
      </c>
      <c r="CI20" s="42">
        <f t="shared" ref="CI20:CU20" si="77">CI12-CI16</f>
        <v>0</v>
      </c>
      <c r="CJ20" s="42">
        <f t="shared" si="77"/>
        <v>0</v>
      </c>
      <c r="CK20" s="42">
        <f t="shared" si="77"/>
        <v>0</v>
      </c>
      <c r="CL20" s="42">
        <f t="shared" si="77"/>
        <v>0</v>
      </c>
      <c r="CM20" s="42">
        <f t="shared" si="77"/>
        <v>0</v>
      </c>
      <c r="CN20" s="42">
        <f t="shared" si="77"/>
        <v>0</v>
      </c>
      <c r="CO20" s="42">
        <f t="shared" si="77"/>
        <v>0</v>
      </c>
      <c r="CP20" s="42">
        <f t="shared" si="77"/>
        <v>0</v>
      </c>
      <c r="CQ20" s="42">
        <f t="shared" si="77"/>
        <v>0</v>
      </c>
      <c r="CR20" s="42">
        <f t="shared" si="77"/>
        <v>0</v>
      </c>
      <c r="CS20" s="42">
        <f t="shared" si="77"/>
        <v>0</v>
      </c>
      <c r="CT20" s="42">
        <f t="shared" si="77"/>
        <v>0</v>
      </c>
      <c r="CU20" s="42">
        <f t="shared" si="77"/>
        <v>0</v>
      </c>
      <c r="CW20" s="42">
        <f t="shared" ref="CW20:DI20" si="78">CW12-CW16</f>
        <v>0</v>
      </c>
      <c r="CX20" s="42">
        <f t="shared" si="78"/>
        <v>0</v>
      </c>
      <c r="CY20" s="42">
        <f t="shared" si="78"/>
        <v>0</v>
      </c>
      <c r="CZ20" s="42">
        <f t="shared" si="78"/>
        <v>0</v>
      </c>
      <c r="DA20" s="42">
        <f t="shared" si="78"/>
        <v>0</v>
      </c>
      <c r="DB20" s="42">
        <f t="shared" si="78"/>
        <v>0</v>
      </c>
      <c r="DC20" s="42">
        <f t="shared" si="78"/>
        <v>0</v>
      </c>
      <c r="DD20" s="42">
        <f t="shared" si="78"/>
        <v>0</v>
      </c>
      <c r="DE20" s="42">
        <f t="shared" si="78"/>
        <v>0</v>
      </c>
      <c r="DF20" s="42">
        <f t="shared" si="78"/>
        <v>0</v>
      </c>
      <c r="DG20" s="42">
        <f t="shared" si="78"/>
        <v>0</v>
      </c>
      <c r="DH20" s="42">
        <f t="shared" si="78"/>
        <v>0</v>
      </c>
      <c r="DI20" s="42">
        <f t="shared" si="78"/>
        <v>0</v>
      </c>
      <c r="DK20" s="42">
        <f t="shared" ref="DK20:DW20" si="79">DK12-DK16</f>
        <v>0</v>
      </c>
      <c r="DL20" s="42">
        <f t="shared" si="79"/>
        <v>0</v>
      </c>
      <c r="DM20" s="42">
        <f t="shared" si="79"/>
        <v>0</v>
      </c>
      <c r="DN20" s="42">
        <f t="shared" si="79"/>
        <v>0</v>
      </c>
      <c r="DO20" s="42">
        <f t="shared" si="79"/>
        <v>0</v>
      </c>
      <c r="DP20" s="42">
        <f t="shared" si="79"/>
        <v>0</v>
      </c>
      <c r="DQ20" s="42">
        <f t="shared" si="79"/>
        <v>0</v>
      </c>
      <c r="DR20" s="42">
        <f t="shared" si="79"/>
        <v>0</v>
      </c>
      <c r="DS20" s="42">
        <f t="shared" si="79"/>
        <v>0</v>
      </c>
      <c r="DT20" s="42">
        <f t="shared" si="79"/>
        <v>0</v>
      </c>
      <c r="DU20" s="42">
        <f t="shared" si="79"/>
        <v>0</v>
      </c>
      <c r="DV20" s="42">
        <f t="shared" si="79"/>
        <v>0</v>
      </c>
      <c r="DW20" s="42">
        <f t="shared" si="79"/>
        <v>0</v>
      </c>
      <c r="DY20" s="42">
        <f t="shared" ref="DY20:EK20" si="80">DY12-DY16</f>
        <v>0</v>
      </c>
      <c r="DZ20" s="42">
        <f t="shared" si="80"/>
        <v>0</v>
      </c>
      <c r="EA20" s="42">
        <f t="shared" si="80"/>
        <v>0</v>
      </c>
      <c r="EB20" s="42">
        <f t="shared" si="80"/>
        <v>0</v>
      </c>
      <c r="EC20" s="42">
        <f t="shared" si="80"/>
        <v>0</v>
      </c>
      <c r="ED20" s="42">
        <f t="shared" si="80"/>
        <v>0</v>
      </c>
      <c r="EE20" s="42">
        <f t="shared" si="80"/>
        <v>0</v>
      </c>
      <c r="EF20" s="42">
        <f t="shared" si="80"/>
        <v>0</v>
      </c>
      <c r="EG20" s="42">
        <f t="shared" si="80"/>
        <v>0</v>
      </c>
      <c r="EH20" s="42">
        <f t="shared" si="80"/>
        <v>0</v>
      </c>
      <c r="EI20" s="42">
        <f t="shared" si="80"/>
        <v>0</v>
      </c>
      <c r="EJ20" s="42">
        <f t="shared" si="80"/>
        <v>0</v>
      </c>
      <c r="EK20" s="42">
        <f t="shared" si="80"/>
        <v>0</v>
      </c>
    </row>
    <row r="21" spans="1:141" s="51" customFormat="1" ht="14.25">
      <c r="A21" s="50">
        <v>5</v>
      </c>
      <c r="B21" s="91" t="s">
        <v>23</v>
      </c>
      <c r="C21" s="370">
        <f t="shared" ref="C21:O21" ca="1" si="81">SUM(C22:C24)-C25+C26</f>
        <v>111239706630.02679</v>
      </c>
      <c r="D21" s="92">
        <f t="shared" ca="1" si="81"/>
        <v>116478292078.08063</v>
      </c>
      <c r="E21" s="92">
        <f t="shared" ca="1" si="81"/>
        <v>120202508952.46973</v>
      </c>
      <c r="F21" s="92">
        <f t="shared" ca="1" si="81"/>
        <v>112569522006.90839</v>
      </c>
      <c r="G21" s="92">
        <f t="shared" ca="1" si="81"/>
        <v>118806782514.16611</v>
      </c>
      <c r="H21" s="92">
        <f t="shared" ca="1" si="81"/>
        <v>121059918058.08331</v>
      </c>
      <c r="I21" s="92">
        <f t="shared" ca="1" si="81"/>
        <v>119382789728.34467</v>
      </c>
      <c r="J21" s="92">
        <f t="shared" ca="1" si="81"/>
        <v>115881082098.25308</v>
      </c>
      <c r="K21" s="92">
        <f t="shared" ca="1" si="81"/>
        <v>122433150685.76663</v>
      </c>
      <c r="L21" s="92">
        <f t="shared" ca="1" si="81"/>
        <v>113465554834.21732</v>
      </c>
      <c r="M21" s="92">
        <f t="shared" ca="1" si="81"/>
        <v>120588193617.5368</v>
      </c>
      <c r="N21" s="92">
        <f t="shared" ca="1" si="81"/>
        <v>122069235516.21231</v>
      </c>
      <c r="O21" s="371">
        <f t="shared" ca="1" si="81"/>
        <v>1414176736720.0657</v>
      </c>
      <c r="Q21" s="92">
        <f t="shared" ref="Q21:AC21" ca="1" si="82">SUM(Q22:Q24)-Q25+Q26</f>
        <v>-30204664500</v>
      </c>
      <c r="R21" s="92">
        <f t="shared" ca="1" si="82"/>
        <v>-21944360000</v>
      </c>
      <c r="S21" s="92">
        <f t="shared" ca="1" si="82"/>
        <v>-35315047250</v>
      </c>
      <c r="T21" s="92">
        <f t="shared" ca="1" si="82"/>
        <v>-38773623125</v>
      </c>
      <c r="U21" s="92">
        <f t="shared" ca="1" si="82"/>
        <v>-38756394375</v>
      </c>
      <c r="V21" s="92">
        <f t="shared" ca="1" si="82"/>
        <v>-39491807000</v>
      </c>
      <c r="W21" s="92">
        <f t="shared" ca="1" si="82"/>
        <v>-40136084625</v>
      </c>
      <c r="X21" s="92">
        <f t="shared" ca="1" si="82"/>
        <v>-39491807000</v>
      </c>
      <c r="Y21" s="92">
        <f t="shared" ca="1" si="82"/>
        <v>-38203251750</v>
      </c>
      <c r="Z21" s="92">
        <f t="shared" ca="1" si="82"/>
        <v>-40136084625</v>
      </c>
      <c r="AA21" s="92">
        <f t="shared" ca="1" si="82"/>
        <v>-38847529375</v>
      </c>
      <c r="AB21" s="92">
        <f t="shared" ca="1" si="82"/>
        <v>-40136084625</v>
      </c>
      <c r="AC21" s="92">
        <f t="shared" ca="1" si="82"/>
        <v>-441436738250</v>
      </c>
      <c r="AE21" s="372">
        <f t="shared" ref="AE21:AQ21" si="83">SUM(AE22:AE24)-AE25+AE26</f>
        <v>141444371130.02679</v>
      </c>
      <c r="AF21" s="92">
        <f t="shared" si="83"/>
        <v>138422652078.08063</v>
      </c>
      <c r="AG21" s="92">
        <f t="shared" si="83"/>
        <v>155517556202.46973</v>
      </c>
      <c r="AH21" s="92">
        <f t="shared" si="83"/>
        <v>151343145131.90839</v>
      </c>
      <c r="AI21" s="92">
        <f t="shared" si="83"/>
        <v>157563176889.16611</v>
      </c>
      <c r="AJ21" s="92">
        <f t="shared" si="83"/>
        <v>160551725058.08331</v>
      </c>
      <c r="AK21" s="92">
        <f t="shared" si="83"/>
        <v>159518874353.34467</v>
      </c>
      <c r="AL21" s="92">
        <f t="shared" si="83"/>
        <v>155372889098.25308</v>
      </c>
      <c r="AM21" s="92">
        <f t="shared" si="83"/>
        <v>160636402435.76663</v>
      </c>
      <c r="AN21" s="92">
        <f t="shared" si="83"/>
        <v>153601639459.21732</v>
      </c>
      <c r="AO21" s="92">
        <f t="shared" si="83"/>
        <v>159435722992.5368</v>
      </c>
      <c r="AP21" s="92">
        <f t="shared" si="83"/>
        <v>162205320141.21231</v>
      </c>
      <c r="AQ21" s="373">
        <f t="shared" si="83"/>
        <v>1855613474970.0657</v>
      </c>
      <c r="AS21" s="92">
        <f t="shared" ref="AS21:BE21" si="84">SUM(AS22:AS24)-AS25+AS26</f>
        <v>111573152812.80542</v>
      </c>
      <c r="AT21" s="92">
        <f t="shared" si="84"/>
        <v>114942222906.7661</v>
      </c>
      <c r="AU21" s="92">
        <f t="shared" si="84"/>
        <v>120213688326.59052</v>
      </c>
      <c r="AV21" s="92">
        <f t="shared" si="84"/>
        <v>113297880731.08926</v>
      </c>
      <c r="AW21" s="92">
        <f t="shared" si="84"/>
        <v>119515804418.96034</v>
      </c>
      <c r="AX21" s="92">
        <f t="shared" si="84"/>
        <v>121320057022.57965</v>
      </c>
      <c r="AY21" s="92">
        <f t="shared" si="84"/>
        <v>119663072666.45052</v>
      </c>
      <c r="AZ21" s="92">
        <f t="shared" si="84"/>
        <v>116065893729.5943</v>
      </c>
      <c r="BA21" s="92">
        <f t="shared" si="84"/>
        <v>122487196346.25676</v>
      </c>
      <c r="BB21" s="92">
        <f t="shared" si="84"/>
        <v>113826945063.91806</v>
      </c>
      <c r="BC21" s="92">
        <f t="shared" si="84"/>
        <v>120726874069.98517</v>
      </c>
      <c r="BD21" s="92">
        <f t="shared" si="84"/>
        <v>122409403433.51817</v>
      </c>
      <c r="BE21" s="92">
        <f t="shared" si="84"/>
        <v>1416042191528.5142</v>
      </c>
      <c r="BG21" s="92">
        <f t="shared" ref="BG21:BS21" si="85">SUM(BG22:BG24)-BG25+BG26</f>
        <v>29871218317.221367</v>
      </c>
      <c r="BH21" s="92">
        <f t="shared" si="85"/>
        <v>23480429171.314529</v>
      </c>
      <c r="BI21" s="92">
        <f t="shared" si="85"/>
        <v>35303867875.879211</v>
      </c>
      <c r="BJ21" s="92">
        <f t="shared" si="85"/>
        <v>38045264400.819122</v>
      </c>
      <c r="BK21" s="92">
        <f t="shared" si="85"/>
        <v>38047372470.205765</v>
      </c>
      <c r="BL21" s="92">
        <f t="shared" si="85"/>
        <v>39231668035.503654</v>
      </c>
      <c r="BM21" s="92">
        <f t="shared" si="85"/>
        <v>39855801686.894142</v>
      </c>
      <c r="BN21" s="92">
        <f t="shared" si="85"/>
        <v>39306995368.658783</v>
      </c>
      <c r="BO21" s="92">
        <f t="shared" si="85"/>
        <v>38149206089.509865</v>
      </c>
      <c r="BP21" s="92">
        <f t="shared" si="85"/>
        <v>39774694395.299263</v>
      </c>
      <c r="BQ21" s="92">
        <f t="shared" si="85"/>
        <v>38708848922.551636</v>
      </c>
      <c r="BR21" s="92">
        <f t="shared" si="85"/>
        <v>39795916707.694138</v>
      </c>
      <c r="BS21" s="92">
        <f t="shared" si="85"/>
        <v>439571283441.55151</v>
      </c>
      <c r="BU21" s="92">
        <f t="shared" ref="BU21:CG21" si="86">SUM(BU22:BU24)-BU25+BU26</f>
        <v>11065194159.771919</v>
      </c>
      <c r="BV21" s="92">
        <f t="shared" si="86"/>
        <v>8484312662.2266903</v>
      </c>
      <c r="BW21" s="92">
        <f t="shared" si="86"/>
        <v>14981194313.276604</v>
      </c>
      <c r="BX21" s="92">
        <f t="shared" si="86"/>
        <v>16094983354.117205</v>
      </c>
      <c r="BY21" s="92">
        <f t="shared" si="86"/>
        <v>16141285777.228315</v>
      </c>
      <c r="BZ21" s="92">
        <f t="shared" si="86"/>
        <v>16743718828.380339</v>
      </c>
      <c r="CA21" s="92">
        <f t="shared" si="86"/>
        <v>17343062797.199028</v>
      </c>
      <c r="CB21" s="92">
        <f t="shared" si="86"/>
        <v>16776758834.380339</v>
      </c>
      <c r="CC21" s="92">
        <f t="shared" si="86"/>
        <v>15670997557.409628</v>
      </c>
      <c r="CD21" s="92">
        <f t="shared" si="86"/>
        <v>17325135640.865692</v>
      </c>
      <c r="CE21" s="92">
        <f t="shared" si="86"/>
        <v>16232964444.228315</v>
      </c>
      <c r="CF21" s="92">
        <f t="shared" si="86"/>
        <v>17332799001.865692</v>
      </c>
      <c r="CG21" s="92">
        <f t="shared" si="86"/>
        <v>184192407370.94977</v>
      </c>
      <c r="CI21" s="92">
        <f t="shared" ref="CI21:CU21" si="87">SUM(CI22:CI24)-CI25+CI26</f>
        <v>7190802752.9545536</v>
      </c>
      <c r="CJ21" s="92">
        <f t="shared" si="87"/>
        <v>5664772064.6117477</v>
      </c>
      <c r="CK21" s="92">
        <f t="shared" si="87"/>
        <v>7668274849.5021544</v>
      </c>
      <c r="CL21" s="92">
        <f t="shared" si="87"/>
        <v>8227781725.1497555</v>
      </c>
      <c r="CM21" s="92">
        <f t="shared" si="87"/>
        <v>8183995965.3497562</v>
      </c>
      <c r="CN21" s="92">
        <f t="shared" si="87"/>
        <v>8230599968.6164227</v>
      </c>
      <c r="CO21" s="92">
        <f t="shared" si="87"/>
        <v>8242509945.9830894</v>
      </c>
      <c r="CP21" s="92">
        <f t="shared" si="87"/>
        <v>8260042590.5664225</v>
      </c>
      <c r="CQ21" s="92">
        <f t="shared" si="87"/>
        <v>8249574716.1830893</v>
      </c>
      <c r="CR21" s="92">
        <f t="shared" si="87"/>
        <v>8188547606.5164223</v>
      </c>
      <c r="CS21" s="92">
        <f t="shared" si="87"/>
        <v>8207901072.8164225</v>
      </c>
      <c r="CT21" s="92">
        <f t="shared" si="87"/>
        <v>8205260429.1164227</v>
      </c>
      <c r="CU21" s="92">
        <f t="shared" si="87"/>
        <v>94520063687.366257</v>
      </c>
      <c r="CW21" s="92">
        <f t="shared" ref="CW21:DI21" si="88">SUM(CW22:CW24)-CW25+CW26</f>
        <v>11615221404.494896</v>
      </c>
      <c r="CX21" s="92">
        <f t="shared" si="88"/>
        <v>9331344444.4760895</v>
      </c>
      <c r="CY21" s="92">
        <f t="shared" si="88"/>
        <v>12654398713.100452</v>
      </c>
      <c r="CZ21" s="92">
        <f t="shared" si="88"/>
        <v>13722499321.552162</v>
      </c>
      <c r="DA21" s="92">
        <f t="shared" si="88"/>
        <v>13722090727.627693</v>
      </c>
      <c r="DB21" s="92">
        <f t="shared" si="88"/>
        <v>14257349238.506895</v>
      </c>
      <c r="DC21" s="92">
        <f t="shared" si="88"/>
        <v>14270228943.712023</v>
      </c>
      <c r="DD21" s="92">
        <f t="shared" si="88"/>
        <v>14270193943.712023</v>
      </c>
      <c r="DE21" s="92">
        <f t="shared" si="88"/>
        <v>14228633815.91715</v>
      </c>
      <c r="DF21" s="92">
        <f t="shared" si="88"/>
        <v>14261011147.91715</v>
      </c>
      <c r="DG21" s="92">
        <f t="shared" si="88"/>
        <v>14267983405.506895</v>
      </c>
      <c r="DH21" s="92">
        <f t="shared" si="88"/>
        <v>14257857276.712023</v>
      </c>
      <c r="DI21" s="92">
        <f t="shared" si="88"/>
        <v>160858812383.23544</v>
      </c>
      <c r="DK21" s="92">
        <f t="shared" ref="DK21:DW21" si="89">SUM(DK22:DK24)-DK25+DK26</f>
        <v>0</v>
      </c>
      <c r="DL21" s="92">
        <f t="shared" si="89"/>
        <v>0</v>
      </c>
      <c r="DM21" s="92">
        <f t="shared" si="89"/>
        <v>0</v>
      </c>
      <c r="DN21" s="92">
        <f t="shared" si="89"/>
        <v>0</v>
      </c>
      <c r="DO21" s="92">
        <f t="shared" si="89"/>
        <v>0</v>
      </c>
      <c r="DP21" s="92">
        <f t="shared" si="89"/>
        <v>0</v>
      </c>
      <c r="DQ21" s="92">
        <f t="shared" si="89"/>
        <v>0</v>
      </c>
      <c r="DR21" s="92">
        <f t="shared" si="89"/>
        <v>0</v>
      </c>
      <c r="DS21" s="92">
        <f t="shared" si="89"/>
        <v>0</v>
      </c>
      <c r="DT21" s="92">
        <f t="shared" si="89"/>
        <v>0</v>
      </c>
      <c r="DU21" s="92">
        <f t="shared" si="89"/>
        <v>0</v>
      </c>
      <c r="DV21" s="92">
        <f t="shared" si="89"/>
        <v>0</v>
      </c>
      <c r="DW21" s="92">
        <f t="shared" si="89"/>
        <v>0</v>
      </c>
      <c r="DY21" s="92">
        <f t="shared" ref="DY21:EK21" si="90">SUM(DY22:DY24)-DY25+DY26</f>
        <v>0</v>
      </c>
      <c r="DZ21" s="92">
        <f t="shared" si="90"/>
        <v>0</v>
      </c>
      <c r="EA21" s="92">
        <f t="shared" si="90"/>
        <v>0</v>
      </c>
      <c r="EB21" s="92">
        <f t="shared" si="90"/>
        <v>0</v>
      </c>
      <c r="EC21" s="92">
        <f t="shared" si="90"/>
        <v>0</v>
      </c>
      <c r="ED21" s="92">
        <f t="shared" si="90"/>
        <v>0</v>
      </c>
      <c r="EE21" s="92">
        <f t="shared" si="90"/>
        <v>0</v>
      </c>
      <c r="EF21" s="92">
        <f t="shared" si="90"/>
        <v>0</v>
      </c>
      <c r="EG21" s="92">
        <f t="shared" si="90"/>
        <v>0</v>
      </c>
      <c r="EH21" s="92">
        <f t="shared" si="90"/>
        <v>0</v>
      </c>
      <c r="EI21" s="92">
        <f t="shared" si="90"/>
        <v>0</v>
      </c>
      <c r="EJ21" s="92">
        <f t="shared" si="90"/>
        <v>0</v>
      </c>
      <c r="EK21" s="92">
        <f t="shared" si="90"/>
        <v>0</v>
      </c>
    </row>
    <row r="22" spans="1:141" outlineLevel="2">
      <c r="A22" s="38" t="s">
        <v>64</v>
      </c>
      <c r="B22" s="39" t="s">
        <v>1</v>
      </c>
      <c r="C22" s="394">
        <f t="shared" ref="C22:N26" si="91">Q22+AE22</f>
        <v>111573152812.80542</v>
      </c>
      <c r="D22" s="73">
        <f t="shared" si="91"/>
        <v>114942222906.7661</v>
      </c>
      <c r="E22" s="73">
        <f t="shared" si="91"/>
        <v>120213688326.59052</v>
      </c>
      <c r="F22" s="73">
        <f t="shared" si="91"/>
        <v>113297880731.08926</v>
      </c>
      <c r="G22" s="73">
        <f t="shared" si="91"/>
        <v>119515804418.96034</v>
      </c>
      <c r="H22" s="73">
        <f t="shared" si="91"/>
        <v>121320057022.57965</v>
      </c>
      <c r="I22" s="73">
        <f t="shared" si="91"/>
        <v>119663072666.45052</v>
      </c>
      <c r="J22" s="73">
        <f t="shared" si="91"/>
        <v>116065893729.5943</v>
      </c>
      <c r="K22" s="73">
        <f t="shared" si="91"/>
        <v>122487196346.25676</v>
      </c>
      <c r="L22" s="73">
        <f t="shared" si="91"/>
        <v>113826945063.91806</v>
      </c>
      <c r="M22" s="73">
        <f t="shared" si="91"/>
        <v>120726874069.98517</v>
      </c>
      <c r="N22" s="73">
        <f t="shared" si="91"/>
        <v>122409403433.51817</v>
      </c>
      <c r="O22" s="395">
        <f>SUM(C22:N22)</f>
        <v>1416042191528.5142</v>
      </c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>
        <f>SUM(Q22:AB22)</f>
        <v>0</v>
      </c>
      <c r="AE22" s="396">
        <f t="shared" ref="AE22:AP24" si="92">AS22+BU22+CI22+CW22+DK22</f>
        <v>111573152812.80542</v>
      </c>
      <c r="AF22" s="73">
        <f t="shared" si="92"/>
        <v>114942222906.7661</v>
      </c>
      <c r="AG22" s="73">
        <f t="shared" si="92"/>
        <v>120213688326.59052</v>
      </c>
      <c r="AH22" s="73">
        <f t="shared" si="92"/>
        <v>113297880731.08926</v>
      </c>
      <c r="AI22" s="73">
        <f t="shared" si="92"/>
        <v>119515804418.96034</v>
      </c>
      <c r="AJ22" s="73">
        <f t="shared" si="92"/>
        <v>121320057022.57965</v>
      </c>
      <c r="AK22" s="73">
        <f t="shared" si="92"/>
        <v>119663072666.45052</v>
      </c>
      <c r="AL22" s="73">
        <f t="shared" si="92"/>
        <v>116065893729.5943</v>
      </c>
      <c r="AM22" s="73">
        <f t="shared" si="92"/>
        <v>122487196346.25676</v>
      </c>
      <c r="AN22" s="73">
        <f t="shared" si="92"/>
        <v>113826945063.91806</v>
      </c>
      <c r="AO22" s="73">
        <f t="shared" si="92"/>
        <v>120726874069.98517</v>
      </c>
      <c r="AP22" s="73">
        <f t="shared" si="92"/>
        <v>122409403433.51817</v>
      </c>
      <c r="AQ22" s="397">
        <f>SUM(AE22:AP22)</f>
        <v>1416042191528.5142</v>
      </c>
      <c r="AS22" s="73">
        <v>111573152812.80542</v>
      </c>
      <c r="AT22" s="73">
        <v>114942222906.7661</v>
      </c>
      <c r="AU22" s="73">
        <v>120213688326.59052</v>
      </c>
      <c r="AV22" s="73">
        <v>113297880731.08926</v>
      </c>
      <c r="AW22" s="73">
        <v>119515804418.96034</v>
      </c>
      <c r="AX22" s="73">
        <v>121320057022.57965</v>
      </c>
      <c r="AY22" s="73">
        <v>119663072666.45052</v>
      </c>
      <c r="AZ22" s="73">
        <v>116065893729.5943</v>
      </c>
      <c r="BA22" s="73">
        <v>122487196346.25676</v>
      </c>
      <c r="BB22" s="73">
        <v>113826945063.91806</v>
      </c>
      <c r="BC22" s="73">
        <v>120726874069.98517</v>
      </c>
      <c r="BD22" s="73">
        <v>122409403433.51817</v>
      </c>
      <c r="BE22" s="73">
        <f>SUM(AS22:BD22)</f>
        <v>1416042191528.5142</v>
      </c>
      <c r="BG22" s="73">
        <f t="shared" ref="BG22:BR24" si="93">BU22+CI22+CW22</f>
        <v>0</v>
      </c>
      <c r="BH22" s="73">
        <f t="shared" si="93"/>
        <v>0</v>
      </c>
      <c r="BI22" s="73">
        <f t="shared" si="93"/>
        <v>0</v>
      </c>
      <c r="BJ22" s="73">
        <f t="shared" si="93"/>
        <v>0</v>
      </c>
      <c r="BK22" s="73">
        <f t="shared" si="93"/>
        <v>0</v>
      </c>
      <c r="BL22" s="73">
        <f t="shared" si="93"/>
        <v>0</v>
      </c>
      <c r="BM22" s="73">
        <f t="shared" si="93"/>
        <v>0</v>
      </c>
      <c r="BN22" s="73">
        <f t="shared" si="93"/>
        <v>0</v>
      </c>
      <c r="BO22" s="73">
        <f t="shared" si="93"/>
        <v>0</v>
      </c>
      <c r="BP22" s="73">
        <f t="shared" si="93"/>
        <v>0</v>
      </c>
      <c r="BQ22" s="73">
        <f t="shared" si="93"/>
        <v>0</v>
      </c>
      <c r="BR22" s="73">
        <f t="shared" si="93"/>
        <v>0</v>
      </c>
      <c r="BS22" s="73">
        <f>SUM(BG22:BR22)</f>
        <v>0</v>
      </c>
      <c r="BU22" s="73"/>
      <c r="BV22" s="73"/>
      <c r="BW22" s="73"/>
      <c r="BX22" s="73"/>
      <c r="BY22" s="73"/>
      <c r="BZ22" s="73"/>
      <c r="CA22" s="73"/>
      <c r="CB22" s="73"/>
      <c r="CC22" s="73"/>
      <c r="CD22" s="73"/>
      <c r="CE22" s="73"/>
      <c r="CF22" s="73"/>
      <c r="CG22" s="73">
        <f>SUM(BU22:CF22)</f>
        <v>0</v>
      </c>
      <c r="CI22" s="73"/>
      <c r="CJ22" s="73"/>
      <c r="CK22" s="73"/>
      <c r="CL22" s="73"/>
      <c r="CM22" s="73"/>
      <c r="CN22" s="73"/>
      <c r="CO22" s="73"/>
      <c r="CP22" s="73"/>
      <c r="CQ22" s="73"/>
      <c r="CR22" s="73"/>
      <c r="CS22" s="73"/>
      <c r="CT22" s="73"/>
      <c r="CU22" s="73">
        <f>SUM(CI22:CT22)</f>
        <v>0</v>
      </c>
      <c r="CW22" s="73"/>
      <c r="CX22" s="73"/>
      <c r="CY22" s="73"/>
      <c r="CZ22" s="73"/>
      <c r="DA22" s="73"/>
      <c r="DB22" s="73"/>
      <c r="DC22" s="73"/>
      <c r="DD22" s="73"/>
      <c r="DE22" s="73"/>
      <c r="DF22" s="73"/>
      <c r="DG22" s="73"/>
      <c r="DH22" s="73"/>
      <c r="DI22" s="73">
        <f>SUM(CW22:DH22)</f>
        <v>0</v>
      </c>
      <c r="DK22" s="73"/>
      <c r="DL22" s="73"/>
      <c r="DM22" s="73"/>
      <c r="DN22" s="73"/>
      <c r="DO22" s="73"/>
      <c r="DP22" s="73"/>
      <c r="DQ22" s="73"/>
      <c r="DR22" s="73"/>
      <c r="DS22" s="73"/>
      <c r="DT22" s="73"/>
      <c r="DU22" s="73"/>
      <c r="DV22" s="73"/>
      <c r="DW22" s="73">
        <f>SUM(DK22:DV22)</f>
        <v>0</v>
      </c>
      <c r="DY22" s="73"/>
      <c r="DZ22" s="73"/>
      <c r="EA22" s="73"/>
      <c r="EB22" s="73"/>
      <c r="EC22" s="73"/>
      <c r="ED22" s="73"/>
      <c r="EE22" s="73"/>
      <c r="EF22" s="73"/>
      <c r="EG22" s="73"/>
      <c r="EH22" s="73"/>
      <c r="EI22" s="73"/>
      <c r="EJ22" s="73"/>
      <c r="EK22" s="73">
        <f>SUM(DY22:EJ22)</f>
        <v>0</v>
      </c>
    </row>
    <row r="23" spans="1:141" outlineLevel="2">
      <c r="A23" s="38" t="s">
        <v>67</v>
      </c>
      <c r="B23" s="39" t="s">
        <v>2</v>
      </c>
      <c r="C23" s="394">
        <f t="shared" si="91"/>
        <v>-333446182.77863312</v>
      </c>
      <c r="D23" s="73">
        <f t="shared" si="91"/>
        <v>1536069171.3145294</v>
      </c>
      <c r="E23" s="73">
        <f t="shared" si="91"/>
        <v>-11179374.120788574</v>
      </c>
      <c r="F23" s="73">
        <f t="shared" si="91"/>
        <v>-728358724.18087769</v>
      </c>
      <c r="G23" s="73">
        <f t="shared" si="91"/>
        <v>-709021904.79423523</v>
      </c>
      <c r="H23" s="73">
        <f t="shared" si="91"/>
        <v>-260138964.49634552</v>
      </c>
      <c r="I23" s="73">
        <f t="shared" si="91"/>
        <v>-280282938.10585785</v>
      </c>
      <c r="J23" s="73">
        <f t="shared" si="91"/>
        <v>-184811631.34121704</v>
      </c>
      <c r="K23" s="73">
        <f t="shared" si="91"/>
        <v>-54045660.490135193</v>
      </c>
      <c r="L23" s="73">
        <f t="shared" si="91"/>
        <v>-361390229.700737</v>
      </c>
      <c r="M23" s="73">
        <f t="shared" si="91"/>
        <v>-138680452.44836426</v>
      </c>
      <c r="N23" s="73">
        <f t="shared" si="91"/>
        <v>-340167917.30586243</v>
      </c>
      <c r="O23" s="395">
        <f>SUM(C23:N23)</f>
        <v>-1865454808.4485245</v>
      </c>
      <c r="Q23" s="73">
        <f t="shared" ref="Q23:AB23" si="94">Q11</f>
        <v>-30204664500</v>
      </c>
      <c r="R23" s="73">
        <f t="shared" si="94"/>
        <v>-21944360000</v>
      </c>
      <c r="S23" s="73">
        <f t="shared" si="94"/>
        <v>-35315047250</v>
      </c>
      <c r="T23" s="73">
        <f t="shared" si="94"/>
        <v>-38773623125</v>
      </c>
      <c r="U23" s="73">
        <f t="shared" si="94"/>
        <v>-38756394375</v>
      </c>
      <c r="V23" s="73">
        <f t="shared" si="94"/>
        <v>-39491807000</v>
      </c>
      <c r="W23" s="73">
        <f t="shared" si="94"/>
        <v>-40136084625</v>
      </c>
      <c r="X23" s="73">
        <f t="shared" si="94"/>
        <v>-39491807000</v>
      </c>
      <c r="Y23" s="73">
        <f t="shared" si="94"/>
        <v>-38203251750</v>
      </c>
      <c r="Z23" s="73">
        <f t="shared" si="94"/>
        <v>-40136084625</v>
      </c>
      <c r="AA23" s="73">
        <f t="shared" si="94"/>
        <v>-38847529375</v>
      </c>
      <c r="AB23" s="73">
        <f t="shared" si="94"/>
        <v>-40136084625</v>
      </c>
      <c r="AC23" s="73">
        <f>SUM(Q23:AB23)</f>
        <v>-441436738250</v>
      </c>
      <c r="AE23" s="396">
        <f t="shared" si="92"/>
        <v>29871218317.221367</v>
      </c>
      <c r="AF23" s="73">
        <f t="shared" si="92"/>
        <v>23480429171.314529</v>
      </c>
      <c r="AG23" s="73">
        <f t="shared" si="92"/>
        <v>35303867875.879211</v>
      </c>
      <c r="AH23" s="73">
        <f t="shared" si="92"/>
        <v>38045264400.819122</v>
      </c>
      <c r="AI23" s="73">
        <f t="shared" si="92"/>
        <v>38047372470.205765</v>
      </c>
      <c r="AJ23" s="73">
        <f t="shared" si="92"/>
        <v>39231668035.503654</v>
      </c>
      <c r="AK23" s="73">
        <f t="shared" si="92"/>
        <v>39855801686.894142</v>
      </c>
      <c r="AL23" s="73">
        <f t="shared" si="92"/>
        <v>39306995368.658783</v>
      </c>
      <c r="AM23" s="73">
        <f t="shared" si="92"/>
        <v>38149206089.509865</v>
      </c>
      <c r="AN23" s="73">
        <f t="shared" si="92"/>
        <v>39774694395.299263</v>
      </c>
      <c r="AO23" s="73">
        <f t="shared" si="92"/>
        <v>38708848922.551636</v>
      </c>
      <c r="AP23" s="73">
        <f t="shared" si="92"/>
        <v>39795916707.694138</v>
      </c>
      <c r="AQ23" s="397">
        <f>SUM(AE23:AP23)</f>
        <v>439571283441.55151</v>
      </c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>
        <f>SUM(AS23:BD23)</f>
        <v>0</v>
      </c>
      <c r="BG23" s="73">
        <f t="shared" si="93"/>
        <v>29871218317.221367</v>
      </c>
      <c r="BH23" s="73">
        <f t="shared" si="93"/>
        <v>23480429171.314529</v>
      </c>
      <c r="BI23" s="73">
        <f t="shared" si="93"/>
        <v>35303867875.879211</v>
      </c>
      <c r="BJ23" s="73">
        <f t="shared" si="93"/>
        <v>38045264400.819122</v>
      </c>
      <c r="BK23" s="73">
        <f t="shared" si="93"/>
        <v>38047372470.205765</v>
      </c>
      <c r="BL23" s="73">
        <f t="shared" si="93"/>
        <v>39231668035.503654</v>
      </c>
      <c r="BM23" s="73">
        <f t="shared" si="93"/>
        <v>39855801686.894142</v>
      </c>
      <c r="BN23" s="73">
        <f t="shared" si="93"/>
        <v>39306995368.658783</v>
      </c>
      <c r="BO23" s="73">
        <f t="shared" si="93"/>
        <v>38149206089.509865</v>
      </c>
      <c r="BP23" s="73">
        <f t="shared" si="93"/>
        <v>39774694395.299263</v>
      </c>
      <c r="BQ23" s="73">
        <f t="shared" si="93"/>
        <v>38708848922.551636</v>
      </c>
      <c r="BR23" s="73">
        <f t="shared" si="93"/>
        <v>39795916707.694138</v>
      </c>
      <c r="BS23" s="73">
        <f>SUM(BG23:BR23)</f>
        <v>439571283441.55151</v>
      </c>
      <c r="BU23" s="73">
        <v>11065194159.771919</v>
      </c>
      <c r="BV23" s="73">
        <v>8484312662.2266903</v>
      </c>
      <c r="BW23" s="73">
        <v>14981194313.276604</v>
      </c>
      <c r="BX23" s="73">
        <v>16094983354.117205</v>
      </c>
      <c r="BY23" s="73">
        <v>16141285777.228315</v>
      </c>
      <c r="BZ23" s="73">
        <v>16743718828.380339</v>
      </c>
      <c r="CA23" s="73">
        <v>17343062797.199028</v>
      </c>
      <c r="CB23" s="73">
        <v>16776758834.380339</v>
      </c>
      <c r="CC23" s="73">
        <v>15670997557.409628</v>
      </c>
      <c r="CD23" s="73">
        <v>17325135640.865692</v>
      </c>
      <c r="CE23" s="73">
        <v>16232964444.228315</v>
      </c>
      <c r="CF23" s="73">
        <v>17332799001.865692</v>
      </c>
      <c r="CG23" s="73">
        <f>SUM(BU23:CF23)</f>
        <v>184192407370.94977</v>
      </c>
      <c r="CI23" s="73">
        <v>7190802752.9545536</v>
      </c>
      <c r="CJ23" s="73">
        <v>5664772064.6117477</v>
      </c>
      <c r="CK23" s="73">
        <v>7668274849.5021544</v>
      </c>
      <c r="CL23" s="73">
        <v>8227781725.1497555</v>
      </c>
      <c r="CM23" s="73">
        <v>8183995965.3497562</v>
      </c>
      <c r="CN23" s="73">
        <v>8230599968.6164227</v>
      </c>
      <c r="CO23" s="73">
        <v>8242509945.9830894</v>
      </c>
      <c r="CP23" s="73">
        <v>8260042590.5664225</v>
      </c>
      <c r="CQ23" s="73">
        <v>8249574716.1830893</v>
      </c>
      <c r="CR23" s="73">
        <v>8188547606.5164223</v>
      </c>
      <c r="CS23" s="73">
        <v>8207901072.8164225</v>
      </c>
      <c r="CT23" s="73">
        <v>8205260429.1164227</v>
      </c>
      <c r="CU23" s="73">
        <f>SUM(CI23:CT23)</f>
        <v>94520063687.366257</v>
      </c>
      <c r="CW23" s="73">
        <v>11615221404.494896</v>
      </c>
      <c r="CX23" s="73">
        <v>9331344444.4760895</v>
      </c>
      <c r="CY23" s="73">
        <v>12654398713.100452</v>
      </c>
      <c r="CZ23" s="73">
        <v>13722499321.552162</v>
      </c>
      <c r="DA23" s="73">
        <v>13722090727.627693</v>
      </c>
      <c r="DB23" s="73">
        <v>14257349238.506895</v>
      </c>
      <c r="DC23" s="73">
        <v>14270228943.712023</v>
      </c>
      <c r="DD23" s="73">
        <v>14270193943.712023</v>
      </c>
      <c r="DE23" s="73">
        <v>14228633815.91715</v>
      </c>
      <c r="DF23" s="73">
        <v>14261011147.91715</v>
      </c>
      <c r="DG23" s="73">
        <v>14267983405.506895</v>
      </c>
      <c r="DH23" s="73">
        <v>14257857276.712023</v>
      </c>
      <c r="DI23" s="73">
        <f>SUM(CW23:DH23)</f>
        <v>160858812383.23544</v>
      </c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>
        <f>SUM(DK23:DV23)</f>
        <v>0</v>
      </c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>
        <f>SUM(DY23:EJ23)</f>
        <v>0</v>
      </c>
    </row>
    <row r="24" spans="1:141" outlineLevel="2">
      <c r="A24" s="38" t="s">
        <v>68</v>
      </c>
      <c r="B24" s="39" t="s">
        <v>3</v>
      </c>
      <c r="C24" s="370">
        <f t="shared" si="91"/>
        <v>0</v>
      </c>
      <c r="D24" s="92">
        <f t="shared" si="91"/>
        <v>0</v>
      </c>
      <c r="E24" s="92">
        <f t="shared" si="91"/>
        <v>0</v>
      </c>
      <c r="F24" s="92">
        <f t="shared" si="91"/>
        <v>0</v>
      </c>
      <c r="G24" s="92">
        <f t="shared" si="91"/>
        <v>0</v>
      </c>
      <c r="H24" s="92">
        <f t="shared" si="91"/>
        <v>0</v>
      </c>
      <c r="I24" s="92">
        <f t="shared" si="91"/>
        <v>0</v>
      </c>
      <c r="J24" s="92">
        <f t="shared" si="91"/>
        <v>0</v>
      </c>
      <c r="K24" s="92">
        <f t="shared" si="91"/>
        <v>0</v>
      </c>
      <c r="L24" s="92">
        <f t="shared" si="91"/>
        <v>0</v>
      </c>
      <c r="M24" s="92">
        <f t="shared" si="91"/>
        <v>0</v>
      </c>
      <c r="N24" s="92">
        <f t="shared" si="91"/>
        <v>0</v>
      </c>
      <c r="O24" s="371">
        <f>SUM(C24:N24)</f>
        <v>0</v>
      </c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>
        <f>SUM(Q24:AB24)</f>
        <v>0</v>
      </c>
      <c r="AE24" s="372">
        <f t="shared" si="92"/>
        <v>0</v>
      </c>
      <c r="AF24" s="92">
        <f t="shared" si="92"/>
        <v>0</v>
      </c>
      <c r="AG24" s="92">
        <f t="shared" si="92"/>
        <v>0</v>
      </c>
      <c r="AH24" s="92">
        <f t="shared" si="92"/>
        <v>0</v>
      </c>
      <c r="AI24" s="92">
        <f t="shared" si="92"/>
        <v>0</v>
      </c>
      <c r="AJ24" s="92">
        <f t="shared" si="92"/>
        <v>0</v>
      </c>
      <c r="AK24" s="92">
        <f t="shared" si="92"/>
        <v>0</v>
      </c>
      <c r="AL24" s="92">
        <f t="shared" si="92"/>
        <v>0</v>
      </c>
      <c r="AM24" s="92">
        <f t="shared" si="92"/>
        <v>0</v>
      </c>
      <c r="AN24" s="92">
        <f t="shared" si="92"/>
        <v>0</v>
      </c>
      <c r="AO24" s="92">
        <f t="shared" si="92"/>
        <v>0</v>
      </c>
      <c r="AP24" s="92">
        <f t="shared" si="92"/>
        <v>0</v>
      </c>
      <c r="AQ24" s="373">
        <f>SUM(AE24:AP24)</f>
        <v>0</v>
      </c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>
        <f>SUM(AS24:BD24)</f>
        <v>0</v>
      </c>
      <c r="BG24" s="92">
        <f t="shared" si="93"/>
        <v>0</v>
      </c>
      <c r="BH24" s="92">
        <f t="shared" si="93"/>
        <v>0</v>
      </c>
      <c r="BI24" s="92">
        <f t="shared" si="93"/>
        <v>0</v>
      </c>
      <c r="BJ24" s="92">
        <f t="shared" si="93"/>
        <v>0</v>
      </c>
      <c r="BK24" s="92">
        <f t="shared" si="93"/>
        <v>0</v>
      </c>
      <c r="BL24" s="92">
        <f t="shared" si="93"/>
        <v>0</v>
      </c>
      <c r="BM24" s="92">
        <f t="shared" si="93"/>
        <v>0</v>
      </c>
      <c r="BN24" s="92">
        <f t="shared" si="93"/>
        <v>0</v>
      </c>
      <c r="BO24" s="92">
        <f t="shared" si="93"/>
        <v>0</v>
      </c>
      <c r="BP24" s="92">
        <f t="shared" si="93"/>
        <v>0</v>
      </c>
      <c r="BQ24" s="92">
        <f t="shared" si="93"/>
        <v>0</v>
      </c>
      <c r="BR24" s="92">
        <f t="shared" si="93"/>
        <v>0</v>
      </c>
      <c r="BS24" s="92">
        <f>SUM(BG24:BR24)</f>
        <v>0</v>
      </c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>
        <f>SUM(BU24:CF24)</f>
        <v>0</v>
      </c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>
        <f>SUM(CI24:CT24)</f>
        <v>0</v>
      </c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>
        <f>SUM(CW24:DH24)</f>
        <v>0</v>
      </c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>
        <f>SUM(DK24:DV24)</f>
        <v>0</v>
      </c>
      <c r="DY24" s="92"/>
      <c r="DZ24" s="92"/>
      <c r="EA24" s="92"/>
      <c r="EB24" s="92"/>
      <c r="EC24" s="92"/>
      <c r="ED24" s="92"/>
      <c r="EE24" s="92"/>
      <c r="EF24" s="92"/>
      <c r="EG24" s="92"/>
      <c r="EH24" s="92"/>
      <c r="EI24" s="92"/>
      <c r="EJ24" s="92"/>
      <c r="EK24" s="92">
        <f>SUM(DY24:EJ24)</f>
        <v>0</v>
      </c>
    </row>
    <row r="25" spans="1:141" s="28" customFormat="1" outlineLevel="1">
      <c r="A25" s="43" t="s">
        <v>6</v>
      </c>
      <c r="B25" s="44" t="s">
        <v>4</v>
      </c>
      <c r="C25" s="398">
        <f t="shared" si="91"/>
        <v>0</v>
      </c>
      <c r="D25" s="102">
        <f t="shared" ca="1" si="91"/>
        <v>0</v>
      </c>
      <c r="E25" s="102">
        <f t="shared" ca="1" si="91"/>
        <v>0</v>
      </c>
      <c r="F25" s="102">
        <f t="shared" ca="1" si="91"/>
        <v>0</v>
      </c>
      <c r="G25" s="102">
        <f t="shared" ca="1" si="91"/>
        <v>0</v>
      </c>
      <c r="H25" s="102">
        <f t="shared" ca="1" si="91"/>
        <v>0</v>
      </c>
      <c r="I25" s="102">
        <f t="shared" ca="1" si="91"/>
        <v>0</v>
      </c>
      <c r="J25" s="102">
        <f t="shared" ca="1" si="91"/>
        <v>0</v>
      </c>
      <c r="K25" s="102">
        <f t="shared" ca="1" si="91"/>
        <v>0</v>
      </c>
      <c r="L25" s="102">
        <f t="shared" ca="1" si="91"/>
        <v>0</v>
      </c>
      <c r="M25" s="102">
        <f t="shared" ca="1" si="91"/>
        <v>0</v>
      </c>
      <c r="N25" s="102">
        <f t="shared" ca="1" si="91"/>
        <v>0</v>
      </c>
      <c r="O25" s="399"/>
      <c r="Q25" s="102"/>
      <c r="R25" s="102">
        <f t="shared" ref="R25:AB25" ca="1" si="95">Q26</f>
        <v>0</v>
      </c>
      <c r="S25" s="102">
        <f t="shared" ca="1" si="95"/>
        <v>0</v>
      </c>
      <c r="T25" s="102">
        <f t="shared" ca="1" si="95"/>
        <v>0</v>
      </c>
      <c r="U25" s="102">
        <f t="shared" ca="1" si="95"/>
        <v>0</v>
      </c>
      <c r="V25" s="102">
        <f t="shared" ca="1" si="95"/>
        <v>0</v>
      </c>
      <c r="W25" s="102">
        <f t="shared" ca="1" si="95"/>
        <v>0</v>
      </c>
      <c r="X25" s="102">
        <f t="shared" ca="1" si="95"/>
        <v>0</v>
      </c>
      <c r="Y25" s="102">
        <f t="shared" ca="1" si="95"/>
        <v>0</v>
      </c>
      <c r="Z25" s="102">
        <f t="shared" ca="1" si="95"/>
        <v>0</v>
      </c>
      <c r="AA25" s="102">
        <f t="shared" ca="1" si="95"/>
        <v>0</v>
      </c>
      <c r="AB25" s="102">
        <f t="shared" ca="1" si="95"/>
        <v>0</v>
      </c>
      <c r="AC25" s="102"/>
      <c r="AE25" s="400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401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I25" s="102"/>
      <c r="CJ25" s="102"/>
      <c r="CK25" s="102"/>
      <c r="CL25" s="102"/>
      <c r="CM25" s="102"/>
      <c r="CN25" s="102"/>
      <c r="CO25" s="102"/>
      <c r="CP25" s="102"/>
      <c r="CQ25" s="102"/>
      <c r="CR25" s="102"/>
      <c r="CS25" s="102"/>
      <c r="CT25" s="102"/>
      <c r="CU25" s="102"/>
      <c r="CW25" s="102"/>
      <c r="CX25" s="102"/>
      <c r="CY25" s="102"/>
      <c r="CZ25" s="102"/>
      <c r="DA25" s="102"/>
      <c r="DB25" s="102"/>
      <c r="DC25" s="102"/>
      <c r="DD25" s="102"/>
      <c r="DE25" s="102"/>
      <c r="DF25" s="102"/>
      <c r="DG25" s="102"/>
      <c r="DH25" s="102"/>
      <c r="DI25" s="102"/>
      <c r="DK25" s="102"/>
      <c r="DL25" s="102"/>
      <c r="DM25" s="102"/>
      <c r="DN25" s="102"/>
      <c r="DO25" s="102"/>
      <c r="DP25" s="102"/>
      <c r="DQ25" s="102"/>
      <c r="DR25" s="102"/>
      <c r="DS25" s="102"/>
      <c r="DT25" s="102"/>
      <c r="DU25" s="102"/>
      <c r="DV25" s="102"/>
      <c r="DW25" s="102"/>
      <c r="DY25" s="102"/>
      <c r="DZ25" s="102"/>
      <c r="EA25" s="102"/>
      <c r="EB25" s="102"/>
      <c r="EC25" s="102"/>
      <c r="ED25" s="102"/>
      <c r="EE25" s="102"/>
      <c r="EF25" s="102"/>
      <c r="EG25" s="102"/>
      <c r="EH25" s="102"/>
      <c r="EI25" s="102"/>
      <c r="EJ25" s="102"/>
      <c r="EK25" s="102"/>
    </row>
    <row r="26" spans="1:141" s="28" customFormat="1" outlineLevel="1">
      <c r="A26" s="64" t="s">
        <v>7</v>
      </c>
      <c r="B26" s="65" t="s">
        <v>5</v>
      </c>
      <c r="C26" s="402">
        <f t="shared" ca="1" si="91"/>
        <v>0</v>
      </c>
      <c r="D26" s="94">
        <f t="shared" ca="1" si="91"/>
        <v>0</v>
      </c>
      <c r="E26" s="94">
        <f t="shared" ca="1" si="91"/>
        <v>0</v>
      </c>
      <c r="F26" s="94">
        <f t="shared" ca="1" si="91"/>
        <v>0</v>
      </c>
      <c r="G26" s="94">
        <f t="shared" ca="1" si="91"/>
        <v>0</v>
      </c>
      <c r="H26" s="94">
        <f t="shared" ca="1" si="91"/>
        <v>0</v>
      </c>
      <c r="I26" s="94">
        <f t="shared" ca="1" si="91"/>
        <v>0</v>
      </c>
      <c r="J26" s="94">
        <f t="shared" ca="1" si="91"/>
        <v>0</v>
      </c>
      <c r="K26" s="94">
        <f t="shared" ca="1" si="91"/>
        <v>0</v>
      </c>
      <c r="L26" s="94">
        <f t="shared" ca="1" si="91"/>
        <v>0</v>
      </c>
      <c r="M26" s="94">
        <f t="shared" ca="1" si="91"/>
        <v>0</v>
      </c>
      <c r="N26" s="94">
        <f t="shared" ca="1" si="91"/>
        <v>0</v>
      </c>
      <c r="O26" s="403">
        <f ca="1">N26</f>
        <v>0</v>
      </c>
      <c r="Q26" s="94">
        <f t="shared" ref="Q26:AB26" ca="1" si="96">IF(OR($R$1=1,$R$1=0),0,SUM(OFFSET(AE29,0,MAX(-(AE$4-1),-($R$1-1)),1,MIN(AE$4,$R$1)))/$R$1*($R$1-1))</f>
        <v>0</v>
      </c>
      <c r="R26" s="94">
        <f t="shared" ca="1" si="96"/>
        <v>0</v>
      </c>
      <c r="S26" s="94">
        <f t="shared" ca="1" si="96"/>
        <v>0</v>
      </c>
      <c r="T26" s="94">
        <f t="shared" ca="1" si="96"/>
        <v>0</v>
      </c>
      <c r="U26" s="94">
        <f t="shared" ca="1" si="96"/>
        <v>0</v>
      </c>
      <c r="V26" s="94">
        <f t="shared" ca="1" si="96"/>
        <v>0</v>
      </c>
      <c r="W26" s="94">
        <f t="shared" ca="1" si="96"/>
        <v>0</v>
      </c>
      <c r="X26" s="94">
        <f t="shared" ca="1" si="96"/>
        <v>0</v>
      </c>
      <c r="Y26" s="94">
        <f t="shared" ca="1" si="96"/>
        <v>0</v>
      </c>
      <c r="Z26" s="94">
        <f t="shared" ca="1" si="96"/>
        <v>0</v>
      </c>
      <c r="AA26" s="94">
        <f t="shared" ca="1" si="96"/>
        <v>0</v>
      </c>
      <c r="AB26" s="94">
        <f t="shared" ca="1" si="96"/>
        <v>0</v>
      </c>
      <c r="AC26" s="94">
        <f ca="1">AB26</f>
        <v>0</v>
      </c>
      <c r="AE26" s="40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405">
        <f>AP26</f>
        <v>0</v>
      </c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>
        <f>BD26</f>
        <v>0</v>
      </c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>
        <f>BR26</f>
        <v>0</v>
      </c>
      <c r="BU26" s="94"/>
      <c r="BV26" s="94"/>
      <c r="BW26" s="94"/>
      <c r="BX26" s="94"/>
      <c r="BY26" s="94"/>
      <c r="BZ26" s="94"/>
      <c r="CA26" s="94"/>
      <c r="CB26" s="94"/>
      <c r="CC26" s="94"/>
      <c r="CD26" s="94"/>
      <c r="CE26" s="94"/>
      <c r="CF26" s="94"/>
      <c r="CG26" s="94">
        <f>CF26</f>
        <v>0</v>
      </c>
      <c r="CI26" s="94"/>
      <c r="CJ26" s="94"/>
      <c r="CK26" s="94"/>
      <c r="CL26" s="94"/>
      <c r="CM26" s="94"/>
      <c r="CN26" s="94"/>
      <c r="CO26" s="94"/>
      <c r="CP26" s="94"/>
      <c r="CQ26" s="94"/>
      <c r="CR26" s="94"/>
      <c r="CS26" s="94"/>
      <c r="CT26" s="94"/>
      <c r="CU26" s="94">
        <f>CT26</f>
        <v>0</v>
      </c>
      <c r="CW26" s="94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>
        <f>DH26</f>
        <v>0</v>
      </c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>
        <f>DV26</f>
        <v>0</v>
      </c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>
        <f>EJ26</f>
        <v>0</v>
      </c>
    </row>
    <row r="27" spans="1:141" s="51" customFormat="1" ht="14.25">
      <c r="A27" s="66">
        <v>6</v>
      </c>
      <c r="B27" s="62" t="s">
        <v>24</v>
      </c>
      <c r="C27" s="406">
        <f t="shared" ref="C27:O27" ca="1" si="97">SUM(C28:C30)</f>
        <v>18265634506.830009</v>
      </c>
      <c r="D27" s="95">
        <f t="shared" ca="1" si="97"/>
        <v>11496149099.786148</v>
      </c>
      <c r="E27" s="95">
        <f t="shared" ca="1" si="97"/>
        <v>21396982875.357513</v>
      </c>
      <c r="F27" s="95">
        <f t="shared" ca="1" si="97"/>
        <v>19212744511.693405</v>
      </c>
      <c r="G27" s="95">
        <f t="shared" ca="1" si="97"/>
        <v>21437524970.570953</v>
      </c>
      <c r="H27" s="95">
        <f t="shared" ca="1" si="97"/>
        <v>20349382161.160347</v>
      </c>
      <c r="I27" s="95">
        <f t="shared" ca="1" si="97"/>
        <v>26021267659.615303</v>
      </c>
      <c r="J27" s="95">
        <f t="shared" ca="1" si="97"/>
        <v>25395279419.891541</v>
      </c>
      <c r="K27" s="95">
        <f t="shared" ca="1" si="97"/>
        <v>25763348856.515968</v>
      </c>
      <c r="L27" s="95">
        <f t="shared" ca="1" si="97"/>
        <v>24518926408.946312</v>
      </c>
      <c r="M27" s="95">
        <f t="shared" ca="1" si="97"/>
        <v>25340866721.2901</v>
      </c>
      <c r="N27" s="95">
        <f t="shared" ca="1" si="97"/>
        <v>25372778229.959137</v>
      </c>
      <c r="O27" s="407">
        <f t="shared" ca="1" si="97"/>
        <v>264570885421.61673</v>
      </c>
      <c r="Q27" s="95">
        <f t="shared" ref="Q27:AC27" ca="1" si="98">SUM(Q28:Q30)</f>
        <v>0</v>
      </c>
      <c r="R27" s="95">
        <f t="shared" ca="1" si="98"/>
        <v>0</v>
      </c>
      <c r="S27" s="95">
        <f t="shared" ca="1" si="98"/>
        <v>0</v>
      </c>
      <c r="T27" s="95">
        <f t="shared" ca="1" si="98"/>
        <v>0</v>
      </c>
      <c r="U27" s="95">
        <f t="shared" ca="1" si="98"/>
        <v>0</v>
      </c>
      <c r="V27" s="95">
        <f t="shared" ca="1" si="98"/>
        <v>0</v>
      </c>
      <c r="W27" s="95">
        <f t="shared" ca="1" si="98"/>
        <v>0</v>
      </c>
      <c r="X27" s="95">
        <f t="shared" ca="1" si="98"/>
        <v>0</v>
      </c>
      <c r="Y27" s="95">
        <f t="shared" ca="1" si="98"/>
        <v>0</v>
      </c>
      <c r="Z27" s="95">
        <f t="shared" ca="1" si="98"/>
        <v>0</v>
      </c>
      <c r="AA27" s="95">
        <f t="shared" ca="1" si="98"/>
        <v>0</v>
      </c>
      <c r="AB27" s="95">
        <f t="shared" ca="1" si="98"/>
        <v>0</v>
      </c>
      <c r="AC27" s="95">
        <f t="shared" ca="1" si="98"/>
        <v>0</v>
      </c>
      <c r="AE27" s="408">
        <f t="shared" ref="AE27:AQ27" si="99">SUM(AE28:AE30)</f>
        <v>18265634506.830009</v>
      </c>
      <c r="AF27" s="95">
        <f t="shared" si="99"/>
        <v>11496149099.786148</v>
      </c>
      <c r="AG27" s="95">
        <f t="shared" si="99"/>
        <v>21396982875.357513</v>
      </c>
      <c r="AH27" s="95">
        <f t="shared" si="99"/>
        <v>19212744511.693405</v>
      </c>
      <c r="AI27" s="95">
        <f t="shared" si="99"/>
        <v>21437524970.570953</v>
      </c>
      <c r="AJ27" s="95">
        <f t="shared" si="99"/>
        <v>20349382161.160347</v>
      </c>
      <c r="AK27" s="95">
        <f t="shared" si="99"/>
        <v>26021267659.615303</v>
      </c>
      <c r="AL27" s="95">
        <f t="shared" si="99"/>
        <v>25395279419.891541</v>
      </c>
      <c r="AM27" s="95">
        <f t="shared" si="99"/>
        <v>25763348856.515968</v>
      </c>
      <c r="AN27" s="95">
        <f t="shared" si="99"/>
        <v>24518926408.946312</v>
      </c>
      <c r="AO27" s="95">
        <f t="shared" si="99"/>
        <v>25340866721.2901</v>
      </c>
      <c r="AP27" s="95">
        <f t="shared" si="99"/>
        <v>25372778229.959137</v>
      </c>
      <c r="AQ27" s="409">
        <f t="shared" si="99"/>
        <v>264570885421.6167</v>
      </c>
      <c r="AS27" s="95">
        <f t="shared" ref="AS27:BE27" si="100">SUM(AS28:AS30)</f>
        <v>17932188324.051376</v>
      </c>
      <c r="AT27" s="95">
        <f t="shared" si="100"/>
        <v>13032218271.100677</v>
      </c>
      <c r="AU27" s="95">
        <f t="shared" si="100"/>
        <v>21385803501.236725</v>
      </c>
      <c r="AV27" s="95">
        <f t="shared" si="100"/>
        <v>18484385787.512527</v>
      </c>
      <c r="AW27" s="95">
        <f t="shared" si="100"/>
        <v>20728503065.776718</v>
      </c>
      <c r="AX27" s="95">
        <f t="shared" si="100"/>
        <v>20089243196.664001</v>
      </c>
      <c r="AY27" s="95">
        <f t="shared" si="100"/>
        <v>25740984721.509445</v>
      </c>
      <c r="AZ27" s="95">
        <f t="shared" si="100"/>
        <v>25210467788.550323</v>
      </c>
      <c r="BA27" s="95">
        <f t="shared" si="100"/>
        <v>25709303196.025833</v>
      </c>
      <c r="BB27" s="95">
        <f t="shared" si="100"/>
        <v>24157536179.245575</v>
      </c>
      <c r="BC27" s="95">
        <f t="shared" si="100"/>
        <v>25202186268.841736</v>
      </c>
      <c r="BD27" s="95">
        <f t="shared" si="100"/>
        <v>25032610312.653275</v>
      </c>
      <c r="BE27" s="95">
        <f t="shared" si="100"/>
        <v>262705430613.16821</v>
      </c>
      <c r="BG27" s="95">
        <f t="shared" ref="BG27:BS27" si="101">SUM(BG28:BG30)</f>
        <v>333446182.77863312</v>
      </c>
      <c r="BH27" s="95">
        <f t="shared" si="101"/>
        <v>-1536069171.3145294</v>
      </c>
      <c r="BI27" s="95">
        <f t="shared" si="101"/>
        <v>11179374.120788574</v>
      </c>
      <c r="BJ27" s="95">
        <f t="shared" si="101"/>
        <v>728358724.18087769</v>
      </c>
      <c r="BK27" s="95">
        <f t="shared" si="101"/>
        <v>709021904.79423523</v>
      </c>
      <c r="BL27" s="95">
        <f t="shared" si="101"/>
        <v>260138964.49634552</v>
      </c>
      <c r="BM27" s="95">
        <f t="shared" si="101"/>
        <v>280282938.10585785</v>
      </c>
      <c r="BN27" s="95">
        <f t="shared" si="101"/>
        <v>184811631.34121704</v>
      </c>
      <c r="BO27" s="95">
        <f t="shared" si="101"/>
        <v>54045660.490135193</v>
      </c>
      <c r="BP27" s="95">
        <f t="shared" si="101"/>
        <v>361390229.700737</v>
      </c>
      <c r="BQ27" s="95">
        <f t="shared" si="101"/>
        <v>138680452.44836426</v>
      </c>
      <c r="BR27" s="95">
        <f t="shared" si="101"/>
        <v>340167917.30586243</v>
      </c>
      <c r="BS27" s="95">
        <f t="shared" si="101"/>
        <v>1865454808.4484863</v>
      </c>
      <c r="BU27" s="95">
        <f t="shared" ref="BU27:CG27" si="102">SUM(BU28:BU30)</f>
        <v>254477840.22808075</v>
      </c>
      <c r="BV27" s="95">
        <f t="shared" si="102"/>
        <v>-1020792662.2266903</v>
      </c>
      <c r="BW27" s="95">
        <f t="shared" si="102"/>
        <v>-441984563.2766037</v>
      </c>
      <c r="BX27" s="95">
        <f t="shared" si="102"/>
        <v>11957270.882795334</v>
      </c>
      <c r="BY27" s="95">
        <f t="shared" si="102"/>
        <v>-34345152.228315353</v>
      </c>
      <c r="BZ27" s="95">
        <f t="shared" si="102"/>
        <v>7499421.6196613312</v>
      </c>
      <c r="CA27" s="95">
        <f t="shared" si="102"/>
        <v>52433077.800971985</v>
      </c>
      <c r="CB27" s="95">
        <f t="shared" si="102"/>
        <v>-25540584.380338669</v>
      </c>
      <c r="CC27" s="95">
        <f t="shared" si="102"/>
        <v>-208334557.40962791</v>
      </c>
      <c r="CD27" s="95">
        <f t="shared" si="102"/>
        <v>70360234.134307861</v>
      </c>
      <c r="CE27" s="95">
        <f t="shared" si="102"/>
        <v>-126023819.22831535</v>
      </c>
      <c r="CF27" s="95">
        <f t="shared" si="102"/>
        <v>62696873.134307861</v>
      </c>
      <c r="CG27" s="95">
        <f t="shared" si="102"/>
        <v>-1397596620.9497681</v>
      </c>
      <c r="CI27" s="95">
        <f t="shared" ref="CI27:CU27" si="103">SUM(CI28:CI30)</f>
        <v>278747247.0454464</v>
      </c>
      <c r="CJ27" s="95">
        <f t="shared" si="103"/>
        <v>-62609564.611747742</v>
      </c>
      <c r="CK27" s="95">
        <f t="shared" si="103"/>
        <v>423737650.49784565</v>
      </c>
      <c r="CL27" s="95">
        <f t="shared" si="103"/>
        <v>486693274.85024452</v>
      </c>
      <c r="CM27" s="95">
        <f t="shared" si="103"/>
        <v>530479034.65024376</v>
      </c>
      <c r="CN27" s="95">
        <f t="shared" si="103"/>
        <v>483875031.38357735</v>
      </c>
      <c r="CO27" s="95">
        <f t="shared" si="103"/>
        <v>471965054.01691055</v>
      </c>
      <c r="CP27" s="95">
        <f t="shared" si="103"/>
        <v>454432409.43357754</v>
      </c>
      <c r="CQ27" s="95">
        <f t="shared" si="103"/>
        <v>464900283.81691074</v>
      </c>
      <c r="CR27" s="95">
        <f t="shared" si="103"/>
        <v>525927393.48357773</v>
      </c>
      <c r="CS27" s="95">
        <f t="shared" si="103"/>
        <v>506573927.18357754</v>
      </c>
      <c r="CT27" s="95">
        <f t="shared" si="103"/>
        <v>509214570.88357735</v>
      </c>
      <c r="CU27" s="95">
        <f t="shared" si="103"/>
        <v>5073936312.6337433</v>
      </c>
      <c r="CW27" s="95">
        <f t="shared" ref="CW27:DI27" si="104">SUM(CW28:CW30)</f>
        <v>-199778904.49489594</v>
      </c>
      <c r="CX27" s="95">
        <f t="shared" si="104"/>
        <v>-452666944.47608948</v>
      </c>
      <c r="CY27" s="95">
        <f t="shared" si="104"/>
        <v>29426286.899547577</v>
      </c>
      <c r="CZ27" s="95">
        <f t="shared" si="104"/>
        <v>229708178.44783783</v>
      </c>
      <c r="DA27" s="95">
        <f t="shared" si="104"/>
        <v>212888022.37230682</v>
      </c>
      <c r="DB27" s="95">
        <f t="shared" si="104"/>
        <v>-231235488.50689507</v>
      </c>
      <c r="DC27" s="95">
        <f t="shared" si="104"/>
        <v>-244115193.71202278</v>
      </c>
      <c r="DD27" s="95">
        <f t="shared" si="104"/>
        <v>-244080193.71202278</v>
      </c>
      <c r="DE27" s="95">
        <f t="shared" si="104"/>
        <v>-202520065.9171505</v>
      </c>
      <c r="DF27" s="95">
        <f t="shared" si="104"/>
        <v>-234897397.9171505</v>
      </c>
      <c r="DG27" s="95">
        <f t="shared" si="104"/>
        <v>-241869655.50689507</v>
      </c>
      <c r="DH27" s="95">
        <f t="shared" si="104"/>
        <v>-231743526.71202278</v>
      </c>
      <c r="DI27" s="95">
        <f t="shared" si="104"/>
        <v>-1810884883.2354431</v>
      </c>
      <c r="DK27" s="95">
        <f t="shared" ref="DK27:DW27" si="105">SUM(DK28:DK30)</f>
        <v>0</v>
      </c>
      <c r="DL27" s="95">
        <f t="shared" si="105"/>
        <v>0</v>
      </c>
      <c r="DM27" s="95">
        <f t="shared" si="105"/>
        <v>0</v>
      </c>
      <c r="DN27" s="95">
        <f t="shared" si="105"/>
        <v>0</v>
      </c>
      <c r="DO27" s="95">
        <f t="shared" si="105"/>
        <v>0</v>
      </c>
      <c r="DP27" s="95">
        <f t="shared" si="105"/>
        <v>0</v>
      </c>
      <c r="DQ27" s="95">
        <f t="shared" si="105"/>
        <v>0</v>
      </c>
      <c r="DR27" s="95">
        <f t="shared" si="105"/>
        <v>0</v>
      </c>
      <c r="DS27" s="95">
        <f t="shared" si="105"/>
        <v>0</v>
      </c>
      <c r="DT27" s="95">
        <f t="shared" si="105"/>
        <v>0</v>
      </c>
      <c r="DU27" s="95">
        <f t="shared" si="105"/>
        <v>0</v>
      </c>
      <c r="DV27" s="95">
        <f t="shared" si="105"/>
        <v>0</v>
      </c>
      <c r="DW27" s="95">
        <f t="shared" si="105"/>
        <v>0</v>
      </c>
      <c r="DY27" s="95">
        <f t="shared" ref="DY27:EK27" si="106">SUM(DY28:DY30)</f>
        <v>0</v>
      </c>
      <c r="DZ27" s="95">
        <f t="shared" si="106"/>
        <v>0</v>
      </c>
      <c r="EA27" s="95">
        <f t="shared" si="106"/>
        <v>0</v>
      </c>
      <c r="EB27" s="95">
        <f t="shared" si="106"/>
        <v>0</v>
      </c>
      <c r="EC27" s="95">
        <f t="shared" si="106"/>
        <v>0</v>
      </c>
      <c r="ED27" s="95">
        <f t="shared" si="106"/>
        <v>0</v>
      </c>
      <c r="EE27" s="95">
        <f t="shared" si="106"/>
        <v>0</v>
      </c>
      <c r="EF27" s="95">
        <f t="shared" si="106"/>
        <v>0</v>
      </c>
      <c r="EG27" s="95">
        <f t="shared" si="106"/>
        <v>0</v>
      </c>
      <c r="EH27" s="95">
        <f t="shared" si="106"/>
        <v>0</v>
      </c>
      <c r="EI27" s="95">
        <f t="shared" si="106"/>
        <v>0</v>
      </c>
      <c r="EJ27" s="95">
        <f t="shared" si="106"/>
        <v>0</v>
      </c>
      <c r="EK27" s="95">
        <f t="shared" si="106"/>
        <v>0</v>
      </c>
    </row>
    <row r="28" spans="1:141" s="29" customFormat="1" outlineLevel="1">
      <c r="A28" s="74" t="s">
        <v>8</v>
      </c>
      <c r="B28" s="59" t="s">
        <v>1</v>
      </c>
      <c r="C28" s="386">
        <f t="shared" ref="C28:O28" ca="1" si="107">C18-C22+C25-C26</f>
        <v>17932188324.051376</v>
      </c>
      <c r="D28" s="60">
        <f t="shared" ca="1" si="107"/>
        <v>13032218271.100677</v>
      </c>
      <c r="E28" s="60">
        <f t="shared" ca="1" si="107"/>
        <v>21385803501.236725</v>
      </c>
      <c r="F28" s="60">
        <f t="shared" ca="1" si="107"/>
        <v>18484385787.512527</v>
      </c>
      <c r="G28" s="60">
        <f t="shared" ca="1" si="107"/>
        <v>20728503065.776718</v>
      </c>
      <c r="H28" s="60">
        <f t="shared" ca="1" si="107"/>
        <v>20089243196.664001</v>
      </c>
      <c r="I28" s="60">
        <f t="shared" ca="1" si="107"/>
        <v>25740984721.509445</v>
      </c>
      <c r="J28" s="60">
        <f t="shared" ca="1" si="107"/>
        <v>25210467788.550323</v>
      </c>
      <c r="K28" s="60">
        <f t="shared" ca="1" si="107"/>
        <v>25709303196.025833</v>
      </c>
      <c r="L28" s="60">
        <f t="shared" ca="1" si="107"/>
        <v>24157536179.245575</v>
      </c>
      <c r="M28" s="60">
        <f t="shared" ca="1" si="107"/>
        <v>25202186268.841736</v>
      </c>
      <c r="N28" s="60">
        <f t="shared" ca="1" si="107"/>
        <v>25032610312.653275</v>
      </c>
      <c r="O28" s="387">
        <f t="shared" ca="1" si="107"/>
        <v>262705430613.16821</v>
      </c>
      <c r="Q28" s="60">
        <f t="shared" ref="Q28:AC28" ca="1" si="108">Q18-Q22+Q25-Q26</f>
        <v>0</v>
      </c>
      <c r="R28" s="60">
        <f t="shared" ca="1" si="108"/>
        <v>0</v>
      </c>
      <c r="S28" s="60">
        <f t="shared" ca="1" si="108"/>
        <v>0</v>
      </c>
      <c r="T28" s="60">
        <f t="shared" ca="1" si="108"/>
        <v>0</v>
      </c>
      <c r="U28" s="60">
        <f t="shared" ca="1" si="108"/>
        <v>0</v>
      </c>
      <c r="V28" s="60">
        <f t="shared" ca="1" si="108"/>
        <v>0</v>
      </c>
      <c r="W28" s="60">
        <f t="shared" ca="1" si="108"/>
        <v>0</v>
      </c>
      <c r="X28" s="60">
        <f t="shared" ca="1" si="108"/>
        <v>0</v>
      </c>
      <c r="Y28" s="60">
        <f t="shared" ca="1" si="108"/>
        <v>0</v>
      </c>
      <c r="Z28" s="60">
        <f t="shared" ca="1" si="108"/>
        <v>0</v>
      </c>
      <c r="AA28" s="60">
        <f t="shared" ca="1" si="108"/>
        <v>0</v>
      </c>
      <c r="AB28" s="60">
        <f t="shared" ca="1" si="108"/>
        <v>0</v>
      </c>
      <c r="AC28" s="60">
        <f t="shared" ca="1" si="108"/>
        <v>0</v>
      </c>
      <c r="AE28" s="388">
        <f t="shared" ref="AE28:AQ28" si="109">AE18-AE22+AE25-AE26</f>
        <v>17932188324.051376</v>
      </c>
      <c r="AF28" s="60">
        <f t="shared" si="109"/>
        <v>13032218271.100677</v>
      </c>
      <c r="AG28" s="60">
        <f t="shared" si="109"/>
        <v>21385803501.236725</v>
      </c>
      <c r="AH28" s="60">
        <f t="shared" si="109"/>
        <v>18484385787.512527</v>
      </c>
      <c r="AI28" s="60">
        <f t="shared" si="109"/>
        <v>20728503065.776718</v>
      </c>
      <c r="AJ28" s="60">
        <f t="shared" si="109"/>
        <v>20089243196.664001</v>
      </c>
      <c r="AK28" s="60">
        <f t="shared" si="109"/>
        <v>25740984721.509445</v>
      </c>
      <c r="AL28" s="60">
        <f t="shared" si="109"/>
        <v>25210467788.550323</v>
      </c>
      <c r="AM28" s="60">
        <f t="shared" si="109"/>
        <v>25709303196.025833</v>
      </c>
      <c r="AN28" s="60">
        <f t="shared" si="109"/>
        <v>24157536179.245575</v>
      </c>
      <c r="AO28" s="60">
        <f t="shared" si="109"/>
        <v>25202186268.841736</v>
      </c>
      <c r="AP28" s="60">
        <f t="shared" si="109"/>
        <v>25032610312.653275</v>
      </c>
      <c r="AQ28" s="389">
        <f t="shared" si="109"/>
        <v>262705430613.16821</v>
      </c>
      <c r="AS28" s="60">
        <f t="shared" ref="AS28:BE28" si="110">AS18-AS22+AS25-AS26</f>
        <v>17932188324.051376</v>
      </c>
      <c r="AT28" s="60">
        <f t="shared" si="110"/>
        <v>13032218271.100677</v>
      </c>
      <c r="AU28" s="60">
        <f t="shared" si="110"/>
        <v>21385803501.236725</v>
      </c>
      <c r="AV28" s="60">
        <f t="shared" si="110"/>
        <v>18484385787.512527</v>
      </c>
      <c r="AW28" s="60">
        <f t="shared" si="110"/>
        <v>20728503065.776718</v>
      </c>
      <c r="AX28" s="60">
        <f t="shared" si="110"/>
        <v>20089243196.664001</v>
      </c>
      <c r="AY28" s="60">
        <f t="shared" si="110"/>
        <v>25740984721.509445</v>
      </c>
      <c r="AZ28" s="60">
        <f t="shared" si="110"/>
        <v>25210467788.550323</v>
      </c>
      <c r="BA28" s="60">
        <f t="shared" si="110"/>
        <v>25709303196.025833</v>
      </c>
      <c r="BB28" s="60">
        <f t="shared" si="110"/>
        <v>24157536179.245575</v>
      </c>
      <c r="BC28" s="60">
        <f t="shared" si="110"/>
        <v>25202186268.841736</v>
      </c>
      <c r="BD28" s="60">
        <f t="shared" si="110"/>
        <v>25032610312.653275</v>
      </c>
      <c r="BE28" s="60">
        <f t="shared" si="110"/>
        <v>262705430613.16821</v>
      </c>
      <c r="BG28" s="60">
        <f t="shared" ref="BG28:BS28" si="111">BG18-BG22+BG25-BG26</f>
        <v>0</v>
      </c>
      <c r="BH28" s="60">
        <f t="shared" si="111"/>
        <v>0</v>
      </c>
      <c r="BI28" s="60">
        <f t="shared" si="111"/>
        <v>0</v>
      </c>
      <c r="BJ28" s="60">
        <f t="shared" si="111"/>
        <v>0</v>
      </c>
      <c r="BK28" s="60">
        <f t="shared" si="111"/>
        <v>0</v>
      </c>
      <c r="BL28" s="60">
        <f t="shared" si="111"/>
        <v>0</v>
      </c>
      <c r="BM28" s="60">
        <f t="shared" si="111"/>
        <v>0</v>
      </c>
      <c r="BN28" s="60">
        <f t="shared" si="111"/>
        <v>0</v>
      </c>
      <c r="BO28" s="60">
        <f t="shared" si="111"/>
        <v>0</v>
      </c>
      <c r="BP28" s="60">
        <f t="shared" si="111"/>
        <v>0</v>
      </c>
      <c r="BQ28" s="60">
        <f t="shared" si="111"/>
        <v>0</v>
      </c>
      <c r="BR28" s="60">
        <f t="shared" si="111"/>
        <v>0</v>
      </c>
      <c r="BS28" s="60">
        <f t="shared" si="111"/>
        <v>0</v>
      </c>
      <c r="BU28" s="60">
        <f t="shared" ref="BU28:CG28" si="112">BU18-BU22+BU25-BU26</f>
        <v>0</v>
      </c>
      <c r="BV28" s="60">
        <f t="shared" si="112"/>
        <v>0</v>
      </c>
      <c r="BW28" s="60">
        <f t="shared" si="112"/>
        <v>0</v>
      </c>
      <c r="BX28" s="60">
        <f t="shared" si="112"/>
        <v>0</v>
      </c>
      <c r="BY28" s="60">
        <f t="shared" si="112"/>
        <v>0</v>
      </c>
      <c r="BZ28" s="60">
        <f t="shared" si="112"/>
        <v>0</v>
      </c>
      <c r="CA28" s="60">
        <f t="shared" si="112"/>
        <v>0</v>
      </c>
      <c r="CB28" s="60">
        <f t="shared" si="112"/>
        <v>0</v>
      </c>
      <c r="CC28" s="60">
        <f t="shared" si="112"/>
        <v>0</v>
      </c>
      <c r="CD28" s="60">
        <f t="shared" si="112"/>
        <v>0</v>
      </c>
      <c r="CE28" s="60">
        <f t="shared" si="112"/>
        <v>0</v>
      </c>
      <c r="CF28" s="60">
        <f t="shared" si="112"/>
        <v>0</v>
      </c>
      <c r="CG28" s="60">
        <f t="shared" si="112"/>
        <v>0</v>
      </c>
      <c r="CI28" s="60">
        <f t="shared" ref="CI28:CU28" si="113">CI18-CI22+CI25-CI26</f>
        <v>0</v>
      </c>
      <c r="CJ28" s="60">
        <f t="shared" si="113"/>
        <v>0</v>
      </c>
      <c r="CK28" s="60">
        <f t="shared" si="113"/>
        <v>0</v>
      </c>
      <c r="CL28" s="60">
        <f t="shared" si="113"/>
        <v>0</v>
      </c>
      <c r="CM28" s="60">
        <f t="shared" si="113"/>
        <v>0</v>
      </c>
      <c r="CN28" s="60">
        <f t="shared" si="113"/>
        <v>0</v>
      </c>
      <c r="CO28" s="60">
        <f t="shared" si="113"/>
        <v>0</v>
      </c>
      <c r="CP28" s="60">
        <f t="shared" si="113"/>
        <v>0</v>
      </c>
      <c r="CQ28" s="60">
        <f t="shared" si="113"/>
        <v>0</v>
      </c>
      <c r="CR28" s="60">
        <f t="shared" si="113"/>
        <v>0</v>
      </c>
      <c r="CS28" s="60">
        <f t="shared" si="113"/>
        <v>0</v>
      </c>
      <c r="CT28" s="60">
        <f t="shared" si="113"/>
        <v>0</v>
      </c>
      <c r="CU28" s="60">
        <f t="shared" si="113"/>
        <v>0</v>
      </c>
      <c r="CW28" s="60">
        <f t="shared" ref="CW28:DI28" si="114">CW18-CW22+CW25-CW26</f>
        <v>0</v>
      </c>
      <c r="CX28" s="60">
        <f t="shared" si="114"/>
        <v>0</v>
      </c>
      <c r="CY28" s="60">
        <f t="shared" si="114"/>
        <v>0</v>
      </c>
      <c r="CZ28" s="60">
        <f t="shared" si="114"/>
        <v>0</v>
      </c>
      <c r="DA28" s="60">
        <f t="shared" si="114"/>
        <v>0</v>
      </c>
      <c r="DB28" s="60">
        <f t="shared" si="114"/>
        <v>0</v>
      </c>
      <c r="DC28" s="60">
        <f t="shared" si="114"/>
        <v>0</v>
      </c>
      <c r="DD28" s="60">
        <f t="shared" si="114"/>
        <v>0</v>
      </c>
      <c r="DE28" s="60">
        <f t="shared" si="114"/>
        <v>0</v>
      </c>
      <c r="DF28" s="60">
        <f t="shared" si="114"/>
        <v>0</v>
      </c>
      <c r="DG28" s="60">
        <f t="shared" si="114"/>
        <v>0</v>
      </c>
      <c r="DH28" s="60">
        <f t="shared" si="114"/>
        <v>0</v>
      </c>
      <c r="DI28" s="60">
        <f t="shared" si="114"/>
        <v>0</v>
      </c>
      <c r="DK28" s="60">
        <f t="shared" ref="DK28:DW28" si="115">DK18-DK22+DK25-DK26</f>
        <v>0</v>
      </c>
      <c r="DL28" s="60">
        <f t="shared" si="115"/>
        <v>0</v>
      </c>
      <c r="DM28" s="60">
        <f t="shared" si="115"/>
        <v>0</v>
      </c>
      <c r="DN28" s="60">
        <f t="shared" si="115"/>
        <v>0</v>
      </c>
      <c r="DO28" s="60">
        <f t="shared" si="115"/>
        <v>0</v>
      </c>
      <c r="DP28" s="60">
        <f t="shared" si="115"/>
        <v>0</v>
      </c>
      <c r="DQ28" s="60">
        <f t="shared" si="115"/>
        <v>0</v>
      </c>
      <c r="DR28" s="60">
        <f t="shared" si="115"/>
        <v>0</v>
      </c>
      <c r="DS28" s="60">
        <f t="shared" si="115"/>
        <v>0</v>
      </c>
      <c r="DT28" s="60">
        <f t="shared" si="115"/>
        <v>0</v>
      </c>
      <c r="DU28" s="60">
        <f t="shared" si="115"/>
        <v>0</v>
      </c>
      <c r="DV28" s="60">
        <f t="shared" si="115"/>
        <v>0</v>
      </c>
      <c r="DW28" s="60">
        <f t="shared" si="115"/>
        <v>0</v>
      </c>
      <c r="DY28" s="60">
        <f t="shared" ref="DY28:EK28" si="116">DY18-DY22+DY25-DY26</f>
        <v>0</v>
      </c>
      <c r="DZ28" s="60">
        <f t="shared" si="116"/>
        <v>0</v>
      </c>
      <c r="EA28" s="60">
        <f t="shared" si="116"/>
        <v>0</v>
      </c>
      <c r="EB28" s="60">
        <f t="shared" si="116"/>
        <v>0</v>
      </c>
      <c r="EC28" s="60">
        <f t="shared" si="116"/>
        <v>0</v>
      </c>
      <c r="ED28" s="60">
        <f t="shared" si="116"/>
        <v>0</v>
      </c>
      <c r="EE28" s="60">
        <f t="shared" si="116"/>
        <v>0</v>
      </c>
      <c r="EF28" s="60">
        <f t="shared" si="116"/>
        <v>0</v>
      </c>
      <c r="EG28" s="60">
        <f t="shared" si="116"/>
        <v>0</v>
      </c>
      <c r="EH28" s="60">
        <f t="shared" si="116"/>
        <v>0</v>
      </c>
      <c r="EI28" s="60">
        <f t="shared" si="116"/>
        <v>0</v>
      </c>
      <c r="EJ28" s="60">
        <f t="shared" si="116"/>
        <v>0</v>
      </c>
      <c r="EK28" s="60">
        <f t="shared" si="116"/>
        <v>0</v>
      </c>
    </row>
    <row r="29" spans="1:141" s="29" customFormat="1" outlineLevel="1">
      <c r="A29" s="75" t="s">
        <v>9</v>
      </c>
      <c r="B29" s="41" t="s">
        <v>2</v>
      </c>
      <c r="C29" s="410">
        <f t="shared" ref="C29:O29" si="117">C19-C23</f>
        <v>333446182.77863312</v>
      </c>
      <c r="D29" s="343">
        <f t="shared" si="117"/>
        <v>-1536069171.3145294</v>
      </c>
      <c r="E29" s="343">
        <f t="shared" si="117"/>
        <v>11179374.120788574</v>
      </c>
      <c r="F29" s="343">
        <f t="shared" si="117"/>
        <v>728358724.18087769</v>
      </c>
      <c r="G29" s="343">
        <f t="shared" si="117"/>
        <v>709021904.79423523</v>
      </c>
      <c r="H29" s="343">
        <f t="shared" si="117"/>
        <v>260138964.49634552</v>
      </c>
      <c r="I29" s="343">
        <f t="shared" si="117"/>
        <v>280282938.10585785</v>
      </c>
      <c r="J29" s="343">
        <f t="shared" si="117"/>
        <v>184811631.34121704</v>
      </c>
      <c r="K29" s="343">
        <f t="shared" si="117"/>
        <v>54045660.490135193</v>
      </c>
      <c r="L29" s="343">
        <f t="shared" si="117"/>
        <v>361390229.700737</v>
      </c>
      <c r="M29" s="343">
        <f t="shared" si="117"/>
        <v>138680452.44836426</v>
      </c>
      <c r="N29" s="343">
        <f t="shared" si="117"/>
        <v>340167917.30586243</v>
      </c>
      <c r="O29" s="411">
        <f t="shared" si="117"/>
        <v>1865454808.4485245</v>
      </c>
      <c r="Q29" s="343">
        <f t="shared" ref="Q29:AC29" si="118">Q19-Q23</f>
        <v>0</v>
      </c>
      <c r="R29" s="343">
        <f t="shared" si="118"/>
        <v>0</v>
      </c>
      <c r="S29" s="343">
        <f t="shared" si="118"/>
        <v>0</v>
      </c>
      <c r="T29" s="343">
        <f t="shared" si="118"/>
        <v>0</v>
      </c>
      <c r="U29" s="343">
        <f t="shared" si="118"/>
        <v>0</v>
      </c>
      <c r="V29" s="343">
        <f t="shared" si="118"/>
        <v>0</v>
      </c>
      <c r="W29" s="343">
        <f t="shared" si="118"/>
        <v>0</v>
      </c>
      <c r="X29" s="343">
        <f t="shared" si="118"/>
        <v>0</v>
      </c>
      <c r="Y29" s="343">
        <f t="shared" si="118"/>
        <v>0</v>
      </c>
      <c r="Z29" s="343">
        <f t="shared" si="118"/>
        <v>0</v>
      </c>
      <c r="AA29" s="343">
        <f t="shared" si="118"/>
        <v>0</v>
      </c>
      <c r="AB29" s="343">
        <f t="shared" si="118"/>
        <v>0</v>
      </c>
      <c r="AC29" s="343">
        <f t="shared" si="118"/>
        <v>0</v>
      </c>
      <c r="AE29" s="412">
        <f t="shared" ref="AE29:AQ29" si="119">AE19-AE23</f>
        <v>333446182.77863312</v>
      </c>
      <c r="AF29" s="343">
        <f t="shared" si="119"/>
        <v>-1536069171.3145294</v>
      </c>
      <c r="AG29" s="343">
        <f t="shared" si="119"/>
        <v>11179374.120788574</v>
      </c>
      <c r="AH29" s="343">
        <f t="shared" si="119"/>
        <v>728358724.18087769</v>
      </c>
      <c r="AI29" s="343">
        <f t="shared" si="119"/>
        <v>709021904.79423523</v>
      </c>
      <c r="AJ29" s="343">
        <f t="shared" si="119"/>
        <v>260138964.49634552</v>
      </c>
      <c r="AK29" s="343">
        <f t="shared" si="119"/>
        <v>280282938.10585785</v>
      </c>
      <c r="AL29" s="343">
        <f t="shared" si="119"/>
        <v>184811631.34121704</v>
      </c>
      <c r="AM29" s="343">
        <f t="shared" si="119"/>
        <v>54045660.490135193</v>
      </c>
      <c r="AN29" s="343">
        <f t="shared" si="119"/>
        <v>361390229.700737</v>
      </c>
      <c r="AO29" s="343">
        <f t="shared" si="119"/>
        <v>138680452.44836426</v>
      </c>
      <c r="AP29" s="343">
        <f t="shared" si="119"/>
        <v>340167917.30586243</v>
      </c>
      <c r="AQ29" s="413">
        <f t="shared" si="119"/>
        <v>1865454808.4484863</v>
      </c>
      <c r="AS29" s="343">
        <f t="shared" ref="AS29:BE29" si="120">AS19-AS23</f>
        <v>0</v>
      </c>
      <c r="AT29" s="343">
        <f t="shared" si="120"/>
        <v>0</v>
      </c>
      <c r="AU29" s="343">
        <f t="shared" si="120"/>
        <v>0</v>
      </c>
      <c r="AV29" s="343">
        <f t="shared" si="120"/>
        <v>0</v>
      </c>
      <c r="AW29" s="343">
        <f t="shared" si="120"/>
        <v>0</v>
      </c>
      <c r="AX29" s="343">
        <f t="shared" si="120"/>
        <v>0</v>
      </c>
      <c r="AY29" s="343">
        <f t="shared" si="120"/>
        <v>0</v>
      </c>
      <c r="AZ29" s="343">
        <f t="shared" si="120"/>
        <v>0</v>
      </c>
      <c r="BA29" s="343">
        <f t="shared" si="120"/>
        <v>0</v>
      </c>
      <c r="BB29" s="343">
        <f t="shared" si="120"/>
        <v>0</v>
      </c>
      <c r="BC29" s="343">
        <f t="shared" si="120"/>
        <v>0</v>
      </c>
      <c r="BD29" s="343">
        <f t="shared" si="120"/>
        <v>0</v>
      </c>
      <c r="BE29" s="343">
        <f t="shared" si="120"/>
        <v>0</v>
      </c>
      <c r="BG29" s="343">
        <f t="shared" ref="BG29:BS29" si="121">BG19-BG23</f>
        <v>333446182.77863312</v>
      </c>
      <c r="BH29" s="343">
        <f t="shared" si="121"/>
        <v>-1536069171.3145294</v>
      </c>
      <c r="BI29" s="343">
        <f t="shared" si="121"/>
        <v>11179374.120788574</v>
      </c>
      <c r="BJ29" s="343">
        <f t="shared" si="121"/>
        <v>728358724.18087769</v>
      </c>
      <c r="BK29" s="343">
        <f t="shared" si="121"/>
        <v>709021904.79423523</v>
      </c>
      <c r="BL29" s="343">
        <f t="shared" si="121"/>
        <v>260138964.49634552</v>
      </c>
      <c r="BM29" s="343">
        <f t="shared" si="121"/>
        <v>280282938.10585785</v>
      </c>
      <c r="BN29" s="343">
        <f t="shared" si="121"/>
        <v>184811631.34121704</v>
      </c>
      <c r="BO29" s="343">
        <f t="shared" si="121"/>
        <v>54045660.490135193</v>
      </c>
      <c r="BP29" s="343">
        <f t="shared" si="121"/>
        <v>361390229.700737</v>
      </c>
      <c r="BQ29" s="343">
        <f t="shared" si="121"/>
        <v>138680452.44836426</v>
      </c>
      <c r="BR29" s="343">
        <f t="shared" si="121"/>
        <v>340167917.30586243</v>
      </c>
      <c r="BS29" s="343">
        <f t="shared" si="121"/>
        <v>1865454808.4484863</v>
      </c>
      <c r="BU29" s="343">
        <f t="shared" ref="BU29:CG29" si="122">BU19-BU23</f>
        <v>254477840.22808075</v>
      </c>
      <c r="BV29" s="343">
        <f t="shared" si="122"/>
        <v>-1020792662.2266903</v>
      </c>
      <c r="BW29" s="343">
        <f t="shared" si="122"/>
        <v>-441984563.2766037</v>
      </c>
      <c r="BX29" s="343">
        <f t="shared" si="122"/>
        <v>11957270.882795334</v>
      </c>
      <c r="BY29" s="343">
        <f t="shared" si="122"/>
        <v>-34345152.228315353</v>
      </c>
      <c r="BZ29" s="343">
        <f t="shared" si="122"/>
        <v>7499421.6196613312</v>
      </c>
      <c r="CA29" s="343">
        <f t="shared" si="122"/>
        <v>52433077.800971985</v>
      </c>
      <c r="CB29" s="343">
        <f t="shared" si="122"/>
        <v>-25540584.380338669</v>
      </c>
      <c r="CC29" s="343">
        <f t="shared" si="122"/>
        <v>-208334557.40962791</v>
      </c>
      <c r="CD29" s="343">
        <f t="shared" si="122"/>
        <v>70360234.134307861</v>
      </c>
      <c r="CE29" s="343">
        <f t="shared" si="122"/>
        <v>-126023819.22831535</v>
      </c>
      <c r="CF29" s="343">
        <f t="shared" si="122"/>
        <v>62696873.134307861</v>
      </c>
      <c r="CG29" s="343">
        <f t="shared" si="122"/>
        <v>-1397596620.9497681</v>
      </c>
      <c r="CI29" s="343">
        <f t="shared" ref="CI29:CU29" si="123">CI19-CI23</f>
        <v>278747247.0454464</v>
      </c>
      <c r="CJ29" s="343">
        <f t="shared" si="123"/>
        <v>-62609564.611747742</v>
      </c>
      <c r="CK29" s="343">
        <f t="shared" si="123"/>
        <v>423737650.49784565</v>
      </c>
      <c r="CL29" s="343">
        <f t="shared" si="123"/>
        <v>486693274.85024452</v>
      </c>
      <c r="CM29" s="343">
        <f t="shared" si="123"/>
        <v>530479034.65024376</v>
      </c>
      <c r="CN29" s="343">
        <f t="shared" si="123"/>
        <v>483875031.38357735</v>
      </c>
      <c r="CO29" s="343">
        <f t="shared" si="123"/>
        <v>471965054.01691055</v>
      </c>
      <c r="CP29" s="343">
        <f t="shared" si="123"/>
        <v>454432409.43357754</v>
      </c>
      <c r="CQ29" s="343">
        <f t="shared" si="123"/>
        <v>464900283.81691074</v>
      </c>
      <c r="CR29" s="343">
        <f t="shared" si="123"/>
        <v>525927393.48357773</v>
      </c>
      <c r="CS29" s="343">
        <f t="shared" si="123"/>
        <v>506573927.18357754</v>
      </c>
      <c r="CT29" s="343">
        <f t="shared" si="123"/>
        <v>509214570.88357735</v>
      </c>
      <c r="CU29" s="343">
        <f t="shared" si="123"/>
        <v>5073936312.6337433</v>
      </c>
      <c r="CW29" s="343">
        <f t="shared" ref="CW29:DI29" si="124">CW19-CW23</f>
        <v>-199778904.49489594</v>
      </c>
      <c r="CX29" s="343">
        <f t="shared" si="124"/>
        <v>-452666944.47608948</v>
      </c>
      <c r="CY29" s="343">
        <f t="shared" si="124"/>
        <v>29426286.899547577</v>
      </c>
      <c r="CZ29" s="343">
        <f t="shared" si="124"/>
        <v>229708178.44783783</v>
      </c>
      <c r="DA29" s="343">
        <f t="shared" si="124"/>
        <v>212888022.37230682</v>
      </c>
      <c r="DB29" s="343">
        <f t="shared" si="124"/>
        <v>-231235488.50689507</v>
      </c>
      <c r="DC29" s="343">
        <f t="shared" si="124"/>
        <v>-244115193.71202278</v>
      </c>
      <c r="DD29" s="343">
        <f t="shared" si="124"/>
        <v>-244080193.71202278</v>
      </c>
      <c r="DE29" s="343">
        <f t="shared" si="124"/>
        <v>-202520065.9171505</v>
      </c>
      <c r="DF29" s="343">
        <f t="shared" si="124"/>
        <v>-234897397.9171505</v>
      </c>
      <c r="DG29" s="343">
        <f t="shared" si="124"/>
        <v>-241869655.50689507</v>
      </c>
      <c r="DH29" s="343">
        <f t="shared" si="124"/>
        <v>-231743526.71202278</v>
      </c>
      <c r="DI29" s="343">
        <f t="shared" si="124"/>
        <v>-1810884883.2354431</v>
      </c>
      <c r="DK29" s="343">
        <f t="shared" ref="DK29:DW29" si="125">DK19-DK23</f>
        <v>0</v>
      </c>
      <c r="DL29" s="343">
        <f t="shared" si="125"/>
        <v>0</v>
      </c>
      <c r="DM29" s="343">
        <f t="shared" si="125"/>
        <v>0</v>
      </c>
      <c r="DN29" s="343">
        <f t="shared" si="125"/>
        <v>0</v>
      </c>
      <c r="DO29" s="343">
        <f t="shared" si="125"/>
        <v>0</v>
      </c>
      <c r="DP29" s="343">
        <f t="shared" si="125"/>
        <v>0</v>
      </c>
      <c r="DQ29" s="343">
        <f t="shared" si="125"/>
        <v>0</v>
      </c>
      <c r="DR29" s="343">
        <f t="shared" si="125"/>
        <v>0</v>
      </c>
      <c r="DS29" s="343">
        <f t="shared" si="125"/>
        <v>0</v>
      </c>
      <c r="DT29" s="343">
        <f t="shared" si="125"/>
        <v>0</v>
      </c>
      <c r="DU29" s="343">
        <f t="shared" si="125"/>
        <v>0</v>
      </c>
      <c r="DV29" s="343">
        <f t="shared" si="125"/>
        <v>0</v>
      </c>
      <c r="DW29" s="343">
        <f t="shared" si="125"/>
        <v>0</v>
      </c>
      <c r="DY29" s="343">
        <f t="shared" ref="DY29:EK29" si="126">DY19-DY23</f>
        <v>0</v>
      </c>
      <c r="DZ29" s="343">
        <f t="shared" si="126"/>
        <v>0</v>
      </c>
      <c r="EA29" s="343">
        <f t="shared" si="126"/>
        <v>0</v>
      </c>
      <c r="EB29" s="343">
        <f t="shared" si="126"/>
        <v>0</v>
      </c>
      <c r="EC29" s="343">
        <f t="shared" si="126"/>
        <v>0</v>
      </c>
      <c r="ED29" s="343">
        <f t="shared" si="126"/>
        <v>0</v>
      </c>
      <c r="EE29" s="343">
        <f t="shared" si="126"/>
        <v>0</v>
      </c>
      <c r="EF29" s="343">
        <f t="shared" si="126"/>
        <v>0</v>
      </c>
      <c r="EG29" s="343">
        <f t="shared" si="126"/>
        <v>0</v>
      </c>
      <c r="EH29" s="343">
        <f t="shared" si="126"/>
        <v>0</v>
      </c>
      <c r="EI29" s="343">
        <f t="shared" si="126"/>
        <v>0</v>
      </c>
      <c r="EJ29" s="343">
        <f t="shared" si="126"/>
        <v>0</v>
      </c>
      <c r="EK29" s="343">
        <f t="shared" si="126"/>
        <v>0</v>
      </c>
    </row>
    <row r="30" spans="1:141" s="29" customFormat="1" outlineLevel="1">
      <c r="A30" s="75" t="s">
        <v>10</v>
      </c>
      <c r="B30" s="41" t="s">
        <v>3</v>
      </c>
      <c r="C30" s="390">
        <f t="shared" ref="C30:O30" si="127">C20-C24</f>
        <v>0</v>
      </c>
      <c r="D30" s="42">
        <f t="shared" si="127"/>
        <v>0</v>
      </c>
      <c r="E30" s="42">
        <f t="shared" si="127"/>
        <v>0</v>
      </c>
      <c r="F30" s="42">
        <f t="shared" si="127"/>
        <v>0</v>
      </c>
      <c r="G30" s="42">
        <f t="shared" si="127"/>
        <v>0</v>
      </c>
      <c r="H30" s="42">
        <f t="shared" si="127"/>
        <v>0</v>
      </c>
      <c r="I30" s="42">
        <f t="shared" si="127"/>
        <v>0</v>
      </c>
      <c r="J30" s="42">
        <f t="shared" si="127"/>
        <v>0</v>
      </c>
      <c r="K30" s="42">
        <f t="shared" si="127"/>
        <v>0</v>
      </c>
      <c r="L30" s="42">
        <f t="shared" si="127"/>
        <v>0</v>
      </c>
      <c r="M30" s="42">
        <f t="shared" si="127"/>
        <v>0</v>
      </c>
      <c r="N30" s="42">
        <f t="shared" si="127"/>
        <v>0</v>
      </c>
      <c r="O30" s="391">
        <f t="shared" si="127"/>
        <v>0</v>
      </c>
      <c r="Q30" s="42">
        <f t="shared" ref="Q30:AC30" si="128">Q20-Q24</f>
        <v>0</v>
      </c>
      <c r="R30" s="42">
        <f t="shared" si="128"/>
        <v>0</v>
      </c>
      <c r="S30" s="42">
        <f t="shared" si="128"/>
        <v>0</v>
      </c>
      <c r="T30" s="42">
        <f t="shared" si="128"/>
        <v>0</v>
      </c>
      <c r="U30" s="42">
        <f t="shared" si="128"/>
        <v>0</v>
      </c>
      <c r="V30" s="42">
        <f t="shared" si="128"/>
        <v>0</v>
      </c>
      <c r="W30" s="42">
        <f t="shared" si="128"/>
        <v>0</v>
      </c>
      <c r="X30" s="42">
        <f t="shared" si="128"/>
        <v>0</v>
      </c>
      <c r="Y30" s="42">
        <f t="shared" si="128"/>
        <v>0</v>
      </c>
      <c r="Z30" s="42">
        <f t="shared" si="128"/>
        <v>0</v>
      </c>
      <c r="AA30" s="42">
        <f t="shared" si="128"/>
        <v>0</v>
      </c>
      <c r="AB30" s="42">
        <f t="shared" si="128"/>
        <v>0</v>
      </c>
      <c r="AC30" s="42">
        <f t="shared" si="128"/>
        <v>0</v>
      </c>
      <c r="AE30" s="392">
        <f t="shared" ref="AE30:AQ30" si="129">AE20-AE24</f>
        <v>0</v>
      </c>
      <c r="AF30" s="42">
        <f t="shared" si="129"/>
        <v>0</v>
      </c>
      <c r="AG30" s="42">
        <f t="shared" si="129"/>
        <v>0</v>
      </c>
      <c r="AH30" s="42">
        <f t="shared" si="129"/>
        <v>0</v>
      </c>
      <c r="AI30" s="42">
        <f t="shared" si="129"/>
        <v>0</v>
      </c>
      <c r="AJ30" s="42">
        <f t="shared" si="129"/>
        <v>0</v>
      </c>
      <c r="AK30" s="42">
        <f t="shared" si="129"/>
        <v>0</v>
      </c>
      <c r="AL30" s="42">
        <f t="shared" si="129"/>
        <v>0</v>
      </c>
      <c r="AM30" s="42">
        <f t="shared" si="129"/>
        <v>0</v>
      </c>
      <c r="AN30" s="42">
        <f t="shared" si="129"/>
        <v>0</v>
      </c>
      <c r="AO30" s="42">
        <f t="shared" si="129"/>
        <v>0</v>
      </c>
      <c r="AP30" s="42">
        <f t="shared" si="129"/>
        <v>0</v>
      </c>
      <c r="AQ30" s="393">
        <f t="shared" si="129"/>
        <v>0</v>
      </c>
      <c r="AS30" s="42">
        <f t="shared" ref="AS30:BE30" si="130">AS20-AS24</f>
        <v>0</v>
      </c>
      <c r="AT30" s="42">
        <f t="shared" si="130"/>
        <v>0</v>
      </c>
      <c r="AU30" s="42">
        <f t="shared" si="130"/>
        <v>0</v>
      </c>
      <c r="AV30" s="42">
        <f t="shared" si="130"/>
        <v>0</v>
      </c>
      <c r="AW30" s="42">
        <f t="shared" si="130"/>
        <v>0</v>
      </c>
      <c r="AX30" s="42">
        <f t="shared" si="130"/>
        <v>0</v>
      </c>
      <c r="AY30" s="42">
        <f t="shared" si="130"/>
        <v>0</v>
      </c>
      <c r="AZ30" s="42">
        <f t="shared" si="130"/>
        <v>0</v>
      </c>
      <c r="BA30" s="42">
        <f t="shared" si="130"/>
        <v>0</v>
      </c>
      <c r="BB30" s="42">
        <f t="shared" si="130"/>
        <v>0</v>
      </c>
      <c r="BC30" s="42">
        <f t="shared" si="130"/>
        <v>0</v>
      </c>
      <c r="BD30" s="42">
        <f t="shared" si="130"/>
        <v>0</v>
      </c>
      <c r="BE30" s="42">
        <f t="shared" si="130"/>
        <v>0</v>
      </c>
      <c r="BG30" s="42">
        <f t="shared" ref="BG30:BS30" si="131">BG20-BG24</f>
        <v>0</v>
      </c>
      <c r="BH30" s="42">
        <f t="shared" si="131"/>
        <v>0</v>
      </c>
      <c r="BI30" s="42">
        <f t="shared" si="131"/>
        <v>0</v>
      </c>
      <c r="BJ30" s="42">
        <f t="shared" si="131"/>
        <v>0</v>
      </c>
      <c r="BK30" s="42">
        <f t="shared" si="131"/>
        <v>0</v>
      </c>
      <c r="BL30" s="42">
        <f t="shared" si="131"/>
        <v>0</v>
      </c>
      <c r="BM30" s="42">
        <f t="shared" si="131"/>
        <v>0</v>
      </c>
      <c r="BN30" s="42">
        <f t="shared" si="131"/>
        <v>0</v>
      </c>
      <c r="BO30" s="42">
        <f t="shared" si="131"/>
        <v>0</v>
      </c>
      <c r="BP30" s="42">
        <f t="shared" si="131"/>
        <v>0</v>
      </c>
      <c r="BQ30" s="42">
        <f t="shared" si="131"/>
        <v>0</v>
      </c>
      <c r="BR30" s="42">
        <f t="shared" si="131"/>
        <v>0</v>
      </c>
      <c r="BS30" s="42">
        <f t="shared" si="131"/>
        <v>0</v>
      </c>
      <c r="BU30" s="42">
        <f t="shared" ref="BU30:CG30" si="132">BU20-BU24</f>
        <v>0</v>
      </c>
      <c r="BV30" s="42">
        <f t="shared" si="132"/>
        <v>0</v>
      </c>
      <c r="BW30" s="42">
        <f t="shared" si="132"/>
        <v>0</v>
      </c>
      <c r="BX30" s="42">
        <f t="shared" si="132"/>
        <v>0</v>
      </c>
      <c r="BY30" s="42">
        <f t="shared" si="132"/>
        <v>0</v>
      </c>
      <c r="BZ30" s="42">
        <f t="shared" si="132"/>
        <v>0</v>
      </c>
      <c r="CA30" s="42">
        <f t="shared" si="132"/>
        <v>0</v>
      </c>
      <c r="CB30" s="42">
        <f t="shared" si="132"/>
        <v>0</v>
      </c>
      <c r="CC30" s="42">
        <f t="shared" si="132"/>
        <v>0</v>
      </c>
      <c r="CD30" s="42">
        <f t="shared" si="132"/>
        <v>0</v>
      </c>
      <c r="CE30" s="42">
        <f t="shared" si="132"/>
        <v>0</v>
      </c>
      <c r="CF30" s="42">
        <f t="shared" si="132"/>
        <v>0</v>
      </c>
      <c r="CG30" s="42">
        <f t="shared" si="132"/>
        <v>0</v>
      </c>
      <c r="CI30" s="42">
        <f t="shared" ref="CI30:CU30" si="133">CI20-CI24</f>
        <v>0</v>
      </c>
      <c r="CJ30" s="42">
        <f t="shared" si="133"/>
        <v>0</v>
      </c>
      <c r="CK30" s="42">
        <f t="shared" si="133"/>
        <v>0</v>
      </c>
      <c r="CL30" s="42">
        <f t="shared" si="133"/>
        <v>0</v>
      </c>
      <c r="CM30" s="42">
        <f t="shared" si="133"/>
        <v>0</v>
      </c>
      <c r="CN30" s="42">
        <f t="shared" si="133"/>
        <v>0</v>
      </c>
      <c r="CO30" s="42">
        <f t="shared" si="133"/>
        <v>0</v>
      </c>
      <c r="CP30" s="42">
        <f t="shared" si="133"/>
        <v>0</v>
      </c>
      <c r="CQ30" s="42">
        <f t="shared" si="133"/>
        <v>0</v>
      </c>
      <c r="CR30" s="42">
        <f t="shared" si="133"/>
        <v>0</v>
      </c>
      <c r="CS30" s="42">
        <f t="shared" si="133"/>
        <v>0</v>
      </c>
      <c r="CT30" s="42">
        <f t="shared" si="133"/>
        <v>0</v>
      </c>
      <c r="CU30" s="42">
        <f t="shared" si="133"/>
        <v>0</v>
      </c>
      <c r="CW30" s="42">
        <f t="shared" ref="CW30:DI30" si="134">CW20-CW24</f>
        <v>0</v>
      </c>
      <c r="CX30" s="42">
        <f t="shared" si="134"/>
        <v>0</v>
      </c>
      <c r="CY30" s="42">
        <f t="shared" si="134"/>
        <v>0</v>
      </c>
      <c r="CZ30" s="42">
        <f t="shared" si="134"/>
        <v>0</v>
      </c>
      <c r="DA30" s="42">
        <f t="shared" si="134"/>
        <v>0</v>
      </c>
      <c r="DB30" s="42">
        <f t="shared" si="134"/>
        <v>0</v>
      </c>
      <c r="DC30" s="42">
        <f t="shared" si="134"/>
        <v>0</v>
      </c>
      <c r="DD30" s="42">
        <f t="shared" si="134"/>
        <v>0</v>
      </c>
      <c r="DE30" s="42">
        <f t="shared" si="134"/>
        <v>0</v>
      </c>
      <c r="DF30" s="42">
        <f t="shared" si="134"/>
        <v>0</v>
      </c>
      <c r="DG30" s="42">
        <f t="shared" si="134"/>
        <v>0</v>
      </c>
      <c r="DH30" s="42">
        <f t="shared" si="134"/>
        <v>0</v>
      </c>
      <c r="DI30" s="42">
        <f t="shared" si="134"/>
        <v>0</v>
      </c>
      <c r="DK30" s="42">
        <f t="shared" ref="DK30:DW30" si="135">DK20-DK24</f>
        <v>0</v>
      </c>
      <c r="DL30" s="42">
        <f t="shared" si="135"/>
        <v>0</v>
      </c>
      <c r="DM30" s="42">
        <f t="shared" si="135"/>
        <v>0</v>
      </c>
      <c r="DN30" s="42">
        <f t="shared" si="135"/>
        <v>0</v>
      </c>
      <c r="DO30" s="42">
        <f t="shared" si="135"/>
        <v>0</v>
      </c>
      <c r="DP30" s="42">
        <f t="shared" si="135"/>
        <v>0</v>
      </c>
      <c r="DQ30" s="42">
        <f t="shared" si="135"/>
        <v>0</v>
      </c>
      <c r="DR30" s="42">
        <f t="shared" si="135"/>
        <v>0</v>
      </c>
      <c r="DS30" s="42">
        <f t="shared" si="135"/>
        <v>0</v>
      </c>
      <c r="DT30" s="42">
        <f t="shared" si="135"/>
        <v>0</v>
      </c>
      <c r="DU30" s="42">
        <f t="shared" si="135"/>
        <v>0</v>
      </c>
      <c r="DV30" s="42">
        <f t="shared" si="135"/>
        <v>0</v>
      </c>
      <c r="DW30" s="42">
        <f t="shared" si="135"/>
        <v>0</v>
      </c>
      <c r="DY30" s="42">
        <f t="shared" ref="DY30:EK30" si="136">DY20-DY24</f>
        <v>0</v>
      </c>
      <c r="DZ30" s="42">
        <f t="shared" si="136"/>
        <v>0</v>
      </c>
      <c r="EA30" s="42">
        <f t="shared" si="136"/>
        <v>0</v>
      </c>
      <c r="EB30" s="42">
        <f t="shared" si="136"/>
        <v>0</v>
      </c>
      <c r="EC30" s="42">
        <f t="shared" si="136"/>
        <v>0</v>
      </c>
      <c r="ED30" s="42">
        <f t="shared" si="136"/>
        <v>0</v>
      </c>
      <c r="EE30" s="42">
        <f t="shared" si="136"/>
        <v>0</v>
      </c>
      <c r="EF30" s="42">
        <f t="shared" si="136"/>
        <v>0</v>
      </c>
      <c r="EG30" s="42">
        <f t="shared" si="136"/>
        <v>0</v>
      </c>
      <c r="EH30" s="42">
        <f t="shared" si="136"/>
        <v>0</v>
      </c>
      <c r="EI30" s="42">
        <f t="shared" si="136"/>
        <v>0</v>
      </c>
      <c r="EJ30" s="42">
        <f t="shared" si="136"/>
        <v>0</v>
      </c>
      <c r="EK30" s="42">
        <f t="shared" si="136"/>
        <v>0</v>
      </c>
    </row>
    <row r="31" spans="1:141" ht="16.5" customHeight="1">
      <c r="A31" s="45">
        <v>7</v>
      </c>
      <c r="B31" s="35" t="s">
        <v>25</v>
      </c>
      <c r="C31" s="414">
        <f t="shared" ref="C31:O31" si="137">SUM(C32:C34)</f>
        <v>0</v>
      </c>
      <c r="D31" s="53">
        <f t="shared" si="137"/>
        <v>0</v>
      </c>
      <c r="E31" s="53">
        <f t="shared" si="137"/>
        <v>0</v>
      </c>
      <c r="F31" s="53">
        <f t="shared" si="137"/>
        <v>0</v>
      </c>
      <c r="G31" s="53">
        <f t="shared" si="137"/>
        <v>0</v>
      </c>
      <c r="H31" s="53">
        <f t="shared" si="137"/>
        <v>0</v>
      </c>
      <c r="I31" s="53">
        <f t="shared" si="137"/>
        <v>0</v>
      </c>
      <c r="J31" s="53">
        <f t="shared" si="137"/>
        <v>0</v>
      </c>
      <c r="K31" s="53">
        <f t="shared" si="137"/>
        <v>0</v>
      </c>
      <c r="L31" s="53">
        <f t="shared" si="137"/>
        <v>0</v>
      </c>
      <c r="M31" s="53">
        <f t="shared" si="137"/>
        <v>0</v>
      </c>
      <c r="N31" s="53">
        <f t="shared" si="137"/>
        <v>0</v>
      </c>
      <c r="O31" s="415">
        <f t="shared" si="137"/>
        <v>0</v>
      </c>
      <c r="Q31" s="53">
        <f t="shared" ref="Q31:AC31" si="138">SUM(Q32:Q34)</f>
        <v>0</v>
      </c>
      <c r="R31" s="53">
        <f t="shared" si="138"/>
        <v>0</v>
      </c>
      <c r="S31" s="53">
        <f t="shared" si="138"/>
        <v>0</v>
      </c>
      <c r="T31" s="53">
        <f t="shared" si="138"/>
        <v>0</v>
      </c>
      <c r="U31" s="53">
        <f t="shared" si="138"/>
        <v>0</v>
      </c>
      <c r="V31" s="53">
        <f t="shared" si="138"/>
        <v>0</v>
      </c>
      <c r="W31" s="53">
        <f t="shared" si="138"/>
        <v>0</v>
      </c>
      <c r="X31" s="53">
        <f t="shared" si="138"/>
        <v>0</v>
      </c>
      <c r="Y31" s="53">
        <f t="shared" si="138"/>
        <v>0</v>
      </c>
      <c r="Z31" s="53">
        <f t="shared" si="138"/>
        <v>0</v>
      </c>
      <c r="AA31" s="53">
        <f t="shared" si="138"/>
        <v>0</v>
      </c>
      <c r="AB31" s="53">
        <f t="shared" si="138"/>
        <v>0</v>
      </c>
      <c r="AC31" s="53">
        <f t="shared" si="138"/>
        <v>0</v>
      </c>
      <c r="AE31" s="416">
        <f t="shared" ref="AE31:AQ31" si="139">SUM(AE32:AE34)</f>
        <v>0</v>
      </c>
      <c r="AF31" s="53">
        <f t="shared" si="139"/>
        <v>0</v>
      </c>
      <c r="AG31" s="53">
        <f t="shared" si="139"/>
        <v>0</v>
      </c>
      <c r="AH31" s="53">
        <f t="shared" si="139"/>
        <v>0</v>
      </c>
      <c r="AI31" s="53">
        <f t="shared" si="139"/>
        <v>0</v>
      </c>
      <c r="AJ31" s="53">
        <f t="shared" si="139"/>
        <v>0</v>
      </c>
      <c r="AK31" s="53">
        <f t="shared" si="139"/>
        <v>0</v>
      </c>
      <c r="AL31" s="53">
        <f t="shared" si="139"/>
        <v>0</v>
      </c>
      <c r="AM31" s="53">
        <f t="shared" si="139"/>
        <v>0</v>
      </c>
      <c r="AN31" s="53">
        <f t="shared" si="139"/>
        <v>0</v>
      </c>
      <c r="AO31" s="53">
        <f t="shared" si="139"/>
        <v>0</v>
      </c>
      <c r="AP31" s="53">
        <f t="shared" si="139"/>
        <v>0</v>
      </c>
      <c r="AQ31" s="417">
        <f t="shared" si="139"/>
        <v>0</v>
      </c>
      <c r="AS31" s="53">
        <f t="shared" ref="AS31:BE31" si="140">SUM(AS32:AS34)</f>
        <v>0</v>
      </c>
      <c r="AT31" s="53">
        <f t="shared" si="140"/>
        <v>0</v>
      </c>
      <c r="AU31" s="53">
        <f t="shared" si="140"/>
        <v>0</v>
      </c>
      <c r="AV31" s="53">
        <f t="shared" si="140"/>
        <v>0</v>
      </c>
      <c r="AW31" s="53">
        <f t="shared" si="140"/>
        <v>0</v>
      </c>
      <c r="AX31" s="53">
        <f t="shared" si="140"/>
        <v>0</v>
      </c>
      <c r="AY31" s="53">
        <f t="shared" si="140"/>
        <v>0</v>
      </c>
      <c r="AZ31" s="53">
        <f t="shared" si="140"/>
        <v>0</v>
      </c>
      <c r="BA31" s="53">
        <f t="shared" si="140"/>
        <v>0</v>
      </c>
      <c r="BB31" s="53">
        <f t="shared" si="140"/>
        <v>0</v>
      </c>
      <c r="BC31" s="53">
        <f t="shared" si="140"/>
        <v>0</v>
      </c>
      <c r="BD31" s="53">
        <f t="shared" si="140"/>
        <v>0</v>
      </c>
      <c r="BE31" s="53">
        <f t="shared" si="140"/>
        <v>0</v>
      </c>
      <c r="BG31" s="53">
        <f t="shared" ref="BG31:BS31" si="141">SUM(BG32:BG34)</f>
        <v>0</v>
      </c>
      <c r="BH31" s="53">
        <f t="shared" si="141"/>
        <v>0</v>
      </c>
      <c r="BI31" s="53">
        <f t="shared" si="141"/>
        <v>0</v>
      </c>
      <c r="BJ31" s="53">
        <f t="shared" si="141"/>
        <v>0</v>
      </c>
      <c r="BK31" s="53">
        <f t="shared" si="141"/>
        <v>0</v>
      </c>
      <c r="BL31" s="53">
        <f t="shared" si="141"/>
        <v>0</v>
      </c>
      <c r="BM31" s="53">
        <f t="shared" si="141"/>
        <v>0</v>
      </c>
      <c r="BN31" s="53">
        <f t="shared" si="141"/>
        <v>0</v>
      </c>
      <c r="BO31" s="53">
        <f t="shared" si="141"/>
        <v>0</v>
      </c>
      <c r="BP31" s="53">
        <f t="shared" si="141"/>
        <v>0</v>
      </c>
      <c r="BQ31" s="53">
        <f t="shared" si="141"/>
        <v>0</v>
      </c>
      <c r="BR31" s="53">
        <f t="shared" si="141"/>
        <v>0</v>
      </c>
      <c r="BS31" s="53">
        <f t="shared" si="141"/>
        <v>0</v>
      </c>
      <c r="BU31" s="53">
        <f t="shared" ref="BU31:CG31" si="142">SUM(BU32:BU34)</f>
        <v>0</v>
      </c>
      <c r="BV31" s="53">
        <f t="shared" si="142"/>
        <v>0</v>
      </c>
      <c r="BW31" s="53">
        <f t="shared" si="142"/>
        <v>0</v>
      </c>
      <c r="BX31" s="53">
        <f t="shared" si="142"/>
        <v>0</v>
      </c>
      <c r="BY31" s="53">
        <f t="shared" si="142"/>
        <v>0</v>
      </c>
      <c r="BZ31" s="53">
        <f t="shared" si="142"/>
        <v>0</v>
      </c>
      <c r="CA31" s="53">
        <f t="shared" si="142"/>
        <v>0</v>
      </c>
      <c r="CB31" s="53">
        <f t="shared" si="142"/>
        <v>0</v>
      </c>
      <c r="CC31" s="53">
        <f t="shared" si="142"/>
        <v>0</v>
      </c>
      <c r="CD31" s="53">
        <f t="shared" si="142"/>
        <v>0</v>
      </c>
      <c r="CE31" s="53">
        <f t="shared" si="142"/>
        <v>0</v>
      </c>
      <c r="CF31" s="53">
        <f t="shared" si="142"/>
        <v>0</v>
      </c>
      <c r="CG31" s="53">
        <f t="shared" si="142"/>
        <v>0</v>
      </c>
      <c r="CI31" s="53">
        <f t="shared" ref="CI31:CU31" si="143">SUM(CI32:CI34)</f>
        <v>0</v>
      </c>
      <c r="CJ31" s="53">
        <f t="shared" si="143"/>
        <v>0</v>
      </c>
      <c r="CK31" s="53">
        <f t="shared" si="143"/>
        <v>0</v>
      </c>
      <c r="CL31" s="53">
        <f t="shared" si="143"/>
        <v>0</v>
      </c>
      <c r="CM31" s="53">
        <f t="shared" si="143"/>
        <v>0</v>
      </c>
      <c r="CN31" s="53">
        <f t="shared" si="143"/>
        <v>0</v>
      </c>
      <c r="CO31" s="53">
        <f t="shared" si="143"/>
        <v>0</v>
      </c>
      <c r="CP31" s="53">
        <f t="shared" si="143"/>
        <v>0</v>
      </c>
      <c r="CQ31" s="53">
        <f t="shared" si="143"/>
        <v>0</v>
      </c>
      <c r="CR31" s="53">
        <f t="shared" si="143"/>
        <v>0</v>
      </c>
      <c r="CS31" s="53">
        <f t="shared" si="143"/>
        <v>0</v>
      </c>
      <c r="CT31" s="53">
        <f t="shared" si="143"/>
        <v>0</v>
      </c>
      <c r="CU31" s="53">
        <f t="shared" si="143"/>
        <v>0</v>
      </c>
      <c r="CW31" s="53">
        <f t="shared" ref="CW31:DI31" si="144">SUM(CW32:CW34)</f>
        <v>0</v>
      </c>
      <c r="CX31" s="53">
        <f t="shared" si="144"/>
        <v>0</v>
      </c>
      <c r="CY31" s="53">
        <f t="shared" si="144"/>
        <v>0</v>
      </c>
      <c r="CZ31" s="53">
        <f t="shared" si="144"/>
        <v>0</v>
      </c>
      <c r="DA31" s="53">
        <f t="shared" si="144"/>
        <v>0</v>
      </c>
      <c r="DB31" s="53">
        <f t="shared" si="144"/>
        <v>0</v>
      </c>
      <c r="DC31" s="53">
        <f t="shared" si="144"/>
        <v>0</v>
      </c>
      <c r="DD31" s="53">
        <f t="shared" si="144"/>
        <v>0</v>
      </c>
      <c r="DE31" s="53">
        <f t="shared" si="144"/>
        <v>0</v>
      </c>
      <c r="DF31" s="53">
        <f t="shared" si="144"/>
        <v>0</v>
      </c>
      <c r="DG31" s="53">
        <f t="shared" si="144"/>
        <v>0</v>
      </c>
      <c r="DH31" s="53">
        <f t="shared" si="144"/>
        <v>0</v>
      </c>
      <c r="DI31" s="53">
        <f t="shared" si="144"/>
        <v>0</v>
      </c>
      <c r="DK31" s="53">
        <f t="shared" ref="DK31:DW31" si="145">SUM(DK32:DK34)</f>
        <v>0</v>
      </c>
      <c r="DL31" s="53">
        <f t="shared" si="145"/>
        <v>0</v>
      </c>
      <c r="DM31" s="53">
        <f t="shared" si="145"/>
        <v>0</v>
      </c>
      <c r="DN31" s="53">
        <f t="shared" si="145"/>
        <v>0</v>
      </c>
      <c r="DO31" s="53">
        <f t="shared" si="145"/>
        <v>0</v>
      </c>
      <c r="DP31" s="53">
        <f t="shared" si="145"/>
        <v>0</v>
      </c>
      <c r="DQ31" s="53">
        <f t="shared" si="145"/>
        <v>0</v>
      </c>
      <c r="DR31" s="53">
        <f t="shared" si="145"/>
        <v>0</v>
      </c>
      <c r="DS31" s="53">
        <f t="shared" si="145"/>
        <v>0</v>
      </c>
      <c r="DT31" s="53">
        <f t="shared" si="145"/>
        <v>0</v>
      </c>
      <c r="DU31" s="53">
        <f t="shared" si="145"/>
        <v>0</v>
      </c>
      <c r="DV31" s="53">
        <f t="shared" si="145"/>
        <v>0</v>
      </c>
      <c r="DW31" s="53">
        <f t="shared" si="145"/>
        <v>0</v>
      </c>
      <c r="DY31" s="53">
        <f t="shared" ref="DY31:EK31" si="146">SUM(DY32:DY34)</f>
        <v>0</v>
      </c>
      <c r="DZ31" s="53">
        <f t="shared" si="146"/>
        <v>0</v>
      </c>
      <c r="EA31" s="53">
        <f t="shared" si="146"/>
        <v>0</v>
      </c>
      <c r="EB31" s="53">
        <f t="shared" si="146"/>
        <v>0</v>
      </c>
      <c r="EC31" s="53">
        <f t="shared" si="146"/>
        <v>0</v>
      </c>
      <c r="ED31" s="53">
        <f t="shared" si="146"/>
        <v>0</v>
      </c>
      <c r="EE31" s="53">
        <f t="shared" si="146"/>
        <v>0</v>
      </c>
      <c r="EF31" s="53">
        <f t="shared" si="146"/>
        <v>0</v>
      </c>
      <c r="EG31" s="53">
        <f t="shared" si="146"/>
        <v>0</v>
      </c>
      <c r="EH31" s="53">
        <f t="shared" si="146"/>
        <v>0</v>
      </c>
      <c r="EI31" s="53">
        <f t="shared" si="146"/>
        <v>0</v>
      </c>
      <c r="EJ31" s="53">
        <f t="shared" si="146"/>
        <v>0</v>
      </c>
      <c r="EK31" s="53">
        <f t="shared" si="146"/>
        <v>0</v>
      </c>
    </row>
    <row r="32" spans="1:141" outlineLevel="1">
      <c r="A32" s="46" t="s">
        <v>61</v>
      </c>
      <c r="B32" s="37" t="s">
        <v>1</v>
      </c>
      <c r="C32" s="374">
        <f t="shared" ref="C32:N39" si="147">Q32+AE32</f>
        <v>0</v>
      </c>
      <c r="D32" s="54">
        <f t="shared" si="147"/>
        <v>0</v>
      </c>
      <c r="E32" s="54">
        <f t="shared" si="147"/>
        <v>0</v>
      </c>
      <c r="F32" s="54">
        <f t="shared" si="147"/>
        <v>0</v>
      </c>
      <c r="G32" s="54">
        <f t="shared" si="147"/>
        <v>0</v>
      </c>
      <c r="H32" s="54">
        <f t="shared" si="147"/>
        <v>0</v>
      </c>
      <c r="I32" s="54">
        <f t="shared" si="147"/>
        <v>0</v>
      </c>
      <c r="J32" s="54">
        <f t="shared" si="147"/>
        <v>0</v>
      </c>
      <c r="K32" s="54">
        <f t="shared" si="147"/>
        <v>0</v>
      </c>
      <c r="L32" s="54">
        <f t="shared" si="147"/>
        <v>0</v>
      </c>
      <c r="M32" s="54">
        <f t="shared" si="147"/>
        <v>0</v>
      </c>
      <c r="N32" s="54">
        <f t="shared" si="147"/>
        <v>0</v>
      </c>
      <c r="O32" s="375">
        <f t="shared" ref="O32:O39" si="148">SUM(C32:N32)</f>
        <v>0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>
        <f t="shared" ref="AC32:AC39" si="149">SUM(Q32:AB32)</f>
        <v>0</v>
      </c>
      <c r="AE32" s="376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377">
        <f t="shared" ref="AQ32:AQ39" si="150">SUM(AE32:AP32)</f>
        <v>0</v>
      </c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>
        <f t="shared" ref="BE32:BE39" si="151">SUM(AS32:BD32)</f>
        <v>0</v>
      </c>
      <c r="BG32" s="54">
        <f t="shared" ref="BG32:BR39" si="152">BU32+CI32+CW32</f>
        <v>0</v>
      </c>
      <c r="BH32" s="54">
        <f t="shared" si="152"/>
        <v>0</v>
      </c>
      <c r="BI32" s="54">
        <f t="shared" si="152"/>
        <v>0</v>
      </c>
      <c r="BJ32" s="54">
        <f t="shared" si="152"/>
        <v>0</v>
      </c>
      <c r="BK32" s="54">
        <f t="shared" si="152"/>
        <v>0</v>
      </c>
      <c r="BL32" s="54">
        <f t="shared" si="152"/>
        <v>0</v>
      </c>
      <c r="BM32" s="54">
        <f t="shared" si="152"/>
        <v>0</v>
      </c>
      <c r="BN32" s="54">
        <f t="shared" si="152"/>
        <v>0</v>
      </c>
      <c r="BO32" s="54">
        <f t="shared" si="152"/>
        <v>0</v>
      </c>
      <c r="BP32" s="54">
        <f t="shared" si="152"/>
        <v>0</v>
      </c>
      <c r="BQ32" s="54">
        <f t="shared" si="152"/>
        <v>0</v>
      </c>
      <c r="BR32" s="54">
        <f t="shared" si="152"/>
        <v>0</v>
      </c>
      <c r="BS32" s="54">
        <f t="shared" ref="BS32:BS39" si="153">SUM(BG32:BR32)</f>
        <v>0</v>
      </c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>
        <f t="shared" ref="CG32:CG39" si="154">SUM(BU32:CF32)</f>
        <v>0</v>
      </c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>
        <f t="shared" ref="CU32:CU39" si="155">SUM(CI32:CT32)</f>
        <v>0</v>
      </c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>
        <f t="shared" ref="DI32:DI39" si="156">SUM(CW32:DH32)</f>
        <v>0</v>
      </c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>
        <f t="shared" ref="DW32:DW39" si="157">SUM(DK32:DV32)</f>
        <v>0</v>
      </c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>
        <f t="shared" ref="EK32:EK39" si="158">SUM(DY32:EJ32)</f>
        <v>0</v>
      </c>
    </row>
    <row r="33" spans="1:141" ht="15" customHeight="1" outlineLevel="1">
      <c r="A33" s="46" t="s">
        <v>69</v>
      </c>
      <c r="B33" s="37" t="s">
        <v>2</v>
      </c>
      <c r="C33" s="418">
        <f t="shared" si="147"/>
        <v>0</v>
      </c>
      <c r="D33" s="76">
        <f t="shared" si="147"/>
        <v>0</v>
      </c>
      <c r="E33" s="76">
        <f t="shared" si="147"/>
        <v>0</v>
      </c>
      <c r="F33" s="76">
        <f t="shared" si="147"/>
        <v>0</v>
      </c>
      <c r="G33" s="76">
        <f t="shared" si="147"/>
        <v>0</v>
      </c>
      <c r="H33" s="76">
        <f t="shared" si="147"/>
        <v>0</v>
      </c>
      <c r="I33" s="76">
        <f t="shared" si="147"/>
        <v>0</v>
      </c>
      <c r="J33" s="76">
        <f t="shared" si="147"/>
        <v>0</v>
      </c>
      <c r="K33" s="76">
        <f t="shared" si="147"/>
        <v>0</v>
      </c>
      <c r="L33" s="76">
        <f t="shared" si="147"/>
        <v>0</v>
      </c>
      <c r="M33" s="76">
        <f t="shared" si="147"/>
        <v>0</v>
      </c>
      <c r="N33" s="76">
        <f t="shared" si="147"/>
        <v>0</v>
      </c>
      <c r="O33" s="419">
        <f t="shared" si="148"/>
        <v>0</v>
      </c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>
        <f t="shared" si="149"/>
        <v>0</v>
      </c>
      <c r="AE33" s="420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421">
        <f t="shared" si="150"/>
        <v>0</v>
      </c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>
        <f t="shared" si="151"/>
        <v>0</v>
      </c>
      <c r="BG33" s="76">
        <f t="shared" si="152"/>
        <v>0</v>
      </c>
      <c r="BH33" s="76">
        <f t="shared" si="152"/>
        <v>0</v>
      </c>
      <c r="BI33" s="76">
        <f t="shared" si="152"/>
        <v>0</v>
      </c>
      <c r="BJ33" s="76">
        <f t="shared" si="152"/>
        <v>0</v>
      </c>
      <c r="BK33" s="76">
        <f t="shared" si="152"/>
        <v>0</v>
      </c>
      <c r="BL33" s="76">
        <f t="shared" si="152"/>
        <v>0</v>
      </c>
      <c r="BM33" s="76">
        <f t="shared" si="152"/>
        <v>0</v>
      </c>
      <c r="BN33" s="76">
        <f t="shared" si="152"/>
        <v>0</v>
      </c>
      <c r="BO33" s="76">
        <f t="shared" si="152"/>
        <v>0</v>
      </c>
      <c r="BP33" s="76">
        <f t="shared" si="152"/>
        <v>0</v>
      </c>
      <c r="BQ33" s="76">
        <f t="shared" si="152"/>
        <v>0</v>
      </c>
      <c r="BR33" s="76">
        <f t="shared" si="152"/>
        <v>0</v>
      </c>
      <c r="BS33" s="76">
        <f t="shared" si="153"/>
        <v>0</v>
      </c>
      <c r="BU33" s="76"/>
      <c r="BV33" s="76"/>
      <c r="BW33" s="76"/>
      <c r="BX33" s="76"/>
      <c r="BY33" s="76"/>
      <c r="BZ33" s="76"/>
      <c r="CA33" s="76"/>
      <c r="CB33" s="76"/>
      <c r="CC33" s="76"/>
      <c r="CD33" s="76"/>
      <c r="CE33" s="76"/>
      <c r="CF33" s="76"/>
      <c r="CG33" s="76">
        <f t="shared" si="154"/>
        <v>0</v>
      </c>
      <c r="CI33" s="76"/>
      <c r="CJ33" s="76"/>
      <c r="CK33" s="76"/>
      <c r="CL33" s="76"/>
      <c r="CM33" s="76"/>
      <c r="CN33" s="76"/>
      <c r="CO33" s="76"/>
      <c r="CP33" s="76"/>
      <c r="CQ33" s="76"/>
      <c r="CR33" s="76"/>
      <c r="CS33" s="76"/>
      <c r="CT33" s="76"/>
      <c r="CU33" s="76">
        <f t="shared" si="155"/>
        <v>0</v>
      </c>
      <c r="CW33" s="76"/>
      <c r="CX33" s="76"/>
      <c r="CY33" s="76"/>
      <c r="CZ33" s="76"/>
      <c r="DA33" s="76"/>
      <c r="DB33" s="76"/>
      <c r="DC33" s="76"/>
      <c r="DD33" s="76"/>
      <c r="DE33" s="76"/>
      <c r="DF33" s="76"/>
      <c r="DG33" s="76"/>
      <c r="DH33" s="76"/>
      <c r="DI33" s="76">
        <f t="shared" si="156"/>
        <v>0</v>
      </c>
      <c r="DK33" s="7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6"/>
      <c r="DW33" s="76">
        <f t="shared" si="157"/>
        <v>0</v>
      </c>
      <c r="DY33" s="76"/>
      <c r="DZ33" s="76"/>
      <c r="EA33" s="76"/>
      <c r="EB33" s="76"/>
      <c r="EC33" s="76"/>
      <c r="ED33" s="76"/>
      <c r="EE33" s="76"/>
      <c r="EF33" s="76"/>
      <c r="EG33" s="76"/>
      <c r="EH33" s="76"/>
      <c r="EI33" s="76"/>
      <c r="EJ33" s="76"/>
      <c r="EK33" s="76">
        <f t="shared" si="158"/>
        <v>0</v>
      </c>
    </row>
    <row r="34" spans="1:141" outlineLevel="1">
      <c r="A34" s="46" t="s">
        <v>70</v>
      </c>
      <c r="B34" s="37" t="s">
        <v>3</v>
      </c>
      <c r="C34" s="374">
        <f t="shared" si="147"/>
        <v>0</v>
      </c>
      <c r="D34" s="54">
        <f t="shared" si="147"/>
        <v>0</v>
      </c>
      <c r="E34" s="54">
        <f t="shared" si="147"/>
        <v>0</v>
      </c>
      <c r="F34" s="54">
        <f t="shared" si="147"/>
        <v>0</v>
      </c>
      <c r="G34" s="54">
        <f t="shared" si="147"/>
        <v>0</v>
      </c>
      <c r="H34" s="54">
        <f t="shared" si="147"/>
        <v>0</v>
      </c>
      <c r="I34" s="54">
        <f t="shared" si="147"/>
        <v>0</v>
      </c>
      <c r="J34" s="54">
        <f t="shared" si="147"/>
        <v>0</v>
      </c>
      <c r="K34" s="54">
        <f t="shared" si="147"/>
        <v>0</v>
      </c>
      <c r="L34" s="54">
        <f t="shared" si="147"/>
        <v>0</v>
      </c>
      <c r="M34" s="54">
        <f t="shared" si="147"/>
        <v>0</v>
      </c>
      <c r="N34" s="54">
        <f t="shared" si="147"/>
        <v>0</v>
      </c>
      <c r="O34" s="375">
        <f t="shared" si="148"/>
        <v>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>
        <f t="shared" si="149"/>
        <v>0</v>
      </c>
      <c r="AE34" s="376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377">
        <f t="shared" si="150"/>
        <v>0</v>
      </c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>
        <f t="shared" si="151"/>
        <v>0</v>
      </c>
      <c r="BG34" s="54">
        <f t="shared" si="152"/>
        <v>0</v>
      </c>
      <c r="BH34" s="54">
        <f t="shared" si="152"/>
        <v>0</v>
      </c>
      <c r="BI34" s="54">
        <f t="shared" si="152"/>
        <v>0</v>
      </c>
      <c r="BJ34" s="54">
        <f t="shared" si="152"/>
        <v>0</v>
      </c>
      <c r="BK34" s="54">
        <f t="shared" si="152"/>
        <v>0</v>
      </c>
      <c r="BL34" s="54">
        <f t="shared" si="152"/>
        <v>0</v>
      </c>
      <c r="BM34" s="54">
        <f t="shared" si="152"/>
        <v>0</v>
      </c>
      <c r="BN34" s="54">
        <f t="shared" si="152"/>
        <v>0</v>
      </c>
      <c r="BO34" s="54">
        <f t="shared" si="152"/>
        <v>0</v>
      </c>
      <c r="BP34" s="54">
        <f t="shared" si="152"/>
        <v>0</v>
      </c>
      <c r="BQ34" s="54">
        <f t="shared" si="152"/>
        <v>0</v>
      </c>
      <c r="BR34" s="54">
        <f t="shared" si="152"/>
        <v>0</v>
      </c>
      <c r="BS34" s="54">
        <f t="shared" si="153"/>
        <v>0</v>
      </c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>
        <f t="shared" si="154"/>
        <v>0</v>
      </c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>
        <f t="shared" si="155"/>
        <v>0</v>
      </c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>
        <f t="shared" si="156"/>
        <v>0</v>
      </c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>
        <f t="shared" si="157"/>
        <v>0</v>
      </c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>
        <f t="shared" si="158"/>
        <v>0</v>
      </c>
    </row>
    <row r="35" spans="1:141">
      <c r="A35" s="38">
        <v>8</v>
      </c>
      <c r="B35" s="39" t="s">
        <v>26</v>
      </c>
      <c r="C35" s="374">
        <f t="shared" si="147"/>
        <v>20005548.111111112</v>
      </c>
      <c r="D35" s="54">
        <f t="shared" si="147"/>
        <v>20005548.111111112</v>
      </c>
      <c r="E35" s="54">
        <f t="shared" si="147"/>
        <v>20005548.111111112</v>
      </c>
      <c r="F35" s="54">
        <f t="shared" si="147"/>
        <v>10005548.111111112</v>
      </c>
      <c r="G35" s="54">
        <f t="shared" si="147"/>
        <v>10005548.111111112</v>
      </c>
      <c r="H35" s="54">
        <f t="shared" si="147"/>
        <v>10005548.111111112</v>
      </c>
      <c r="I35" s="54">
        <f t="shared" si="147"/>
        <v>10005548.111111112</v>
      </c>
      <c r="J35" s="54">
        <f t="shared" si="147"/>
        <v>10005548.111111112</v>
      </c>
      <c r="K35" s="54">
        <f t="shared" si="147"/>
        <v>10005548.111111112</v>
      </c>
      <c r="L35" s="54">
        <f t="shared" si="147"/>
        <v>10005548.111111112</v>
      </c>
      <c r="M35" s="54">
        <f t="shared" si="147"/>
        <v>10005548.111111112</v>
      </c>
      <c r="N35" s="54">
        <f t="shared" si="147"/>
        <v>10005548.111111112</v>
      </c>
      <c r="O35" s="375">
        <f t="shared" si="148"/>
        <v>150066577.33333328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>
        <f t="shared" si="149"/>
        <v>0</v>
      </c>
      <c r="AE35" s="376">
        <f t="shared" ref="AE35:AP39" si="159">AS35+BU35+CI35+CW35+DK35</f>
        <v>20005548.111111112</v>
      </c>
      <c r="AF35" s="54">
        <f t="shared" si="159"/>
        <v>20005548.111111112</v>
      </c>
      <c r="AG35" s="54">
        <f t="shared" si="159"/>
        <v>20005548.111111112</v>
      </c>
      <c r="AH35" s="54">
        <f t="shared" si="159"/>
        <v>10005548.111111112</v>
      </c>
      <c r="AI35" s="54">
        <f t="shared" si="159"/>
        <v>10005548.111111112</v>
      </c>
      <c r="AJ35" s="54">
        <f t="shared" si="159"/>
        <v>10005548.111111112</v>
      </c>
      <c r="AK35" s="54">
        <f t="shared" si="159"/>
        <v>10005548.111111112</v>
      </c>
      <c r="AL35" s="54">
        <f t="shared" si="159"/>
        <v>10005548.111111112</v>
      </c>
      <c r="AM35" s="54">
        <f t="shared" si="159"/>
        <v>10005548.111111112</v>
      </c>
      <c r="AN35" s="54">
        <f t="shared" si="159"/>
        <v>10005548.111111112</v>
      </c>
      <c r="AO35" s="54">
        <f t="shared" si="159"/>
        <v>10005548.111111112</v>
      </c>
      <c r="AP35" s="54">
        <f t="shared" si="159"/>
        <v>10005548.111111112</v>
      </c>
      <c r="AQ35" s="377">
        <f t="shared" si="150"/>
        <v>150066577.33333328</v>
      </c>
      <c r="AS35" s="54">
        <v>0</v>
      </c>
      <c r="AT35" s="54">
        <v>0</v>
      </c>
      <c r="AU35" s="54">
        <v>0</v>
      </c>
      <c r="AV35" s="54">
        <v>0</v>
      </c>
      <c r="AW35" s="54">
        <v>0</v>
      </c>
      <c r="AX35" s="54">
        <v>0</v>
      </c>
      <c r="AY35" s="54">
        <v>0</v>
      </c>
      <c r="AZ35" s="54">
        <v>0</v>
      </c>
      <c r="BA35" s="54">
        <v>0</v>
      </c>
      <c r="BB35" s="54">
        <v>0</v>
      </c>
      <c r="BC35" s="54">
        <v>0</v>
      </c>
      <c r="BD35" s="54">
        <v>0</v>
      </c>
      <c r="BE35" s="54">
        <f t="shared" si="151"/>
        <v>0</v>
      </c>
      <c r="BG35" s="54">
        <f t="shared" si="152"/>
        <v>20000000</v>
      </c>
      <c r="BH35" s="54">
        <f t="shared" si="152"/>
        <v>20000000</v>
      </c>
      <c r="BI35" s="54">
        <f t="shared" si="152"/>
        <v>20000000</v>
      </c>
      <c r="BJ35" s="54">
        <f t="shared" si="152"/>
        <v>10000000</v>
      </c>
      <c r="BK35" s="54">
        <f t="shared" si="152"/>
        <v>10000000</v>
      </c>
      <c r="BL35" s="54">
        <f t="shared" si="152"/>
        <v>10000000</v>
      </c>
      <c r="BM35" s="54">
        <f t="shared" si="152"/>
        <v>10000000</v>
      </c>
      <c r="BN35" s="54">
        <f t="shared" si="152"/>
        <v>10000000</v>
      </c>
      <c r="BO35" s="54">
        <f t="shared" si="152"/>
        <v>10000000</v>
      </c>
      <c r="BP35" s="54">
        <f t="shared" si="152"/>
        <v>10000000</v>
      </c>
      <c r="BQ35" s="54">
        <f t="shared" si="152"/>
        <v>10000000</v>
      </c>
      <c r="BR35" s="54">
        <f t="shared" si="152"/>
        <v>10000000</v>
      </c>
      <c r="BS35" s="54">
        <f t="shared" si="153"/>
        <v>150000000</v>
      </c>
      <c r="BU35" s="54">
        <v>20000000</v>
      </c>
      <c r="BV35" s="54">
        <v>20000000</v>
      </c>
      <c r="BW35" s="54">
        <v>20000000</v>
      </c>
      <c r="BX35" s="54">
        <v>10000000</v>
      </c>
      <c r="BY35" s="54">
        <v>10000000</v>
      </c>
      <c r="BZ35" s="54">
        <v>10000000</v>
      </c>
      <c r="CA35" s="54">
        <v>10000000</v>
      </c>
      <c r="CB35" s="54">
        <v>10000000</v>
      </c>
      <c r="CC35" s="54">
        <v>10000000</v>
      </c>
      <c r="CD35" s="54">
        <v>10000000</v>
      </c>
      <c r="CE35" s="54">
        <v>10000000</v>
      </c>
      <c r="CF35" s="54">
        <v>10000000</v>
      </c>
      <c r="CG35" s="54">
        <f t="shared" si="154"/>
        <v>150000000</v>
      </c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>
        <f t="shared" si="155"/>
        <v>0</v>
      </c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>
        <f t="shared" si="156"/>
        <v>0</v>
      </c>
      <c r="DK35" s="54">
        <v>5548.1111111111113</v>
      </c>
      <c r="DL35" s="54">
        <v>5548.1111111111113</v>
      </c>
      <c r="DM35" s="54">
        <v>5548.1111111111113</v>
      </c>
      <c r="DN35" s="54">
        <v>5548.1111111111113</v>
      </c>
      <c r="DO35" s="54">
        <v>5548.1111111111113</v>
      </c>
      <c r="DP35" s="54">
        <v>5548.1111111111113</v>
      </c>
      <c r="DQ35" s="54">
        <v>5548.1111111111113</v>
      </c>
      <c r="DR35" s="54">
        <v>5548.1111111111113</v>
      </c>
      <c r="DS35" s="54">
        <v>5548.1111111111113</v>
      </c>
      <c r="DT35" s="54">
        <v>5548.1111111111113</v>
      </c>
      <c r="DU35" s="54">
        <v>5548.1111111111113</v>
      </c>
      <c r="DV35" s="54">
        <v>5548.1111111111113</v>
      </c>
      <c r="DW35" s="54">
        <f t="shared" si="157"/>
        <v>66577.333333333328</v>
      </c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>
        <f t="shared" si="158"/>
        <v>0</v>
      </c>
    </row>
    <row r="36" spans="1:141">
      <c r="A36" s="47">
        <v>9</v>
      </c>
      <c r="B36" s="35" t="s">
        <v>27</v>
      </c>
      <c r="C36" s="374">
        <f t="shared" si="147"/>
        <v>1440729191.0893345</v>
      </c>
      <c r="D36" s="54">
        <f t="shared" si="147"/>
        <v>2314401491.6227865</v>
      </c>
      <c r="E36" s="54">
        <f t="shared" si="147"/>
        <v>2754845108.8531456</v>
      </c>
      <c r="F36" s="54">
        <f t="shared" si="147"/>
        <v>2658973977.945015</v>
      </c>
      <c r="G36" s="54">
        <f t="shared" si="147"/>
        <v>2984563857.6971397</v>
      </c>
      <c r="H36" s="54">
        <f t="shared" si="147"/>
        <v>3083765892.6644506</v>
      </c>
      <c r="I36" s="54">
        <f t="shared" si="147"/>
        <v>3139619158.6549101</v>
      </c>
      <c r="J36" s="54">
        <f t="shared" si="147"/>
        <v>3321581053.7279758</v>
      </c>
      <c r="K36" s="54">
        <f t="shared" si="147"/>
        <v>3248341883.5147653</v>
      </c>
      <c r="L36" s="54">
        <f t="shared" si="147"/>
        <v>3254733184.6761322</v>
      </c>
      <c r="M36" s="54">
        <f t="shared" si="147"/>
        <v>3261994460.9206567</v>
      </c>
      <c r="N36" s="54">
        <f t="shared" si="147"/>
        <v>3102355062.0342402</v>
      </c>
      <c r="O36" s="375">
        <f t="shared" si="148"/>
        <v>34565904323.400558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>
        <f t="shared" si="149"/>
        <v>0</v>
      </c>
      <c r="AE36" s="376">
        <f t="shared" si="159"/>
        <v>1440729191.0893345</v>
      </c>
      <c r="AF36" s="54">
        <f t="shared" si="159"/>
        <v>2314401491.6227865</v>
      </c>
      <c r="AG36" s="54">
        <f t="shared" si="159"/>
        <v>2754845108.8531456</v>
      </c>
      <c r="AH36" s="54">
        <f t="shared" si="159"/>
        <v>2658973977.945015</v>
      </c>
      <c r="AI36" s="54">
        <f t="shared" si="159"/>
        <v>2984563857.6971397</v>
      </c>
      <c r="AJ36" s="54">
        <f t="shared" si="159"/>
        <v>3083765892.6644506</v>
      </c>
      <c r="AK36" s="54">
        <f t="shared" si="159"/>
        <v>3139619158.6549101</v>
      </c>
      <c r="AL36" s="54">
        <f t="shared" si="159"/>
        <v>3321581053.7279758</v>
      </c>
      <c r="AM36" s="54">
        <f t="shared" si="159"/>
        <v>3248341883.5147653</v>
      </c>
      <c r="AN36" s="54">
        <f t="shared" si="159"/>
        <v>3254733184.6761322</v>
      </c>
      <c r="AO36" s="54">
        <f t="shared" si="159"/>
        <v>3261994460.9206567</v>
      </c>
      <c r="AP36" s="54">
        <f t="shared" si="159"/>
        <v>3102355062.0342402</v>
      </c>
      <c r="AQ36" s="377">
        <f t="shared" si="150"/>
        <v>34565904323.400558</v>
      </c>
      <c r="AS36" s="54">
        <v>1440729191.0893345</v>
      </c>
      <c r="AT36" s="54">
        <v>2314401491.6227865</v>
      </c>
      <c r="AU36" s="54">
        <v>2754845108.8531456</v>
      </c>
      <c r="AV36" s="54">
        <v>2658973977.945015</v>
      </c>
      <c r="AW36" s="54">
        <v>2984563857.6971397</v>
      </c>
      <c r="AX36" s="54">
        <v>3083765892.6644506</v>
      </c>
      <c r="AY36" s="54">
        <v>3139619158.6549101</v>
      </c>
      <c r="AZ36" s="54">
        <v>3321581053.7279758</v>
      </c>
      <c r="BA36" s="54">
        <v>3248341883.5147653</v>
      </c>
      <c r="BB36" s="54">
        <v>3254733184.6761322</v>
      </c>
      <c r="BC36" s="54">
        <v>3261994460.9206567</v>
      </c>
      <c r="BD36" s="54">
        <v>3102355062.0342402</v>
      </c>
      <c r="BE36" s="54">
        <f t="shared" si="151"/>
        <v>34565904323.400558</v>
      </c>
      <c r="BG36" s="54">
        <f t="shared" si="152"/>
        <v>0</v>
      </c>
      <c r="BH36" s="54">
        <f t="shared" si="152"/>
        <v>0</v>
      </c>
      <c r="BI36" s="54">
        <f t="shared" si="152"/>
        <v>0</v>
      </c>
      <c r="BJ36" s="54">
        <f t="shared" si="152"/>
        <v>0</v>
      </c>
      <c r="BK36" s="54">
        <f t="shared" si="152"/>
        <v>0</v>
      </c>
      <c r="BL36" s="54">
        <f t="shared" si="152"/>
        <v>0</v>
      </c>
      <c r="BM36" s="54">
        <f t="shared" si="152"/>
        <v>0</v>
      </c>
      <c r="BN36" s="54">
        <f t="shared" si="152"/>
        <v>0</v>
      </c>
      <c r="BO36" s="54">
        <f t="shared" si="152"/>
        <v>0</v>
      </c>
      <c r="BP36" s="54">
        <f t="shared" si="152"/>
        <v>0</v>
      </c>
      <c r="BQ36" s="54">
        <f t="shared" si="152"/>
        <v>0</v>
      </c>
      <c r="BR36" s="54">
        <f t="shared" si="152"/>
        <v>0</v>
      </c>
      <c r="BS36" s="54">
        <f t="shared" si="153"/>
        <v>0</v>
      </c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>
        <f t="shared" si="154"/>
        <v>0</v>
      </c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>
        <f t="shared" si="155"/>
        <v>0</v>
      </c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>
        <f t="shared" si="156"/>
        <v>0</v>
      </c>
      <c r="DK36" s="54">
        <v>0</v>
      </c>
      <c r="DL36" s="54">
        <v>0</v>
      </c>
      <c r="DM36" s="54">
        <v>0</v>
      </c>
      <c r="DN36" s="54">
        <v>0</v>
      </c>
      <c r="DO36" s="54">
        <v>0</v>
      </c>
      <c r="DP36" s="54">
        <v>0</v>
      </c>
      <c r="DQ36" s="54">
        <v>0</v>
      </c>
      <c r="DR36" s="54">
        <v>0</v>
      </c>
      <c r="DS36" s="54">
        <v>0</v>
      </c>
      <c r="DT36" s="54">
        <v>0</v>
      </c>
      <c r="DU36" s="54">
        <v>0</v>
      </c>
      <c r="DV36" s="54">
        <v>0</v>
      </c>
      <c r="DW36" s="54">
        <f t="shared" si="157"/>
        <v>0</v>
      </c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>
        <f t="shared" si="158"/>
        <v>0</v>
      </c>
    </row>
    <row r="37" spans="1:141">
      <c r="A37" s="38">
        <v>10</v>
      </c>
      <c r="B37" s="48" t="s">
        <v>28</v>
      </c>
      <c r="C37" s="414">
        <f t="shared" si="147"/>
        <v>1440729191.0893345</v>
      </c>
      <c r="D37" s="53">
        <f t="shared" si="147"/>
        <v>2314401491.6227865</v>
      </c>
      <c r="E37" s="53">
        <f t="shared" si="147"/>
        <v>2754845108.8531456</v>
      </c>
      <c r="F37" s="53">
        <f t="shared" si="147"/>
        <v>2658973977.945015</v>
      </c>
      <c r="G37" s="53">
        <f t="shared" si="147"/>
        <v>2984563857.6971397</v>
      </c>
      <c r="H37" s="53">
        <f t="shared" si="147"/>
        <v>3083765892.6644506</v>
      </c>
      <c r="I37" s="53">
        <f t="shared" si="147"/>
        <v>3139619158.6549101</v>
      </c>
      <c r="J37" s="53">
        <f t="shared" si="147"/>
        <v>3321581053.7279758</v>
      </c>
      <c r="K37" s="53">
        <f t="shared" si="147"/>
        <v>3248341883.5147653</v>
      </c>
      <c r="L37" s="53">
        <f t="shared" si="147"/>
        <v>3254733184.6761322</v>
      </c>
      <c r="M37" s="53">
        <f t="shared" si="147"/>
        <v>3261994460.9206567</v>
      </c>
      <c r="N37" s="53">
        <f t="shared" si="147"/>
        <v>3102355062.0342402</v>
      </c>
      <c r="O37" s="415">
        <f t="shared" si="148"/>
        <v>34565904323.400558</v>
      </c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>
        <f t="shared" si="149"/>
        <v>0</v>
      </c>
      <c r="AE37" s="416">
        <f t="shared" si="159"/>
        <v>1440729191.0893345</v>
      </c>
      <c r="AF37" s="53">
        <f t="shared" si="159"/>
        <v>2314401491.6227865</v>
      </c>
      <c r="AG37" s="53">
        <f t="shared" si="159"/>
        <v>2754845108.8531456</v>
      </c>
      <c r="AH37" s="53">
        <f t="shared" si="159"/>
        <v>2658973977.945015</v>
      </c>
      <c r="AI37" s="53">
        <f t="shared" si="159"/>
        <v>2984563857.6971397</v>
      </c>
      <c r="AJ37" s="53">
        <f t="shared" si="159"/>
        <v>3083765892.6644506</v>
      </c>
      <c r="AK37" s="53">
        <f t="shared" si="159"/>
        <v>3139619158.6549101</v>
      </c>
      <c r="AL37" s="53">
        <f t="shared" si="159"/>
        <v>3321581053.7279758</v>
      </c>
      <c r="AM37" s="53">
        <f t="shared" si="159"/>
        <v>3248341883.5147653</v>
      </c>
      <c r="AN37" s="53">
        <f t="shared" si="159"/>
        <v>3254733184.6761322</v>
      </c>
      <c r="AO37" s="53">
        <f t="shared" si="159"/>
        <v>3261994460.9206567</v>
      </c>
      <c r="AP37" s="53">
        <f t="shared" si="159"/>
        <v>3102355062.0342402</v>
      </c>
      <c r="AQ37" s="417">
        <f t="shared" si="150"/>
        <v>34565904323.400558</v>
      </c>
      <c r="AS37" s="53">
        <v>1440729191.0893345</v>
      </c>
      <c r="AT37" s="53">
        <v>2314401491.6227865</v>
      </c>
      <c r="AU37" s="53">
        <v>2754845108.8531456</v>
      </c>
      <c r="AV37" s="53">
        <v>2658973977.945015</v>
      </c>
      <c r="AW37" s="53">
        <v>2984563857.6971397</v>
      </c>
      <c r="AX37" s="53">
        <v>3083765892.6644506</v>
      </c>
      <c r="AY37" s="53">
        <v>3139619158.6549101</v>
      </c>
      <c r="AZ37" s="53">
        <v>3321581053.7279758</v>
      </c>
      <c r="BA37" s="53">
        <v>3248341883.5147653</v>
      </c>
      <c r="BB37" s="53">
        <v>3254733184.6761322</v>
      </c>
      <c r="BC37" s="53">
        <v>3261994460.9206567</v>
      </c>
      <c r="BD37" s="53">
        <v>3102355062.0342402</v>
      </c>
      <c r="BE37" s="53">
        <f t="shared" si="151"/>
        <v>34565904323.400558</v>
      </c>
      <c r="BG37" s="53">
        <f t="shared" si="152"/>
        <v>0</v>
      </c>
      <c r="BH37" s="53">
        <f t="shared" si="152"/>
        <v>0</v>
      </c>
      <c r="BI37" s="53">
        <f t="shared" si="152"/>
        <v>0</v>
      </c>
      <c r="BJ37" s="53">
        <f t="shared" si="152"/>
        <v>0</v>
      </c>
      <c r="BK37" s="53">
        <f t="shared" si="152"/>
        <v>0</v>
      </c>
      <c r="BL37" s="53">
        <f t="shared" si="152"/>
        <v>0</v>
      </c>
      <c r="BM37" s="53">
        <f t="shared" si="152"/>
        <v>0</v>
      </c>
      <c r="BN37" s="53">
        <f t="shared" si="152"/>
        <v>0</v>
      </c>
      <c r="BO37" s="53">
        <f t="shared" si="152"/>
        <v>0</v>
      </c>
      <c r="BP37" s="53">
        <f t="shared" si="152"/>
        <v>0</v>
      </c>
      <c r="BQ37" s="53">
        <f t="shared" si="152"/>
        <v>0</v>
      </c>
      <c r="BR37" s="53">
        <f t="shared" si="152"/>
        <v>0</v>
      </c>
      <c r="BS37" s="53">
        <f t="shared" si="153"/>
        <v>0</v>
      </c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>
        <f t="shared" si="154"/>
        <v>0</v>
      </c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>
        <f t="shared" si="155"/>
        <v>0</v>
      </c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>
        <f t="shared" si="156"/>
        <v>0</v>
      </c>
      <c r="DK37" s="53">
        <v>0</v>
      </c>
      <c r="DL37" s="53">
        <v>0</v>
      </c>
      <c r="DM37" s="53">
        <v>0</v>
      </c>
      <c r="DN37" s="53">
        <v>0</v>
      </c>
      <c r="DO37" s="53">
        <v>0</v>
      </c>
      <c r="DP37" s="53">
        <v>0</v>
      </c>
      <c r="DQ37" s="53">
        <v>0</v>
      </c>
      <c r="DR37" s="53">
        <v>0</v>
      </c>
      <c r="DS37" s="53">
        <v>0</v>
      </c>
      <c r="DT37" s="53">
        <v>0</v>
      </c>
      <c r="DU37" s="53">
        <v>0</v>
      </c>
      <c r="DV37" s="53">
        <v>0</v>
      </c>
      <c r="DW37" s="53">
        <f t="shared" si="157"/>
        <v>0</v>
      </c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>
        <f t="shared" si="158"/>
        <v>0</v>
      </c>
    </row>
    <row r="38" spans="1:141">
      <c r="A38" s="38">
        <v>11</v>
      </c>
      <c r="B38" s="39" t="s">
        <v>29</v>
      </c>
      <c r="C38" s="374">
        <f t="shared" si="147"/>
        <v>5784175968.9827738</v>
      </c>
      <c r="D38" s="54">
        <f t="shared" si="147"/>
        <v>4543425733.8565702</v>
      </c>
      <c r="E38" s="54">
        <f t="shared" si="147"/>
        <v>5327519947.7613316</v>
      </c>
      <c r="F38" s="54">
        <f t="shared" si="147"/>
        <v>4755578140.938798</v>
      </c>
      <c r="G38" s="54">
        <f t="shared" si="147"/>
        <v>6335307781.7256832</v>
      </c>
      <c r="H38" s="54">
        <f t="shared" si="147"/>
        <v>5675236412.4745121</v>
      </c>
      <c r="I38" s="54">
        <f t="shared" si="147"/>
        <v>5052170571.0964689</v>
      </c>
      <c r="J38" s="54">
        <f t="shared" si="147"/>
        <v>4936337765.8505669</v>
      </c>
      <c r="K38" s="54">
        <f t="shared" si="147"/>
        <v>6919304369.0964689</v>
      </c>
      <c r="L38" s="54">
        <f t="shared" si="147"/>
        <v>5101990953.5700569</v>
      </c>
      <c r="M38" s="54">
        <f t="shared" si="147"/>
        <v>5416826877.9853573</v>
      </c>
      <c r="N38" s="54">
        <f t="shared" si="147"/>
        <v>5525603708.9471064</v>
      </c>
      <c r="O38" s="375">
        <f t="shared" si="148"/>
        <v>65373478232.28569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>
        <f t="shared" si="149"/>
        <v>0</v>
      </c>
      <c r="AE38" s="376">
        <f t="shared" si="159"/>
        <v>5784175968.9827738</v>
      </c>
      <c r="AF38" s="54">
        <f t="shared" si="159"/>
        <v>4543425733.8565702</v>
      </c>
      <c r="AG38" s="54">
        <f t="shared" si="159"/>
        <v>5327519947.7613316</v>
      </c>
      <c r="AH38" s="54">
        <f t="shared" si="159"/>
        <v>4755578140.938798</v>
      </c>
      <c r="AI38" s="54">
        <f t="shared" si="159"/>
        <v>6335307781.7256832</v>
      </c>
      <c r="AJ38" s="54">
        <f t="shared" si="159"/>
        <v>5675236412.4745121</v>
      </c>
      <c r="AK38" s="54">
        <f t="shared" si="159"/>
        <v>5052170571.0964689</v>
      </c>
      <c r="AL38" s="54">
        <f t="shared" si="159"/>
        <v>4936337765.8505669</v>
      </c>
      <c r="AM38" s="54">
        <f t="shared" si="159"/>
        <v>6919304369.0964689</v>
      </c>
      <c r="AN38" s="54">
        <f t="shared" si="159"/>
        <v>5101990953.5700569</v>
      </c>
      <c r="AO38" s="54">
        <f t="shared" si="159"/>
        <v>5416826877.9853573</v>
      </c>
      <c r="AP38" s="54">
        <f t="shared" si="159"/>
        <v>5525603708.9471064</v>
      </c>
      <c r="AQ38" s="377">
        <f t="shared" si="150"/>
        <v>65373478232.28569</v>
      </c>
      <c r="AS38" s="54">
        <v>5085051683.2684879</v>
      </c>
      <c r="AT38" s="54">
        <v>4093196981.7930779</v>
      </c>
      <c r="AU38" s="54">
        <v>4600864865.7930784</v>
      </c>
      <c r="AV38" s="54">
        <v>3968860918.7165751</v>
      </c>
      <c r="AW38" s="54">
        <v>5549018826.1701279</v>
      </c>
      <c r="AX38" s="54">
        <v>4908280870.2522898</v>
      </c>
      <c r="AY38" s="54">
        <v>4272047108.8742466</v>
      </c>
      <c r="AZ38" s="54">
        <v>4169382223.6283445</v>
      </c>
      <c r="BA38" s="54">
        <v>6178684666.8742466</v>
      </c>
      <c r="BB38" s="54">
        <v>4321867491.3478346</v>
      </c>
      <c r="BC38" s="54">
        <v>4663039255.763135</v>
      </c>
      <c r="BD38" s="54">
        <v>4745480246.724884</v>
      </c>
      <c r="BE38" s="54">
        <f t="shared" si="151"/>
        <v>56555775139.206322</v>
      </c>
      <c r="BG38" s="54">
        <f t="shared" si="152"/>
        <v>699124285.71428573</v>
      </c>
      <c r="BH38" s="54">
        <f t="shared" si="152"/>
        <v>450228752.06349206</v>
      </c>
      <c r="BI38" s="54">
        <f t="shared" si="152"/>
        <v>726655081.96825385</v>
      </c>
      <c r="BJ38" s="54">
        <f t="shared" si="152"/>
        <v>786717222.22222221</v>
      </c>
      <c r="BK38" s="54">
        <f t="shared" si="152"/>
        <v>786288955.55555558</v>
      </c>
      <c r="BL38" s="54">
        <f t="shared" si="152"/>
        <v>766955542.22222221</v>
      </c>
      <c r="BM38" s="54">
        <f t="shared" si="152"/>
        <v>780123462.22222221</v>
      </c>
      <c r="BN38" s="54">
        <f t="shared" si="152"/>
        <v>766955542.22222221</v>
      </c>
      <c r="BO38" s="54">
        <f t="shared" si="152"/>
        <v>740619702.22222221</v>
      </c>
      <c r="BP38" s="54">
        <f t="shared" si="152"/>
        <v>780123462.22222221</v>
      </c>
      <c r="BQ38" s="54">
        <f t="shared" si="152"/>
        <v>753787622.22222221</v>
      </c>
      <c r="BR38" s="54">
        <f t="shared" si="152"/>
        <v>780123462.22222221</v>
      </c>
      <c r="BS38" s="54">
        <f t="shared" si="153"/>
        <v>8817703093.0793648</v>
      </c>
      <c r="BU38" s="54">
        <v>319592000</v>
      </c>
      <c r="BV38" s="54">
        <v>158213760</v>
      </c>
      <c r="BW38" s="54">
        <v>308129327.99999994</v>
      </c>
      <c r="BX38" s="54">
        <v>329198000</v>
      </c>
      <c r="BY38" s="54">
        <v>329198000</v>
      </c>
      <c r="BZ38" s="54">
        <v>342365920</v>
      </c>
      <c r="CA38" s="54">
        <v>355533840</v>
      </c>
      <c r="CB38" s="54">
        <v>342365920</v>
      </c>
      <c r="CC38" s="54">
        <v>316030080</v>
      </c>
      <c r="CD38" s="54">
        <v>355533840</v>
      </c>
      <c r="CE38" s="54">
        <v>329198000</v>
      </c>
      <c r="CF38" s="54">
        <v>355533840</v>
      </c>
      <c r="CG38" s="54">
        <f t="shared" si="154"/>
        <v>3840892528</v>
      </c>
      <c r="CI38" s="54">
        <v>114364285.71428572</v>
      </c>
      <c r="CJ38" s="54">
        <v>85773214.285714284</v>
      </c>
      <c r="CK38" s="54">
        <v>123894642.85714285</v>
      </c>
      <c r="CL38" s="54">
        <v>133425000</v>
      </c>
      <c r="CM38" s="54">
        <v>133425000</v>
      </c>
      <c r="CN38" s="54">
        <v>133425000</v>
      </c>
      <c r="CO38" s="54">
        <v>133425000</v>
      </c>
      <c r="CP38" s="54">
        <v>133425000</v>
      </c>
      <c r="CQ38" s="54">
        <v>133425000</v>
      </c>
      <c r="CR38" s="54">
        <v>133425000</v>
      </c>
      <c r="CS38" s="54">
        <v>133425000</v>
      </c>
      <c r="CT38" s="54">
        <v>133425000</v>
      </c>
      <c r="CU38" s="54">
        <f t="shared" si="155"/>
        <v>1524857142.8571429</v>
      </c>
      <c r="CW38" s="54">
        <v>265168000</v>
      </c>
      <c r="CX38" s="54">
        <v>206241777.77777776</v>
      </c>
      <c r="CY38" s="54">
        <v>294631111.1111111</v>
      </c>
      <c r="CZ38" s="54">
        <v>324094222.22222221</v>
      </c>
      <c r="DA38" s="54">
        <v>323665955.55555552</v>
      </c>
      <c r="DB38" s="54">
        <v>291164622.22222221</v>
      </c>
      <c r="DC38" s="54">
        <v>291164622.22222221</v>
      </c>
      <c r="DD38" s="54">
        <v>291164622.22222221</v>
      </c>
      <c r="DE38" s="54">
        <v>291164622.22222221</v>
      </c>
      <c r="DF38" s="54">
        <v>291164622.22222221</v>
      </c>
      <c r="DG38" s="54">
        <v>291164622.22222221</v>
      </c>
      <c r="DH38" s="54">
        <v>291164622.22222221</v>
      </c>
      <c r="DI38" s="54">
        <f t="shared" si="156"/>
        <v>3451953422.2222228</v>
      </c>
      <c r="DK38" s="54">
        <v>0</v>
      </c>
      <c r="DL38" s="54">
        <v>0</v>
      </c>
      <c r="DM38" s="54">
        <v>0</v>
      </c>
      <c r="DN38" s="54">
        <v>0</v>
      </c>
      <c r="DO38" s="54">
        <v>0</v>
      </c>
      <c r="DP38" s="54">
        <v>0</v>
      </c>
      <c r="DQ38" s="54">
        <v>0</v>
      </c>
      <c r="DR38" s="54">
        <v>0</v>
      </c>
      <c r="DS38" s="54">
        <v>0</v>
      </c>
      <c r="DT38" s="54">
        <v>0</v>
      </c>
      <c r="DU38" s="54">
        <v>0</v>
      </c>
      <c r="DV38" s="54">
        <v>0</v>
      </c>
      <c r="DW38" s="54">
        <f t="shared" si="157"/>
        <v>0</v>
      </c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>
        <f t="shared" si="158"/>
        <v>0</v>
      </c>
    </row>
    <row r="39" spans="1:141">
      <c r="A39" s="55">
        <v>12</v>
      </c>
      <c r="B39" s="56" t="s">
        <v>30</v>
      </c>
      <c r="C39" s="378">
        <f t="shared" si="147"/>
        <v>10459232108.664085</v>
      </c>
      <c r="D39" s="57">
        <f t="shared" si="147"/>
        <v>8973005312.6781425</v>
      </c>
      <c r="E39" s="57">
        <f t="shared" si="147"/>
        <v>8898059360.5499115</v>
      </c>
      <c r="F39" s="57">
        <f t="shared" si="147"/>
        <v>9011687661.5691586</v>
      </c>
      <c r="G39" s="57">
        <f t="shared" si="147"/>
        <v>9146478987.4667816</v>
      </c>
      <c r="H39" s="57">
        <f t="shared" si="147"/>
        <v>9595363924.6966782</v>
      </c>
      <c r="I39" s="57">
        <f t="shared" si="147"/>
        <v>10022639147.481373</v>
      </c>
      <c r="J39" s="57">
        <f t="shared" si="147"/>
        <v>10529772671.456768</v>
      </c>
      <c r="K39" s="57">
        <f t="shared" si="147"/>
        <v>9535865291.1497402</v>
      </c>
      <c r="L39" s="57">
        <f t="shared" si="147"/>
        <v>9108679136.8471889</v>
      </c>
      <c r="M39" s="57">
        <f t="shared" si="147"/>
        <v>9238634630.2021885</v>
      </c>
      <c r="N39" s="57">
        <f t="shared" si="147"/>
        <v>11454542815.86355</v>
      </c>
      <c r="O39" s="379">
        <f t="shared" si="148"/>
        <v>115973961048.62556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>
        <f t="shared" si="149"/>
        <v>0</v>
      </c>
      <c r="AE39" s="380">
        <f t="shared" si="159"/>
        <v>10459232108.664085</v>
      </c>
      <c r="AF39" s="57">
        <f t="shared" si="159"/>
        <v>8973005312.6781425</v>
      </c>
      <c r="AG39" s="57">
        <f t="shared" si="159"/>
        <v>8898059360.5499115</v>
      </c>
      <c r="AH39" s="57">
        <f t="shared" si="159"/>
        <v>9011687661.5691586</v>
      </c>
      <c r="AI39" s="57">
        <f t="shared" si="159"/>
        <v>9146478987.4667816</v>
      </c>
      <c r="AJ39" s="57">
        <f t="shared" si="159"/>
        <v>9595363924.6966782</v>
      </c>
      <c r="AK39" s="57">
        <f t="shared" si="159"/>
        <v>10022639147.481373</v>
      </c>
      <c r="AL39" s="57">
        <f t="shared" si="159"/>
        <v>10529772671.456768</v>
      </c>
      <c r="AM39" s="57">
        <f t="shared" si="159"/>
        <v>9535865291.1497402</v>
      </c>
      <c r="AN39" s="57">
        <f t="shared" si="159"/>
        <v>9108679136.8471889</v>
      </c>
      <c r="AO39" s="57">
        <f t="shared" si="159"/>
        <v>9238634630.2021885</v>
      </c>
      <c r="AP39" s="57">
        <f t="shared" si="159"/>
        <v>11454542815.86355</v>
      </c>
      <c r="AQ39" s="381">
        <f t="shared" si="150"/>
        <v>115973961048.62556</v>
      </c>
      <c r="AS39" s="57">
        <v>9071413074.9872189</v>
      </c>
      <c r="AT39" s="57">
        <v>7516098440.3346109</v>
      </c>
      <c r="AU39" s="57">
        <v>7598269672.2063799</v>
      </c>
      <c r="AV39" s="57">
        <v>7688191220.7811832</v>
      </c>
      <c r="AW39" s="57">
        <v>7848430527.1788063</v>
      </c>
      <c r="AX39" s="57">
        <v>8123855633.0161085</v>
      </c>
      <c r="AY39" s="57">
        <v>8707815450.0008049</v>
      </c>
      <c r="AZ39" s="57">
        <v>8883369486.1761971</v>
      </c>
      <c r="BA39" s="57">
        <v>8212091289.1691723</v>
      </c>
      <c r="BB39" s="57">
        <v>7815232028.533287</v>
      </c>
      <c r="BC39" s="57">
        <v>7940180139.8882866</v>
      </c>
      <c r="BD39" s="57">
        <v>10136838744.549648</v>
      </c>
      <c r="BE39" s="57">
        <f t="shared" si="151"/>
        <v>99541785706.821701</v>
      </c>
      <c r="BG39" s="57">
        <f t="shared" si="152"/>
        <v>1382834296.6768649</v>
      </c>
      <c r="BH39" s="57">
        <f t="shared" si="152"/>
        <v>1452322135.3435316</v>
      </c>
      <c r="BI39" s="57">
        <f t="shared" si="152"/>
        <v>1295204951.3435316</v>
      </c>
      <c r="BJ39" s="57">
        <f t="shared" si="152"/>
        <v>1318511703.7879758</v>
      </c>
      <c r="BK39" s="57">
        <f t="shared" si="152"/>
        <v>1293463723.2879758</v>
      </c>
      <c r="BL39" s="57">
        <f t="shared" si="152"/>
        <v>1466923554.6805687</v>
      </c>
      <c r="BM39" s="57">
        <f t="shared" si="152"/>
        <v>1310238960.4805684</v>
      </c>
      <c r="BN39" s="57">
        <f t="shared" si="152"/>
        <v>1641418448.2805686</v>
      </c>
      <c r="BO39" s="57">
        <f t="shared" si="152"/>
        <v>1319189264.9805686</v>
      </c>
      <c r="BP39" s="57">
        <f t="shared" si="152"/>
        <v>1288862371.3139019</v>
      </c>
      <c r="BQ39" s="57">
        <f t="shared" si="152"/>
        <v>1293469753.3139019</v>
      </c>
      <c r="BR39" s="57">
        <f t="shared" si="152"/>
        <v>1313119334.3139019</v>
      </c>
      <c r="BS39" s="57">
        <f t="shared" si="153"/>
        <v>16375558497.803858</v>
      </c>
      <c r="BU39" s="57">
        <v>353847359.69166666</v>
      </c>
      <c r="BV39" s="57">
        <v>461395058.69166666</v>
      </c>
      <c r="BW39" s="57">
        <v>336683433.02500004</v>
      </c>
      <c r="BX39" s="57">
        <v>351729344.02499998</v>
      </c>
      <c r="BY39" s="57">
        <v>345595762.02499998</v>
      </c>
      <c r="BZ39" s="57">
        <v>359367480.17314816</v>
      </c>
      <c r="CA39" s="57">
        <v>378136181.1731481</v>
      </c>
      <c r="CB39" s="57">
        <v>623026153.17314827</v>
      </c>
      <c r="CC39" s="57">
        <v>380278478.17314816</v>
      </c>
      <c r="CD39" s="57">
        <v>361826453.17314816</v>
      </c>
      <c r="CE39" s="57">
        <v>358433175.17314816</v>
      </c>
      <c r="CF39" s="57">
        <v>377191736.1731481</v>
      </c>
      <c r="CG39" s="57">
        <f t="shared" si="154"/>
        <v>4687510614.6703711</v>
      </c>
      <c r="CI39" s="57">
        <v>471536610.03414291</v>
      </c>
      <c r="CJ39" s="57">
        <v>499621200.03414291</v>
      </c>
      <c r="CK39" s="57">
        <v>438001005.03414291</v>
      </c>
      <c r="CL39" s="57">
        <v>441430006.03414291</v>
      </c>
      <c r="CM39" s="57">
        <v>440990570.03414291</v>
      </c>
      <c r="CN39" s="57">
        <v>437891777.03414291</v>
      </c>
      <c r="CO39" s="57">
        <v>437665344.03414291</v>
      </c>
      <c r="CP39" s="57">
        <v>493579860.03414291</v>
      </c>
      <c r="CQ39" s="57">
        <v>435408150.03414291</v>
      </c>
      <c r="CR39" s="57">
        <v>442013302.03414291</v>
      </c>
      <c r="CS39" s="57">
        <v>434477238.03414291</v>
      </c>
      <c r="CT39" s="57">
        <v>441205120.03414291</v>
      </c>
      <c r="CU39" s="57">
        <f t="shared" si="155"/>
        <v>5413820182.4097137</v>
      </c>
      <c r="CW39" s="57">
        <v>557450326.95105529</v>
      </c>
      <c r="CX39" s="57">
        <v>491305876.61772192</v>
      </c>
      <c r="CY39" s="57">
        <v>520520513.28438854</v>
      </c>
      <c r="CZ39" s="57">
        <v>525352353.72883302</v>
      </c>
      <c r="DA39" s="57">
        <v>506877391.22883302</v>
      </c>
      <c r="DB39" s="57">
        <v>669664297.47327757</v>
      </c>
      <c r="DC39" s="57">
        <v>494437435.27327752</v>
      </c>
      <c r="DD39" s="57">
        <v>524812435.07327753</v>
      </c>
      <c r="DE39" s="57">
        <v>503502636.77327752</v>
      </c>
      <c r="DF39" s="57">
        <v>485022616.10661083</v>
      </c>
      <c r="DG39" s="57">
        <v>500559340.10661083</v>
      </c>
      <c r="DH39" s="57">
        <v>494722478.10661083</v>
      </c>
      <c r="DI39" s="57">
        <f t="shared" si="156"/>
        <v>6274227700.7237749</v>
      </c>
      <c r="DK39" s="57">
        <v>4984737</v>
      </c>
      <c r="DL39" s="57">
        <v>4584737</v>
      </c>
      <c r="DM39" s="57">
        <v>4584737</v>
      </c>
      <c r="DN39" s="57">
        <v>4984737</v>
      </c>
      <c r="DO39" s="57">
        <v>4584737</v>
      </c>
      <c r="DP39" s="57">
        <v>4584737</v>
      </c>
      <c r="DQ39" s="57">
        <v>4584737</v>
      </c>
      <c r="DR39" s="57">
        <v>4984737</v>
      </c>
      <c r="DS39" s="57">
        <v>4584737</v>
      </c>
      <c r="DT39" s="57">
        <v>4584737</v>
      </c>
      <c r="DU39" s="57">
        <v>4984737</v>
      </c>
      <c r="DV39" s="57">
        <v>4584737</v>
      </c>
      <c r="DW39" s="57">
        <f t="shared" si="157"/>
        <v>56616844</v>
      </c>
      <c r="DY39" s="57"/>
      <c r="DZ39" s="57"/>
      <c r="EA39" s="57"/>
      <c r="EB39" s="57"/>
      <c r="EC39" s="57"/>
      <c r="ED39" s="57"/>
      <c r="EE39" s="57"/>
      <c r="EF39" s="57"/>
      <c r="EG39" s="57"/>
      <c r="EH39" s="57"/>
      <c r="EI39" s="57"/>
      <c r="EJ39" s="57"/>
      <c r="EK39" s="57">
        <f t="shared" si="158"/>
        <v>0</v>
      </c>
    </row>
    <row r="40" spans="1:141">
      <c r="A40" s="67">
        <v>13</v>
      </c>
      <c r="B40" s="68" t="s">
        <v>31</v>
      </c>
      <c r="C40" s="422">
        <f t="shared" ref="C40:O40" ca="1" si="160">C27+C31+C35-C36-C38-C39</f>
        <v>601502786.20492554</v>
      </c>
      <c r="D40" s="84">
        <f t="shared" ca="1" si="160"/>
        <v>-4314677890.2602415</v>
      </c>
      <c r="E40" s="84">
        <f t="shared" ca="1" si="160"/>
        <v>4436564006.3042355</v>
      </c>
      <c r="F40" s="84">
        <f t="shared" ca="1" si="160"/>
        <v>2796510279.3515453</v>
      </c>
      <c r="G40" s="84">
        <f t="shared" ca="1" si="160"/>
        <v>2981179891.7924595</v>
      </c>
      <c r="H40" s="84">
        <f t="shared" ca="1" si="160"/>
        <v>2005021479.4358158</v>
      </c>
      <c r="I40" s="84">
        <f t="shared" ca="1" si="160"/>
        <v>7816844330.49366</v>
      </c>
      <c r="J40" s="84">
        <f t="shared" ca="1" si="160"/>
        <v>6617593476.9673386</v>
      </c>
      <c r="K40" s="84">
        <f t="shared" ca="1" si="160"/>
        <v>6069842860.8661022</v>
      </c>
      <c r="L40" s="84">
        <f t="shared" ca="1" si="160"/>
        <v>7063528681.9640446</v>
      </c>
      <c r="M40" s="84">
        <f t="shared" ca="1" si="160"/>
        <v>7433416300.2930069</v>
      </c>
      <c r="N40" s="84">
        <f t="shared" ca="1" si="160"/>
        <v>5300282191.2253513</v>
      </c>
      <c r="O40" s="423">
        <f t="shared" ca="1" si="160"/>
        <v>48807608394.638229</v>
      </c>
      <c r="Q40" s="84">
        <f t="shared" ref="Q40:AC40" ca="1" si="161">Q27+Q31+Q35-Q36-Q38-Q39</f>
        <v>0</v>
      </c>
      <c r="R40" s="84">
        <f t="shared" ca="1" si="161"/>
        <v>0</v>
      </c>
      <c r="S40" s="84">
        <f t="shared" ca="1" si="161"/>
        <v>0</v>
      </c>
      <c r="T40" s="84">
        <f t="shared" ca="1" si="161"/>
        <v>0</v>
      </c>
      <c r="U40" s="84">
        <f t="shared" ca="1" si="161"/>
        <v>0</v>
      </c>
      <c r="V40" s="84">
        <f t="shared" ca="1" si="161"/>
        <v>0</v>
      </c>
      <c r="W40" s="84">
        <f t="shared" ca="1" si="161"/>
        <v>0</v>
      </c>
      <c r="X40" s="84">
        <f t="shared" ca="1" si="161"/>
        <v>0</v>
      </c>
      <c r="Y40" s="84">
        <f t="shared" ca="1" si="161"/>
        <v>0</v>
      </c>
      <c r="Z40" s="84">
        <f t="shared" ca="1" si="161"/>
        <v>0</v>
      </c>
      <c r="AA40" s="84">
        <f t="shared" ca="1" si="161"/>
        <v>0</v>
      </c>
      <c r="AB40" s="84">
        <f t="shared" ca="1" si="161"/>
        <v>0</v>
      </c>
      <c r="AC40" s="84">
        <f t="shared" ca="1" si="161"/>
        <v>0</v>
      </c>
      <c r="AE40" s="424">
        <f t="shared" ref="AE40:AQ40" si="162">AE27+AE31+AE35-AE36-AE38-AE39</f>
        <v>601502786.20492554</v>
      </c>
      <c r="AF40" s="84">
        <f t="shared" si="162"/>
        <v>-4314677890.2602415</v>
      </c>
      <c r="AG40" s="84">
        <f t="shared" si="162"/>
        <v>4436564006.3042355</v>
      </c>
      <c r="AH40" s="84">
        <f t="shared" si="162"/>
        <v>2796510279.3515453</v>
      </c>
      <c r="AI40" s="84">
        <f t="shared" si="162"/>
        <v>2981179891.7924595</v>
      </c>
      <c r="AJ40" s="84">
        <f t="shared" si="162"/>
        <v>2005021479.4358158</v>
      </c>
      <c r="AK40" s="84">
        <f t="shared" si="162"/>
        <v>7816844330.49366</v>
      </c>
      <c r="AL40" s="84">
        <f t="shared" si="162"/>
        <v>6617593476.9673386</v>
      </c>
      <c r="AM40" s="84">
        <f t="shared" si="162"/>
        <v>6069842860.8661022</v>
      </c>
      <c r="AN40" s="84">
        <f t="shared" si="162"/>
        <v>7063528681.9640446</v>
      </c>
      <c r="AO40" s="84">
        <f t="shared" si="162"/>
        <v>7433416300.2930069</v>
      </c>
      <c r="AP40" s="84">
        <f t="shared" si="162"/>
        <v>5300282191.2253513</v>
      </c>
      <c r="AQ40" s="425">
        <f t="shared" si="162"/>
        <v>48807608394.638229</v>
      </c>
      <c r="AS40" s="84">
        <f t="shared" ref="AS40:BE40" si="163">AS27+AS31+AS35-AS36-AS38-AS39</f>
        <v>2334994374.7063351</v>
      </c>
      <c r="AT40" s="84">
        <f t="shared" si="163"/>
        <v>-891478642.64979839</v>
      </c>
      <c r="AU40" s="84">
        <f t="shared" si="163"/>
        <v>6431823854.38412</v>
      </c>
      <c r="AV40" s="84">
        <f t="shared" si="163"/>
        <v>4168359670.0697536</v>
      </c>
      <c r="AW40" s="84">
        <f t="shared" si="163"/>
        <v>4346489854.7306442</v>
      </c>
      <c r="AX40" s="84">
        <f t="shared" si="163"/>
        <v>3973340800.7311525</v>
      </c>
      <c r="AY40" s="84">
        <f t="shared" si="163"/>
        <v>9621503003.9794807</v>
      </c>
      <c r="AZ40" s="84">
        <f t="shared" si="163"/>
        <v>8836135025.017807</v>
      </c>
      <c r="BA40" s="84">
        <f t="shared" si="163"/>
        <v>8070185356.4676476</v>
      </c>
      <c r="BB40" s="84">
        <f t="shared" si="163"/>
        <v>8765703474.6883202</v>
      </c>
      <c r="BC40" s="84">
        <f t="shared" si="163"/>
        <v>9336972412.2696571</v>
      </c>
      <c r="BD40" s="84">
        <f t="shared" si="163"/>
        <v>7047936259.3445015</v>
      </c>
      <c r="BE40" s="84">
        <f t="shared" si="163"/>
        <v>72041965443.739609</v>
      </c>
      <c r="BG40" s="84">
        <f t="shared" ref="BG40:BS40" si="164">BG27+BG31+BG35-BG36-BG38-BG39</f>
        <v>-1728512399.6125174</v>
      </c>
      <c r="BH40" s="84">
        <f t="shared" si="164"/>
        <v>-3418620058.7215528</v>
      </c>
      <c r="BI40" s="84">
        <f t="shared" si="164"/>
        <v>-1990680659.1909969</v>
      </c>
      <c r="BJ40" s="84">
        <f t="shared" si="164"/>
        <v>-1366870201.8293204</v>
      </c>
      <c r="BK40" s="84">
        <f t="shared" si="164"/>
        <v>-1360730774.0492961</v>
      </c>
      <c r="BL40" s="84">
        <f t="shared" si="164"/>
        <v>-1963740132.4064455</v>
      </c>
      <c r="BM40" s="84">
        <f t="shared" si="164"/>
        <v>-1800079484.5969329</v>
      </c>
      <c r="BN40" s="84">
        <f t="shared" si="164"/>
        <v>-2213562359.1615739</v>
      </c>
      <c r="BO40" s="84">
        <f t="shared" si="164"/>
        <v>-1995763306.7126555</v>
      </c>
      <c r="BP40" s="84">
        <f t="shared" si="164"/>
        <v>-1697595603.8353872</v>
      </c>
      <c r="BQ40" s="84">
        <f t="shared" si="164"/>
        <v>-1898576923.08776</v>
      </c>
      <c r="BR40" s="84">
        <f t="shared" si="164"/>
        <v>-1743074879.2302618</v>
      </c>
      <c r="BS40" s="84">
        <f t="shared" si="164"/>
        <v>-23177806782.434738</v>
      </c>
      <c r="BU40" s="84">
        <f t="shared" ref="BU40:CG40" si="165">BU27+BU31+BU35-BU36-BU38-BU39</f>
        <v>-398961519.46358591</v>
      </c>
      <c r="BV40" s="84">
        <f t="shared" si="165"/>
        <v>-1620401480.9183569</v>
      </c>
      <c r="BW40" s="84">
        <f t="shared" si="165"/>
        <v>-1066797324.3016038</v>
      </c>
      <c r="BX40" s="84">
        <f t="shared" si="165"/>
        <v>-658970073.14220464</v>
      </c>
      <c r="BY40" s="84">
        <f t="shared" si="165"/>
        <v>-699138914.25331533</v>
      </c>
      <c r="BZ40" s="84">
        <f t="shared" si="165"/>
        <v>-684233978.55348682</v>
      </c>
      <c r="CA40" s="84">
        <f t="shared" si="165"/>
        <v>-671236943.37217617</v>
      </c>
      <c r="CB40" s="84">
        <f t="shared" si="165"/>
        <v>-980932657.55348694</v>
      </c>
      <c r="CC40" s="84">
        <f t="shared" si="165"/>
        <v>-894643115.58277607</v>
      </c>
      <c r="CD40" s="84">
        <f t="shared" si="165"/>
        <v>-637000059.03884029</v>
      </c>
      <c r="CE40" s="84">
        <f t="shared" si="165"/>
        <v>-803654994.40146351</v>
      </c>
      <c r="CF40" s="84">
        <f t="shared" si="165"/>
        <v>-660028703.03884029</v>
      </c>
      <c r="CG40" s="84">
        <f t="shared" si="165"/>
        <v>-9775999763.6201401</v>
      </c>
      <c r="CI40" s="84">
        <f t="shared" ref="CI40:CU40" si="166">CI27+CI31+CI35-CI36-CI38-CI39</f>
        <v>-307153648.70298225</v>
      </c>
      <c r="CJ40" s="84">
        <f t="shared" si="166"/>
        <v>-648003978.93160486</v>
      </c>
      <c r="CK40" s="84">
        <f t="shared" si="166"/>
        <v>-138157997.39344013</v>
      </c>
      <c r="CL40" s="84">
        <f t="shared" si="166"/>
        <v>-88161731.183898389</v>
      </c>
      <c r="CM40" s="84">
        <f t="shared" si="166"/>
        <v>-43936535.383899152</v>
      </c>
      <c r="CN40" s="84">
        <f t="shared" si="166"/>
        <v>-87441745.650565565</v>
      </c>
      <c r="CO40" s="84">
        <f t="shared" si="166"/>
        <v>-99125290.017232358</v>
      </c>
      <c r="CP40" s="84">
        <f t="shared" si="166"/>
        <v>-172572450.60056537</v>
      </c>
      <c r="CQ40" s="84">
        <f t="shared" si="166"/>
        <v>-103932866.21723217</v>
      </c>
      <c r="CR40" s="84">
        <f t="shared" si="166"/>
        <v>-49510908.550565183</v>
      </c>
      <c r="CS40" s="84">
        <f t="shared" si="166"/>
        <v>-61328310.850565374</v>
      </c>
      <c r="CT40" s="84">
        <f t="shared" si="166"/>
        <v>-65415549.150565565</v>
      </c>
      <c r="CU40" s="84">
        <f t="shared" si="166"/>
        <v>-1864741012.6331134</v>
      </c>
      <c r="CW40" s="84">
        <f t="shared" ref="CW40:DI40" si="167">CW27+CW31+CW35-CW36-CW38-CW39</f>
        <v>-1022397231.4459512</v>
      </c>
      <c r="CX40" s="84">
        <f t="shared" si="167"/>
        <v>-1150214598.8715892</v>
      </c>
      <c r="CY40" s="84">
        <f t="shared" si="167"/>
        <v>-785725337.49595213</v>
      </c>
      <c r="CZ40" s="84">
        <f t="shared" si="167"/>
        <v>-619738397.50321746</v>
      </c>
      <c r="DA40" s="84">
        <f t="shared" si="167"/>
        <v>-617655324.41208172</v>
      </c>
      <c r="DB40" s="84">
        <f t="shared" si="167"/>
        <v>-1192064408.202395</v>
      </c>
      <c r="DC40" s="84">
        <f t="shared" si="167"/>
        <v>-1029717251.2075225</v>
      </c>
      <c r="DD40" s="84">
        <f t="shared" si="167"/>
        <v>-1060057251.0075226</v>
      </c>
      <c r="DE40" s="84">
        <f t="shared" si="167"/>
        <v>-997187324.91265023</v>
      </c>
      <c r="DF40" s="84">
        <f t="shared" si="167"/>
        <v>-1011084636.2459836</v>
      </c>
      <c r="DG40" s="84">
        <f t="shared" si="167"/>
        <v>-1033593617.8357282</v>
      </c>
      <c r="DH40" s="84">
        <f t="shared" si="167"/>
        <v>-1017630627.0408559</v>
      </c>
      <c r="DI40" s="84">
        <f t="shared" si="167"/>
        <v>-11537066006.181442</v>
      </c>
      <c r="DK40" s="84">
        <f t="shared" ref="DK40:DW40" si="168">DK27+DK31+DK35-DK36-DK38-DK39</f>
        <v>-4979188.888888889</v>
      </c>
      <c r="DL40" s="84">
        <f t="shared" si="168"/>
        <v>-4579188.888888889</v>
      </c>
      <c r="DM40" s="84">
        <f t="shared" si="168"/>
        <v>-4579188.888888889</v>
      </c>
      <c r="DN40" s="84">
        <f t="shared" si="168"/>
        <v>-4979188.888888889</v>
      </c>
      <c r="DO40" s="84">
        <f t="shared" si="168"/>
        <v>-4579188.888888889</v>
      </c>
      <c r="DP40" s="84">
        <f t="shared" si="168"/>
        <v>-4579188.888888889</v>
      </c>
      <c r="DQ40" s="84">
        <f t="shared" si="168"/>
        <v>-4579188.888888889</v>
      </c>
      <c r="DR40" s="84">
        <f t="shared" si="168"/>
        <v>-4979188.888888889</v>
      </c>
      <c r="DS40" s="84">
        <f t="shared" si="168"/>
        <v>-4579188.888888889</v>
      </c>
      <c r="DT40" s="84">
        <f t="shared" si="168"/>
        <v>-4579188.888888889</v>
      </c>
      <c r="DU40" s="84">
        <f t="shared" si="168"/>
        <v>-4979188.888888889</v>
      </c>
      <c r="DV40" s="84">
        <f t="shared" si="168"/>
        <v>-4579188.888888889</v>
      </c>
      <c r="DW40" s="84">
        <f t="shared" si="168"/>
        <v>-56550266.666666664</v>
      </c>
      <c r="DY40" s="84">
        <f t="shared" ref="DY40:EK40" si="169">DY27+DY31+DY35-DY36-DY38-DY39</f>
        <v>0</v>
      </c>
      <c r="DZ40" s="84">
        <f t="shared" si="169"/>
        <v>0</v>
      </c>
      <c r="EA40" s="84">
        <f t="shared" si="169"/>
        <v>0</v>
      </c>
      <c r="EB40" s="84">
        <f t="shared" si="169"/>
        <v>0</v>
      </c>
      <c r="EC40" s="84">
        <f t="shared" si="169"/>
        <v>0</v>
      </c>
      <c r="ED40" s="84">
        <f t="shared" si="169"/>
        <v>0</v>
      </c>
      <c r="EE40" s="84">
        <f t="shared" si="169"/>
        <v>0</v>
      </c>
      <c r="EF40" s="84">
        <f t="shared" si="169"/>
        <v>0</v>
      </c>
      <c r="EG40" s="84">
        <f t="shared" si="169"/>
        <v>0</v>
      </c>
      <c r="EH40" s="84">
        <f t="shared" si="169"/>
        <v>0</v>
      </c>
      <c r="EI40" s="84">
        <f t="shared" si="169"/>
        <v>0</v>
      </c>
      <c r="EJ40" s="84">
        <f t="shared" si="169"/>
        <v>0</v>
      </c>
      <c r="EK40" s="84">
        <f t="shared" si="169"/>
        <v>0</v>
      </c>
    </row>
    <row r="41" spans="1:141" s="79" customFormat="1">
      <c r="A41" s="77">
        <v>14</v>
      </c>
      <c r="B41" s="78" t="s">
        <v>32</v>
      </c>
      <c r="C41" s="426">
        <f t="shared" ref="C41:N42" si="170">Q41+AE41</f>
        <v>0</v>
      </c>
      <c r="D41" s="83">
        <f t="shared" si="170"/>
        <v>0</v>
      </c>
      <c r="E41" s="83">
        <f t="shared" si="170"/>
        <v>0</v>
      </c>
      <c r="F41" s="83">
        <f t="shared" si="170"/>
        <v>0</v>
      </c>
      <c r="G41" s="83">
        <f t="shared" si="170"/>
        <v>0</v>
      </c>
      <c r="H41" s="83">
        <f t="shared" si="170"/>
        <v>0</v>
      </c>
      <c r="I41" s="83">
        <f t="shared" si="170"/>
        <v>0</v>
      </c>
      <c r="J41" s="83">
        <f t="shared" si="170"/>
        <v>0</v>
      </c>
      <c r="K41" s="83">
        <f t="shared" si="170"/>
        <v>0</v>
      </c>
      <c r="L41" s="83">
        <f t="shared" si="170"/>
        <v>0</v>
      </c>
      <c r="M41" s="83">
        <f t="shared" si="170"/>
        <v>0</v>
      </c>
      <c r="N41" s="83">
        <f t="shared" si="170"/>
        <v>0</v>
      </c>
      <c r="O41" s="427">
        <f>SUM(C41:N41)</f>
        <v>0</v>
      </c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>
        <f>SUM(Q41:AB41)</f>
        <v>0</v>
      </c>
      <c r="AE41" s="428">
        <f t="shared" ref="AE41:AP42" si="171">AS41+BU41+CI41+CW41+DK41</f>
        <v>0</v>
      </c>
      <c r="AF41" s="83">
        <f t="shared" si="171"/>
        <v>0</v>
      </c>
      <c r="AG41" s="83">
        <f t="shared" si="171"/>
        <v>0</v>
      </c>
      <c r="AH41" s="83">
        <f t="shared" si="171"/>
        <v>0</v>
      </c>
      <c r="AI41" s="83">
        <f t="shared" si="171"/>
        <v>0</v>
      </c>
      <c r="AJ41" s="83">
        <f t="shared" si="171"/>
        <v>0</v>
      </c>
      <c r="AK41" s="83">
        <f t="shared" si="171"/>
        <v>0</v>
      </c>
      <c r="AL41" s="83">
        <f t="shared" si="171"/>
        <v>0</v>
      </c>
      <c r="AM41" s="83">
        <f t="shared" si="171"/>
        <v>0</v>
      </c>
      <c r="AN41" s="83">
        <f t="shared" si="171"/>
        <v>0</v>
      </c>
      <c r="AO41" s="83">
        <f t="shared" si="171"/>
        <v>0</v>
      </c>
      <c r="AP41" s="83">
        <f t="shared" si="171"/>
        <v>0</v>
      </c>
      <c r="AQ41" s="429">
        <f>SUM(AE41:AP41)</f>
        <v>0</v>
      </c>
      <c r="AS41" s="83">
        <v>0</v>
      </c>
      <c r="AT41" s="83">
        <v>0</v>
      </c>
      <c r="AU41" s="83">
        <v>0</v>
      </c>
      <c r="AV41" s="83">
        <v>0</v>
      </c>
      <c r="AW41" s="83">
        <v>0</v>
      </c>
      <c r="AX41" s="83">
        <v>0</v>
      </c>
      <c r="AY41" s="83">
        <v>0</v>
      </c>
      <c r="AZ41" s="83">
        <v>0</v>
      </c>
      <c r="BA41" s="83">
        <v>0</v>
      </c>
      <c r="BB41" s="83">
        <v>0</v>
      </c>
      <c r="BC41" s="83">
        <v>0</v>
      </c>
      <c r="BD41" s="83">
        <v>0</v>
      </c>
      <c r="BE41" s="83">
        <f>SUM(AS41:BD41)</f>
        <v>0</v>
      </c>
      <c r="BG41" s="83">
        <f t="shared" ref="BG41:BR42" si="172">BU41+CI41+CW41</f>
        <v>0</v>
      </c>
      <c r="BH41" s="83">
        <f t="shared" si="172"/>
        <v>0</v>
      </c>
      <c r="BI41" s="83">
        <f t="shared" si="172"/>
        <v>0</v>
      </c>
      <c r="BJ41" s="83">
        <f t="shared" si="172"/>
        <v>0</v>
      </c>
      <c r="BK41" s="83">
        <f t="shared" si="172"/>
        <v>0</v>
      </c>
      <c r="BL41" s="83">
        <f t="shared" si="172"/>
        <v>0</v>
      </c>
      <c r="BM41" s="83">
        <f t="shared" si="172"/>
        <v>0</v>
      </c>
      <c r="BN41" s="83">
        <f t="shared" si="172"/>
        <v>0</v>
      </c>
      <c r="BO41" s="83">
        <f t="shared" si="172"/>
        <v>0</v>
      </c>
      <c r="BP41" s="83">
        <f t="shared" si="172"/>
        <v>0</v>
      </c>
      <c r="BQ41" s="83">
        <f t="shared" si="172"/>
        <v>0</v>
      </c>
      <c r="BR41" s="83">
        <f t="shared" si="172"/>
        <v>0</v>
      </c>
      <c r="BS41" s="83">
        <f>SUM(BG41:BR41)</f>
        <v>0</v>
      </c>
      <c r="BU41" s="83"/>
      <c r="BV41" s="83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>
        <f>SUM(BU41:CF41)</f>
        <v>0</v>
      </c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>
        <f>SUM(CI41:CT41)</f>
        <v>0</v>
      </c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3"/>
      <c r="DI41" s="83">
        <f>SUM(CW41:DH41)</f>
        <v>0</v>
      </c>
      <c r="DK41" s="83">
        <v>0</v>
      </c>
      <c r="DL41" s="83">
        <v>0</v>
      </c>
      <c r="DM41" s="83">
        <v>0</v>
      </c>
      <c r="DN41" s="83">
        <v>0</v>
      </c>
      <c r="DO41" s="83">
        <v>0</v>
      </c>
      <c r="DP41" s="83">
        <v>0</v>
      </c>
      <c r="DQ41" s="83">
        <v>0</v>
      </c>
      <c r="DR41" s="83">
        <v>0</v>
      </c>
      <c r="DS41" s="83">
        <v>0</v>
      </c>
      <c r="DT41" s="83">
        <v>0</v>
      </c>
      <c r="DU41" s="83">
        <v>0</v>
      </c>
      <c r="DV41" s="83">
        <v>0</v>
      </c>
      <c r="DW41" s="83">
        <f>SUM(DK41:DV41)</f>
        <v>0</v>
      </c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>
        <f>SUM(DY41:EJ41)</f>
        <v>0</v>
      </c>
    </row>
    <row r="42" spans="1:141" s="79" customFormat="1">
      <c r="A42" s="80">
        <v>15</v>
      </c>
      <c r="B42" s="81" t="s">
        <v>33</v>
      </c>
      <c r="C42" s="430">
        <f t="shared" si="170"/>
        <v>433624999.99999994</v>
      </c>
      <c r="D42" s="82">
        <f t="shared" si="170"/>
        <v>433624999.99999994</v>
      </c>
      <c r="E42" s="82">
        <f t="shared" si="170"/>
        <v>433624999.99999994</v>
      </c>
      <c r="F42" s="82">
        <f t="shared" si="170"/>
        <v>433624999.99999994</v>
      </c>
      <c r="G42" s="82">
        <f t="shared" si="170"/>
        <v>433624999.99999994</v>
      </c>
      <c r="H42" s="82">
        <f t="shared" si="170"/>
        <v>433624999.99999994</v>
      </c>
      <c r="I42" s="82">
        <f t="shared" si="170"/>
        <v>433624999.99999994</v>
      </c>
      <c r="J42" s="82">
        <f t="shared" si="170"/>
        <v>433624999.99999994</v>
      </c>
      <c r="K42" s="82">
        <f t="shared" si="170"/>
        <v>433624999.99999994</v>
      </c>
      <c r="L42" s="82">
        <f t="shared" si="170"/>
        <v>433624999.99999994</v>
      </c>
      <c r="M42" s="82">
        <f t="shared" si="170"/>
        <v>433624999.99999994</v>
      </c>
      <c r="N42" s="82">
        <f t="shared" si="170"/>
        <v>433624999.99999994</v>
      </c>
      <c r="O42" s="431">
        <f>SUM(C42:N42)</f>
        <v>5203499999.999999</v>
      </c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>
        <f>SUM(Q42:AB42)</f>
        <v>0</v>
      </c>
      <c r="AE42" s="432">
        <f t="shared" si="171"/>
        <v>433624999.99999994</v>
      </c>
      <c r="AF42" s="82">
        <f t="shared" si="171"/>
        <v>433624999.99999994</v>
      </c>
      <c r="AG42" s="82">
        <f t="shared" si="171"/>
        <v>433624999.99999994</v>
      </c>
      <c r="AH42" s="82">
        <f t="shared" si="171"/>
        <v>433624999.99999994</v>
      </c>
      <c r="AI42" s="82">
        <f t="shared" si="171"/>
        <v>433624999.99999994</v>
      </c>
      <c r="AJ42" s="82">
        <f t="shared" si="171"/>
        <v>433624999.99999994</v>
      </c>
      <c r="AK42" s="82">
        <f t="shared" si="171"/>
        <v>433624999.99999994</v>
      </c>
      <c r="AL42" s="82">
        <f t="shared" si="171"/>
        <v>433624999.99999994</v>
      </c>
      <c r="AM42" s="82">
        <f t="shared" si="171"/>
        <v>433624999.99999994</v>
      </c>
      <c r="AN42" s="82">
        <f t="shared" si="171"/>
        <v>433624999.99999994</v>
      </c>
      <c r="AO42" s="82">
        <f t="shared" si="171"/>
        <v>433624999.99999994</v>
      </c>
      <c r="AP42" s="82">
        <f t="shared" si="171"/>
        <v>433624999.99999994</v>
      </c>
      <c r="AQ42" s="433">
        <f>SUM(AE42:AP42)</f>
        <v>5203499999.999999</v>
      </c>
      <c r="AS42" s="82">
        <v>433624999.99999994</v>
      </c>
      <c r="AT42" s="82">
        <v>433624999.99999994</v>
      </c>
      <c r="AU42" s="82">
        <v>433624999.99999994</v>
      </c>
      <c r="AV42" s="82">
        <v>433624999.99999994</v>
      </c>
      <c r="AW42" s="82">
        <v>433624999.99999994</v>
      </c>
      <c r="AX42" s="82">
        <v>433624999.99999994</v>
      </c>
      <c r="AY42" s="82">
        <v>433624999.99999994</v>
      </c>
      <c r="AZ42" s="82">
        <v>433624999.99999994</v>
      </c>
      <c r="BA42" s="82">
        <v>433624999.99999994</v>
      </c>
      <c r="BB42" s="82">
        <v>433624999.99999994</v>
      </c>
      <c r="BC42" s="82">
        <v>433624999.99999994</v>
      </c>
      <c r="BD42" s="82">
        <v>433624999.99999994</v>
      </c>
      <c r="BE42" s="82">
        <f>SUM(AS42:BD42)</f>
        <v>5203499999.999999</v>
      </c>
      <c r="BG42" s="82">
        <f t="shared" si="172"/>
        <v>0</v>
      </c>
      <c r="BH42" s="82">
        <f t="shared" si="172"/>
        <v>0</v>
      </c>
      <c r="BI42" s="82">
        <f t="shared" si="172"/>
        <v>0</v>
      </c>
      <c r="BJ42" s="82">
        <f t="shared" si="172"/>
        <v>0</v>
      </c>
      <c r="BK42" s="82">
        <f t="shared" si="172"/>
        <v>0</v>
      </c>
      <c r="BL42" s="82">
        <f t="shared" si="172"/>
        <v>0</v>
      </c>
      <c r="BM42" s="82">
        <f t="shared" si="172"/>
        <v>0</v>
      </c>
      <c r="BN42" s="82">
        <f t="shared" si="172"/>
        <v>0</v>
      </c>
      <c r="BO42" s="82">
        <f t="shared" si="172"/>
        <v>0</v>
      </c>
      <c r="BP42" s="82">
        <f t="shared" si="172"/>
        <v>0</v>
      </c>
      <c r="BQ42" s="82">
        <f t="shared" si="172"/>
        <v>0</v>
      </c>
      <c r="BR42" s="82">
        <f t="shared" si="172"/>
        <v>0</v>
      </c>
      <c r="BS42" s="82">
        <f>SUM(BG42:BR42)</f>
        <v>0</v>
      </c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>
        <f>SUM(BU42:CF42)</f>
        <v>0</v>
      </c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/>
      <c r="CU42" s="82">
        <f>SUM(CI42:CT42)</f>
        <v>0</v>
      </c>
      <c r="CW42" s="82"/>
      <c r="CX42" s="82"/>
      <c r="CY42" s="82"/>
      <c r="CZ42" s="82"/>
      <c r="DA42" s="82"/>
      <c r="DB42" s="82"/>
      <c r="DC42" s="82"/>
      <c r="DD42" s="82"/>
      <c r="DE42" s="82"/>
      <c r="DF42" s="82"/>
      <c r="DG42" s="82"/>
      <c r="DH42" s="82"/>
      <c r="DI42" s="82">
        <f>SUM(CW42:DH42)</f>
        <v>0</v>
      </c>
      <c r="DK42" s="82">
        <v>0</v>
      </c>
      <c r="DL42" s="82">
        <v>0</v>
      </c>
      <c r="DM42" s="82">
        <v>0</v>
      </c>
      <c r="DN42" s="82">
        <v>0</v>
      </c>
      <c r="DO42" s="82">
        <v>0</v>
      </c>
      <c r="DP42" s="82">
        <v>0</v>
      </c>
      <c r="DQ42" s="82">
        <v>0</v>
      </c>
      <c r="DR42" s="82">
        <v>0</v>
      </c>
      <c r="DS42" s="82">
        <v>0</v>
      </c>
      <c r="DT42" s="82">
        <v>0</v>
      </c>
      <c r="DU42" s="82">
        <v>0</v>
      </c>
      <c r="DV42" s="82">
        <v>0</v>
      </c>
      <c r="DW42" s="82">
        <f>SUM(DK42:DV42)</f>
        <v>0</v>
      </c>
      <c r="DY42" s="82"/>
      <c r="DZ42" s="82"/>
      <c r="EA42" s="82"/>
      <c r="EB42" s="82"/>
      <c r="EC42" s="82"/>
      <c r="ED42" s="82"/>
      <c r="EE42" s="82"/>
      <c r="EF42" s="82"/>
      <c r="EG42" s="82"/>
      <c r="EH42" s="82"/>
      <c r="EI42" s="82"/>
      <c r="EJ42" s="82"/>
      <c r="EK42" s="82">
        <f>SUM(DY42:EJ42)</f>
        <v>0</v>
      </c>
    </row>
    <row r="43" spans="1:141">
      <c r="A43" s="69">
        <v>16</v>
      </c>
      <c r="B43" s="70" t="s">
        <v>34</v>
      </c>
      <c r="C43" s="434">
        <f t="shared" ref="C43:O43" si="173">C41-C42</f>
        <v>-433624999.99999994</v>
      </c>
      <c r="D43" s="85">
        <f t="shared" si="173"/>
        <v>-433624999.99999994</v>
      </c>
      <c r="E43" s="85">
        <f t="shared" si="173"/>
        <v>-433624999.99999994</v>
      </c>
      <c r="F43" s="85">
        <f t="shared" si="173"/>
        <v>-433624999.99999994</v>
      </c>
      <c r="G43" s="85">
        <f t="shared" si="173"/>
        <v>-433624999.99999994</v>
      </c>
      <c r="H43" s="85">
        <f t="shared" si="173"/>
        <v>-433624999.99999994</v>
      </c>
      <c r="I43" s="85">
        <f t="shared" si="173"/>
        <v>-433624999.99999994</v>
      </c>
      <c r="J43" s="85">
        <f t="shared" si="173"/>
        <v>-433624999.99999994</v>
      </c>
      <c r="K43" s="85">
        <f t="shared" si="173"/>
        <v>-433624999.99999994</v>
      </c>
      <c r="L43" s="85">
        <f t="shared" si="173"/>
        <v>-433624999.99999994</v>
      </c>
      <c r="M43" s="85">
        <f t="shared" si="173"/>
        <v>-433624999.99999994</v>
      </c>
      <c r="N43" s="85">
        <f t="shared" si="173"/>
        <v>-433624999.99999994</v>
      </c>
      <c r="O43" s="435">
        <f t="shared" si="173"/>
        <v>-5203499999.999999</v>
      </c>
      <c r="Q43" s="85">
        <f t="shared" ref="Q43:AC43" si="174">Q41-Q42</f>
        <v>0</v>
      </c>
      <c r="R43" s="85">
        <f t="shared" si="174"/>
        <v>0</v>
      </c>
      <c r="S43" s="85">
        <f t="shared" si="174"/>
        <v>0</v>
      </c>
      <c r="T43" s="85">
        <f t="shared" si="174"/>
        <v>0</v>
      </c>
      <c r="U43" s="85">
        <f t="shared" si="174"/>
        <v>0</v>
      </c>
      <c r="V43" s="85">
        <f t="shared" si="174"/>
        <v>0</v>
      </c>
      <c r="W43" s="85">
        <f t="shared" si="174"/>
        <v>0</v>
      </c>
      <c r="X43" s="85">
        <f t="shared" si="174"/>
        <v>0</v>
      </c>
      <c r="Y43" s="85">
        <f t="shared" si="174"/>
        <v>0</v>
      </c>
      <c r="Z43" s="85">
        <f t="shared" si="174"/>
        <v>0</v>
      </c>
      <c r="AA43" s="85">
        <f t="shared" si="174"/>
        <v>0</v>
      </c>
      <c r="AB43" s="85">
        <f t="shared" si="174"/>
        <v>0</v>
      </c>
      <c r="AC43" s="85">
        <f t="shared" si="174"/>
        <v>0</v>
      </c>
      <c r="AE43" s="436">
        <f t="shared" ref="AE43:AQ43" si="175">AE41-AE42</f>
        <v>-433624999.99999994</v>
      </c>
      <c r="AF43" s="85">
        <f t="shared" si="175"/>
        <v>-433624999.99999994</v>
      </c>
      <c r="AG43" s="85">
        <f t="shared" si="175"/>
        <v>-433624999.99999994</v>
      </c>
      <c r="AH43" s="85">
        <f t="shared" si="175"/>
        <v>-433624999.99999994</v>
      </c>
      <c r="AI43" s="85">
        <f t="shared" si="175"/>
        <v>-433624999.99999994</v>
      </c>
      <c r="AJ43" s="85">
        <f t="shared" si="175"/>
        <v>-433624999.99999994</v>
      </c>
      <c r="AK43" s="85">
        <f t="shared" si="175"/>
        <v>-433624999.99999994</v>
      </c>
      <c r="AL43" s="85">
        <f t="shared" si="175"/>
        <v>-433624999.99999994</v>
      </c>
      <c r="AM43" s="85">
        <f t="shared" si="175"/>
        <v>-433624999.99999994</v>
      </c>
      <c r="AN43" s="85">
        <f t="shared" si="175"/>
        <v>-433624999.99999994</v>
      </c>
      <c r="AO43" s="85">
        <f t="shared" si="175"/>
        <v>-433624999.99999994</v>
      </c>
      <c r="AP43" s="85">
        <f t="shared" si="175"/>
        <v>-433624999.99999994</v>
      </c>
      <c r="AQ43" s="437">
        <f t="shared" si="175"/>
        <v>-5203499999.999999</v>
      </c>
      <c r="AS43" s="85">
        <f t="shared" ref="AS43:BE43" si="176">AS41-AS42</f>
        <v>-433624999.99999994</v>
      </c>
      <c r="AT43" s="85">
        <f t="shared" si="176"/>
        <v>-433624999.99999994</v>
      </c>
      <c r="AU43" s="85">
        <f t="shared" si="176"/>
        <v>-433624999.99999994</v>
      </c>
      <c r="AV43" s="85">
        <f t="shared" si="176"/>
        <v>-433624999.99999994</v>
      </c>
      <c r="AW43" s="85">
        <f t="shared" si="176"/>
        <v>-433624999.99999994</v>
      </c>
      <c r="AX43" s="85">
        <f t="shared" si="176"/>
        <v>-433624999.99999994</v>
      </c>
      <c r="AY43" s="85">
        <f t="shared" si="176"/>
        <v>-433624999.99999994</v>
      </c>
      <c r="AZ43" s="85">
        <f t="shared" si="176"/>
        <v>-433624999.99999994</v>
      </c>
      <c r="BA43" s="85">
        <f t="shared" si="176"/>
        <v>-433624999.99999994</v>
      </c>
      <c r="BB43" s="85">
        <f t="shared" si="176"/>
        <v>-433624999.99999994</v>
      </c>
      <c r="BC43" s="85">
        <f t="shared" si="176"/>
        <v>-433624999.99999994</v>
      </c>
      <c r="BD43" s="85">
        <f t="shared" si="176"/>
        <v>-433624999.99999994</v>
      </c>
      <c r="BE43" s="85">
        <f t="shared" si="176"/>
        <v>-5203499999.999999</v>
      </c>
      <c r="BG43" s="85">
        <f t="shared" ref="BG43:BS43" si="177">BG41-BG42</f>
        <v>0</v>
      </c>
      <c r="BH43" s="85">
        <f t="shared" si="177"/>
        <v>0</v>
      </c>
      <c r="BI43" s="85">
        <f t="shared" si="177"/>
        <v>0</v>
      </c>
      <c r="BJ43" s="85">
        <f t="shared" si="177"/>
        <v>0</v>
      </c>
      <c r="BK43" s="85">
        <f t="shared" si="177"/>
        <v>0</v>
      </c>
      <c r="BL43" s="85">
        <f t="shared" si="177"/>
        <v>0</v>
      </c>
      <c r="BM43" s="85">
        <f t="shared" si="177"/>
        <v>0</v>
      </c>
      <c r="BN43" s="85">
        <f t="shared" si="177"/>
        <v>0</v>
      </c>
      <c r="BO43" s="85">
        <f t="shared" si="177"/>
        <v>0</v>
      </c>
      <c r="BP43" s="85">
        <f t="shared" si="177"/>
        <v>0</v>
      </c>
      <c r="BQ43" s="85">
        <f t="shared" si="177"/>
        <v>0</v>
      </c>
      <c r="BR43" s="85">
        <f t="shared" si="177"/>
        <v>0</v>
      </c>
      <c r="BS43" s="85">
        <f t="shared" si="177"/>
        <v>0</v>
      </c>
      <c r="BU43" s="85">
        <f t="shared" ref="BU43:CG43" si="178">BU41-BU42</f>
        <v>0</v>
      </c>
      <c r="BV43" s="85">
        <f t="shared" si="178"/>
        <v>0</v>
      </c>
      <c r="BW43" s="85">
        <f t="shared" si="178"/>
        <v>0</v>
      </c>
      <c r="BX43" s="85">
        <f t="shared" si="178"/>
        <v>0</v>
      </c>
      <c r="BY43" s="85">
        <f t="shared" si="178"/>
        <v>0</v>
      </c>
      <c r="BZ43" s="85">
        <f t="shared" si="178"/>
        <v>0</v>
      </c>
      <c r="CA43" s="85">
        <f t="shared" si="178"/>
        <v>0</v>
      </c>
      <c r="CB43" s="85">
        <f t="shared" si="178"/>
        <v>0</v>
      </c>
      <c r="CC43" s="85">
        <f t="shared" si="178"/>
        <v>0</v>
      </c>
      <c r="CD43" s="85">
        <f t="shared" si="178"/>
        <v>0</v>
      </c>
      <c r="CE43" s="85">
        <f t="shared" si="178"/>
        <v>0</v>
      </c>
      <c r="CF43" s="85">
        <f t="shared" si="178"/>
        <v>0</v>
      </c>
      <c r="CG43" s="85">
        <f t="shared" si="178"/>
        <v>0</v>
      </c>
      <c r="CI43" s="85">
        <f t="shared" ref="CI43:CU43" si="179">CI41-CI42</f>
        <v>0</v>
      </c>
      <c r="CJ43" s="85">
        <f t="shared" si="179"/>
        <v>0</v>
      </c>
      <c r="CK43" s="85">
        <f t="shared" si="179"/>
        <v>0</v>
      </c>
      <c r="CL43" s="85">
        <f t="shared" si="179"/>
        <v>0</v>
      </c>
      <c r="CM43" s="85">
        <f t="shared" si="179"/>
        <v>0</v>
      </c>
      <c r="CN43" s="85">
        <f t="shared" si="179"/>
        <v>0</v>
      </c>
      <c r="CO43" s="85">
        <f t="shared" si="179"/>
        <v>0</v>
      </c>
      <c r="CP43" s="85">
        <f t="shared" si="179"/>
        <v>0</v>
      </c>
      <c r="CQ43" s="85">
        <f t="shared" si="179"/>
        <v>0</v>
      </c>
      <c r="CR43" s="85">
        <f t="shared" si="179"/>
        <v>0</v>
      </c>
      <c r="CS43" s="85">
        <f t="shared" si="179"/>
        <v>0</v>
      </c>
      <c r="CT43" s="85">
        <f t="shared" si="179"/>
        <v>0</v>
      </c>
      <c r="CU43" s="85">
        <f t="shared" si="179"/>
        <v>0</v>
      </c>
      <c r="CW43" s="85">
        <f t="shared" ref="CW43:DI43" si="180">CW41-CW42</f>
        <v>0</v>
      </c>
      <c r="CX43" s="85">
        <f t="shared" si="180"/>
        <v>0</v>
      </c>
      <c r="CY43" s="85">
        <f t="shared" si="180"/>
        <v>0</v>
      </c>
      <c r="CZ43" s="85">
        <f t="shared" si="180"/>
        <v>0</v>
      </c>
      <c r="DA43" s="85">
        <f t="shared" si="180"/>
        <v>0</v>
      </c>
      <c r="DB43" s="85">
        <f t="shared" si="180"/>
        <v>0</v>
      </c>
      <c r="DC43" s="85">
        <f t="shared" si="180"/>
        <v>0</v>
      </c>
      <c r="DD43" s="85">
        <f t="shared" si="180"/>
        <v>0</v>
      </c>
      <c r="DE43" s="85">
        <f t="shared" si="180"/>
        <v>0</v>
      </c>
      <c r="DF43" s="85">
        <f t="shared" si="180"/>
        <v>0</v>
      </c>
      <c r="DG43" s="85">
        <f t="shared" si="180"/>
        <v>0</v>
      </c>
      <c r="DH43" s="85">
        <f t="shared" si="180"/>
        <v>0</v>
      </c>
      <c r="DI43" s="85">
        <f t="shared" si="180"/>
        <v>0</v>
      </c>
      <c r="DK43" s="85">
        <f t="shared" ref="DK43:DW43" si="181">DK41-DK42</f>
        <v>0</v>
      </c>
      <c r="DL43" s="85">
        <f t="shared" si="181"/>
        <v>0</v>
      </c>
      <c r="DM43" s="85">
        <f t="shared" si="181"/>
        <v>0</v>
      </c>
      <c r="DN43" s="85">
        <f t="shared" si="181"/>
        <v>0</v>
      </c>
      <c r="DO43" s="85">
        <f t="shared" si="181"/>
        <v>0</v>
      </c>
      <c r="DP43" s="85">
        <f t="shared" si="181"/>
        <v>0</v>
      </c>
      <c r="DQ43" s="85">
        <f t="shared" si="181"/>
        <v>0</v>
      </c>
      <c r="DR43" s="85">
        <f t="shared" si="181"/>
        <v>0</v>
      </c>
      <c r="DS43" s="85">
        <f t="shared" si="181"/>
        <v>0</v>
      </c>
      <c r="DT43" s="85">
        <f t="shared" si="181"/>
        <v>0</v>
      </c>
      <c r="DU43" s="85">
        <f t="shared" si="181"/>
        <v>0</v>
      </c>
      <c r="DV43" s="85">
        <f t="shared" si="181"/>
        <v>0</v>
      </c>
      <c r="DW43" s="85">
        <f t="shared" si="181"/>
        <v>0</v>
      </c>
      <c r="DY43" s="85">
        <f t="shared" ref="DY43:EK43" si="182">DY41-DY42</f>
        <v>0</v>
      </c>
      <c r="DZ43" s="85">
        <f t="shared" si="182"/>
        <v>0</v>
      </c>
      <c r="EA43" s="85">
        <f t="shared" si="182"/>
        <v>0</v>
      </c>
      <c r="EB43" s="85">
        <f t="shared" si="182"/>
        <v>0</v>
      </c>
      <c r="EC43" s="85">
        <f t="shared" si="182"/>
        <v>0</v>
      </c>
      <c r="ED43" s="85">
        <f t="shared" si="182"/>
        <v>0</v>
      </c>
      <c r="EE43" s="85">
        <f t="shared" si="182"/>
        <v>0</v>
      </c>
      <c r="EF43" s="85">
        <f t="shared" si="182"/>
        <v>0</v>
      </c>
      <c r="EG43" s="85">
        <f t="shared" si="182"/>
        <v>0</v>
      </c>
      <c r="EH43" s="85">
        <f t="shared" si="182"/>
        <v>0</v>
      </c>
      <c r="EI43" s="85">
        <f t="shared" si="182"/>
        <v>0</v>
      </c>
      <c r="EJ43" s="85">
        <f t="shared" si="182"/>
        <v>0</v>
      </c>
      <c r="EK43" s="85">
        <f t="shared" si="182"/>
        <v>0</v>
      </c>
    </row>
    <row r="44" spans="1:141">
      <c r="A44" s="71">
        <v>17</v>
      </c>
      <c r="B44" s="68" t="s">
        <v>35</v>
      </c>
      <c r="C44" s="422">
        <f t="shared" ref="C44:O44" ca="1" si="183">C40+C43</f>
        <v>167877786.2049256</v>
      </c>
      <c r="D44" s="84">
        <f t="shared" ca="1" si="183"/>
        <v>-4748302890.2602415</v>
      </c>
      <c r="E44" s="84">
        <f t="shared" ca="1" si="183"/>
        <v>4002939006.3042355</v>
      </c>
      <c r="F44" s="84">
        <f t="shared" ca="1" si="183"/>
        <v>2362885279.3515453</v>
      </c>
      <c r="G44" s="84">
        <f t="shared" ca="1" si="183"/>
        <v>2547554891.7924595</v>
      </c>
      <c r="H44" s="84">
        <f t="shared" ca="1" si="183"/>
        <v>1571396479.4358158</v>
      </c>
      <c r="I44" s="84">
        <f t="shared" ca="1" si="183"/>
        <v>7383219330.49366</v>
      </c>
      <c r="J44" s="84">
        <f t="shared" ca="1" si="183"/>
        <v>6183968476.9673386</v>
      </c>
      <c r="K44" s="84">
        <f t="shared" ca="1" si="183"/>
        <v>5636217860.8661022</v>
      </c>
      <c r="L44" s="84">
        <f t="shared" ca="1" si="183"/>
        <v>6629903681.9640446</v>
      </c>
      <c r="M44" s="84">
        <f t="shared" ca="1" si="183"/>
        <v>6999791300.2930069</v>
      </c>
      <c r="N44" s="84">
        <f t="shared" ca="1" si="183"/>
        <v>4866657191.2253513</v>
      </c>
      <c r="O44" s="423">
        <f t="shared" ca="1" si="183"/>
        <v>43604108394.638229</v>
      </c>
      <c r="Q44" s="84">
        <f t="shared" ref="Q44:AC44" ca="1" si="184">Q40+Q43</f>
        <v>0</v>
      </c>
      <c r="R44" s="84">
        <f t="shared" ca="1" si="184"/>
        <v>0</v>
      </c>
      <c r="S44" s="84">
        <f t="shared" ca="1" si="184"/>
        <v>0</v>
      </c>
      <c r="T44" s="84">
        <f t="shared" ca="1" si="184"/>
        <v>0</v>
      </c>
      <c r="U44" s="84">
        <f t="shared" ca="1" si="184"/>
        <v>0</v>
      </c>
      <c r="V44" s="84">
        <f t="shared" ca="1" si="184"/>
        <v>0</v>
      </c>
      <c r="W44" s="84">
        <f t="shared" ca="1" si="184"/>
        <v>0</v>
      </c>
      <c r="X44" s="84">
        <f t="shared" ca="1" si="184"/>
        <v>0</v>
      </c>
      <c r="Y44" s="84">
        <f t="shared" ca="1" si="184"/>
        <v>0</v>
      </c>
      <c r="Z44" s="84">
        <f t="shared" ca="1" si="184"/>
        <v>0</v>
      </c>
      <c r="AA44" s="84">
        <f t="shared" ca="1" si="184"/>
        <v>0</v>
      </c>
      <c r="AB44" s="84">
        <f t="shared" ca="1" si="184"/>
        <v>0</v>
      </c>
      <c r="AC44" s="84">
        <f t="shared" ca="1" si="184"/>
        <v>0</v>
      </c>
      <c r="AE44" s="424">
        <f t="shared" ref="AE44:AQ44" si="185">AE40+AE43</f>
        <v>167877786.2049256</v>
      </c>
      <c r="AF44" s="84">
        <f t="shared" si="185"/>
        <v>-4748302890.2602415</v>
      </c>
      <c r="AG44" s="84">
        <f t="shared" si="185"/>
        <v>4002939006.3042355</v>
      </c>
      <c r="AH44" s="84">
        <f t="shared" si="185"/>
        <v>2362885279.3515453</v>
      </c>
      <c r="AI44" s="84">
        <f t="shared" si="185"/>
        <v>2547554891.7924595</v>
      </c>
      <c r="AJ44" s="84">
        <f t="shared" si="185"/>
        <v>1571396479.4358158</v>
      </c>
      <c r="AK44" s="84">
        <f t="shared" si="185"/>
        <v>7383219330.49366</v>
      </c>
      <c r="AL44" s="84">
        <f t="shared" si="185"/>
        <v>6183968476.9673386</v>
      </c>
      <c r="AM44" s="84">
        <f t="shared" si="185"/>
        <v>5636217860.8661022</v>
      </c>
      <c r="AN44" s="84">
        <f t="shared" si="185"/>
        <v>6629903681.9640446</v>
      </c>
      <c r="AO44" s="84">
        <f t="shared" si="185"/>
        <v>6999791300.2930069</v>
      </c>
      <c r="AP44" s="84">
        <f t="shared" si="185"/>
        <v>4866657191.2253513</v>
      </c>
      <c r="AQ44" s="425">
        <f t="shared" si="185"/>
        <v>43604108394.638229</v>
      </c>
      <c r="AS44" s="84">
        <f t="shared" ref="AS44:BE44" si="186">AS40+AS43</f>
        <v>1901369374.7063351</v>
      </c>
      <c r="AT44" s="84">
        <f t="shared" si="186"/>
        <v>-1325103642.6497984</v>
      </c>
      <c r="AU44" s="84">
        <f t="shared" si="186"/>
        <v>5998198854.38412</v>
      </c>
      <c r="AV44" s="84">
        <f t="shared" si="186"/>
        <v>3734734670.0697536</v>
      </c>
      <c r="AW44" s="84">
        <f t="shared" si="186"/>
        <v>3912864854.7306442</v>
      </c>
      <c r="AX44" s="84">
        <f t="shared" si="186"/>
        <v>3539715800.7311525</v>
      </c>
      <c r="AY44" s="84">
        <f t="shared" si="186"/>
        <v>9187878003.9794807</v>
      </c>
      <c r="AZ44" s="84">
        <f t="shared" si="186"/>
        <v>8402510025.017807</v>
      </c>
      <c r="BA44" s="84">
        <f t="shared" si="186"/>
        <v>7636560356.4676476</v>
      </c>
      <c r="BB44" s="84">
        <f t="shared" si="186"/>
        <v>8332078474.6883202</v>
      </c>
      <c r="BC44" s="84">
        <f t="shared" si="186"/>
        <v>8903347412.2696571</v>
      </c>
      <c r="BD44" s="84">
        <f t="shared" si="186"/>
        <v>6614311259.3445015</v>
      </c>
      <c r="BE44" s="84">
        <f t="shared" si="186"/>
        <v>66838465443.739609</v>
      </c>
      <c r="BG44" s="84">
        <f t="shared" ref="BG44:BS44" si="187">BG40+BG43</f>
        <v>-1728512399.6125174</v>
      </c>
      <c r="BH44" s="84">
        <f t="shared" si="187"/>
        <v>-3418620058.7215528</v>
      </c>
      <c r="BI44" s="84">
        <f t="shared" si="187"/>
        <v>-1990680659.1909969</v>
      </c>
      <c r="BJ44" s="84">
        <f t="shared" si="187"/>
        <v>-1366870201.8293204</v>
      </c>
      <c r="BK44" s="84">
        <f t="shared" si="187"/>
        <v>-1360730774.0492961</v>
      </c>
      <c r="BL44" s="84">
        <f t="shared" si="187"/>
        <v>-1963740132.4064455</v>
      </c>
      <c r="BM44" s="84">
        <f t="shared" si="187"/>
        <v>-1800079484.5969329</v>
      </c>
      <c r="BN44" s="84">
        <f t="shared" si="187"/>
        <v>-2213562359.1615739</v>
      </c>
      <c r="BO44" s="84">
        <f t="shared" si="187"/>
        <v>-1995763306.7126555</v>
      </c>
      <c r="BP44" s="84">
        <f t="shared" si="187"/>
        <v>-1697595603.8353872</v>
      </c>
      <c r="BQ44" s="84">
        <f t="shared" si="187"/>
        <v>-1898576923.08776</v>
      </c>
      <c r="BR44" s="84">
        <f t="shared" si="187"/>
        <v>-1743074879.2302618</v>
      </c>
      <c r="BS44" s="84">
        <f t="shared" si="187"/>
        <v>-23177806782.434738</v>
      </c>
      <c r="BU44" s="84">
        <f t="shared" ref="BU44:CG44" si="188">BU40+BU43</f>
        <v>-398961519.46358591</v>
      </c>
      <c r="BV44" s="84">
        <f t="shared" si="188"/>
        <v>-1620401480.9183569</v>
      </c>
      <c r="BW44" s="84">
        <f t="shared" si="188"/>
        <v>-1066797324.3016038</v>
      </c>
      <c r="BX44" s="84">
        <f t="shared" si="188"/>
        <v>-658970073.14220464</v>
      </c>
      <c r="BY44" s="84">
        <f t="shared" si="188"/>
        <v>-699138914.25331533</v>
      </c>
      <c r="BZ44" s="84">
        <f t="shared" si="188"/>
        <v>-684233978.55348682</v>
      </c>
      <c r="CA44" s="84">
        <f t="shared" si="188"/>
        <v>-671236943.37217617</v>
      </c>
      <c r="CB44" s="84">
        <f t="shared" si="188"/>
        <v>-980932657.55348694</v>
      </c>
      <c r="CC44" s="84">
        <f t="shared" si="188"/>
        <v>-894643115.58277607</v>
      </c>
      <c r="CD44" s="84">
        <f t="shared" si="188"/>
        <v>-637000059.03884029</v>
      </c>
      <c r="CE44" s="84">
        <f t="shared" si="188"/>
        <v>-803654994.40146351</v>
      </c>
      <c r="CF44" s="84">
        <f t="shared" si="188"/>
        <v>-660028703.03884029</v>
      </c>
      <c r="CG44" s="84">
        <f t="shared" si="188"/>
        <v>-9775999763.6201401</v>
      </c>
      <c r="CI44" s="84">
        <f t="shared" ref="CI44:CU44" si="189">CI40+CI43</f>
        <v>-307153648.70298225</v>
      </c>
      <c r="CJ44" s="84">
        <f t="shared" si="189"/>
        <v>-648003978.93160486</v>
      </c>
      <c r="CK44" s="84">
        <f t="shared" si="189"/>
        <v>-138157997.39344013</v>
      </c>
      <c r="CL44" s="84">
        <f t="shared" si="189"/>
        <v>-88161731.183898389</v>
      </c>
      <c r="CM44" s="84">
        <f t="shared" si="189"/>
        <v>-43936535.383899152</v>
      </c>
      <c r="CN44" s="84">
        <f t="shared" si="189"/>
        <v>-87441745.650565565</v>
      </c>
      <c r="CO44" s="84">
        <f t="shared" si="189"/>
        <v>-99125290.017232358</v>
      </c>
      <c r="CP44" s="84">
        <f t="shared" si="189"/>
        <v>-172572450.60056537</v>
      </c>
      <c r="CQ44" s="84">
        <f t="shared" si="189"/>
        <v>-103932866.21723217</v>
      </c>
      <c r="CR44" s="84">
        <f t="shared" si="189"/>
        <v>-49510908.550565183</v>
      </c>
      <c r="CS44" s="84">
        <f t="shared" si="189"/>
        <v>-61328310.850565374</v>
      </c>
      <c r="CT44" s="84">
        <f t="shared" si="189"/>
        <v>-65415549.150565565</v>
      </c>
      <c r="CU44" s="84">
        <f t="shared" si="189"/>
        <v>-1864741012.6331134</v>
      </c>
      <c r="CW44" s="84">
        <f t="shared" ref="CW44:DI44" si="190">CW40+CW43</f>
        <v>-1022397231.4459512</v>
      </c>
      <c r="CX44" s="84">
        <f t="shared" si="190"/>
        <v>-1150214598.8715892</v>
      </c>
      <c r="CY44" s="84">
        <f t="shared" si="190"/>
        <v>-785725337.49595213</v>
      </c>
      <c r="CZ44" s="84">
        <f t="shared" si="190"/>
        <v>-619738397.50321746</v>
      </c>
      <c r="DA44" s="84">
        <f t="shared" si="190"/>
        <v>-617655324.41208172</v>
      </c>
      <c r="DB44" s="84">
        <f t="shared" si="190"/>
        <v>-1192064408.202395</v>
      </c>
      <c r="DC44" s="84">
        <f t="shared" si="190"/>
        <v>-1029717251.2075225</v>
      </c>
      <c r="DD44" s="84">
        <f t="shared" si="190"/>
        <v>-1060057251.0075226</v>
      </c>
      <c r="DE44" s="84">
        <f t="shared" si="190"/>
        <v>-997187324.91265023</v>
      </c>
      <c r="DF44" s="84">
        <f t="shared" si="190"/>
        <v>-1011084636.2459836</v>
      </c>
      <c r="DG44" s="84">
        <f t="shared" si="190"/>
        <v>-1033593617.8357282</v>
      </c>
      <c r="DH44" s="84">
        <f t="shared" si="190"/>
        <v>-1017630627.0408559</v>
      </c>
      <c r="DI44" s="84">
        <f t="shared" si="190"/>
        <v>-11537066006.181442</v>
      </c>
      <c r="DK44" s="84">
        <f t="shared" ref="DK44:DW44" si="191">DK40+DK43</f>
        <v>-4979188.888888889</v>
      </c>
      <c r="DL44" s="84">
        <f t="shared" si="191"/>
        <v>-4579188.888888889</v>
      </c>
      <c r="DM44" s="84">
        <f t="shared" si="191"/>
        <v>-4579188.888888889</v>
      </c>
      <c r="DN44" s="84">
        <f t="shared" si="191"/>
        <v>-4979188.888888889</v>
      </c>
      <c r="DO44" s="84">
        <f t="shared" si="191"/>
        <v>-4579188.888888889</v>
      </c>
      <c r="DP44" s="84">
        <f t="shared" si="191"/>
        <v>-4579188.888888889</v>
      </c>
      <c r="DQ44" s="84">
        <f t="shared" si="191"/>
        <v>-4579188.888888889</v>
      </c>
      <c r="DR44" s="84">
        <f t="shared" si="191"/>
        <v>-4979188.888888889</v>
      </c>
      <c r="DS44" s="84">
        <f t="shared" si="191"/>
        <v>-4579188.888888889</v>
      </c>
      <c r="DT44" s="84">
        <f t="shared" si="191"/>
        <v>-4579188.888888889</v>
      </c>
      <c r="DU44" s="84">
        <f t="shared" si="191"/>
        <v>-4979188.888888889</v>
      </c>
      <c r="DV44" s="84">
        <f t="shared" si="191"/>
        <v>-4579188.888888889</v>
      </c>
      <c r="DW44" s="84">
        <f t="shared" si="191"/>
        <v>-56550266.666666664</v>
      </c>
      <c r="DY44" s="84">
        <f t="shared" ref="DY44:EK44" si="192">DY40+DY43</f>
        <v>0</v>
      </c>
      <c r="DZ44" s="84">
        <f t="shared" si="192"/>
        <v>0</v>
      </c>
      <c r="EA44" s="84">
        <f t="shared" si="192"/>
        <v>0</v>
      </c>
      <c r="EB44" s="84">
        <f t="shared" si="192"/>
        <v>0</v>
      </c>
      <c r="EC44" s="84">
        <f t="shared" si="192"/>
        <v>0</v>
      </c>
      <c r="ED44" s="84">
        <f t="shared" si="192"/>
        <v>0</v>
      </c>
      <c r="EE44" s="84">
        <f t="shared" si="192"/>
        <v>0</v>
      </c>
      <c r="EF44" s="84">
        <f t="shared" si="192"/>
        <v>0</v>
      </c>
      <c r="EG44" s="84">
        <f t="shared" si="192"/>
        <v>0</v>
      </c>
      <c r="EH44" s="84">
        <f t="shared" si="192"/>
        <v>0</v>
      </c>
      <c r="EI44" s="84">
        <f t="shared" si="192"/>
        <v>0</v>
      </c>
      <c r="EJ44" s="84">
        <f t="shared" si="192"/>
        <v>0</v>
      </c>
      <c r="EK44" s="84">
        <f t="shared" si="192"/>
        <v>0</v>
      </c>
    </row>
    <row r="45" spans="1:141" s="29" customFormat="1">
      <c r="A45" s="87">
        <v>18</v>
      </c>
      <c r="B45" s="88" t="s">
        <v>36</v>
      </c>
      <c r="C45" s="438">
        <f t="shared" ref="C45:N46" si="193">Q45+AE45</f>
        <v>380273874.94127083</v>
      </c>
      <c r="D45" s="341">
        <f t="shared" si="193"/>
        <v>0</v>
      </c>
      <c r="E45" s="341">
        <f t="shared" si="193"/>
        <v>934619042.34686375</v>
      </c>
      <c r="F45" s="341">
        <f t="shared" si="193"/>
        <v>746946934.01394844</v>
      </c>
      <c r="G45" s="341">
        <f t="shared" si="193"/>
        <v>782572970.9461298</v>
      </c>
      <c r="H45" s="341">
        <f t="shared" si="193"/>
        <v>707943160.14623451</v>
      </c>
      <c r="I45" s="341">
        <f t="shared" si="193"/>
        <v>1837575600.7959003</v>
      </c>
      <c r="J45" s="341">
        <f t="shared" si="193"/>
        <v>1680502005.0035582</v>
      </c>
      <c r="K45" s="341">
        <f t="shared" si="193"/>
        <v>1527312071.2935266</v>
      </c>
      <c r="L45" s="341">
        <f t="shared" si="193"/>
        <v>1666415694.9376678</v>
      </c>
      <c r="M45" s="341">
        <f t="shared" si="193"/>
        <v>1780669482.453928</v>
      </c>
      <c r="N45" s="341">
        <f t="shared" si="193"/>
        <v>1322862251.8688984</v>
      </c>
      <c r="O45" s="439">
        <f>SUM(C45:N45)</f>
        <v>13367693088.747927</v>
      </c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>
        <f>SUM(Q45:AB45)</f>
        <v>0</v>
      </c>
      <c r="AE45" s="440">
        <f t="shared" ref="AE45:AP46" si="194">AS45+BU45+CI45+CW45+DK45</f>
        <v>380273874.94127083</v>
      </c>
      <c r="AF45" s="341">
        <f t="shared" si="194"/>
        <v>0</v>
      </c>
      <c r="AG45" s="341">
        <f t="shared" si="194"/>
        <v>934619042.34686375</v>
      </c>
      <c r="AH45" s="341">
        <f t="shared" si="194"/>
        <v>746946934.01394844</v>
      </c>
      <c r="AI45" s="341">
        <f t="shared" si="194"/>
        <v>782572970.9461298</v>
      </c>
      <c r="AJ45" s="341">
        <f t="shared" si="194"/>
        <v>707943160.14623451</v>
      </c>
      <c r="AK45" s="341">
        <f t="shared" si="194"/>
        <v>1837575600.7959003</v>
      </c>
      <c r="AL45" s="341">
        <f t="shared" si="194"/>
        <v>1680502005.0035582</v>
      </c>
      <c r="AM45" s="341">
        <f t="shared" si="194"/>
        <v>1527312071.2935266</v>
      </c>
      <c r="AN45" s="341">
        <f t="shared" si="194"/>
        <v>1666415694.9376678</v>
      </c>
      <c r="AO45" s="341">
        <f t="shared" si="194"/>
        <v>1780669482.453928</v>
      </c>
      <c r="AP45" s="341">
        <f t="shared" si="194"/>
        <v>1322862251.8688984</v>
      </c>
      <c r="AQ45" s="441">
        <f>SUM(AE45:AP45)</f>
        <v>13367693088.747927</v>
      </c>
      <c r="AS45" s="341">
        <v>380273874.94127083</v>
      </c>
      <c r="AT45" s="341">
        <v>0</v>
      </c>
      <c r="AU45" s="341">
        <v>934619042.34686375</v>
      </c>
      <c r="AV45" s="341">
        <v>746946934.01394844</v>
      </c>
      <c r="AW45" s="341">
        <v>782572970.9461298</v>
      </c>
      <c r="AX45" s="341">
        <v>707943160.14623451</v>
      </c>
      <c r="AY45" s="341">
        <v>1837575600.7959003</v>
      </c>
      <c r="AZ45" s="341">
        <v>1680502005.0035582</v>
      </c>
      <c r="BA45" s="341">
        <v>1527312071.2935266</v>
      </c>
      <c r="BB45" s="341">
        <v>1666415694.9376678</v>
      </c>
      <c r="BC45" s="341">
        <v>1780669482.453928</v>
      </c>
      <c r="BD45" s="341">
        <v>1322862251.8688984</v>
      </c>
      <c r="BE45" s="341">
        <f>SUM(AS45:BD45)</f>
        <v>13367693088.747927</v>
      </c>
      <c r="BG45" s="341">
        <f t="shared" ref="BG45:BR46" si="195">BU45+CI45+CW45</f>
        <v>0</v>
      </c>
      <c r="BH45" s="341">
        <f t="shared" si="195"/>
        <v>0</v>
      </c>
      <c r="BI45" s="341">
        <f t="shared" si="195"/>
        <v>0</v>
      </c>
      <c r="BJ45" s="341">
        <f t="shared" si="195"/>
        <v>0</v>
      </c>
      <c r="BK45" s="341">
        <f t="shared" si="195"/>
        <v>0</v>
      </c>
      <c r="BL45" s="341">
        <f t="shared" si="195"/>
        <v>0</v>
      </c>
      <c r="BM45" s="341">
        <f t="shared" si="195"/>
        <v>0</v>
      </c>
      <c r="BN45" s="341">
        <f t="shared" si="195"/>
        <v>0</v>
      </c>
      <c r="BO45" s="341">
        <f t="shared" si="195"/>
        <v>0</v>
      </c>
      <c r="BP45" s="341">
        <f t="shared" si="195"/>
        <v>0</v>
      </c>
      <c r="BQ45" s="341">
        <f t="shared" si="195"/>
        <v>0</v>
      </c>
      <c r="BR45" s="341">
        <f t="shared" si="195"/>
        <v>0</v>
      </c>
      <c r="BS45" s="341">
        <f>SUM(BG45:BR45)</f>
        <v>0</v>
      </c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>
        <f>SUM(BU45:CF45)</f>
        <v>0</v>
      </c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>
        <f>SUM(CI45:CT45)</f>
        <v>0</v>
      </c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>
        <f>SUM(CW45:DH45)</f>
        <v>0</v>
      </c>
      <c r="DK45" s="341">
        <v>0</v>
      </c>
      <c r="DL45" s="341">
        <v>0</v>
      </c>
      <c r="DM45" s="341">
        <v>0</v>
      </c>
      <c r="DN45" s="341">
        <v>0</v>
      </c>
      <c r="DO45" s="341">
        <v>0</v>
      </c>
      <c r="DP45" s="341">
        <v>0</v>
      </c>
      <c r="DQ45" s="341">
        <v>0</v>
      </c>
      <c r="DR45" s="341">
        <v>0</v>
      </c>
      <c r="DS45" s="341">
        <v>0</v>
      </c>
      <c r="DT45" s="341">
        <v>0</v>
      </c>
      <c r="DU45" s="341">
        <v>0</v>
      </c>
      <c r="DV45" s="341">
        <v>0</v>
      </c>
      <c r="DW45" s="341">
        <f>SUM(DK45:DV45)</f>
        <v>0</v>
      </c>
      <c r="DY45" s="341"/>
      <c r="DZ45" s="341"/>
      <c r="EA45" s="341"/>
      <c r="EB45" s="341"/>
      <c r="EC45" s="341"/>
      <c r="ED45" s="341"/>
      <c r="EE45" s="341"/>
      <c r="EF45" s="341"/>
      <c r="EG45" s="341"/>
      <c r="EH45" s="341"/>
      <c r="EI45" s="341"/>
      <c r="EJ45" s="341"/>
      <c r="EK45" s="341">
        <f>SUM(DY45:EJ45)</f>
        <v>0</v>
      </c>
    </row>
    <row r="46" spans="1:141" s="29" customFormat="1">
      <c r="A46" s="89">
        <v>19</v>
      </c>
      <c r="B46" s="90" t="s">
        <v>37</v>
      </c>
      <c r="C46" s="434">
        <f t="shared" si="193"/>
        <v>0</v>
      </c>
      <c r="D46" s="85">
        <f t="shared" si="193"/>
        <v>0</v>
      </c>
      <c r="E46" s="85">
        <f t="shared" si="193"/>
        <v>0</v>
      </c>
      <c r="F46" s="85">
        <f t="shared" si="193"/>
        <v>0</v>
      </c>
      <c r="G46" s="85">
        <f t="shared" si="193"/>
        <v>0</v>
      </c>
      <c r="H46" s="85">
        <f t="shared" si="193"/>
        <v>0</v>
      </c>
      <c r="I46" s="85">
        <f t="shared" si="193"/>
        <v>0</v>
      </c>
      <c r="J46" s="85">
        <f t="shared" si="193"/>
        <v>0</v>
      </c>
      <c r="K46" s="85">
        <f t="shared" si="193"/>
        <v>0</v>
      </c>
      <c r="L46" s="85">
        <f t="shared" si="193"/>
        <v>0</v>
      </c>
      <c r="M46" s="85">
        <f t="shared" si="193"/>
        <v>0</v>
      </c>
      <c r="N46" s="85">
        <f t="shared" si="193"/>
        <v>0</v>
      </c>
      <c r="O46" s="435">
        <f>SUM(C46:N46)</f>
        <v>0</v>
      </c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>
        <f>SUM(Q46:AB46)</f>
        <v>0</v>
      </c>
      <c r="AE46" s="436">
        <f t="shared" si="194"/>
        <v>0</v>
      </c>
      <c r="AF46" s="85">
        <f t="shared" si="194"/>
        <v>0</v>
      </c>
      <c r="AG46" s="85">
        <f t="shared" si="194"/>
        <v>0</v>
      </c>
      <c r="AH46" s="85">
        <f t="shared" si="194"/>
        <v>0</v>
      </c>
      <c r="AI46" s="85">
        <f t="shared" si="194"/>
        <v>0</v>
      </c>
      <c r="AJ46" s="85">
        <f t="shared" si="194"/>
        <v>0</v>
      </c>
      <c r="AK46" s="85">
        <f t="shared" si="194"/>
        <v>0</v>
      </c>
      <c r="AL46" s="85">
        <f t="shared" si="194"/>
        <v>0</v>
      </c>
      <c r="AM46" s="85">
        <f t="shared" si="194"/>
        <v>0</v>
      </c>
      <c r="AN46" s="85">
        <f t="shared" si="194"/>
        <v>0</v>
      </c>
      <c r="AO46" s="85">
        <f t="shared" si="194"/>
        <v>0</v>
      </c>
      <c r="AP46" s="85">
        <f t="shared" si="194"/>
        <v>0</v>
      </c>
      <c r="AQ46" s="437">
        <f>SUM(AE46:AP46)</f>
        <v>0</v>
      </c>
      <c r="AS46" s="85">
        <v>0</v>
      </c>
      <c r="AT46" s="85">
        <v>0</v>
      </c>
      <c r="AU46" s="85">
        <v>0</v>
      </c>
      <c r="AV46" s="85">
        <v>0</v>
      </c>
      <c r="AW46" s="85">
        <v>0</v>
      </c>
      <c r="AX46" s="85">
        <v>0</v>
      </c>
      <c r="AY46" s="85">
        <v>0</v>
      </c>
      <c r="AZ46" s="85">
        <v>0</v>
      </c>
      <c r="BA46" s="85">
        <v>0</v>
      </c>
      <c r="BB46" s="85">
        <v>0</v>
      </c>
      <c r="BC46" s="85">
        <v>0</v>
      </c>
      <c r="BD46" s="85">
        <v>0</v>
      </c>
      <c r="BE46" s="85">
        <f>SUM(AS46:BD46)</f>
        <v>0</v>
      </c>
      <c r="BG46" s="85">
        <f t="shared" si="195"/>
        <v>0</v>
      </c>
      <c r="BH46" s="85">
        <f t="shared" si="195"/>
        <v>0</v>
      </c>
      <c r="BI46" s="85">
        <f t="shared" si="195"/>
        <v>0</v>
      </c>
      <c r="BJ46" s="85">
        <f t="shared" si="195"/>
        <v>0</v>
      </c>
      <c r="BK46" s="85">
        <f t="shared" si="195"/>
        <v>0</v>
      </c>
      <c r="BL46" s="85">
        <f t="shared" si="195"/>
        <v>0</v>
      </c>
      <c r="BM46" s="85">
        <f t="shared" si="195"/>
        <v>0</v>
      </c>
      <c r="BN46" s="85">
        <f t="shared" si="195"/>
        <v>0</v>
      </c>
      <c r="BO46" s="85">
        <f t="shared" si="195"/>
        <v>0</v>
      </c>
      <c r="BP46" s="85">
        <f t="shared" si="195"/>
        <v>0</v>
      </c>
      <c r="BQ46" s="85">
        <f t="shared" si="195"/>
        <v>0</v>
      </c>
      <c r="BR46" s="85">
        <f t="shared" si="195"/>
        <v>0</v>
      </c>
      <c r="BS46" s="85">
        <f>SUM(BG46:BR46)</f>
        <v>0</v>
      </c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>
        <f>SUM(BU46:CF46)</f>
        <v>0</v>
      </c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>
        <f>SUM(CI46:CT46)</f>
        <v>0</v>
      </c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>
        <f>SUM(CW46:DH46)</f>
        <v>0</v>
      </c>
      <c r="DK46" s="85">
        <v>0</v>
      </c>
      <c r="DL46" s="85">
        <v>0</v>
      </c>
      <c r="DM46" s="85">
        <v>0</v>
      </c>
      <c r="DN46" s="85">
        <v>0</v>
      </c>
      <c r="DO46" s="85">
        <v>0</v>
      </c>
      <c r="DP46" s="85">
        <v>0</v>
      </c>
      <c r="DQ46" s="85">
        <v>0</v>
      </c>
      <c r="DR46" s="85">
        <v>0</v>
      </c>
      <c r="DS46" s="85">
        <v>0</v>
      </c>
      <c r="DT46" s="85">
        <v>0</v>
      </c>
      <c r="DU46" s="85">
        <v>0</v>
      </c>
      <c r="DV46" s="85">
        <v>0</v>
      </c>
      <c r="DW46" s="85">
        <f>SUM(DK46:DV46)</f>
        <v>0</v>
      </c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>
        <f>SUM(DY46:EJ46)</f>
        <v>0</v>
      </c>
    </row>
    <row r="47" spans="1:141" s="51" customFormat="1" ht="14.25">
      <c r="A47" s="72">
        <v>20</v>
      </c>
      <c r="B47" s="68" t="s">
        <v>38</v>
      </c>
      <c r="C47" s="442">
        <f t="shared" ref="C47:O47" ca="1" si="196">C44-C45-C46</f>
        <v>-212396088.73634523</v>
      </c>
      <c r="D47" s="86">
        <f t="shared" ca="1" si="196"/>
        <v>-4748302890.2602415</v>
      </c>
      <c r="E47" s="86">
        <f t="shared" ca="1" si="196"/>
        <v>3068319963.9573717</v>
      </c>
      <c r="F47" s="86">
        <f t="shared" ca="1" si="196"/>
        <v>1615938345.3375969</v>
      </c>
      <c r="G47" s="86">
        <f t="shared" ca="1" si="196"/>
        <v>1764981920.8463297</v>
      </c>
      <c r="H47" s="86">
        <f t="shared" ca="1" si="196"/>
        <v>863453319.2895813</v>
      </c>
      <c r="I47" s="86">
        <f t="shared" ca="1" si="196"/>
        <v>5545643729.6977596</v>
      </c>
      <c r="J47" s="86">
        <f t="shared" ca="1" si="196"/>
        <v>4503466471.9637804</v>
      </c>
      <c r="K47" s="86">
        <f t="shared" ca="1" si="196"/>
        <v>4108905789.5725756</v>
      </c>
      <c r="L47" s="86">
        <f t="shared" ca="1" si="196"/>
        <v>4963487987.0263767</v>
      </c>
      <c r="M47" s="86">
        <f t="shared" ca="1" si="196"/>
        <v>5219121817.8390789</v>
      </c>
      <c r="N47" s="86">
        <f t="shared" ca="1" si="196"/>
        <v>3543794939.3564529</v>
      </c>
      <c r="O47" s="443">
        <f t="shared" ca="1" si="196"/>
        <v>30236415305.890305</v>
      </c>
      <c r="Q47" s="86">
        <f t="shared" ref="Q47:AC47" ca="1" si="197">Q44-Q45-Q46</f>
        <v>0</v>
      </c>
      <c r="R47" s="86">
        <f t="shared" ca="1" si="197"/>
        <v>0</v>
      </c>
      <c r="S47" s="86">
        <f t="shared" ca="1" si="197"/>
        <v>0</v>
      </c>
      <c r="T47" s="86">
        <f t="shared" ca="1" si="197"/>
        <v>0</v>
      </c>
      <c r="U47" s="86">
        <f t="shared" ca="1" si="197"/>
        <v>0</v>
      </c>
      <c r="V47" s="86">
        <f t="shared" ca="1" si="197"/>
        <v>0</v>
      </c>
      <c r="W47" s="86">
        <f t="shared" ca="1" si="197"/>
        <v>0</v>
      </c>
      <c r="X47" s="86">
        <f t="shared" ca="1" si="197"/>
        <v>0</v>
      </c>
      <c r="Y47" s="86">
        <f t="shared" ca="1" si="197"/>
        <v>0</v>
      </c>
      <c r="Z47" s="86">
        <f t="shared" ca="1" si="197"/>
        <v>0</v>
      </c>
      <c r="AA47" s="86">
        <f t="shared" ca="1" si="197"/>
        <v>0</v>
      </c>
      <c r="AB47" s="86">
        <f t="shared" ca="1" si="197"/>
        <v>0</v>
      </c>
      <c r="AC47" s="86">
        <f t="shared" ca="1" si="197"/>
        <v>0</v>
      </c>
      <c r="AE47" s="444">
        <f t="shared" ref="AE47:AQ47" si="198">AE44-AE45-AE46</f>
        <v>-212396088.73634523</v>
      </c>
      <c r="AF47" s="86">
        <f t="shared" si="198"/>
        <v>-4748302890.2602415</v>
      </c>
      <c r="AG47" s="86">
        <f t="shared" si="198"/>
        <v>3068319963.9573717</v>
      </c>
      <c r="AH47" s="86">
        <f t="shared" si="198"/>
        <v>1615938345.3375969</v>
      </c>
      <c r="AI47" s="86">
        <f t="shared" si="198"/>
        <v>1764981920.8463297</v>
      </c>
      <c r="AJ47" s="86">
        <f t="shared" si="198"/>
        <v>863453319.2895813</v>
      </c>
      <c r="AK47" s="86">
        <f t="shared" si="198"/>
        <v>5545643729.6977596</v>
      </c>
      <c r="AL47" s="86">
        <f t="shared" si="198"/>
        <v>4503466471.9637804</v>
      </c>
      <c r="AM47" s="86">
        <f t="shared" si="198"/>
        <v>4108905789.5725756</v>
      </c>
      <c r="AN47" s="86">
        <f t="shared" si="198"/>
        <v>4963487987.0263767</v>
      </c>
      <c r="AO47" s="86">
        <f t="shared" si="198"/>
        <v>5219121817.8390789</v>
      </c>
      <c r="AP47" s="86">
        <f t="shared" si="198"/>
        <v>3543794939.3564529</v>
      </c>
      <c r="AQ47" s="445">
        <f t="shared" si="198"/>
        <v>30236415305.890305</v>
      </c>
      <c r="AS47" s="86">
        <f t="shared" ref="AS47:BE47" si="199">AS44-AS45-AS46</f>
        <v>1521095499.7650642</v>
      </c>
      <c r="AT47" s="86">
        <f t="shared" si="199"/>
        <v>-1325103642.6497984</v>
      </c>
      <c r="AU47" s="86">
        <f t="shared" si="199"/>
        <v>5063579812.0372562</v>
      </c>
      <c r="AV47" s="86">
        <f t="shared" si="199"/>
        <v>2987787736.0558052</v>
      </c>
      <c r="AW47" s="86">
        <f t="shared" si="199"/>
        <v>3130291883.7845144</v>
      </c>
      <c r="AX47" s="86">
        <f t="shared" si="199"/>
        <v>2831772640.584918</v>
      </c>
      <c r="AY47" s="86">
        <f t="shared" si="199"/>
        <v>7350302403.1835804</v>
      </c>
      <c r="AZ47" s="86">
        <f t="shared" si="199"/>
        <v>6722008020.0142488</v>
      </c>
      <c r="BA47" s="86">
        <f t="shared" si="199"/>
        <v>6109248285.1741209</v>
      </c>
      <c r="BB47" s="86">
        <f t="shared" si="199"/>
        <v>6665662779.7506523</v>
      </c>
      <c r="BC47" s="86">
        <f t="shared" si="199"/>
        <v>7122677929.8157291</v>
      </c>
      <c r="BD47" s="86">
        <f t="shared" si="199"/>
        <v>5291449007.4756031</v>
      </c>
      <c r="BE47" s="86">
        <f t="shared" si="199"/>
        <v>53470772354.991684</v>
      </c>
      <c r="BG47" s="86">
        <f t="shared" ref="BG47:BS47" si="200">BG44-BG45-BG46</f>
        <v>-1728512399.6125174</v>
      </c>
      <c r="BH47" s="86">
        <f t="shared" si="200"/>
        <v>-3418620058.7215528</v>
      </c>
      <c r="BI47" s="86">
        <f t="shared" si="200"/>
        <v>-1990680659.1909969</v>
      </c>
      <c r="BJ47" s="86">
        <f t="shared" si="200"/>
        <v>-1366870201.8293204</v>
      </c>
      <c r="BK47" s="86">
        <f t="shared" si="200"/>
        <v>-1360730774.0492961</v>
      </c>
      <c r="BL47" s="86">
        <f t="shared" si="200"/>
        <v>-1963740132.4064455</v>
      </c>
      <c r="BM47" s="86">
        <f t="shared" si="200"/>
        <v>-1800079484.5969329</v>
      </c>
      <c r="BN47" s="86">
        <f t="shared" si="200"/>
        <v>-2213562359.1615739</v>
      </c>
      <c r="BO47" s="86">
        <f t="shared" si="200"/>
        <v>-1995763306.7126555</v>
      </c>
      <c r="BP47" s="86">
        <f t="shared" si="200"/>
        <v>-1697595603.8353872</v>
      </c>
      <c r="BQ47" s="86">
        <f t="shared" si="200"/>
        <v>-1898576923.08776</v>
      </c>
      <c r="BR47" s="86">
        <f t="shared" si="200"/>
        <v>-1743074879.2302618</v>
      </c>
      <c r="BS47" s="86">
        <f t="shared" si="200"/>
        <v>-23177806782.434738</v>
      </c>
      <c r="BU47" s="86">
        <f t="shared" ref="BU47:CG47" si="201">BU44-BU45-BU46</f>
        <v>-398961519.46358591</v>
      </c>
      <c r="BV47" s="86">
        <f t="shared" si="201"/>
        <v>-1620401480.9183569</v>
      </c>
      <c r="BW47" s="86">
        <f t="shared" si="201"/>
        <v>-1066797324.3016038</v>
      </c>
      <c r="BX47" s="86">
        <f t="shared" si="201"/>
        <v>-658970073.14220464</v>
      </c>
      <c r="BY47" s="86">
        <f t="shared" si="201"/>
        <v>-699138914.25331533</v>
      </c>
      <c r="BZ47" s="86">
        <f t="shared" si="201"/>
        <v>-684233978.55348682</v>
      </c>
      <c r="CA47" s="86">
        <f t="shared" si="201"/>
        <v>-671236943.37217617</v>
      </c>
      <c r="CB47" s="86">
        <f t="shared" si="201"/>
        <v>-980932657.55348694</v>
      </c>
      <c r="CC47" s="86">
        <f t="shared" si="201"/>
        <v>-894643115.58277607</v>
      </c>
      <c r="CD47" s="86">
        <f t="shared" si="201"/>
        <v>-637000059.03884029</v>
      </c>
      <c r="CE47" s="86">
        <f t="shared" si="201"/>
        <v>-803654994.40146351</v>
      </c>
      <c r="CF47" s="86">
        <f t="shared" si="201"/>
        <v>-660028703.03884029</v>
      </c>
      <c r="CG47" s="86">
        <f t="shared" si="201"/>
        <v>-9775999763.6201401</v>
      </c>
      <c r="CI47" s="86">
        <f t="shared" ref="CI47:CU47" si="202">CI44-CI45-CI46</f>
        <v>-307153648.70298225</v>
      </c>
      <c r="CJ47" s="86">
        <f t="shared" si="202"/>
        <v>-648003978.93160486</v>
      </c>
      <c r="CK47" s="86">
        <f t="shared" si="202"/>
        <v>-138157997.39344013</v>
      </c>
      <c r="CL47" s="86">
        <f t="shared" si="202"/>
        <v>-88161731.183898389</v>
      </c>
      <c r="CM47" s="86">
        <f t="shared" si="202"/>
        <v>-43936535.383899152</v>
      </c>
      <c r="CN47" s="86">
        <f t="shared" si="202"/>
        <v>-87441745.650565565</v>
      </c>
      <c r="CO47" s="86">
        <f t="shared" si="202"/>
        <v>-99125290.017232358</v>
      </c>
      <c r="CP47" s="86">
        <f t="shared" si="202"/>
        <v>-172572450.60056537</v>
      </c>
      <c r="CQ47" s="86">
        <f t="shared" si="202"/>
        <v>-103932866.21723217</v>
      </c>
      <c r="CR47" s="86">
        <f t="shared" si="202"/>
        <v>-49510908.550565183</v>
      </c>
      <c r="CS47" s="86">
        <f t="shared" si="202"/>
        <v>-61328310.850565374</v>
      </c>
      <c r="CT47" s="86">
        <f t="shared" si="202"/>
        <v>-65415549.150565565</v>
      </c>
      <c r="CU47" s="86">
        <f t="shared" si="202"/>
        <v>-1864741012.6331134</v>
      </c>
      <c r="CW47" s="86">
        <f t="shared" ref="CW47:DI47" si="203">CW44-CW45-CW46</f>
        <v>-1022397231.4459512</v>
      </c>
      <c r="CX47" s="86">
        <f t="shared" si="203"/>
        <v>-1150214598.8715892</v>
      </c>
      <c r="CY47" s="86">
        <f t="shared" si="203"/>
        <v>-785725337.49595213</v>
      </c>
      <c r="CZ47" s="86">
        <f t="shared" si="203"/>
        <v>-619738397.50321746</v>
      </c>
      <c r="DA47" s="86">
        <f t="shared" si="203"/>
        <v>-617655324.41208172</v>
      </c>
      <c r="DB47" s="86">
        <f t="shared" si="203"/>
        <v>-1192064408.202395</v>
      </c>
      <c r="DC47" s="86">
        <f t="shared" si="203"/>
        <v>-1029717251.2075225</v>
      </c>
      <c r="DD47" s="86">
        <f t="shared" si="203"/>
        <v>-1060057251.0075226</v>
      </c>
      <c r="DE47" s="86">
        <f t="shared" si="203"/>
        <v>-997187324.91265023</v>
      </c>
      <c r="DF47" s="86">
        <f t="shared" si="203"/>
        <v>-1011084636.2459836</v>
      </c>
      <c r="DG47" s="86">
        <f t="shared" si="203"/>
        <v>-1033593617.8357282</v>
      </c>
      <c r="DH47" s="86">
        <f t="shared" si="203"/>
        <v>-1017630627.0408559</v>
      </c>
      <c r="DI47" s="86">
        <f t="shared" si="203"/>
        <v>-11537066006.181442</v>
      </c>
      <c r="DK47" s="86">
        <f t="shared" ref="DK47:DW47" si="204">DK44-DK45-DK46</f>
        <v>-4979188.888888889</v>
      </c>
      <c r="DL47" s="86">
        <f t="shared" si="204"/>
        <v>-4579188.888888889</v>
      </c>
      <c r="DM47" s="86">
        <f t="shared" si="204"/>
        <v>-4579188.888888889</v>
      </c>
      <c r="DN47" s="86">
        <f t="shared" si="204"/>
        <v>-4979188.888888889</v>
      </c>
      <c r="DO47" s="86">
        <f t="shared" si="204"/>
        <v>-4579188.888888889</v>
      </c>
      <c r="DP47" s="86">
        <f t="shared" si="204"/>
        <v>-4579188.888888889</v>
      </c>
      <c r="DQ47" s="86">
        <f t="shared" si="204"/>
        <v>-4579188.888888889</v>
      </c>
      <c r="DR47" s="86">
        <f t="shared" si="204"/>
        <v>-4979188.888888889</v>
      </c>
      <c r="DS47" s="86">
        <f t="shared" si="204"/>
        <v>-4579188.888888889</v>
      </c>
      <c r="DT47" s="86">
        <f t="shared" si="204"/>
        <v>-4579188.888888889</v>
      </c>
      <c r="DU47" s="86">
        <f t="shared" si="204"/>
        <v>-4979188.888888889</v>
      </c>
      <c r="DV47" s="86">
        <f t="shared" si="204"/>
        <v>-4579188.888888889</v>
      </c>
      <c r="DW47" s="86">
        <f t="shared" si="204"/>
        <v>-56550266.666666664</v>
      </c>
      <c r="DY47" s="86">
        <f t="shared" ref="DY47:EK47" si="205">DY44-DY45-DY46</f>
        <v>0</v>
      </c>
      <c r="DZ47" s="86">
        <f t="shared" si="205"/>
        <v>0</v>
      </c>
      <c r="EA47" s="86">
        <f t="shared" si="205"/>
        <v>0</v>
      </c>
      <c r="EB47" s="86">
        <f t="shared" si="205"/>
        <v>0</v>
      </c>
      <c r="EC47" s="86">
        <f t="shared" si="205"/>
        <v>0</v>
      </c>
      <c r="ED47" s="86">
        <f t="shared" si="205"/>
        <v>0</v>
      </c>
      <c r="EE47" s="86">
        <f t="shared" si="205"/>
        <v>0</v>
      </c>
      <c r="EF47" s="86">
        <f t="shared" si="205"/>
        <v>0</v>
      </c>
      <c r="EG47" s="86">
        <f t="shared" si="205"/>
        <v>0</v>
      </c>
      <c r="EH47" s="86">
        <f t="shared" si="205"/>
        <v>0</v>
      </c>
      <c r="EI47" s="86">
        <f t="shared" si="205"/>
        <v>0</v>
      </c>
      <c r="EJ47" s="86">
        <f t="shared" si="205"/>
        <v>0</v>
      </c>
      <c r="EK47" s="86">
        <f t="shared" si="205"/>
        <v>0</v>
      </c>
    </row>
    <row r="48" spans="1:141" s="17" customFormat="1" ht="15.75" thickBot="1">
      <c r="C48" s="446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7"/>
      <c r="O48" s="448"/>
      <c r="AE48" s="449"/>
      <c r="AF48" s="450"/>
      <c r="AG48" s="450"/>
      <c r="AH48" s="450"/>
      <c r="AI48" s="450"/>
      <c r="AJ48" s="450"/>
      <c r="AK48" s="450"/>
      <c r="AL48" s="450"/>
      <c r="AM48" s="450"/>
      <c r="AN48" s="450"/>
      <c r="AO48" s="450"/>
      <c r="AP48" s="450"/>
      <c r="AQ48" s="451"/>
      <c r="BS48" s="313"/>
      <c r="CG48" s="313"/>
      <c r="CU48" s="313"/>
      <c r="DI48" s="313"/>
      <c r="DW48" s="18"/>
    </row>
    <row r="49" spans="2:12" ht="15.75" thickTop="1">
      <c r="C49" s="29"/>
      <c r="D49" s="29"/>
      <c r="E49" s="29"/>
      <c r="F49" s="29"/>
      <c r="G49" s="29"/>
      <c r="H49" s="29"/>
      <c r="I49" s="29"/>
      <c r="J49" s="29"/>
      <c r="K49" s="29"/>
      <c r="L49" s="29"/>
    </row>
    <row r="50" spans="2:12" s="96" customFormat="1">
      <c r="B50" s="17"/>
      <c r="C50" s="29"/>
      <c r="D50" s="29"/>
      <c r="E50" s="29"/>
      <c r="F50" s="29"/>
      <c r="G50" s="29"/>
      <c r="H50" s="29"/>
      <c r="I50" s="29"/>
      <c r="J50" s="29"/>
      <c r="K50" s="29"/>
      <c r="L50" s="29"/>
    </row>
    <row r="51" spans="2:12" s="96" customFormat="1">
      <c r="B51" s="17"/>
      <c r="C51" s="29"/>
      <c r="D51" s="29"/>
      <c r="E51" s="29"/>
      <c r="F51" s="29"/>
      <c r="G51" s="29"/>
      <c r="H51" s="29"/>
      <c r="I51" s="29"/>
      <c r="J51" s="29"/>
      <c r="K51" s="29"/>
      <c r="L51" s="29"/>
    </row>
    <row r="52" spans="2:12" s="96" customFormat="1">
      <c r="B52" s="17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2:12" s="17" customFormat="1"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2:12">
      <c r="C54" s="29"/>
      <c r="D54" s="29"/>
      <c r="E54" s="29"/>
      <c r="F54" s="29"/>
      <c r="G54" s="29"/>
      <c r="H54" s="29"/>
      <c r="I54" s="29"/>
      <c r="J54" s="29"/>
      <c r="K54" s="29"/>
      <c r="L54" s="29"/>
    </row>
  </sheetData>
  <mergeCells count="12">
    <mergeCell ref="DY3:EK3"/>
    <mergeCell ref="A3:A4"/>
    <mergeCell ref="B3:B4"/>
    <mergeCell ref="C3:O3"/>
    <mergeCell ref="Q3:AC3"/>
    <mergeCell ref="AE3:AQ3"/>
    <mergeCell ref="AS3:BE3"/>
    <mergeCell ref="BG3:BS3"/>
    <mergeCell ref="BU3:CG3"/>
    <mergeCell ref="CI3:CU3"/>
    <mergeCell ref="CW3:DI3"/>
    <mergeCell ref="DK3:DW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 SÁNH</vt:lpstr>
      <vt:lpstr>Consol PL-DTRG</vt:lpstr>
      <vt:lpstr>PL-KH26-DTR</vt:lpstr>
      <vt:lpstr>PL-KH26-DongLam</vt:lpstr>
      <vt:lpstr>PL-KH26-KhanhNga</vt:lpstr>
      <vt:lpstr>PL-KH26-DaiLoc</vt:lpstr>
      <vt:lpstr>PL-KH26-TanDaiPhat</vt:lpstr>
      <vt:lpstr>Consol PL-DTRG-Cũ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Danh, Hoàng Duy</cp:lastModifiedBy>
  <dcterms:created xsi:type="dcterms:W3CDTF">2026-03-02T01:13:57Z</dcterms:created>
  <dcterms:modified xsi:type="dcterms:W3CDTF">2026-03-23T03:54:30Z</dcterms:modified>
</cp:coreProperties>
</file>