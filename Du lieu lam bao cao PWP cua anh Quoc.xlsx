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3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6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7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g-my.sharepoint.com/personal/culh_duytanrecycling_com/Documents/Consolidate_Nhóm tái chế/NS 3 trạm/02. Khánh Nga/"/>
    </mc:Choice>
  </mc:AlternateContent>
  <xr:revisionPtr revIDLastSave="1" documentId="8_{83006BCF-ED2D-426E-B5CC-53E770C6CA8C}" xr6:coauthVersionLast="47" xr6:coauthVersionMax="47" xr10:uidLastSave="{8D1C6932-1E2F-4F15-B984-122111E6A148}"/>
  <bookViews>
    <workbookView xWindow="-120" yWindow="-120" windowWidth="29040" windowHeight="15720" activeTab="3" xr2:uid="{9C8951AB-268A-4114-9330-88F2F3D71B4B}"/>
  </bookViews>
  <sheets>
    <sheet name="theo anh Hoang" sheetId="1" r:id="rId1"/>
    <sheet name="kt tu lam" sheetId="2" r:id="rId2"/>
    <sheet name="Sheet1" sheetId="3" r:id="rId3"/>
    <sheet name="Sheet2" sheetId="4" r:id="rId4"/>
    <sheet name="Sheet3" sheetId="5" r:id="rId5"/>
  </sheets>
  <definedNames>
    <definedName name="_xlnm.Print_Area" localSheetId="2">Sheet1!$A$113:$I$126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5" i="4" l="1"/>
  <c r="M27" i="4"/>
  <c r="E24" i="4"/>
  <c r="E23" i="4"/>
  <c r="N5" i="4"/>
  <c r="N8" i="4"/>
  <c r="N3" i="4"/>
  <c r="M12" i="4" l="1"/>
  <c r="L12" i="4"/>
  <c r="M11" i="4"/>
  <c r="AK23" i="4" l="1"/>
  <c r="E8" i="4"/>
  <c r="G18" i="4"/>
  <c r="D5" i="4"/>
  <c r="D6" i="4"/>
  <c r="C6" i="4"/>
  <c r="C5" i="4"/>
  <c r="E2" i="4"/>
  <c r="AI2" i="4"/>
  <c r="F96" i="3" l="1"/>
  <c r="D27" i="3" l="1"/>
  <c r="H19" i="3"/>
  <c r="C203" i="2"/>
  <c r="C221" i="2"/>
  <c r="B203" i="2"/>
  <c r="D177" i="2"/>
  <c r="C177" i="2"/>
  <c r="B177" i="2"/>
  <c r="E151" i="2" l="1"/>
  <c r="E155" i="2"/>
  <c r="E152" i="2"/>
  <c r="E150" i="2" l="1"/>
  <c r="E153" i="2" l="1"/>
  <c r="D150" i="2"/>
  <c r="D153" i="2" l="1"/>
  <c r="D152" i="2"/>
  <c r="D118" i="2"/>
  <c r="E103" i="2"/>
  <c r="E102" i="2"/>
  <c r="D102" i="2"/>
  <c r="B119" i="2"/>
  <c r="C119" i="2"/>
  <c r="D119" i="2"/>
  <c r="D24" i="1"/>
  <c r="D24" i="2"/>
  <c r="D103" i="2"/>
  <c r="D85" i="2"/>
  <c r="D84" i="2"/>
  <c r="E85" i="2" l="1"/>
  <c r="E84" i="2"/>
  <c r="D83" i="2"/>
  <c r="E65" i="2"/>
  <c r="D30" i="1"/>
  <c r="D28" i="1"/>
  <c r="D27" i="1"/>
  <c r="D26" i="1"/>
  <c r="D25" i="1"/>
  <c r="E46" i="2"/>
  <c r="E46" i="1"/>
  <c r="D7" i="1"/>
  <c r="D6" i="1"/>
  <c r="D5" i="1"/>
  <c r="D3" i="1"/>
  <c r="E9" i="1"/>
  <c r="E8" i="1"/>
  <c r="E7" i="1"/>
  <c r="E6" i="1"/>
  <c r="E5" i="1"/>
  <c r="E4" i="1"/>
  <c r="E3" i="1"/>
  <c r="E154" i="2" l="1"/>
  <c r="D154" i="2"/>
  <c r="C154" i="2"/>
  <c r="C155" i="2"/>
  <c r="D151" i="2"/>
  <c r="C153" i="2"/>
  <c r="C151" i="2"/>
  <c r="C150" i="2"/>
  <c r="B154" i="2"/>
  <c r="B153" i="2"/>
  <c r="B151" i="2"/>
  <c r="E136" i="2"/>
  <c r="E118" i="2"/>
  <c r="E158" i="2" l="1"/>
  <c r="D192" i="2" l="1"/>
  <c r="AI7" i="4"/>
  <c r="AH7" i="4"/>
  <c r="AG7" i="4"/>
  <c r="C116" i="3"/>
  <c r="C115" i="3"/>
  <c r="C77" i="3"/>
  <c r="C78" i="3"/>
  <c r="B137" i="2" l="1"/>
  <c r="E137" i="2"/>
  <c r="D137" i="2"/>
  <c r="C137" i="2"/>
  <c r="D136" i="2"/>
  <c r="C136" i="2"/>
  <c r="B136" i="2"/>
  <c r="E119" i="2" l="1"/>
  <c r="C118" i="2"/>
  <c r="B118" i="2"/>
  <c r="E192" i="2" l="1"/>
  <c r="C192" i="2"/>
  <c r="B192" i="2"/>
  <c r="E177" i="2"/>
  <c r="G57" i="3" l="1"/>
  <c r="H57" i="3" s="1"/>
  <c r="G58" i="3"/>
  <c r="H58" i="3" s="1"/>
  <c r="D56" i="3"/>
  <c r="D60" i="3" s="1"/>
  <c r="E56" i="3"/>
  <c r="E60" i="3" s="1"/>
  <c r="F56" i="3"/>
  <c r="F60" i="3" s="1"/>
  <c r="C56" i="3"/>
  <c r="C60" i="3" s="1"/>
  <c r="R25" i="4"/>
  <c r="T25" i="4"/>
  <c r="R26" i="4"/>
  <c r="S26" i="4"/>
  <c r="T26" i="4"/>
  <c r="R28" i="4"/>
  <c r="S28" i="4"/>
  <c r="T28" i="4"/>
  <c r="R29" i="4"/>
  <c r="S29" i="4"/>
  <c r="T29" i="4"/>
  <c r="R30" i="4"/>
  <c r="S30" i="4"/>
  <c r="T30" i="4"/>
  <c r="R31" i="4"/>
  <c r="S31" i="4"/>
  <c r="T31" i="4"/>
  <c r="R32" i="4"/>
  <c r="S32" i="4"/>
  <c r="T32" i="4"/>
  <c r="R33" i="4"/>
  <c r="S33" i="4"/>
  <c r="T33" i="4"/>
  <c r="R35" i="4"/>
  <c r="S35" i="4"/>
  <c r="T35" i="4"/>
  <c r="R36" i="4"/>
  <c r="S36" i="4"/>
  <c r="T36" i="4"/>
  <c r="R37" i="4"/>
  <c r="S37" i="4"/>
  <c r="T37" i="4"/>
  <c r="S38" i="4"/>
  <c r="T38" i="4"/>
  <c r="R39" i="4"/>
  <c r="S39" i="4"/>
  <c r="T39" i="4"/>
  <c r="R40" i="4"/>
  <c r="S40" i="4"/>
  <c r="T40" i="4"/>
  <c r="R41" i="4"/>
  <c r="S41" i="4"/>
  <c r="T41" i="4"/>
  <c r="R42" i="4"/>
  <c r="S42" i="4"/>
  <c r="T42" i="4"/>
  <c r="R44" i="4"/>
  <c r="S44" i="4"/>
  <c r="T44" i="4"/>
  <c r="Q28" i="4"/>
  <c r="Q29" i="4"/>
  <c r="Q30" i="4"/>
  <c r="Q31" i="4"/>
  <c r="Q32" i="4"/>
  <c r="Q33" i="4"/>
  <c r="Q35" i="4"/>
  <c r="Q36" i="4"/>
  <c r="Q37" i="4"/>
  <c r="Q39" i="4"/>
  <c r="Q40" i="4"/>
  <c r="Q41" i="4"/>
  <c r="Q42" i="4"/>
  <c r="Q44" i="4"/>
  <c r="Q26" i="4"/>
  <c r="Q25" i="4"/>
  <c r="R20" i="4"/>
  <c r="R43" i="4" s="1"/>
  <c r="S20" i="4"/>
  <c r="S43" i="4" s="1"/>
  <c r="T20" i="4"/>
  <c r="T43" i="4" s="1"/>
  <c r="Q20" i="4"/>
  <c r="Q43" i="4" s="1"/>
  <c r="R15" i="4"/>
  <c r="R38" i="4" s="1"/>
  <c r="S15" i="4"/>
  <c r="T15" i="4"/>
  <c r="Q15" i="4"/>
  <c r="Q38" i="4" s="1"/>
  <c r="R4" i="4"/>
  <c r="R11" i="4" s="1"/>
  <c r="S4" i="4"/>
  <c r="S11" i="4" s="1"/>
  <c r="T4" i="4"/>
  <c r="T11" i="4" s="1"/>
  <c r="T34" i="4" s="1"/>
  <c r="Q4" i="4"/>
  <c r="Q11" i="4" s="1"/>
  <c r="Q34" i="4" s="1"/>
  <c r="L45" i="4"/>
  <c r="M45" i="4"/>
  <c r="N45" i="4"/>
  <c r="L46" i="4"/>
  <c r="M46" i="4"/>
  <c r="K46" i="4"/>
  <c r="K45" i="4"/>
  <c r="L38" i="4"/>
  <c r="M38" i="4"/>
  <c r="N38" i="4"/>
  <c r="L39" i="4"/>
  <c r="M39" i="4"/>
  <c r="N39" i="4"/>
  <c r="L40" i="4"/>
  <c r="M40" i="4"/>
  <c r="N40" i="4"/>
  <c r="K39" i="4"/>
  <c r="K40" i="4"/>
  <c r="K38" i="4"/>
  <c r="L32" i="4"/>
  <c r="M32" i="4"/>
  <c r="N32" i="4"/>
  <c r="L33" i="4"/>
  <c r="M33" i="4"/>
  <c r="N33" i="4"/>
  <c r="L34" i="4"/>
  <c r="M34" i="4"/>
  <c r="N34" i="4"/>
  <c r="K33" i="4"/>
  <c r="K34" i="4"/>
  <c r="K32" i="4"/>
  <c r="L27" i="4"/>
  <c r="N27" i="4"/>
  <c r="L28" i="4"/>
  <c r="M28" i="4"/>
  <c r="N28" i="4"/>
  <c r="L29" i="4"/>
  <c r="M29" i="4"/>
  <c r="N29" i="4"/>
  <c r="L30" i="4"/>
  <c r="M30" i="4"/>
  <c r="N30" i="4"/>
  <c r="K28" i="4"/>
  <c r="K29" i="4"/>
  <c r="K30" i="4"/>
  <c r="K27" i="4"/>
  <c r="L23" i="4"/>
  <c r="L20" i="4"/>
  <c r="M20" i="4"/>
  <c r="K20" i="4"/>
  <c r="L13" i="4"/>
  <c r="N12" i="4"/>
  <c r="K13" i="4"/>
  <c r="K12" i="4" s="1"/>
  <c r="L7" i="4"/>
  <c r="N7" i="4"/>
  <c r="K7" i="4"/>
  <c r="K11" i="4" s="1"/>
  <c r="L2" i="4"/>
  <c r="M2" i="4"/>
  <c r="N2" i="4"/>
  <c r="K2" i="4"/>
  <c r="F25" i="4"/>
  <c r="D38" i="4"/>
  <c r="E38" i="4"/>
  <c r="F38" i="4"/>
  <c r="D39" i="4"/>
  <c r="E39" i="4"/>
  <c r="F39" i="4"/>
  <c r="C39" i="4"/>
  <c r="C38" i="4"/>
  <c r="D33" i="4"/>
  <c r="E33" i="4"/>
  <c r="F33" i="4"/>
  <c r="C33" i="4"/>
  <c r="D29" i="4"/>
  <c r="AH15" i="4" s="1"/>
  <c r="AH16" i="4" s="1"/>
  <c r="E29" i="4"/>
  <c r="AI15" i="4" s="1"/>
  <c r="AI16" i="4" s="1"/>
  <c r="F29" i="4"/>
  <c r="AJ15" i="4" s="1"/>
  <c r="AJ16" i="4" s="1"/>
  <c r="C29" i="4"/>
  <c r="AG15" i="4" s="1"/>
  <c r="AG16" i="4" s="1"/>
  <c r="D25" i="4"/>
  <c r="E25" i="4"/>
  <c r="D26" i="4"/>
  <c r="E26" i="4"/>
  <c r="F26" i="4"/>
  <c r="C26" i="4"/>
  <c r="C25" i="4"/>
  <c r="D24" i="4"/>
  <c r="F24" i="4"/>
  <c r="C24" i="4"/>
  <c r="AG3" i="4" s="1"/>
  <c r="G37" i="4"/>
  <c r="H37" i="4" s="1"/>
  <c r="F23" i="4"/>
  <c r="D23" i="4"/>
  <c r="C23" i="4"/>
  <c r="H18" i="4"/>
  <c r="G17" i="4"/>
  <c r="H17" i="4" s="1"/>
  <c r="G16" i="4"/>
  <c r="H16" i="4" s="1"/>
  <c r="G12" i="4"/>
  <c r="H12" i="4" s="1"/>
  <c r="G8" i="4"/>
  <c r="G29" i="4" s="1"/>
  <c r="D13" i="4"/>
  <c r="E13" i="4"/>
  <c r="F13" i="4"/>
  <c r="C13" i="4"/>
  <c r="D9" i="4"/>
  <c r="E9" i="4"/>
  <c r="F9" i="4"/>
  <c r="C9" i="4"/>
  <c r="D19" i="4"/>
  <c r="D20" i="4" s="1"/>
  <c r="E6" i="4"/>
  <c r="E19" i="4" s="1"/>
  <c r="E14" i="4" s="1"/>
  <c r="E35" i="4" s="1"/>
  <c r="F6" i="4"/>
  <c r="F7" i="4" s="1"/>
  <c r="AJ6" i="4" s="1"/>
  <c r="C19" i="4"/>
  <c r="C14" i="4" s="1"/>
  <c r="C15" i="4" s="1"/>
  <c r="G4" i="4"/>
  <c r="H4" i="4" s="1"/>
  <c r="G5" i="4"/>
  <c r="H5" i="4" s="1"/>
  <c r="G3" i="4"/>
  <c r="H3" i="4" s="1"/>
  <c r="F2" i="4"/>
  <c r="AJ2" i="4" s="1"/>
  <c r="D2" i="4"/>
  <c r="AH2" i="4" s="1"/>
  <c r="C2" i="4"/>
  <c r="AG2" i="4" s="1"/>
  <c r="G26" i="4" l="1"/>
  <c r="H26" i="4" s="1"/>
  <c r="Z14" i="4"/>
  <c r="Y15" i="4"/>
  <c r="AA14" i="4"/>
  <c r="Z20" i="4"/>
  <c r="AB15" i="4"/>
  <c r="H29" i="4"/>
  <c r="AA15" i="4"/>
  <c r="AH14" i="4"/>
  <c r="AI14" i="4"/>
  <c r="AJ14" i="4"/>
  <c r="AG14" i="4"/>
  <c r="D30" i="4"/>
  <c r="Y14" i="4"/>
  <c r="AH3" i="4"/>
  <c r="AH17" i="4" s="1"/>
  <c r="G33" i="4"/>
  <c r="H33" i="4" s="1"/>
  <c r="N11" i="4"/>
  <c r="L31" i="4"/>
  <c r="E30" i="4"/>
  <c r="C27" i="4"/>
  <c r="C28" i="4" s="1"/>
  <c r="AB14" i="4"/>
  <c r="AG17" i="4"/>
  <c r="AG13" i="4"/>
  <c r="AK16" i="4"/>
  <c r="AL16" i="4" s="1"/>
  <c r="AK15" i="4"/>
  <c r="AL15" i="4" s="1"/>
  <c r="AA11" i="4"/>
  <c r="AI18" i="4"/>
  <c r="AG8" i="4"/>
  <c r="S27" i="4"/>
  <c r="M23" i="4"/>
  <c r="R27" i="4"/>
  <c r="G25" i="4"/>
  <c r="H25" i="4" s="1"/>
  <c r="AK7" i="4"/>
  <c r="AL7" i="4" s="1"/>
  <c r="L11" i="4"/>
  <c r="D14" i="4"/>
  <c r="D35" i="4" s="1"/>
  <c r="E20" i="4"/>
  <c r="AB20" i="4"/>
  <c r="K23" i="4"/>
  <c r="K26" i="4"/>
  <c r="AG20" i="4"/>
  <c r="AG21" i="4" s="1"/>
  <c r="Z15" i="4"/>
  <c r="M44" i="4"/>
  <c r="AJ20" i="4"/>
  <c r="T27" i="4"/>
  <c r="C20" i="4"/>
  <c r="M26" i="4"/>
  <c r="L44" i="4"/>
  <c r="AJ3" i="4"/>
  <c r="AJ8" i="4" s="1"/>
  <c r="AI20" i="4"/>
  <c r="AI3" i="4"/>
  <c r="AI17" i="4" s="1"/>
  <c r="AH20" i="4"/>
  <c r="C35" i="4"/>
  <c r="D34" i="4"/>
  <c r="E34" i="4"/>
  <c r="Q45" i="4"/>
  <c r="T22" i="4"/>
  <c r="T45" i="4" s="1"/>
  <c r="N37" i="4"/>
  <c r="N36" i="4" s="1"/>
  <c r="N26" i="4"/>
  <c r="E15" i="4"/>
  <c r="N31" i="4"/>
  <c r="S34" i="4"/>
  <c r="S22" i="4"/>
  <c r="S45" i="4" s="1"/>
  <c r="G38" i="4"/>
  <c r="H38" i="4" s="1"/>
  <c r="R34" i="4"/>
  <c r="R22" i="4"/>
  <c r="R45" i="4" s="1"/>
  <c r="Q27" i="4"/>
  <c r="M37" i="4"/>
  <c r="M36" i="4" s="1"/>
  <c r="C30" i="4"/>
  <c r="L37" i="4"/>
  <c r="L36" i="4" s="1"/>
  <c r="G24" i="4"/>
  <c r="AK3" i="4" s="1"/>
  <c r="M31" i="4"/>
  <c r="Y20" i="4"/>
  <c r="AA20" i="4"/>
  <c r="F19" i="4"/>
  <c r="H8" i="4"/>
  <c r="G39" i="4"/>
  <c r="H39" i="4" s="1"/>
  <c r="G23" i="4"/>
  <c r="H23" i="4" s="1"/>
  <c r="L26" i="4"/>
  <c r="C34" i="4"/>
  <c r="K31" i="4"/>
  <c r="K44" i="4"/>
  <c r="K37" i="4"/>
  <c r="K36" i="4" s="1"/>
  <c r="F30" i="4"/>
  <c r="D27" i="4"/>
  <c r="AH4" i="4" s="1"/>
  <c r="AH5" i="4" s="1"/>
  <c r="F34" i="4"/>
  <c r="E27" i="4"/>
  <c r="F27" i="4"/>
  <c r="AJ4" i="4" s="1"/>
  <c r="AJ5" i="4" s="1"/>
  <c r="C7" i="4"/>
  <c r="AG6" i="4" s="1"/>
  <c r="G2" i="4"/>
  <c r="E7" i="4"/>
  <c r="AI6" i="4" s="1"/>
  <c r="D7" i="4"/>
  <c r="AH6" i="4" s="1"/>
  <c r="G6" i="4"/>
  <c r="G27" i="4" l="1"/>
  <c r="AK4" i="4" s="1"/>
  <c r="AI19" i="4"/>
  <c r="AK14" i="4"/>
  <c r="AL14" i="4" s="1"/>
  <c r="L35" i="4"/>
  <c r="AJ17" i="4"/>
  <c r="AG4" i="4"/>
  <c r="AG5" i="4" s="1"/>
  <c r="C40" i="4"/>
  <c r="AH21" i="4"/>
  <c r="AH8" i="4"/>
  <c r="M35" i="4"/>
  <c r="K35" i="4"/>
  <c r="AH13" i="4"/>
  <c r="Z11" i="4"/>
  <c r="AH18" i="4"/>
  <c r="AH19" i="4" s="1"/>
  <c r="N35" i="4"/>
  <c r="AJ21" i="4"/>
  <c r="AK20" i="4"/>
  <c r="AL20" i="4" s="1"/>
  <c r="Y11" i="4"/>
  <c r="AG18" i="4"/>
  <c r="AG19" i="4" s="1"/>
  <c r="D15" i="4"/>
  <c r="AI13" i="4"/>
  <c r="AI21" i="4"/>
  <c r="Z8" i="4"/>
  <c r="AJ13" i="4"/>
  <c r="AI8" i="4"/>
  <c r="Y21" i="4"/>
  <c r="H24" i="4"/>
  <c r="AL3" i="4" s="1"/>
  <c r="G34" i="4"/>
  <c r="H2" i="4"/>
  <c r="AL2" i="4" s="1"/>
  <c r="AK2" i="4"/>
  <c r="L47" i="4"/>
  <c r="M47" i="4"/>
  <c r="G30" i="4"/>
  <c r="Z21" i="4"/>
  <c r="E28" i="4"/>
  <c r="AI4" i="4"/>
  <c r="F14" i="4"/>
  <c r="F20" i="4"/>
  <c r="G19" i="4"/>
  <c r="K47" i="4"/>
  <c r="E40" i="4"/>
  <c r="D40" i="4"/>
  <c r="D28" i="4"/>
  <c r="F28" i="4"/>
  <c r="F40" i="4"/>
  <c r="C36" i="4"/>
  <c r="E36" i="4"/>
  <c r="H6" i="4"/>
  <c r="AH22" i="4" l="1"/>
  <c r="AH23" i="4" s="1"/>
  <c r="Z10" i="4"/>
  <c r="Z9" i="4"/>
  <c r="Y9" i="4"/>
  <c r="Y10" i="4"/>
  <c r="C41" i="4"/>
  <c r="Y13" i="4" s="1"/>
  <c r="H27" i="4"/>
  <c r="AL4" i="4" s="1"/>
  <c r="AA10" i="4"/>
  <c r="AA9" i="4"/>
  <c r="AI5" i="4"/>
  <c r="AK5" i="4" s="1"/>
  <c r="AL5" i="4" s="1"/>
  <c r="AJ22" i="4"/>
  <c r="AJ23" i="4" s="1"/>
  <c r="AB10" i="4"/>
  <c r="AB9" i="4"/>
  <c r="AA8" i="4"/>
  <c r="Y8" i="4"/>
  <c r="AG22" i="4"/>
  <c r="AG23" i="4" s="1"/>
  <c r="AK13" i="4"/>
  <c r="AL13" i="4" s="1"/>
  <c r="AB21" i="4"/>
  <c r="AA21" i="4"/>
  <c r="AB8" i="4"/>
  <c r="E41" i="4"/>
  <c r="AA13" i="4" s="1"/>
  <c r="AI22" i="4"/>
  <c r="AI23" i="4" s="1"/>
  <c r="H19" i="4"/>
  <c r="G20" i="4"/>
  <c r="F15" i="4"/>
  <c r="F35" i="4"/>
  <c r="G14" i="4"/>
  <c r="F41" i="4"/>
  <c r="AB13" i="4" s="1"/>
  <c r="G40" i="4"/>
  <c r="G41" i="4" s="1"/>
  <c r="D41" i="4"/>
  <c r="Z13" i="4" s="1"/>
  <c r="D36" i="4"/>
  <c r="AK22" i="4" l="1"/>
  <c r="AL22" i="4" s="1"/>
  <c r="AB11" i="4"/>
  <c r="AJ18" i="4"/>
  <c r="G15" i="4"/>
  <c r="G35" i="4"/>
  <c r="H14" i="4"/>
  <c r="H40" i="4"/>
  <c r="F36" i="4"/>
  <c r="AJ19" i="4" l="1"/>
  <c r="AK18" i="4"/>
  <c r="AL18" i="4" s="1"/>
  <c r="G36" i="4"/>
  <c r="H35" i="4"/>
  <c r="H118" i="3" l="1"/>
  <c r="E115" i="3"/>
  <c r="G125" i="3"/>
  <c r="H117" i="3"/>
  <c r="H119" i="3"/>
  <c r="H116" i="3"/>
  <c r="H120" i="3"/>
  <c r="H121" i="3"/>
  <c r="H122" i="3"/>
  <c r="H123" i="3"/>
  <c r="H124" i="3"/>
  <c r="H115" i="3"/>
  <c r="D125" i="3"/>
  <c r="E117" i="3"/>
  <c r="E118" i="3"/>
  <c r="E119" i="3"/>
  <c r="E120" i="3"/>
  <c r="E121" i="3"/>
  <c r="E122" i="3"/>
  <c r="E123" i="3"/>
  <c r="E124" i="3"/>
  <c r="H125" i="3" l="1"/>
  <c r="C125" i="3"/>
  <c r="F125" i="3"/>
  <c r="E116" i="3"/>
  <c r="E125" i="3" s="1"/>
  <c r="F104" i="3"/>
  <c r="F109" i="3"/>
  <c r="F108" i="3"/>
  <c r="D103" i="3"/>
  <c r="E103" i="3"/>
  <c r="F103" i="3"/>
  <c r="D106" i="3"/>
  <c r="E106" i="3"/>
  <c r="F106" i="3"/>
  <c r="D105" i="3"/>
  <c r="E105" i="3"/>
  <c r="F105" i="3"/>
  <c r="D107" i="3"/>
  <c r="E107" i="3"/>
  <c r="F107" i="3"/>
  <c r="D104" i="3"/>
  <c r="E104" i="3"/>
  <c r="D108" i="3"/>
  <c r="E108" i="3"/>
  <c r="D109" i="3"/>
  <c r="E109" i="3"/>
  <c r="D110" i="3"/>
  <c r="E110" i="3"/>
  <c r="F110" i="3"/>
  <c r="C106" i="3"/>
  <c r="C105" i="3"/>
  <c r="C107" i="3"/>
  <c r="C104" i="3"/>
  <c r="C108" i="3"/>
  <c r="C109" i="3"/>
  <c r="C110" i="3"/>
  <c r="C103" i="3"/>
  <c r="D111" i="3" l="1"/>
  <c r="E111" i="3"/>
  <c r="F111" i="3"/>
  <c r="C111" i="3"/>
  <c r="D98" i="3"/>
  <c r="E98" i="3"/>
  <c r="F98" i="3"/>
  <c r="C98" i="3"/>
  <c r="G91" i="3"/>
  <c r="G92" i="3"/>
  <c r="G93" i="3"/>
  <c r="G94" i="3"/>
  <c r="G95" i="3"/>
  <c r="G96" i="3"/>
  <c r="G97" i="3"/>
  <c r="G90" i="3"/>
  <c r="D77" i="3"/>
  <c r="E77" i="3"/>
  <c r="F77" i="3"/>
  <c r="D82" i="3"/>
  <c r="E82" i="3"/>
  <c r="F82" i="3"/>
  <c r="D79" i="3"/>
  <c r="E79" i="3"/>
  <c r="F79" i="3"/>
  <c r="D80" i="3"/>
  <c r="E80" i="3"/>
  <c r="F80" i="3"/>
  <c r="D81" i="3"/>
  <c r="E81" i="3"/>
  <c r="F81" i="3"/>
  <c r="D78" i="3"/>
  <c r="E78" i="3"/>
  <c r="F78" i="3"/>
  <c r="D83" i="3"/>
  <c r="E83" i="3"/>
  <c r="F83" i="3"/>
  <c r="C82" i="3"/>
  <c r="C79" i="3"/>
  <c r="C80" i="3"/>
  <c r="C81" i="3"/>
  <c r="C83" i="3"/>
  <c r="G65" i="3"/>
  <c r="H65" i="3" s="1"/>
  <c r="G66" i="3"/>
  <c r="G79" i="3" s="1"/>
  <c r="G67" i="3"/>
  <c r="H67" i="3" s="1"/>
  <c r="G68" i="3"/>
  <c r="H68" i="3" s="1"/>
  <c r="G69" i="3"/>
  <c r="H69" i="3" s="1"/>
  <c r="G70" i="3"/>
  <c r="G83" i="3" s="1"/>
  <c r="G64" i="3"/>
  <c r="G77" i="3" s="1"/>
  <c r="D72" i="3"/>
  <c r="E72" i="3"/>
  <c r="I66" i="3" s="1"/>
  <c r="F72" i="3"/>
  <c r="J65" i="3" s="1"/>
  <c r="C72" i="3"/>
  <c r="G52" i="3"/>
  <c r="H52" i="3" s="1"/>
  <c r="G53" i="3"/>
  <c r="H53" i="3" s="1"/>
  <c r="G54" i="3"/>
  <c r="H54" i="3" s="1"/>
  <c r="G55" i="3"/>
  <c r="G56" i="3"/>
  <c r="H56" i="3" s="1"/>
  <c r="G59" i="3"/>
  <c r="H59" i="3" s="1"/>
  <c r="G51" i="3"/>
  <c r="G5" i="3"/>
  <c r="H5" i="3" s="1"/>
  <c r="G6" i="3"/>
  <c r="H6" i="3" s="1"/>
  <c r="G7" i="3"/>
  <c r="H7" i="3" s="1"/>
  <c r="G8" i="3"/>
  <c r="H8" i="3" s="1"/>
  <c r="G9" i="3"/>
  <c r="H9" i="3" s="1"/>
  <c r="G10" i="3"/>
  <c r="H10" i="3" s="1"/>
  <c r="G11" i="3"/>
  <c r="H11" i="3" s="1"/>
  <c r="G12" i="3"/>
  <c r="H12" i="3" s="1"/>
  <c r="G13" i="3"/>
  <c r="H13" i="3" s="1"/>
  <c r="G14" i="3"/>
  <c r="H14" i="3" s="1"/>
  <c r="G15" i="3"/>
  <c r="H15" i="3" s="1"/>
  <c r="G16" i="3"/>
  <c r="H16" i="3" s="1"/>
  <c r="G17" i="3"/>
  <c r="H17" i="3" s="1"/>
  <c r="G18" i="3"/>
  <c r="H18" i="3" s="1"/>
  <c r="G19" i="3"/>
  <c r="G20" i="3"/>
  <c r="H20" i="3" s="1"/>
  <c r="G21" i="3"/>
  <c r="H21" i="3" s="1"/>
  <c r="G22" i="3"/>
  <c r="H22" i="3" s="1"/>
  <c r="E33" i="3"/>
  <c r="D42" i="3"/>
  <c r="E42" i="3"/>
  <c r="F42" i="3"/>
  <c r="D38" i="3"/>
  <c r="E38" i="3"/>
  <c r="F38" i="3"/>
  <c r="D41" i="3"/>
  <c r="E41" i="3"/>
  <c r="F41" i="3"/>
  <c r="D28" i="3"/>
  <c r="E28" i="3"/>
  <c r="F28" i="3"/>
  <c r="D29" i="3"/>
  <c r="E29" i="3"/>
  <c r="F29" i="3"/>
  <c r="D32" i="3"/>
  <c r="E32" i="3"/>
  <c r="F32" i="3"/>
  <c r="D39" i="3"/>
  <c r="E39" i="3"/>
  <c r="F39" i="3"/>
  <c r="E27" i="3"/>
  <c r="F27" i="3"/>
  <c r="D35" i="3"/>
  <c r="E35" i="3"/>
  <c r="F35" i="3"/>
  <c r="D44" i="3"/>
  <c r="E44" i="3"/>
  <c r="F44" i="3"/>
  <c r="D40" i="3"/>
  <c r="E40" i="3"/>
  <c r="F40" i="3"/>
  <c r="D30" i="3"/>
  <c r="E30" i="3"/>
  <c r="F30" i="3"/>
  <c r="D45" i="3"/>
  <c r="E45" i="3"/>
  <c r="F45" i="3"/>
  <c r="D37" i="3"/>
  <c r="E37" i="3"/>
  <c r="F37" i="3"/>
  <c r="D43" i="3"/>
  <c r="E43" i="3"/>
  <c r="F43" i="3"/>
  <c r="D33" i="3"/>
  <c r="F33" i="3"/>
  <c r="D34" i="3"/>
  <c r="E34" i="3"/>
  <c r="F34" i="3"/>
  <c r="D36" i="3"/>
  <c r="E36" i="3"/>
  <c r="F36" i="3"/>
  <c r="D31" i="3"/>
  <c r="E31" i="3"/>
  <c r="F31" i="3"/>
  <c r="C38" i="3"/>
  <c r="C41" i="3"/>
  <c r="C28" i="3"/>
  <c r="C29" i="3"/>
  <c r="C32" i="3"/>
  <c r="C39" i="3"/>
  <c r="C27" i="3"/>
  <c r="C35" i="3"/>
  <c r="C44" i="3"/>
  <c r="C40" i="3"/>
  <c r="C30" i="3"/>
  <c r="C45" i="3"/>
  <c r="C37" i="3"/>
  <c r="C43" i="3"/>
  <c r="C33" i="3"/>
  <c r="C34" i="3"/>
  <c r="C36" i="3"/>
  <c r="C31" i="3"/>
  <c r="C42" i="3"/>
  <c r="H83" i="3" l="1"/>
  <c r="H51" i="3"/>
  <c r="G60" i="3"/>
  <c r="G29" i="3"/>
  <c r="H29" i="3" s="1"/>
  <c r="C99" i="3"/>
  <c r="D99" i="3"/>
  <c r="G106" i="3"/>
  <c r="H106" i="3" s="1"/>
  <c r="H91" i="3"/>
  <c r="G103" i="3"/>
  <c r="H103" i="3" s="1"/>
  <c r="H90" i="3"/>
  <c r="I109" i="3"/>
  <c r="I104" i="3"/>
  <c r="I107" i="3"/>
  <c r="I105" i="3"/>
  <c r="I106" i="3"/>
  <c r="J68" i="3"/>
  <c r="I110" i="3"/>
  <c r="H97" i="3"/>
  <c r="G110" i="3"/>
  <c r="H110" i="3" s="1"/>
  <c r="I68" i="3"/>
  <c r="H93" i="3"/>
  <c r="G107" i="3"/>
  <c r="H107" i="3" s="1"/>
  <c r="I108" i="3"/>
  <c r="I65" i="3"/>
  <c r="G105" i="3"/>
  <c r="H105" i="3" s="1"/>
  <c r="H92" i="3"/>
  <c r="I103" i="3"/>
  <c r="G109" i="3"/>
  <c r="H109" i="3" s="1"/>
  <c r="H96" i="3"/>
  <c r="H95" i="3"/>
  <c r="G108" i="3"/>
  <c r="H108" i="3" s="1"/>
  <c r="H94" i="3"/>
  <c r="G104" i="3"/>
  <c r="J92" i="3"/>
  <c r="F99" i="3"/>
  <c r="J108" i="3"/>
  <c r="J109" i="3"/>
  <c r="J110" i="3"/>
  <c r="J103" i="3"/>
  <c r="J106" i="3"/>
  <c r="J105" i="3"/>
  <c r="J107" i="3"/>
  <c r="J104" i="3"/>
  <c r="I91" i="3"/>
  <c r="E99" i="3"/>
  <c r="J95" i="3"/>
  <c r="J90" i="3"/>
  <c r="J97" i="3"/>
  <c r="G98" i="3"/>
  <c r="H98" i="3" s="1"/>
  <c r="J96" i="3"/>
  <c r="I90" i="3"/>
  <c r="I97" i="3"/>
  <c r="I95" i="3"/>
  <c r="I96" i="3"/>
  <c r="J94" i="3"/>
  <c r="I94" i="3"/>
  <c r="I93" i="3"/>
  <c r="I92" i="3"/>
  <c r="J91" i="3"/>
  <c r="J93" i="3"/>
  <c r="G82" i="3"/>
  <c r="H82" i="3" s="1"/>
  <c r="I64" i="3"/>
  <c r="H79" i="3"/>
  <c r="G78" i="3"/>
  <c r="H78" i="3" s="1"/>
  <c r="J70" i="3"/>
  <c r="H66" i="3"/>
  <c r="F84" i="3"/>
  <c r="F112" i="3" s="1"/>
  <c r="J64" i="3"/>
  <c r="I70" i="3"/>
  <c r="J69" i="3"/>
  <c r="I69" i="3"/>
  <c r="J67" i="3"/>
  <c r="H64" i="3"/>
  <c r="G80" i="3"/>
  <c r="I67" i="3"/>
  <c r="H70" i="3"/>
  <c r="C84" i="3"/>
  <c r="G81" i="3"/>
  <c r="H81" i="3" s="1"/>
  <c r="J66" i="3"/>
  <c r="D84" i="3"/>
  <c r="E84" i="3"/>
  <c r="H77" i="3"/>
  <c r="H55" i="3"/>
  <c r="F46" i="3"/>
  <c r="AJ9" i="4" s="1"/>
  <c r="C46" i="3"/>
  <c r="E46" i="3"/>
  <c r="D46" i="3"/>
  <c r="H60" i="3"/>
  <c r="G28" i="3"/>
  <c r="H28" i="3" s="1"/>
  <c r="G41" i="3"/>
  <c r="H41" i="3" s="1"/>
  <c r="G34" i="3"/>
  <c r="H34" i="3" s="1"/>
  <c r="G30" i="3"/>
  <c r="H30" i="3" s="1"/>
  <c r="G43" i="3"/>
  <c r="H43" i="3" s="1"/>
  <c r="G27" i="3"/>
  <c r="G39" i="3"/>
  <c r="H39" i="3" s="1"/>
  <c r="G40" i="3"/>
  <c r="H40" i="3" s="1"/>
  <c r="G31" i="3"/>
  <c r="H31" i="3" s="1"/>
  <c r="G37" i="3"/>
  <c r="H37" i="3" s="1"/>
  <c r="G42" i="3"/>
  <c r="H42" i="3" s="1"/>
  <c r="G35" i="3"/>
  <c r="H35" i="3" s="1"/>
  <c r="G38" i="3"/>
  <c r="H38" i="3" s="1"/>
  <c r="G44" i="3"/>
  <c r="H44" i="3" s="1"/>
  <c r="G36" i="3"/>
  <c r="H36" i="3" s="1"/>
  <c r="G45" i="3"/>
  <c r="H45" i="3" s="1"/>
  <c r="G32" i="3"/>
  <c r="H32" i="3" s="1"/>
  <c r="G33" i="3"/>
  <c r="G4" i="3"/>
  <c r="H4" i="3" s="1"/>
  <c r="AH9" i="4" l="1"/>
  <c r="AH10" i="4" s="1"/>
  <c r="AI9" i="4"/>
  <c r="AI10" i="4" s="1"/>
  <c r="AG9" i="4"/>
  <c r="AG10" i="4" s="1"/>
  <c r="AJ11" i="4"/>
  <c r="AJ12" i="4" s="1"/>
  <c r="AG11" i="4"/>
  <c r="AG12" i="4" s="1"/>
  <c r="AH11" i="4"/>
  <c r="AH12" i="4" s="1"/>
  <c r="J77" i="3"/>
  <c r="AK9" i="4"/>
  <c r="AL9" i="4" s="1"/>
  <c r="AJ10" i="4"/>
  <c r="E112" i="3"/>
  <c r="AI11" i="4"/>
  <c r="AI12" i="4" s="1"/>
  <c r="J80" i="3"/>
  <c r="J79" i="3"/>
  <c r="D112" i="3"/>
  <c r="C112" i="3"/>
  <c r="H104" i="3"/>
  <c r="G111" i="3"/>
  <c r="J83" i="3"/>
  <c r="G84" i="3"/>
  <c r="H84" i="3" s="1"/>
  <c r="J82" i="3"/>
  <c r="J81" i="3"/>
  <c r="J78" i="3"/>
  <c r="I78" i="3"/>
  <c r="I80" i="3"/>
  <c r="I81" i="3"/>
  <c r="I83" i="3"/>
  <c r="I77" i="3"/>
  <c r="H80" i="3"/>
  <c r="I82" i="3"/>
  <c r="I79" i="3"/>
  <c r="G72" i="3"/>
  <c r="H72" i="3" s="1"/>
  <c r="H27" i="3"/>
  <c r="G46" i="3"/>
  <c r="H46" i="3" s="1"/>
  <c r="AK11" i="4" l="1"/>
  <c r="AL11" i="4" s="1"/>
  <c r="G112" i="3"/>
  <c r="H111" i="3"/>
  <c r="D155" i="2" l="1"/>
  <c r="C152" i="2"/>
  <c r="B152" i="2"/>
  <c r="B150" i="2"/>
  <c r="B158" i="2" l="1"/>
  <c r="C158" i="2"/>
  <c r="D158" i="2"/>
  <c r="C103" i="2" l="1"/>
  <c r="B103" i="2"/>
  <c r="C102" i="2"/>
  <c r="B102" i="2"/>
  <c r="C84" i="2"/>
  <c r="B84" i="2"/>
  <c r="C85" i="2" l="1"/>
  <c r="B85" i="2"/>
  <c r="C24" i="2"/>
  <c r="C65" i="2" s="1"/>
  <c r="D65" i="2"/>
  <c r="E24" i="2"/>
  <c r="B24" i="2"/>
  <c r="B65" i="2" s="1"/>
  <c r="C3" i="2"/>
  <c r="D85" i="3" s="1"/>
  <c r="D3" i="2"/>
  <c r="E3" i="2"/>
  <c r="B3" i="2"/>
  <c r="C85" i="3" s="1"/>
  <c r="B65" i="1"/>
  <c r="E65" i="1"/>
  <c r="D65" i="1"/>
  <c r="C65" i="1"/>
  <c r="D46" i="1"/>
  <c r="C46" i="1"/>
  <c r="B46" i="1"/>
  <c r="B30" i="1"/>
  <c r="B28" i="1"/>
  <c r="B27" i="1"/>
  <c r="B26" i="1"/>
  <c r="B25" i="1"/>
  <c r="B24" i="1"/>
  <c r="C30" i="1"/>
  <c r="C28" i="1"/>
  <c r="C27" i="1"/>
  <c r="C26" i="1"/>
  <c r="C25" i="1"/>
  <c r="C24" i="1"/>
  <c r="E30" i="1"/>
  <c r="E29" i="1"/>
  <c r="E28" i="1"/>
  <c r="E27" i="1"/>
  <c r="E26" i="1"/>
  <c r="E25" i="1"/>
  <c r="E24" i="1"/>
  <c r="B9" i="1"/>
  <c r="B7" i="1"/>
  <c r="B6" i="1"/>
  <c r="B5" i="1"/>
  <c r="B4" i="1"/>
  <c r="B3" i="1"/>
  <c r="C9" i="1"/>
  <c r="C7" i="1"/>
  <c r="C6" i="1"/>
  <c r="C5" i="1"/>
  <c r="C4" i="1"/>
  <c r="C3" i="1"/>
  <c r="D9" i="1"/>
  <c r="D4" i="1"/>
  <c r="F85" i="3" l="1"/>
  <c r="E203" i="2"/>
  <c r="E221" i="2" s="1"/>
  <c r="C126" i="3"/>
  <c r="D126" i="3"/>
  <c r="E126" i="3"/>
  <c r="E85" i="3"/>
  <c r="B221" i="2"/>
  <c r="G126" i="3"/>
  <c r="F126" i="3"/>
  <c r="H126" i="3"/>
  <c r="B83" i="2"/>
  <c r="C46" i="2"/>
  <c r="D46" i="2"/>
  <c r="D203" i="2"/>
  <c r="E83" i="2"/>
  <c r="C83" i="2"/>
  <c r="B46" i="2"/>
  <c r="C86" i="2" l="1"/>
  <c r="D86" i="2"/>
  <c r="E86" i="2"/>
  <c r="B86" i="2"/>
  <c r="D87" i="2"/>
  <c r="B87" i="2"/>
  <c r="D221" i="2"/>
  <c r="D222" i="2" s="1"/>
  <c r="D204" i="2"/>
  <c r="E222" i="2"/>
  <c r="E204" i="2"/>
  <c r="C222" i="2"/>
  <c r="C204" i="2"/>
  <c r="B222" i="2"/>
  <c r="B204" i="2"/>
  <c r="E87" i="2"/>
  <c r="C87" i="2"/>
  <c r="N46" i="4"/>
  <c r="N44" i="4" s="1"/>
  <c r="N47" i="4" s="1"/>
  <c r="N20" i="4"/>
  <c r="N23" i="4" s="1"/>
  <c r="N24" i="4" s="1"/>
</calcChain>
</file>

<file path=xl/sharedStrings.xml><?xml version="1.0" encoding="utf-8"?>
<sst xmlns="http://schemas.openxmlformats.org/spreadsheetml/2006/main" count="674" uniqueCount="267">
  <si>
    <t>Doanh thu theo từng loại chai</t>
  </si>
  <si>
    <t>Thành phẩm</t>
  </si>
  <si>
    <t>Chai PET B1</t>
  </si>
  <si>
    <t>Chai PET B2.2</t>
  </si>
  <si>
    <t>Chai PET B4</t>
  </si>
  <si>
    <t>Chai PET B5</t>
  </si>
  <si>
    <t>Chai PET B6.2</t>
  </si>
  <si>
    <t>Cổ Chai PET</t>
  </si>
  <si>
    <t>Nắp HD ép các màu</t>
  </si>
  <si>
    <t>Năm 2023</t>
  </si>
  <si>
    <t>Năm 2024</t>
  </si>
  <si>
    <t>Năm 2025</t>
  </si>
  <si>
    <t>Năm 2026</t>
  </si>
  <si>
    <t>Sản lượng theo từng loại chai</t>
  </si>
  <si>
    <t>Doanh thu bình quân đầu người/ năm</t>
  </si>
  <si>
    <t>Công ty</t>
  </si>
  <si>
    <t>Danh mục</t>
  </si>
  <si>
    <t>Danh mục nhân sự</t>
  </si>
  <si>
    <t>Sản lượng bình quân đầu người/ năm</t>
  </si>
  <si>
    <t>Doanh thu theo từng nhóm</t>
  </si>
  <si>
    <t>Nhóm sản phẩm</t>
  </si>
  <si>
    <t>Nhóm PET</t>
  </si>
  <si>
    <t>Sản lượng theo từng nhóm</t>
  </si>
  <si>
    <t>Doanh thu- Ebitda- LNST</t>
  </si>
  <si>
    <t>Doanh thu</t>
  </si>
  <si>
    <t>EBITDA</t>
  </si>
  <si>
    <t>LNST</t>
  </si>
  <si>
    <t>%EBITDA</t>
  </si>
  <si>
    <t>%LNST</t>
  </si>
  <si>
    <t>Doanh thu hòa vốn bình quân hàng tháng</t>
  </si>
  <si>
    <t>Doanh thu bình quân hàng tháng hòa vốn</t>
  </si>
  <si>
    <t>Doanh thu bình quân hàng tháng thực hiện</t>
  </si>
  <si>
    <t>Định phí</t>
  </si>
  <si>
    <t>CPSXC - Lương</t>
  </si>
  <si>
    <t>CPSXC - Khác</t>
  </si>
  <si>
    <t>CPSXC - Khấu hao</t>
  </si>
  <si>
    <t>CPQL - Lương</t>
  </si>
  <si>
    <t>CPQL - Khác</t>
  </si>
  <si>
    <t>CPQL - Khấu hao</t>
  </si>
  <si>
    <t>Định phí chi tiết từng chi phí</t>
  </si>
  <si>
    <t>Tổng định phí</t>
  </si>
  <si>
    <t>Biến phí chi tiết từng chi phí</t>
  </si>
  <si>
    <t>Điện</t>
  </si>
  <si>
    <t>Nhân công trực tiếp</t>
  </si>
  <si>
    <t>Chi phí vận chuyển</t>
  </si>
  <si>
    <t>Khác</t>
  </si>
  <si>
    <t xml:space="preserve">CP nguyên vật liệu chính </t>
  </si>
  <si>
    <t>Tổng biến phí</t>
  </si>
  <si>
    <t>Thành phẩm sản xuất (kg)</t>
  </si>
  <si>
    <t>Biến phí / Kg</t>
  </si>
  <si>
    <t>Lãi nguyên liệu</t>
  </si>
  <si>
    <t>% Lãi nguyên liệu / Doanh thu</t>
  </si>
  <si>
    <t>Lãi biến phí</t>
  </si>
  <si>
    <t>% Lãi biến phí / Doanh thu</t>
  </si>
  <si>
    <t>STT</t>
  </si>
  <si>
    <t>Tên khoản mục phí</t>
  </si>
  <si>
    <t>Chi phí</t>
  </si>
  <si>
    <t>Số tiền</t>
  </si>
  <si>
    <t>%</t>
  </si>
  <si>
    <t>Tổng cộng</t>
  </si>
  <si>
    <t>Tăng giảm năm 2026 so với năm 2025</t>
  </si>
  <si>
    <t>Chi phí thuê nhà, văn phòng, Xưởng, kho,</t>
  </si>
  <si>
    <t>Chi phí sửa chữa, bảo trì</t>
  </si>
  <si>
    <t>Chi phí dịch vụ môi trường</t>
  </si>
  <si>
    <t>Chi phí bảo trì IT</t>
  </si>
  <si>
    <t>Chi phí khác</t>
  </si>
  <si>
    <t>Chi phí tiếp khách</t>
  </si>
  <si>
    <t>Chi phí dịch vụ, tư vấn</t>
  </si>
  <si>
    <t>Chi Phí Công Tác</t>
  </si>
  <si>
    <t>Chi Phí Đào Tạo</t>
  </si>
  <si>
    <t>Chi phí xăng dầu, nước, điện quản lý</t>
  </si>
  <si>
    <t>Công cụ dụng cụ</t>
  </si>
  <si>
    <t>Chi phí in ấn, vật tư, VPP</t>
  </si>
  <si>
    <t>Chi phí kiểm định, mua mẫu</t>
  </si>
  <si>
    <t>Chi phí internet, điện thoại, bưu phẩm</t>
  </si>
  <si>
    <t>Chi phí công chứng, sao y, thuế khác</t>
  </si>
  <si>
    <t>Chi phí bảo hiểm</t>
  </si>
  <si>
    <t>Chi phí ủng hộ, hỗ trợ, tài trợ</t>
  </si>
  <si>
    <t>Chi phí ngân hàng</t>
  </si>
  <si>
    <t>Dự Phòng nợ khó đòi</t>
  </si>
  <si>
    <t>Đvt: Triệu vnđ</t>
  </si>
  <si>
    <t>Tên phòng ban</t>
  </si>
  <si>
    <t>Số lượng nhân sự (headcount)</t>
  </si>
  <si>
    <t>Số nhân sự</t>
  </si>
  <si>
    <t>Ban giám đốc</t>
  </si>
  <si>
    <t>Phòng Hành chánh nhân sự</t>
  </si>
  <si>
    <t>Phòng Kế toán</t>
  </si>
  <si>
    <t>Phòng Kiểm soát chất lượng</t>
  </si>
  <si>
    <t>Phòng Kỹ thuật</t>
  </si>
  <si>
    <t>Phòng Sản xuất</t>
  </si>
  <si>
    <t>Phòng Kho vận</t>
  </si>
  <si>
    <t>Đvt: Người</t>
  </si>
  <si>
    <t>Tỷ trọng (%)</t>
  </si>
  <si>
    <t>% Chi phí nhân sự / Doanh thu</t>
  </si>
  <si>
    <t>Đvt: Tỷ vnđ</t>
  </si>
  <si>
    <t>Tên loại chi phí nhân sự</t>
  </si>
  <si>
    <t>Lương chính – nhóm trực tiếp sản xuất</t>
  </si>
  <si>
    <t>Lương ngoài giờ - nhóm trực tiếp sản xuất</t>
  </si>
  <si>
    <t>Lương chính – nhóm gián tiếp sản xuất</t>
  </si>
  <si>
    <t>Lương chính – nhóm bán hàng</t>
  </si>
  <si>
    <t>Lương chính – nhóm quản lý</t>
  </si>
  <si>
    <t>Chi phí BHXH, BHYT, KPCĐ,BHTN</t>
  </si>
  <si>
    <t>Chi phí khen thưởng (lương T13, danh hiệu)</t>
  </si>
  <si>
    <t>Phân loại đầu tư</t>
  </si>
  <si>
    <t>Đầu tư mới</t>
  </si>
  <si>
    <t>Thay thế</t>
  </si>
  <si>
    <t xml:space="preserve">Đáp ứng sản lượng </t>
  </si>
  <si>
    <t>Cải tiến, tiết kiệm</t>
  </si>
  <si>
    <t>Tự động hoá</t>
  </si>
  <si>
    <t>Công nghệ, ngành nghề mới</t>
  </si>
  <si>
    <t xml:space="preserve">IT (phần cứng, phần mềm) </t>
  </si>
  <si>
    <t>Nghiên cứu phát triển (sản phẩm mới)</t>
  </si>
  <si>
    <t>Cải thiện nơi làm việc</t>
  </si>
  <si>
    <t>An toàn, môi trường</t>
  </si>
  <si>
    <t>Cải tiến chất lượng</t>
  </si>
  <si>
    <t>% Đầu tư / Doanh thu</t>
  </si>
  <si>
    <t xml:space="preserve">Tên tài sản </t>
  </si>
  <si>
    <t>Số lượng</t>
  </si>
  <si>
    <t>Đơn giá</t>
  </si>
  <si>
    <t>Thành tiền</t>
  </si>
  <si>
    <t>Xuất xứ</t>
  </si>
  <si>
    <t>Bộ phận</t>
  </si>
  <si>
    <t>USD</t>
  </si>
  <si>
    <t>VND</t>
  </si>
  <si>
    <t>I</t>
  </si>
  <si>
    <t>Đáp ứng sản lượng</t>
  </si>
  <si>
    <t>II</t>
  </si>
  <si>
    <t>Cải tiết, tiết kiệm</t>
  </si>
  <si>
    <t>III</t>
  </si>
  <si>
    <t>IV</t>
  </si>
  <si>
    <t>V</t>
  </si>
  <si>
    <t xml:space="preserve">IT (cơ sở hạ tầng, phần mềm) </t>
  </si>
  <si>
    <t>Chỉ tiêu</t>
  </si>
  <si>
    <t>Tăng/giảm</t>
  </si>
  <si>
    <t>Sản lượng bán</t>
  </si>
  <si>
    <t>Doanh thu thuần</t>
  </si>
  <si>
    <t>Chi phí sản xuất</t>
  </si>
  <si>
    <t>% Chi phí SX / Doanh thu</t>
  </si>
  <si>
    <t>Chi phí bán hàng</t>
  </si>
  <si>
    <t>% Chi phí bán hàng / Doanh thu</t>
  </si>
  <si>
    <t>Chi phí quản lý</t>
  </si>
  <si>
    <t>% Chi phí quản lý / Doanh thu</t>
  </si>
  <si>
    <t xml:space="preserve">EBITDA </t>
  </si>
  <si>
    <t>% EBITDA / Doanh thu</t>
  </si>
  <si>
    <t>Chi phí tài chính</t>
  </si>
  <si>
    <t>Chi phí khấu hao</t>
  </si>
  <si>
    <t>Lợi nhuận sau thuế</t>
  </si>
  <si>
    <t>% LNST / Doanh thu</t>
  </si>
  <si>
    <t xml:space="preserve">Biến phí hàng bán </t>
  </si>
  <si>
    <t>Doanh thu/chi phí khác</t>
  </si>
  <si>
    <t>Các chỉ tiêu</t>
  </si>
  <si>
    <t xml:space="preserve"> TÀI SẢN NGẮN HẠN </t>
  </si>
  <si>
    <t xml:space="preserve"> Tiền mặt &amp; tương đương tiền </t>
  </si>
  <si>
    <t xml:space="preserve"> Các khoản phải thu ngắn hạn </t>
  </si>
  <si>
    <t xml:space="preserve"> Hàng tồn kho </t>
  </si>
  <si>
    <t xml:space="preserve"> Tài sản ngắn hạn khác </t>
  </si>
  <si>
    <t xml:space="preserve"> TÀI SẢN DÀI HẠN </t>
  </si>
  <si>
    <t xml:space="preserve"> Tài sản cố định </t>
  </si>
  <si>
    <t xml:space="preserve"> Chi phí dở dang dài hạn </t>
  </si>
  <si>
    <t xml:space="preserve"> Tài sản dài hạn khác </t>
  </si>
  <si>
    <t xml:space="preserve"> TỔNG TÀI SẢN </t>
  </si>
  <si>
    <t xml:space="preserve">  NỢ PHẢI TRẢ </t>
  </si>
  <si>
    <t xml:space="preserve">  Nợ ngắn hạn </t>
  </si>
  <si>
    <t xml:space="preserve">  Phải trả thương mại </t>
  </si>
  <si>
    <t xml:space="preserve">  Vay ngắn hạn </t>
  </si>
  <si>
    <t xml:space="preserve">  Nợ ngắn hạn khác </t>
  </si>
  <si>
    <t xml:space="preserve"> Nợ dài hạn </t>
  </si>
  <si>
    <t xml:space="preserve">  Vay dài hạn </t>
  </si>
  <si>
    <t xml:space="preserve">  Nợ dài hạn khác </t>
  </si>
  <si>
    <t>VỐN CHỦ SỠ HỮU</t>
  </si>
  <si>
    <t>Vốn đầu tư của chủ sở hữu</t>
  </si>
  <si>
    <t>TỔNG NGUỒN VỐN</t>
  </si>
  <si>
    <t xml:space="preserve"> Lợi nhuận sau thuế</t>
  </si>
  <si>
    <t xml:space="preserve"> Khấu hao </t>
  </si>
  <si>
    <t xml:space="preserve">Vốn lưu động thuần </t>
  </si>
  <si>
    <t>Tăng (giảm) các khoản phải thu</t>
  </si>
  <si>
    <t>Tăng (giảm) hàng tồn kho</t>
  </si>
  <si>
    <t>Tăng (giảm) trả trước người bán</t>
  </si>
  <si>
    <t>Các khoản phải thu khác</t>
  </si>
  <si>
    <t>Các khoản phải trả khác</t>
  </si>
  <si>
    <t xml:space="preserve"> Dòng tiền thuần từ hoạt động kinh doanh</t>
  </si>
  <si>
    <t xml:space="preserve">  Tiền chi mua sắm TSCĐ</t>
  </si>
  <si>
    <t xml:space="preserve">  Đầu tư dài hạn khác</t>
  </si>
  <si>
    <t xml:space="preserve">  Dòng tiền từ hoạt động đầu tư</t>
  </si>
  <si>
    <t xml:space="preserve">  Vay ngắn hạn ngân hàng</t>
  </si>
  <si>
    <t xml:space="preserve">  Vay dài hạn ngân hàng</t>
  </si>
  <si>
    <t xml:space="preserve">  Cổ tức trả cho chủ sở hữu</t>
  </si>
  <si>
    <t xml:space="preserve">  Chi cho vay hoặc thu hồi cho vay</t>
  </si>
  <si>
    <t>Dòng tiền từ hoạt động tài chính</t>
  </si>
  <si>
    <t>Tiền tồn đầu năm</t>
  </si>
  <si>
    <t>Tiền tồn cuối năm</t>
  </si>
  <si>
    <r>
      <t xml:space="preserve">   </t>
    </r>
    <r>
      <rPr>
        <sz val="10"/>
        <color rgb="FF000000"/>
        <rFont val="Arial"/>
        <family val="2"/>
      </rPr>
      <t>Tăng (giảm) các khoản phải trả</t>
    </r>
  </si>
  <si>
    <t>Các chỉ số tài chính</t>
  </si>
  <si>
    <t>Đvt</t>
  </si>
  <si>
    <t xml:space="preserve"> Khả năng thanh toán hiện hành</t>
  </si>
  <si>
    <t>Lần</t>
  </si>
  <si>
    <t xml:space="preserve"> Khả năng thanh toán nhanh</t>
  </si>
  <si>
    <t xml:space="preserve"> Nợ vay / EBITDA</t>
  </si>
  <si>
    <t xml:space="preserve">     Chi phí lãi vay / EBITDA </t>
  </si>
  <si>
    <t xml:space="preserve"> Nợ vay / Doanh thu</t>
  </si>
  <si>
    <t xml:space="preserve"> Nợ vay / Vốn chủ sở hữu </t>
  </si>
  <si>
    <t xml:space="preserve"> Tổng nợ / Tổng tài sản</t>
  </si>
  <si>
    <t xml:space="preserve">    LNST / Vốn chủ sở hữu (ROE)</t>
  </si>
  <si>
    <t xml:space="preserve">    LNST / Tài sản (ROA)</t>
  </si>
  <si>
    <t xml:space="preserve">   Tỷ suất EBITDA</t>
  </si>
  <si>
    <t xml:space="preserve">   Tỷ suất lợi nhuận gộp </t>
  </si>
  <si>
    <t xml:space="preserve">   Tỷ suất lợi nhuận sau thuế</t>
  </si>
  <si>
    <t xml:space="preserve">   Chi phí bán hàng &amp; quản lý / Doanh thu</t>
  </si>
  <si>
    <t xml:space="preserve">   Chi phí khấu hao / Doanh thu</t>
  </si>
  <si>
    <t>Số ngày vốn lưu động</t>
  </si>
  <si>
    <t>Ngày</t>
  </si>
  <si>
    <t>Ngày nợ phải thu bình quân (DSO)</t>
  </si>
  <si>
    <t>Ngày nợ phải trả bình quân (DPO)</t>
  </si>
  <si>
    <t>Ngày tồn kho bình quân (DIO)</t>
  </si>
  <si>
    <t>Doanh thu / TSCĐ</t>
  </si>
  <si>
    <t>Doanh thu / Tổng tài sản</t>
  </si>
  <si>
    <t>Quản lý sản xuất</t>
  </si>
  <si>
    <t>Công nhân trực tiếp sản xuất - Phân loại</t>
  </si>
  <si>
    <t>Tăng/Giảm</t>
  </si>
  <si>
    <t xml:space="preserve"> Sản lượng bán</t>
  </si>
  <si>
    <t xml:space="preserve">Doanh thu thuần </t>
  </si>
  <si>
    <t xml:space="preserve">Lãi biến phí </t>
  </si>
  <si>
    <t xml:space="preserve"> Lãi biến phí / Doanh thu (%)</t>
  </si>
  <si>
    <t xml:space="preserve">     Đầu tư</t>
  </si>
  <si>
    <t xml:space="preserve"> % Đầu tư / Doanh thu</t>
  </si>
  <si>
    <t xml:space="preserve"> Chi phí nhân sự</t>
  </si>
  <si>
    <t xml:space="preserve">  Chi phí nhân sự / Doanh thu (%)</t>
  </si>
  <si>
    <t xml:space="preserve">  Doanh thu bình quân đầu người</t>
  </si>
  <si>
    <t xml:space="preserve">  Sản lượng bán bình quân đầu người</t>
  </si>
  <si>
    <t xml:space="preserve">  Chi phí sản xuất</t>
  </si>
  <si>
    <t xml:space="preserve">  Chi phí sản xuất / Doanh thu (%)</t>
  </si>
  <si>
    <t xml:space="preserve">  EBITDA</t>
  </si>
  <si>
    <t xml:space="preserve">  % EBITDA / Doanh thu</t>
  </si>
  <si>
    <t>% Chi phí khấu hao / Doanh thu</t>
  </si>
  <si>
    <t>% Lợi nhuận sau thuế / Doanh thu</t>
  </si>
  <si>
    <r>
      <t xml:space="preserve"> </t>
    </r>
    <r>
      <rPr>
        <b/>
        <sz val="10"/>
        <color rgb="FF000000"/>
        <rFont val="Arial"/>
        <family val="2"/>
      </rPr>
      <t xml:space="preserve">Chi phí hoạt động </t>
    </r>
    <r>
      <rPr>
        <sz val="10"/>
        <color rgb="FF000000"/>
        <rFont val="Arial"/>
        <family val="2"/>
      </rPr>
      <t>(ngoại trừ lương)</t>
    </r>
  </si>
  <si>
    <t>VI</t>
  </si>
  <si>
    <t xml:space="preserve">Nghiên cứu phát triển </t>
  </si>
  <si>
    <t>VII</t>
  </si>
  <si>
    <t>VIII</t>
  </si>
  <si>
    <t>IX</t>
  </si>
  <si>
    <t>X</t>
  </si>
  <si>
    <t xml:space="preserve"> % Chi phí hoạt động / Doanh thu</t>
  </si>
  <si>
    <t>Biến phí chi tiết từng chi phí ( không bao gồm nguyên vật liệu</t>
  </si>
  <si>
    <t>Sản lượng thành phẩm hòa vốn bình quân hàng tháng</t>
  </si>
  <si>
    <t>Sản lượng thành phẩm bình quân hòa vốn (tháng)</t>
  </si>
  <si>
    <t>Sản lượng thành phẩm bình quân thực hiện (tháng)</t>
  </si>
  <si>
    <t>Sản lượng NVL hòa vốn bình quân hàng tháng</t>
  </si>
  <si>
    <t>Sản lượng NVL bình quân hòa vốn (tháng)</t>
  </si>
  <si>
    <t>Sản lượng NVL bình quân thực hiện (tháng)</t>
  </si>
  <si>
    <t>Tấn</t>
  </si>
  <si>
    <t>Tỷ vnđ</t>
  </si>
  <si>
    <t>Triệu đồng/Tấn</t>
  </si>
  <si>
    <t xml:space="preserve"> Lãi biến phí / Tấn </t>
  </si>
  <si>
    <t xml:space="preserve">  Chi phí sản xuất / Tấn </t>
  </si>
  <si>
    <t>Triệu vnđ</t>
  </si>
  <si>
    <t>Ban Giám đốc</t>
  </si>
  <si>
    <t>Tăng (giảm) các khoản phải trả</t>
  </si>
  <si>
    <t>Tiền chi mua sắm TSCĐ</t>
  </si>
  <si>
    <t>Đầu tư ngắn hạn khác</t>
  </si>
  <si>
    <t>Đầu tư dài hạn khác</t>
  </si>
  <si>
    <t>Vay ngắn hạn ngân hàng</t>
  </si>
  <si>
    <t>Vay dài hạn ngân hàng</t>
  </si>
  <si>
    <t>Cổ tức trả cho chủ sở hữu</t>
  </si>
  <si>
    <t>Chi cho vay hoặc thu hồi cho vay</t>
  </si>
  <si>
    <t>Dòng tiền thuần từ hoạt động kinh doanh</t>
  </si>
  <si>
    <t>Dòng tiền từ hoạt động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</si>
</sst>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0.0%"/>
    <numFmt numFmtId="167" formatCode="0.0_);[Red]\(0.0\)"/>
    <numFmt numFmtId="168" formatCode="0_);[Red]\(0\)"/>
    <numFmt numFmtId="169" formatCode="_(* #,##0.0_);_(* \(#,##0.0\);_(* &quot;-&quot;?_);_(@_)"/>
    <numFmt numFmtId="170" formatCode="###\ ###\ ###\ ###\ ;[Red]\(###\ ###\ ###\ ###\)"/>
  </numFmts>
  <fonts count="28" x14ac:knownFonts="1">
    <font>
      <sz val="10"/>
      <color theme="1"/>
      <name val="Times New Roman"/>
      <family val="2"/>
    </font>
    <font>
      <sz val="10"/>
      <color theme="1"/>
      <name val="Times New Roman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Times New Roman"/>
      <family val="2"/>
    </font>
    <font>
      <sz val="18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18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rgb="FF000000"/>
      <name val="Arial"/>
      <family val="2"/>
    </font>
    <font>
      <b/>
      <sz val="10"/>
      <color theme="1"/>
      <name val="Times New Roman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theme="5" tint="-0.249977111117893"/>
      <name val="Arial"/>
      <family val="2"/>
    </font>
    <font>
      <sz val="10"/>
      <color rgb="FF0070C0"/>
      <name val="Arial"/>
      <family val="2"/>
    </font>
    <font>
      <b/>
      <sz val="10"/>
      <color theme="5" tint="-0.249977111117893"/>
      <name val="Arial"/>
      <family val="2"/>
    </font>
    <font>
      <b/>
      <sz val="10"/>
      <color rgb="FF0070C0"/>
      <name val="Arial"/>
      <family val="2"/>
    </font>
    <font>
      <i/>
      <sz val="10"/>
      <color theme="5" tint="-0.249977111117893"/>
      <name val="Arial"/>
      <family val="2"/>
    </font>
    <font>
      <i/>
      <sz val="10"/>
      <color rgb="FF0070C0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 style="thin">
        <color rgb="FF9E9E9E"/>
      </right>
      <top/>
      <bottom style="thin">
        <color rgb="FF9E9E9E"/>
      </bottom>
      <diagonal/>
    </border>
    <border>
      <left style="thin">
        <color rgb="FF9E9E9E"/>
      </left>
      <right/>
      <top style="thin">
        <color rgb="FF9E9E9E"/>
      </top>
      <bottom style="thin">
        <color rgb="FF9E9E9E"/>
      </bottom>
      <diagonal/>
    </border>
    <border>
      <left/>
      <right/>
      <top style="thin">
        <color rgb="FF9E9E9E"/>
      </top>
      <bottom style="thin">
        <color rgb="FF9E9E9E"/>
      </bottom>
      <diagonal/>
    </border>
    <border>
      <left/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9E9E9E"/>
      </left>
      <right style="thin">
        <color rgb="FF9E9E9E"/>
      </right>
      <top/>
      <bottom/>
      <diagonal/>
    </border>
    <border>
      <left style="thin">
        <color rgb="FF9E9E9E"/>
      </left>
      <right/>
      <top style="thin">
        <color rgb="FF9E9E9E"/>
      </top>
      <bottom/>
      <diagonal/>
    </border>
    <border>
      <left/>
      <right/>
      <top style="thin">
        <color rgb="FF9E9E9E"/>
      </top>
      <bottom/>
      <diagonal/>
    </border>
    <border>
      <left/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/>
      <top/>
      <bottom style="thin">
        <color rgb="FF9E9E9E"/>
      </bottom>
      <diagonal/>
    </border>
    <border>
      <left/>
      <right/>
      <top/>
      <bottom style="thin">
        <color rgb="FF9E9E9E"/>
      </bottom>
      <diagonal/>
    </border>
    <border>
      <left/>
      <right style="thin">
        <color rgb="FF9E9E9E"/>
      </right>
      <top/>
      <bottom style="thin">
        <color rgb="FF9E9E9E"/>
      </bottom>
      <diagonal/>
    </border>
    <border>
      <left style="thin">
        <color rgb="FF9E9E9E"/>
      </left>
      <right style="thin">
        <color rgb="FF9E9E9E"/>
      </right>
      <top style="thick">
        <color rgb="FF9E9E9E"/>
      </top>
      <bottom style="thin">
        <color rgb="FF9E9E9E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8">
    <xf numFmtId="0" fontId="0" fillId="0" borderId="0" xfId="0"/>
    <xf numFmtId="0" fontId="2" fillId="0" borderId="0" xfId="0" applyFont="1"/>
    <xf numFmtId="0" fontId="3" fillId="2" borderId="0" xfId="0" applyFont="1" applyFill="1"/>
    <xf numFmtId="164" fontId="2" fillId="0" borderId="0" xfId="1" applyNumberFormat="1" applyFont="1"/>
    <xf numFmtId="165" fontId="2" fillId="0" borderId="0" xfId="1" applyNumberFormat="1" applyFont="1"/>
    <xf numFmtId="166" fontId="2" fillId="0" borderId="0" xfId="2" applyNumberFormat="1" applyFont="1"/>
    <xf numFmtId="167" fontId="2" fillId="0" borderId="0" xfId="1" applyNumberFormat="1" applyFont="1"/>
    <xf numFmtId="168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9" fontId="2" fillId="0" borderId="0" xfId="2" applyFont="1"/>
    <xf numFmtId="0" fontId="7" fillId="3" borderId="1" xfId="0" applyFont="1" applyFill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center" vertical="center" wrapText="1" readingOrder="1"/>
    </xf>
    <xf numFmtId="0" fontId="10" fillId="3" borderId="1" xfId="0" applyFont="1" applyFill="1" applyBorder="1" applyAlignment="1">
      <alignment horizontal="center" vertical="center" wrapText="1" readingOrder="1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 readingOrder="1"/>
    </xf>
    <xf numFmtId="0" fontId="9" fillId="3" borderId="1" xfId="0" applyFont="1" applyFill="1" applyBorder="1" applyAlignment="1">
      <alignment horizontal="center" vertical="center" wrapText="1" readingOrder="1"/>
    </xf>
    <xf numFmtId="0" fontId="13" fillId="0" borderId="1" xfId="0" applyFont="1" applyBorder="1" applyAlignment="1">
      <alignment vertical="top" wrapText="1"/>
    </xf>
    <xf numFmtId="0" fontId="13" fillId="0" borderId="1" xfId="0" applyFont="1" applyBorder="1" applyAlignment="1">
      <alignment vertical="center" wrapText="1"/>
    </xf>
    <xf numFmtId="9" fontId="13" fillId="0" borderId="1" xfId="2" applyFont="1" applyBorder="1" applyAlignment="1">
      <alignment vertical="top" wrapText="1"/>
    </xf>
    <xf numFmtId="9" fontId="13" fillId="0" borderId="1" xfId="2" applyFont="1" applyBorder="1" applyAlignment="1">
      <alignment vertical="center" wrapText="1"/>
    </xf>
    <xf numFmtId="164" fontId="13" fillId="0" borderId="1" xfId="1" applyNumberFormat="1" applyFont="1" applyBorder="1" applyAlignment="1">
      <alignment vertical="top" wrapText="1"/>
    </xf>
    <xf numFmtId="164" fontId="13" fillId="0" borderId="1" xfId="1" applyNumberFormat="1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165" fontId="2" fillId="0" borderId="0" xfId="1" applyNumberFormat="1" applyFont="1" applyAlignment="1">
      <alignment horizontal="center" vertical="center"/>
    </xf>
    <xf numFmtId="9" fontId="14" fillId="0" borderId="1" xfId="2" applyFont="1" applyBorder="1" applyAlignment="1">
      <alignment vertical="top" wrapText="1"/>
    </xf>
    <xf numFmtId="9" fontId="13" fillId="0" borderId="1" xfId="2" applyFont="1" applyBorder="1" applyAlignment="1">
      <alignment horizontal="right" vertical="center" wrapText="1"/>
    </xf>
    <xf numFmtId="165" fontId="14" fillId="0" borderId="1" xfId="0" applyNumberFormat="1" applyFont="1" applyBorder="1" applyAlignment="1">
      <alignment vertical="center" wrapText="1"/>
    </xf>
    <xf numFmtId="165" fontId="13" fillId="0" borderId="1" xfId="1" applyNumberFormat="1" applyFont="1" applyBorder="1" applyAlignment="1">
      <alignment vertical="top" wrapText="1"/>
    </xf>
    <xf numFmtId="165" fontId="13" fillId="0" borderId="1" xfId="1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 readingOrder="1"/>
    </xf>
    <xf numFmtId="0" fontId="9" fillId="0" borderId="1" xfId="0" applyFont="1" applyBorder="1" applyAlignment="1">
      <alignment horizontal="center" vertical="center" wrapText="1" readingOrder="1"/>
    </xf>
    <xf numFmtId="165" fontId="2" fillId="0" borderId="0" xfId="1" applyNumberFormat="1" applyFont="1" applyFill="1"/>
    <xf numFmtId="165" fontId="13" fillId="0" borderId="1" xfId="1" applyNumberFormat="1" applyFont="1" applyBorder="1" applyAlignment="1">
      <alignment vertical="center" wrapText="1"/>
    </xf>
    <xf numFmtId="165" fontId="2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9" fontId="14" fillId="0" borderId="1" xfId="2" applyFont="1" applyBorder="1" applyAlignment="1">
      <alignment horizontal="right" vertical="center" wrapText="1"/>
    </xf>
    <xf numFmtId="165" fontId="14" fillId="0" borderId="1" xfId="1" applyNumberFormat="1" applyFont="1" applyBorder="1" applyAlignment="1">
      <alignment vertical="center" wrapText="1"/>
    </xf>
    <xf numFmtId="0" fontId="9" fillId="0" borderId="1" xfId="0" applyFont="1" applyBorder="1" applyAlignment="1">
      <alignment horizontal="left" vertical="center" wrapText="1" readingOrder="1"/>
    </xf>
    <xf numFmtId="0" fontId="2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  <xf numFmtId="165" fontId="13" fillId="0" borderId="1" xfId="1" applyNumberFormat="1" applyFont="1" applyBorder="1" applyAlignment="1">
      <alignment horizontal="right" vertical="center" wrapText="1"/>
    </xf>
    <xf numFmtId="165" fontId="13" fillId="0" borderId="1" xfId="1" applyNumberFormat="1" applyFont="1" applyFill="1" applyBorder="1" applyAlignment="1">
      <alignment horizontal="right" vertical="center" wrapText="1"/>
    </xf>
    <xf numFmtId="169" fontId="2" fillId="0" borderId="0" xfId="0" applyNumberFormat="1" applyFont="1"/>
    <xf numFmtId="9" fontId="14" fillId="0" borderId="1" xfId="2" applyFont="1" applyBorder="1" applyAlignment="1">
      <alignment vertical="center" wrapText="1"/>
    </xf>
    <xf numFmtId="0" fontId="10" fillId="0" borderId="1" xfId="0" applyFont="1" applyBorder="1" applyAlignment="1">
      <alignment horizontal="left" vertical="center" wrapText="1" readingOrder="1"/>
    </xf>
    <xf numFmtId="0" fontId="15" fillId="0" borderId="1" xfId="0" applyFont="1" applyBorder="1" applyAlignment="1">
      <alignment horizontal="center" vertical="center" wrapText="1" readingOrder="1"/>
    </xf>
    <xf numFmtId="0" fontId="10" fillId="0" borderId="1" xfId="0" applyFont="1" applyBorder="1" applyAlignment="1">
      <alignment horizontal="center" vertical="center" wrapText="1" readingOrder="1"/>
    </xf>
    <xf numFmtId="0" fontId="15" fillId="0" borderId="1" xfId="0" applyFont="1" applyBorder="1" applyAlignment="1">
      <alignment horizontal="left" vertical="center" wrapText="1" readingOrder="1"/>
    </xf>
    <xf numFmtId="0" fontId="13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 wrapText="1" readingOrder="1"/>
    </xf>
    <xf numFmtId="0" fontId="20" fillId="4" borderId="1" xfId="0" applyFont="1" applyFill="1" applyBorder="1" applyAlignment="1">
      <alignment horizontal="left" vertical="center" wrapText="1" readingOrder="1"/>
    </xf>
    <xf numFmtId="0" fontId="20" fillId="0" borderId="1" xfId="0" applyFont="1" applyBorder="1" applyAlignment="1">
      <alignment horizontal="left" vertical="center" wrapText="1" readingOrder="1"/>
    </xf>
    <xf numFmtId="0" fontId="12" fillId="0" borderId="1" xfId="0" applyFont="1" applyBorder="1" applyAlignment="1">
      <alignment horizontal="left" vertical="center" wrapText="1" readingOrder="1"/>
    </xf>
    <xf numFmtId="164" fontId="0" fillId="0" borderId="0" xfId="1" applyNumberFormat="1" applyFont="1"/>
    <xf numFmtId="165" fontId="0" fillId="0" borderId="0" xfId="1" applyNumberFormat="1" applyFont="1"/>
    <xf numFmtId="165" fontId="14" fillId="4" borderId="1" xfId="1" applyNumberFormat="1" applyFont="1" applyFill="1" applyBorder="1" applyAlignment="1">
      <alignment vertical="top" wrapText="1"/>
    </xf>
    <xf numFmtId="165" fontId="16" fillId="0" borderId="0" xfId="1" applyNumberFormat="1" applyFont="1"/>
    <xf numFmtId="0" fontId="16" fillId="0" borderId="0" xfId="0" applyFont="1"/>
    <xf numFmtId="165" fontId="14" fillId="0" borderId="1" xfId="1" applyNumberFormat="1" applyFont="1" applyBorder="1" applyAlignment="1">
      <alignment vertical="top" wrapText="1"/>
    </xf>
    <xf numFmtId="165" fontId="14" fillId="4" borderId="1" xfId="1" applyNumberFormat="1" applyFont="1" applyFill="1" applyBorder="1" applyAlignment="1">
      <alignment vertical="center" wrapText="1"/>
    </xf>
    <xf numFmtId="165" fontId="14" fillId="4" borderId="1" xfId="1" applyNumberFormat="1" applyFont="1" applyFill="1" applyBorder="1" applyAlignment="1">
      <alignment horizontal="right" vertical="center" wrapText="1"/>
    </xf>
    <xf numFmtId="9" fontId="14" fillId="4" borderId="1" xfId="2" applyFont="1" applyFill="1" applyBorder="1" applyAlignment="1">
      <alignment horizontal="right" vertical="center" wrapText="1"/>
    </xf>
    <xf numFmtId="165" fontId="9" fillId="0" borderId="1" xfId="1" applyNumberFormat="1" applyFont="1" applyBorder="1" applyAlignment="1">
      <alignment horizontal="right" vertical="center" wrapText="1" readingOrder="1"/>
    </xf>
    <xf numFmtId="165" fontId="14" fillId="0" borderId="1" xfId="1" applyNumberFormat="1" applyFont="1" applyBorder="1" applyAlignment="1">
      <alignment horizontal="right" vertical="center" wrapText="1"/>
    </xf>
    <xf numFmtId="9" fontId="9" fillId="0" borderId="1" xfId="2" applyFont="1" applyBorder="1" applyAlignment="1">
      <alignment horizontal="right" vertical="center" wrapText="1" readingOrder="1"/>
    </xf>
    <xf numFmtId="165" fontId="12" fillId="0" borderId="1" xfId="1" applyNumberFormat="1" applyFont="1" applyBorder="1" applyAlignment="1">
      <alignment horizontal="right" vertical="center" wrapText="1" readingOrder="1"/>
    </xf>
    <xf numFmtId="0" fontId="20" fillId="3" borderId="1" xfId="0" applyFont="1" applyFill="1" applyBorder="1" applyAlignment="1">
      <alignment horizontal="center" vertical="center" wrapText="1" readingOrder="1"/>
    </xf>
    <xf numFmtId="165" fontId="20" fillId="3" borderId="1" xfId="1" applyNumberFormat="1" applyFont="1" applyFill="1" applyBorder="1" applyAlignment="1">
      <alignment horizontal="center" vertical="center" wrapText="1" readingOrder="1"/>
    </xf>
    <xf numFmtId="0" fontId="12" fillId="3" borderId="1" xfId="0" applyFont="1" applyFill="1" applyBorder="1" applyAlignment="1">
      <alignment horizontal="left" vertical="center" wrapText="1" readingOrder="1"/>
    </xf>
    <xf numFmtId="0" fontId="9" fillId="0" borderId="1" xfId="0" applyFont="1" applyBorder="1" applyAlignment="1">
      <alignment horizontal="left" vertical="center" wrapText="1" indent="1" readingOrder="1"/>
    </xf>
    <xf numFmtId="0" fontId="12" fillId="4" borderId="1" xfId="0" applyFont="1" applyFill="1" applyBorder="1" applyAlignment="1">
      <alignment horizontal="left" vertical="center" wrapText="1" readingOrder="1"/>
    </xf>
    <xf numFmtId="0" fontId="12" fillId="3" borderId="1" xfId="0" applyFont="1" applyFill="1" applyBorder="1" applyAlignment="1">
      <alignment horizontal="center" vertical="center" wrapText="1" readingOrder="1"/>
    </xf>
    <xf numFmtId="0" fontId="12" fillId="0" borderId="1" xfId="0" applyFont="1" applyBorder="1" applyAlignment="1">
      <alignment horizontal="left" vertical="center" wrapText="1" indent="1" readingOrder="1"/>
    </xf>
    <xf numFmtId="165" fontId="14" fillId="3" borderId="1" xfId="1" applyNumberFormat="1" applyFont="1" applyFill="1" applyBorder="1" applyAlignment="1">
      <alignment vertical="top" wrapText="1"/>
    </xf>
    <xf numFmtId="0" fontId="9" fillId="5" borderId="1" xfId="0" applyFont="1" applyFill="1" applyBorder="1" applyAlignment="1">
      <alignment horizontal="center" vertical="center" wrapText="1" readingOrder="1"/>
    </xf>
    <xf numFmtId="0" fontId="9" fillId="5" borderId="1" xfId="0" applyFont="1" applyFill="1" applyBorder="1" applyAlignment="1">
      <alignment horizontal="left" vertical="center" wrapText="1" readingOrder="1"/>
    </xf>
    <xf numFmtId="164" fontId="13" fillId="5" borderId="1" xfId="1" applyNumberFormat="1" applyFont="1" applyFill="1" applyBorder="1" applyAlignment="1">
      <alignment vertical="top" wrapText="1"/>
    </xf>
    <xf numFmtId="9" fontId="13" fillId="0" borderId="1" xfId="2" applyFont="1" applyBorder="1" applyAlignment="1">
      <alignment horizontal="right" vertical="top" wrapText="1"/>
    </xf>
    <xf numFmtId="164" fontId="21" fillId="0" borderId="1" xfId="1" applyNumberFormat="1" applyFont="1" applyBorder="1" applyAlignment="1">
      <alignment vertical="top" wrapText="1"/>
    </xf>
    <xf numFmtId="164" fontId="21" fillId="0" borderId="1" xfId="1" applyNumberFormat="1" applyFont="1" applyBorder="1" applyAlignment="1">
      <alignment horizontal="left" vertical="center" wrapText="1" readingOrder="1"/>
    </xf>
    <xf numFmtId="9" fontId="21" fillId="0" borderId="1" xfId="2" applyFont="1" applyBorder="1" applyAlignment="1">
      <alignment horizontal="right" vertical="center" wrapText="1" readingOrder="1"/>
    </xf>
    <xf numFmtId="9" fontId="21" fillId="0" borderId="1" xfId="2" applyFont="1" applyBorder="1" applyAlignment="1">
      <alignment vertical="top" wrapText="1"/>
    </xf>
    <xf numFmtId="9" fontId="21" fillId="0" borderId="1" xfId="2" applyFont="1" applyBorder="1" applyAlignment="1">
      <alignment horizontal="right" vertical="top" wrapText="1"/>
    </xf>
    <xf numFmtId="165" fontId="21" fillId="0" borderId="1" xfId="1" applyNumberFormat="1" applyFont="1" applyBorder="1" applyAlignment="1">
      <alignment vertical="top" wrapText="1"/>
    </xf>
    <xf numFmtId="164" fontId="21" fillId="5" borderId="1" xfId="1" applyNumberFormat="1" applyFont="1" applyFill="1" applyBorder="1" applyAlignment="1">
      <alignment vertical="top" wrapText="1"/>
    </xf>
    <xf numFmtId="164" fontId="22" fillId="0" borderId="1" xfId="1" applyNumberFormat="1" applyFont="1" applyBorder="1" applyAlignment="1">
      <alignment vertical="top" wrapText="1"/>
    </xf>
    <xf numFmtId="164" fontId="22" fillId="0" borderId="1" xfId="1" applyNumberFormat="1" applyFont="1" applyBorder="1" applyAlignment="1">
      <alignment horizontal="left" vertical="center" wrapText="1" readingOrder="1"/>
    </xf>
    <xf numFmtId="9" fontId="22" fillId="0" borderId="1" xfId="2" applyFont="1" applyBorder="1" applyAlignment="1">
      <alignment horizontal="right" vertical="center" wrapText="1" readingOrder="1"/>
    </xf>
    <xf numFmtId="9" fontId="22" fillId="0" borderId="1" xfId="2" applyFont="1" applyBorder="1" applyAlignment="1">
      <alignment vertical="top" wrapText="1"/>
    </xf>
    <xf numFmtId="9" fontId="22" fillId="0" borderId="1" xfId="2" applyFont="1" applyBorder="1" applyAlignment="1">
      <alignment horizontal="right" vertical="top" wrapText="1"/>
    </xf>
    <xf numFmtId="165" fontId="22" fillId="0" borderId="1" xfId="1" applyNumberFormat="1" applyFont="1" applyBorder="1" applyAlignment="1">
      <alignment vertical="top" wrapText="1"/>
    </xf>
    <xf numFmtId="164" fontId="22" fillId="5" borderId="1" xfId="1" applyNumberFormat="1" applyFont="1" applyFill="1" applyBorder="1" applyAlignment="1">
      <alignment vertical="top" wrapText="1"/>
    </xf>
    <xf numFmtId="165" fontId="23" fillId="0" borderId="1" xfId="1" applyNumberFormat="1" applyFont="1" applyBorder="1" applyAlignment="1">
      <alignment vertical="center" wrapText="1"/>
    </xf>
    <xf numFmtId="165" fontId="21" fillId="0" borderId="1" xfId="1" applyNumberFormat="1" applyFont="1" applyBorder="1" applyAlignment="1">
      <alignment vertical="center" wrapText="1"/>
    </xf>
    <xf numFmtId="165" fontId="23" fillId="4" borderId="1" xfId="1" applyNumberFormat="1" applyFont="1" applyFill="1" applyBorder="1" applyAlignment="1">
      <alignment vertical="center" wrapText="1"/>
    </xf>
    <xf numFmtId="165" fontId="24" fillId="0" borderId="1" xfId="1" applyNumberFormat="1" applyFont="1" applyBorder="1" applyAlignment="1">
      <alignment vertical="center" wrapText="1"/>
    </xf>
    <xf numFmtId="165" fontId="22" fillId="0" borderId="1" xfId="1" applyNumberFormat="1" applyFont="1" applyBorder="1" applyAlignment="1">
      <alignment vertical="center" wrapText="1"/>
    </xf>
    <xf numFmtId="165" fontId="24" fillId="4" borderId="1" xfId="1" applyNumberFormat="1" applyFont="1" applyFill="1" applyBorder="1" applyAlignment="1">
      <alignment vertical="center" wrapText="1"/>
    </xf>
    <xf numFmtId="0" fontId="12" fillId="4" borderId="1" xfId="0" applyFont="1" applyFill="1" applyBorder="1" applyAlignment="1">
      <alignment horizontal="left" vertical="center" wrapText="1" indent="1" readingOrder="1"/>
    </xf>
    <xf numFmtId="165" fontId="21" fillId="0" borderId="1" xfId="1" applyNumberFormat="1" applyFont="1" applyBorder="1" applyAlignment="1">
      <alignment horizontal="right" vertical="center" wrapText="1"/>
    </xf>
    <xf numFmtId="165" fontId="23" fillId="4" borderId="1" xfId="1" applyNumberFormat="1" applyFont="1" applyFill="1" applyBorder="1" applyAlignment="1">
      <alignment horizontal="right" vertical="center" wrapText="1"/>
    </xf>
    <xf numFmtId="165" fontId="21" fillId="0" borderId="1" xfId="1" applyNumberFormat="1" applyFont="1" applyBorder="1" applyAlignment="1">
      <alignment horizontal="right" vertical="center" wrapText="1" readingOrder="1"/>
    </xf>
    <xf numFmtId="165" fontId="23" fillId="0" borderId="1" xfId="1" applyNumberFormat="1" applyFont="1" applyBorder="1" applyAlignment="1">
      <alignment horizontal="right" vertical="center" wrapText="1"/>
    </xf>
    <xf numFmtId="9" fontId="21" fillId="0" borderId="1" xfId="2" applyFont="1" applyBorder="1" applyAlignment="1">
      <alignment horizontal="right" vertical="center" wrapText="1"/>
    </xf>
    <xf numFmtId="165" fontId="22" fillId="0" borderId="1" xfId="1" applyNumberFormat="1" applyFont="1" applyBorder="1" applyAlignment="1">
      <alignment horizontal="right" vertical="center" wrapText="1"/>
    </xf>
    <xf numFmtId="165" fontId="24" fillId="4" borderId="1" xfId="1" applyNumberFormat="1" applyFont="1" applyFill="1" applyBorder="1" applyAlignment="1">
      <alignment horizontal="right" vertical="center" wrapText="1"/>
    </xf>
    <xf numFmtId="165" fontId="22" fillId="0" borderId="1" xfId="1" applyNumberFormat="1" applyFont="1" applyBorder="1" applyAlignment="1">
      <alignment horizontal="right" vertical="center" wrapText="1" readingOrder="1"/>
    </xf>
    <xf numFmtId="165" fontId="24" fillId="0" borderId="1" xfId="1" applyNumberFormat="1" applyFont="1" applyBorder="1" applyAlignment="1">
      <alignment horizontal="right" vertical="center" wrapText="1"/>
    </xf>
    <xf numFmtId="9" fontId="22" fillId="0" borderId="1" xfId="2" applyFont="1" applyBorder="1" applyAlignment="1">
      <alignment horizontal="right" vertical="center" wrapText="1"/>
    </xf>
    <xf numFmtId="164" fontId="21" fillId="0" borderId="1" xfId="1" applyNumberFormat="1" applyFont="1" applyBorder="1" applyAlignment="1">
      <alignment vertical="center" wrapText="1"/>
    </xf>
    <xf numFmtId="164" fontId="22" fillId="0" borderId="1" xfId="1" applyNumberFormat="1" applyFont="1" applyBorder="1" applyAlignment="1">
      <alignment vertical="center" wrapText="1"/>
    </xf>
    <xf numFmtId="164" fontId="24" fillId="0" borderId="1" xfId="1" applyNumberFormat="1" applyFont="1" applyBorder="1" applyAlignment="1">
      <alignment vertical="center" wrapText="1"/>
    </xf>
    <xf numFmtId="9" fontId="21" fillId="0" borderId="1" xfId="2" applyFont="1" applyBorder="1" applyAlignment="1">
      <alignment vertical="center" wrapText="1"/>
    </xf>
    <xf numFmtId="9" fontId="22" fillId="0" borderId="1" xfId="2" applyFont="1" applyBorder="1" applyAlignment="1">
      <alignment vertical="center" wrapText="1"/>
    </xf>
    <xf numFmtId="0" fontId="21" fillId="0" borderId="1" xfId="0" applyFont="1" applyBorder="1" applyAlignment="1">
      <alignment vertical="center" wrapText="1"/>
    </xf>
    <xf numFmtId="0" fontId="22" fillId="0" borderId="1" xfId="0" applyFont="1" applyBorder="1" applyAlignment="1">
      <alignment vertical="center" wrapText="1"/>
    </xf>
    <xf numFmtId="165" fontId="23" fillId="0" borderId="1" xfId="0" applyNumberFormat="1" applyFont="1" applyBorder="1" applyAlignment="1">
      <alignment vertical="center" wrapText="1"/>
    </xf>
    <xf numFmtId="165" fontId="24" fillId="0" borderId="1" xfId="0" applyNumberFormat="1" applyFont="1" applyBorder="1" applyAlignment="1">
      <alignment vertical="center" wrapText="1"/>
    </xf>
    <xf numFmtId="0" fontId="12" fillId="4" borderId="1" xfId="0" applyFont="1" applyFill="1" applyBorder="1" applyAlignment="1">
      <alignment horizontal="center" vertical="center" wrapText="1" readingOrder="1"/>
    </xf>
    <xf numFmtId="0" fontId="13" fillId="5" borderId="1" xfId="0" applyFont="1" applyFill="1" applyBorder="1" applyAlignment="1">
      <alignment horizontal="center" vertical="center" wrapText="1"/>
    </xf>
    <xf numFmtId="164" fontId="12" fillId="3" borderId="1" xfId="1" applyNumberFormat="1" applyFont="1" applyFill="1" applyBorder="1" applyAlignment="1">
      <alignment horizontal="center" vertical="center" wrapText="1" readingOrder="1"/>
    </xf>
    <xf numFmtId="0" fontId="2" fillId="5" borderId="1" xfId="0" applyFont="1" applyFill="1" applyBorder="1" applyAlignment="1">
      <alignment horizontal="left" vertical="center" wrapText="1" readingOrder="1"/>
    </xf>
    <xf numFmtId="9" fontId="0" fillId="0" borderId="0" xfId="2" applyFont="1" applyAlignment="1">
      <alignment horizontal="right"/>
    </xf>
    <xf numFmtId="165" fontId="12" fillId="0" borderId="1" xfId="0" applyNumberFormat="1" applyFont="1" applyBorder="1" applyAlignment="1">
      <alignment horizontal="left" vertical="center" wrapText="1" readingOrder="1"/>
    </xf>
    <xf numFmtId="9" fontId="12" fillId="0" borderId="1" xfId="2" applyFont="1" applyBorder="1" applyAlignment="1">
      <alignment horizontal="right" vertical="center" wrapText="1" readingOrder="1"/>
    </xf>
    <xf numFmtId="165" fontId="12" fillId="4" borderId="1" xfId="0" applyNumberFormat="1" applyFont="1" applyFill="1" applyBorder="1" applyAlignment="1">
      <alignment horizontal="left" vertical="center" wrapText="1" readingOrder="1"/>
    </xf>
    <xf numFmtId="9" fontId="12" fillId="4" borderId="1" xfId="2" applyFont="1" applyFill="1" applyBorder="1" applyAlignment="1">
      <alignment horizontal="right" vertical="center" wrapText="1" readingOrder="1"/>
    </xf>
    <xf numFmtId="43" fontId="9" fillId="5" borderId="1" xfId="1" applyFont="1" applyFill="1" applyBorder="1" applyAlignment="1">
      <alignment horizontal="left" vertical="center" wrapText="1" readingOrder="1"/>
    </xf>
    <xf numFmtId="43" fontId="9" fillId="0" borderId="1" xfId="1" applyFont="1" applyBorder="1" applyAlignment="1">
      <alignment horizontal="right" vertical="center" wrapText="1" readingOrder="1"/>
    </xf>
    <xf numFmtId="165" fontId="23" fillId="0" borderId="1" xfId="0" applyNumberFormat="1" applyFont="1" applyBorder="1" applyAlignment="1">
      <alignment horizontal="left" vertical="center" wrapText="1" readingOrder="1"/>
    </xf>
    <xf numFmtId="165" fontId="23" fillId="4" borderId="1" xfId="0" applyNumberFormat="1" applyFont="1" applyFill="1" applyBorder="1" applyAlignment="1">
      <alignment horizontal="left" vertical="center" wrapText="1" readingOrder="1"/>
    </xf>
    <xf numFmtId="43" fontId="21" fillId="5" borderId="1" xfId="1" applyFont="1" applyFill="1" applyBorder="1" applyAlignment="1">
      <alignment horizontal="left" vertical="center" wrapText="1" readingOrder="1"/>
    </xf>
    <xf numFmtId="165" fontId="24" fillId="0" borderId="1" xfId="0" applyNumberFormat="1" applyFont="1" applyBorder="1" applyAlignment="1">
      <alignment horizontal="left" vertical="center" wrapText="1" readingOrder="1"/>
    </xf>
    <xf numFmtId="165" fontId="24" fillId="4" borderId="1" xfId="0" applyNumberFormat="1" applyFont="1" applyFill="1" applyBorder="1" applyAlignment="1">
      <alignment horizontal="left" vertical="center" wrapText="1" readingOrder="1"/>
    </xf>
    <xf numFmtId="43" fontId="22" fillId="5" borderId="1" xfId="1" applyFont="1" applyFill="1" applyBorder="1" applyAlignment="1">
      <alignment horizontal="left" vertical="center" wrapText="1" readingOrder="1"/>
    </xf>
    <xf numFmtId="0" fontId="0" fillId="0" borderId="0" xfId="0" applyAlignment="1">
      <alignment horizontal="center"/>
    </xf>
    <xf numFmtId="166" fontId="13" fillId="0" borderId="1" xfId="2" applyNumberFormat="1" applyFont="1" applyBorder="1" applyAlignment="1">
      <alignment horizontal="right" vertical="center" wrapText="1"/>
    </xf>
    <xf numFmtId="166" fontId="21" fillId="0" borderId="1" xfId="2" applyNumberFormat="1" applyFont="1" applyBorder="1" applyAlignment="1">
      <alignment horizontal="right" vertical="center" wrapText="1"/>
    </xf>
    <xf numFmtId="166" fontId="22" fillId="0" borderId="1" xfId="2" applyNumberFormat="1" applyFont="1" applyBorder="1" applyAlignment="1">
      <alignment horizontal="right" vertical="center" wrapText="1"/>
    </xf>
    <xf numFmtId="0" fontId="13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/>
    </xf>
    <xf numFmtId="165" fontId="2" fillId="0" borderId="0" xfId="1" applyNumberFormat="1" applyFont="1" applyAlignment="1">
      <alignment horizontal="center"/>
    </xf>
    <xf numFmtId="0" fontId="11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center" wrapText="1"/>
    </xf>
    <xf numFmtId="9" fontId="13" fillId="0" borderId="1" xfId="2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9" fontId="17" fillId="0" borderId="1" xfId="2" applyFont="1" applyBorder="1" applyAlignment="1">
      <alignment horizontal="center" vertical="center" wrapText="1"/>
    </xf>
    <xf numFmtId="9" fontId="14" fillId="0" borderId="1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165" fontId="18" fillId="0" borderId="0" xfId="1" applyNumberFormat="1" applyFont="1" applyAlignment="1">
      <alignment vertical="center"/>
    </xf>
    <xf numFmtId="0" fontId="18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 readingOrder="1"/>
    </xf>
    <xf numFmtId="165" fontId="13" fillId="0" borderId="2" xfId="1" applyNumberFormat="1" applyFont="1" applyBorder="1" applyAlignment="1">
      <alignment horizontal="right" vertical="center" wrapText="1"/>
    </xf>
    <xf numFmtId="165" fontId="21" fillId="0" borderId="2" xfId="1" applyNumberFormat="1" applyFont="1" applyBorder="1" applyAlignment="1">
      <alignment horizontal="right" vertical="center" wrapText="1"/>
    </xf>
    <xf numFmtId="165" fontId="22" fillId="0" borderId="2" xfId="1" applyNumberFormat="1" applyFont="1" applyBorder="1" applyAlignment="1">
      <alignment horizontal="right" vertical="center" wrapText="1"/>
    </xf>
    <xf numFmtId="9" fontId="13" fillId="0" borderId="2" xfId="2" applyFont="1" applyBorder="1" applyAlignment="1">
      <alignment horizontal="right" vertical="center" wrapText="1"/>
    </xf>
    <xf numFmtId="9" fontId="21" fillId="0" borderId="2" xfId="2" applyFont="1" applyBorder="1" applyAlignment="1">
      <alignment horizontal="right" vertical="center" wrapText="1"/>
    </xf>
    <xf numFmtId="9" fontId="22" fillId="0" borderId="2" xfId="2" applyFont="1" applyBorder="1" applyAlignment="1">
      <alignment horizontal="right" vertical="center" wrapText="1"/>
    </xf>
    <xf numFmtId="0" fontId="9" fillId="0" borderId="14" xfId="0" applyFont="1" applyBorder="1" applyAlignment="1">
      <alignment horizontal="center" vertical="center" wrapText="1" readingOrder="1"/>
    </xf>
    <xf numFmtId="0" fontId="9" fillId="0" borderId="14" xfId="0" applyFont="1" applyBorder="1" applyAlignment="1">
      <alignment horizontal="left" vertical="center" wrapText="1" readingOrder="1"/>
    </xf>
    <xf numFmtId="165" fontId="13" fillId="0" borderId="14" xfId="1" applyNumberFormat="1" applyFont="1" applyBorder="1" applyAlignment="1">
      <alignment horizontal="right" vertical="center" wrapText="1"/>
    </xf>
    <xf numFmtId="165" fontId="21" fillId="0" borderId="14" xfId="1" applyNumberFormat="1" applyFont="1" applyBorder="1" applyAlignment="1">
      <alignment horizontal="right" vertical="center" wrapText="1"/>
    </xf>
    <xf numFmtId="165" fontId="22" fillId="0" borderId="14" xfId="1" applyNumberFormat="1" applyFont="1" applyBorder="1" applyAlignment="1">
      <alignment horizontal="right" vertical="center" wrapText="1"/>
    </xf>
    <xf numFmtId="9" fontId="13" fillId="0" borderId="14" xfId="2" applyFont="1" applyBorder="1" applyAlignment="1">
      <alignment horizontal="right" vertical="center" wrapText="1"/>
    </xf>
    <xf numFmtId="9" fontId="21" fillId="0" borderId="14" xfId="2" applyFont="1" applyBorder="1" applyAlignment="1">
      <alignment horizontal="right" vertical="center" wrapText="1"/>
    </xf>
    <xf numFmtId="9" fontId="22" fillId="0" borderId="14" xfId="2" applyFont="1" applyBorder="1" applyAlignment="1">
      <alignment horizontal="right" vertical="center" wrapText="1"/>
    </xf>
    <xf numFmtId="0" fontId="8" fillId="3" borderId="1" xfId="0" applyFont="1" applyFill="1" applyBorder="1" applyAlignment="1">
      <alignment horizontal="center" vertical="center" wrapText="1" readingOrder="1"/>
    </xf>
    <xf numFmtId="165" fontId="8" fillId="3" borderId="1" xfId="1" applyNumberFormat="1" applyFont="1" applyFill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left" vertical="center" wrapText="1" readingOrder="1"/>
    </xf>
    <xf numFmtId="0" fontId="8" fillId="4" borderId="1" xfId="0" applyFont="1" applyFill="1" applyBorder="1" applyAlignment="1">
      <alignment horizontal="left" vertical="center" wrapText="1" readingOrder="1"/>
    </xf>
    <xf numFmtId="165" fontId="6" fillId="0" borderId="1" xfId="1" applyNumberFormat="1" applyFont="1" applyBorder="1" applyAlignment="1">
      <alignment horizontal="right" vertical="center" wrapText="1" readingOrder="1"/>
    </xf>
    <xf numFmtId="0" fontId="8" fillId="0" borderId="1" xfId="0" applyFont="1" applyBorder="1" applyAlignment="1">
      <alignment horizontal="left" vertical="center" wrapText="1" readingOrder="1"/>
    </xf>
    <xf numFmtId="9" fontId="6" fillId="0" borderId="1" xfId="2" applyFont="1" applyBorder="1" applyAlignment="1">
      <alignment horizontal="right" vertical="center" wrapText="1" readingOrder="1"/>
    </xf>
    <xf numFmtId="0" fontId="6" fillId="0" borderId="1" xfId="0" applyFont="1" applyBorder="1" applyAlignment="1">
      <alignment horizontal="center" vertical="center" wrapText="1" readingOrder="1"/>
    </xf>
    <xf numFmtId="0" fontId="8" fillId="4" borderId="1" xfId="0" applyFont="1" applyFill="1" applyBorder="1" applyAlignment="1">
      <alignment horizontal="center" vertical="center" wrapText="1" readingOrder="1"/>
    </xf>
    <xf numFmtId="165" fontId="8" fillId="0" borderId="1" xfId="1" applyNumberFormat="1" applyFont="1" applyBorder="1" applyAlignment="1">
      <alignment horizontal="right" vertical="center" wrapText="1" readingOrder="1"/>
    </xf>
    <xf numFmtId="165" fontId="23" fillId="0" borderId="1" xfId="1" applyNumberFormat="1" applyFont="1" applyBorder="1" applyAlignment="1">
      <alignment horizontal="right" vertical="center" wrapText="1" readingOrder="1"/>
    </xf>
    <xf numFmtId="165" fontId="24" fillId="0" borderId="1" xfId="1" applyNumberFormat="1" applyFont="1" applyBorder="1" applyAlignment="1">
      <alignment horizontal="right" vertical="center" wrapText="1" readingOrder="1"/>
    </xf>
    <xf numFmtId="0" fontId="6" fillId="0" borderId="1" xfId="0" applyFont="1" applyBorder="1" applyAlignment="1">
      <alignment horizontal="left" vertical="center" wrapText="1" indent="1" readingOrder="1"/>
    </xf>
    <xf numFmtId="0" fontId="8" fillId="3" borderId="1" xfId="0" applyFont="1" applyFill="1" applyBorder="1" applyAlignment="1">
      <alignment horizontal="left" vertical="center" wrapText="1" readingOrder="1"/>
    </xf>
    <xf numFmtId="165" fontId="23" fillId="3" borderId="1" xfId="1" applyNumberFormat="1" applyFont="1" applyFill="1" applyBorder="1" applyAlignment="1">
      <alignment horizontal="left" vertical="center" wrapText="1" readingOrder="1"/>
    </xf>
    <xf numFmtId="165" fontId="24" fillId="3" borderId="1" xfId="1" applyNumberFormat="1" applyFont="1" applyFill="1" applyBorder="1" applyAlignment="1">
      <alignment horizontal="left" vertical="center" wrapText="1" readingOrder="1"/>
    </xf>
    <xf numFmtId="165" fontId="8" fillId="3" borderId="1" xfId="1" applyNumberFormat="1" applyFont="1" applyFill="1" applyBorder="1" applyAlignment="1">
      <alignment horizontal="left" vertical="center" wrapText="1" readingOrder="1"/>
    </xf>
    <xf numFmtId="164" fontId="8" fillId="3" borderId="1" xfId="1" applyNumberFormat="1" applyFont="1" applyFill="1" applyBorder="1" applyAlignment="1">
      <alignment horizontal="center" vertical="center" wrapText="1" readingOrder="1"/>
    </xf>
    <xf numFmtId="164" fontId="6" fillId="0" borderId="1" xfId="1" applyNumberFormat="1" applyFont="1" applyBorder="1" applyAlignment="1">
      <alignment horizontal="left" vertical="center" wrapText="1" readingOrder="1"/>
    </xf>
    <xf numFmtId="165" fontId="6" fillId="0" borderId="1" xfId="1" applyNumberFormat="1" applyFont="1" applyBorder="1" applyAlignment="1">
      <alignment horizontal="left" vertical="center" wrapText="1" readingOrder="1"/>
    </xf>
    <xf numFmtId="0" fontId="6" fillId="5" borderId="1" xfId="0" applyFont="1" applyFill="1" applyBorder="1" applyAlignment="1">
      <alignment horizontal="center" vertical="center" wrapText="1" readingOrder="1"/>
    </xf>
    <xf numFmtId="0" fontId="6" fillId="5" borderId="1" xfId="0" applyFont="1" applyFill="1" applyBorder="1" applyAlignment="1">
      <alignment horizontal="left" vertical="center" wrapText="1" readingOrder="1"/>
    </xf>
    <xf numFmtId="9" fontId="6" fillId="0" borderId="1" xfId="2" applyFont="1" applyFill="1" applyBorder="1" applyAlignment="1">
      <alignment horizontal="right" vertical="center" wrapText="1" readingOrder="1"/>
    </xf>
    <xf numFmtId="9" fontId="13" fillId="0" borderId="1" xfId="2" applyFont="1" applyFill="1" applyBorder="1" applyAlignment="1">
      <alignment vertical="top" wrapText="1"/>
    </xf>
    <xf numFmtId="0" fontId="6" fillId="0" borderId="1" xfId="0" applyFont="1" applyBorder="1" applyAlignment="1">
      <alignment horizontal="left" vertical="center" wrapText="1" indent="2" readingOrder="1"/>
    </xf>
    <xf numFmtId="0" fontId="8" fillId="3" borderId="1" xfId="0" applyFont="1" applyFill="1" applyBorder="1" applyAlignment="1">
      <alignment horizontal="left" vertical="center" wrapText="1" indent="1" readingOrder="1"/>
    </xf>
    <xf numFmtId="0" fontId="8" fillId="0" borderId="1" xfId="0" applyFont="1" applyBorder="1" applyAlignment="1">
      <alignment horizontal="left" vertical="center" wrapText="1" indent="1" readingOrder="1"/>
    </xf>
    <xf numFmtId="166" fontId="22" fillId="0" borderId="1" xfId="2" applyNumberFormat="1" applyFont="1" applyBorder="1" applyAlignment="1">
      <alignment horizontal="right" vertical="center" wrapText="1" readingOrder="1"/>
    </xf>
    <xf numFmtId="165" fontId="24" fillId="0" borderId="1" xfId="0" applyNumberFormat="1" applyFont="1" applyBorder="1" applyAlignment="1">
      <alignment horizontal="center" vertical="center" wrapText="1"/>
    </xf>
    <xf numFmtId="9" fontId="13" fillId="0" borderId="1" xfId="0" applyNumberFormat="1" applyFont="1" applyBorder="1" applyAlignment="1">
      <alignment vertical="center" wrapText="1"/>
    </xf>
    <xf numFmtId="9" fontId="21" fillId="0" borderId="1" xfId="0" applyNumberFormat="1" applyFont="1" applyBorder="1" applyAlignment="1">
      <alignment vertical="center" wrapText="1"/>
    </xf>
    <xf numFmtId="9" fontId="22" fillId="0" borderId="1" xfId="0" applyNumberFormat="1" applyFont="1" applyBorder="1" applyAlignment="1">
      <alignment vertical="center" wrapText="1"/>
    </xf>
    <xf numFmtId="164" fontId="24" fillId="4" borderId="1" xfId="1" applyNumberFormat="1" applyFont="1" applyFill="1" applyBorder="1" applyAlignment="1">
      <alignment vertical="center" wrapText="1"/>
    </xf>
    <xf numFmtId="165" fontId="14" fillId="4" borderId="1" xfId="0" applyNumberFormat="1" applyFont="1" applyFill="1" applyBorder="1" applyAlignment="1">
      <alignment vertical="center" wrapText="1"/>
    </xf>
    <xf numFmtId="9" fontId="13" fillId="5" borderId="1" xfId="2" applyFont="1" applyFill="1" applyBorder="1" applyAlignment="1">
      <alignment vertical="center" wrapText="1"/>
    </xf>
    <xf numFmtId="9" fontId="21" fillId="5" borderId="1" xfId="2" applyFont="1" applyFill="1" applyBorder="1" applyAlignment="1">
      <alignment vertical="center" wrapText="1"/>
    </xf>
    <xf numFmtId="9" fontId="22" fillId="5" borderId="1" xfId="2" applyFont="1" applyFill="1" applyBorder="1" applyAlignment="1">
      <alignment vertical="center" wrapText="1"/>
    </xf>
    <xf numFmtId="9" fontId="13" fillId="5" borderId="1" xfId="2" applyFont="1" applyFill="1" applyBorder="1" applyAlignment="1">
      <alignment horizontal="right" vertical="center" wrapText="1"/>
    </xf>
    <xf numFmtId="165" fontId="13" fillId="5" borderId="1" xfId="1" applyNumberFormat="1" applyFont="1" applyFill="1" applyBorder="1" applyAlignment="1">
      <alignment vertical="center" wrapText="1"/>
    </xf>
    <xf numFmtId="165" fontId="21" fillId="5" borderId="1" xfId="1" applyNumberFormat="1" applyFont="1" applyFill="1" applyBorder="1" applyAlignment="1">
      <alignment vertical="center" wrapText="1"/>
    </xf>
    <xf numFmtId="165" fontId="22" fillId="5" borderId="1" xfId="1" applyNumberFormat="1" applyFont="1" applyFill="1" applyBorder="1" applyAlignment="1">
      <alignment vertical="center" wrapText="1"/>
    </xf>
    <xf numFmtId="165" fontId="23" fillId="4" borderId="1" xfId="0" applyNumberFormat="1" applyFont="1" applyFill="1" applyBorder="1" applyAlignment="1">
      <alignment vertical="center" wrapText="1"/>
    </xf>
    <xf numFmtId="165" fontId="24" fillId="4" borderId="1" xfId="0" applyNumberFormat="1" applyFont="1" applyFill="1" applyBorder="1" applyAlignment="1">
      <alignment vertical="center" wrapText="1"/>
    </xf>
    <xf numFmtId="164" fontId="13" fillId="5" borderId="1" xfId="0" applyNumberFormat="1" applyFont="1" applyFill="1" applyBorder="1" applyAlignment="1">
      <alignment vertical="center" wrapText="1"/>
    </xf>
    <xf numFmtId="0" fontId="13" fillId="5" borderId="1" xfId="0" applyFont="1" applyFill="1" applyBorder="1" applyAlignment="1">
      <alignment vertical="center" wrapText="1"/>
    </xf>
    <xf numFmtId="166" fontId="13" fillId="5" borderId="1" xfId="2" applyNumberFormat="1" applyFont="1" applyFill="1" applyBorder="1" applyAlignment="1">
      <alignment vertical="center" wrapText="1"/>
    </xf>
    <xf numFmtId="166" fontId="21" fillId="5" borderId="1" xfId="2" applyNumberFormat="1" applyFont="1" applyFill="1" applyBorder="1" applyAlignment="1">
      <alignment vertical="center" wrapText="1"/>
    </xf>
    <xf numFmtId="166" fontId="22" fillId="5" borderId="1" xfId="2" applyNumberFormat="1" applyFont="1" applyFill="1" applyBorder="1" applyAlignment="1">
      <alignment vertical="center" wrapText="1"/>
    </xf>
    <xf numFmtId="166" fontId="13" fillId="0" borderId="1" xfId="2" applyNumberFormat="1" applyFont="1" applyBorder="1" applyAlignment="1">
      <alignment vertical="center" wrapText="1"/>
    </xf>
    <xf numFmtId="166" fontId="21" fillId="0" borderId="1" xfId="2" applyNumberFormat="1" applyFont="1" applyBorder="1" applyAlignment="1">
      <alignment vertical="center" wrapText="1"/>
    </xf>
    <xf numFmtId="166" fontId="22" fillId="0" borderId="1" xfId="2" applyNumberFormat="1" applyFont="1" applyBorder="1" applyAlignment="1">
      <alignment vertical="center" wrapText="1"/>
    </xf>
    <xf numFmtId="170" fontId="27" fillId="0" borderId="0" xfId="0" applyNumberFormat="1" applyFont="1"/>
    <xf numFmtId="0" fontId="10" fillId="3" borderId="2" xfId="0" applyFont="1" applyFill="1" applyBorder="1" applyAlignment="1">
      <alignment horizontal="center" vertical="center" wrapText="1" readingOrder="1"/>
    </xf>
    <xf numFmtId="0" fontId="10" fillId="3" borderId="3" xfId="0" applyFont="1" applyFill="1" applyBorder="1" applyAlignment="1">
      <alignment horizontal="center" vertical="center" wrapText="1" readingOrder="1"/>
    </xf>
    <xf numFmtId="0" fontId="10" fillId="3" borderId="4" xfId="0" applyFont="1" applyFill="1" applyBorder="1" applyAlignment="1">
      <alignment horizontal="center" vertical="center" wrapText="1" readingOrder="1"/>
    </xf>
    <xf numFmtId="0" fontId="10" fillId="3" borderId="6" xfId="0" applyFont="1" applyFill="1" applyBorder="1" applyAlignment="1">
      <alignment horizontal="center" vertical="center" wrapText="1" readingOrder="1"/>
    </xf>
    <xf numFmtId="0" fontId="6" fillId="3" borderId="2" xfId="0" applyFont="1" applyFill="1" applyBorder="1" applyAlignment="1">
      <alignment horizontal="center" vertical="center" wrapText="1" readingOrder="1"/>
    </xf>
    <xf numFmtId="0" fontId="9" fillId="3" borderId="7" xfId="0" applyFont="1" applyFill="1" applyBorder="1" applyAlignment="1">
      <alignment horizontal="center" vertical="center" wrapText="1" readingOrder="1"/>
    </xf>
    <xf numFmtId="0" fontId="9" fillId="3" borderId="3" xfId="0" applyFont="1" applyFill="1" applyBorder="1" applyAlignment="1">
      <alignment horizontal="center" vertical="center" wrapText="1" readingOrder="1"/>
    </xf>
    <xf numFmtId="0" fontId="9" fillId="3" borderId="2" xfId="0" applyFont="1" applyFill="1" applyBorder="1" applyAlignment="1">
      <alignment horizontal="center" vertical="center" wrapText="1" readingOrder="1"/>
    </xf>
    <xf numFmtId="0" fontId="9" fillId="3" borderId="8" xfId="0" applyFont="1" applyFill="1" applyBorder="1" applyAlignment="1">
      <alignment horizontal="center" vertical="center" wrapText="1" readingOrder="1"/>
    </xf>
    <xf numFmtId="0" fontId="9" fillId="3" borderId="9" xfId="0" applyFont="1" applyFill="1" applyBorder="1" applyAlignment="1">
      <alignment horizontal="center" vertical="center" wrapText="1" readingOrder="1"/>
    </xf>
    <xf numFmtId="0" fontId="9" fillId="3" borderId="10" xfId="0" applyFont="1" applyFill="1" applyBorder="1" applyAlignment="1">
      <alignment horizontal="center" vertical="center" wrapText="1" readingOrder="1"/>
    </xf>
    <xf numFmtId="0" fontId="9" fillId="3" borderId="11" xfId="0" applyFont="1" applyFill="1" applyBorder="1" applyAlignment="1">
      <alignment horizontal="center" vertical="center" wrapText="1" readingOrder="1"/>
    </xf>
    <xf numFmtId="0" fontId="9" fillId="3" borderId="12" xfId="0" applyFont="1" applyFill="1" applyBorder="1" applyAlignment="1">
      <alignment horizontal="center" vertical="center" wrapText="1" readingOrder="1"/>
    </xf>
    <xf numFmtId="0" fontId="9" fillId="3" borderId="13" xfId="0" applyFont="1" applyFill="1" applyBorder="1" applyAlignment="1">
      <alignment horizontal="center" vertical="center" wrapText="1" readingOrder="1"/>
    </xf>
    <xf numFmtId="0" fontId="10" fillId="3" borderId="5" xfId="0" applyFont="1" applyFill="1" applyBorder="1" applyAlignment="1">
      <alignment horizontal="center" vertical="center" wrapText="1" readingOrder="1"/>
    </xf>
    <xf numFmtId="0" fontId="9" fillId="3" borderId="4" xfId="0" applyFont="1" applyFill="1" applyBorder="1" applyAlignment="1">
      <alignment horizontal="center" vertical="center" wrapText="1" readingOrder="1"/>
    </xf>
    <xf numFmtId="0" fontId="9" fillId="3" borderId="6" xfId="0" applyFont="1" applyFill="1" applyBorder="1" applyAlignment="1">
      <alignment horizontal="center" vertical="center" wrapText="1" readingOrder="1"/>
    </xf>
    <xf numFmtId="0" fontId="6" fillId="3" borderId="3" xfId="0" applyFont="1" applyFill="1" applyBorder="1" applyAlignment="1">
      <alignment horizontal="center" vertical="center" wrapText="1" readingOrder="1"/>
    </xf>
    <xf numFmtId="0" fontId="7" fillId="3" borderId="2" xfId="0" applyFont="1" applyFill="1" applyBorder="1" applyAlignment="1">
      <alignment horizontal="center" vertical="center" wrapText="1" readingOrder="1"/>
    </xf>
    <xf numFmtId="0" fontId="7" fillId="3" borderId="3" xfId="0" applyFont="1" applyFill="1" applyBorder="1" applyAlignment="1">
      <alignment horizontal="center" vertical="center" wrapText="1" readingOrder="1"/>
    </xf>
    <xf numFmtId="0" fontId="7" fillId="3" borderId="4" xfId="0" applyFont="1" applyFill="1" applyBorder="1" applyAlignment="1">
      <alignment horizontal="center" vertical="center" wrapText="1" readingOrder="1"/>
    </xf>
    <xf numFmtId="0" fontId="7" fillId="3" borderId="5" xfId="0" applyFont="1" applyFill="1" applyBorder="1" applyAlignment="1">
      <alignment horizontal="center" vertical="center" wrapText="1" readingOrder="1"/>
    </xf>
    <xf numFmtId="0" fontId="7" fillId="3" borderId="6" xfId="0" applyFont="1" applyFill="1" applyBorder="1" applyAlignment="1">
      <alignment horizontal="center" vertical="center" wrapText="1" readingOrder="1"/>
    </xf>
    <xf numFmtId="0" fontId="9" fillId="3" borderId="5" xfId="0" applyFont="1" applyFill="1" applyBorder="1" applyAlignment="1">
      <alignment horizontal="center" vertical="center" wrapText="1" readingOrder="1"/>
    </xf>
    <xf numFmtId="0" fontId="9" fillId="3" borderId="4" xfId="0" applyFont="1" applyFill="1" applyBorder="1" applyAlignment="1">
      <alignment horizontal="left" vertical="center" wrapText="1" readingOrder="1"/>
    </xf>
    <xf numFmtId="0" fontId="9" fillId="3" borderId="6" xfId="0" applyFont="1" applyFill="1" applyBorder="1" applyAlignment="1">
      <alignment horizontal="left" vertical="center" wrapText="1" readingOrder="1"/>
    </xf>
    <xf numFmtId="0" fontId="20" fillId="3" borderId="4" xfId="0" applyFont="1" applyFill="1" applyBorder="1" applyAlignment="1">
      <alignment horizontal="center" vertical="center" wrapText="1" readingOrder="1"/>
    </xf>
    <xf numFmtId="0" fontId="20" fillId="3" borderId="6" xfId="0" applyFont="1" applyFill="1" applyBorder="1" applyAlignment="1">
      <alignment horizontal="center" vertical="center" wrapText="1" readingOrder="1"/>
    </xf>
    <xf numFmtId="0" fontId="8" fillId="3" borderId="4" xfId="0" applyFont="1" applyFill="1" applyBorder="1" applyAlignment="1">
      <alignment horizontal="center" vertical="center" wrapText="1" readingOrder="1"/>
    </xf>
    <xf numFmtId="0" fontId="8" fillId="3" borderId="6" xfId="0" applyFont="1" applyFill="1" applyBorder="1" applyAlignment="1">
      <alignment horizontal="center" vertical="center" wrapText="1" readingOrder="1"/>
    </xf>
    <xf numFmtId="0" fontId="12" fillId="3" borderId="4" xfId="0" applyFont="1" applyFill="1" applyBorder="1" applyAlignment="1">
      <alignment horizontal="center" vertical="center" wrapText="1" readingOrder="1"/>
    </xf>
    <xf numFmtId="0" fontId="12" fillId="3" borderId="6" xfId="0" applyFont="1" applyFill="1" applyBorder="1" applyAlignment="1">
      <alignment horizontal="center" vertical="center" wrapText="1" readingOrder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/>
              <a:t>Doanh thu</a:t>
            </a:r>
            <a:r>
              <a:rPr lang="en-US" b="1" baseline="0"/>
              <a:t> PET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'theo anh Hoang'!$A$3</c:f>
              <c:strCache>
                <c:ptCount val="1"/>
                <c:pt idx="0">
                  <c:v>Chai PET B1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solidFill>
                <a:schemeClr val="tx2">
                  <a:lumMod val="50000"/>
                  <a:lumOff val="50000"/>
                </a:schemeClr>
              </a:solidFill>
            </a:ln>
            <a:effectLst/>
          </c:spPr>
          <c:invertIfNegative val="0"/>
          <c:cat>
            <c:strRef>
              <c:f>'theo anh Hoang'!$B$2:$E$2</c:f>
              <c:strCache>
                <c:ptCount val="4"/>
                <c:pt idx="0">
                  <c:v>Năm 2023</c:v>
                </c:pt>
                <c:pt idx="1">
                  <c:v>Năm 2024</c:v>
                </c:pt>
                <c:pt idx="2">
                  <c:v>Năm 2025</c:v>
                </c:pt>
                <c:pt idx="3">
                  <c:v>Năm 2026</c:v>
                </c:pt>
              </c:strCache>
            </c:strRef>
          </c:cat>
          <c:val>
            <c:numRef>
              <c:f>'theo anh Hoang'!$B$3:$E$3</c:f>
              <c:numCache>
                <c:formatCode>_(* #,##0_);_(* \(#,##0\);_(* "-"??_);_(@_)</c:formatCode>
                <c:ptCount val="4"/>
                <c:pt idx="0">
                  <c:v>58.896385049999999</c:v>
                </c:pt>
                <c:pt idx="1">
                  <c:v>45.896670200000003</c:v>
                </c:pt>
                <c:pt idx="2" formatCode="###\ ###\ ###\ ###\ ;[Red]\(###\ ###\ ###\ ###\)">
                  <c:v>63.630724917000002</c:v>
                </c:pt>
                <c:pt idx="3">
                  <c:v>56.76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87-4F7B-B15C-FE4908E97038}"/>
            </c:ext>
          </c:extLst>
        </c:ser>
        <c:ser>
          <c:idx val="1"/>
          <c:order val="1"/>
          <c:tx>
            <c:strRef>
              <c:f>'theo anh Hoang'!$A$4</c:f>
              <c:strCache>
                <c:ptCount val="1"/>
                <c:pt idx="0">
                  <c:v>Chai PET B2.2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'theo anh Hoang'!$B$2:$E$2</c:f>
              <c:strCache>
                <c:ptCount val="4"/>
                <c:pt idx="0">
                  <c:v>Năm 2023</c:v>
                </c:pt>
                <c:pt idx="1">
                  <c:v>Năm 2024</c:v>
                </c:pt>
                <c:pt idx="2">
                  <c:v>Năm 2025</c:v>
                </c:pt>
                <c:pt idx="3">
                  <c:v>Năm 2026</c:v>
                </c:pt>
              </c:strCache>
            </c:strRef>
          </c:cat>
          <c:val>
            <c:numRef>
              <c:f>'theo anh Hoang'!$B$4:$E$4</c:f>
              <c:numCache>
                <c:formatCode>_(* #,##0_);_(* \(#,##0\);_(* "-"??_);_(@_)</c:formatCode>
                <c:ptCount val="4"/>
                <c:pt idx="0">
                  <c:v>5.760087865</c:v>
                </c:pt>
                <c:pt idx="1">
                  <c:v>8.5026510000000002</c:v>
                </c:pt>
                <c:pt idx="2">
                  <c:v>9.3435792810000002</c:v>
                </c:pt>
                <c:pt idx="3">
                  <c:v>10.962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87-4F7B-B15C-FE4908E97038}"/>
            </c:ext>
          </c:extLst>
        </c:ser>
        <c:ser>
          <c:idx val="2"/>
          <c:order val="2"/>
          <c:tx>
            <c:strRef>
              <c:f>'theo anh Hoang'!$A$5</c:f>
              <c:strCache>
                <c:ptCount val="1"/>
                <c:pt idx="0">
                  <c:v>Chai PET B4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'theo anh Hoang'!$B$2:$E$2</c:f>
              <c:strCache>
                <c:ptCount val="4"/>
                <c:pt idx="0">
                  <c:v>Năm 2023</c:v>
                </c:pt>
                <c:pt idx="1">
                  <c:v>Năm 2024</c:v>
                </c:pt>
                <c:pt idx="2">
                  <c:v>Năm 2025</c:v>
                </c:pt>
                <c:pt idx="3">
                  <c:v>Năm 2026</c:v>
                </c:pt>
              </c:strCache>
            </c:strRef>
          </c:cat>
          <c:val>
            <c:numRef>
              <c:f>'theo anh Hoang'!$B$5:$E$5</c:f>
              <c:numCache>
                <c:formatCode>_(* #,##0_);_(* \(#,##0\);_(* "-"??_);_(@_)</c:formatCode>
                <c:ptCount val="4"/>
                <c:pt idx="0">
                  <c:v>0.86237698299999999</c:v>
                </c:pt>
                <c:pt idx="1">
                  <c:v>1.1210629999999999</c:v>
                </c:pt>
                <c:pt idx="2">
                  <c:v>1.7226173309999999</c:v>
                </c:pt>
                <c:pt idx="3">
                  <c:v>1.44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87-4F7B-B15C-FE4908E97038}"/>
            </c:ext>
          </c:extLst>
        </c:ser>
        <c:ser>
          <c:idx val="3"/>
          <c:order val="3"/>
          <c:tx>
            <c:strRef>
              <c:f>'theo anh Hoang'!$A$6</c:f>
              <c:strCache>
                <c:ptCount val="1"/>
                <c:pt idx="0">
                  <c:v>Chai PET B5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'theo anh Hoang'!$B$2:$E$2</c:f>
              <c:strCache>
                <c:ptCount val="4"/>
                <c:pt idx="0">
                  <c:v>Năm 2023</c:v>
                </c:pt>
                <c:pt idx="1">
                  <c:v>Năm 2024</c:v>
                </c:pt>
                <c:pt idx="2">
                  <c:v>Năm 2025</c:v>
                </c:pt>
                <c:pt idx="3">
                  <c:v>Năm 2026</c:v>
                </c:pt>
              </c:strCache>
            </c:strRef>
          </c:cat>
          <c:val>
            <c:numRef>
              <c:f>'theo anh Hoang'!$B$6:$E$6</c:f>
              <c:numCache>
                <c:formatCode>_(* #,##0_);_(* \(#,##0\);_(* "-"??_);_(@_)</c:formatCode>
                <c:ptCount val="4"/>
                <c:pt idx="0">
                  <c:v>1.6543205000000001</c:v>
                </c:pt>
                <c:pt idx="1">
                  <c:v>1.6903425999999999</c:v>
                </c:pt>
                <c:pt idx="2">
                  <c:v>2.267014358</c:v>
                </c:pt>
                <c:pt idx="3">
                  <c:v>1.92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687-4F7B-B15C-FE4908E97038}"/>
            </c:ext>
          </c:extLst>
        </c:ser>
        <c:ser>
          <c:idx val="4"/>
          <c:order val="4"/>
          <c:tx>
            <c:strRef>
              <c:f>'theo anh Hoang'!$A$7</c:f>
              <c:strCache>
                <c:ptCount val="1"/>
                <c:pt idx="0">
                  <c:v>Chai PET B6.2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'theo anh Hoang'!$B$2:$E$2</c:f>
              <c:strCache>
                <c:ptCount val="4"/>
                <c:pt idx="0">
                  <c:v>Năm 2023</c:v>
                </c:pt>
                <c:pt idx="1">
                  <c:v>Năm 2024</c:v>
                </c:pt>
                <c:pt idx="2">
                  <c:v>Năm 2025</c:v>
                </c:pt>
                <c:pt idx="3">
                  <c:v>Năm 2026</c:v>
                </c:pt>
              </c:strCache>
            </c:strRef>
          </c:cat>
          <c:val>
            <c:numRef>
              <c:f>'theo anh Hoang'!$B$7:$E$7</c:f>
              <c:numCache>
                <c:formatCode>_(* #,##0_);_(* \(#,##0\);_(* "-"??_);_(@_)</c:formatCode>
                <c:ptCount val="4"/>
                <c:pt idx="0">
                  <c:v>9.0418258970000007</c:v>
                </c:pt>
                <c:pt idx="1">
                  <c:v>14.7901095</c:v>
                </c:pt>
                <c:pt idx="2" formatCode="###\ ###\ ###\ ###\ ;[Red]\(###\ ###\ ###\ ###\)">
                  <c:v>23.937332575999999</c:v>
                </c:pt>
                <c:pt idx="3">
                  <c:v>25.92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687-4F7B-B15C-FE4908E97038}"/>
            </c:ext>
          </c:extLst>
        </c:ser>
        <c:ser>
          <c:idx val="5"/>
          <c:order val="5"/>
          <c:tx>
            <c:strRef>
              <c:f>'theo anh Hoang'!$A$8</c:f>
              <c:strCache>
                <c:ptCount val="1"/>
                <c:pt idx="0">
                  <c:v>Cổ Chai PET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'theo anh Hoang'!$B$2:$E$2</c:f>
              <c:strCache>
                <c:ptCount val="4"/>
                <c:pt idx="0">
                  <c:v>Năm 2023</c:v>
                </c:pt>
                <c:pt idx="1">
                  <c:v>Năm 2024</c:v>
                </c:pt>
                <c:pt idx="2">
                  <c:v>Năm 2025</c:v>
                </c:pt>
                <c:pt idx="3">
                  <c:v>Năm 2026</c:v>
                </c:pt>
              </c:strCache>
            </c:strRef>
          </c:cat>
          <c:val>
            <c:numRef>
              <c:f>'theo anh Hoang'!$B$8:$E$8</c:f>
              <c:numCache>
                <c:formatCode>_(* #,##0_);_(* \(#,##0\);_(* "-"??_);_(@_)</c:formatCode>
                <c:ptCount val="4"/>
                <c:pt idx="3">
                  <c:v>0.64800000000000002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687-4F7B-B15C-FE4908E97038}"/>
            </c:ext>
          </c:extLst>
        </c:ser>
        <c:ser>
          <c:idx val="6"/>
          <c:order val="6"/>
          <c:tx>
            <c:strRef>
              <c:f>'theo anh Hoang'!$A$9</c:f>
              <c:strCache>
                <c:ptCount val="1"/>
                <c:pt idx="0">
                  <c:v>Nắp HD ép các màu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'theo anh Hoang'!$B$2:$E$2</c:f>
              <c:strCache>
                <c:ptCount val="4"/>
                <c:pt idx="0">
                  <c:v>Năm 2023</c:v>
                </c:pt>
                <c:pt idx="1">
                  <c:v>Năm 2024</c:v>
                </c:pt>
                <c:pt idx="2">
                  <c:v>Năm 2025</c:v>
                </c:pt>
                <c:pt idx="3">
                  <c:v>Năm 2026</c:v>
                </c:pt>
              </c:strCache>
            </c:strRef>
          </c:cat>
          <c:val>
            <c:numRef>
              <c:f>'theo anh Hoang'!$B$9:$E$9</c:f>
              <c:numCache>
                <c:formatCode>_(* #,##0_);_(* \(#,##0\);_(* "-"??_);_(@_)</c:formatCode>
                <c:ptCount val="4"/>
                <c:pt idx="0">
                  <c:v>2.7006689740000001</c:v>
                </c:pt>
                <c:pt idx="1">
                  <c:v>2.5222677849999999</c:v>
                </c:pt>
                <c:pt idx="2">
                  <c:v>1.46240306</c:v>
                </c:pt>
                <c:pt idx="3">
                  <c:v>1.944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687-4F7B-B15C-FE4908E970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25250127"/>
        <c:axId val="1725260687"/>
      </c:barChart>
      <c:catAx>
        <c:axId val="17252501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Đvt:</a:t>
                </a:r>
                <a:r>
                  <a:rPr lang="en-US" baseline="0"/>
                  <a:t> Tỷ vnđ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76520113751661245"/>
              <c:y val="3.157771945173525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25260687"/>
        <c:crosses val="autoZero"/>
        <c:auto val="1"/>
        <c:lblAlgn val="ctr"/>
        <c:lblOffset val="100"/>
        <c:noMultiLvlLbl val="0"/>
      </c:catAx>
      <c:valAx>
        <c:axId val="1725260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25250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115829407786909"/>
          <c:y val="0.70334204300695602"/>
          <c:w val="0.78668156655090604"/>
          <c:h val="0.207841177924508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/>
              <a:t>Sản lượng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'theo anh Hoang'!$A$24</c:f>
              <c:strCache>
                <c:ptCount val="1"/>
                <c:pt idx="0">
                  <c:v>Chai PET B1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'theo anh Hoang'!$B$23:$E$23</c:f>
              <c:strCache>
                <c:ptCount val="4"/>
                <c:pt idx="0">
                  <c:v>Năm 2023</c:v>
                </c:pt>
                <c:pt idx="1">
                  <c:v>Năm 2024</c:v>
                </c:pt>
                <c:pt idx="2">
                  <c:v>Năm 2025</c:v>
                </c:pt>
                <c:pt idx="3">
                  <c:v>Năm 2026</c:v>
                </c:pt>
              </c:strCache>
            </c:strRef>
          </c:cat>
          <c:val>
            <c:numRef>
              <c:f>'theo anh Hoang'!$B$24:$E$24</c:f>
              <c:numCache>
                <c:formatCode>_(* #,##0_);_(* \(#,##0\);_(* "-"??_);_(@_)</c:formatCode>
                <c:ptCount val="4"/>
                <c:pt idx="0">
                  <c:v>3652.3584999999998</c:v>
                </c:pt>
                <c:pt idx="1">
                  <c:v>2688.19</c:v>
                </c:pt>
                <c:pt idx="2">
                  <c:v>3729.1979999999999</c:v>
                </c:pt>
                <c:pt idx="3">
                  <c:v>3784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9A-4B0F-8AA5-BFEE5157497E}"/>
            </c:ext>
          </c:extLst>
        </c:ser>
        <c:ser>
          <c:idx val="1"/>
          <c:order val="1"/>
          <c:tx>
            <c:strRef>
              <c:f>'theo anh Hoang'!$A$25</c:f>
              <c:strCache>
                <c:ptCount val="1"/>
                <c:pt idx="0">
                  <c:v>Chai PET B2.2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'theo anh Hoang'!$B$23:$E$23</c:f>
              <c:strCache>
                <c:ptCount val="4"/>
                <c:pt idx="0">
                  <c:v>Năm 2023</c:v>
                </c:pt>
                <c:pt idx="1">
                  <c:v>Năm 2024</c:v>
                </c:pt>
                <c:pt idx="2">
                  <c:v>Năm 2025</c:v>
                </c:pt>
                <c:pt idx="3">
                  <c:v>Năm 2026</c:v>
                </c:pt>
              </c:strCache>
            </c:strRef>
          </c:cat>
          <c:val>
            <c:numRef>
              <c:f>'theo anh Hoang'!$B$25:$E$25</c:f>
              <c:numCache>
                <c:formatCode>_(* #,##0_);_(* \(#,##0\);_(* "-"??_);_(@_)</c:formatCode>
                <c:ptCount val="4"/>
                <c:pt idx="0">
                  <c:v>565.95299999999997</c:v>
                </c:pt>
                <c:pt idx="1">
                  <c:v>635.827</c:v>
                </c:pt>
                <c:pt idx="2">
                  <c:v>579.40200000000004</c:v>
                </c:pt>
                <c:pt idx="3">
                  <c:v>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9A-4B0F-8AA5-BFEE5157497E}"/>
            </c:ext>
          </c:extLst>
        </c:ser>
        <c:ser>
          <c:idx val="2"/>
          <c:order val="2"/>
          <c:tx>
            <c:strRef>
              <c:f>'theo anh Hoang'!$A$26</c:f>
              <c:strCache>
                <c:ptCount val="1"/>
                <c:pt idx="0">
                  <c:v>Chai PET B4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'theo anh Hoang'!$B$23:$E$23</c:f>
              <c:strCache>
                <c:ptCount val="4"/>
                <c:pt idx="0">
                  <c:v>Năm 2023</c:v>
                </c:pt>
                <c:pt idx="1">
                  <c:v>Năm 2024</c:v>
                </c:pt>
                <c:pt idx="2">
                  <c:v>Năm 2025</c:v>
                </c:pt>
                <c:pt idx="3">
                  <c:v>Năm 2026</c:v>
                </c:pt>
              </c:strCache>
            </c:strRef>
          </c:cat>
          <c:val>
            <c:numRef>
              <c:f>'theo anh Hoang'!$B$26:$E$26</c:f>
              <c:numCache>
                <c:formatCode>_(* #,##0_);_(* \(#,##0\);_(* "-"??_);_(@_)</c:formatCode>
                <c:ptCount val="4"/>
                <c:pt idx="0">
                  <c:v>86.156999999999996</c:v>
                </c:pt>
                <c:pt idx="1">
                  <c:v>85.203999999999994</c:v>
                </c:pt>
                <c:pt idx="2">
                  <c:v>107.86799999999999</c:v>
                </c:pt>
                <c:pt idx="3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9A-4B0F-8AA5-BFEE5157497E}"/>
            </c:ext>
          </c:extLst>
        </c:ser>
        <c:ser>
          <c:idx val="3"/>
          <c:order val="3"/>
          <c:tx>
            <c:strRef>
              <c:f>'theo anh Hoang'!$A$27</c:f>
              <c:strCache>
                <c:ptCount val="1"/>
                <c:pt idx="0">
                  <c:v>Chai PET B5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'theo anh Hoang'!$B$23:$E$23</c:f>
              <c:strCache>
                <c:ptCount val="4"/>
                <c:pt idx="0">
                  <c:v>Năm 2023</c:v>
                </c:pt>
                <c:pt idx="1">
                  <c:v>Năm 2024</c:v>
                </c:pt>
                <c:pt idx="2">
                  <c:v>Năm 2025</c:v>
                </c:pt>
                <c:pt idx="3">
                  <c:v>Năm 2026</c:v>
                </c:pt>
              </c:strCache>
            </c:strRef>
          </c:cat>
          <c:val>
            <c:numRef>
              <c:f>'theo anh Hoang'!$B$27:$E$27</c:f>
              <c:numCache>
                <c:formatCode>_(* #,##0_);_(* \(#,##0\);_(* "-"??_);_(@_)</c:formatCode>
                <c:ptCount val="4"/>
                <c:pt idx="0">
                  <c:v>151.214</c:v>
                </c:pt>
                <c:pt idx="1">
                  <c:v>127.968</c:v>
                </c:pt>
                <c:pt idx="2">
                  <c:v>142.369</c:v>
                </c:pt>
                <c:pt idx="3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49A-4B0F-8AA5-BFEE5157497E}"/>
            </c:ext>
          </c:extLst>
        </c:ser>
        <c:ser>
          <c:idx val="4"/>
          <c:order val="4"/>
          <c:tx>
            <c:strRef>
              <c:f>'theo anh Hoang'!$A$28</c:f>
              <c:strCache>
                <c:ptCount val="1"/>
                <c:pt idx="0">
                  <c:v>Chai PET B6.2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'theo anh Hoang'!$B$23:$E$23</c:f>
              <c:strCache>
                <c:ptCount val="4"/>
                <c:pt idx="0">
                  <c:v>Năm 2023</c:v>
                </c:pt>
                <c:pt idx="1">
                  <c:v>Năm 2024</c:v>
                </c:pt>
                <c:pt idx="2">
                  <c:v>Năm 2025</c:v>
                </c:pt>
                <c:pt idx="3">
                  <c:v>Năm 2026</c:v>
                </c:pt>
              </c:strCache>
            </c:strRef>
          </c:cat>
          <c:val>
            <c:numRef>
              <c:f>'theo anh Hoang'!$B$28:$E$28</c:f>
              <c:numCache>
                <c:formatCode>_(* #,##0_);_(* \(#,##0\);_(* "-"??_);_(@_)</c:formatCode>
                <c:ptCount val="4"/>
                <c:pt idx="0">
                  <c:v>981.34199999999998</c:v>
                </c:pt>
                <c:pt idx="1">
                  <c:v>1162.9690000000001</c:v>
                </c:pt>
                <c:pt idx="2">
                  <c:v>1468.557</c:v>
                </c:pt>
                <c:pt idx="3">
                  <c:v>1920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49A-4B0F-8AA5-BFEE5157497E}"/>
            </c:ext>
          </c:extLst>
        </c:ser>
        <c:ser>
          <c:idx val="5"/>
          <c:order val="5"/>
          <c:tx>
            <c:strRef>
              <c:f>'theo anh Hoang'!$A$29</c:f>
              <c:strCache>
                <c:ptCount val="1"/>
                <c:pt idx="0">
                  <c:v>Cổ Chai PET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'theo anh Hoang'!$B$23:$E$23</c:f>
              <c:strCache>
                <c:ptCount val="4"/>
                <c:pt idx="0">
                  <c:v>Năm 2023</c:v>
                </c:pt>
                <c:pt idx="1">
                  <c:v>Năm 2024</c:v>
                </c:pt>
                <c:pt idx="2">
                  <c:v>Năm 2025</c:v>
                </c:pt>
                <c:pt idx="3">
                  <c:v>Năm 2026</c:v>
                </c:pt>
              </c:strCache>
            </c:strRef>
          </c:cat>
          <c:val>
            <c:numRef>
              <c:f>'theo anh Hoang'!$B$29:$E$29</c:f>
              <c:numCache>
                <c:formatCode>_(* #,##0_);_(* \(#,##0\);_(* "-"??_);_(@_)</c:formatCode>
                <c:ptCount val="4"/>
                <c:pt idx="3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49A-4B0F-8AA5-BFEE5157497E}"/>
            </c:ext>
          </c:extLst>
        </c:ser>
        <c:ser>
          <c:idx val="6"/>
          <c:order val="6"/>
          <c:tx>
            <c:strRef>
              <c:f>'theo anh Hoang'!$A$30</c:f>
              <c:strCache>
                <c:ptCount val="1"/>
                <c:pt idx="0">
                  <c:v>Nắp HD ép các màu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'theo anh Hoang'!$B$23:$E$23</c:f>
              <c:strCache>
                <c:ptCount val="4"/>
                <c:pt idx="0">
                  <c:v>Năm 2023</c:v>
                </c:pt>
                <c:pt idx="1">
                  <c:v>Năm 2024</c:v>
                </c:pt>
                <c:pt idx="2">
                  <c:v>Năm 2025</c:v>
                </c:pt>
                <c:pt idx="3">
                  <c:v>Năm 2026</c:v>
                </c:pt>
              </c:strCache>
            </c:strRef>
          </c:cat>
          <c:val>
            <c:numRef>
              <c:f>'theo anh Hoang'!$B$30:$E$30</c:f>
              <c:numCache>
                <c:formatCode>_(* #,##0_);_(* \(#,##0\);_(* "-"??_);_(@_)</c:formatCode>
                <c:ptCount val="4"/>
                <c:pt idx="0">
                  <c:v>215.74600000000001</c:v>
                </c:pt>
                <c:pt idx="1">
                  <c:v>194.8604</c:v>
                </c:pt>
                <c:pt idx="2">
                  <c:v>131.45599999999999</c:v>
                </c:pt>
                <c:pt idx="3">
                  <c:v>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49A-4B0F-8AA5-BFEE51574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62667472"/>
        <c:axId val="1062667952"/>
      </c:barChart>
      <c:catAx>
        <c:axId val="1062667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Đvt: Tấn</a:t>
                </a:r>
              </a:p>
            </c:rich>
          </c:tx>
          <c:layout>
            <c:manualLayout>
              <c:xMode val="edge"/>
              <c:yMode val="edge"/>
              <c:x val="0.79194466316710399"/>
              <c:y val="5.162693205016039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62667952"/>
        <c:crosses val="autoZero"/>
        <c:auto val="1"/>
        <c:lblAlgn val="ctr"/>
        <c:lblOffset val="100"/>
        <c:noMultiLvlLbl val="0"/>
      </c:catAx>
      <c:valAx>
        <c:axId val="106266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62667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/>
              <a:t>Doanh thu bình</a:t>
            </a:r>
            <a:r>
              <a:rPr lang="en-US" b="1" baseline="0"/>
              <a:t> quân đầu người / năm</a:t>
            </a:r>
            <a:endParaRPr lang="en-US" b="1"/>
          </a:p>
        </c:rich>
      </c:tx>
      <c:layout>
        <c:manualLayout>
          <c:xMode val="edge"/>
          <c:yMode val="edge"/>
          <c:x val="7.273010920436819E-2"/>
          <c:y val="2.8915662650602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'theo anh Hoang'!$A$46</c:f>
              <c:strCache>
                <c:ptCount val="1"/>
                <c:pt idx="0">
                  <c:v>Công ty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'theo anh Hoang'!$B$45:$E$45</c:f>
              <c:strCache>
                <c:ptCount val="4"/>
                <c:pt idx="0">
                  <c:v>Năm 2023</c:v>
                </c:pt>
                <c:pt idx="1">
                  <c:v>Năm 2024</c:v>
                </c:pt>
                <c:pt idx="2">
                  <c:v>Năm 2025</c:v>
                </c:pt>
                <c:pt idx="3">
                  <c:v>Năm 2026</c:v>
                </c:pt>
              </c:strCache>
            </c:strRef>
          </c:cat>
          <c:val>
            <c:numRef>
              <c:f>'theo anh Hoang'!$B$46:$E$46</c:f>
              <c:numCache>
                <c:formatCode>_(* #,##0.0_);_(* \(#,##0.0\);_(* "-"??_);_(@_)</c:formatCode>
                <c:ptCount val="4"/>
                <c:pt idx="0">
                  <c:v>1.4092083083749998</c:v>
                </c:pt>
                <c:pt idx="1">
                  <c:v>1.5208796752040816</c:v>
                </c:pt>
                <c:pt idx="2">
                  <c:v>1.931390028735849</c:v>
                </c:pt>
                <c:pt idx="3">
                  <c:v>1.8443333333333332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AF-448F-AFDF-E8F96E9013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6149055"/>
        <c:axId val="1826151455"/>
      </c:barChart>
      <c:catAx>
        <c:axId val="18261490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Đvt:</a:t>
                </a:r>
                <a:r>
                  <a:rPr lang="en-US" baseline="0"/>
                  <a:t> Tỷ vnđ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81670175783409293"/>
              <c:y val="0.11084337349397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26151455"/>
        <c:crosses val="autoZero"/>
        <c:auto val="1"/>
        <c:lblAlgn val="ctr"/>
        <c:lblOffset val="100"/>
        <c:noMultiLvlLbl val="0"/>
      </c:catAx>
      <c:valAx>
        <c:axId val="182615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_);_(* \(#,##0.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26149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/>
              <a:t>Sản</a:t>
            </a:r>
            <a:r>
              <a:rPr lang="en-US" b="1" baseline="0"/>
              <a:t> lượng </a:t>
            </a:r>
            <a:r>
              <a:rPr lang="en-US" b="1"/>
              <a:t>bình</a:t>
            </a:r>
            <a:r>
              <a:rPr lang="en-US" b="1" baseline="0"/>
              <a:t> quân đầu người / năm</a:t>
            </a:r>
            <a:endParaRPr lang="en-US" b="1"/>
          </a:p>
        </c:rich>
      </c:tx>
      <c:layout>
        <c:manualLayout>
          <c:xMode val="edge"/>
          <c:yMode val="edge"/>
          <c:x val="7.273010920436819E-2"/>
          <c:y val="2.89156626506024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'theo anh Hoang'!$A$65</c:f>
              <c:strCache>
                <c:ptCount val="1"/>
                <c:pt idx="0">
                  <c:v>Công ty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'theo anh Hoang'!$B$64:$E$64</c:f>
              <c:strCache>
                <c:ptCount val="4"/>
                <c:pt idx="0">
                  <c:v>Năm 2023</c:v>
                </c:pt>
                <c:pt idx="1">
                  <c:v>Năm 2024</c:v>
                </c:pt>
                <c:pt idx="2">
                  <c:v>Năm 2025</c:v>
                </c:pt>
                <c:pt idx="3">
                  <c:v>Năm 2026</c:v>
                </c:pt>
              </c:strCache>
            </c:strRef>
          </c:cat>
          <c:val>
            <c:numRef>
              <c:f>'theo anh Hoang'!$B$65:$E$65</c:f>
              <c:numCache>
                <c:formatCode>_(* #,##0_);_(* \(#,##0\);_(* "-"??_);_(@_)</c:formatCode>
                <c:ptCount val="4"/>
                <c:pt idx="0">
                  <c:v>100.94233035714285</c:v>
                </c:pt>
                <c:pt idx="1">
                  <c:v>99.89833469387753</c:v>
                </c:pt>
                <c:pt idx="2">
                  <c:v>116.20471698113208</c:v>
                </c:pt>
                <c:pt idx="3">
                  <c:v>129.38181818181818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9EC-4008-AF38-3C2ABF18C4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6149055"/>
        <c:axId val="1826151455"/>
      </c:barChart>
      <c:catAx>
        <c:axId val="18261490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Đvt:</a:t>
                </a:r>
                <a:r>
                  <a:rPr lang="en-US" baseline="0"/>
                  <a:t> Tấn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83533525700591771"/>
              <c:y val="5.8337248416740269E-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26151455"/>
        <c:crosses val="autoZero"/>
        <c:auto val="1"/>
        <c:lblAlgn val="ctr"/>
        <c:lblOffset val="100"/>
        <c:noMultiLvlLbl val="0"/>
      </c:catAx>
      <c:valAx>
        <c:axId val="182615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26149055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/>
              <a:t>Doanh thu nhóm</a:t>
            </a:r>
            <a:r>
              <a:rPr lang="en-US" b="1" baseline="0"/>
              <a:t> PET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'kt tu lam'!$A$3</c:f>
              <c:strCache>
                <c:ptCount val="1"/>
                <c:pt idx="0">
                  <c:v>Nhóm PET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solidFill>
                <a:schemeClr val="tx2">
                  <a:lumMod val="50000"/>
                  <a:lumOff val="50000"/>
                </a:schemeClr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-5.891120965005674E-3"/>
                  <c:y val="-0.2282732877729906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820-423C-9F63-76559A330090}"/>
                </c:ext>
              </c:extLst>
            </c:dLbl>
            <c:dLbl>
              <c:idx val="1"/>
              <c:layout>
                <c:manualLayout>
                  <c:x val="2.6207719577346041E-5"/>
                  <c:y val="-0.2154754122715792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820-423C-9F63-76559A330090}"/>
                </c:ext>
              </c:extLst>
            </c:dLbl>
            <c:dLbl>
              <c:idx val="2"/>
              <c:layout>
                <c:manualLayout>
                  <c:x val="-2.945560482502837E-3"/>
                  <c:y val="-0.268000668548506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820-423C-9F63-76559A330090}"/>
                </c:ext>
              </c:extLst>
            </c:dLbl>
            <c:dLbl>
              <c:idx val="3"/>
              <c:layout>
                <c:manualLayout>
                  <c:x val="0"/>
                  <c:y val="-0.2875263705244391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820-423C-9F63-76559A33009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'kt tu lam'!$B$2:$E$2</c:f>
              <c:strCache>
                <c:ptCount val="4"/>
                <c:pt idx="0">
                  <c:v>Năm 2023</c:v>
                </c:pt>
                <c:pt idx="1">
                  <c:v>Năm 2024</c:v>
                </c:pt>
                <c:pt idx="2">
                  <c:v>Năm 2025</c:v>
                </c:pt>
                <c:pt idx="3">
                  <c:v>Năm 2026</c:v>
                </c:pt>
              </c:strCache>
            </c:strRef>
          </c:cat>
          <c:val>
            <c:numRef>
              <c:f>'kt tu lam'!$B$3:$E$3</c:f>
              <c:numCache>
                <c:formatCode>_(* #,##0_);_(* \(#,##0\);_(* "-"??_);_(@_)</c:formatCode>
                <c:ptCount val="4"/>
                <c:pt idx="0">
                  <c:v>78.915665268999987</c:v>
                </c:pt>
                <c:pt idx="1">
                  <c:v>74.523104085</c:v>
                </c:pt>
                <c:pt idx="2">
                  <c:v>102.36367152299999</c:v>
                </c:pt>
                <c:pt idx="3">
                  <c:v>99.593999999999994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A1-4A5B-96CB-32064A8612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25250127"/>
        <c:axId val="1725260687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'kt tu lam'!$A$4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'kt tu lam'!$B$2:$E$2</c15:sqref>
                        </c15:formulaRef>
                      </c:ext>
                    </c:extLst>
                    <c:strCache>
                      <c:ptCount val="4"/>
                      <c:pt idx="0">
                        <c:v>Năm 2023</c:v>
                      </c:pt>
                      <c:pt idx="1">
                        <c:v>Năm 2024</c:v>
                      </c:pt>
                      <c:pt idx="2">
                        <c:v>Năm 2025</c:v>
                      </c:pt>
                      <c:pt idx="3">
                        <c:v>Năm 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'kt tu lam'!$B$4:$E$4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77A1-4A5B-96CB-32064A86120C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'kt tu lam'!$A$5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rgbClr val="FFFF00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'kt tu lam'!$B$2:$E$2</c15:sqref>
                        </c15:formulaRef>
                      </c:ext>
                    </c:extLst>
                    <c:strCache>
                      <c:ptCount val="4"/>
                      <c:pt idx="0">
                        <c:v>Năm 2023</c:v>
                      </c:pt>
                      <c:pt idx="1">
                        <c:v>Năm 2024</c:v>
                      </c:pt>
                      <c:pt idx="2">
                        <c:v>Năm 2025</c:v>
                      </c:pt>
                      <c:pt idx="3">
                        <c:v>Năm 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'kt tu lam'!$B$5:$E$5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7A1-4A5B-96CB-32064A86120C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'kt tu lam'!$A$6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rgbClr val="92D050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'kt tu lam'!$B$2:$E$2</c15:sqref>
                        </c15:formulaRef>
                      </c:ext>
                    </c:extLst>
                    <c:strCache>
                      <c:ptCount val="4"/>
                      <c:pt idx="0">
                        <c:v>Năm 2023</c:v>
                      </c:pt>
                      <c:pt idx="1">
                        <c:v>Năm 2024</c:v>
                      </c:pt>
                      <c:pt idx="2">
                        <c:v>Năm 2025</c:v>
                      </c:pt>
                      <c:pt idx="3">
                        <c:v>Năm 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'kt tu lam'!$B$6:$E$6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7A1-4A5B-96CB-32064A86120C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'kt tu lam'!$A$7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'kt tu lam'!$B$2:$E$2</c15:sqref>
                        </c15:formulaRef>
                      </c:ext>
                    </c:extLst>
                    <c:strCache>
                      <c:ptCount val="4"/>
                      <c:pt idx="0">
                        <c:v>Năm 2023</c:v>
                      </c:pt>
                      <c:pt idx="1">
                        <c:v>Năm 2024</c:v>
                      </c:pt>
                      <c:pt idx="2">
                        <c:v>Năm 2025</c:v>
                      </c:pt>
                      <c:pt idx="3">
                        <c:v>Năm 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'kt tu lam'!$B$7:$E$7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7A1-4A5B-96CB-32064A86120C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'kt tu lam'!$A$8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rgbClr val="00B050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'kt tu lam'!$B$2:$E$2</c15:sqref>
                        </c15:formulaRef>
                      </c:ext>
                    </c:extLst>
                    <c:strCache>
                      <c:ptCount val="4"/>
                      <c:pt idx="0">
                        <c:v>Năm 2023</c:v>
                      </c:pt>
                      <c:pt idx="1">
                        <c:v>Năm 2024</c:v>
                      </c:pt>
                      <c:pt idx="2">
                        <c:v>Năm 2025</c:v>
                      </c:pt>
                      <c:pt idx="3">
                        <c:v>Năm 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'kt tu lam'!$B$8:$E$8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7A1-4A5B-96CB-32064A86120C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'kt tu lam'!$A$9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bg1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'kt tu lam'!$B$2:$E$2</c15:sqref>
                        </c15:formulaRef>
                      </c:ext>
                    </c:extLst>
                    <c:strCache>
                      <c:ptCount val="4"/>
                      <c:pt idx="0">
                        <c:v>Năm 2023</c:v>
                      </c:pt>
                      <c:pt idx="1">
                        <c:v>Năm 2024</c:v>
                      </c:pt>
                      <c:pt idx="2">
                        <c:v>Năm 2025</c:v>
                      </c:pt>
                      <c:pt idx="3">
                        <c:v>Năm 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'kt tu lam'!$B$9:$E$9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7A1-4A5B-96CB-32064A86120C}"/>
                  </c:ext>
                </c:extLst>
              </c15:ser>
            </c15:filteredBarSeries>
          </c:ext>
        </c:extLst>
      </c:barChart>
      <c:catAx>
        <c:axId val="17252501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Đvt:</a:t>
                </a:r>
                <a:r>
                  <a:rPr lang="en-US" baseline="0"/>
                  <a:t> Tỷ vnđ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76520113751661245"/>
              <c:y val="3.157771945173525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25260687"/>
        <c:crosses val="autoZero"/>
        <c:auto val="1"/>
        <c:lblAlgn val="ctr"/>
        <c:lblOffset val="100"/>
        <c:noMultiLvlLbl val="0"/>
      </c:catAx>
      <c:valAx>
        <c:axId val="1725260687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25250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115829407786909"/>
          <c:y val="0.77509092193072282"/>
          <c:w val="0.78668156655090604"/>
          <c:h val="0.207841177924508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/>
              <a:t>Sản lượng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'kt tu lam'!$A$24</c:f>
              <c:strCache>
                <c:ptCount val="1"/>
                <c:pt idx="0">
                  <c:v>Nhóm PET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3.0316850393700494E-3"/>
                  <c:y val="-0.2064034538296349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A59-44BB-A586-E417CC952486}"/>
                </c:ext>
              </c:extLst>
            </c:dLbl>
            <c:dLbl>
              <c:idx val="1"/>
              <c:layout>
                <c:manualLayout>
                  <c:x val="0"/>
                  <c:y val="-0.1822619899785254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A59-44BB-A586-E417CC952486}"/>
                </c:ext>
              </c:extLst>
            </c:dLbl>
            <c:dLbl>
              <c:idx val="2"/>
              <c:layout>
                <c:manualLayout>
                  <c:x val="3.3131338582677167E-3"/>
                  <c:y val="-0.2167018611309950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A59-44BB-A586-E417CC952486}"/>
                </c:ext>
              </c:extLst>
            </c:dLbl>
            <c:dLbl>
              <c:idx val="3"/>
              <c:layout>
                <c:manualLayout>
                  <c:x val="-1.1733197790431226E-16"/>
                  <c:y val="-0.2531813707945597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A59-44BB-A586-E417CC95248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'kt tu lam'!$B$23:$E$23</c:f>
              <c:strCache>
                <c:ptCount val="4"/>
                <c:pt idx="0">
                  <c:v>Năm 2023</c:v>
                </c:pt>
                <c:pt idx="1">
                  <c:v>Năm 2024</c:v>
                </c:pt>
                <c:pt idx="2">
                  <c:v>Năm 2025</c:v>
                </c:pt>
                <c:pt idx="3">
                  <c:v>Năm 2026</c:v>
                </c:pt>
              </c:strCache>
            </c:strRef>
          </c:cat>
          <c:val>
            <c:numRef>
              <c:f>'kt tu lam'!$B$24:$E$24</c:f>
              <c:numCache>
                <c:formatCode>_(* #,##0_);_(* \(#,##0\);_(* "-"??_);_(@_)</c:formatCode>
                <c:ptCount val="4"/>
                <c:pt idx="0">
                  <c:v>5652.7704999999996</c:v>
                </c:pt>
                <c:pt idx="1">
                  <c:v>4895.018399999999</c:v>
                </c:pt>
                <c:pt idx="2">
                  <c:v>6158.85</c:v>
                </c:pt>
                <c:pt idx="3">
                  <c:v>7116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59-44BB-A586-E417CC952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62667472"/>
        <c:axId val="1062667952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'kt tu lam'!$A$25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'kt tu lam'!$B$23:$E$23</c15:sqref>
                        </c15:formulaRef>
                      </c:ext>
                    </c:extLst>
                    <c:strCache>
                      <c:ptCount val="4"/>
                      <c:pt idx="0">
                        <c:v>Năm 2023</c:v>
                      </c:pt>
                      <c:pt idx="1">
                        <c:v>Năm 2024</c:v>
                      </c:pt>
                      <c:pt idx="2">
                        <c:v>Năm 2025</c:v>
                      </c:pt>
                      <c:pt idx="3">
                        <c:v>Năm 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'kt tu lam'!$B$25:$E$25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7A59-44BB-A586-E417CC952486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'kt tu lam'!$A$26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rgbClr val="FFFF00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'kt tu lam'!$B$23:$E$23</c15:sqref>
                        </c15:formulaRef>
                      </c:ext>
                    </c:extLst>
                    <c:strCache>
                      <c:ptCount val="4"/>
                      <c:pt idx="0">
                        <c:v>Năm 2023</c:v>
                      </c:pt>
                      <c:pt idx="1">
                        <c:v>Năm 2024</c:v>
                      </c:pt>
                      <c:pt idx="2">
                        <c:v>Năm 2025</c:v>
                      </c:pt>
                      <c:pt idx="3">
                        <c:v>Năm 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'kt tu lam'!$B$26:$E$26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A59-44BB-A586-E417CC95248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'kt tu lam'!$A$27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rgbClr val="92D050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'kt tu lam'!$B$23:$E$23</c15:sqref>
                        </c15:formulaRef>
                      </c:ext>
                    </c:extLst>
                    <c:strCache>
                      <c:ptCount val="4"/>
                      <c:pt idx="0">
                        <c:v>Năm 2023</c:v>
                      </c:pt>
                      <c:pt idx="1">
                        <c:v>Năm 2024</c:v>
                      </c:pt>
                      <c:pt idx="2">
                        <c:v>Năm 2025</c:v>
                      </c:pt>
                      <c:pt idx="3">
                        <c:v>Năm 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'kt tu lam'!$B$27:$E$27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A59-44BB-A586-E417CC95248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'kt tu lam'!$A$28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'kt tu lam'!$B$23:$E$23</c15:sqref>
                        </c15:formulaRef>
                      </c:ext>
                    </c:extLst>
                    <c:strCache>
                      <c:ptCount val="4"/>
                      <c:pt idx="0">
                        <c:v>Năm 2023</c:v>
                      </c:pt>
                      <c:pt idx="1">
                        <c:v>Năm 2024</c:v>
                      </c:pt>
                      <c:pt idx="2">
                        <c:v>Năm 2025</c:v>
                      </c:pt>
                      <c:pt idx="3">
                        <c:v>Năm 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'kt tu lam'!$B$28:$E$28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A59-44BB-A586-E417CC952486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'kt tu lam'!$A$29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rgbClr val="00B050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'kt tu lam'!$B$23:$E$23</c15:sqref>
                        </c15:formulaRef>
                      </c:ext>
                    </c:extLst>
                    <c:strCache>
                      <c:ptCount val="4"/>
                      <c:pt idx="0">
                        <c:v>Năm 2023</c:v>
                      </c:pt>
                      <c:pt idx="1">
                        <c:v>Năm 2024</c:v>
                      </c:pt>
                      <c:pt idx="2">
                        <c:v>Năm 2025</c:v>
                      </c:pt>
                      <c:pt idx="3">
                        <c:v>Năm 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'kt tu lam'!$B$29:$E$29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A59-44BB-A586-E417CC95248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'kt tu lam'!$A$30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bg1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'kt tu lam'!$B$23:$E$23</c15:sqref>
                        </c15:formulaRef>
                      </c:ext>
                    </c:extLst>
                    <c:strCache>
                      <c:ptCount val="4"/>
                      <c:pt idx="0">
                        <c:v>Năm 2023</c:v>
                      </c:pt>
                      <c:pt idx="1">
                        <c:v>Năm 2024</c:v>
                      </c:pt>
                      <c:pt idx="2">
                        <c:v>Năm 2025</c:v>
                      </c:pt>
                      <c:pt idx="3">
                        <c:v>Năm 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'kt tu lam'!$B$30:$E$30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A59-44BB-A586-E417CC952486}"/>
                  </c:ext>
                </c:extLst>
              </c15:ser>
            </c15:filteredBarSeries>
          </c:ext>
        </c:extLst>
      </c:barChart>
      <c:catAx>
        <c:axId val="1062667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Đvt: Tấn</a:t>
                </a:r>
              </a:p>
            </c:rich>
          </c:tx>
          <c:layout>
            <c:manualLayout>
              <c:xMode val="edge"/>
              <c:yMode val="edge"/>
              <c:x val="0.79194466316710399"/>
              <c:y val="5.162693205016039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62667952"/>
        <c:crosses val="autoZero"/>
        <c:auto val="1"/>
        <c:lblAlgn val="ctr"/>
        <c:lblOffset val="100"/>
        <c:noMultiLvlLbl val="0"/>
      </c:catAx>
      <c:valAx>
        <c:axId val="1062667952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62667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/>
              <a:t>Doanh thu bình</a:t>
            </a:r>
            <a:r>
              <a:rPr lang="en-US" b="1" baseline="0"/>
              <a:t> quân đầu người / năm</a:t>
            </a:r>
            <a:endParaRPr lang="en-US" b="1"/>
          </a:p>
        </c:rich>
      </c:tx>
      <c:layout>
        <c:manualLayout>
          <c:xMode val="edge"/>
          <c:yMode val="edge"/>
          <c:x val="7.273010920436819E-2"/>
          <c:y val="2.8915662650602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'kt tu lam'!$A$46</c:f>
              <c:strCache>
                <c:ptCount val="1"/>
                <c:pt idx="0">
                  <c:v>Công ty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'kt tu lam'!$B$45:$E$45</c:f>
              <c:strCache>
                <c:ptCount val="4"/>
                <c:pt idx="0">
                  <c:v>Năm 2023</c:v>
                </c:pt>
                <c:pt idx="1">
                  <c:v>Năm 2024</c:v>
                </c:pt>
                <c:pt idx="2">
                  <c:v>Năm 2025</c:v>
                </c:pt>
                <c:pt idx="3">
                  <c:v>Năm 2026</c:v>
                </c:pt>
              </c:strCache>
            </c:strRef>
          </c:cat>
          <c:val>
            <c:numRef>
              <c:f>'kt tu lam'!$B$46:$E$46</c:f>
              <c:numCache>
                <c:formatCode>_(* #,##0.0_);_(* \(#,##0.0\);_(* "-"??_);_(@_)</c:formatCode>
                <c:ptCount val="4"/>
                <c:pt idx="0">
                  <c:v>1.4092083083749998</c:v>
                </c:pt>
                <c:pt idx="1">
                  <c:v>1.5208796752040816</c:v>
                </c:pt>
                <c:pt idx="2">
                  <c:v>1.931390028735849</c:v>
                </c:pt>
                <c:pt idx="3">
                  <c:v>1.8443333333333332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F7-4C29-BD48-E5E3E7D34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6149055"/>
        <c:axId val="1826151455"/>
      </c:barChart>
      <c:catAx>
        <c:axId val="18261490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Đvt:</a:t>
                </a:r>
                <a:r>
                  <a:rPr lang="en-US" baseline="0"/>
                  <a:t> Tỷ vnđ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81670175783409293"/>
              <c:y val="0.11084337349397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26151455"/>
        <c:crosses val="autoZero"/>
        <c:auto val="1"/>
        <c:lblAlgn val="ctr"/>
        <c:lblOffset val="100"/>
        <c:noMultiLvlLbl val="0"/>
      </c:catAx>
      <c:valAx>
        <c:axId val="1826151455"/>
        <c:scaling>
          <c:orientation val="minMax"/>
        </c:scaling>
        <c:delete val="0"/>
        <c:axPos val="l"/>
        <c:numFmt formatCode="_(* #,##0.0_);_(* \(#,##0.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26149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/>
              <a:t>Sản</a:t>
            </a:r>
            <a:r>
              <a:rPr lang="en-US" b="1" baseline="0"/>
              <a:t> lượng </a:t>
            </a:r>
            <a:r>
              <a:rPr lang="en-US" b="1"/>
              <a:t>bình</a:t>
            </a:r>
            <a:r>
              <a:rPr lang="en-US" b="1" baseline="0"/>
              <a:t> quân đầu người / năm</a:t>
            </a:r>
            <a:endParaRPr lang="en-US" b="1"/>
          </a:p>
        </c:rich>
      </c:tx>
      <c:layout>
        <c:manualLayout>
          <c:xMode val="edge"/>
          <c:yMode val="edge"/>
          <c:x val="7.273010920436819E-2"/>
          <c:y val="2.89156626506024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'kt tu lam'!$A$65</c:f>
              <c:strCache>
                <c:ptCount val="1"/>
                <c:pt idx="0">
                  <c:v>Công ty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'kt tu lam'!$B$64:$E$64</c:f>
              <c:strCache>
                <c:ptCount val="4"/>
                <c:pt idx="0">
                  <c:v>Năm 2023</c:v>
                </c:pt>
                <c:pt idx="1">
                  <c:v>Năm 2024</c:v>
                </c:pt>
                <c:pt idx="2">
                  <c:v>Năm 2025</c:v>
                </c:pt>
                <c:pt idx="3">
                  <c:v>Năm 2026</c:v>
                </c:pt>
              </c:strCache>
            </c:strRef>
          </c:cat>
          <c:val>
            <c:numRef>
              <c:f>'kt tu lam'!$B$65:$E$65</c:f>
              <c:numCache>
                <c:formatCode>_(* #,##0_);_(* \(#,##0\);_(* "-"??_);_(@_)</c:formatCode>
                <c:ptCount val="4"/>
                <c:pt idx="0">
                  <c:v>100.94233035714285</c:v>
                </c:pt>
                <c:pt idx="1">
                  <c:v>99.89833469387753</c:v>
                </c:pt>
                <c:pt idx="2">
                  <c:v>116.20471698113208</c:v>
                </c:pt>
                <c:pt idx="3">
                  <c:v>131.77777777777777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B9-4DFD-96A8-A8DBC1EDB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6149055"/>
        <c:axId val="1826151455"/>
      </c:barChart>
      <c:catAx>
        <c:axId val="18261490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Đvt:</a:t>
                </a:r>
                <a:r>
                  <a:rPr lang="en-US" baseline="0"/>
                  <a:t> Tấn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83533525700591771"/>
              <c:y val="5.8337248416740269E-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26151455"/>
        <c:crosses val="autoZero"/>
        <c:auto val="1"/>
        <c:lblAlgn val="ctr"/>
        <c:lblOffset val="100"/>
        <c:noMultiLvlLbl val="0"/>
      </c:catAx>
      <c:valAx>
        <c:axId val="182615145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26149055"/>
        <c:crosses val="autoZero"/>
        <c:crossBetween val="between"/>
      </c:valAx>
    </c:plotArea>
    <c:plotVisOnly val="1"/>
    <c:dispBlanksAs val="gap"/>
    <c:showDLblsOverMax val="0"/>
  </c:chart>
  <c:spPr>
    <a:ln>
      <a:solidFill>
        <a:schemeClr val="bg1">
          <a:lumMod val="85000"/>
        </a:schemeClr>
      </a:solidFill>
    </a:ln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/>
              <a:t>Doanh thu-</a:t>
            </a:r>
            <a:r>
              <a:rPr lang="en-US" sz="1200" b="1" baseline="0"/>
              <a:t> Ebitda - Lợi nhuận sau thuế</a:t>
            </a:r>
            <a:endParaRPr lang="en-US" sz="1200" b="1"/>
          </a:p>
        </c:rich>
      </c:tx>
      <c:layout>
        <c:manualLayout>
          <c:xMode val="edge"/>
          <c:yMode val="edge"/>
          <c:x val="5.3063904359516037E-2"/>
          <c:y val="2.0751999023377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551901286729405"/>
          <c:y val="0.17987100449653096"/>
          <c:w val="0.68435903591319391"/>
          <c:h val="0.367987141142241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'kt tu lam'!$A$83</c:f>
              <c:strCache>
                <c:ptCount val="1"/>
                <c:pt idx="0">
                  <c:v>Doanh thu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'kt tu lam'!$B$82:$E$82</c:f>
              <c:strCache>
                <c:ptCount val="4"/>
                <c:pt idx="0">
                  <c:v>Năm 2023</c:v>
                </c:pt>
                <c:pt idx="1">
                  <c:v>Năm 2024</c:v>
                </c:pt>
                <c:pt idx="2">
                  <c:v>Năm 2025</c:v>
                </c:pt>
                <c:pt idx="3">
                  <c:v>Năm 2026</c:v>
                </c:pt>
              </c:strCache>
            </c:strRef>
          </c:cat>
          <c:val>
            <c:numRef>
              <c:f>'kt tu lam'!$B$83:$E$83</c:f>
              <c:numCache>
                <c:formatCode>0_);[Red]\(0\)</c:formatCode>
                <c:ptCount val="4"/>
                <c:pt idx="0">
                  <c:v>78.915665268999987</c:v>
                </c:pt>
                <c:pt idx="1">
                  <c:v>74.523104085</c:v>
                </c:pt>
                <c:pt idx="2">
                  <c:v>102.36367152299999</c:v>
                </c:pt>
                <c:pt idx="3">
                  <c:v>99.593999999999994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C4-4740-9AAE-BF110A969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6038655"/>
        <c:axId val="1826042495"/>
      </c:barChart>
      <c:lineChart>
        <c:grouping val="standard"/>
        <c:varyColors val="0"/>
        <c:ser>
          <c:idx val="1"/>
          <c:order val="1"/>
          <c:tx>
            <c:strRef>
              <c:f>'kt tu lam'!$A$84</c:f>
              <c:strCache>
                <c:ptCount val="1"/>
                <c:pt idx="0">
                  <c:v>EBITDA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6585365853658534E-2"/>
                  <c:y val="-1.03359173126614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D46-46C9-86FB-B0EC8A56DE66}"/>
                </c:ext>
              </c:extLst>
            </c:dLbl>
            <c:dLbl>
              <c:idx val="1"/>
              <c:layout>
                <c:manualLayout>
                  <c:x val="-6.097560975609756E-2"/>
                  <c:y val="-4.65116279069767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D46-46C9-86FB-B0EC8A56DE66}"/>
                </c:ext>
              </c:extLst>
            </c:dLbl>
            <c:dLbl>
              <c:idx val="2"/>
              <c:layout>
                <c:manualLayout>
                  <c:x val="-3.6585365853658645E-2"/>
                  <c:y val="5.16795865633074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D46-46C9-86FB-B0EC8A56DE66}"/>
                </c:ext>
              </c:extLst>
            </c:dLbl>
            <c:dLbl>
              <c:idx val="3"/>
              <c:layout>
                <c:manualLayout>
                  <c:x val="1.1794909357260462E-2"/>
                  <c:y val="-5.6202796079061546E-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D46-46C9-86FB-B0EC8A56DE6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'kt tu lam'!$B$82:$E$82</c:f>
              <c:strCache>
                <c:ptCount val="4"/>
                <c:pt idx="0">
                  <c:v>Năm 2023</c:v>
                </c:pt>
                <c:pt idx="1">
                  <c:v>Năm 2024</c:v>
                </c:pt>
                <c:pt idx="2">
                  <c:v>Năm 2025</c:v>
                </c:pt>
                <c:pt idx="3">
                  <c:v>Năm 2026</c:v>
                </c:pt>
              </c:strCache>
            </c:strRef>
          </c:cat>
          <c:val>
            <c:numRef>
              <c:f>'kt tu lam'!$B$84:$E$84</c:f>
              <c:numCache>
                <c:formatCode>0.0_);[Red]\(0.0\)</c:formatCode>
                <c:ptCount val="4"/>
                <c:pt idx="0">
                  <c:v>0.61283016599999995</c:v>
                </c:pt>
                <c:pt idx="1">
                  <c:v>-0.88911282400000002</c:v>
                </c:pt>
                <c:pt idx="2">
                  <c:v>6.2567781159999996</c:v>
                </c:pt>
                <c:pt idx="3">
                  <c:v>3.1629999999999998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C4-4740-9AAE-BF110A969F86}"/>
            </c:ext>
          </c:extLst>
        </c:ser>
        <c:ser>
          <c:idx val="2"/>
          <c:order val="2"/>
          <c:tx>
            <c:strRef>
              <c:f>'kt tu lam'!$A$85</c:f>
              <c:strCache>
                <c:ptCount val="1"/>
                <c:pt idx="0">
                  <c:v>LNST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4878048780487805E-2"/>
                  <c:y val="4.13436692506459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D46-46C9-86FB-B0EC8A56DE66}"/>
                </c:ext>
              </c:extLst>
            </c:dLbl>
            <c:dLbl>
              <c:idx val="1"/>
              <c:layout>
                <c:manualLayout>
                  <c:x val="6.0975609756097563E-3"/>
                  <c:y val="5.16795865633065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D46-46C9-86FB-B0EC8A56DE66}"/>
                </c:ext>
              </c:extLst>
            </c:dLbl>
            <c:dLbl>
              <c:idx val="2"/>
              <c:layout>
                <c:manualLayout>
                  <c:x val="-3.6585365853658645E-2"/>
                  <c:y val="5.68475452196382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D46-46C9-86FB-B0EC8A56DE66}"/>
                </c:ext>
              </c:extLst>
            </c:dLbl>
            <c:dLbl>
              <c:idx val="3"/>
              <c:layout>
                <c:manualLayout>
                  <c:x val="1.2150888115729607E-2"/>
                  <c:y val="1.52285874979913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D46-46C9-86FB-B0EC8A56DE6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'kt tu lam'!$B$82:$E$82</c:f>
              <c:strCache>
                <c:ptCount val="4"/>
                <c:pt idx="0">
                  <c:v>Năm 2023</c:v>
                </c:pt>
                <c:pt idx="1">
                  <c:v>Năm 2024</c:v>
                </c:pt>
                <c:pt idx="2">
                  <c:v>Năm 2025</c:v>
                </c:pt>
                <c:pt idx="3">
                  <c:v>Năm 2026</c:v>
                </c:pt>
              </c:strCache>
            </c:strRef>
          </c:cat>
          <c:val>
            <c:numRef>
              <c:f>'kt tu lam'!$B$85:$E$85</c:f>
              <c:numCache>
                <c:formatCode>0.0_);[Red]\(0.0\)</c:formatCode>
                <c:ptCount val="4"/>
                <c:pt idx="0">
                  <c:v>-0.42357810400000001</c:v>
                </c:pt>
                <c:pt idx="1">
                  <c:v>-2.284911122</c:v>
                </c:pt>
                <c:pt idx="2">
                  <c:v>4.197280868</c:v>
                </c:pt>
                <c:pt idx="3">
                  <c:v>1.802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C4-4740-9AAE-BF110A969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9141119"/>
        <c:axId val="1159130079"/>
      </c:lineChart>
      <c:catAx>
        <c:axId val="18260386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Đvt:</a:t>
                </a:r>
                <a:r>
                  <a:rPr lang="en-US" baseline="0"/>
                  <a:t> Tỷ vnđ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81533536585365851"/>
              <c:y val="2.373842804533154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26042495"/>
        <c:crosses val="autoZero"/>
        <c:auto val="1"/>
        <c:lblAlgn val="ctr"/>
        <c:lblOffset val="100"/>
        <c:noMultiLvlLbl val="0"/>
      </c:catAx>
      <c:valAx>
        <c:axId val="1826042495"/>
        <c:scaling>
          <c:orientation val="minMax"/>
        </c:scaling>
        <c:delete val="0"/>
        <c:axPos val="l"/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26038655"/>
        <c:crosses val="autoZero"/>
        <c:crossBetween val="between"/>
      </c:valAx>
      <c:valAx>
        <c:axId val="1159130079"/>
        <c:scaling>
          <c:orientation val="minMax"/>
        </c:scaling>
        <c:delete val="0"/>
        <c:axPos val="r"/>
        <c:numFmt formatCode="0.0_);[Red]\(0.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59141119"/>
        <c:crosses val="max"/>
        <c:crossBetween val="between"/>
      </c:valAx>
      <c:catAx>
        <c:axId val="115914111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59130079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/>
              <a:t>Doanh thu hòa</a:t>
            </a:r>
            <a:r>
              <a:rPr lang="en-US" b="1" baseline="0"/>
              <a:t> vốn bình quân hàng tháng</a:t>
            </a:r>
            <a:endParaRPr lang="en-US" b="1"/>
          </a:p>
        </c:rich>
      </c:tx>
      <c:layout>
        <c:manualLayout>
          <c:xMode val="edge"/>
          <c:yMode val="edge"/>
          <c:x val="7.1116898849182306E-2"/>
          <c:y val="3.24075524590839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929001891523335"/>
          <c:y val="0.21589967920676581"/>
          <c:w val="0.85998372410152646"/>
          <c:h val="0.44633212515102277"/>
        </c:manualLayout>
      </c:layout>
      <c:lineChart>
        <c:grouping val="standard"/>
        <c:varyColors val="0"/>
        <c:ser>
          <c:idx val="0"/>
          <c:order val="0"/>
          <c:tx>
            <c:strRef>
              <c:f>'kt tu lam'!$A$102</c:f>
              <c:strCache>
                <c:ptCount val="1"/>
                <c:pt idx="0">
                  <c:v>Doanh thu bình quân hàng tháng hòa vốn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6.3888888888888912E-2"/>
                  <c:y val="-3.23325635103926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E67-4758-8945-8F73A2A5D9BA}"/>
                </c:ext>
              </c:extLst>
            </c:dLbl>
            <c:dLbl>
              <c:idx val="1"/>
              <c:layout>
                <c:manualLayout>
                  <c:x val="-4.4444444444444495E-2"/>
                  <c:y val="-4.15704387990762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E67-4758-8945-8F73A2A5D9BA}"/>
                </c:ext>
              </c:extLst>
            </c:dLbl>
            <c:dLbl>
              <c:idx val="2"/>
              <c:layout>
                <c:manualLayout>
                  <c:x val="-2.2222222222222223E-2"/>
                  <c:y val="3.6951501154734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E67-4758-8945-8F73A2A5D9BA}"/>
                </c:ext>
              </c:extLst>
            </c:dLbl>
            <c:dLbl>
              <c:idx val="3"/>
              <c:layout>
                <c:manualLayout>
                  <c:x val="-1.5396458814472672E-2"/>
                  <c:y val="2.59740259740259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F6C-4B0D-AC63-3C9D12056E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'kt tu lam'!$B$101:$E$101</c:f>
              <c:strCache>
                <c:ptCount val="4"/>
                <c:pt idx="0">
                  <c:v>Năm 2023</c:v>
                </c:pt>
                <c:pt idx="1">
                  <c:v>Năm 2024</c:v>
                </c:pt>
                <c:pt idx="2">
                  <c:v>Năm 2025</c:v>
                </c:pt>
                <c:pt idx="3">
                  <c:v>Năm 2026</c:v>
                </c:pt>
              </c:strCache>
            </c:strRef>
          </c:cat>
          <c:val>
            <c:numRef>
              <c:f>'kt tu lam'!$B$102:$E$102</c:f>
              <c:numCache>
                <c:formatCode>_(* #,##0.0_);_(* \(#,##0.0\);_(* "-"??_);_(@_)</c:formatCode>
                <c:ptCount val="4"/>
                <c:pt idx="0">
                  <c:v>7.4689982818218006</c:v>
                </c:pt>
                <c:pt idx="1">
                  <c:v>10.074262839335168</c:v>
                </c:pt>
                <c:pt idx="2">
                  <c:v>6.010416666666667</c:v>
                </c:pt>
                <c:pt idx="3">
                  <c:v>7.0884166666666673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C1-4FFF-B748-4F38D10A87EC}"/>
            </c:ext>
          </c:extLst>
        </c:ser>
        <c:ser>
          <c:idx val="1"/>
          <c:order val="1"/>
          <c:tx>
            <c:strRef>
              <c:f>'kt tu lam'!$A$103</c:f>
              <c:strCache>
                <c:ptCount val="1"/>
                <c:pt idx="0">
                  <c:v>Doanh thu bình quân hàng tháng thực hiện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2777777777777778E-2"/>
                  <c:y val="2.77136258660507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E67-4758-8945-8F73A2A5D9BA}"/>
                </c:ext>
              </c:extLst>
            </c:dLbl>
            <c:dLbl>
              <c:idx val="1"/>
              <c:layout>
                <c:manualLayout>
                  <c:x val="-2.7777777777777828E-2"/>
                  <c:y val="4.15704387990761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E67-4758-8945-8F73A2A5D9BA}"/>
                </c:ext>
              </c:extLst>
            </c:dLbl>
            <c:dLbl>
              <c:idx val="2"/>
              <c:layout>
                <c:manualLayout>
                  <c:x val="-2.777777777777788E-2"/>
                  <c:y val="-5.54272517321016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E67-4758-8945-8F73A2A5D9BA}"/>
                </c:ext>
              </c:extLst>
            </c:dLbl>
            <c:dLbl>
              <c:idx val="3"/>
              <c:layout>
                <c:manualLayout>
                  <c:x val="-1.6666666666666767E-2"/>
                  <c:y val="-2.30946882217090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E67-4758-8945-8F73A2A5D9B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70C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'kt tu lam'!$B$101:$E$101</c:f>
              <c:strCache>
                <c:ptCount val="4"/>
                <c:pt idx="0">
                  <c:v>Năm 2023</c:v>
                </c:pt>
                <c:pt idx="1">
                  <c:v>Năm 2024</c:v>
                </c:pt>
                <c:pt idx="2">
                  <c:v>Năm 2025</c:v>
                </c:pt>
                <c:pt idx="3">
                  <c:v>Năm 2026</c:v>
                </c:pt>
              </c:strCache>
            </c:strRef>
          </c:cat>
          <c:val>
            <c:numRef>
              <c:f>'kt tu lam'!$B$103:$E$103</c:f>
              <c:numCache>
                <c:formatCode>_(* #,##0.0_);_(* \(#,##0.0\);_(* "-"??_);_(@_)</c:formatCode>
                <c:ptCount val="4"/>
                <c:pt idx="0">
                  <c:v>6.5763054390833338</c:v>
                </c:pt>
                <c:pt idx="1">
                  <c:v>6.2102586737500003</c:v>
                </c:pt>
                <c:pt idx="2">
                  <c:v>8.521917951499999</c:v>
                </c:pt>
                <c:pt idx="3">
                  <c:v>8.2995000000000001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C1-4FFF-B748-4F38D10A8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7379152"/>
        <c:axId val="1607373872"/>
      </c:lineChart>
      <c:catAx>
        <c:axId val="1607379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Đvt:</a:t>
                </a:r>
                <a:r>
                  <a:rPr lang="en-US" baseline="0"/>
                  <a:t> Tỷ vnđ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84523031496062995"/>
              <c:y val="9.200714494021577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07373872"/>
        <c:crosses val="autoZero"/>
        <c:auto val="1"/>
        <c:lblAlgn val="ctr"/>
        <c:lblOffset val="100"/>
        <c:noMultiLvlLbl val="0"/>
      </c:catAx>
      <c:valAx>
        <c:axId val="1607373872"/>
        <c:scaling>
          <c:orientation val="minMax"/>
        </c:scaling>
        <c:delete val="0"/>
        <c:axPos val="l"/>
        <c:numFmt formatCode="_(* #,##0.0_);_(* \(#,##0.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07379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'kt tu lam'!$A$158</c:f>
              <c:strCache>
                <c:ptCount val="1"/>
                <c:pt idx="0">
                  <c:v>Định phí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'kt tu lam'!$B$157:$E$157</c:f>
              <c:strCache>
                <c:ptCount val="4"/>
                <c:pt idx="0">
                  <c:v>Năm 2023</c:v>
                </c:pt>
                <c:pt idx="1">
                  <c:v>Năm 2024</c:v>
                </c:pt>
                <c:pt idx="2">
                  <c:v>Năm 2025</c:v>
                </c:pt>
                <c:pt idx="3">
                  <c:v>Năm 2026</c:v>
                </c:pt>
              </c:strCache>
            </c:strRef>
          </c:cat>
          <c:val>
            <c:numRef>
              <c:f>'kt tu lam'!$B$158:$E$158</c:f>
              <c:numCache>
                <c:formatCode>_(* #,##0.0_);_(* \(#,##0.0\);_(* "-"??_);_(@_)</c:formatCode>
                <c:ptCount val="4"/>
                <c:pt idx="0">
                  <c:v>4.5449828375000001</c:v>
                </c:pt>
                <c:pt idx="1">
                  <c:v>5.8032819020000002</c:v>
                </c:pt>
                <c:pt idx="2">
                  <c:v>10.147703293985861</c:v>
                </c:pt>
                <c:pt idx="3">
                  <c:v>10.361967216426381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30-48F7-B359-76325B5EF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4486688"/>
        <c:axId val="2074486208"/>
      </c:barChart>
      <c:catAx>
        <c:axId val="2074486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Đvt:</a:t>
                </a:r>
                <a:r>
                  <a:rPr lang="en-US" baseline="0"/>
                  <a:t> Tỷ vnđ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79054877515310584"/>
              <c:y val="5.787037037037037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74486208"/>
        <c:crosses val="autoZero"/>
        <c:auto val="1"/>
        <c:lblAlgn val="ctr"/>
        <c:lblOffset val="100"/>
        <c:noMultiLvlLbl val="0"/>
      </c:catAx>
      <c:valAx>
        <c:axId val="2074486208"/>
        <c:scaling>
          <c:orientation val="minMax"/>
        </c:scaling>
        <c:delete val="0"/>
        <c:axPos val="l"/>
        <c:numFmt formatCode="_(* #,##0.0_);_(* \(#,##0.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74486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Biến phí / Kg </a:t>
            </a:r>
          </a:p>
        </c:rich>
      </c:tx>
      <c:layout>
        <c:manualLayout>
          <c:xMode val="edge"/>
          <c:yMode val="edge"/>
          <c:x val="0.21596556567908554"/>
          <c:y val="3.06122448979591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'kt tu lam'!$A$177</c:f>
              <c:strCache>
                <c:ptCount val="1"/>
                <c:pt idx="0">
                  <c:v>Biến phí / Kg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6111111111111135E-2"/>
                  <c:y val="4.6296296296296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395-4652-96FA-0EFB310D2A01}"/>
                </c:ext>
              </c:extLst>
            </c:dLbl>
            <c:dLbl>
              <c:idx val="1"/>
              <c:layout>
                <c:manualLayout>
                  <c:x val="-2.7777777777777828E-2"/>
                  <c:y val="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395-4652-96FA-0EFB310D2A01}"/>
                </c:ext>
              </c:extLst>
            </c:dLbl>
            <c:dLbl>
              <c:idx val="2"/>
              <c:layout>
                <c:manualLayout>
                  <c:x val="-9.2189889307314851E-2"/>
                  <c:y val="5.9996544319107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395-4652-96FA-0EFB310D2A01}"/>
                </c:ext>
              </c:extLst>
            </c:dLbl>
            <c:dLbl>
              <c:idx val="3"/>
              <c:layout>
                <c:manualLayout>
                  <c:x val="-7.4074074074074195E-2"/>
                  <c:y val="5.64263322884011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B6F-4349-844D-E1106674E47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'kt tu lam'!$B$176:$E$176</c:f>
              <c:strCache>
                <c:ptCount val="4"/>
                <c:pt idx="0">
                  <c:v>Năm 2023</c:v>
                </c:pt>
                <c:pt idx="1">
                  <c:v>Năm 2024</c:v>
                </c:pt>
                <c:pt idx="2">
                  <c:v>Năm 2025</c:v>
                </c:pt>
                <c:pt idx="3">
                  <c:v>Năm 2026</c:v>
                </c:pt>
              </c:strCache>
            </c:strRef>
          </c:cat>
          <c:val>
            <c:numRef>
              <c:f>'kt tu lam'!$B$177:$E$177</c:f>
              <c:numCache>
                <c:formatCode>_(* #,##0_);_(* \(#,##0\);_(* "-"??_);_(@_)</c:formatCode>
                <c:ptCount val="4"/>
                <c:pt idx="0">
                  <c:v>13252.598467512524</c:v>
                </c:pt>
                <c:pt idx="1">
                  <c:v>14493.445592359774</c:v>
                </c:pt>
                <c:pt idx="2">
                  <c:v>14293.039381927691</c:v>
                </c:pt>
                <c:pt idx="3">
                  <c:v>13584.845985565229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95-4652-96FA-0EFB310D2A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675216"/>
        <c:axId val="160672336"/>
      </c:lineChart>
      <c:catAx>
        <c:axId val="160675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Đvt:</a:t>
                </a:r>
                <a:r>
                  <a:rPr lang="en-US" baseline="0"/>
                  <a:t> Vnđ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78500721784776906"/>
              <c:y val="6.712962962962963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0672336"/>
        <c:crosses val="autoZero"/>
        <c:auto val="1"/>
        <c:lblAlgn val="ctr"/>
        <c:lblOffset val="100"/>
        <c:noMultiLvlLbl val="0"/>
      </c:catAx>
      <c:valAx>
        <c:axId val="160672336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0675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/>
              <a:t>% Lãi</a:t>
            </a:r>
            <a:r>
              <a:rPr lang="en-US" b="1" baseline="0"/>
              <a:t> nguyên liệu / Doanh thu</a:t>
            </a:r>
            <a:endParaRPr lang="en-US" b="1"/>
          </a:p>
        </c:rich>
      </c:tx>
      <c:layout>
        <c:manualLayout>
          <c:xMode val="edge"/>
          <c:yMode val="edge"/>
          <c:x val="0.12903455818022747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'kt tu lam'!$A$203</c:f>
              <c:strCache>
                <c:ptCount val="1"/>
                <c:pt idx="0">
                  <c:v>Lãi nguyên liệu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777777777777803E-3"/>
                  <c:y val="0.1712962962962963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91B-45B7-A1E1-1106645C6A6D}"/>
                </c:ext>
              </c:extLst>
            </c:dLbl>
            <c:dLbl>
              <c:idx val="1"/>
              <c:layout>
                <c:manualLayout>
                  <c:x val="-5.0925337632079971E-17"/>
                  <c:y val="0.138888888888888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91B-45B7-A1E1-1106645C6A6D}"/>
                </c:ext>
              </c:extLst>
            </c:dLbl>
            <c:dLbl>
              <c:idx val="2"/>
              <c:layout>
                <c:manualLayout>
                  <c:x val="-1.0185067526415994E-16"/>
                  <c:y val="0.2453703703703703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91B-45B7-A1E1-1106645C6A6D}"/>
                </c:ext>
              </c:extLst>
            </c:dLbl>
            <c:dLbl>
              <c:idx val="3"/>
              <c:layout>
                <c:manualLayout>
                  <c:x val="0"/>
                  <c:y val="0.2824074074074073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91B-45B7-A1E1-1106645C6A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'kt tu lam'!$B$202:$E$202</c:f>
              <c:strCache>
                <c:ptCount val="4"/>
                <c:pt idx="0">
                  <c:v>Năm 2023</c:v>
                </c:pt>
                <c:pt idx="1">
                  <c:v>Năm 2024</c:v>
                </c:pt>
                <c:pt idx="2">
                  <c:v>Năm 2025</c:v>
                </c:pt>
                <c:pt idx="3">
                  <c:v>Năm 2026</c:v>
                </c:pt>
              </c:strCache>
            </c:strRef>
          </c:cat>
          <c:val>
            <c:numRef>
              <c:f>'kt tu lam'!$B$203:$E$203</c:f>
              <c:numCache>
                <c:formatCode>_(* #,##0_);_(* \(#,##0\);_(* "-"??_);_(@_)</c:formatCode>
                <c:ptCount val="4"/>
                <c:pt idx="0">
                  <c:v>12.241619005999993</c:v>
                </c:pt>
                <c:pt idx="1">
                  <c:v>10.499747955999993</c:v>
                </c:pt>
                <c:pt idx="2">
                  <c:v>21.786434986999993</c:v>
                </c:pt>
                <c:pt idx="3">
                  <c:v>11.593999999999994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1B-45B7-A1E1-1106645C6A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0606432"/>
        <c:axId val="260604512"/>
      </c:barChart>
      <c:lineChart>
        <c:grouping val="standard"/>
        <c:varyColors val="0"/>
        <c:ser>
          <c:idx val="1"/>
          <c:order val="1"/>
          <c:tx>
            <c:strRef>
              <c:f>'kt tu lam'!$A$204</c:f>
              <c:strCache>
                <c:ptCount val="1"/>
                <c:pt idx="0">
                  <c:v>% Lãi nguyên liệu / Doanh thu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7222222222222221E-2"/>
                  <c:y val="-3.70370370370370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91B-45B7-A1E1-1106645C6A6D}"/>
                </c:ext>
              </c:extLst>
            </c:dLbl>
            <c:dLbl>
              <c:idx val="1"/>
              <c:layout>
                <c:manualLayout>
                  <c:x val="-4.7222312978512537E-2"/>
                  <c:y val="2.84393617464483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91B-45B7-A1E1-1106645C6A6D}"/>
                </c:ext>
              </c:extLst>
            </c:dLbl>
            <c:dLbl>
              <c:idx val="2"/>
              <c:layout>
                <c:manualLayout>
                  <c:x val="-0.05"/>
                  <c:y val="-3.70370370370370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91B-45B7-A1E1-1106645C6A6D}"/>
                </c:ext>
              </c:extLst>
            </c:dLbl>
            <c:dLbl>
              <c:idx val="3"/>
              <c:layout>
                <c:manualLayout>
                  <c:x val="-0.05"/>
                  <c:y val="-6.94444444444444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91B-45B7-A1E1-1106645C6A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7030A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'kt tu lam'!$B$202:$E$202</c:f>
              <c:strCache>
                <c:ptCount val="4"/>
                <c:pt idx="0">
                  <c:v>Năm 2023</c:v>
                </c:pt>
                <c:pt idx="1">
                  <c:v>Năm 2024</c:v>
                </c:pt>
                <c:pt idx="2">
                  <c:v>Năm 2025</c:v>
                </c:pt>
                <c:pt idx="3">
                  <c:v>Năm 2026</c:v>
                </c:pt>
              </c:strCache>
            </c:strRef>
          </c:cat>
          <c:val>
            <c:numRef>
              <c:f>'kt tu lam'!$B$204:$E$204</c:f>
              <c:numCache>
                <c:formatCode>0%</c:formatCode>
                <c:ptCount val="4"/>
                <c:pt idx="0">
                  <c:v>0.15512280057795827</c:v>
                </c:pt>
                <c:pt idx="1">
                  <c:v>0.1408925203118771</c:v>
                </c:pt>
                <c:pt idx="2">
                  <c:v>0.21283366122819089</c:v>
                </c:pt>
                <c:pt idx="3">
                  <c:v>0.11641263529931517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1B-45B7-A1E1-1106645C6A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0605952"/>
        <c:axId val="260605472"/>
      </c:lineChart>
      <c:catAx>
        <c:axId val="2606064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Đvt:</a:t>
                </a:r>
                <a:r>
                  <a:rPr lang="en-US" baseline="0"/>
                  <a:t> Tỷ vnđ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81102777777777779"/>
              <c:y val="3.49558909303003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0604512"/>
        <c:crosses val="autoZero"/>
        <c:auto val="1"/>
        <c:lblAlgn val="ctr"/>
        <c:lblOffset val="100"/>
        <c:noMultiLvlLbl val="0"/>
      </c:catAx>
      <c:valAx>
        <c:axId val="260604512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0606432"/>
        <c:crosses val="autoZero"/>
        <c:crossBetween val="between"/>
      </c:valAx>
      <c:valAx>
        <c:axId val="260605472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0605952"/>
        <c:crosses val="max"/>
        <c:crossBetween val="between"/>
      </c:valAx>
      <c:catAx>
        <c:axId val="2606059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606054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/>
              <a:t>% Lãi</a:t>
            </a:r>
            <a:r>
              <a:rPr lang="en-US" b="1" baseline="0"/>
              <a:t> biến phí / Doanh thu</a:t>
            </a:r>
            <a:endParaRPr lang="en-US" b="1"/>
          </a:p>
        </c:rich>
      </c:tx>
      <c:layout>
        <c:manualLayout>
          <c:xMode val="edge"/>
          <c:yMode val="edge"/>
          <c:x val="0.14864566929133857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'kt tu lam'!$A$221</c:f>
              <c:strCache>
                <c:ptCount val="1"/>
                <c:pt idx="0">
                  <c:v>Lãi biến phí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0.1157407407407407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553-4B8B-94CA-FFFF1F046452}"/>
                </c:ext>
              </c:extLst>
            </c:dLbl>
            <c:dLbl>
              <c:idx val="1"/>
              <c:layout>
                <c:manualLayout>
                  <c:x val="-5.0925337632079971E-17"/>
                  <c:y val="0.1018518518518518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553-4B8B-94CA-FFFF1F046452}"/>
                </c:ext>
              </c:extLst>
            </c:dLbl>
            <c:dLbl>
              <c:idx val="2"/>
              <c:layout>
                <c:manualLayout>
                  <c:x val="0"/>
                  <c:y val="0.2592592592592591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553-4B8B-94CA-FFFF1F046452}"/>
                </c:ext>
              </c:extLst>
            </c:dLbl>
            <c:dLbl>
              <c:idx val="3"/>
              <c:layout>
                <c:manualLayout>
                  <c:x val="0"/>
                  <c:y val="0.2824074074074073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553-4B8B-94CA-FFFF1F04645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'kt tu lam'!$B$220:$E$220</c:f>
              <c:strCache>
                <c:ptCount val="4"/>
                <c:pt idx="0">
                  <c:v>Năm 2023</c:v>
                </c:pt>
                <c:pt idx="1">
                  <c:v>Năm 2024</c:v>
                </c:pt>
                <c:pt idx="2">
                  <c:v>Năm 2025</c:v>
                </c:pt>
                <c:pt idx="3">
                  <c:v>Năm 2026</c:v>
                </c:pt>
              </c:strCache>
            </c:strRef>
          </c:cat>
          <c:val>
            <c:numRef>
              <c:f>'kt tu lam'!$B$221:$E$221</c:f>
              <c:numCache>
                <c:formatCode>_(* #,##0_);_(* \(#,##0\);_(* "-"??_);_(@_)</c:formatCode>
                <c:ptCount val="4"/>
                <c:pt idx="0">
                  <c:v>4.0017676034999941</c:v>
                </c:pt>
                <c:pt idx="1">
                  <c:v>3.5774212309999935</c:v>
                </c:pt>
                <c:pt idx="2">
                  <c:v>14.318834791113062</c:v>
                </c:pt>
                <c:pt idx="3">
                  <c:v>2.9242359667178377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53-4B8B-94CA-FFFF1F0464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0532976"/>
        <c:axId val="550536336"/>
      </c:barChart>
      <c:lineChart>
        <c:grouping val="standard"/>
        <c:varyColors val="0"/>
        <c:ser>
          <c:idx val="1"/>
          <c:order val="1"/>
          <c:tx>
            <c:strRef>
              <c:f>'kt tu lam'!$A$222</c:f>
              <c:strCache>
                <c:ptCount val="1"/>
                <c:pt idx="0">
                  <c:v>% Lãi biến phí / Doanh thu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6.9444444444444448E-2"/>
                  <c:y val="-9.259259259259258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553-4B8B-94CA-FFFF1F046452}"/>
                </c:ext>
              </c:extLst>
            </c:dLbl>
            <c:dLbl>
              <c:idx val="1"/>
              <c:layout>
                <c:manualLayout>
                  <c:x val="-0.05"/>
                  <c:y val="-4.62962962962962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553-4B8B-94CA-FFFF1F046452}"/>
                </c:ext>
              </c:extLst>
            </c:dLbl>
            <c:dLbl>
              <c:idx val="2"/>
              <c:layout>
                <c:manualLayout>
                  <c:x val="-5.5555555555555552E-2"/>
                  <c:y val="-4.62962962962963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553-4B8B-94CA-FFFF1F046452}"/>
                </c:ext>
              </c:extLst>
            </c:dLbl>
            <c:dLbl>
              <c:idx val="3"/>
              <c:layout>
                <c:manualLayout>
                  <c:x val="-3.8888888888888994E-2"/>
                  <c:y val="-7.8703703703703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553-4B8B-94CA-FFFF1F04645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7030A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'kt tu lam'!$B$220:$E$220</c:f>
              <c:strCache>
                <c:ptCount val="4"/>
                <c:pt idx="0">
                  <c:v>Năm 2023</c:v>
                </c:pt>
                <c:pt idx="1">
                  <c:v>Năm 2024</c:v>
                </c:pt>
                <c:pt idx="2">
                  <c:v>Năm 2025</c:v>
                </c:pt>
                <c:pt idx="3">
                  <c:v>Năm 2026</c:v>
                </c:pt>
              </c:strCache>
            </c:strRef>
          </c:cat>
          <c:val>
            <c:numRef>
              <c:f>'kt tu lam'!$B$222:$E$222</c:f>
              <c:numCache>
                <c:formatCode>0%</c:formatCode>
                <c:ptCount val="4"/>
                <c:pt idx="0">
                  <c:v>5.0709419858011216E-2</c:v>
                </c:pt>
                <c:pt idx="1">
                  <c:v>4.8004189773410907E-2</c:v>
                </c:pt>
                <c:pt idx="2">
                  <c:v>0.13988199698264805</c:v>
                </c:pt>
                <c:pt idx="3">
                  <c:v>2.9361567631763338E-2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53-4B8B-94CA-FFFF1F0464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0535856"/>
        <c:axId val="550537776"/>
      </c:lineChart>
      <c:catAx>
        <c:axId val="550532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Đvt:</a:t>
                </a:r>
                <a:r>
                  <a:rPr lang="en-US" baseline="0"/>
                  <a:t> Tỷ vnđ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80200699912510942"/>
              <c:y val="3.032626130067070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50536336"/>
        <c:crosses val="autoZero"/>
        <c:auto val="1"/>
        <c:lblAlgn val="ctr"/>
        <c:lblOffset val="100"/>
        <c:noMultiLvlLbl val="0"/>
      </c:catAx>
      <c:valAx>
        <c:axId val="550536336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50532976"/>
        <c:crosses val="autoZero"/>
        <c:crossBetween val="between"/>
      </c:valAx>
      <c:valAx>
        <c:axId val="550537776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50535856"/>
        <c:crosses val="max"/>
        <c:crossBetween val="between"/>
      </c:valAx>
      <c:catAx>
        <c:axId val="5505358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505377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/>
              <a:t>Biến phí / Kg ( không có cp nguyên vật liệu)</a:t>
            </a:r>
          </a:p>
        </c:rich>
      </c:tx>
      <c:layout>
        <c:manualLayout>
          <c:xMode val="edge"/>
          <c:yMode val="edge"/>
          <c:x val="6.3587874732653871E-2"/>
          <c:y val="3.17462344233997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'kt tu lam'!$A$192</c:f>
              <c:strCache>
                <c:ptCount val="1"/>
                <c:pt idx="0">
                  <c:v>Biến phí / Kg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4577572964669739E-2"/>
                  <c:y val="-4.76190476190476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AC8-49D8-93AF-E4945BA153B0}"/>
                </c:ext>
              </c:extLst>
            </c:dLbl>
            <c:dLbl>
              <c:idx val="1"/>
              <c:layout>
                <c:manualLayout>
                  <c:x val="-1.843317972350236E-2"/>
                  <c:y val="-4.76190476190476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AC8-49D8-93AF-E4945BA153B0}"/>
                </c:ext>
              </c:extLst>
            </c:dLbl>
            <c:dLbl>
              <c:idx val="2"/>
              <c:layout>
                <c:manualLayout>
                  <c:x val="-9.2165898617511521E-3"/>
                  <c:y val="-5.82010582010581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AC8-49D8-93AF-E4945BA153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'kt tu lam'!$B$191:$E$191</c:f>
              <c:strCache>
                <c:ptCount val="4"/>
                <c:pt idx="0">
                  <c:v>Năm 2023</c:v>
                </c:pt>
                <c:pt idx="1">
                  <c:v>Năm 2024</c:v>
                </c:pt>
                <c:pt idx="2">
                  <c:v>Năm 2025</c:v>
                </c:pt>
                <c:pt idx="3">
                  <c:v>Năm 2026</c:v>
                </c:pt>
              </c:strCache>
            </c:strRef>
          </c:cat>
          <c:val>
            <c:numRef>
              <c:f>'kt tu lam'!$B$192:$E$192</c:f>
              <c:numCache>
                <c:formatCode>_(* #,##0_);_(* \(#,##0\);_(* "-"??_);_(@_)</c:formatCode>
                <c:ptCount val="4"/>
                <c:pt idx="0">
                  <c:v>1457.6660068722053</c:v>
                </c:pt>
                <c:pt idx="1">
                  <c:v>1414.157447293763</c:v>
                </c:pt>
                <c:pt idx="2">
                  <c:v>1272.4850581308581</c:v>
                </c:pt>
                <c:pt idx="3">
                  <c:v>1218.3479529626413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C8-49D8-93AF-E4945BA153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3450591"/>
        <c:axId val="1153462591"/>
      </c:lineChart>
      <c:catAx>
        <c:axId val="1153450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Đvt:</a:t>
                </a:r>
                <a:r>
                  <a:rPr lang="en-US" baseline="0"/>
                  <a:t> Vnđ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84439348307268036"/>
              <c:y val="0.108465608465608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53462591"/>
        <c:crosses val="autoZero"/>
        <c:auto val="1"/>
        <c:lblAlgn val="ctr"/>
        <c:lblOffset val="100"/>
        <c:noMultiLvlLbl val="0"/>
      </c:catAx>
      <c:valAx>
        <c:axId val="1153462591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53450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100" b="1"/>
              <a:t>Sản</a:t>
            </a:r>
            <a:r>
              <a:rPr lang="en-US" sz="1100" b="1" baseline="0"/>
              <a:t> lượng thành phẩm hòa vốn bình quân (tháng)</a:t>
            </a:r>
            <a:endParaRPr lang="en-US" sz="1100" b="1"/>
          </a:p>
        </c:rich>
      </c:tx>
      <c:layout>
        <c:manualLayout>
          <c:xMode val="edge"/>
          <c:yMode val="edge"/>
          <c:x val="8.5319176731867799E-2"/>
          <c:y val="3.164559919624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9782838348526E-2"/>
          <c:y val="0.20526040264118831"/>
          <c:w val="0.87309981314064133"/>
          <c:h val="0.48399332203727696"/>
        </c:manualLayout>
      </c:layout>
      <c:lineChart>
        <c:grouping val="standard"/>
        <c:varyColors val="0"/>
        <c:ser>
          <c:idx val="0"/>
          <c:order val="0"/>
          <c:tx>
            <c:strRef>
              <c:f>'kt tu lam'!$A$118</c:f>
              <c:strCache>
                <c:ptCount val="1"/>
                <c:pt idx="0">
                  <c:v>Sản lượng thành phẩm bình quân hòa vốn (tháng)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7.9561042524005518E-2"/>
                  <c:y val="-3.16455696202531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15C-4814-A9BC-6E6C61EED436}"/>
                </c:ext>
              </c:extLst>
            </c:dLbl>
            <c:dLbl>
              <c:idx val="1"/>
              <c:layout>
                <c:manualLayout>
                  <c:x val="-4.9382716049382713E-2"/>
                  <c:y val="-5.69620253164556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15C-4814-A9BC-6E6C61EED436}"/>
                </c:ext>
              </c:extLst>
            </c:dLbl>
            <c:dLbl>
              <c:idx val="2"/>
              <c:layout>
                <c:manualLayout>
                  <c:x val="-3.292181069958848E-2"/>
                  <c:y val="4.43037974683543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15C-4814-A9BC-6E6C61EED436}"/>
                </c:ext>
              </c:extLst>
            </c:dLbl>
            <c:dLbl>
              <c:idx val="3"/>
              <c:layout>
                <c:manualLayout>
                  <c:x val="-1.9318238747127663E-2"/>
                  <c:y val="1.8987257235800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15C-4814-A9BC-6E6C61EED4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'kt tu lam'!$B$117:$E$117</c:f>
              <c:strCache>
                <c:ptCount val="4"/>
                <c:pt idx="0">
                  <c:v>Năm 2023</c:v>
                </c:pt>
                <c:pt idx="1">
                  <c:v>Năm 2024</c:v>
                </c:pt>
                <c:pt idx="2">
                  <c:v>Năm 2025</c:v>
                </c:pt>
                <c:pt idx="3">
                  <c:v>Năm 2026</c:v>
                </c:pt>
              </c:strCache>
            </c:strRef>
          </c:cat>
          <c:val>
            <c:numRef>
              <c:f>'kt tu lam'!$B$118:$E$118</c:f>
              <c:numCache>
                <c:formatCode>_(* #,##0_);_(* \(#,##0\);_(* "-"??_);_(@_)</c:formatCode>
                <c:ptCount val="4"/>
                <c:pt idx="0">
                  <c:v>535.00826493847251</c:v>
                </c:pt>
                <c:pt idx="1">
                  <c:v>661.72367040341339</c:v>
                </c:pt>
                <c:pt idx="2">
                  <c:v>417.08333333333331</c:v>
                </c:pt>
                <c:pt idx="3">
                  <c:v>579.25602408860004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C-4814-A9BC-6E6C61EED436}"/>
            </c:ext>
          </c:extLst>
        </c:ser>
        <c:ser>
          <c:idx val="1"/>
          <c:order val="1"/>
          <c:tx>
            <c:strRef>
              <c:f>'kt tu lam'!$A$119</c:f>
              <c:strCache>
                <c:ptCount val="1"/>
                <c:pt idx="0">
                  <c:v>Sản lượng thành phẩm bình quân thực hiện (tháng)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9450997048605463E-2"/>
                  <c:y val="5.9533591132845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15C-4814-A9BC-6E6C61EED436}"/>
                </c:ext>
              </c:extLst>
            </c:dLbl>
            <c:dLbl>
              <c:idx val="1"/>
              <c:layout>
                <c:manualLayout>
                  <c:x val="-3.8408779149519894E-2"/>
                  <c:y val="5.69620253164556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15C-4814-A9BC-6E6C61EED436}"/>
                </c:ext>
              </c:extLst>
            </c:dLbl>
            <c:dLbl>
              <c:idx val="2"/>
              <c:layout>
                <c:manualLayout>
                  <c:x val="-6.3100137174211243E-2"/>
                  <c:y val="-6.32911392405063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15C-4814-A9BC-6E6C61EED436}"/>
                </c:ext>
              </c:extLst>
            </c:dLbl>
            <c:dLbl>
              <c:idx val="3"/>
              <c:layout>
                <c:manualLayout>
                  <c:x val="-2.4691358024691357E-2"/>
                  <c:y val="-5.06329113924050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15C-4814-A9BC-6E6C61EED4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'kt tu lam'!$B$117:$E$117</c:f>
              <c:strCache>
                <c:ptCount val="4"/>
                <c:pt idx="0">
                  <c:v>Năm 2023</c:v>
                </c:pt>
                <c:pt idx="1">
                  <c:v>Năm 2024</c:v>
                </c:pt>
                <c:pt idx="2">
                  <c:v>Năm 2025</c:v>
                </c:pt>
                <c:pt idx="3">
                  <c:v>Năm 2026</c:v>
                </c:pt>
              </c:strCache>
            </c:strRef>
          </c:cat>
          <c:val>
            <c:numRef>
              <c:f>'kt tu lam'!$B$119:$E$119</c:f>
              <c:numCache>
                <c:formatCode>_(* #,##0_);_(* \(#,##0\);_(* "-"??_);_(@_)</c:formatCode>
                <c:ptCount val="4"/>
                <c:pt idx="0">
                  <c:v>471.06158333333332</c:v>
                </c:pt>
                <c:pt idx="1">
                  <c:v>407.87983333333335</c:v>
                </c:pt>
                <c:pt idx="2">
                  <c:v>513.33166666666659</c:v>
                </c:pt>
                <c:pt idx="3">
                  <c:v>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C-4814-A9BC-6E6C61EED4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3203023"/>
        <c:axId val="1323202543"/>
      </c:lineChart>
      <c:catAx>
        <c:axId val="13232030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Đvt:</a:t>
                </a:r>
                <a:r>
                  <a:rPr lang="en-US" baseline="0"/>
                  <a:t> Tấn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85211950358057087"/>
              <c:y val="5.127180304993519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23202543"/>
        <c:crosses val="autoZero"/>
        <c:auto val="1"/>
        <c:lblAlgn val="ctr"/>
        <c:lblOffset val="100"/>
        <c:noMultiLvlLbl val="0"/>
      </c:catAx>
      <c:valAx>
        <c:axId val="1323202543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2320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1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Sản lượng NVL hòa vốn bình quân (tháng)</a:t>
            </a:r>
          </a:p>
        </c:rich>
      </c:tx>
      <c:layout>
        <c:manualLayout>
          <c:xMode val="edge"/>
          <c:yMode val="edge"/>
          <c:x val="7.0933037966354487E-2"/>
          <c:y val="4.18118466898954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32355844098875"/>
          <c:y val="0.22752613240418118"/>
          <c:w val="0.8530357730353344"/>
          <c:h val="0.39701006886334328"/>
        </c:manualLayout>
      </c:layout>
      <c:lineChart>
        <c:grouping val="standard"/>
        <c:varyColors val="0"/>
        <c:ser>
          <c:idx val="0"/>
          <c:order val="0"/>
          <c:tx>
            <c:strRef>
              <c:f>'kt tu lam'!$A$136</c:f>
              <c:strCache>
                <c:ptCount val="1"/>
                <c:pt idx="0">
                  <c:v>Sản lượng NVL bình quân hòa vốn (tháng)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6.1281337047353758E-2"/>
                  <c:y val="-5.5749128919860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8CA-45BE-B228-5DA53E40A5C1}"/>
                </c:ext>
              </c:extLst>
            </c:dLbl>
            <c:dLbl>
              <c:idx val="1"/>
              <c:layout>
                <c:manualLayout>
                  <c:x val="-3.8997214484679715E-2"/>
                  <c:y val="-6.27177700348432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8CA-45BE-B228-5DA53E40A5C1}"/>
                </c:ext>
              </c:extLst>
            </c:dLbl>
            <c:dLbl>
              <c:idx val="2"/>
              <c:layout>
                <c:manualLayout>
                  <c:x val="-2.7855153203342618E-2"/>
                  <c:y val="6.9686411149825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8CA-45BE-B228-5DA53E40A5C1}"/>
                </c:ext>
              </c:extLst>
            </c:dLbl>
            <c:dLbl>
              <c:idx val="3"/>
              <c:layout>
                <c:manualLayout>
                  <c:x val="-8.3565459610028883E-3"/>
                  <c:y val="4.18118466898954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8CA-45BE-B228-5DA53E40A5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'kt tu lam'!$B$135:$E$135</c:f>
              <c:strCache>
                <c:ptCount val="4"/>
                <c:pt idx="0">
                  <c:v>Năm 2023</c:v>
                </c:pt>
                <c:pt idx="1">
                  <c:v>Năm 2024</c:v>
                </c:pt>
                <c:pt idx="2">
                  <c:v>Năm 2025</c:v>
                </c:pt>
                <c:pt idx="3">
                  <c:v>Năm 2026</c:v>
                </c:pt>
              </c:strCache>
            </c:strRef>
          </c:cat>
          <c:val>
            <c:numRef>
              <c:f>'kt tu lam'!$B$136:$E$136</c:f>
              <c:numCache>
                <c:formatCode>_(* #,##0_);_(* \(#,##0\);_(* "-"??_);_(@_)</c:formatCode>
                <c:ptCount val="4"/>
                <c:pt idx="0">
                  <c:v>569.55003223531673</c:v>
                </c:pt>
                <c:pt idx="1">
                  <c:v>721.90992615513676</c:v>
                </c:pt>
                <c:pt idx="2">
                  <c:v>507.13189981412341</c:v>
                </c:pt>
                <c:pt idx="3">
                  <c:v>643.26381475039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CA-45BE-B228-5DA53E40A5C1}"/>
            </c:ext>
          </c:extLst>
        </c:ser>
        <c:ser>
          <c:idx val="1"/>
          <c:order val="1"/>
          <c:tx>
            <c:strRef>
              <c:f>'kt tu lam'!$A$137</c:f>
              <c:strCache>
                <c:ptCount val="1"/>
                <c:pt idx="0">
                  <c:v>Sản lượng NVL bình quân thực hiện (tháng)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7.2423398328690811E-2"/>
                  <c:y val="4.18118466898954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8CA-45BE-B228-5DA53E40A5C1}"/>
                </c:ext>
              </c:extLst>
            </c:dLbl>
            <c:dLbl>
              <c:idx val="1"/>
              <c:layout>
                <c:manualLayout>
                  <c:x val="-3.8997214484679715E-2"/>
                  <c:y val="6.27177700348432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8CA-45BE-B228-5DA53E40A5C1}"/>
                </c:ext>
              </c:extLst>
            </c:dLbl>
            <c:dLbl>
              <c:idx val="2"/>
              <c:layout>
                <c:manualLayout>
                  <c:x val="-3.8997214484679667E-2"/>
                  <c:y val="-6.9686411149825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8CA-45BE-B228-5DA53E40A5C1}"/>
                </c:ext>
              </c:extLst>
            </c:dLbl>
            <c:dLbl>
              <c:idx val="3"/>
              <c:layout>
                <c:manualLayout>
                  <c:x val="-8.3565459610028883E-3"/>
                  <c:y val="-3.48432055749129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8CA-45BE-B228-5DA53E40A5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'kt tu lam'!$B$135:$E$135</c:f>
              <c:strCache>
                <c:ptCount val="4"/>
                <c:pt idx="0">
                  <c:v>Năm 2023</c:v>
                </c:pt>
                <c:pt idx="1">
                  <c:v>Năm 2024</c:v>
                </c:pt>
                <c:pt idx="2">
                  <c:v>Năm 2025</c:v>
                </c:pt>
                <c:pt idx="3">
                  <c:v>Năm 2026</c:v>
                </c:pt>
              </c:strCache>
            </c:strRef>
          </c:cat>
          <c:val>
            <c:numRef>
              <c:f>'kt tu lam'!$B$137:$E$137</c:f>
              <c:numCache>
                <c:formatCode>_(* #,##0_);_(* \(#,##0\);_(* "-"??_);_(@_)</c:formatCode>
                <c:ptCount val="4"/>
                <c:pt idx="0">
                  <c:v>435.70914999999997</c:v>
                </c:pt>
                <c:pt idx="1">
                  <c:v>417.74114166666669</c:v>
                </c:pt>
                <c:pt idx="2">
                  <c:v>555.12774999999999</c:v>
                </c:pt>
                <c:pt idx="3">
                  <c:v>666.66666666666663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CA-45BE-B228-5DA53E40A5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5455568"/>
        <c:axId val="915453168"/>
      </c:lineChart>
      <c:catAx>
        <c:axId val="9154555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Đvt:</a:t>
                </a:r>
                <a:r>
                  <a:rPr lang="en-US" baseline="0"/>
                  <a:t> Tấn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84011163994472826"/>
              <c:y val="5.993689813163596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15453168"/>
        <c:crosses val="autoZero"/>
        <c:auto val="1"/>
        <c:lblAlgn val="ctr"/>
        <c:lblOffset val="100"/>
        <c:noMultiLvlLbl val="0"/>
      </c:catAx>
      <c:valAx>
        <c:axId val="915453168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15455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13" Type="http://schemas.openxmlformats.org/officeDocument/2006/relationships/chart" Target="../charts/chart17.xml"/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12" Type="http://schemas.openxmlformats.org/officeDocument/2006/relationships/chart" Target="../charts/chart16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11" Type="http://schemas.openxmlformats.org/officeDocument/2006/relationships/chart" Target="../charts/chart15.xml"/><Relationship Id="rId5" Type="http://schemas.openxmlformats.org/officeDocument/2006/relationships/chart" Target="../charts/chart9.xml"/><Relationship Id="rId10" Type="http://schemas.openxmlformats.org/officeDocument/2006/relationships/chart" Target="../charts/chart14.xml"/><Relationship Id="rId4" Type="http://schemas.openxmlformats.org/officeDocument/2006/relationships/chart" Target="../charts/chart8.xml"/><Relationship Id="rId9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31750</xdr:colOff>
      <xdr:row>1</xdr:row>
      <xdr:rowOff>12700</xdr:rowOff>
    </xdr:from>
    <xdr:to>
      <xdr:col>13</xdr:col>
      <xdr:colOff>196850</xdr:colOff>
      <xdr:row>18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D2E7D3-83E5-551C-593C-6FCAB26E6B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76200</xdr:colOff>
      <xdr:row>21</xdr:row>
      <xdr:rowOff>120650</xdr:rowOff>
    </xdr:from>
    <xdr:to>
      <xdr:col>12</xdr:col>
      <xdr:colOff>463550</xdr:colOff>
      <xdr:row>43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7895103-F14D-7D11-FD1B-1BEA573837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57150</xdr:colOff>
      <xdr:row>44</xdr:row>
      <xdr:rowOff>107950</xdr:rowOff>
    </xdr:from>
    <xdr:to>
      <xdr:col>12</xdr:col>
      <xdr:colOff>488950</xdr:colOff>
      <xdr:row>61</xdr:row>
      <xdr:rowOff>44450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73FBF6B-ECC2-4BFA-C3DA-323E05C3F4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63500</xdr:colOff>
      <xdr:row>62</xdr:row>
      <xdr:rowOff>107950</xdr:rowOff>
    </xdr:from>
    <xdr:to>
      <xdr:col>12</xdr:col>
      <xdr:colOff>514350</xdr:colOff>
      <xdr:row>79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9F44E17-818A-A67D-187E-F73B9227A0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31750</xdr:colOff>
      <xdr:row>1</xdr:row>
      <xdr:rowOff>12700</xdr:rowOff>
    </xdr:from>
    <xdr:to>
      <xdr:col>13</xdr:col>
      <xdr:colOff>76200</xdr:colOff>
      <xdr:row>14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A82B31-83DE-4016-AF3E-7FB8464A3B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76200</xdr:colOff>
      <xdr:row>21</xdr:row>
      <xdr:rowOff>120650</xdr:rowOff>
    </xdr:from>
    <xdr:to>
      <xdr:col>12</xdr:col>
      <xdr:colOff>406400</xdr:colOff>
      <xdr:row>35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64326D-80CE-4A00-B2C8-35FE67F258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57150</xdr:colOff>
      <xdr:row>44</xdr:row>
      <xdr:rowOff>107950</xdr:rowOff>
    </xdr:from>
    <xdr:to>
      <xdr:col>12</xdr:col>
      <xdr:colOff>444500</xdr:colOff>
      <xdr:row>58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7D76292-7346-4987-97B6-92F8F5EC5F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63500</xdr:colOff>
      <xdr:row>62</xdr:row>
      <xdr:rowOff>107950</xdr:rowOff>
    </xdr:from>
    <xdr:to>
      <xdr:col>12</xdr:col>
      <xdr:colOff>482600</xdr:colOff>
      <xdr:row>76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E4C9CD3-B116-4983-9A5F-A3BCE959A4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0</xdr:colOff>
      <xdr:row>81</xdr:row>
      <xdr:rowOff>82550</xdr:rowOff>
    </xdr:from>
    <xdr:to>
      <xdr:col>13</xdr:col>
      <xdr:colOff>304800</xdr:colOff>
      <xdr:row>96</xdr:row>
      <xdr:rowOff>142875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49EE236-74DA-8C39-FAC4-E3E7B1FD9D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501650</xdr:colOff>
      <xdr:row>99</xdr:row>
      <xdr:rowOff>146051</xdr:rowOff>
    </xdr:from>
    <xdr:to>
      <xdr:col>13</xdr:col>
      <xdr:colOff>333375</xdr:colOff>
      <xdr:row>114</xdr:row>
      <xdr:rowOff>142876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03AEE8D-F31C-E4CE-8062-137410718D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552450</xdr:colOff>
      <xdr:row>148</xdr:row>
      <xdr:rowOff>19050</xdr:rowOff>
    </xdr:from>
    <xdr:to>
      <xdr:col>13</xdr:col>
      <xdr:colOff>368300</xdr:colOff>
      <xdr:row>165</xdr:row>
      <xdr:rowOff>57150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8A34C39-17C3-3BD3-4235-E3D3E25564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19050</xdr:colOff>
      <xdr:row>166</xdr:row>
      <xdr:rowOff>31750</xdr:rowOff>
    </xdr:from>
    <xdr:to>
      <xdr:col>13</xdr:col>
      <xdr:colOff>247650</xdr:colOff>
      <xdr:row>177</xdr:row>
      <xdr:rowOff>133350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5A7C82C-D978-0307-A99E-C66C03D8E2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527050</xdr:colOff>
      <xdr:row>201</xdr:row>
      <xdr:rowOff>6350</xdr:rowOff>
    </xdr:from>
    <xdr:to>
      <xdr:col>13</xdr:col>
      <xdr:colOff>361950</xdr:colOff>
      <xdr:row>216</xdr:row>
      <xdr:rowOff>25400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682F5CC-BE7B-41BB-A7E3-3A2BF7AFD3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552450</xdr:colOff>
      <xdr:row>219</xdr:row>
      <xdr:rowOff>6350</xdr:rowOff>
    </xdr:from>
    <xdr:to>
      <xdr:col>13</xdr:col>
      <xdr:colOff>355600</xdr:colOff>
      <xdr:row>233</xdr:row>
      <xdr:rowOff>69850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F63C29C-A4BA-B9A8-2EA2-4E8EDFD041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</xdr:col>
      <xdr:colOff>3175</xdr:colOff>
      <xdr:row>182</xdr:row>
      <xdr:rowOff>158750</xdr:rowOff>
    </xdr:from>
    <xdr:to>
      <xdr:col>13</xdr:col>
      <xdr:colOff>457200</xdr:colOff>
      <xdr:row>195</xdr:row>
      <xdr:rowOff>152400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B60562F-6037-0D1D-CF20-B02460C55E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0</xdr:colOff>
      <xdr:row>115</xdr:row>
      <xdr:rowOff>146049</xdr:rowOff>
    </xdr:from>
    <xdr:to>
      <xdr:col>14</xdr:col>
      <xdr:colOff>295275</xdr:colOff>
      <xdr:row>130</xdr:row>
      <xdr:rowOff>38099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495532B-667D-F90B-EDD4-F4C6BFDDF5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</xdr:col>
      <xdr:colOff>501650</xdr:colOff>
      <xdr:row>133</xdr:row>
      <xdr:rowOff>63500</xdr:rowOff>
    </xdr:from>
    <xdr:to>
      <xdr:col>13</xdr:col>
      <xdr:colOff>428625</xdr:colOff>
      <xdr:row>145</xdr:row>
      <xdr:rowOff>152400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7845C5E-C56C-D9F5-37EC-BDE58CB2CB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5B954-39DD-43AD-805C-1BCD89E7C753}">
  <dimension ref="A1:E65"/>
  <sheetViews>
    <sheetView topLeftCell="A28" workbookViewId="0">
      <selection activeCell="P65" sqref="P65"/>
    </sheetView>
  </sheetViews>
  <sheetFormatPr defaultColWidth="8.83203125" defaultRowHeight="12.75" x14ac:dyDescent="0.2"/>
  <cols>
    <col min="1" max="1" width="20.1640625" style="1" customWidth="1"/>
    <col min="2" max="5" width="10.6640625" style="1" customWidth="1"/>
    <col min="6" max="7" width="8.83203125" style="1"/>
    <col min="8" max="8" width="13.33203125" style="1" customWidth="1"/>
    <col min="9" max="16384" width="8.83203125" style="1"/>
  </cols>
  <sheetData>
    <row r="1" spans="1:5" x14ac:dyDescent="0.2">
      <c r="A1" s="2" t="s">
        <v>0</v>
      </c>
    </row>
    <row r="2" spans="1:5" x14ac:dyDescent="0.2">
      <c r="A2" s="1" t="s">
        <v>1</v>
      </c>
      <c r="B2" s="1" t="s">
        <v>9</v>
      </c>
      <c r="C2" s="1" t="s">
        <v>10</v>
      </c>
      <c r="D2" s="1" t="s">
        <v>11</v>
      </c>
      <c r="E2" s="1" t="s">
        <v>12</v>
      </c>
    </row>
    <row r="3" spans="1:5" x14ac:dyDescent="0.2">
      <c r="A3" s="1" t="s">
        <v>2</v>
      </c>
      <c r="B3" s="4">
        <f>58896385050/1000000000</f>
        <v>58.896385049999999</v>
      </c>
      <c r="C3" s="4">
        <f>45896670200/1000000000</f>
        <v>45.896670200000003</v>
      </c>
      <c r="D3" s="225">
        <f>63630724917/1000000000</f>
        <v>63.630724917000002</v>
      </c>
      <c r="E3" s="4">
        <f>56760000000/1000000000</f>
        <v>56.76</v>
      </c>
    </row>
    <row r="4" spans="1:5" x14ac:dyDescent="0.2">
      <c r="A4" s="1" t="s">
        <v>3</v>
      </c>
      <c r="B4" s="4">
        <f>5760087865/1000000000</f>
        <v>5.760087865</v>
      </c>
      <c r="C4" s="4">
        <f>8502651000/1000000000</f>
        <v>8.5026510000000002</v>
      </c>
      <c r="D4" s="4">
        <f>9343579281/1000000000</f>
        <v>9.3435792810000002</v>
      </c>
      <c r="E4" s="4">
        <f>10962000000/1000000000</f>
        <v>10.962</v>
      </c>
    </row>
    <row r="5" spans="1:5" x14ac:dyDescent="0.2">
      <c r="A5" s="1" t="s">
        <v>4</v>
      </c>
      <c r="B5" s="4">
        <f>862376983/1000000000</f>
        <v>0.86237698299999999</v>
      </c>
      <c r="C5" s="4">
        <f>1121063000/1000000000</f>
        <v>1.1210629999999999</v>
      </c>
      <c r="D5" s="4">
        <f>1722617331/1000000000</f>
        <v>1.7226173309999999</v>
      </c>
      <c r="E5" s="4">
        <f>1440000000/1000000000</f>
        <v>1.44</v>
      </c>
    </row>
    <row r="6" spans="1:5" x14ac:dyDescent="0.2">
      <c r="A6" s="1" t="s">
        <v>5</v>
      </c>
      <c r="B6" s="4">
        <f>1654320500/1000000000</f>
        <v>1.6543205000000001</v>
      </c>
      <c r="C6" s="4">
        <f>1690342600/1000000000</f>
        <v>1.6903425999999999</v>
      </c>
      <c r="D6" s="4">
        <f>2267014358/1000000000</f>
        <v>2.267014358</v>
      </c>
      <c r="E6" s="4">
        <f>1920000000/1000000000</f>
        <v>1.92</v>
      </c>
    </row>
    <row r="7" spans="1:5" x14ac:dyDescent="0.2">
      <c r="A7" s="1" t="s">
        <v>6</v>
      </c>
      <c r="B7" s="4">
        <f>9041825897/1000000000</f>
        <v>9.0418258970000007</v>
      </c>
      <c r="C7" s="4">
        <f>14790109500/1000000000</f>
        <v>14.7901095</v>
      </c>
      <c r="D7" s="225">
        <f>23937332576/1000000000</f>
        <v>23.937332575999999</v>
      </c>
      <c r="E7" s="4">
        <f>25920000000/1000000000</f>
        <v>25.92</v>
      </c>
    </row>
    <row r="8" spans="1:5" x14ac:dyDescent="0.2">
      <c r="A8" s="1" t="s">
        <v>7</v>
      </c>
      <c r="B8" s="4"/>
      <c r="C8" s="4"/>
      <c r="D8" s="4"/>
      <c r="E8" s="4">
        <f>648000000/1000000000</f>
        <v>0.64800000000000002</v>
      </c>
    </row>
    <row r="9" spans="1:5" x14ac:dyDescent="0.2">
      <c r="A9" s="1" t="s">
        <v>8</v>
      </c>
      <c r="B9" s="4">
        <f>2700668974/1000000000</f>
        <v>2.7006689740000001</v>
      </c>
      <c r="C9" s="4">
        <f>2522267785/1000000000</f>
        <v>2.5222677849999999</v>
      </c>
      <c r="D9" s="4">
        <f>1462403060/1000000000</f>
        <v>1.46240306</v>
      </c>
      <c r="E9" s="4">
        <f>1944000000/1000000000</f>
        <v>1.944</v>
      </c>
    </row>
    <row r="22" spans="1:5" x14ac:dyDescent="0.2">
      <c r="A22" s="2" t="s">
        <v>13</v>
      </c>
    </row>
    <row r="23" spans="1:5" x14ac:dyDescent="0.2">
      <c r="A23" s="1" t="s">
        <v>1</v>
      </c>
      <c r="B23" s="1" t="s">
        <v>9</v>
      </c>
      <c r="C23" s="1" t="s">
        <v>10</v>
      </c>
      <c r="D23" s="1" t="s">
        <v>11</v>
      </c>
      <c r="E23" s="1" t="s">
        <v>12</v>
      </c>
    </row>
    <row r="24" spans="1:5" x14ac:dyDescent="0.2">
      <c r="A24" s="1" t="s">
        <v>2</v>
      </c>
      <c r="B24" s="4">
        <f>3652358.5/1000</f>
        <v>3652.3584999999998</v>
      </c>
      <c r="C24" s="4">
        <f>2688190/1000</f>
        <v>2688.19</v>
      </c>
      <c r="D24" s="4">
        <f>(3712198+17000)/1000</f>
        <v>3729.1979999999999</v>
      </c>
      <c r="E24" s="4">
        <f>3784000/1000</f>
        <v>3784</v>
      </c>
    </row>
    <row r="25" spans="1:5" x14ac:dyDescent="0.2">
      <c r="A25" s="1" t="s">
        <v>3</v>
      </c>
      <c r="B25" s="4">
        <f>565953/1000</f>
        <v>565.95299999999997</v>
      </c>
      <c r="C25" s="4">
        <f>635827/1000</f>
        <v>635.827</v>
      </c>
      <c r="D25" s="4">
        <f>579402/1000</f>
        <v>579.40200000000004</v>
      </c>
      <c r="E25" s="4">
        <f>812000/1000</f>
        <v>812</v>
      </c>
    </row>
    <row r="26" spans="1:5" x14ac:dyDescent="0.2">
      <c r="A26" s="1" t="s">
        <v>4</v>
      </c>
      <c r="B26" s="4">
        <f>86157/1000</f>
        <v>86.156999999999996</v>
      </c>
      <c r="C26" s="4">
        <f>85204/1000</f>
        <v>85.203999999999994</v>
      </c>
      <c r="D26" s="4">
        <f>107868/1000</f>
        <v>107.86799999999999</v>
      </c>
      <c r="E26" s="4">
        <f>120000/1000</f>
        <v>120</v>
      </c>
    </row>
    <row r="27" spans="1:5" x14ac:dyDescent="0.2">
      <c r="A27" s="1" t="s">
        <v>5</v>
      </c>
      <c r="B27" s="4">
        <f>151214/1000</f>
        <v>151.214</v>
      </c>
      <c r="C27" s="4">
        <f>127968/1000</f>
        <v>127.968</v>
      </c>
      <c r="D27" s="4">
        <f>142369/1000</f>
        <v>142.369</v>
      </c>
      <c r="E27" s="4">
        <f>160000/1000</f>
        <v>160</v>
      </c>
    </row>
    <row r="28" spans="1:5" x14ac:dyDescent="0.2">
      <c r="A28" s="1" t="s">
        <v>6</v>
      </c>
      <c r="B28" s="4">
        <f>981342/1000</f>
        <v>981.34199999999998</v>
      </c>
      <c r="C28" s="4">
        <f>1162969/1000</f>
        <v>1162.9690000000001</v>
      </c>
      <c r="D28" s="4">
        <f>1468557/1000</f>
        <v>1468.557</v>
      </c>
      <c r="E28" s="4">
        <f>1920000/1000</f>
        <v>1920</v>
      </c>
    </row>
    <row r="29" spans="1:5" x14ac:dyDescent="0.2">
      <c r="A29" s="1" t="s">
        <v>7</v>
      </c>
      <c r="B29" s="4"/>
      <c r="C29" s="4"/>
      <c r="D29" s="4"/>
      <c r="E29" s="4">
        <f>80000/1000</f>
        <v>80</v>
      </c>
    </row>
    <row r="30" spans="1:5" x14ac:dyDescent="0.2">
      <c r="A30" s="1" t="s">
        <v>8</v>
      </c>
      <c r="B30" s="4">
        <f>215746/1000</f>
        <v>215.74600000000001</v>
      </c>
      <c r="C30" s="4">
        <f>194860.4/1000</f>
        <v>194.8604</v>
      </c>
      <c r="D30" s="4">
        <f>131456/1000</f>
        <v>131.45599999999999</v>
      </c>
      <c r="E30" s="4">
        <f>240000/1000</f>
        <v>240</v>
      </c>
    </row>
    <row r="44" spans="1:5" x14ac:dyDescent="0.2">
      <c r="A44" s="2" t="s">
        <v>14</v>
      </c>
    </row>
    <row r="45" spans="1:5" x14ac:dyDescent="0.2">
      <c r="A45" s="1" t="s">
        <v>17</v>
      </c>
      <c r="B45" s="1" t="s">
        <v>9</v>
      </c>
      <c r="C45" s="1" t="s">
        <v>10</v>
      </c>
      <c r="D45" s="1" t="s">
        <v>11</v>
      </c>
      <c r="E45" s="1" t="s">
        <v>12</v>
      </c>
    </row>
    <row r="46" spans="1:5" x14ac:dyDescent="0.2">
      <c r="A46" s="1" t="s">
        <v>15</v>
      </c>
      <c r="B46" s="3">
        <f>SUM(B3:B9)/56</f>
        <v>1.4092083083749998</v>
      </c>
      <c r="C46" s="3">
        <f>SUM(C3:C9)/49</f>
        <v>1.5208796752040816</v>
      </c>
      <c r="D46" s="3">
        <f>SUM(D3:D9)/53</f>
        <v>1.931390028735849</v>
      </c>
      <c r="E46" s="3">
        <f>SUM(E3:E9)/54</f>
        <v>1.8443333333333332</v>
      </c>
    </row>
    <row r="47" spans="1:5" x14ac:dyDescent="0.2">
      <c r="B47" s="3"/>
      <c r="C47" s="3"/>
      <c r="D47" s="3"/>
      <c r="E47" s="3"/>
    </row>
    <row r="63" spans="1:5" x14ac:dyDescent="0.2">
      <c r="A63" s="2" t="s">
        <v>18</v>
      </c>
    </row>
    <row r="64" spans="1:5" x14ac:dyDescent="0.2">
      <c r="A64" s="1" t="s">
        <v>17</v>
      </c>
      <c r="B64" s="1" t="s">
        <v>9</v>
      </c>
      <c r="C64" s="1" t="s">
        <v>10</v>
      </c>
      <c r="D64" s="1" t="s">
        <v>11</v>
      </c>
      <c r="E64" s="1" t="s">
        <v>12</v>
      </c>
    </row>
    <row r="65" spans="1:5" x14ac:dyDescent="0.2">
      <c r="A65" s="1" t="s">
        <v>15</v>
      </c>
      <c r="B65" s="4">
        <f>SUM(B24:B30)/56</f>
        <v>100.94233035714285</v>
      </c>
      <c r="C65" s="4">
        <f>SUM(C24:C30)/49</f>
        <v>99.89833469387753</v>
      </c>
      <c r="D65" s="4">
        <f>SUM(D24:D30)/53</f>
        <v>116.20471698113208</v>
      </c>
      <c r="E65" s="4">
        <f>SUM(E24:E30)/55</f>
        <v>129.38181818181818</v>
      </c>
    </row>
  </sheetData>
  <phoneticPr fontId="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0A961-0B8B-4E0C-89EF-324EFED21216}">
  <dimension ref="A1:E222"/>
  <sheetViews>
    <sheetView topLeftCell="A147" workbookViewId="0">
      <selection activeCell="C204" sqref="C204"/>
    </sheetView>
  </sheetViews>
  <sheetFormatPr defaultColWidth="8.83203125" defaultRowHeight="12.75" x14ac:dyDescent="0.2"/>
  <cols>
    <col min="1" max="1" width="47.1640625" style="1" customWidth="1"/>
    <col min="2" max="5" width="16.5" style="1" customWidth="1"/>
    <col min="6" max="7" width="8.83203125" style="1"/>
    <col min="8" max="8" width="13.33203125" style="1" customWidth="1"/>
    <col min="9" max="16384" width="8.83203125" style="1"/>
  </cols>
  <sheetData>
    <row r="1" spans="1:5" x14ac:dyDescent="0.2">
      <c r="A1" s="2" t="s">
        <v>19</v>
      </c>
    </row>
    <row r="2" spans="1:5" ht="27.95" customHeight="1" x14ac:dyDescent="0.2">
      <c r="A2" s="1" t="s">
        <v>20</v>
      </c>
      <c r="B2" s="1" t="s">
        <v>9</v>
      </c>
      <c r="C2" s="1" t="s">
        <v>10</v>
      </c>
      <c r="D2" s="1" t="s">
        <v>11</v>
      </c>
      <c r="E2" s="1" t="s">
        <v>12</v>
      </c>
    </row>
    <row r="3" spans="1:5" x14ac:dyDescent="0.2">
      <c r="A3" s="1" t="s">
        <v>21</v>
      </c>
      <c r="B3" s="4">
        <f>SUM('theo anh Hoang'!B3:B9)</f>
        <v>78.915665268999987</v>
      </c>
      <c r="C3" s="4">
        <f>SUM('theo anh Hoang'!C3:C9)</f>
        <v>74.523104085</v>
      </c>
      <c r="D3" s="4">
        <f>SUM('theo anh Hoang'!D3:D9)</f>
        <v>102.36367152299999</v>
      </c>
      <c r="E3" s="4">
        <f>SUM('theo anh Hoang'!E3:E9)</f>
        <v>99.593999999999994</v>
      </c>
    </row>
    <row r="4" spans="1:5" x14ac:dyDescent="0.2">
      <c r="B4" s="4"/>
      <c r="C4" s="4"/>
      <c r="D4" s="4"/>
      <c r="E4" s="4"/>
    </row>
    <row r="5" spans="1:5" x14ac:dyDescent="0.2">
      <c r="B5" s="4"/>
      <c r="C5" s="4"/>
      <c r="D5" s="4"/>
      <c r="E5" s="4"/>
    </row>
    <row r="6" spans="1:5" x14ac:dyDescent="0.2">
      <c r="B6" s="4"/>
      <c r="C6" s="4"/>
      <c r="D6" s="4"/>
      <c r="E6" s="4"/>
    </row>
    <row r="7" spans="1:5" x14ac:dyDescent="0.2">
      <c r="B7" s="4"/>
      <c r="C7" s="4"/>
      <c r="D7" s="4"/>
      <c r="E7" s="4"/>
    </row>
    <row r="8" spans="1:5" x14ac:dyDescent="0.2">
      <c r="B8" s="4"/>
      <c r="C8" s="4"/>
      <c r="D8" s="4"/>
      <c r="E8" s="4"/>
    </row>
    <row r="9" spans="1:5" x14ac:dyDescent="0.2">
      <c r="B9" s="4"/>
      <c r="C9" s="4"/>
      <c r="D9" s="4"/>
      <c r="E9" s="4"/>
    </row>
    <row r="22" spans="1:5" x14ac:dyDescent="0.2">
      <c r="A22" s="2" t="s">
        <v>22</v>
      </c>
    </row>
    <row r="23" spans="1:5" x14ac:dyDescent="0.2">
      <c r="A23" s="1" t="s">
        <v>1</v>
      </c>
      <c r="B23" s="1" t="s">
        <v>9</v>
      </c>
      <c r="C23" s="1" t="s">
        <v>10</v>
      </c>
      <c r="D23" s="1" t="s">
        <v>11</v>
      </c>
      <c r="E23" s="1" t="s">
        <v>12</v>
      </c>
    </row>
    <row r="24" spans="1:5" x14ac:dyDescent="0.2">
      <c r="A24" s="1" t="s">
        <v>21</v>
      </c>
      <c r="B24" s="4">
        <f>SUM('theo anh Hoang'!B24:B30)</f>
        <v>5652.7704999999996</v>
      </c>
      <c r="C24" s="4">
        <f>SUM('theo anh Hoang'!C24:C30)</f>
        <v>4895.018399999999</v>
      </c>
      <c r="D24" s="4">
        <f>SUM('theo anh Hoang'!D24:D30)</f>
        <v>6158.85</v>
      </c>
      <c r="E24" s="4">
        <f>SUM('theo anh Hoang'!E24:E30)</f>
        <v>7116</v>
      </c>
    </row>
    <row r="25" spans="1:5" x14ac:dyDescent="0.2">
      <c r="B25" s="4"/>
      <c r="C25" s="4"/>
      <c r="D25" s="4"/>
      <c r="E25" s="4"/>
    </row>
    <row r="26" spans="1:5" x14ac:dyDescent="0.2">
      <c r="B26" s="4"/>
      <c r="C26" s="4"/>
      <c r="D26" s="4"/>
      <c r="E26" s="4"/>
    </row>
    <row r="27" spans="1:5" x14ac:dyDescent="0.2">
      <c r="B27" s="4"/>
      <c r="C27" s="4"/>
      <c r="D27" s="4"/>
      <c r="E27" s="4"/>
    </row>
    <row r="28" spans="1:5" x14ac:dyDescent="0.2">
      <c r="B28" s="4"/>
      <c r="C28" s="4"/>
      <c r="D28" s="4"/>
      <c r="E28" s="4"/>
    </row>
    <row r="29" spans="1:5" x14ac:dyDescent="0.2">
      <c r="B29" s="4"/>
      <c r="C29" s="4"/>
      <c r="D29" s="4"/>
      <c r="E29" s="4"/>
    </row>
    <row r="30" spans="1:5" x14ac:dyDescent="0.2">
      <c r="B30" s="4"/>
      <c r="C30" s="4"/>
      <c r="D30" s="4"/>
      <c r="E30" s="4"/>
    </row>
    <row r="44" spans="1:5" x14ac:dyDescent="0.2">
      <c r="A44" s="2" t="s">
        <v>14</v>
      </c>
    </row>
    <row r="45" spans="1:5" x14ac:dyDescent="0.2">
      <c r="A45" s="1" t="s">
        <v>17</v>
      </c>
      <c r="B45" s="1" t="s">
        <v>9</v>
      </c>
      <c r="C45" s="1" t="s">
        <v>10</v>
      </c>
      <c r="D45" s="1" t="s">
        <v>11</v>
      </c>
      <c r="E45" s="1" t="s">
        <v>12</v>
      </c>
    </row>
    <row r="46" spans="1:5" x14ac:dyDescent="0.2">
      <c r="A46" s="1" t="s">
        <v>15</v>
      </c>
      <c r="B46" s="3">
        <f>SUM(B3:B9)/56</f>
        <v>1.4092083083749998</v>
      </c>
      <c r="C46" s="3">
        <f>SUM(C3:C9)/49</f>
        <v>1.5208796752040816</v>
      </c>
      <c r="D46" s="3">
        <f>SUM(D3:D9)/53</f>
        <v>1.931390028735849</v>
      </c>
      <c r="E46" s="3">
        <f>SUM(E3:E9)/54</f>
        <v>1.8443333333333332</v>
      </c>
    </row>
    <row r="47" spans="1:5" x14ac:dyDescent="0.2">
      <c r="B47" s="3"/>
      <c r="C47" s="3"/>
      <c r="D47" s="3"/>
      <c r="E47" s="3"/>
    </row>
    <row r="63" spans="1:5" x14ac:dyDescent="0.2">
      <c r="A63" s="2" t="s">
        <v>18</v>
      </c>
    </row>
    <row r="64" spans="1:5" x14ac:dyDescent="0.2">
      <c r="A64" s="1" t="s">
        <v>17</v>
      </c>
      <c r="B64" s="1" t="s">
        <v>9</v>
      </c>
      <c r="C64" s="1" t="s">
        <v>10</v>
      </c>
      <c r="D64" s="1" t="s">
        <v>11</v>
      </c>
      <c r="E64" s="1" t="s">
        <v>12</v>
      </c>
    </row>
    <row r="65" spans="1:5" x14ac:dyDescent="0.2">
      <c r="A65" s="1" t="s">
        <v>15</v>
      </c>
      <c r="B65" s="4">
        <f>SUM(B24:B30)/56</f>
        <v>100.94233035714285</v>
      </c>
      <c r="C65" s="4">
        <f>SUM(C24:C30)/49</f>
        <v>99.89833469387753</v>
      </c>
      <c r="D65" s="4">
        <f>SUM(D24:D30)/53</f>
        <v>116.20471698113208</v>
      </c>
      <c r="E65" s="4">
        <f>SUM(E24:E30)/54</f>
        <v>131.77777777777777</v>
      </c>
    </row>
    <row r="81" spans="1:5" x14ac:dyDescent="0.2">
      <c r="A81" s="2" t="s">
        <v>23</v>
      </c>
    </row>
    <row r="82" spans="1:5" x14ac:dyDescent="0.2">
      <c r="A82" s="1" t="s">
        <v>16</v>
      </c>
      <c r="B82" s="1" t="s">
        <v>9</v>
      </c>
      <c r="C82" s="1" t="s">
        <v>10</v>
      </c>
      <c r="D82" s="1" t="s">
        <v>11</v>
      </c>
      <c r="E82" s="1" t="s">
        <v>12</v>
      </c>
    </row>
    <row r="83" spans="1:5" x14ac:dyDescent="0.2">
      <c r="A83" s="1" t="s">
        <v>24</v>
      </c>
      <c r="B83" s="7">
        <f>B3</f>
        <v>78.915665268999987</v>
      </c>
      <c r="C83" s="7">
        <f t="shared" ref="C83:E83" si="0">C3</f>
        <v>74.523104085</v>
      </c>
      <c r="D83" s="7">
        <f>D3</f>
        <v>102.36367152299999</v>
      </c>
      <c r="E83" s="7">
        <f t="shared" si="0"/>
        <v>99.593999999999994</v>
      </c>
    </row>
    <row r="84" spans="1:5" x14ac:dyDescent="0.2">
      <c r="A84" s="1" t="s">
        <v>25</v>
      </c>
      <c r="B84" s="6">
        <f>612830166/1000000000</f>
        <v>0.61283016599999995</v>
      </c>
      <c r="C84" s="6">
        <f>-889112824/1000000000</f>
        <v>-0.88911282400000002</v>
      </c>
      <c r="D84" s="6">
        <f>6256778116/1000000000</f>
        <v>6.2567781159999996</v>
      </c>
      <c r="E84" s="6">
        <f>3163000000/1000000000</f>
        <v>3.1629999999999998</v>
      </c>
    </row>
    <row r="85" spans="1:5" x14ac:dyDescent="0.2">
      <c r="A85" s="1" t="s">
        <v>26</v>
      </c>
      <c r="B85" s="6">
        <f>-423578104/1000000000</f>
        <v>-0.42357810400000001</v>
      </c>
      <c r="C85" s="6">
        <f>-2284911122/1000000000</f>
        <v>-2.284911122</v>
      </c>
      <c r="D85" s="6">
        <f>4197280868/1000000000</f>
        <v>4.197280868</v>
      </c>
      <c r="E85" s="6">
        <f>1802000000/1000000000</f>
        <v>1.802</v>
      </c>
    </row>
    <row r="86" spans="1:5" x14ac:dyDescent="0.2">
      <c r="A86" s="1" t="s">
        <v>27</v>
      </c>
      <c r="B86" s="5">
        <f>B84/B83</f>
        <v>7.7656339069187919E-3</v>
      </c>
      <c r="C86" s="5">
        <f t="shared" ref="C86:E86" si="1">C84/C83</f>
        <v>-1.1930700350134242E-2</v>
      </c>
      <c r="D86" s="5">
        <f t="shared" si="1"/>
        <v>6.1123033424940902E-2</v>
      </c>
      <c r="E86" s="5">
        <f t="shared" si="1"/>
        <v>3.1758941301684843E-2</v>
      </c>
    </row>
    <row r="87" spans="1:5" x14ac:dyDescent="0.2">
      <c r="A87" s="1" t="s">
        <v>28</v>
      </c>
      <c r="B87" s="5">
        <f>B85/B83</f>
        <v>-5.3674780863361979E-3</v>
      </c>
      <c r="C87" s="5">
        <f t="shared" ref="C87:E87" si="2">C85/C83</f>
        <v>-3.0660439471145252E-2</v>
      </c>
      <c r="D87" s="5">
        <f t="shared" si="2"/>
        <v>4.1003617841676547E-2</v>
      </c>
      <c r="E87" s="5">
        <f t="shared" si="2"/>
        <v>1.8093459445348115E-2</v>
      </c>
    </row>
    <row r="89" spans="1:5" x14ac:dyDescent="0.2">
      <c r="B89" s="3"/>
      <c r="C89" s="3"/>
      <c r="D89" s="3"/>
      <c r="E89" s="3"/>
    </row>
    <row r="100" spans="1:5" x14ac:dyDescent="0.2">
      <c r="A100" s="2" t="s">
        <v>29</v>
      </c>
    </row>
    <row r="101" spans="1:5" x14ac:dyDescent="0.2">
      <c r="A101" s="1" t="s">
        <v>16</v>
      </c>
      <c r="B101" s="1" t="s">
        <v>9</v>
      </c>
      <c r="C101" s="1" t="s">
        <v>10</v>
      </c>
      <c r="D101" s="1" t="s">
        <v>11</v>
      </c>
      <c r="E101" s="1" t="s">
        <v>12</v>
      </c>
    </row>
    <row r="102" spans="1:5" x14ac:dyDescent="0.2">
      <c r="A102" s="1" t="s">
        <v>30</v>
      </c>
      <c r="B102" s="3">
        <f>(89627979381.8616/1000000000)/12</f>
        <v>7.4689982818218006</v>
      </c>
      <c r="C102" s="3">
        <f>(120891154072.022/1000000000)/12</f>
        <v>10.074262839335168</v>
      </c>
      <c r="D102" s="3">
        <f>(72125000000/1000000000)/12</f>
        <v>6.010416666666667</v>
      </c>
      <c r="E102" s="3">
        <f>(85061000000/1000000000)/12</f>
        <v>7.0884166666666673</v>
      </c>
    </row>
    <row r="103" spans="1:5" x14ac:dyDescent="0.2">
      <c r="A103" s="1" t="s">
        <v>31</v>
      </c>
      <c r="B103" s="3">
        <f>(78915665269/1000000000)/12</f>
        <v>6.5763054390833338</v>
      </c>
      <c r="C103" s="3">
        <f>(74523104085/1000000000)/12</f>
        <v>6.2102586737500003</v>
      </c>
      <c r="D103" s="3">
        <f>(102263015418/1000000000)/12</f>
        <v>8.521917951499999</v>
      </c>
      <c r="E103" s="3">
        <f>(99594000000/1000000000)/12</f>
        <v>8.2995000000000001</v>
      </c>
    </row>
    <row r="116" spans="1:5" x14ac:dyDescent="0.2">
      <c r="A116" s="2" t="s">
        <v>244</v>
      </c>
    </row>
    <row r="117" spans="1:5" x14ac:dyDescent="0.2">
      <c r="A117" s="1" t="s">
        <v>16</v>
      </c>
      <c r="B117" s="1" t="s">
        <v>9</v>
      </c>
      <c r="C117" s="1" t="s">
        <v>10</v>
      </c>
      <c r="D117" s="1" t="s">
        <v>11</v>
      </c>
      <c r="E117" s="1" t="s">
        <v>12</v>
      </c>
    </row>
    <row r="118" spans="1:5" x14ac:dyDescent="0.2">
      <c r="A118" s="1" t="s">
        <v>245</v>
      </c>
      <c r="B118" s="4">
        <f>6420099.17926167/1000/12</f>
        <v>535.00826493847251</v>
      </c>
      <c r="C118" s="4">
        <f>7940684.04484096/1000/12</f>
        <v>661.72367040341339</v>
      </c>
      <c r="D118" s="4">
        <f>5005000/1000/12</f>
        <v>417.08333333333331</v>
      </c>
      <c r="E118" s="4">
        <f>6951072.2890632/1000/12</f>
        <v>579.25602408860004</v>
      </c>
    </row>
    <row r="119" spans="1:5" x14ac:dyDescent="0.2">
      <c r="A119" s="1" t="s">
        <v>246</v>
      </c>
      <c r="B119" s="4">
        <f>5652739/1000/12</f>
        <v>471.06158333333332</v>
      </c>
      <c r="C119" s="4">
        <f>4894558/1000/12</f>
        <v>407.87983333333335</v>
      </c>
      <c r="D119" s="4">
        <f>6159980/1000/12</f>
        <v>513.33166666666659</v>
      </c>
      <c r="E119" s="4">
        <f>7116000/1000/12</f>
        <v>593</v>
      </c>
    </row>
    <row r="120" spans="1:5" x14ac:dyDescent="0.2">
      <c r="B120" s="4"/>
    </row>
    <row r="134" spans="1:5" x14ac:dyDescent="0.2">
      <c r="A134" s="2" t="s">
        <v>247</v>
      </c>
    </row>
    <row r="135" spans="1:5" x14ac:dyDescent="0.2">
      <c r="A135" s="1" t="s">
        <v>16</v>
      </c>
      <c r="B135" s="1" t="s">
        <v>9</v>
      </c>
      <c r="C135" s="1" t="s">
        <v>10</v>
      </c>
      <c r="D135" s="1" t="s">
        <v>11</v>
      </c>
      <c r="E135" s="1" t="s">
        <v>12</v>
      </c>
    </row>
    <row r="136" spans="1:5" x14ac:dyDescent="0.2">
      <c r="A136" s="1" t="s">
        <v>248</v>
      </c>
      <c r="B136" s="4">
        <f>6834600.3868238/1000/12</f>
        <v>569.55003223531673</v>
      </c>
      <c r="C136" s="4">
        <f>8662919.11386164/1000/12</f>
        <v>721.90992615513676</v>
      </c>
      <c r="D136" s="4">
        <f>6085582.79776948/1000/12</f>
        <v>507.13189981412341</v>
      </c>
      <c r="E136" s="4">
        <f>7719165.77700468/1000/12</f>
        <v>643.26381475039</v>
      </c>
    </row>
    <row r="137" spans="1:5" x14ac:dyDescent="0.2">
      <c r="A137" s="1" t="s">
        <v>249</v>
      </c>
      <c r="B137" s="4">
        <f>5228509.8/1000/12</f>
        <v>435.70914999999997</v>
      </c>
      <c r="C137" s="4">
        <f>5012893.7/1000/12</f>
        <v>417.74114166666669</v>
      </c>
      <c r="D137" s="4">
        <f>6661533/1000/12</f>
        <v>555.12774999999999</v>
      </c>
      <c r="E137" s="4">
        <f>8000000/1000/12</f>
        <v>666.66666666666663</v>
      </c>
    </row>
    <row r="139" spans="1:5" x14ac:dyDescent="0.2">
      <c r="B139" s="9"/>
      <c r="C139" s="9"/>
      <c r="D139" s="9"/>
      <c r="E139" s="9"/>
    </row>
    <row r="140" spans="1:5" x14ac:dyDescent="0.2">
      <c r="B140" s="10"/>
      <c r="C140" s="10"/>
      <c r="D140" s="10"/>
      <c r="E140" s="10"/>
    </row>
    <row r="147" spans="1:5" x14ac:dyDescent="0.2">
      <c r="A147" s="4">
        <v>1000000000</v>
      </c>
    </row>
    <row r="148" spans="1:5" x14ac:dyDescent="0.2">
      <c r="A148" s="2" t="s">
        <v>39</v>
      </c>
      <c r="B148" s="4"/>
    </row>
    <row r="149" spans="1:5" x14ac:dyDescent="0.2">
      <c r="A149" s="1" t="s">
        <v>16</v>
      </c>
      <c r="B149" s="1" t="s">
        <v>9</v>
      </c>
      <c r="C149" s="1" t="s">
        <v>10</v>
      </c>
      <c r="D149" s="1" t="s">
        <v>11</v>
      </c>
      <c r="E149" s="1" t="s">
        <v>12</v>
      </c>
    </row>
    <row r="150" spans="1:5" x14ac:dyDescent="0.2">
      <c r="A150" s="1" t="s">
        <v>33</v>
      </c>
      <c r="B150" s="8">
        <f>320091240.5/A147</f>
        <v>0.32009124049999998</v>
      </c>
      <c r="C150" s="8">
        <f>222231447/A147</f>
        <v>0.222231447</v>
      </c>
      <c r="D150" s="8">
        <f>1005626325/A147</f>
        <v>1.0056263249999999</v>
      </c>
      <c r="E150" s="8">
        <f>2067000000/A147</f>
        <v>2.0670000000000002</v>
      </c>
    </row>
    <row r="151" spans="1:5" x14ac:dyDescent="0.2">
      <c r="A151" s="1" t="s">
        <v>34</v>
      </c>
      <c r="B151" s="8">
        <f>1774066555/A147</f>
        <v>1.7740665550000001</v>
      </c>
      <c r="C151" s="8">
        <f>2162965329/A147</f>
        <v>2.1629653289999999</v>
      </c>
      <c r="D151" s="8">
        <f>3169468120.46972/A147</f>
        <v>3.1694681204697197</v>
      </c>
      <c r="E151" s="8">
        <f>2886000000/A147</f>
        <v>2.8860000000000001</v>
      </c>
    </row>
    <row r="152" spans="1:5" x14ac:dyDescent="0.2">
      <c r="A152" s="1" t="s">
        <v>35</v>
      </c>
      <c r="B152" s="8">
        <f>1036408270/A147</f>
        <v>1.0364082699999999</v>
      </c>
      <c r="C152" s="8">
        <f>1382050356/A147</f>
        <v>1.3820503559999999</v>
      </c>
      <c r="D152" s="8">
        <f>2081537892/A147</f>
        <v>2.0815378920000001</v>
      </c>
      <c r="E152" s="8">
        <f>1297000000/A147</f>
        <v>1.2969999999999999</v>
      </c>
    </row>
    <row r="153" spans="1:5" x14ac:dyDescent="0.2">
      <c r="A153" s="1" t="s">
        <v>36</v>
      </c>
      <c r="B153" s="8">
        <f>1191465336/A147</f>
        <v>1.191465336</v>
      </c>
      <c r="C153" s="8">
        <f>1437283377/A147</f>
        <v>1.437283377</v>
      </c>
      <c r="D153" s="8">
        <f>3207755890.78887/A147</f>
        <v>3.2077558907888699</v>
      </c>
      <c r="E153" s="8">
        <f>3321000000/A147</f>
        <v>3.3210000000000002</v>
      </c>
    </row>
    <row r="154" spans="1:5" x14ac:dyDescent="0.2">
      <c r="A154" s="1" t="s">
        <v>37</v>
      </c>
      <c r="B154" s="8">
        <f>222951436/A147</f>
        <v>0.222951436</v>
      </c>
      <c r="C154" s="8">
        <f>585003451/A147</f>
        <v>0.58500345099999995</v>
      </c>
      <c r="D154" s="8">
        <f>593457043/A147</f>
        <v>0.59345704300000002</v>
      </c>
      <c r="E154" s="8">
        <f>726967216.426381/A147</f>
        <v>0.72696721642638096</v>
      </c>
    </row>
    <row r="155" spans="1:5" x14ac:dyDescent="0.2">
      <c r="A155" s="1" t="s">
        <v>38</v>
      </c>
      <c r="B155" s="8"/>
      <c r="C155" s="8">
        <f>13747942/A147</f>
        <v>1.3747942000000001E-2</v>
      </c>
      <c r="D155" s="8">
        <f>89858022.7272727/A147</f>
        <v>8.985802272727271E-2</v>
      </c>
      <c r="E155" s="8">
        <f>64000000/A147</f>
        <v>6.4000000000000001E-2</v>
      </c>
    </row>
    <row r="157" spans="1:5" x14ac:dyDescent="0.2">
      <c r="A157" s="2" t="s">
        <v>40</v>
      </c>
      <c r="B157" s="1" t="s">
        <v>9</v>
      </c>
      <c r="C157" s="1" t="s">
        <v>10</v>
      </c>
      <c r="D157" s="1" t="s">
        <v>11</v>
      </c>
      <c r="E157" s="1" t="s">
        <v>12</v>
      </c>
    </row>
    <row r="158" spans="1:5" x14ac:dyDescent="0.2">
      <c r="A158" s="1" t="s">
        <v>32</v>
      </c>
      <c r="B158" s="8">
        <f>SUM(B150:B155)</f>
        <v>4.5449828375000001</v>
      </c>
      <c r="C158" s="8">
        <f t="shared" ref="C158:D158" si="3">SUM(C150:C155)</f>
        <v>5.8032819020000002</v>
      </c>
      <c r="D158" s="8">
        <f t="shared" si="3"/>
        <v>10.147703293985861</v>
      </c>
      <c r="E158" s="8">
        <f>SUM(E150:E155)</f>
        <v>10.361967216426381</v>
      </c>
    </row>
    <row r="161" spans="1:5" x14ac:dyDescent="0.2">
      <c r="D161" s="4"/>
    </row>
    <row r="163" spans="1:5" x14ac:dyDescent="0.2">
      <c r="D163" s="9"/>
    </row>
    <row r="166" spans="1:5" x14ac:dyDescent="0.2">
      <c r="A166" s="4"/>
    </row>
    <row r="167" spans="1:5" x14ac:dyDescent="0.2">
      <c r="A167" s="2" t="s">
        <v>41</v>
      </c>
    </row>
    <row r="168" spans="1:5" x14ac:dyDescent="0.2">
      <c r="A168" s="1" t="s">
        <v>16</v>
      </c>
      <c r="B168" s="1" t="s">
        <v>9</v>
      </c>
      <c r="C168" s="1" t="s">
        <v>10</v>
      </c>
      <c r="D168" s="1" t="s">
        <v>11</v>
      </c>
      <c r="E168" s="1" t="s">
        <v>12</v>
      </c>
    </row>
    <row r="169" spans="1:5" x14ac:dyDescent="0.2">
      <c r="A169" s="1" t="s">
        <v>46</v>
      </c>
      <c r="B169" s="4">
        <v>66674046263</v>
      </c>
      <c r="C169" s="4">
        <v>64023356129</v>
      </c>
      <c r="D169" s="4">
        <v>80577236536</v>
      </c>
      <c r="E169" s="4">
        <v>88000000000</v>
      </c>
    </row>
    <row r="170" spans="1:5" x14ac:dyDescent="0.2">
      <c r="A170" s="1" t="s">
        <v>42</v>
      </c>
      <c r="B170" s="4">
        <v>326356700</v>
      </c>
      <c r="C170" s="4">
        <v>377182809</v>
      </c>
      <c r="D170" s="4">
        <v>452560080</v>
      </c>
      <c r="E170" s="4">
        <v>486000000</v>
      </c>
    </row>
    <row r="171" spans="1:5" x14ac:dyDescent="0.2">
      <c r="A171" s="1" t="s">
        <v>43</v>
      </c>
      <c r="B171" s="4">
        <v>5804078083.499999</v>
      </c>
      <c r="C171" s="4">
        <v>4630674981</v>
      </c>
      <c r="D171" s="4">
        <v>5064325483</v>
      </c>
      <c r="E171" s="4">
        <v>5075652111.8235302</v>
      </c>
    </row>
    <row r="172" spans="1:5" x14ac:dyDescent="0.2">
      <c r="A172" s="1" t="s">
        <v>45</v>
      </c>
      <c r="B172" s="4">
        <v>630817585</v>
      </c>
      <c r="C172" s="4">
        <v>620417107</v>
      </c>
      <c r="D172" s="4">
        <v>564414632.88692963</v>
      </c>
      <c r="E172" s="4">
        <v>1722111921.4586258</v>
      </c>
    </row>
    <row r="173" spans="1:5" x14ac:dyDescent="0.2">
      <c r="A173" s="1" t="s">
        <v>44</v>
      </c>
      <c r="B173" s="4">
        <v>1478599034</v>
      </c>
      <c r="C173" s="4">
        <v>1294051828</v>
      </c>
      <c r="D173" s="4">
        <v>1386300000</v>
      </c>
      <c r="E173" s="4">
        <v>1386000000</v>
      </c>
    </row>
    <row r="175" spans="1:5" x14ac:dyDescent="0.2">
      <c r="A175" s="1" t="s">
        <v>48</v>
      </c>
      <c r="B175" s="4">
        <v>5652770.5</v>
      </c>
      <c r="C175" s="4">
        <v>4895018.4000000004</v>
      </c>
      <c r="D175" s="4">
        <v>6159980</v>
      </c>
      <c r="E175" s="4">
        <v>7116000</v>
      </c>
    </row>
    <row r="176" spans="1:5" x14ac:dyDescent="0.2">
      <c r="A176" s="2" t="s">
        <v>47</v>
      </c>
      <c r="B176" s="1" t="s">
        <v>9</v>
      </c>
      <c r="C176" s="1" t="s">
        <v>10</v>
      </c>
      <c r="D176" s="1" t="s">
        <v>11</v>
      </c>
      <c r="E176" s="1" t="s">
        <v>12</v>
      </c>
    </row>
    <row r="177" spans="1:5" x14ac:dyDescent="0.2">
      <c r="A177" s="1" t="s">
        <v>49</v>
      </c>
      <c r="B177" s="4">
        <f>SUM(B169:B173)/B175</f>
        <v>13252.598467512524</v>
      </c>
      <c r="C177" s="4">
        <f>SUM(C169:C173)/C175</f>
        <v>14493.445592359774</v>
      </c>
      <c r="D177" s="4">
        <f>SUM(D169:D173)/D175</f>
        <v>14293.039381927691</v>
      </c>
      <c r="E177" s="4">
        <f t="shared" ref="E177" si="4">SUM(E169:E173)/E175</f>
        <v>13584.845985565229</v>
      </c>
    </row>
    <row r="179" spans="1:5" x14ac:dyDescent="0.2">
      <c r="B179" s="4"/>
      <c r="C179" s="4"/>
      <c r="D179" s="4"/>
      <c r="E179" s="4"/>
    </row>
    <row r="183" spans="1:5" x14ac:dyDescent="0.2">
      <c r="A183" s="2" t="s">
        <v>243</v>
      </c>
    </row>
    <row r="184" spans="1:5" x14ac:dyDescent="0.2">
      <c r="A184" s="1" t="s">
        <v>16</v>
      </c>
      <c r="B184" s="1" t="s">
        <v>9</v>
      </c>
      <c r="C184" s="1" t="s">
        <v>10</v>
      </c>
      <c r="D184" s="1" t="s">
        <v>11</v>
      </c>
      <c r="E184" s="1" t="s">
        <v>12</v>
      </c>
    </row>
    <row r="185" spans="1:5" x14ac:dyDescent="0.2">
      <c r="A185" s="1" t="s">
        <v>42</v>
      </c>
      <c r="B185" s="4">
        <v>326356700</v>
      </c>
      <c r="C185" s="4">
        <v>377182809</v>
      </c>
      <c r="D185" s="4">
        <v>452560080</v>
      </c>
      <c r="E185" s="4">
        <v>486000000</v>
      </c>
    </row>
    <row r="186" spans="1:5" x14ac:dyDescent="0.2">
      <c r="A186" s="1" t="s">
        <v>43</v>
      </c>
      <c r="B186" s="4">
        <v>5804078083.499999</v>
      </c>
      <c r="C186" s="4">
        <v>4630674981</v>
      </c>
      <c r="D186" s="4">
        <v>5064325483</v>
      </c>
      <c r="E186" s="4">
        <v>5075652111.8235302</v>
      </c>
    </row>
    <row r="187" spans="1:5" x14ac:dyDescent="0.2">
      <c r="A187" s="1" t="s">
        <v>45</v>
      </c>
      <c r="B187" s="4">
        <v>630817585</v>
      </c>
      <c r="C187" s="4">
        <v>620417107</v>
      </c>
      <c r="D187" s="4">
        <v>564414632.88692963</v>
      </c>
      <c r="E187" s="4">
        <v>1722111921.4586258</v>
      </c>
    </row>
    <row r="188" spans="1:5" x14ac:dyDescent="0.2">
      <c r="A188" s="1" t="s">
        <v>44</v>
      </c>
      <c r="B188" s="4">
        <v>1478599034</v>
      </c>
      <c r="C188" s="4">
        <v>1294051828</v>
      </c>
      <c r="D188" s="4">
        <v>1386300000</v>
      </c>
      <c r="E188" s="4">
        <v>1386000000</v>
      </c>
    </row>
    <row r="190" spans="1:5" x14ac:dyDescent="0.2">
      <c r="A190" s="1" t="s">
        <v>48</v>
      </c>
      <c r="B190" s="4">
        <v>5652770.5</v>
      </c>
      <c r="C190" s="4">
        <v>4895018.4000000004</v>
      </c>
      <c r="D190" s="4">
        <v>5868517</v>
      </c>
      <c r="E190" s="4">
        <v>7116000</v>
      </c>
    </row>
    <row r="191" spans="1:5" x14ac:dyDescent="0.2">
      <c r="A191" s="2" t="s">
        <v>47</v>
      </c>
      <c r="B191" s="1" t="s">
        <v>9</v>
      </c>
      <c r="C191" s="1" t="s">
        <v>10</v>
      </c>
      <c r="D191" s="1" t="s">
        <v>11</v>
      </c>
      <c r="E191" s="1" t="s">
        <v>12</v>
      </c>
    </row>
    <row r="192" spans="1:5" x14ac:dyDescent="0.2">
      <c r="A192" s="1" t="s">
        <v>49</v>
      </c>
      <c r="B192" s="4">
        <f>SUM(B185:B188)/B190</f>
        <v>1457.6660068722053</v>
      </c>
      <c r="C192" s="4">
        <f>SUM(C185:C188)/C190</f>
        <v>1414.157447293763</v>
      </c>
      <c r="D192" s="4">
        <f>SUM(D185:D188)/D190</f>
        <v>1272.4850581308581</v>
      </c>
      <c r="E192" s="4">
        <f>SUM(E185:E188)/E190</f>
        <v>1218.3479529626413</v>
      </c>
    </row>
    <row r="201" spans="1:5" x14ac:dyDescent="0.2">
      <c r="A201" s="2" t="s">
        <v>50</v>
      </c>
    </row>
    <row r="202" spans="1:5" x14ac:dyDescent="0.2">
      <c r="A202" s="1" t="s">
        <v>16</v>
      </c>
      <c r="B202" s="1" t="s">
        <v>9</v>
      </c>
      <c r="C202" s="1" t="s">
        <v>10</v>
      </c>
      <c r="D202" s="1" t="s">
        <v>11</v>
      </c>
      <c r="E202" s="1" t="s">
        <v>12</v>
      </c>
    </row>
    <row r="203" spans="1:5" x14ac:dyDescent="0.2">
      <c r="A203" s="1" t="s">
        <v>50</v>
      </c>
      <c r="B203" s="9">
        <f>B3-B169/$A$147</f>
        <v>12.241619005999993</v>
      </c>
      <c r="C203" s="9">
        <f>C3-C169/$A$147</f>
        <v>10.499747955999993</v>
      </c>
      <c r="D203" s="9">
        <f>D3-D169/$A$147</f>
        <v>21.786434986999993</v>
      </c>
      <c r="E203" s="9">
        <f>E3-E169/$A$147</f>
        <v>11.593999999999994</v>
      </c>
    </row>
    <row r="204" spans="1:5" x14ac:dyDescent="0.2">
      <c r="A204" s="1" t="s">
        <v>51</v>
      </c>
      <c r="B204" s="10">
        <f>B203/B3</f>
        <v>0.15512280057795827</v>
      </c>
      <c r="C204" s="10">
        <f>C203/C3</f>
        <v>0.1408925203118771</v>
      </c>
      <c r="D204" s="10">
        <f>D203/D3</f>
        <v>0.21283366122819089</v>
      </c>
      <c r="E204" s="10">
        <f>E203/E3</f>
        <v>0.11641263529931517</v>
      </c>
    </row>
    <row r="219" spans="1:5" x14ac:dyDescent="0.2">
      <c r="A219" s="2" t="s">
        <v>52</v>
      </c>
    </row>
    <row r="220" spans="1:5" x14ac:dyDescent="0.2">
      <c r="A220" s="1" t="s">
        <v>16</v>
      </c>
      <c r="B220" s="1" t="s">
        <v>9</v>
      </c>
      <c r="C220" s="1" t="s">
        <v>10</v>
      </c>
      <c r="D220" s="1" t="s">
        <v>11</v>
      </c>
      <c r="E220" s="1" t="s">
        <v>12</v>
      </c>
    </row>
    <row r="221" spans="1:5" x14ac:dyDescent="0.2">
      <c r="A221" s="1" t="s">
        <v>52</v>
      </c>
      <c r="B221" s="9">
        <f>B203-SUM(B170:B173)/$A$147</f>
        <v>4.0017676034999941</v>
      </c>
      <c r="C221" s="9">
        <f>C203-SUM(C170:C173)/$A$147</f>
        <v>3.5774212309999935</v>
      </c>
      <c r="D221" s="9">
        <f>D203-SUM(D170:D173)/$A$147</f>
        <v>14.318834791113062</v>
      </c>
      <c r="E221" s="9">
        <f>E203-SUM(E170:E173)/$A$147</f>
        <v>2.9242359667178377</v>
      </c>
    </row>
    <row r="222" spans="1:5" x14ac:dyDescent="0.2">
      <c r="A222" s="1" t="s">
        <v>53</v>
      </c>
      <c r="B222" s="10">
        <f>B221/B3</f>
        <v>5.0709419858011216E-2</v>
      </c>
      <c r="C222" s="10">
        <f>C221/C3</f>
        <v>4.8004189773410907E-2</v>
      </c>
      <c r="D222" s="10">
        <f>D221/D3</f>
        <v>0.13988199698264805</v>
      </c>
      <c r="E222" s="10">
        <f>E221/E3</f>
        <v>2.9361567631763338E-2</v>
      </c>
    </row>
  </sheetData>
  <phoneticPr fontId="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A5625-6BA1-4B2C-9F9B-6F4C326F710A}">
  <dimension ref="A1:P149"/>
  <sheetViews>
    <sheetView topLeftCell="A150" workbookViewId="0">
      <selection activeCell="E116" sqref="E116"/>
    </sheetView>
  </sheetViews>
  <sheetFormatPr defaultColWidth="8.83203125" defaultRowHeight="12.75" x14ac:dyDescent="0.2"/>
  <cols>
    <col min="1" max="1" width="5.33203125" style="142" customWidth="1"/>
    <col min="2" max="2" width="43.5" style="1" customWidth="1"/>
    <col min="3" max="4" width="16.33203125" style="1" bestFit="1" customWidth="1"/>
    <col min="5" max="5" width="18.33203125" style="1" bestFit="1" customWidth="1"/>
    <col min="6" max="6" width="17.6640625" style="1" bestFit="1" customWidth="1"/>
    <col min="7" max="7" width="16.33203125" style="1" bestFit="1" customWidth="1"/>
    <col min="8" max="8" width="12.6640625" style="1" bestFit="1" customWidth="1"/>
    <col min="9" max="9" width="15.5" style="4" bestFit="1" customWidth="1"/>
    <col min="10" max="10" width="11.5" style="1" customWidth="1"/>
    <col min="11" max="11" width="18.1640625" style="1" bestFit="1" customWidth="1"/>
    <col min="12" max="12" width="16.1640625" style="1" customWidth="1"/>
    <col min="13" max="13" width="14.83203125" style="1" customWidth="1"/>
    <col min="14" max="14" width="14.5" style="1" customWidth="1"/>
    <col min="15" max="15" width="14.83203125" style="1" customWidth="1"/>
    <col min="16" max="16" width="16.83203125" style="1" customWidth="1"/>
    <col min="17" max="16384" width="8.83203125" style="1"/>
  </cols>
  <sheetData>
    <row r="1" spans="1:9" ht="27.95" customHeight="1" x14ac:dyDescent="0.2">
      <c r="A1" s="233" t="s">
        <v>54</v>
      </c>
      <c r="B1" s="233" t="s">
        <v>55</v>
      </c>
      <c r="C1" s="241" t="s">
        <v>56</v>
      </c>
      <c r="D1" s="249"/>
      <c r="E1" s="249"/>
      <c r="F1" s="242"/>
      <c r="G1" s="250" t="s">
        <v>60</v>
      </c>
      <c r="H1" s="251"/>
    </row>
    <row r="2" spans="1:9" x14ac:dyDescent="0.2">
      <c r="A2" s="232"/>
      <c r="B2" s="232"/>
      <c r="C2" s="16" t="s">
        <v>9</v>
      </c>
      <c r="D2" s="16" t="s">
        <v>10</v>
      </c>
      <c r="E2" s="16" t="s">
        <v>11</v>
      </c>
      <c r="F2" s="16" t="s">
        <v>12</v>
      </c>
      <c r="G2" s="16" t="s">
        <v>57</v>
      </c>
      <c r="H2" s="16" t="s">
        <v>58</v>
      </c>
    </row>
    <row r="3" spans="1:9" x14ac:dyDescent="0.2">
      <c r="A3" s="31"/>
      <c r="B3" s="31"/>
      <c r="C3" s="32"/>
      <c r="D3" s="32"/>
      <c r="E3" s="32"/>
      <c r="F3" s="32"/>
      <c r="G3" s="32"/>
      <c r="H3" s="32"/>
      <c r="I3" s="33"/>
    </row>
    <row r="4" spans="1:9" x14ac:dyDescent="0.2">
      <c r="A4" s="141">
        <v>1</v>
      </c>
      <c r="B4" s="17" t="s">
        <v>68</v>
      </c>
      <c r="C4" s="29">
        <v>0</v>
      </c>
      <c r="D4" s="29">
        <v>10550000</v>
      </c>
      <c r="E4" s="29">
        <v>5900000</v>
      </c>
      <c r="F4" s="29">
        <v>6300000</v>
      </c>
      <c r="G4" s="21">
        <f>F4-E4</f>
        <v>400000</v>
      </c>
      <c r="H4" s="19">
        <f>G4/E4</f>
        <v>6.7796610169491525E-2</v>
      </c>
    </row>
    <row r="5" spans="1:9" x14ac:dyDescent="0.2">
      <c r="A5" s="141">
        <v>2</v>
      </c>
      <c r="B5" s="17" t="s">
        <v>69</v>
      </c>
      <c r="C5" s="29">
        <v>0</v>
      </c>
      <c r="D5" s="29">
        <v>0</v>
      </c>
      <c r="E5" s="29">
        <v>23650000</v>
      </c>
      <c r="F5" s="29">
        <v>20100000</v>
      </c>
      <c r="G5" s="21">
        <f t="shared" ref="G5:G22" si="0">F5-E5</f>
        <v>-3550000</v>
      </c>
      <c r="H5" s="19">
        <f t="shared" ref="H5:H22" si="1">G5/E5</f>
        <v>-0.15010570824524314</v>
      </c>
    </row>
    <row r="6" spans="1:9" x14ac:dyDescent="0.2">
      <c r="A6" s="141">
        <v>3</v>
      </c>
      <c r="B6" s="17" t="s">
        <v>70</v>
      </c>
      <c r="C6" s="29">
        <v>6976562</v>
      </c>
      <c r="D6" s="29">
        <v>8473005</v>
      </c>
      <c r="E6" s="29">
        <v>10904569</v>
      </c>
      <c r="F6" s="29">
        <v>11253651.149999999</v>
      </c>
      <c r="G6" s="21">
        <f t="shared" si="0"/>
        <v>349082.14999999851</v>
      </c>
      <c r="H6" s="19">
        <f t="shared" si="1"/>
        <v>3.2012466517475247E-2</v>
      </c>
    </row>
    <row r="7" spans="1:9" s="23" customFormat="1" x14ac:dyDescent="0.2">
      <c r="A7" s="141">
        <v>4</v>
      </c>
      <c r="B7" s="24" t="s">
        <v>62</v>
      </c>
      <c r="C7" s="30">
        <v>561901641</v>
      </c>
      <c r="D7" s="30">
        <v>449578674</v>
      </c>
      <c r="E7" s="30">
        <v>1088145498.9697163</v>
      </c>
      <c r="F7" s="30">
        <v>1488943496.1833336</v>
      </c>
      <c r="G7" s="21">
        <f t="shared" si="0"/>
        <v>400797997.21361732</v>
      </c>
      <c r="H7" s="19">
        <f t="shared" si="1"/>
        <v>0.36833125495910518</v>
      </c>
      <c r="I7" s="25"/>
    </row>
    <row r="8" spans="1:9" x14ac:dyDescent="0.2">
      <c r="A8" s="141">
        <v>5</v>
      </c>
      <c r="B8" s="18" t="s">
        <v>71</v>
      </c>
      <c r="C8" s="34">
        <v>170666630</v>
      </c>
      <c r="D8" s="34">
        <v>134877650</v>
      </c>
      <c r="E8" s="34">
        <v>238330592</v>
      </c>
      <c r="F8" s="34">
        <v>305715651.77777779</v>
      </c>
      <c r="G8" s="21">
        <f t="shared" si="0"/>
        <v>67385059.777777791</v>
      </c>
      <c r="H8" s="19">
        <f t="shared" si="1"/>
        <v>0.28273776862761196</v>
      </c>
    </row>
    <row r="9" spans="1:9" x14ac:dyDescent="0.2">
      <c r="A9" s="141">
        <v>6</v>
      </c>
      <c r="B9" s="18" t="s">
        <v>72</v>
      </c>
      <c r="C9" s="34">
        <v>22406346</v>
      </c>
      <c r="D9" s="34">
        <v>27191462</v>
      </c>
      <c r="E9" s="34">
        <v>65794076</v>
      </c>
      <c r="F9" s="34">
        <v>66000000</v>
      </c>
      <c r="G9" s="21">
        <f t="shared" si="0"/>
        <v>205924</v>
      </c>
      <c r="H9" s="19">
        <f t="shared" si="1"/>
        <v>3.1298258524065296E-3</v>
      </c>
    </row>
    <row r="10" spans="1:9" x14ac:dyDescent="0.2">
      <c r="A10" s="141">
        <v>7</v>
      </c>
      <c r="B10" s="18" t="s">
        <v>73</v>
      </c>
      <c r="C10" s="34">
        <v>0</v>
      </c>
      <c r="D10" s="34">
        <v>0</v>
      </c>
      <c r="E10" s="34">
        <v>6600000</v>
      </c>
      <c r="F10" s="34">
        <v>19500000</v>
      </c>
      <c r="G10" s="21">
        <f t="shared" si="0"/>
        <v>12900000</v>
      </c>
      <c r="H10" s="19">
        <f t="shared" si="1"/>
        <v>1.9545454545454546</v>
      </c>
    </row>
    <row r="11" spans="1:9" x14ac:dyDescent="0.2">
      <c r="A11" s="141">
        <v>8</v>
      </c>
      <c r="B11" s="18" t="s">
        <v>61</v>
      </c>
      <c r="C11" s="34">
        <v>1118310000</v>
      </c>
      <c r="D11" s="34">
        <v>1557000000</v>
      </c>
      <c r="E11" s="34">
        <v>1800000000</v>
      </c>
      <c r="F11" s="34">
        <v>1800000000</v>
      </c>
      <c r="G11" s="21">
        <f t="shared" si="0"/>
        <v>0</v>
      </c>
      <c r="H11" s="19">
        <f t="shared" si="1"/>
        <v>0</v>
      </c>
    </row>
    <row r="12" spans="1:9" x14ac:dyDescent="0.2">
      <c r="A12" s="141">
        <v>9</v>
      </c>
      <c r="B12" s="18" t="s">
        <v>74</v>
      </c>
      <c r="C12" s="34">
        <v>7127167</v>
      </c>
      <c r="D12" s="34">
        <v>10161366</v>
      </c>
      <c r="E12" s="34">
        <v>25174117</v>
      </c>
      <c r="F12" s="34">
        <v>34170991.20000001</v>
      </c>
      <c r="G12" s="21">
        <f t="shared" si="0"/>
        <v>8996874.2000000104</v>
      </c>
      <c r="H12" s="19">
        <f t="shared" si="1"/>
        <v>0.3573858896421277</v>
      </c>
    </row>
    <row r="13" spans="1:9" x14ac:dyDescent="0.2">
      <c r="A13" s="141">
        <v>10</v>
      </c>
      <c r="B13" s="18" t="s">
        <v>75</v>
      </c>
      <c r="C13" s="34">
        <v>3000000</v>
      </c>
      <c r="D13" s="34">
        <v>3000000</v>
      </c>
      <c r="E13" s="34">
        <v>3000000</v>
      </c>
      <c r="F13" s="34">
        <v>3000000</v>
      </c>
      <c r="G13" s="21">
        <f t="shared" si="0"/>
        <v>0</v>
      </c>
      <c r="H13" s="19">
        <f t="shared" si="1"/>
        <v>0</v>
      </c>
    </row>
    <row r="14" spans="1:9" x14ac:dyDescent="0.2">
      <c r="A14" s="141">
        <v>11</v>
      </c>
      <c r="B14" s="18" t="s">
        <v>76</v>
      </c>
      <c r="C14" s="34">
        <v>18498603</v>
      </c>
      <c r="D14" s="34">
        <v>14672614</v>
      </c>
      <c r="E14" s="34">
        <v>15367539.5</v>
      </c>
      <c r="F14" s="34">
        <v>19028011</v>
      </c>
      <c r="G14" s="21">
        <f t="shared" si="0"/>
        <v>3660471.5</v>
      </c>
      <c r="H14" s="19">
        <f t="shared" si="1"/>
        <v>0.23819502790280772</v>
      </c>
    </row>
    <row r="15" spans="1:9" x14ac:dyDescent="0.2">
      <c r="A15" s="141">
        <v>12</v>
      </c>
      <c r="B15" s="18" t="s">
        <v>67</v>
      </c>
      <c r="C15" s="34">
        <v>4645479</v>
      </c>
      <c r="D15" s="34">
        <v>370448392</v>
      </c>
      <c r="E15" s="34">
        <v>245925815</v>
      </c>
      <c r="F15" s="34">
        <v>247350371</v>
      </c>
      <c r="G15" s="21">
        <f t="shared" si="0"/>
        <v>1424556</v>
      </c>
      <c r="H15" s="19">
        <f t="shared" si="1"/>
        <v>5.7926249019445153E-3</v>
      </c>
    </row>
    <row r="16" spans="1:9" x14ac:dyDescent="0.2">
      <c r="A16" s="141">
        <v>13</v>
      </c>
      <c r="B16" s="18" t="s">
        <v>77</v>
      </c>
      <c r="C16" s="34">
        <v>1500000</v>
      </c>
      <c r="D16" s="34">
        <v>0</v>
      </c>
      <c r="E16" s="34">
        <v>2000000</v>
      </c>
      <c r="F16" s="34">
        <v>0</v>
      </c>
      <c r="G16" s="21">
        <f t="shared" si="0"/>
        <v>-2000000</v>
      </c>
      <c r="H16" s="19">
        <f t="shared" si="1"/>
        <v>-1</v>
      </c>
    </row>
    <row r="17" spans="1:9" x14ac:dyDescent="0.2">
      <c r="A17" s="141">
        <v>14</v>
      </c>
      <c r="B17" s="18" t="s">
        <v>66</v>
      </c>
      <c r="C17" s="34">
        <v>3500000</v>
      </c>
      <c r="D17" s="34">
        <v>43100000</v>
      </c>
      <c r="E17" s="34">
        <v>34569998</v>
      </c>
      <c r="F17" s="34">
        <v>32000000</v>
      </c>
      <c r="G17" s="21">
        <f t="shared" si="0"/>
        <v>-2569998</v>
      </c>
      <c r="H17" s="19">
        <f t="shared" si="1"/>
        <v>-7.4341861402479684E-2</v>
      </c>
    </row>
    <row r="18" spans="1:9" x14ac:dyDescent="0.2">
      <c r="A18" s="141">
        <v>15</v>
      </c>
      <c r="B18" s="18" t="s">
        <v>78</v>
      </c>
      <c r="C18" s="34">
        <v>3092931</v>
      </c>
      <c r="D18" s="34">
        <v>3833195</v>
      </c>
      <c r="E18" s="34">
        <v>3793691</v>
      </c>
      <c r="F18" s="34">
        <v>5460000</v>
      </c>
      <c r="G18" s="21">
        <f t="shared" si="0"/>
        <v>1666309</v>
      </c>
      <c r="H18" s="19">
        <f t="shared" si="1"/>
        <v>0.43923160847839215</v>
      </c>
    </row>
    <row r="19" spans="1:9" x14ac:dyDescent="0.2">
      <c r="A19" s="141">
        <v>16</v>
      </c>
      <c r="B19" s="18" t="s">
        <v>79</v>
      </c>
      <c r="C19" s="34">
        <v>0</v>
      </c>
      <c r="D19" s="34">
        <v>0</v>
      </c>
      <c r="E19" s="34">
        <v>0</v>
      </c>
      <c r="F19" s="34">
        <v>77807693</v>
      </c>
      <c r="G19" s="21">
        <f t="shared" si="0"/>
        <v>77807693</v>
      </c>
      <c r="H19" s="19" t="e">
        <f>G19/E19</f>
        <v>#DIV/0!</v>
      </c>
    </row>
    <row r="20" spans="1:9" x14ac:dyDescent="0.2">
      <c r="A20" s="141">
        <v>17</v>
      </c>
      <c r="B20" s="18" t="s">
        <v>64</v>
      </c>
      <c r="C20" s="34">
        <v>33097524</v>
      </c>
      <c r="D20" s="34">
        <v>56004545</v>
      </c>
      <c r="E20" s="34">
        <v>24366593</v>
      </c>
      <c r="F20" s="34">
        <v>57064943.748603366</v>
      </c>
      <c r="G20" s="21">
        <f t="shared" si="0"/>
        <v>32698350.748603366</v>
      </c>
      <c r="H20" s="19">
        <f t="shared" si="1"/>
        <v>1.3419336362947156</v>
      </c>
    </row>
    <row r="21" spans="1:9" x14ac:dyDescent="0.2">
      <c r="A21" s="141">
        <v>18</v>
      </c>
      <c r="B21" s="18" t="s">
        <v>63</v>
      </c>
      <c r="C21" s="34">
        <v>0</v>
      </c>
      <c r="D21" s="34">
        <v>0</v>
      </c>
      <c r="E21" s="34">
        <v>43200000</v>
      </c>
      <c r="F21" s="34">
        <v>31779999.999999996</v>
      </c>
      <c r="G21" s="21">
        <f t="shared" si="0"/>
        <v>-11420000.000000004</v>
      </c>
      <c r="H21" s="19">
        <f t="shared" si="1"/>
        <v>-0.26435185185185195</v>
      </c>
    </row>
    <row r="22" spans="1:9" x14ac:dyDescent="0.2">
      <c r="A22" s="141">
        <v>19</v>
      </c>
      <c r="B22" s="18" t="s">
        <v>65</v>
      </c>
      <c r="C22" s="34">
        <v>41247379</v>
      </c>
      <c r="D22" s="34">
        <v>55808788</v>
      </c>
      <c r="E22" s="34">
        <v>124496297</v>
      </c>
      <c r="F22" s="34">
        <v>125262330.80000001</v>
      </c>
      <c r="G22" s="21">
        <f t="shared" si="0"/>
        <v>766033.80000001192</v>
      </c>
      <c r="H22" s="19">
        <f t="shared" si="1"/>
        <v>6.1530649381484163E-3</v>
      </c>
    </row>
    <row r="23" spans="1:9" x14ac:dyDescent="0.2">
      <c r="A23" s="141"/>
      <c r="B23" s="15" t="s">
        <v>59</v>
      </c>
      <c r="C23" s="18"/>
      <c r="D23" s="18"/>
      <c r="E23" s="18"/>
      <c r="F23" s="18"/>
      <c r="G23" s="18"/>
      <c r="H23" s="18"/>
    </row>
    <row r="24" spans="1:9" x14ac:dyDescent="0.2">
      <c r="I24" s="4">
        <v>1000000</v>
      </c>
    </row>
    <row r="25" spans="1:9" ht="26.1" customHeight="1" x14ac:dyDescent="0.2">
      <c r="A25" s="233" t="s">
        <v>54</v>
      </c>
      <c r="B25" s="233" t="s">
        <v>55</v>
      </c>
      <c r="C25" s="241" t="s">
        <v>56</v>
      </c>
      <c r="D25" s="249"/>
      <c r="E25" s="249"/>
      <c r="F25" s="242"/>
      <c r="G25" s="241" t="s">
        <v>60</v>
      </c>
      <c r="H25" s="242"/>
    </row>
    <row r="26" spans="1:9" ht="15.6" customHeight="1" x14ac:dyDescent="0.2">
      <c r="A26" s="232"/>
      <c r="B26" s="232"/>
      <c r="C26" s="16" t="s">
        <v>9</v>
      </c>
      <c r="D26" s="16" t="s">
        <v>10</v>
      </c>
      <c r="E26" s="16" t="s">
        <v>11</v>
      </c>
      <c r="F26" s="16" t="s">
        <v>12</v>
      </c>
      <c r="G26" s="16" t="s">
        <v>57</v>
      </c>
      <c r="H26" s="16" t="s">
        <v>58</v>
      </c>
      <c r="I26" s="4" t="s">
        <v>80</v>
      </c>
    </row>
    <row r="27" spans="1:9" s="36" customFormat="1" x14ac:dyDescent="0.2">
      <c r="A27" s="50">
        <v>1</v>
      </c>
      <c r="B27" s="18" t="s">
        <v>61</v>
      </c>
      <c r="C27" s="34">
        <f>C11/$I$24</f>
        <v>1118.31</v>
      </c>
      <c r="D27" s="34">
        <f>D11/$I$24</f>
        <v>1557</v>
      </c>
      <c r="E27" s="95">
        <f>E11/$I$24</f>
        <v>1800</v>
      </c>
      <c r="F27" s="98">
        <f>F11/$I$24</f>
        <v>1800</v>
      </c>
      <c r="G27" s="22">
        <f t="shared" ref="G27:G45" si="2">F27-E27</f>
        <v>0</v>
      </c>
      <c r="H27" s="27">
        <f t="shared" ref="H27:H32" si="3">G27/E27</f>
        <v>0</v>
      </c>
      <c r="I27" s="35"/>
    </row>
    <row r="28" spans="1:9" s="36" customFormat="1" x14ac:dyDescent="0.2">
      <c r="A28" s="50">
        <v>2</v>
      </c>
      <c r="B28" s="24" t="s">
        <v>62</v>
      </c>
      <c r="C28" s="34">
        <f t="shared" ref="C28:F29" si="4">C7/$I$24</f>
        <v>561.90164100000004</v>
      </c>
      <c r="D28" s="34">
        <f t="shared" si="4"/>
        <v>449.57867399999998</v>
      </c>
      <c r="E28" s="95">
        <f t="shared" si="4"/>
        <v>1088.1454989697163</v>
      </c>
      <c r="F28" s="98">
        <f t="shared" si="4"/>
        <v>1488.9434961833335</v>
      </c>
      <c r="G28" s="30">
        <f t="shared" si="2"/>
        <v>400.79799721361724</v>
      </c>
      <c r="H28" s="27">
        <f t="shared" si="3"/>
        <v>0.36833125495910513</v>
      </c>
      <c r="I28" s="35"/>
    </row>
    <row r="29" spans="1:9" s="36" customFormat="1" x14ac:dyDescent="0.2">
      <c r="A29" s="50">
        <v>3</v>
      </c>
      <c r="B29" s="18" t="s">
        <v>71</v>
      </c>
      <c r="C29" s="34">
        <f t="shared" si="4"/>
        <v>170.66663</v>
      </c>
      <c r="D29" s="34">
        <f t="shared" si="4"/>
        <v>134.87764999999999</v>
      </c>
      <c r="E29" s="95">
        <f t="shared" si="4"/>
        <v>238.330592</v>
      </c>
      <c r="F29" s="98">
        <f t="shared" si="4"/>
        <v>305.71565177777779</v>
      </c>
      <c r="G29" s="34">
        <f t="shared" si="2"/>
        <v>67.385059777777798</v>
      </c>
      <c r="H29" s="27">
        <f t="shared" si="3"/>
        <v>0.28273776862761202</v>
      </c>
      <c r="I29" s="35"/>
    </row>
    <row r="30" spans="1:9" s="36" customFormat="1" x14ac:dyDescent="0.2">
      <c r="A30" s="50">
        <v>4</v>
      </c>
      <c r="B30" s="18" t="s">
        <v>67</v>
      </c>
      <c r="C30" s="34">
        <f>C15/$I$24</f>
        <v>4.6454789999999999</v>
      </c>
      <c r="D30" s="34">
        <f>D15/$I$24</f>
        <v>370.44839200000001</v>
      </c>
      <c r="E30" s="95">
        <f>E15/$I$24</f>
        <v>245.925815</v>
      </c>
      <c r="F30" s="98">
        <f>F15/$I$24</f>
        <v>247.350371</v>
      </c>
      <c r="G30" s="34">
        <f t="shared" si="2"/>
        <v>1.4245559999999955</v>
      </c>
      <c r="H30" s="27">
        <f t="shared" si="3"/>
        <v>5.7926249019444971E-3</v>
      </c>
      <c r="I30" s="35"/>
    </row>
    <row r="31" spans="1:9" s="36" customFormat="1" x14ac:dyDescent="0.2">
      <c r="A31" s="50">
        <v>5</v>
      </c>
      <c r="B31" s="18" t="s">
        <v>65</v>
      </c>
      <c r="C31" s="34">
        <f>C22/$I$24</f>
        <v>41.247379000000002</v>
      </c>
      <c r="D31" s="34">
        <f>D22/$I$24</f>
        <v>55.808788</v>
      </c>
      <c r="E31" s="95">
        <f>E22/$I$24</f>
        <v>124.496297</v>
      </c>
      <c r="F31" s="98">
        <f>F22/$I$24</f>
        <v>125.26233080000002</v>
      </c>
      <c r="G31" s="34">
        <f t="shared" si="2"/>
        <v>0.76603380000001664</v>
      </c>
      <c r="H31" s="27">
        <f t="shared" si="3"/>
        <v>6.1530649381484545E-3</v>
      </c>
      <c r="I31" s="35"/>
    </row>
    <row r="32" spans="1:9" s="36" customFormat="1" x14ac:dyDescent="0.2">
      <c r="A32" s="50">
        <v>6</v>
      </c>
      <c r="B32" s="18" t="s">
        <v>72</v>
      </c>
      <c r="C32" s="34">
        <f>C9/$I$24</f>
        <v>22.406345999999999</v>
      </c>
      <c r="D32" s="34">
        <f>D9/$I$24</f>
        <v>27.191462000000001</v>
      </c>
      <c r="E32" s="95">
        <f>E9/$I$24</f>
        <v>65.794076000000004</v>
      </c>
      <c r="F32" s="98">
        <f>F9/$I$24</f>
        <v>66</v>
      </c>
      <c r="G32" s="34">
        <f t="shared" si="2"/>
        <v>0.205923999999996</v>
      </c>
      <c r="H32" s="27">
        <f t="shared" si="3"/>
        <v>3.1298258524064689E-3</v>
      </c>
      <c r="I32" s="35"/>
    </row>
    <row r="33" spans="1:9" s="36" customFormat="1" x14ac:dyDescent="0.2">
      <c r="A33" s="50">
        <v>7</v>
      </c>
      <c r="B33" s="18" t="s">
        <v>79</v>
      </c>
      <c r="C33" s="34">
        <f t="shared" ref="C33:F34" si="5">C19/$I$24</f>
        <v>0</v>
      </c>
      <c r="D33" s="34">
        <f t="shared" si="5"/>
        <v>0</v>
      </c>
      <c r="E33" s="95">
        <f t="shared" si="5"/>
        <v>0</v>
      </c>
      <c r="F33" s="98">
        <f t="shared" si="5"/>
        <v>77.807693</v>
      </c>
      <c r="G33" s="34">
        <f t="shared" si="2"/>
        <v>77.807693</v>
      </c>
      <c r="H33" s="27">
        <v>1</v>
      </c>
      <c r="I33" s="35"/>
    </row>
    <row r="34" spans="1:9" s="36" customFormat="1" x14ac:dyDescent="0.2">
      <c r="A34" s="50">
        <v>8</v>
      </c>
      <c r="B34" s="18" t="s">
        <v>64</v>
      </c>
      <c r="C34" s="34">
        <f t="shared" si="5"/>
        <v>33.097524</v>
      </c>
      <c r="D34" s="34">
        <f t="shared" si="5"/>
        <v>56.004545</v>
      </c>
      <c r="E34" s="95">
        <f t="shared" si="5"/>
        <v>24.366593000000002</v>
      </c>
      <c r="F34" s="98">
        <f t="shared" si="5"/>
        <v>57.064943748603369</v>
      </c>
      <c r="G34" s="34">
        <f t="shared" si="2"/>
        <v>32.698350748603367</v>
      </c>
      <c r="H34" s="27">
        <f t="shared" ref="H34:H46" si="6">G34/E34</f>
        <v>1.3419336362947156</v>
      </c>
      <c r="I34" s="35"/>
    </row>
    <row r="35" spans="1:9" s="36" customFormat="1" x14ac:dyDescent="0.2">
      <c r="A35" s="50">
        <v>9</v>
      </c>
      <c r="B35" s="18" t="s">
        <v>74</v>
      </c>
      <c r="C35" s="34">
        <f>C12/$I$24</f>
        <v>7.127167</v>
      </c>
      <c r="D35" s="34">
        <f>D12/$I$24</f>
        <v>10.161365999999999</v>
      </c>
      <c r="E35" s="95">
        <f>E12/$I$24</f>
        <v>25.174116999999999</v>
      </c>
      <c r="F35" s="98">
        <f>F12/$I$24</f>
        <v>34.17099120000001</v>
      </c>
      <c r="G35" s="34">
        <f t="shared" si="2"/>
        <v>8.9968742000000113</v>
      </c>
      <c r="H35" s="27">
        <f t="shared" si="6"/>
        <v>0.35738588964212775</v>
      </c>
      <c r="I35" s="35"/>
    </row>
    <row r="36" spans="1:9" s="36" customFormat="1" x14ac:dyDescent="0.2">
      <c r="A36" s="50">
        <v>10</v>
      </c>
      <c r="B36" s="18" t="s">
        <v>63</v>
      </c>
      <c r="C36" s="34">
        <f>C21/$I$24</f>
        <v>0</v>
      </c>
      <c r="D36" s="34">
        <f>D21/$I$24</f>
        <v>0</v>
      </c>
      <c r="E36" s="95">
        <f>E21/$I$24</f>
        <v>43.2</v>
      </c>
      <c r="F36" s="98">
        <f>F21/$I$24</f>
        <v>31.779999999999998</v>
      </c>
      <c r="G36" s="34">
        <f t="shared" si="2"/>
        <v>-11.420000000000005</v>
      </c>
      <c r="H36" s="27">
        <f t="shared" si="6"/>
        <v>-0.26435185185185195</v>
      </c>
      <c r="I36" s="35"/>
    </row>
    <row r="37" spans="1:9" s="36" customFormat="1" x14ac:dyDescent="0.2">
      <c r="A37" s="50">
        <v>11</v>
      </c>
      <c r="B37" s="18" t="s">
        <v>66</v>
      </c>
      <c r="C37" s="34">
        <f>C17/$I$24</f>
        <v>3.5</v>
      </c>
      <c r="D37" s="34">
        <f>D17/$I$24</f>
        <v>43.1</v>
      </c>
      <c r="E37" s="95">
        <f>E17/$I$24</f>
        <v>34.569997999999998</v>
      </c>
      <c r="F37" s="98">
        <f>F17/$I$24</f>
        <v>32</v>
      </c>
      <c r="G37" s="34">
        <f t="shared" si="2"/>
        <v>-2.5699979999999982</v>
      </c>
      <c r="H37" s="27">
        <f t="shared" si="6"/>
        <v>-7.4341861402479642E-2</v>
      </c>
      <c r="I37" s="35"/>
    </row>
    <row r="38" spans="1:9" s="36" customFormat="1" x14ac:dyDescent="0.2">
      <c r="A38" s="50">
        <v>12</v>
      </c>
      <c r="B38" s="18" t="s">
        <v>69</v>
      </c>
      <c r="C38" s="34">
        <f>C5/$I$24</f>
        <v>0</v>
      </c>
      <c r="D38" s="34">
        <f>D5/$I$24</f>
        <v>0</v>
      </c>
      <c r="E38" s="95">
        <f>E5/$I$24</f>
        <v>23.65</v>
      </c>
      <c r="F38" s="98">
        <f>F5/$I$24</f>
        <v>20.100000000000001</v>
      </c>
      <c r="G38" s="34">
        <f t="shared" si="2"/>
        <v>-3.5499999999999972</v>
      </c>
      <c r="H38" s="27">
        <f t="shared" si="6"/>
        <v>-0.15010570824524302</v>
      </c>
      <c r="I38" s="35"/>
    </row>
    <row r="39" spans="1:9" s="36" customFormat="1" x14ac:dyDescent="0.2">
      <c r="A39" s="50">
        <v>13</v>
      </c>
      <c r="B39" s="18" t="s">
        <v>73</v>
      </c>
      <c r="C39" s="34">
        <f>C10/$I$24</f>
        <v>0</v>
      </c>
      <c r="D39" s="34">
        <f>D10/$I$24</f>
        <v>0</v>
      </c>
      <c r="E39" s="95">
        <f>E10/$I$24</f>
        <v>6.6</v>
      </c>
      <c r="F39" s="98">
        <f>F10/$I$24</f>
        <v>19.5</v>
      </c>
      <c r="G39" s="34">
        <f t="shared" si="2"/>
        <v>12.9</v>
      </c>
      <c r="H39" s="27">
        <f t="shared" si="6"/>
        <v>1.9545454545454548</v>
      </c>
      <c r="I39" s="35"/>
    </row>
    <row r="40" spans="1:9" s="36" customFormat="1" x14ac:dyDescent="0.2">
      <c r="A40" s="50">
        <v>14</v>
      </c>
      <c r="B40" s="18" t="s">
        <v>76</v>
      </c>
      <c r="C40" s="34">
        <f>C14/$I$24</f>
        <v>18.498602999999999</v>
      </c>
      <c r="D40" s="34">
        <f>D14/$I$24</f>
        <v>14.672613999999999</v>
      </c>
      <c r="E40" s="95">
        <f>E14/$I$24</f>
        <v>15.367539499999999</v>
      </c>
      <c r="F40" s="98">
        <f>F14/$I$24</f>
        <v>19.028010999999999</v>
      </c>
      <c r="G40" s="34">
        <f t="shared" si="2"/>
        <v>3.6604714999999999</v>
      </c>
      <c r="H40" s="27">
        <f t="shared" si="6"/>
        <v>0.23819502790280772</v>
      </c>
      <c r="I40" s="35"/>
    </row>
    <row r="41" spans="1:9" s="36" customFormat="1" x14ac:dyDescent="0.2">
      <c r="A41" s="50">
        <v>15</v>
      </c>
      <c r="B41" s="18" t="s">
        <v>70</v>
      </c>
      <c r="C41" s="34">
        <f>C6/$I$24</f>
        <v>6.9765620000000004</v>
      </c>
      <c r="D41" s="34">
        <f>D6/$I$24</f>
        <v>8.4730050000000006</v>
      </c>
      <c r="E41" s="95">
        <f>E6/$I$24</f>
        <v>10.904569</v>
      </c>
      <c r="F41" s="98">
        <f>F6/$I$24</f>
        <v>11.253651149999998</v>
      </c>
      <c r="G41" s="22">
        <f t="shared" si="2"/>
        <v>0.34908214999999743</v>
      </c>
      <c r="H41" s="27">
        <f t="shared" si="6"/>
        <v>3.2012466517475142E-2</v>
      </c>
      <c r="I41" s="35"/>
    </row>
    <row r="42" spans="1:9" s="36" customFormat="1" x14ac:dyDescent="0.2">
      <c r="A42" s="50">
        <v>16</v>
      </c>
      <c r="B42" s="18" t="s">
        <v>68</v>
      </c>
      <c r="C42" s="34">
        <f>C4/$I$24</f>
        <v>0</v>
      </c>
      <c r="D42" s="34">
        <f>D4/$I$24</f>
        <v>10.55</v>
      </c>
      <c r="E42" s="95">
        <f>E4/$I$24</f>
        <v>5.9</v>
      </c>
      <c r="F42" s="98">
        <f>F4/$I$24</f>
        <v>6.3</v>
      </c>
      <c r="G42" s="22">
        <f t="shared" si="2"/>
        <v>0.39999999999999947</v>
      </c>
      <c r="H42" s="27">
        <f t="shared" si="6"/>
        <v>6.7796610169491428E-2</v>
      </c>
      <c r="I42" s="35"/>
    </row>
    <row r="43" spans="1:9" s="36" customFormat="1" x14ac:dyDescent="0.2">
      <c r="A43" s="50">
        <v>17</v>
      </c>
      <c r="B43" s="18" t="s">
        <v>78</v>
      </c>
      <c r="C43" s="34">
        <f>C18/$I$24</f>
        <v>3.0929310000000001</v>
      </c>
      <c r="D43" s="34">
        <f>D18/$I$24</f>
        <v>3.8331949999999999</v>
      </c>
      <c r="E43" s="95">
        <f>E18/$I$24</f>
        <v>3.7936909999999999</v>
      </c>
      <c r="F43" s="98">
        <f>F18/$I$24</f>
        <v>5.46</v>
      </c>
      <c r="G43" s="34">
        <f t="shared" si="2"/>
        <v>1.666309</v>
      </c>
      <c r="H43" s="27">
        <f t="shared" si="6"/>
        <v>0.43923160847839215</v>
      </c>
      <c r="I43" s="35"/>
    </row>
    <row r="44" spans="1:9" s="36" customFormat="1" x14ac:dyDescent="0.2">
      <c r="A44" s="50">
        <v>18</v>
      </c>
      <c r="B44" s="18" t="s">
        <v>75</v>
      </c>
      <c r="C44" s="34">
        <f>C13/$I$24</f>
        <v>3</v>
      </c>
      <c r="D44" s="34">
        <f>D13/$I$24</f>
        <v>3</v>
      </c>
      <c r="E44" s="95">
        <f>E13/$I$24</f>
        <v>3</v>
      </c>
      <c r="F44" s="98">
        <f>F13/$I$24</f>
        <v>3</v>
      </c>
      <c r="G44" s="34">
        <f t="shared" si="2"/>
        <v>0</v>
      </c>
      <c r="H44" s="27">
        <f t="shared" si="6"/>
        <v>0</v>
      </c>
      <c r="I44" s="35"/>
    </row>
    <row r="45" spans="1:9" s="36" customFormat="1" x14ac:dyDescent="0.2">
      <c r="A45" s="50">
        <v>19</v>
      </c>
      <c r="B45" s="18" t="s">
        <v>77</v>
      </c>
      <c r="C45" s="34">
        <f>C16/$I$24</f>
        <v>1.5</v>
      </c>
      <c r="D45" s="34">
        <f>D16/$I$24</f>
        <v>0</v>
      </c>
      <c r="E45" s="95">
        <f>E16/$I$24</f>
        <v>2</v>
      </c>
      <c r="F45" s="98">
        <f>F16/$I$24</f>
        <v>0</v>
      </c>
      <c r="G45" s="34">
        <f t="shared" si="2"/>
        <v>-2</v>
      </c>
      <c r="H45" s="27">
        <f t="shared" si="6"/>
        <v>-1</v>
      </c>
      <c r="I45" s="35"/>
    </row>
    <row r="46" spans="1:9" s="36" customFormat="1" x14ac:dyDescent="0.2">
      <c r="A46" s="50"/>
      <c r="B46" s="15" t="s">
        <v>59</v>
      </c>
      <c r="C46" s="28">
        <f>SUM(C27:C45)</f>
        <v>1995.9702619999998</v>
      </c>
      <c r="D46" s="28">
        <f t="shared" ref="D46:G46" si="7">SUM(D27:D45)</f>
        <v>2744.6996909999998</v>
      </c>
      <c r="E46" s="118">
        <f t="shared" si="7"/>
        <v>3761.2187864697162</v>
      </c>
      <c r="F46" s="119">
        <f t="shared" si="7"/>
        <v>4350.7371398597161</v>
      </c>
      <c r="G46" s="28">
        <f t="shared" si="7"/>
        <v>589.5183533899982</v>
      </c>
      <c r="H46" s="37">
        <f t="shared" si="6"/>
        <v>0.15673599087367124</v>
      </c>
      <c r="I46" s="35"/>
    </row>
    <row r="48" spans="1:9" x14ac:dyDescent="0.2">
      <c r="A48" s="143"/>
    </row>
    <row r="49" spans="1:11" s="36" customFormat="1" ht="27.95" customHeight="1" x14ac:dyDescent="0.2">
      <c r="A49" s="230" t="s">
        <v>54</v>
      </c>
      <c r="B49" s="244" t="s">
        <v>81</v>
      </c>
      <c r="C49" s="246" t="s">
        <v>82</v>
      </c>
      <c r="D49" s="247"/>
      <c r="E49" s="247"/>
      <c r="F49" s="248"/>
      <c r="G49" s="241" t="s">
        <v>60</v>
      </c>
      <c r="H49" s="242"/>
      <c r="I49" s="35"/>
    </row>
    <row r="50" spans="1:11" s="36" customFormat="1" ht="20.45" customHeight="1" x14ac:dyDescent="0.2">
      <c r="A50" s="243"/>
      <c r="B50" s="245"/>
      <c r="C50" s="16" t="s">
        <v>9</v>
      </c>
      <c r="D50" s="16" t="s">
        <v>10</v>
      </c>
      <c r="E50" s="16" t="s">
        <v>11</v>
      </c>
      <c r="F50" s="16" t="s">
        <v>12</v>
      </c>
      <c r="G50" s="11" t="s">
        <v>83</v>
      </c>
      <c r="H50" s="11" t="s">
        <v>58</v>
      </c>
      <c r="I50" s="35"/>
    </row>
    <row r="51" spans="1:11" s="36" customFormat="1" ht="21.6" customHeight="1" x14ac:dyDescent="0.2">
      <c r="A51" s="50">
        <v>1</v>
      </c>
      <c r="B51" s="18" t="s">
        <v>84</v>
      </c>
      <c r="C51" s="147">
        <v>1</v>
      </c>
      <c r="D51" s="147">
        <v>2</v>
      </c>
      <c r="E51" s="148">
        <v>2</v>
      </c>
      <c r="F51" s="149">
        <v>3</v>
      </c>
      <c r="G51" s="147">
        <f>F51-E51</f>
        <v>1</v>
      </c>
      <c r="H51" s="146">
        <f>G51/E51</f>
        <v>0.5</v>
      </c>
      <c r="I51" s="25" t="s">
        <v>91</v>
      </c>
    </row>
    <row r="52" spans="1:11" s="36" customFormat="1" ht="21.6" customHeight="1" x14ac:dyDescent="0.2">
      <c r="A52" s="50">
        <v>2</v>
      </c>
      <c r="B52" s="18" t="s">
        <v>85</v>
      </c>
      <c r="C52" s="147">
        <v>0</v>
      </c>
      <c r="D52" s="147">
        <v>0</v>
      </c>
      <c r="E52" s="148">
        <v>2</v>
      </c>
      <c r="F52" s="149">
        <v>2</v>
      </c>
      <c r="G52" s="147">
        <f t="shared" ref="G52:G59" si="8">F52-E52</f>
        <v>0</v>
      </c>
      <c r="H52" s="146">
        <f t="shared" ref="H52:H59" si="9">G52/E52</f>
        <v>0</v>
      </c>
      <c r="I52" s="35"/>
    </row>
    <row r="53" spans="1:11" s="36" customFormat="1" ht="21.6" customHeight="1" x14ac:dyDescent="0.2">
      <c r="A53" s="50">
        <v>3</v>
      </c>
      <c r="B53" s="18" t="s">
        <v>86</v>
      </c>
      <c r="C53" s="147">
        <v>3</v>
      </c>
      <c r="D53" s="147">
        <v>3</v>
      </c>
      <c r="E53" s="148">
        <v>3</v>
      </c>
      <c r="F53" s="149">
        <v>3</v>
      </c>
      <c r="G53" s="147">
        <f t="shared" si="8"/>
        <v>0</v>
      </c>
      <c r="H53" s="146">
        <f t="shared" si="9"/>
        <v>0</v>
      </c>
      <c r="I53" s="35"/>
    </row>
    <row r="54" spans="1:11" s="36" customFormat="1" ht="21.6" customHeight="1" x14ac:dyDescent="0.2">
      <c r="A54" s="50">
        <v>4</v>
      </c>
      <c r="B54" s="18" t="s">
        <v>87</v>
      </c>
      <c r="C54" s="147">
        <v>1</v>
      </c>
      <c r="D54" s="147">
        <v>1</v>
      </c>
      <c r="E54" s="148">
        <v>2</v>
      </c>
      <c r="F54" s="149">
        <v>3</v>
      </c>
      <c r="G54" s="147">
        <f t="shared" si="8"/>
        <v>1</v>
      </c>
      <c r="H54" s="146">
        <f t="shared" si="9"/>
        <v>0.5</v>
      </c>
      <c r="I54" s="35"/>
    </row>
    <row r="55" spans="1:11" s="36" customFormat="1" ht="21.6" customHeight="1" x14ac:dyDescent="0.2">
      <c r="A55" s="50">
        <v>5</v>
      </c>
      <c r="B55" s="18" t="s">
        <v>88</v>
      </c>
      <c r="C55" s="147">
        <v>0</v>
      </c>
      <c r="D55" s="147">
        <v>0</v>
      </c>
      <c r="E55" s="148">
        <v>3</v>
      </c>
      <c r="F55" s="149">
        <v>3</v>
      </c>
      <c r="G55" s="147">
        <f t="shared" si="8"/>
        <v>0</v>
      </c>
      <c r="H55" s="146">
        <f t="shared" si="9"/>
        <v>0</v>
      </c>
      <c r="I55" s="35"/>
    </row>
    <row r="56" spans="1:11" s="36" customFormat="1" ht="21.6" customHeight="1" x14ac:dyDescent="0.2">
      <c r="A56" s="50">
        <v>6</v>
      </c>
      <c r="B56" s="18" t="s">
        <v>89</v>
      </c>
      <c r="C56" s="147">
        <f>SUM(C57:C58)</f>
        <v>51</v>
      </c>
      <c r="D56" s="147">
        <f t="shared" ref="D56:F56" si="10">SUM(D57:D58)</f>
        <v>42</v>
      </c>
      <c r="E56" s="148">
        <f t="shared" si="10"/>
        <v>40</v>
      </c>
      <c r="F56" s="149">
        <f t="shared" si="10"/>
        <v>39</v>
      </c>
      <c r="G56" s="147">
        <f t="shared" si="8"/>
        <v>-1</v>
      </c>
      <c r="H56" s="146">
        <f t="shared" si="9"/>
        <v>-2.5000000000000001E-2</v>
      </c>
      <c r="I56" s="35"/>
    </row>
    <row r="57" spans="1:11" s="157" customFormat="1" ht="21.6" customHeight="1" x14ac:dyDescent="0.2">
      <c r="A57" s="150"/>
      <c r="B57" s="155" t="s">
        <v>216</v>
      </c>
      <c r="C57" s="150">
        <v>1</v>
      </c>
      <c r="D57" s="150">
        <v>1</v>
      </c>
      <c r="E57" s="151">
        <v>2</v>
      </c>
      <c r="F57" s="152">
        <v>2</v>
      </c>
      <c r="G57" s="150">
        <f t="shared" si="8"/>
        <v>0</v>
      </c>
      <c r="H57" s="153">
        <f t="shared" si="9"/>
        <v>0</v>
      </c>
      <c r="I57" s="156"/>
    </row>
    <row r="58" spans="1:11" s="157" customFormat="1" ht="21.6" customHeight="1" x14ac:dyDescent="0.2">
      <c r="A58" s="150"/>
      <c r="B58" s="155" t="s">
        <v>217</v>
      </c>
      <c r="C58" s="150">
        <v>50</v>
      </c>
      <c r="D58" s="150">
        <v>41</v>
      </c>
      <c r="E58" s="151">
        <v>38</v>
      </c>
      <c r="F58" s="152">
        <v>37</v>
      </c>
      <c r="G58" s="150">
        <f t="shared" si="8"/>
        <v>-1</v>
      </c>
      <c r="H58" s="153">
        <f t="shared" si="9"/>
        <v>-2.6315789473684209E-2</v>
      </c>
      <c r="I58" s="156"/>
    </row>
    <row r="59" spans="1:11" s="36" customFormat="1" ht="21.6" customHeight="1" x14ac:dyDescent="0.2">
      <c r="A59" s="50">
        <v>7</v>
      </c>
      <c r="B59" s="18" t="s">
        <v>90</v>
      </c>
      <c r="C59" s="147">
        <v>0</v>
      </c>
      <c r="D59" s="147">
        <v>1</v>
      </c>
      <c r="E59" s="148">
        <v>1</v>
      </c>
      <c r="F59" s="149">
        <v>1</v>
      </c>
      <c r="G59" s="147">
        <f t="shared" si="8"/>
        <v>0</v>
      </c>
      <c r="H59" s="146">
        <f t="shared" si="9"/>
        <v>0</v>
      </c>
      <c r="I59" s="35"/>
    </row>
    <row r="60" spans="1:11" s="36" customFormat="1" ht="21.6" customHeight="1" x14ac:dyDescent="0.2">
      <c r="A60" s="158"/>
      <c r="B60" s="12" t="s">
        <v>59</v>
      </c>
      <c r="C60" s="147">
        <f>SUM(C51:C59)-C57-C58</f>
        <v>56</v>
      </c>
      <c r="D60" s="147">
        <f t="shared" ref="D60:G60" si="11">SUM(D51:D59)-D57-D58</f>
        <v>49</v>
      </c>
      <c r="E60" s="148">
        <f t="shared" si="11"/>
        <v>53</v>
      </c>
      <c r="F60" s="149">
        <f t="shared" si="11"/>
        <v>54</v>
      </c>
      <c r="G60" s="147">
        <f t="shared" si="11"/>
        <v>1</v>
      </c>
      <c r="H60" s="154">
        <f>G60/E60</f>
        <v>1.8867924528301886E-2</v>
      </c>
      <c r="I60" s="35"/>
    </row>
    <row r="61" spans="1:11" x14ac:dyDescent="0.2">
      <c r="K61" s="1" t="s">
        <v>94</v>
      </c>
    </row>
    <row r="62" spans="1:11" ht="27.95" customHeight="1" x14ac:dyDescent="0.2">
      <c r="A62" s="233" t="s">
        <v>54</v>
      </c>
      <c r="B62" s="226" t="s">
        <v>81</v>
      </c>
      <c r="C62" s="228" t="s">
        <v>56</v>
      </c>
      <c r="D62" s="240"/>
      <c r="E62" s="240"/>
      <c r="F62" s="229"/>
      <c r="G62" s="241" t="s">
        <v>60</v>
      </c>
      <c r="H62" s="242"/>
      <c r="I62" s="228" t="s">
        <v>92</v>
      </c>
      <c r="J62" s="229"/>
    </row>
    <row r="63" spans="1:11" ht="14.25" x14ac:dyDescent="0.2">
      <c r="A63" s="232"/>
      <c r="B63" s="227"/>
      <c r="C63" s="16" t="s">
        <v>9</v>
      </c>
      <c r="D63" s="16" t="s">
        <v>10</v>
      </c>
      <c r="E63" s="16" t="s">
        <v>11</v>
      </c>
      <c r="F63" s="16" t="s">
        <v>12</v>
      </c>
      <c r="G63" s="16" t="s">
        <v>57</v>
      </c>
      <c r="H63" s="13" t="s">
        <v>58</v>
      </c>
      <c r="I63" s="16" t="s">
        <v>11</v>
      </c>
      <c r="J63" s="16" t="s">
        <v>12</v>
      </c>
    </row>
    <row r="64" spans="1:11" x14ac:dyDescent="0.2">
      <c r="A64" s="141">
        <v>1</v>
      </c>
      <c r="B64" s="17" t="s">
        <v>84</v>
      </c>
      <c r="C64" s="29">
        <v>841977450.28947461</v>
      </c>
      <c r="D64" s="29">
        <v>1057784607.9338021</v>
      </c>
      <c r="E64" s="29">
        <v>1938634010.2435992</v>
      </c>
      <c r="F64" s="29">
        <v>2654134160</v>
      </c>
      <c r="G64" s="29">
        <f>F64-E64</f>
        <v>715500149.75640082</v>
      </c>
      <c r="H64" s="27">
        <f>G64/E64</f>
        <v>0.36907438225871969</v>
      </c>
      <c r="I64" s="19">
        <f>E64/$E$72</f>
        <v>0.20882734746143761</v>
      </c>
      <c r="J64" s="19">
        <f>F64/$F$72</f>
        <v>0.25739491985407387</v>
      </c>
    </row>
    <row r="65" spans="1:11" x14ac:dyDescent="0.2">
      <c r="A65" s="141">
        <v>2</v>
      </c>
      <c r="B65" s="17" t="s">
        <v>85</v>
      </c>
      <c r="C65" s="29"/>
      <c r="D65" s="29"/>
      <c r="E65" s="29">
        <v>232304906.37539318</v>
      </c>
      <c r="F65" s="29">
        <v>326381723</v>
      </c>
      <c r="G65" s="29">
        <f t="shared" ref="G65:G70" si="12">F65-E65</f>
        <v>94076816.624606818</v>
      </c>
      <c r="H65" s="27">
        <f t="shared" ref="H65:H70" si="13">G65/E65</f>
        <v>0.40497128576605851</v>
      </c>
      <c r="I65" s="19">
        <f t="shared" ref="I65:I70" si="14">E65/$E$72</f>
        <v>2.5023607934411111E-2</v>
      </c>
      <c r="J65" s="19">
        <f t="shared" ref="J65:J70" si="15">F65/$F$72</f>
        <v>3.1652129232766266E-2</v>
      </c>
    </row>
    <row r="66" spans="1:11" x14ac:dyDescent="0.2">
      <c r="A66" s="141">
        <v>3</v>
      </c>
      <c r="B66" s="18" t="s">
        <v>86</v>
      </c>
      <c r="C66" s="34">
        <v>282407986.71052539</v>
      </c>
      <c r="D66" s="34">
        <v>354791950.0661974</v>
      </c>
      <c r="E66" s="34">
        <v>728155473.16987646</v>
      </c>
      <c r="F66" s="34">
        <v>937584632</v>
      </c>
      <c r="G66" s="29">
        <f t="shared" si="12"/>
        <v>209429158.83012354</v>
      </c>
      <c r="H66" s="27">
        <f t="shared" si="13"/>
        <v>0.28761599211555244</v>
      </c>
      <c r="I66" s="19">
        <f t="shared" si="14"/>
        <v>7.8436040633830792E-2</v>
      </c>
      <c r="J66" s="19">
        <f t="shared" si="15"/>
        <v>9.0925893968393567E-2</v>
      </c>
    </row>
    <row r="67" spans="1:11" x14ac:dyDescent="0.2">
      <c r="A67" s="141">
        <v>4</v>
      </c>
      <c r="B67" s="18" t="s">
        <v>87</v>
      </c>
      <c r="C67" s="34">
        <v>147753262.51065832</v>
      </c>
      <c r="D67" s="34">
        <v>69623582.764568567</v>
      </c>
      <c r="E67" s="34">
        <v>320966934.29999995</v>
      </c>
      <c r="F67" s="34">
        <v>554638456</v>
      </c>
      <c r="G67" s="29">
        <f t="shared" si="12"/>
        <v>233671521.70000005</v>
      </c>
      <c r="H67" s="27">
        <f t="shared" si="13"/>
        <v>0.72802365829245508</v>
      </c>
      <c r="I67" s="19">
        <f t="shared" si="14"/>
        <v>3.4574176022155033E-2</v>
      </c>
      <c r="J67" s="19">
        <f t="shared" si="15"/>
        <v>5.3788208253235874E-2</v>
      </c>
    </row>
    <row r="68" spans="1:11" x14ac:dyDescent="0.2">
      <c r="A68" s="141">
        <v>5</v>
      </c>
      <c r="B68" s="18" t="s">
        <v>88</v>
      </c>
      <c r="C68" s="34">
        <v>97672766.994154364</v>
      </c>
      <c r="D68" s="34">
        <v>68314578.80751577</v>
      </c>
      <c r="E68" s="34">
        <v>314932384.36161882</v>
      </c>
      <c r="F68" s="34">
        <v>576390369</v>
      </c>
      <c r="G68" s="29">
        <f t="shared" si="12"/>
        <v>261457984.63838118</v>
      </c>
      <c r="H68" s="27">
        <f t="shared" si="13"/>
        <v>0.83020355359251963</v>
      </c>
      <c r="I68" s="19">
        <f t="shared" si="14"/>
        <v>3.3924141487479062E-2</v>
      </c>
      <c r="J68" s="19">
        <f t="shared" si="15"/>
        <v>5.5897684099516301E-2</v>
      </c>
    </row>
    <row r="69" spans="1:11" x14ac:dyDescent="0.2">
      <c r="A69" s="141">
        <v>6</v>
      </c>
      <c r="B69" s="18" t="s">
        <v>89</v>
      </c>
      <c r="C69" s="34">
        <v>5862031160.4951868</v>
      </c>
      <c r="D69" s="34">
        <v>4678874184.4317341</v>
      </c>
      <c r="E69" s="34">
        <v>5592992932.4452</v>
      </c>
      <c r="F69" s="34">
        <v>5076000000</v>
      </c>
      <c r="G69" s="29">
        <f t="shared" si="12"/>
        <v>-516992932.44519997</v>
      </c>
      <c r="H69" s="27">
        <f t="shared" si="13"/>
        <v>-9.2435827952883881E-2</v>
      </c>
      <c r="I69" s="19">
        <f t="shared" si="14"/>
        <v>0.60247053971076114</v>
      </c>
      <c r="J69" s="19">
        <f t="shared" si="15"/>
        <v>0.4922647215313633</v>
      </c>
    </row>
    <row r="70" spans="1:11" x14ac:dyDescent="0.2">
      <c r="A70" s="141">
        <v>7</v>
      </c>
      <c r="B70" s="18" t="s">
        <v>90</v>
      </c>
      <c r="C70" s="34"/>
      <c r="D70" s="34">
        <v>33718445.996181391</v>
      </c>
      <c r="E70" s="34">
        <v>155443110.09317985</v>
      </c>
      <c r="F70" s="34">
        <v>186395695.16666669</v>
      </c>
      <c r="G70" s="29">
        <f t="shared" si="12"/>
        <v>30952585.073486835</v>
      </c>
      <c r="H70" s="27">
        <f t="shared" si="13"/>
        <v>0.19912484416280921</v>
      </c>
      <c r="I70" s="19">
        <f t="shared" si="14"/>
        <v>1.6744146749925276E-2</v>
      </c>
      <c r="J70" s="19">
        <f t="shared" si="15"/>
        <v>1.8076443060650916E-2</v>
      </c>
    </row>
    <row r="71" spans="1:11" x14ac:dyDescent="0.2">
      <c r="A71" s="141"/>
      <c r="B71" s="18"/>
      <c r="C71" s="18"/>
      <c r="D71" s="18"/>
      <c r="E71" s="18"/>
      <c r="F71" s="18"/>
      <c r="G71" s="18"/>
      <c r="H71" s="18"/>
      <c r="I71" s="18"/>
      <c r="J71" s="18"/>
    </row>
    <row r="72" spans="1:11" x14ac:dyDescent="0.2">
      <c r="A72" s="141"/>
      <c r="B72" s="15" t="s">
        <v>59</v>
      </c>
      <c r="C72" s="38">
        <f>SUM(C64:C70)</f>
        <v>7231842627</v>
      </c>
      <c r="D72" s="38">
        <f>SUM(D64:D70)</f>
        <v>6263107350</v>
      </c>
      <c r="E72" s="38">
        <f>SUM(E64:E70)</f>
        <v>9283429750.9888668</v>
      </c>
      <c r="F72" s="38">
        <f>SUM(F64:F70)</f>
        <v>10311525035.166666</v>
      </c>
      <c r="G72" s="38">
        <f>SUM(G64:G70)</f>
        <v>1028095284.1777995</v>
      </c>
      <c r="H72" s="37">
        <f>G72/E72</f>
        <v>0.11074519996968656</v>
      </c>
      <c r="I72" s="18"/>
      <c r="J72" s="18"/>
    </row>
    <row r="73" spans="1:11" x14ac:dyDescent="0.2">
      <c r="A73" s="141"/>
      <c r="B73" s="32" t="s">
        <v>93</v>
      </c>
      <c r="C73" s="18"/>
      <c r="D73" s="18"/>
      <c r="E73" s="18"/>
      <c r="F73" s="18"/>
      <c r="G73" s="18"/>
      <c r="H73" s="18"/>
      <c r="I73" s="18"/>
      <c r="J73" s="18"/>
    </row>
    <row r="74" spans="1:11" x14ac:dyDescent="0.2">
      <c r="D74" s="9"/>
      <c r="K74" s="4">
        <v>1000000</v>
      </c>
    </row>
    <row r="75" spans="1:11" s="36" customFormat="1" ht="26.45" customHeight="1" x14ac:dyDescent="0.2">
      <c r="A75" s="233" t="s">
        <v>54</v>
      </c>
      <c r="B75" s="226" t="s">
        <v>81</v>
      </c>
      <c r="C75" s="228" t="s">
        <v>56</v>
      </c>
      <c r="D75" s="240"/>
      <c r="E75" s="240"/>
      <c r="F75" s="229"/>
      <c r="G75" s="241" t="s">
        <v>60</v>
      </c>
      <c r="H75" s="242"/>
      <c r="I75" s="228" t="s">
        <v>92</v>
      </c>
      <c r="J75" s="229"/>
    </row>
    <row r="76" spans="1:11" s="36" customFormat="1" ht="23.45" customHeight="1" x14ac:dyDescent="0.2">
      <c r="A76" s="232"/>
      <c r="B76" s="227"/>
      <c r="C76" s="16" t="s">
        <v>9</v>
      </c>
      <c r="D76" s="16" t="s">
        <v>10</v>
      </c>
      <c r="E76" s="16" t="s">
        <v>11</v>
      </c>
      <c r="F76" s="16" t="s">
        <v>12</v>
      </c>
      <c r="G76" s="16" t="s">
        <v>57</v>
      </c>
      <c r="H76" s="13" t="s">
        <v>58</v>
      </c>
      <c r="I76" s="16" t="s">
        <v>11</v>
      </c>
      <c r="J76" s="16" t="s">
        <v>12</v>
      </c>
    </row>
    <row r="77" spans="1:11" s="36" customFormat="1" ht="22.5" customHeight="1" x14ac:dyDescent="0.2">
      <c r="A77" s="50">
        <v>1</v>
      </c>
      <c r="B77" s="18" t="s">
        <v>256</v>
      </c>
      <c r="C77" s="34">
        <f>C64/$K$74</f>
        <v>841.97745028947463</v>
      </c>
      <c r="D77" s="34">
        <f t="shared" ref="D77:G77" si="16">D64/$K$74</f>
        <v>1057.7846079338021</v>
      </c>
      <c r="E77" s="95">
        <f t="shared" si="16"/>
        <v>1938.6340102435993</v>
      </c>
      <c r="F77" s="98">
        <f t="shared" si="16"/>
        <v>2654.1341600000001</v>
      </c>
      <c r="G77" s="34">
        <f t="shared" si="16"/>
        <v>715.50014975640079</v>
      </c>
      <c r="H77" s="27">
        <f>G77/E77</f>
        <v>0.36907438225871964</v>
      </c>
      <c r="I77" s="114">
        <f t="shared" ref="I77:I83" si="17">E77/$E$84</f>
        <v>0.20882734746143758</v>
      </c>
      <c r="J77" s="115">
        <f t="shared" ref="J77:J83" si="18">F77/$F$84</f>
        <v>0.25739491985407381</v>
      </c>
    </row>
    <row r="78" spans="1:11" s="36" customFormat="1" ht="22.5" customHeight="1" x14ac:dyDescent="0.2">
      <c r="A78" s="50">
        <v>2</v>
      </c>
      <c r="B78" s="18" t="s">
        <v>89</v>
      </c>
      <c r="C78" s="34">
        <f>C69/$K$74</f>
        <v>5862.0311604951867</v>
      </c>
      <c r="D78" s="34">
        <f>D69/$K$74</f>
        <v>4678.8741844317337</v>
      </c>
      <c r="E78" s="95">
        <f>E69/$K$74</f>
        <v>5592.9929324451996</v>
      </c>
      <c r="F78" s="98">
        <f>F69/$K$74</f>
        <v>5076</v>
      </c>
      <c r="G78" s="34">
        <f>G69/$K$74</f>
        <v>-516.99293244519993</v>
      </c>
      <c r="H78" s="27">
        <f>G78/E78</f>
        <v>-9.2435827952883867E-2</v>
      </c>
      <c r="I78" s="114">
        <f t="shared" si="17"/>
        <v>0.60247053971076114</v>
      </c>
      <c r="J78" s="115">
        <f t="shared" si="18"/>
        <v>0.49226472153136325</v>
      </c>
    </row>
    <row r="79" spans="1:11" s="36" customFormat="1" ht="22.5" customHeight="1" x14ac:dyDescent="0.2">
      <c r="A79" s="50">
        <v>3</v>
      </c>
      <c r="B79" s="18" t="s">
        <v>86</v>
      </c>
      <c r="C79" s="34">
        <f t="shared" ref="C79:G81" si="19">C66/$K$74</f>
        <v>282.40798671052539</v>
      </c>
      <c r="D79" s="34">
        <f t="shared" si="19"/>
        <v>354.79195006619739</v>
      </c>
      <c r="E79" s="95">
        <f t="shared" si="19"/>
        <v>728.15547316987647</v>
      </c>
      <c r="F79" s="98">
        <f t="shared" si="19"/>
        <v>937.58463200000006</v>
      </c>
      <c r="G79" s="34">
        <f t="shared" si="19"/>
        <v>209.42915883012355</v>
      </c>
      <c r="H79" s="27">
        <f>G79/E79</f>
        <v>0.28761599211555244</v>
      </c>
      <c r="I79" s="114">
        <f t="shared" si="17"/>
        <v>7.8436040633830792E-2</v>
      </c>
      <c r="J79" s="115">
        <f t="shared" si="18"/>
        <v>9.0925893968393554E-2</v>
      </c>
    </row>
    <row r="80" spans="1:11" s="36" customFormat="1" ht="22.5" customHeight="1" x14ac:dyDescent="0.2">
      <c r="A80" s="50">
        <v>4</v>
      </c>
      <c r="B80" s="18" t="s">
        <v>87</v>
      </c>
      <c r="C80" s="34">
        <f t="shared" si="19"/>
        <v>147.75326251065832</v>
      </c>
      <c r="D80" s="34">
        <f t="shared" si="19"/>
        <v>69.623582764568567</v>
      </c>
      <c r="E80" s="95">
        <f t="shared" si="19"/>
        <v>320.96693429999993</v>
      </c>
      <c r="F80" s="98">
        <f t="shared" si="19"/>
        <v>554.63845600000002</v>
      </c>
      <c r="G80" s="34">
        <f t="shared" si="19"/>
        <v>233.67152170000006</v>
      </c>
      <c r="H80" s="27">
        <f>G80/E80</f>
        <v>0.72802365829245519</v>
      </c>
      <c r="I80" s="114">
        <f t="shared" si="17"/>
        <v>3.4574176022155026E-2</v>
      </c>
      <c r="J80" s="115">
        <f t="shared" si="18"/>
        <v>5.3788208253235867E-2</v>
      </c>
    </row>
    <row r="81" spans="1:16" s="36" customFormat="1" ht="22.5" customHeight="1" x14ac:dyDescent="0.2">
      <c r="A81" s="50">
        <v>5</v>
      </c>
      <c r="B81" s="18" t="s">
        <v>88</v>
      </c>
      <c r="C81" s="34">
        <f t="shared" si="19"/>
        <v>97.672766994154358</v>
      </c>
      <c r="D81" s="34">
        <f t="shared" si="19"/>
        <v>68.314578807515772</v>
      </c>
      <c r="E81" s="95">
        <f t="shared" si="19"/>
        <v>314.9323843616188</v>
      </c>
      <c r="F81" s="98">
        <f t="shared" si="19"/>
        <v>576.39036899999996</v>
      </c>
      <c r="G81" s="34">
        <f t="shared" si="19"/>
        <v>261.45798463838116</v>
      </c>
      <c r="H81" s="27">
        <f>G81/E81</f>
        <v>0.83020355359251952</v>
      </c>
      <c r="I81" s="114">
        <f t="shared" si="17"/>
        <v>3.3924141487479055E-2</v>
      </c>
      <c r="J81" s="115">
        <f t="shared" si="18"/>
        <v>5.5897684099516287E-2</v>
      </c>
    </row>
    <row r="82" spans="1:16" s="36" customFormat="1" ht="22.5" customHeight="1" x14ac:dyDescent="0.2">
      <c r="A82" s="50">
        <v>6</v>
      </c>
      <c r="B82" s="18" t="s">
        <v>85</v>
      </c>
      <c r="C82" s="34">
        <f>C65/$K$74</f>
        <v>0</v>
      </c>
      <c r="D82" s="34">
        <f>D65/$K$74</f>
        <v>0</v>
      </c>
      <c r="E82" s="95">
        <f>E65/$K$74</f>
        <v>232.30490637539319</v>
      </c>
      <c r="F82" s="98">
        <f>F65/$K$74</f>
        <v>326.38172300000002</v>
      </c>
      <c r="G82" s="34">
        <f>G65/$K$74</f>
        <v>94.07681662460682</v>
      </c>
      <c r="H82" s="27">
        <f t="shared" ref="H82:H83" si="20">G82/E82</f>
        <v>0.40497128576605851</v>
      </c>
      <c r="I82" s="114">
        <f t="shared" si="17"/>
        <v>2.5023607934411111E-2</v>
      </c>
      <c r="J82" s="115">
        <f t="shared" si="18"/>
        <v>3.1652129232766259E-2</v>
      </c>
    </row>
    <row r="83" spans="1:16" s="36" customFormat="1" ht="22.5" customHeight="1" x14ac:dyDescent="0.2">
      <c r="A83" s="50">
        <v>7</v>
      </c>
      <c r="B83" s="18" t="s">
        <v>90</v>
      </c>
      <c r="C83" s="34">
        <f>C70/$K$74</f>
        <v>0</v>
      </c>
      <c r="D83" s="34">
        <f>D70/$K$74</f>
        <v>33.718445996181394</v>
      </c>
      <c r="E83" s="95">
        <f>E70/$K$74</f>
        <v>155.44311009317985</v>
      </c>
      <c r="F83" s="98">
        <f>F70/$K$74</f>
        <v>186.39569516666668</v>
      </c>
      <c r="G83" s="34">
        <f>G70/$K$74</f>
        <v>30.952585073486834</v>
      </c>
      <c r="H83" s="27">
        <f t="shared" si="20"/>
        <v>0.19912484416280921</v>
      </c>
      <c r="I83" s="114">
        <f t="shared" si="17"/>
        <v>1.6744146749925276E-2</v>
      </c>
      <c r="J83" s="115">
        <f t="shared" si="18"/>
        <v>1.8076443060650916E-2</v>
      </c>
    </row>
    <row r="84" spans="1:16" s="36" customFormat="1" ht="22.5" customHeight="1" x14ac:dyDescent="0.2">
      <c r="A84" s="50"/>
      <c r="B84" s="15" t="s">
        <v>59</v>
      </c>
      <c r="C84" s="38">
        <f>SUM(C77:C83)</f>
        <v>7231.842627</v>
      </c>
      <c r="D84" s="38">
        <f>SUM(D77:D83)</f>
        <v>6263.1073499999993</v>
      </c>
      <c r="E84" s="94">
        <f>SUM(E77:E83)</f>
        <v>9283.4297509888675</v>
      </c>
      <c r="F84" s="97">
        <f>SUM(F77:F83)</f>
        <v>10311.525035166667</v>
      </c>
      <c r="G84" s="38">
        <f>SUM(G77:G83)</f>
        <v>1028.0952841777994</v>
      </c>
      <c r="H84" s="37">
        <f>G84/E84</f>
        <v>0.11074519996968653</v>
      </c>
      <c r="I84" s="116"/>
      <c r="J84" s="117"/>
    </row>
    <row r="85" spans="1:16" s="36" customFormat="1" ht="22.5" customHeight="1" x14ac:dyDescent="0.2">
      <c r="A85" s="50"/>
      <c r="B85" s="32" t="s">
        <v>93</v>
      </c>
      <c r="C85" s="20">
        <f>C84/('kt tu lam'!B3*1000)</f>
        <v>9.1640140171774548E-2</v>
      </c>
      <c r="D85" s="20">
        <f>D84/('kt tu lam'!C3*1000)</f>
        <v>8.4042491612485545E-2</v>
      </c>
      <c r="E85" s="114">
        <f>E84/('kt tu lam'!D3*1000)</f>
        <v>9.0690668015976569E-2</v>
      </c>
      <c r="F85" s="115">
        <f>F84/('kt tu lam'!E3*1000)</f>
        <v>0.10353560490759149</v>
      </c>
      <c r="G85" s="18"/>
      <c r="H85" s="18"/>
      <c r="I85" s="18"/>
      <c r="J85" s="18"/>
    </row>
    <row r="87" spans="1:16" ht="12.6" customHeight="1" x14ac:dyDescent="0.2">
      <c r="A87" s="233" t="s">
        <v>54</v>
      </c>
      <c r="B87" s="233" t="s">
        <v>95</v>
      </c>
      <c r="C87" s="234" t="s">
        <v>56</v>
      </c>
      <c r="D87" s="235"/>
      <c r="E87" s="235"/>
      <c r="F87" s="236"/>
      <c r="G87" s="234" t="s">
        <v>60</v>
      </c>
      <c r="H87" s="236"/>
      <c r="I87" s="234" t="s">
        <v>92</v>
      </c>
      <c r="J87" s="236"/>
    </row>
    <row r="88" spans="1:16" ht="12.6" customHeight="1" x14ac:dyDescent="0.2">
      <c r="A88" s="231"/>
      <c r="B88" s="231"/>
      <c r="C88" s="237"/>
      <c r="D88" s="238"/>
      <c r="E88" s="238"/>
      <c r="F88" s="239"/>
      <c r="G88" s="237"/>
      <c r="H88" s="239"/>
      <c r="I88" s="237"/>
      <c r="J88" s="239"/>
    </row>
    <row r="89" spans="1:16" x14ac:dyDescent="0.2">
      <c r="A89" s="232"/>
      <c r="B89" s="232"/>
      <c r="C89" s="16" t="s">
        <v>9</v>
      </c>
      <c r="D89" s="16" t="s">
        <v>10</v>
      </c>
      <c r="E89" s="16" t="s">
        <v>11</v>
      </c>
      <c r="F89" s="16" t="s">
        <v>12</v>
      </c>
      <c r="G89" s="16" t="s">
        <v>57</v>
      </c>
      <c r="H89" s="16" t="s">
        <v>58</v>
      </c>
      <c r="I89" s="16" t="s">
        <v>11</v>
      </c>
      <c r="J89" s="16" t="s">
        <v>12</v>
      </c>
    </row>
    <row r="90" spans="1:16" s="40" customFormat="1" x14ac:dyDescent="0.2">
      <c r="A90" s="32">
        <v>1</v>
      </c>
      <c r="B90" s="39" t="s">
        <v>96</v>
      </c>
      <c r="C90" s="42">
        <v>4564471443.3999996</v>
      </c>
      <c r="D90" s="42">
        <v>3659401713</v>
      </c>
      <c r="E90" s="42">
        <v>4361465392.999999</v>
      </c>
      <c r="F90" s="42">
        <v>4079326733</v>
      </c>
      <c r="G90" s="42">
        <f>F90-E90</f>
        <v>-282138659.99999905</v>
      </c>
      <c r="H90" s="27">
        <f>IFERROR(G90/E90,0)</f>
        <v>-6.4688959919943834E-2</v>
      </c>
      <c r="I90" s="27">
        <f>E90/$E$98</f>
        <v>0.46981185940847109</v>
      </c>
      <c r="J90" s="27">
        <f>F90/$F$98</f>
        <v>0.39560847878017102</v>
      </c>
      <c r="P90" s="41"/>
    </row>
    <row r="91" spans="1:16" s="40" customFormat="1" ht="25.5" x14ac:dyDescent="0.2">
      <c r="A91" s="32">
        <v>2</v>
      </c>
      <c r="B91" s="39" t="s">
        <v>97</v>
      </c>
      <c r="C91" s="42">
        <v>0</v>
      </c>
      <c r="D91" s="42">
        <v>0</v>
      </c>
      <c r="E91" s="42">
        <v>0</v>
      </c>
      <c r="F91" s="42">
        <v>0</v>
      </c>
      <c r="G91" s="42">
        <f t="shared" ref="G91:G97" si="21">F91-E91</f>
        <v>0</v>
      </c>
      <c r="H91" s="27">
        <f t="shared" ref="H91:H97" si="22">IFERROR(G91/E91,0)</f>
        <v>0</v>
      </c>
      <c r="I91" s="27">
        <f t="shared" ref="I91:I97" si="23">E91/$E$98</f>
        <v>0</v>
      </c>
      <c r="J91" s="27">
        <f t="shared" ref="J91:J97" si="24">F91/$F$98</f>
        <v>0</v>
      </c>
      <c r="P91" s="41"/>
    </row>
    <row r="92" spans="1:16" s="40" customFormat="1" x14ac:dyDescent="0.2">
      <c r="A92" s="32">
        <v>3</v>
      </c>
      <c r="B92" s="39" t="s">
        <v>98</v>
      </c>
      <c r="C92" s="42">
        <v>315172859.50000006</v>
      </c>
      <c r="D92" s="42">
        <v>220439144</v>
      </c>
      <c r="E92" s="42">
        <v>1016231475.5999999</v>
      </c>
      <c r="F92" s="42">
        <v>1131028825</v>
      </c>
      <c r="G92" s="42">
        <f t="shared" si="21"/>
        <v>114797349.4000001</v>
      </c>
      <c r="H92" s="27">
        <f t="shared" si="22"/>
        <v>0.11296378055228198</v>
      </c>
      <c r="I92" s="27">
        <f t="shared" si="23"/>
        <v>0.10946724463464071</v>
      </c>
      <c r="J92" s="27">
        <f t="shared" si="24"/>
        <v>0.10968589235452504</v>
      </c>
      <c r="P92" s="41"/>
    </row>
    <row r="93" spans="1:16" s="40" customFormat="1" x14ac:dyDescent="0.2">
      <c r="A93" s="32">
        <v>4</v>
      </c>
      <c r="B93" s="39" t="s">
        <v>99</v>
      </c>
      <c r="C93" s="42">
        <v>0</v>
      </c>
      <c r="D93" s="42">
        <v>0</v>
      </c>
      <c r="E93" s="42">
        <v>0</v>
      </c>
      <c r="F93" s="42"/>
      <c r="G93" s="42">
        <f t="shared" si="21"/>
        <v>0</v>
      </c>
      <c r="H93" s="27">
        <f t="shared" si="22"/>
        <v>0</v>
      </c>
      <c r="I93" s="27">
        <f t="shared" si="23"/>
        <v>0</v>
      </c>
      <c r="J93" s="27">
        <f t="shared" si="24"/>
        <v>0</v>
      </c>
    </row>
    <row r="94" spans="1:16" s="40" customFormat="1" x14ac:dyDescent="0.2">
      <c r="A94" s="32">
        <v>5</v>
      </c>
      <c r="B94" s="39" t="s">
        <v>100</v>
      </c>
      <c r="C94" s="42">
        <v>1124385437</v>
      </c>
      <c r="D94" s="42">
        <v>1412576558</v>
      </c>
      <c r="E94" s="42">
        <v>2899094389.7888689</v>
      </c>
      <c r="F94" s="42">
        <v>2786809115</v>
      </c>
      <c r="G94" s="42">
        <f t="shared" si="21"/>
        <v>-112285274.7888689</v>
      </c>
      <c r="H94" s="27">
        <f t="shared" si="22"/>
        <v>-3.8731155213282402E-2</v>
      </c>
      <c r="I94" s="27">
        <f t="shared" si="23"/>
        <v>0.31228699602967952</v>
      </c>
      <c r="J94" s="27">
        <f t="shared" si="24"/>
        <v>0.270261586481228</v>
      </c>
    </row>
    <row r="95" spans="1:16" s="40" customFormat="1" x14ac:dyDescent="0.2">
      <c r="A95" s="32">
        <v>6</v>
      </c>
      <c r="B95" s="39" t="s">
        <v>101</v>
      </c>
      <c r="C95" s="43">
        <v>566745889</v>
      </c>
      <c r="D95" s="43">
        <v>488871000</v>
      </c>
      <c r="E95" s="43">
        <v>419475000</v>
      </c>
      <c r="F95" s="42">
        <v>1287854076</v>
      </c>
      <c r="G95" s="42">
        <f t="shared" si="21"/>
        <v>868379076</v>
      </c>
      <c r="H95" s="27">
        <f t="shared" si="22"/>
        <v>2.0701569247273377</v>
      </c>
      <c r="I95" s="27">
        <f t="shared" si="23"/>
        <v>4.5185347576451228E-2</v>
      </c>
      <c r="J95" s="27">
        <f t="shared" si="24"/>
        <v>0.12489462728633137</v>
      </c>
    </row>
    <row r="96" spans="1:16" s="40" customFormat="1" ht="25.5" x14ac:dyDescent="0.2">
      <c r="A96" s="32">
        <v>7</v>
      </c>
      <c r="B96" s="39" t="s">
        <v>102</v>
      </c>
      <c r="C96" s="43">
        <v>334124498.09999996</v>
      </c>
      <c r="D96" s="43">
        <v>215908935</v>
      </c>
      <c r="E96" s="43">
        <v>239917265.60000005</v>
      </c>
      <c r="F96" s="42">
        <f>1072917952-517833666</f>
        <v>555084286</v>
      </c>
      <c r="G96" s="42">
        <f t="shared" si="21"/>
        <v>315167020.39999998</v>
      </c>
      <c r="H96" s="27">
        <f t="shared" si="22"/>
        <v>1.313648768094329</v>
      </c>
      <c r="I96" s="27">
        <f t="shared" si="23"/>
        <v>2.5843602206872322E-2</v>
      </c>
      <c r="J96" s="27">
        <f t="shared" si="24"/>
        <v>5.3831444341734071E-2</v>
      </c>
    </row>
    <row r="97" spans="1:11" s="40" customFormat="1" x14ac:dyDescent="0.2">
      <c r="A97" s="32">
        <v>8</v>
      </c>
      <c r="B97" s="39" t="s">
        <v>65</v>
      </c>
      <c r="C97" s="43">
        <v>326942500</v>
      </c>
      <c r="D97" s="43">
        <v>265910000</v>
      </c>
      <c r="E97" s="43">
        <v>347246227</v>
      </c>
      <c r="F97" s="42">
        <v>471422000</v>
      </c>
      <c r="G97" s="42">
        <f t="shared" si="21"/>
        <v>124175773</v>
      </c>
      <c r="H97" s="27">
        <f t="shared" si="22"/>
        <v>0.35760150390345352</v>
      </c>
      <c r="I97" s="27">
        <f t="shared" si="23"/>
        <v>3.7404950143885292E-2</v>
      </c>
      <c r="J97" s="27">
        <f t="shared" si="24"/>
        <v>4.5717970756010487E-2</v>
      </c>
    </row>
    <row r="98" spans="1:11" ht="23.25" x14ac:dyDescent="0.2">
      <c r="A98" s="144"/>
      <c r="B98" s="15" t="s">
        <v>59</v>
      </c>
      <c r="C98" s="38">
        <f>SUM(C90:C97)</f>
        <v>7231842627</v>
      </c>
      <c r="D98" s="38">
        <f t="shared" ref="D98:G98" si="25">SUM(D90:D97)</f>
        <v>6263107350</v>
      </c>
      <c r="E98" s="38">
        <f t="shared" si="25"/>
        <v>9283429750.9888668</v>
      </c>
      <c r="F98" s="38">
        <f t="shared" si="25"/>
        <v>10311525035</v>
      </c>
      <c r="G98" s="38">
        <f t="shared" si="25"/>
        <v>1028095284.0111321</v>
      </c>
      <c r="H98" s="26">
        <f t="shared" ref="H98" si="26">G98/E98</f>
        <v>0.11074519995173335</v>
      </c>
      <c r="I98" s="18"/>
      <c r="J98" s="18"/>
    </row>
    <row r="99" spans="1:11" x14ac:dyDescent="0.2">
      <c r="C99" s="9">
        <f>C98-C72</f>
        <v>0</v>
      </c>
      <c r="D99" s="9">
        <f>D98-D72</f>
        <v>0</v>
      </c>
      <c r="E99" s="9">
        <f>E98-E72</f>
        <v>0</v>
      </c>
      <c r="F99" s="9">
        <f>F98-F72</f>
        <v>-0.16666603088378906</v>
      </c>
      <c r="K99" s="4">
        <v>1000000</v>
      </c>
    </row>
    <row r="100" spans="1:11" ht="22.5" customHeight="1" x14ac:dyDescent="0.2">
      <c r="A100" s="230" t="s">
        <v>54</v>
      </c>
      <c r="B100" s="233" t="s">
        <v>95</v>
      </c>
      <c r="C100" s="234" t="s">
        <v>56</v>
      </c>
      <c r="D100" s="235"/>
      <c r="E100" s="235"/>
      <c r="F100" s="236"/>
      <c r="G100" s="234" t="s">
        <v>60</v>
      </c>
      <c r="H100" s="236"/>
      <c r="I100" s="234" t="s">
        <v>92</v>
      </c>
      <c r="J100" s="236"/>
    </row>
    <row r="101" spans="1:11" x14ac:dyDescent="0.2">
      <c r="A101" s="231"/>
      <c r="B101" s="231"/>
      <c r="C101" s="237"/>
      <c r="D101" s="238"/>
      <c r="E101" s="238"/>
      <c r="F101" s="239"/>
      <c r="G101" s="237"/>
      <c r="H101" s="239"/>
      <c r="I101" s="237"/>
      <c r="J101" s="239"/>
    </row>
    <row r="102" spans="1:11" ht="25.5" customHeight="1" x14ac:dyDescent="0.2">
      <c r="A102" s="232"/>
      <c r="B102" s="232"/>
      <c r="C102" s="16" t="s">
        <v>9</v>
      </c>
      <c r="D102" s="16" t="s">
        <v>10</v>
      </c>
      <c r="E102" s="16" t="s">
        <v>11</v>
      </c>
      <c r="F102" s="16" t="s">
        <v>12</v>
      </c>
      <c r="G102" s="16" t="s">
        <v>57</v>
      </c>
      <c r="H102" s="16" t="s">
        <v>58</v>
      </c>
      <c r="I102" s="16" t="s">
        <v>11</v>
      </c>
      <c r="J102" s="16" t="s">
        <v>12</v>
      </c>
    </row>
    <row r="103" spans="1:11" s="36" customFormat="1" ht="25.5" customHeight="1" x14ac:dyDescent="0.2">
      <c r="A103" s="32">
        <v>1</v>
      </c>
      <c r="B103" s="39" t="s">
        <v>96</v>
      </c>
      <c r="C103" s="42">
        <f>C90/$K$99</f>
        <v>4564.4714433999998</v>
      </c>
      <c r="D103" s="42">
        <f t="shared" ref="D103:G103" si="27">D90/$K$99</f>
        <v>3659.4017130000002</v>
      </c>
      <c r="E103" s="101">
        <f t="shared" si="27"/>
        <v>4361.4653929999995</v>
      </c>
      <c r="F103" s="106">
        <f t="shared" si="27"/>
        <v>4079.3267329999999</v>
      </c>
      <c r="G103" s="42">
        <f t="shared" si="27"/>
        <v>-282.13865999999905</v>
      </c>
      <c r="H103" s="27">
        <f>IFERROR(G103/E103,0)</f>
        <v>-6.4688959919943834E-2</v>
      </c>
      <c r="I103" s="105">
        <f t="shared" ref="I103:I110" si="28">E103/$E$111</f>
        <v>0.46981185940847109</v>
      </c>
      <c r="J103" s="110">
        <f t="shared" ref="J103:J110" si="29">F103/$F$111</f>
        <v>0.39560847878017102</v>
      </c>
    </row>
    <row r="104" spans="1:11" s="36" customFormat="1" ht="25.5" customHeight="1" x14ac:dyDescent="0.2">
      <c r="A104" s="32">
        <v>2</v>
      </c>
      <c r="B104" s="159" t="s">
        <v>100</v>
      </c>
      <c r="C104" s="160">
        <f>C94/$K$99</f>
        <v>1124.3854369999999</v>
      </c>
      <c r="D104" s="160">
        <f>D94/$K$99</f>
        <v>1412.576558</v>
      </c>
      <c r="E104" s="161">
        <f>E94/$K$99</f>
        <v>2899.0943897888687</v>
      </c>
      <c r="F104" s="162">
        <f>F94/$K$99</f>
        <v>2786.809115</v>
      </c>
      <c r="G104" s="160">
        <f>G94/$K$99</f>
        <v>-112.2852747888689</v>
      </c>
      <c r="H104" s="163">
        <f>IFERROR(G104/E104,0)</f>
        <v>-3.8731155213282402E-2</v>
      </c>
      <c r="I104" s="164">
        <f t="shared" si="28"/>
        <v>0.31228699602967946</v>
      </c>
      <c r="J104" s="165">
        <f t="shared" si="29"/>
        <v>0.270261586481228</v>
      </c>
    </row>
    <row r="105" spans="1:11" s="36" customFormat="1" ht="25.5" customHeight="1" x14ac:dyDescent="0.2">
      <c r="A105" s="32">
        <v>3</v>
      </c>
      <c r="B105" s="39" t="s">
        <v>98</v>
      </c>
      <c r="C105" s="42">
        <f>C92/$K$99</f>
        <v>315.17285950000007</v>
      </c>
      <c r="D105" s="42">
        <f>D92/$K$99</f>
        <v>220.439144</v>
      </c>
      <c r="E105" s="101">
        <f>E92/$K$99</f>
        <v>1016.2314756</v>
      </c>
      <c r="F105" s="106">
        <f>F92/$K$99</f>
        <v>1131.0288250000001</v>
      </c>
      <c r="G105" s="42">
        <f>G92/$K$99</f>
        <v>114.7973494000001</v>
      </c>
      <c r="H105" s="27">
        <f t="shared" ref="H105:H110" si="30">IFERROR(G105/E105,0)</f>
        <v>0.11296378055228198</v>
      </c>
      <c r="I105" s="105">
        <f t="shared" si="28"/>
        <v>0.10946724463464071</v>
      </c>
      <c r="J105" s="110">
        <f t="shared" si="29"/>
        <v>0.10968589235452504</v>
      </c>
    </row>
    <row r="106" spans="1:11" s="36" customFormat="1" ht="25.5" customHeight="1" x14ac:dyDescent="0.2">
      <c r="A106" s="32">
        <v>4</v>
      </c>
      <c r="B106" s="39" t="s">
        <v>97</v>
      </c>
      <c r="C106" s="42">
        <f>C91/$K$99</f>
        <v>0</v>
      </c>
      <c r="D106" s="42">
        <f>D91/$K$99</f>
        <v>0</v>
      </c>
      <c r="E106" s="101">
        <f>E91/$K$99</f>
        <v>0</v>
      </c>
      <c r="F106" s="106">
        <f>F91/$K$99</f>
        <v>0</v>
      </c>
      <c r="G106" s="42">
        <f>G91/$K$99</f>
        <v>0</v>
      </c>
      <c r="H106" s="27">
        <f>IFERROR(G106/E106,0)</f>
        <v>0</v>
      </c>
      <c r="I106" s="105">
        <f t="shared" si="28"/>
        <v>0</v>
      </c>
      <c r="J106" s="110">
        <f t="shared" si="29"/>
        <v>0</v>
      </c>
    </row>
    <row r="107" spans="1:11" s="36" customFormat="1" ht="25.5" customHeight="1" thickBot="1" x14ac:dyDescent="0.25">
      <c r="A107" s="32">
        <v>5</v>
      </c>
      <c r="B107" s="39" t="s">
        <v>99</v>
      </c>
      <c r="C107" s="42">
        <f>C93/$K$99</f>
        <v>0</v>
      </c>
      <c r="D107" s="42">
        <f>D93/$K$99</f>
        <v>0</v>
      </c>
      <c r="E107" s="101">
        <f>E93/$K$99</f>
        <v>0</v>
      </c>
      <c r="F107" s="106">
        <f>F93/$K$99</f>
        <v>0</v>
      </c>
      <c r="G107" s="42">
        <f>G93/$K$99</f>
        <v>0</v>
      </c>
      <c r="H107" s="27">
        <f t="shared" si="30"/>
        <v>0</v>
      </c>
      <c r="I107" s="105">
        <f t="shared" si="28"/>
        <v>0</v>
      </c>
      <c r="J107" s="110">
        <f t="shared" si="29"/>
        <v>0</v>
      </c>
    </row>
    <row r="108" spans="1:11" s="36" customFormat="1" ht="25.5" customHeight="1" thickTop="1" x14ac:dyDescent="0.2">
      <c r="A108" s="166">
        <v>6</v>
      </c>
      <c r="B108" s="167" t="s">
        <v>101</v>
      </c>
      <c r="C108" s="168">
        <f t="shared" ref="C108:G110" si="31">C95/$K$99</f>
        <v>566.74588900000003</v>
      </c>
      <c r="D108" s="168">
        <f t="shared" si="31"/>
        <v>488.87099999999998</v>
      </c>
      <c r="E108" s="169">
        <f t="shared" si="31"/>
        <v>419.47500000000002</v>
      </c>
      <c r="F108" s="170">
        <f t="shared" si="31"/>
        <v>1287.8540760000001</v>
      </c>
      <c r="G108" s="168">
        <f t="shared" si="31"/>
        <v>868.37907600000005</v>
      </c>
      <c r="H108" s="171">
        <f t="shared" si="30"/>
        <v>2.0701569247273377</v>
      </c>
      <c r="I108" s="172">
        <f t="shared" si="28"/>
        <v>4.5185347576451228E-2</v>
      </c>
      <c r="J108" s="173">
        <f t="shared" si="29"/>
        <v>0.12489462728633137</v>
      </c>
    </row>
    <row r="109" spans="1:11" s="36" customFormat="1" ht="25.5" customHeight="1" x14ac:dyDescent="0.2">
      <c r="A109" s="32">
        <v>7</v>
      </c>
      <c r="B109" s="39" t="s">
        <v>102</v>
      </c>
      <c r="C109" s="42">
        <f t="shared" si="31"/>
        <v>334.12449809999998</v>
      </c>
      <c r="D109" s="42">
        <f t="shared" si="31"/>
        <v>215.90893500000001</v>
      </c>
      <c r="E109" s="101">
        <f t="shared" si="31"/>
        <v>239.91726560000006</v>
      </c>
      <c r="F109" s="106">
        <f t="shared" si="31"/>
        <v>555.08428600000002</v>
      </c>
      <c r="G109" s="42">
        <f t="shared" si="31"/>
        <v>315.16702039999996</v>
      </c>
      <c r="H109" s="27">
        <f t="shared" si="30"/>
        <v>1.3136487680943287</v>
      </c>
      <c r="I109" s="105">
        <f t="shared" si="28"/>
        <v>2.5843602206872322E-2</v>
      </c>
      <c r="J109" s="110">
        <f t="shared" si="29"/>
        <v>5.3831444341734071E-2</v>
      </c>
    </row>
    <row r="110" spans="1:11" s="36" customFormat="1" ht="25.5" customHeight="1" x14ac:dyDescent="0.2">
      <c r="A110" s="32">
        <v>8</v>
      </c>
      <c r="B110" s="39" t="s">
        <v>65</v>
      </c>
      <c r="C110" s="42">
        <f t="shared" si="31"/>
        <v>326.9425</v>
      </c>
      <c r="D110" s="42">
        <f t="shared" si="31"/>
        <v>265.91000000000003</v>
      </c>
      <c r="E110" s="101">
        <f t="shared" si="31"/>
        <v>347.24622699999998</v>
      </c>
      <c r="F110" s="106">
        <f t="shared" si="31"/>
        <v>471.42200000000003</v>
      </c>
      <c r="G110" s="42">
        <f t="shared" si="31"/>
        <v>124.17577300000001</v>
      </c>
      <c r="H110" s="27">
        <f t="shared" si="30"/>
        <v>0.35760150390345352</v>
      </c>
      <c r="I110" s="105">
        <f t="shared" si="28"/>
        <v>3.7404950143885285E-2</v>
      </c>
      <c r="J110" s="110">
        <f t="shared" si="29"/>
        <v>4.5717970756010487E-2</v>
      </c>
    </row>
    <row r="111" spans="1:11" s="36" customFormat="1" ht="25.5" customHeight="1" x14ac:dyDescent="0.2">
      <c r="A111" s="145"/>
      <c r="B111" s="15" t="s">
        <v>59</v>
      </c>
      <c r="C111" s="38">
        <f>SUM(C103:C110)</f>
        <v>7231.842627</v>
      </c>
      <c r="D111" s="38">
        <f>SUM(D103:D110)</f>
        <v>6263.1073500000002</v>
      </c>
      <c r="E111" s="94">
        <f>SUM(E103:E110)</f>
        <v>9283.4297509888675</v>
      </c>
      <c r="F111" s="97">
        <f>SUM(F103:F110)</f>
        <v>10311.525035000001</v>
      </c>
      <c r="G111" s="38">
        <f>SUM(G103:G110)</f>
        <v>1028.0952840111322</v>
      </c>
      <c r="H111" s="45">
        <f t="shared" ref="H111" si="32">G111/E111</f>
        <v>0.11074519995173335</v>
      </c>
      <c r="I111" s="116"/>
      <c r="J111" s="117"/>
    </row>
    <row r="112" spans="1:11" x14ac:dyDescent="0.2">
      <c r="C112" s="44">
        <f>C111-C84</f>
        <v>0</v>
      </c>
      <c r="D112" s="44">
        <f>D111-D84</f>
        <v>0</v>
      </c>
      <c r="E112" s="44">
        <f>E111-E84</f>
        <v>0</v>
      </c>
      <c r="F112" s="44">
        <f>F111-F84</f>
        <v>-1.6666672308929265E-7</v>
      </c>
      <c r="G112" s="44">
        <f>G111-G84</f>
        <v>-1.6666717783664353E-7</v>
      </c>
    </row>
    <row r="113" spans="1:10" s="36" customFormat="1" ht="21.6" customHeight="1" x14ac:dyDescent="0.2">
      <c r="A113" s="233" t="s">
        <v>54</v>
      </c>
      <c r="B113" s="226" t="s">
        <v>103</v>
      </c>
      <c r="C113" s="228" t="s">
        <v>11</v>
      </c>
      <c r="D113" s="240"/>
      <c r="E113" s="229"/>
      <c r="F113" s="228" t="s">
        <v>12</v>
      </c>
      <c r="G113" s="240"/>
      <c r="H113" s="229"/>
      <c r="I113" s="226" t="s">
        <v>92</v>
      </c>
    </row>
    <row r="114" spans="1:10" s="36" customFormat="1" ht="21.6" customHeight="1" x14ac:dyDescent="0.2">
      <c r="A114" s="232"/>
      <c r="B114" s="227"/>
      <c r="C114" s="13" t="s">
        <v>104</v>
      </c>
      <c r="D114" s="13" t="s">
        <v>105</v>
      </c>
      <c r="E114" s="13" t="s">
        <v>59</v>
      </c>
      <c r="F114" s="13" t="s">
        <v>104</v>
      </c>
      <c r="G114" s="13" t="s">
        <v>105</v>
      </c>
      <c r="H114" s="13" t="s">
        <v>59</v>
      </c>
      <c r="I114" s="227"/>
      <c r="J114" s="36" t="s">
        <v>94</v>
      </c>
    </row>
    <row r="115" spans="1:10" s="36" customFormat="1" ht="21.6" customHeight="1" x14ac:dyDescent="0.2">
      <c r="A115" s="48">
        <v>1</v>
      </c>
      <c r="B115" s="46" t="s">
        <v>106</v>
      </c>
      <c r="C115" s="95">
        <f>2976545672/1000000</f>
        <v>2976.5456720000002</v>
      </c>
      <c r="D115" s="95"/>
      <c r="E115" s="95">
        <f>SUM(C115:D115)</f>
        <v>2976.5456720000002</v>
      </c>
      <c r="F115" s="112"/>
      <c r="G115" s="112"/>
      <c r="H115" s="112">
        <f>SUM(F115:G115)</f>
        <v>0</v>
      </c>
      <c r="I115" s="20"/>
    </row>
    <row r="116" spans="1:10" s="36" customFormat="1" ht="21.6" customHeight="1" x14ac:dyDescent="0.2">
      <c r="A116" s="48">
        <v>2</v>
      </c>
      <c r="B116" s="46" t="s">
        <v>110</v>
      </c>
      <c r="C116" s="95">
        <f>767780000/1000000</f>
        <v>767.78</v>
      </c>
      <c r="D116" s="95"/>
      <c r="E116" s="95">
        <f>SUM(C116:D116)</f>
        <v>767.78</v>
      </c>
      <c r="F116" s="112"/>
      <c r="G116" s="112"/>
      <c r="H116" s="112">
        <f>SUM(F116:G116)</f>
        <v>0</v>
      </c>
      <c r="I116" s="20"/>
    </row>
    <row r="117" spans="1:10" s="36" customFormat="1" ht="21.6" customHeight="1" x14ac:dyDescent="0.2">
      <c r="A117" s="48">
        <v>3</v>
      </c>
      <c r="B117" s="46" t="s">
        <v>107</v>
      </c>
      <c r="C117" s="111"/>
      <c r="D117" s="111"/>
      <c r="E117" s="111">
        <f t="shared" ref="E117:E124" si="33">SUM(C117:D117)</f>
        <v>0</v>
      </c>
      <c r="F117" s="112"/>
      <c r="G117" s="112"/>
      <c r="H117" s="112">
        <f t="shared" ref="H117:H124" si="34">SUM(F117:G117)</f>
        <v>0</v>
      </c>
      <c r="I117" s="20"/>
    </row>
    <row r="118" spans="1:10" s="36" customFormat="1" ht="21.6" customHeight="1" x14ac:dyDescent="0.2">
      <c r="A118" s="48">
        <v>4</v>
      </c>
      <c r="B118" s="46" t="s">
        <v>108</v>
      </c>
      <c r="C118" s="111"/>
      <c r="D118" s="111"/>
      <c r="E118" s="111">
        <f t="shared" si="33"/>
        <v>0</v>
      </c>
      <c r="F118" s="112"/>
      <c r="G118" s="112"/>
      <c r="H118" s="112">
        <f t="shared" si="34"/>
        <v>0</v>
      </c>
      <c r="I118" s="20"/>
    </row>
    <row r="119" spans="1:10" s="36" customFormat="1" ht="21.6" customHeight="1" x14ac:dyDescent="0.2">
      <c r="A119" s="48">
        <v>5</v>
      </c>
      <c r="B119" s="46" t="s">
        <v>109</v>
      </c>
      <c r="C119" s="111"/>
      <c r="D119" s="111"/>
      <c r="E119" s="111">
        <f t="shared" si="33"/>
        <v>0</v>
      </c>
      <c r="F119" s="112"/>
      <c r="G119" s="112"/>
      <c r="H119" s="112">
        <f t="shared" si="34"/>
        <v>0</v>
      </c>
      <c r="I119" s="20"/>
    </row>
    <row r="120" spans="1:10" s="36" customFormat="1" ht="21.6" customHeight="1" x14ac:dyDescent="0.2">
      <c r="A120" s="48">
        <v>6</v>
      </c>
      <c r="B120" s="46" t="s">
        <v>111</v>
      </c>
      <c r="C120" s="111"/>
      <c r="D120" s="111"/>
      <c r="E120" s="111">
        <f t="shared" si="33"/>
        <v>0</v>
      </c>
      <c r="F120" s="112"/>
      <c r="G120" s="112"/>
      <c r="H120" s="112">
        <f t="shared" si="34"/>
        <v>0</v>
      </c>
      <c r="I120" s="20"/>
    </row>
    <row r="121" spans="1:10" s="36" customFormat="1" ht="21.6" customHeight="1" x14ac:dyDescent="0.2">
      <c r="A121" s="48">
        <v>7</v>
      </c>
      <c r="B121" s="46" t="s">
        <v>112</v>
      </c>
      <c r="C121" s="111"/>
      <c r="D121" s="111"/>
      <c r="E121" s="111">
        <f t="shared" si="33"/>
        <v>0</v>
      </c>
      <c r="F121" s="112"/>
      <c r="G121" s="112"/>
      <c r="H121" s="112">
        <f t="shared" si="34"/>
        <v>0</v>
      </c>
      <c r="I121" s="20"/>
    </row>
    <row r="122" spans="1:10" s="36" customFormat="1" ht="21.6" customHeight="1" x14ac:dyDescent="0.2">
      <c r="A122" s="48">
        <v>8</v>
      </c>
      <c r="B122" s="46" t="s">
        <v>113</v>
      </c>
      <c r="C122" s="111"/>
      <c r="D122" s="111"/>
      <c r="E122" s="111">
        <f t="shared" si="33"/>
        <v>0</v>
      </c>
      <c r="F122" s="112"/>
      <c r="G122" s="112"/>
      <c r="H122" s="112">
        <f t="shared" si="34"/>
        <v>0</v>
      </c>
      <c r="I122" s="20"/>
    </row>
    <row r="123" spans="1:10" s="36" customFormat="1" ht="21.6" customHeight="1" x14ac:dyDescent="0.2">
      <c r="A123" s="48">
        <v>9</v>
      </c>
      <c r="B123" s="46" t="s">
        <v>114</v>
      </c>
      <c r="C123" s="111"/>
      <c r="D123" s="111"/>
      <c r="E123" s="111">
        <f t="shared" si="33"/>
        <v>0</v>
      </c>
      <c r="F123" s="112"/>
      <c r="G123" s="112"/>
      <c r="H123" s="112">
        <f t="shared" si="34"/>
        <v>0</v>
      </c>
      <c r="I123" s="20"/>
    </row>
    <row r="124" spans="1:10" s="36" customFormat="1" ht="21.6" customHeight="1" x14ac:dyDescent="0.2">
      <c r="A124" s="48">
        <v>10</v>
      </c>
      <c r="B124" s="46" t="s">
        <v>45</v>
      </c>
      <c r="C124" s="111"/>
      <c r="D124" s="111"/>
      <c r="E124" s="111">
        <f t="shared" si="33"/>
        <v>0</v>
      </c>
      <c r="F124" s="112"/>
      <c r="G124" s="112"/>
      <c r="H124" s="112">
        <f t="shared" si="34"/>
        <v>0</v>
      </c>
      <c r="I124" s="20"/>
    </row>
    <row r="125" spans="1:10" s="36" customFormat="1" ht="21.6" customHeight="1" x14ac:dyDescent="0.2">
      <c r="A125" s="145"/>
      <c r="B125" s="47" t="s">
        <v>59</v>
      </c>
      <c r="C125" s="94">
        <f>SUM(C115:C124)</f>
        <v>3744.3256719999999</v>
      </c>
      <c r="D125" s="94">
        <f>SUM(D115:D124)</f>
        <v>0</v>
      </c>
      <c r="E125" s="94">
        <f>SUM(E115:E124)</f>
        <v>3744.3256719999999</v>
      </c>
      <c r="F125" s="113">
        <f>SUM(F115:F124)</f>
        <v>0</v>
      </c>
      <c r="G125" s="113">
        <f>SUM(G115:G124)</f>
        <v>0</v>
      </c>
      <c r="H125" s="113">
        <f t="shared" ref="H125" si="35">SUM(H115:H124)</f>
        <v>0</v>
      </c>
      <c r="I125" s="38"/>
    </row>
    <row r="126" spans="1:10" s="36" customFormat="1" ht="21.6" customHeight="1" x14ac:dyDescent="0.2">
      <c r="A126" s="145"/>
      <c r="B126" s="48" t="s">
        <v>115</v>
      </c>
      <c r="C126" s="114">
        <f>C125/('kt tu lam'!$D$3*1000)</f>
        <v>3.6578657411273988E-2</v>
      </c>
      <c r="D126" s="114">
        <f>D125/('kt tu lam'!$D$3*1000)</f>
        <v>0</v>
      </c>
      <c r="E126" s="114">
        <f>E125/('kt tu lam'!$D$3*1000)</f>
        <v>3.6578657411273988E-2</v>
      </c>
      <c r="F126" s="115">
        <f>F125/'kt tu lam'!$E$3</f>
        <v>0</v>
      </c>
      <c r="G126" s="115">
        <f>G125/'kt tu lam'!$E$3</f>
        <v>0</v>
      </c>
      <c r="H126" s="115">
        <f>H125/'kt tu lam'!$E$3</f>
        <v>0</v>
      </c>
      <c r="I126" s="18"/>
    </row>
    <row r="128" spans="1:10" ht="14.1" customHeight="1" x14ac:dyDescent="0.2">
      <c r="A128" s="226" t="s">
        <v>54</v>
      </c>
      <c r="B128" s="226" t="s">
        <v>116</v>
      </c>
      <c r="C128" s="226" t="s">
        <v>117</v>
      </c>
      <c r="D128" s="228" t="s">
        <v>118</v>
      </c>
      <c r="E128" s="229"/>
      <c r="F128" s="228" t="s">
        <v>119</v>
      </c>
      <c r="G128" s="229"/>
      <c r="H128" s="226" t="s">
        <v>120</v>
      </c>
      <c r="I128" s="226" t="s">
        <v>121</v>
      </c>
    </row>
    <row r="129" spans="1:9" ht="14.25" x14ac:dyDescent="0.2">
      <c r="A129" s="227"/>
      <c r="B129" s="227"/>
      <c r="C129" s="227"/>
      <c r="D129" s="13" t="s">
        <v>122</v>
      </c>
      <c r="E129" s="13" t="s">
        <v>123</v>
      </c>
      <c r="F129" s="13" t="s">
        <v>122</v>
      </c>
      <c r="G129" s="13" t="s">
        <v>123</v>
      </c>
      <c r="H129" s="227"/>
      <c r="I129" s="227"/>
    </row>
    <row r="130" spans="1:9" ht="23.25" x14ac:dyDescent="0.2">
      <c r="A130" s="47" t="s">
        <v>124</v>
      </c>
      <c r="B130" s="49" t="s">
        <v>125</v>
      </c>
      <c r="C130" s="14"/>
      <c r="D130" s="14"/>
      <c r="E130" s="14"/>
      <c r="F130" s="14"/>
      <c r="G130" s="14"/>
      <c r="H130" s="14"/>
      <c r="I130" s="14"/>
    </row>
    <row r="131" spans="1:9" x14ac:dyDescent="0.2">
      <c r="A131" s="141"/>
      <c r="B131" s="18"/>
      <c r="C131" s="18"/>
      <c r="D131" s="18"/>
      <c r="E131" s="18"/>
      <c r="F131" s="18"/>
      <c r="G131" s="18"/>
      <c r="H131" s="18"/>
      <c r="I131" s="18"/>
    </row>
    <row r="132" spans="1:9" ht="23.25" x14ac:dyDescent="0.2">
      <c r="A132" s="47" t="s">
        <v>126</v>
      </c>
      <c r="B132" s="49" t="s">
        <v>127</v>
      </c>
      <c r="C132" s="14"/>
      <c r="D132" s="14"/>
      <c r="E132" s="14"/>
      <c r="F132" s="14"/>
      <c r="G132" s="14"/>
      <c r="H132" s="14"/>
      <c r="I132" s="14"/>
    </row>
    <row r="133" spans="1:9" x14ac:dyDescent="0.2">
      <c r="A133" s="141"/>
      <c r="B133" s="18"/>
      <c r="C133" s="18"/>
      <c r="D133" s="18"/>
      <c r="E133" s="18"/>
      <c r="F133" s="18"/>
      <c r="G133" s="18"/>
      <c r="H133" s="18"/>
      <c r="I133" s="18"/>
    </row>
    <row r="134" spans="1:9" ht="23.25" x14ac:dyDescent="0.2">
      <c r="A134" s="47" t="s">
        <v>128</v>
      </c>
      <c r="B134" s="49" t="s">
        <v>108</v>
      </c>
      <c r="C134" s="14"/>
      <c r="D134" s="14"/>
      <c r="E134" s="14"/>
      <c r="F134" s="14"/>
      <c r="G134" s="14"/>
      <c r="H134" s="14"/>
      <c r="I134" s="14"/>
    </row>
    <row r="135" spans="1:9" ht="9.9499999999999993" customHeight="1" x14ac:dyDescent="0.2">
      <c r="A135" s="47"/>
      <c r="B135" s="49"/>
      <c r="C135" s="14"/>
      <c r="D135" s="14"/>
      <c r="E135" s="14"/>
      <c r="F135" s="14"/>
      <c r="G135" s="14"/>
      <c r="H135" s="14"/>
      <c r="I135" s="14"/>
    </row>
    <row r="136" spans="1:9" ht="23.25" x14ac:dyDescent="0.2">
      <c r="A136" s="47" t="s">
        <v>129</v>
      </c>
      <c r="B136" s="49" t="s">
        <v>109</v>
      </c>
      <c r="C136" s="14"/>
      <c r="D136" s="14"/>
      <c r="E136" s="14"/>
      <c r="F136" s="14"/>
      <c r="G136" s="14"/>
      <c r="H136" s="14"/>
      <c r="I136" s="14"/>
    </row>
    <row r="137" spans="1:9" x14ac:dyDescent="0.2">
      <c r="A137" s="141"/>
      <c r="B137" s="18"/>
      <c r="C137" s="18"/>
      <c r="D137" s="18"/>
      <c r="E137" s="18"/>
      <c r="F137" s="18"/>
      <c r="G137" s="18"/>
      <c r="H137" s="18"/>
      <c r="I137" s="18"/>
    </row>
    <row r="138" spans="1:9" ht="23.25" x14ac:dyDescent="0.2">
      <c r="A138" s="47" t="s">
        <v>130</v>
      </c>
      <c r="B138" s="49" t="s">
        <v>131</v>
      </c>
      <c r="C138" s="14"/>
      <c r="D138" s="14"/>
      <c r="E138" s="14"/>
      <c r="F138" s="14"/>
      <c r="G138" s="14"/>
      <c r="H138" s="14"/>
      <c r="I138" s="14"/>
    </row>
    <row r="139" spans="1:9" ht="11.45" customHeight="1" x14ac:dyDescent="0.2">
      <c r="A139" s="47"/>
      <c r="B139" s="49"/>
      <c r="C139" s="14"/>
      <c r="D139" s="14"/>
      <c r="E139" s="14"/>
      <c r="F139" s="14"/>
      <c r="G139" s="14"/>
      <c r="H139" s="14"/>
      <c r="I139" s="14"/>
    </row>
    <row r="140" spans="1:9" ht="23.25" x14ac:dyDescent="0.2">
      <c r="A140" s="47" t="s">
        <v>236</v>
      </c>
      <c r="B140" s="49" t="s">
        <v>237</v>
      </c>
      <c r="C140" s="14"/>
      <c r="D140" s="14"/>
      <c r="E140" s="14"/>
      <c r="F140" s="14"/>
      <c r="G140" s="14"/>
      <c r="H140" s="14"/>
      <c r="I140" s="14"/>
    </row>
    <row r="141" spans="1:9" ht="10.5" customHeight="1" x14ac:dyDescent="0.2">
      <c r="A141" s="144"/>
      <c r="B141" s="14"/>
      <c r="C141" s="14"/>
      <c r="D141" s="14"/>
      <c r="E141" s="14"/>
      <c r="F141" s="14"/>
      <c r="G141" s="14"/>
      <c r="H141" s="14"/>
      <c r="I141" s="14"/>
    </row>
    <row r="142" spans="1:9" ht="23.25" x14ac:dyDescent="0.2">
      <c r="A142" s="47" t="s">
        <v>238</v>
      </c>
      <c r="B142" s="49" t="s">
        <v>112</v>
      </c>
      <c r="C142" s="14"/>
      <c r="D142" s="14"/>
      <c r="E142" s="14"/>
      <c r="F142" s="14"/>
      <c r="G142" s="14"/>
      <c r="H142" s="14"/>
      <c r="I142" s="14"/>
    </row>
    <row r="143" spans="1:9" ht="9" customHeight="1" x14ac:dyDescent="0.2">
      <c r="A143" s="144"/>
      <c r="B143" s="14"/>
      <c r="C143" s="14"/>
      <c r="D143" s="14"/>
      <c r="E143" s="14"/>
      <c r="F143" s="14"/>
      <c r="G143" s="14"/>
      <c r="H143" s="14"/>
      <c r="I143" s="14"/>
    </row>
    <row r="144" spans="1:9" ht="23.25" x14ac:dyDescent="0.2">
      <c r="A144" s="47" t="s">
        <v>239</v>
      </c>
      <c r="B144" s="49" t="s">
        <v>113</v>
      </c>
      <c r="C144" s="14"/>
      <c r="D144" s="14"/>
      <c r="E144" s="14"/>
      <c r="F144" s="14"/>
      <c r="G144" s="14"/>
      <c r="H144" s="14"/>
      <c r="I144" s="14"/>
    </row>
    <row r="145" spans="1:9" ht="13.5" customHeight="1" x14ac:dyDescent="0.2">
      <c r="A145" s="144"/>
      <c r="B145" s="14"/>
      <c r="C145" s="14"/>
      <c r="D145" s="14"/>
      <c r="E145" s="14"/>
      <c r="F145" s="14"/>
      <c r="G145" s="14"/>
      <c r="H145" s="14"/>
      <c r="I145" s="14"/>
    </row>
    <row r="146" spans="1:9" ht="23.25" x14ac:dyDescent="0.2">
      <c r="A146" s="47" t="s">
        <v>240</v>
      </c>
      <c r="B146" s="49" t="s">
        <v>114</v>
      </c>
      <c r="C146" s="14"/>
      <c r="D146" s="14"/>
      <c r="E146" s="14"/>
      <c r="F146" s="14"/>
      <c r="G146" s="14"/>
      <c r="H146" s="14"/>
      <c r="I146" s="14"/>
    </row>
    <row r="147" spans="1:9" ht="9.9499999999999993" customHeight="1" x14ac:dyDescent="0.2">
      <c r="A147" s="144"/>
      <c r="B147" s="14"/>
      <c r="C147" s="14"/>
      <c r="D147" s="14"/>
      <c r="E147" s="14"/>
      <c r="F147" s="14"/>
      <c r="G147" s="14"/>
      <c r="H147" s="14"/>
      <c r="I147" s="14"/>
    </row>
    <row r="148" spans="1:9" ht="23.25" x14ac:dyDescent="0.2">
      <c r="A148" s="47" t="s">
        <v>241</v>
      </c>
      <c r="B148" s="49" t="s">
        <v>45</v>
      </c>
      <c r="C148" s="14"/>
      <c r="D148" s="14"/>
      <c r="E148" s="14"/>
      <c r="F148" s="14"/>
      <c r="G148" s="14"/>
      <c r="H148" s="14"/>
      <c r="I148" s="14"/>
    </row>
    <row r="149" spans="1:9" ht="23.25" x14ac:dyDescent="0.2">
      <c r="A149" s="144"/>
      <c r="B149" s="47" t="s">
        <v>59</v>
      </c>
      <c r="C149" s="38"/>
      <c r="D149" s="38"/>
      <c r="E149" s="38"/>
      <c r="F149" s="38"/>
      <c r="G149" s="38"/>
      <c r="H149" s="14"/>
      <c r="I149" s="14"/>
    </row>
  </sheetData>
  <mergeCells count="44">
    <mergeCell ref="A1:A2"/>
    <mergeCell ref="B1:B2"/>
    <mergeCell ref="C1:F1"/>
    <mergeCell ref="G1:H1"/>
    <mergeCell ref="A25:A26"/>
    <mergeCell ref="B25:B26"/>
    <mergeCell ref="C25:F25"/>
    <mergeCell ref="G25:H25"/>
    <mergeCell ref="A49:A50"/>
    <mergeCell ref="B49:B50"/>
    <mergeCell ref="C49:F49"/>
    <mergeCell ref="G49:H49"/>
    <mergeCell ref="A62:A63"/>
    <mergeCell ref="B62:B63"/>
    <mergeCell ref="C62:F62"/>
    <mergeCell ref="G62:H62"/>
    <mergeCell ref="I62:J62"/>
    <mergeCell ref="A75:A76"/>
    <mergeCell ref="B75:B76"/>
    <mergeCell ref="C75:F75"/>
    <mergeCell ref="G75:H75"/>
    <mergeCell ref="I75:J75"/>
    <mergeCell ref="A87:A89"/>
    <mergeCell ref="B87:B89"/>
    <mergeCell ref="C87:F88"/>
    <mergeCell ref="I87:J88"/>
    <mergeCell ref="G87:H88"/>
    <mergeCell ref="A113:A114"/>
    <mergeCell ref="B113:B114"/>
    <mergeCell ref="C113:E113"/>
    <mergeCell ref="F113:H113"/>
    <mergeCell ref="I113:I114"/>
    <mergeCell ref="A100:A102"/>
    <mergeCell ref="B100:B102"/>
    <mergeCell ref="C100:F101"/>
    <mergeCell ref="G100:H101"/>
    <mergeCell ref="I100:J101"/>
    <mergeCell ref="H128:H129"/>
    <mergeCell ref="I128:I129"/>
    <mergeCell ref="A128:A129"/>
    <mergeCell ref="B128:B129"/>
    <mergeCell ref="C128:C129"/>
    <mergeCell ref="D128:E128"/>
    <mergeCell ref="F128:G128"/>
  </mergeCells>
  <phoneticPr fontId="4" type="noConversion"/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DBE92-1072-4FC0-B630-70931D927E60}">
  <dimension ref="A1:AL47"/>
  <sheetViews>
    <sheetView tabSelected="1" zoomScaleNormal="100" workbookViewId="0">
      <selection activeCell="F17" sqref="F17"/>
    </sheetView>
  </sheetViews>
  <sheetFormatPr defaultRowHeight="12.75" x14ac:dyDescent="0.2"/>
  <cols>
    <col min="1" max="1" width="42" customWidth="1"/>
    <col min="2" max="2" width="12.5" customWidth="1"/>
    <col min="3" max="4" width="17.6640625" style="56" bestFit="1" customWidth="1"/>
    <col min="5" max="5" width="18.83203125" style="56" bestFit="1" customWidth="1"/>
    <col min="6" max="6" width="17.6640625" style="56" bestFit="1" customWidth="1"/>
    <col min="7" max="7" width="17" style="56" bestFit="1" customWidth="1"/>
    <col min="8" max="8" width="7.33203125" bestFit="1" customWidth="1"/>
    <col min="9" max="9" width="17.33203125" style="56" customWidth="1"/>
    <col min="10" max="10" width="27.83203125" customWidth="1"/>
    <col min="11" max="14" width="19.83203125" style="56" customWidth="1"/>
    <col min="15" max="15" width="11.6640625" bestFit="1" customWidth="1"/>
    <col min="16" max="16" width="54.33203125" customWidth="1"/>
    <col min="17" max="20" width="20" style="56" customWidth="1"/>
    <col min="21" max="21" width="14.1640625" customWidth="1"/>
    <col min="22" max="22" width="5.1640625" customWidth="1"/>
    <col min="23" max="23" width="48.5" customWidth="1"/>
    <col min="24" max="24" width="8.1640625" style="137" customWidth="1"/>
    <col min="25" max="28" width="15" style="55" customWidth="1"/>
    <col min="30" max="30" width="6.33203125" style="137" customWidth="1"/>
    <col min="31" max="31" width="44.5" customWidth="1"/>
    <col min="32" max="32" width="18" style="137" customWidth="1"/>
    <col min="33" max="36" width="15.33203125" customWidth="1"/>
    <col min="37" max="37" width="12" customWidth="1"/>
    <col min="38" max="38" width="9.83203125" style="124" customWidth="1"/>
  </cols>
  <sheetData>
    <row r="1" spans="1:38" s="59" customFormat="1" ht="18.95" customHeight="1" x14ac:dyDescent="0.2">
      <c r="A1" s="68" t="s">
        <v>132</v>
      </c>
      <c r="B1" s="68" t="s">
        <v>193</v>
      </c>
      <c r="C1" s="69" t="s">
        <v>9</v>
      </c>
      <c r="D1" s="69" t="s">
        <v>10</v>
      </c>
      <c r="E1" s="69" t="s">
        <v>11</v>
      </c>
      <c r="F1" s="69" t="s">
        <v>12</v>
      </c>
      <c r="G1" s="252" t="s">
        <v>133</v>
      </c>
      <c r="H1" s="253"/>
      <c r="I1" s="58"/>
      <c r="J1" s="70" t="s">
        <v>150</v>
      </c>
      <c r="K1" s="69" t="s">
        <v>9</v>
      </c>
      <c r="L1" s="69" t="s">
        <v>10</v>
      </c>
      <c r="M1" s="69" t="s">
        <v>11</v>
      </c>
      <c r="N1" s="69" t="s">
        <v>12</v>
      </c>
      <c r="P1" s="73" t="s">
        <v>150</v>
      </c>
      <c r="Q1" s="69" t="s">
        <v>9</v>
      </c>
      <c r="R1" s="69" t="s">
        <v>10</v>
      </c>
      <c r="S1" s="69" t="s">
        <v>11</v>
      </c>
      <c r="T1" s="69" t="s">
        <v>12</v>
      </c>
      <c r="V1" s="187" t="s">
        <v>54</v>
      </c>
      <c r="W1" s="174" t="s">
        <v>192</v>
      </c>
      <c r="X1" s="174" t="s">
        <v>193</v>
      </c>
      <c r="Y1" s="191" t="s">
        <v>9</v>
      </c>
      <c r="Z1" s="191" t="s">
        <v>10</v>
      </c>
      <c r="AA1" s="191" t="s">
        <v>11</v>
      </c>
      <c r="AB1" s="191" t="s">
        <v>12</v>
      </c>
      <c r="AD1" s="73" t="s">
        <v>54</v>
      </c>
      <c r="AE1" s="73" t="s">
        <v>150</v>
      </c>
      <c r="AF1" s="73" t="s">
        <v>193</v>
      </c>
      <c r="AG1" s="122" t="s">
        <v>9</v>
      </c>
      <c r="AH1" s="122" t="s">
        <v>10</v>
      </c>
      <c r="AI1" s="122" t="s">
        <v>11</v>
      </c>
      <c r="AJ1" s="122" t="s">
        <v>12</v>
      </c>
      <c r="AK1" s="256" t="s">
        <v>218</v>
      </c>
      <c r="AL1" s="257"/>
    </row>
    <row r="2" spans="1:38" ht="18.95" customHeight="1" x14ac:dyDescent="0.2">
      <c r="A2" s="51" t="s">
        <v>134</v>
      </c>
      <c r="B2" s="51" t="s">
        <v>250</v>
      </c>
      <c r="C2" s="42">
        <f>5652770.5/1000</f>
        <v>5652.7704999999996</v>
      </c>
      <c r="D2" s="42">
        <f>4895018.4/1000</f>
        <v>4895.0183999999999</v>
      </c>
      <c r="E2" s="42">
        <f>6159980/1000</f>
        <v>6159.98</v>
      </c>
      <c r="F2" s="42">
        <f>7116000/1000</f>
        <v>7116</v>
      </c>
      <c r="G2" s="42">
        <f>F2-E2</f>
        <v>956.02000000000044</v>
      </c>
      <c r="H2" s="27">
        <f>G2/E2</f>
        <v>0.15519855583946709</v>
      </c>
      <c r="J2" s="54" t="s">
        <v>151</v>
      </c>
      <c r="K2" s="60">
        <f>SUM(K3:K6)</f>
        <v>11226207309.860001</v>
      </c>
      <c r="L2" s="60">
        <f t="shared" ref="L2:N2" si="0">SUM(L3:L6)</f>
        <v>11878997128.482</v>
      </c>
      <c r="M2" s="60">
        <f t="shared" si="0"/>
        <v>15229289556.482</v>
      </c>
      <c r="N2" s="60">
        <f t="shared" si="0"/>
        <v>16795376830.27779</v>
      </c>
      <c r="P2" s="54" t="s">
        <v>172</v>
      </c>
      <c r="Q2" s="60">
        <v>-423578104</v>
      </c>
      <c r="R2" s="60">
        <v>-2284911122</v>
      </c>
      <c r="S2" s="60">
        <v>970691132.74818659</v>
      </c>
      <c r="T2" s="60">
        <v>297978987.36687803</v>
      </c>
      <c r="V2" s="181">
        <v>1</v>
      </c>
      <c r="W2" s="186" t="s">
        <v>194</v>
      </c>
      <c r="X2" s="181" t="s">
        <v>195</v>
      </c>
      <c r="Y2" s="21">
        <v>3.4038597307450713</v>
      </c>
      <c r="Z2" s="21">
        <v>1.6670929055695094</v>
      </c>
      <c r="AA2" s="80">
        <v>1.5437926454852857</v>
      </c>
      <c r="AB2" s="87">
        <v>1.7731481177851958</v>
      </c>
      <c r="AD2" s="15">
        <v>1</v>
      </c>
      <c r="AE2" s="54" t="s">
        <v>219</v>
      </c>
      <c r="AF2" s="15" t="s">
        <v>250</v>
      </c>
      <c r="AG2" s="125">
        <f t="shared" ref="AG2:AL2" si="1">C2</f>
        <v>5652.7704999999996</v>
      </c>
      <c r="AH2" s="125">
        <f t="shared" si="1"/>
        <v>4895.0183999999999</v>
      </c>
      <c r="AI2" s="131">
        <f>E2</f>
        <v>6159.98</v>
      </c>
      <c r="AJ2" s="134">
        <f t="shared" si="1"/>
        <v>7116</v>
      </c>
      <c r="AK2" s="125">
        <f t="shared" si="1"/>
        <v>956.02000000000044</v>
      </c>
      <c r="AL2" s="126">
        <f t="shared" si="1"/>
        <v>0.15519855583946709</v>
      </c>
    </row>
    <row r="3" spans="1:38" s="59" customFormat="1" ht="18.95" customHeight="1" x14ac:dyDescent="0.2">
      <c r="A3" s="52" t="s">
        <v>135</v>
      </c>
      <c r="B3" s="52" t="s">
        <v>251</v>
      </c>
      <c r="C3" s="62">
        <v>78915665269</v>
      </c>
      <c r="D3" s="62">
        <v>74523104085</v>
      </c>
      <c r="E3" s="62">
        <v>102263015418</v>
      </c>
      <c r="F3" s="62">
        <v>99594000000</v>
      </c>
      <c r="G3" s="62">
        <f>F3-E3</f>
        <v>-2669015418</v>
      </c>
      <c r="H3" s="63">
        <f>G3/E3</f>
        <v>-2.6099518062228082E-2</v>
      </c>
      <c r="I3" s="58"/>
      <c r="J3" s="71" t="s">
        <v>152</v>
      </c>
      <c r="K3" s="29">
        <v>2116625281</v>
      </c>
      <c r="L3" s="29">
        <v>6003863340</v>
      </c>
      <c r="M3" s="29">
        <v>2740054809</v>
      </c>
      <c r="N3" s="29">
        <f>4267622366.77954+3456789000</f>
        <v>7724411366.7795401</v>
      </c>
      <c r="P3" s="71" t="s">
        <v>173</v>
      </c>
      <c r="Q3" s="29">
        <v>1036408270</v>
      </c>
      <c r="R3" s="29">
        <v>1395798298</v>
      </c>
      <c r="S3" s="29">
        <v>1998357780.9062977</v>
      </c>
      <c r="T3" s="29">
        <v>1103800157.1666667</v>
      </c>
      <c r="V3" s="181">
        <v>2</v>
      </c>
      <c r="W3" s="186" t="s">
        <v>196</v>
      </c>
      <c r="X3" s="181" t="s">
        <v>195</v>
      </c>
      <c r="Y3" s="21">
        <v>2.007803747762491</v>
      </c>
      <c r="Z3" s="21">
        <v>1.4449992059580132</v>
      </c>
      <c r="AA3" s="80">
        <v>1.2740720786323727</v>
      </c>
      <c r="AB3" s="87">
        <v>1.3401653468227159</v>
      </c>
      <c r="AD3" s="120">
        <v>2</v>
      </c>
      <c r="AE3" s="100" t="s">
        <v>220</v>
      </c>
      <c r="AF3" s="182" t="s">
        <v>255</v>
      </c>
      <c r="AG3" s="127">
        <f t="shared" ref="AG3:AL3" si="2">C24</f>
        <v>78915.665269000005</v>
      </c>
      <c r="AH3" s="127">
        <f t="shared" si="2"/>
        <v>74523.104084999999</v>
      </c>
      <c r="AI3" s="132">
        <f t="shared" si="2"/>
        <v>102263.015418</v>
      </c>
      <c r="AJ3" s="135">
        <f t="shared" si="2"/>
        <v>99594</v>
      </c>
      <c r="AK3" s="127">
        <f>G24</f>
        <v>-2669.015418</v>
      </c>
      <c r="AL3" s="128">
        <f t="shared" si="2"/>
        <v>-2.6099518062228086E-2</v>
      </c>
    </row>
    <row r="4" spans="1:38" ht="18.95" customHeight="1" x14ac:dyDescent="0.2">
      <c r="A4" s="51" t="s">
        <v>44</v>
      </c>
      <c r="B4" s="51" t="s">
        <v>251</v>
      </c>
      <c r="C4" s="64">
        <v>1458505034</v>
      </c>
      <c r="D4" s="42">
        <v>1294051828</v>
      </c>
      <c r="E4" s="42">
        <v>1386300000</v>
      </c>
      <c r="F4" s="42">
        <v>1386233766.2337661</v>
      </c>
      <c r="G4" s="42">
        <f>F4-E4</f>
        <v>-66233.766233921051</v>
      </c>
      <c r="H4" s="27">
        <f>G4/E4</f>
        <v>-4.7777368703686831E-5</v>
      </c>
      <c r="J4" s="71" t="s">
        <v>153</v>
      </c>
      <c r="K4" s="29">
        <v>3904917434</v>
      </c>
      <c r="L4" s="29">
        <v>1638974810</v>
      </c>
      <c r="M4" s="29">
        <v>8273620186</v>
      </c>
      <c r="N4" s="29">
        <v>2404256868.4594402</v>
      </c>
      <c r="P4" s="74" t="s">
        <v>174</v>
      </c>
      <c r="Q4" s="60">
        <f>SUM(Q5:Q10)</f>
        <v>762097567.00000048</v>
      </c>
      <c r="R4" s="60">
        <f t="shared" ref="R4:T4" si="3">SUM(R5:R10)</f>
        <v>7061942551</v>
      </c>
      <c r="S4" s="60">
        <f t="shared" si="3"/>
        <v>-673460140.51886368</v>
      </c>
      <c r="T4" s="60">
        <f t="shared" si="3"/>
        <v>-1689283218.8896255</v>
      </c>
      <c r="V4" s="181">
        <v>3</v>
      </c>
      <c r="W4" s="186" t="s">
        <v>197</v>
      </c>
      <c r="X4" s="181" t="s">
        <v>195</v>
      </c>
      <c r="Y4" s="21">
        <v>0</v>
      </c>
      <c r="Z4" s="21">
        <v>0</v>
      </c>
      <c r="AA4" s="80">
        <v>0</v>
      </c>
      <c r="AB4" s="87">
        <v>0</v>
      </c>
      <c r="AD4" s="15">
        <v>3</v>
      </c>
      <c r="AE4" s="74" t="s">
        <v>221</v>
      </c>
      <c r="AF4" s="12" t="s">
        <v>255</v>
      </c>
      <c r="AG4" s="28">
        <f t="shared" ref="AG4:AL4" si="4">C27</f>
        <v>5267.8093769999978</v>
      </c>
      <c r="AH4" s="28">
        <f t="shared" si="4"/>
        <v>6047.5174160000024</v>
      </c>
      <c r="AI4" s="118">
        <f t="shared" si="4"/>
        <v>20299.478881999996</v>
      </c>
      <c r="AJ4" s="202">
        <f t="shared" si="4"/>
        <v>18207.766233766233</v>
      </c>
      <c r="AK4" s="28">
        <f t="shared" si="4"/>
        <v>-2091.7126482337626</v>
      </c>
      <c r="AL4" s="45">
        <f t="shared" si="4"/>
        <v>-0.10304267712451137</v>
      </c>
    </row>
    <row r="5" spans="1:38" ht="18.95" customHeight="1" x14ac:dyDescent="0.2">
      <c r="A5" s="51" t="s">
        <v>148</v>
      </c>
      <c r="B5" s="51" t="s">
        <v>251</v>
      </c>
      <c r="C5" s="64">
        <f>73234417604-760053715-285013031</f>
        <v>72189350858</v>
      </c>
      <c r="D5" s="42">
        <f>69651631026-2470096185</f>
        <v>67181534841</v>
      </c>
      <c r="E5" s="42">
        <v>80577236536</v>
      </c>
      <c r="F5" s="42">
        <v>80000000000</v>
      </c>
      <c r="G5" s="42">
        <f>F5-E5</f>
        <v>-577236536</v>
      </c>
      <c r="H5" s="27">
        <f>G5/E5</f>
        <v>-7.1637668504814555E-3</v>
      </c>
      <c r="J5" s="71" t="s">
        <v>154</v>
      </c>
      <c r="K5" s="29">
        <v>4604306616.8599997</v>
      </c>
      <c r="L5" s="29">
        <v>1582545526.4820001</v>
      </c>
      <c r="M5" s="29">
        <v>2740108395.4819999</v>
      </c>
      <c r="N5" s="29">
        <f>3012895143.03881+1000200000</f>
        <v>4013095143.0388098</v>
      </c>
      <c r="P5" s="71" t="s">
        <v>175</v>
      </c>
      <c r="Q5" s="29">
        <v>-286669116</v>
      </c>
      <c r="R5" s="29">
        <v>2369966381</v>
      </c>
      <c r="S5" s="29">
        <v>-466508882.48701811</v>
      </c>
      <c r="T5" s="29">
        <v>-276003344.1796484</v>
      </c>
      <c r="V5" s="181">
        <v>4</v>
      </c>
      <c r="W5" s="176" t="s">
        <v>198</v>
      </c>
      <c r="X5" s="181" t="s">
        <v>58</v>
      </c>
      <c r="Y5" s="21">
        <v>0</v>
      </c>
      <c r="Z5" s="21">
        <v>0</v>
      </c>
      <c r="AA5" s="80">
        <v>0</v>
      </c>
      <c r="AB5" s="87">
        <v>0</v>
      </c>
      <c r="AD5" s="50"/>
      <c r="AE5" s="71" t="s">
        <v>253</v>
      </c>
      <c r="AF5" s="32" t="s">
        <v>252</v>
      </c>
      <c r="AG5" s="21">
        <f>AG4/AG2</f>
        <v>0.93189868171722134</v>
      </c>
      <c r="AH5" s="21">
        <f>AH4/AH2</f>
        <v>1.2354432449120114</v>
      </c>
      <c r="AI5" s="80">
        <f>AI4/AI2</f>
        <v>3.2953806476644401</v>
      </c>
      <c r="AJ5" s="87">
        <f>AJ4/AJ2</f>
        <v>2.558708014863158</v>
      </c>
      <c r="AK5" s="21">
        <f>AJ5-AI5</f>
        <v>-0.73667263280128203</v>
      </c>
      <c r="AL5" s="79">
        <f>AK5/AI5</f>
        <v>-0.22354705315253628</v>
      </c>
    </row>
    <row r="6" spans="1:38" s="59" customFormat="1" ht="18.95" customHeight="1" x14ac:dyDescent="0.2">
      <c r="A6" s="53" t="s">
        <v>52</v>
      </c>
      <c r="B6" s="51" t="s">
        <v>251</v>
      </c>
      <c r="C6" s="65">
        <f>C3-C4-C5</f>
        <v>5267809377</v>
      </c>
      <c r="D6" s="65">
        <f>D3-D4-D5</f>
        <v>6047517416</v>
      </c>
      <c r="E6" s="65">
        <f t="shared" ref="E6:F6" si="5">E3-E4-E5</f>
        <v>20299478882</v>
      </c>
      <c r="F6" s="65">
        <f t="shared" si="5"/>
        <v>18207766233.766235</v>
      </c>
      <c r="G6" s="65">
        <f>F6-E6</f>
        <v>-2091712648.2337646</v>
      </c>
      <c r="H6" s="37">
        <f>G6/E6</f>
        <v>-0.10304267712451146</v>
      </c>
      <c r="I6" s="58"/>
      <c r="J6" s="71" t="s">
        <v>155</v>
      </c>
      <c r="K6" s="29">
        <v>600357978</v>
      </c>
      <c r="L6" s="29">
        <v>2653613452</v>
      </c>
      <c r="M6" s="29">
        <v>1475506166</v>
      </c>
      <c r="N6" s="29">
        <v>2653613452</v>
      </c>
      <c r="P6" s="71" t="s">
        <v>176</v>
      </c>
      <c r="Q6" s="29">
        <v>-2089668316.8599997</v>
      </c>
      <c r="R6" s="29">
        <v>3021761090.3779993</v>
      </c>
      <c r="S6" s="29">
        <v>-390609819.84794545</v>
      </c>
      <c r="T6" s="29">
        <v>-1039739796.7088618</v>
      </c>
      <c r="V6" s="181">
        <v>5</v>
      </c>
      <c r="W6" s="186" t="s">
        <v>199</v>
      </c>
      <c r="X6" s="181" t="s">
        <v>58</v>
      </c>
      <c r="Y6" s="21">
        <v>0</v>
      </c>
      <c r="Z6" s="21">
        <v>0</v>
      </c>
      <c r="AA6" s="80">
        <v>0</v>
      </c>
      <c r="AB6" s="87">
        <v>0</v>
      </c>
      <c r="AD6" s="50"/>
      <c r="AE6" s="71" t="s">
        <v>222</v>
      </c>
      <c r="AF6" s="32"/>
      <c r="AG6" s="203">
        <f>C7</f>
        <v>6.675239141738977E-2</v>
      </c>
      <c r="AH6" s="203">
        <f>D7</f>
        <v>8.1149564155329423E-2</v>
      </c>
      <c r="AI6" s="204">
        <f>E7</f>
        <v>0.19850264339483728</v>
      </c>
      <c r="AJ6" s="205">
        <f>F7</f>
        <v>0.18281991117704113</v>
      </c>
      <c r="AK6" s="203"/>
      <c r="AL6" s="27"/>
    </row>
    <row r="7" spans="1:38" ht="18.95" customHeight="1" x14ac:dyDescent="0.2">
      <c r="A7" s="51" t="s">
        <v>53</v>
      </c>
      <c r="B7" s="51"/>
      <c r="C7" s="66">
        <f>C6/C3</f>
        <v>6.675239141738977E-2</v>
      </c>
      <c r="D7" s="66">
        <f t="shared" ref="D7:F7" si="6">D6/D3</f>
        <v>8.1149564155329423E-2</v>
      </c>
      <c r="E7" s="66">
        <f t="shared" si="6"/>
        <v>0.19850264339483728</v>
      </c>
      <c r="F7" s="66">
        <f t="shared" si="6"/>
        <v>0.18281991117704113</v>
      </c>
      <c r="G7" s="66"/>
      <c r="H7" s="27"/>
      <c r="J7" s="54" t="s">
        <v>156</v>
      </c>
      <c r="K7" s="60">
        <f>SUM(K8:K10)</f>
        <v>5030307875</v>
      </c>
      <c r="L7" s="60">
        <f t="shared" ref="L7:N7" si="7">SUM(L8:L10)</f>
        <v>5920101245</v>
      </c>
      <c r="M7" s="60">
        <v>7145209425</v>
      </c>
      <c r="N7" s="60">
        <f t="shared" si="7"/>
        <v>7380752201.9270296</v>
      </c>
      <c r="P7" s="54" t="s">
        <v>191</v>
      </c>
      <c r="Q7" s="29">
        <v>947342800</v>
      </c>
      <c r="R7" s="29">
        <v>235864858</v>
      </c>
      <c r="S7" s="29">
        <v>189977947.371858</v>
      </c>
      <c r="T7" s="29">
        <v>-357089631.76409644</v>
      </c>
      <c r="V7" s="181">
        <v>6</v>
      </c>
      <c r="W7" s="186" t="s">
        <v>200</v>
      </c>
      <c r="X7" s="181" t="s">
        <v>195</v>
      </c>
      <c r="Y7" s="192">
        <v>0</v>
      </c>
      <c r="Z7" s="192">
        <v>0</v>
      </c>
      <c r="AA7" s="81">
        <v>0</v>
      </c>
      <c r="AB7" s="88">
        <v>0</v>
      </c>
      <c r="AD7" s="120">
        <v>4</v>
      </c>
      <c r="AE7" s="72" t="s">
        <v>223</v>
      </c>
      <c r="AF7" s="182" t="s">
        <v>255</v>
      </c>
      <c r="AG7" s="61">
        <f>1186489000/1000000</f>
        <v>1186.489</v>
      </c>
      <c r="AH7" s="61">
        <f>2225328414/1000000</f>
        <v>2225.3284140000001</v>
      </c>
      <c r="AI7" s="96">
        <f>3744325672/1000000</f>
        <v>3744.3256719999999</v>
      </c>
      <c r="AJ7" s="206"/>
      <c r="AK7" s="207">
        <f>AJ7-AI7</f>
        <v>-3744.3256719999999</v>
      </c>
      <c r="AL7" s="63">
        <f>AK7/AI7</f>
        <v>-1</v>
      </c>
    </row>
    <row r="8" spans="1:38" s="59" customFormat="1" ht="18.95" customHeight="1" x14ac:dyDescent="0.2">
      <c r="A8" s="53" t="s">
        <v>136</v>
      </c>
      <c r="B8" s="51" t="s">
        <v>251</v>
      </c>
      <c r="C8" s="67">
        <v>3624773532.9581809</v>
      </c>
      <c r="D8" s="65">
        <v>4829197048</v>
      </c>
      <c r="E8" s="65">
        <f>7197593137+3012676807</f>
        <v>10210269944</v>
      </c>
      <c r="F8" s="65">
        <v>10816000000</v>
      </c>
      <c r="G8" s="65">
        <f>F8-E8</f>
        <v>605730056</v>
      </c>
      <c r="H8" s="37">
        <f>G8/E8</f>
        <v>5.9325567230076363E-2</v>
      </c>
      <c r="I8" s="58"/>
      <c r="J8" s="71" t="s">
        <v>157</v>
      </c>
      <c r="K8" s="29">
        <v>4820029021</v>
      </c>
      <c r="L8" s="29">
        <v>5649559137</v>
      </c>
      <c r="M8" s="29">
        <v>5818128147</v>
      </c>
      <c r="N8" s="29">
        <f>6291726870.92703+218960190+599523033</f>
        <v>7110210093.9270296</v>
      </c>
      <c r="P8" s="71" t="s">
        <v>177</v>
      </c>
      <c r="Q8" s="29">
        <v>2265189997</v>
      </c>
      <c r="R8" s="29">
        <v>-19023757</v>
      </c>
      <c r="S8" s="29">
        <v>-6319385.555758141</v>
      </c>
      <c r="T8" s="29">
        <v>-16450446.237018848</v>
      </c>
      <c r="V8" s="181">
        <v>7</v>
      </c>
      <c r="W8" s="186" t="s">
        <v>201</v>
      </c>
      <c r="X8" s="181" t="s">
        <v>195</v>
      </c>
      <c r="Y8" s="21">
        <f>K36/K35</f>
        <v>0.20287753004601908</v>
      </c>
      <c r="Z8" s="21">
        <f t="shared" ref="Z8:AB8" si="8">L36/L35</f>
        <v>0.40033353425913115</v>
      </c>
      <c r="AA8" s="80">
        <f t="shared" si="8"/>
        <v>0.37107298594747673</v>
      </c>
      <c r="AB8" s="87">
        <f t="shared" si="8"/>
        <v>0.28782375643430969</v>
      </c>
      <c r="AD8" s="50"/>
      <c r="AE8" s="71" t="s">
        <v>224</v>
      </c>
      <c r="AF8" s="32"/>
      <c r="AG8" s="20">
        <f>AG7/AG3</f>
        <v>1.503489827977262E-2</v>
      </c>
      <c r="AH8" s="20">
        <f t="shared" ref="AH8:AJ8" si="9">AH7/AH3</f>
        <v>2.9860919527208929E-2</v>
      </c>
      <c r="AI8" s="114">
        <f t="shared" si="9"/>
        <v>3.6614661289764164E-2</v>
      </c>
      <c r="AJ8" s="115">
        <f t="shared" si="9"/>
        <v>0</v>
      </c>
      <c r="AK8" s="20"/>
      <c r="AL8" s="27"/>
    </row>
    <row r="9" spans="1:38" ht="18.95" customHeight="1" x14ac:dyDescent="0.2">
      <c r="A9" s="51" t="s">
        <v>137</v>
      </c>
      <c r="B9" s="51"/>
      <c r="C9" s="27">
        <f>C8/C3</f>
        <v>4.5932243244765247E-2</v>
      </c>
      <c r="D9" s="27">
        <f t="shared" ref="D9:F9" si="10">D8/D3</f>
        <v>6.4801340568045665E-2</v>
      </c>
      <c r="E9" s="27">
        <f t="shared" si="10"/>
        <v>9.9843231712516287E-2</v>
      </c>
      <c r="F9" s="27">
        <f t="shared" si="10"/>
        <v>0.10860091973412053</v>
      </c>
      <c r="G9" s="27"/>
      <c r="H9" s="27"/>
      <c r="J9" s="71" t="s">
        <v>158</v>
      </c>
      <c r="K9" s="29"/>
      <c r="L9" s="29"/>
      <c r="M9" s="29"/>
      <c r="N9" s="29"/>
      <c r="P9" s="71" t="s">
        <v>178</v>
      </c>
      <c r="Q9" s="29">
        <v>77386213</v>
      </c>
      <c r="R9" s="29">
        <v>-2138255474</v>
      </c>
      <c r="S9" s="29">
        <v>0</v>
      </c>
      <c r="T9" s="29">
        <v>0</v>
      </c>
      <c r="V9" s="181">
        <v>8</v>
      </c>
      <c r="W9" s="176" t="s">
        <v>202</v>
      </c>
      <c r="X9" s="181" t="s">
        <v>58</v>
      </c>
      <c r="Y9" s="196">
        <f>C40/K45</f>
        <v>-5.0670247641045545E-2</v>
      </c>
      <c r="Z9" s="196">
        <f t="shared" ref="Z9:AB9" si="11">D40/L45</f>
        <v>-0.15662412206666648</v>
      </c>
      <c r="AA9" s="82">
        <f t="shared" si="11"/>
        <v>0.28034196266666644</v>
      </c>
      <c r="AB9" s="89">
        <f t="shared" si="11"/>
        <v>0.12010867008818088</v>
      </c>
      <c r="AD9" s="120">
        <v>5</v>
      </c>
      <c r="AE9" s="72" t="s">
        <v>235</v>
      </c>
      <c r="AF9" s="182" t="s">
        <v>255</v>
      </c>
      <c r="AG9" s="61">
        <f>Sheet1!C46</f>
        <v>1995.9702619999998</v>
      </c>
      <c r="AH9" s="61">
        <f>Sheet1!D46</f>
        <v>2744.6996909999998</v>
      </c>
      <c r="AI9" s="96">
        <f>Sheet1!E46</f>
        <v>3761.2187864697162</v>
      </c>
      <c r="AJ9" s="99">
        <f>Sheet1!F46</f>
        <v>4350.7371398597161</v>
      </c>
      <c r="AK9" s="207">
        <f>AJ9-AI9</f>
        <v>589.5183533899999</v>
      </c>
      <c r="AL9" s="63">
        <f>AK9/AI9</f>
        <v>0.15673599087367168</v>
      </c>
    </row>
    <row r="10" spans="1:38" ht="18.95" customHeight="1" x14ac:dyDescent="0.2">
      <c r="A10" s="53" t="s">
        <v>138</v>
      </c>
      <c r="B10" s="51" t="s">
        <v>251</v>
      </c>
      <c r="C10" s="42">
        <v>0</v>
      </c>
      <c r="D10" s="42">
        <v>0</v>
      </c>
      <c r="E10" s="42">
        <v>0</v>
      </c>
      <c r="F10" s="42">
        <v>0</v>
      </c>
      <c r="G10" s="42">
        <v>0</v>
      </c>
      <c r="H10" s="27"/>
      <c r="J10" s="71" t="s">
        <v>159</v>
      </c>
      <c r="K10" s="29">
        <v>210278854</v>
      </c>
      <c r="L10" s="29">
        <v>270542108</v>
      </c>
      <c r="M10" s="29">
        <v>396258186</v>
      </c>
      <c r="N10" s="29">
        <v>270542108</v>
      </c>
      <c r="P10" s="71" t="s">
        <v>179</v>
      </c>
      <c r="Q10" s="29">
        <v>-151484010.13999987</v>
      </c>
      <c r="R10" s="29">
        <v>3591629452.6220002</v>
      </c>
      <c r="S10" s="29">
        <v>0</v>
      </c>
      <c r="T10" s="29">
        <v>0</v>
      </c>
      <c r="V10" s="181">
        <v>9</v>
      </c>
      <c r="W10" s="176" t="s">
        <v>203</v>
      </c>
      <c r="X10" s="181" t="s">
        <v>58</v>
      </c>
      <c r="Y10" s="197">
        <f>C40/K35</f>
        <v>-4.6753791078393947E-2</v>
      </c>
      <c r="Z10" s="197">
        <f t="shared" ref="Z10:AB10" si="12">D40/L35</f>
        <v>-0.13199330559913058</v>
      </c>
      <c r="AA10" s="82">
        <f t="shared" si="12"/>
        <v>0.1961011471014906</v>
      </c>
      <c r="AB10" s="89">
        <f t="shared" si="12"/>
        <v>7.4521030596865892E-2</v>
      </c>
      <c r="AD10" s="50"/>
      <c r="AE10" s="71" t="s">
        <v>242</v>
      </c>
      <c r="AF10" s="32"/>
      <c r="AG10" s="20">
        <f>AG9/AG3</f>
        <v>2.5292446755613495E-2</v>
      </c>
      <c r="AH10" s="20">
        <f t="shared" ref="AH10:AJ10" si="13">AH9/AH3</f>
        <v>3.6830184742028919E-2</v>
      </c>
      <c r="AI10" s="114">
        <f t="shared" si="13"/>
        <v>3.67798540957915E-2</v>
      </c>
      <c r="AJ10" s="115">
        <f t="shared" si="13"/>
        <v>4.3684731408114102E-2</v>
      </c>
      <c r="AK10" s="20"/>
      <c r="AL10" s="27"/>
    </row>
    <row r="11" spans="1:38" ht="18.95" customHeight="1" x14ac:dyDescent="0.2">
      <c r="A11" s="51" t="s">
        <v>139</v>
      </c>
      <c r="B11" s="51"/>
      <c r="C11" s="66">
        <v>0</v>
      </c>
      <c r="D11" s="66">
        <v>0</v>
      </c>
      <c r="E11" s="66">
        <v>0</v>
      </c>
      <c r="F11" s="66">
        <v>0</v>
      </c>
      <c r="G11" s="130">
        <v>0</v>
      </c>
      <c r="H11" s="66">
        <v>0</v>
      </c>
      <c r="J11" s="72" t="s">
        <v>160</v>
      </c>
      <c r="K11" s="57">
        <f>K2+K7</f>
        <v>16256515184.860001</v>
      </c>
      <c r="L11" s="57">
        <f t="shared" ref="L11:N11" si="14">L2+L7</f>
        <v>17799098373.482002</v>
      </c>
      <c r="M11" s="57">
        <f>M2+M7</f>
        <v>22374498981.482002</v>
      </c>
      <c r="N11" s="57">
        <f t="shared" si="14"/>
        <v>24176129032.204819</v>
      </c>
      <c r="P11" s="70" t="s">
        <v>180</v>
      </c>
      <c r="Q11" s="75">
        <f>Q2+Q3+Q4</f>
        <v>1374927733.0000005</v>
      </c>
      <c r="R11" s="75">
        <f t="shared" ref="R11:T11" si="15">R2+R3+R4</f>
        <v>6172829727</v>
      </c>
      <c r="S11" s="75">
        <f t="shared" si="15"/>
        <v>2295588773.1356206</v>
      </c>
      <c r="T11" s="75">
        <f t="shared" si="15"/>
        <v>-287504074.35608077</v>
      </c>
      <c r="V11" s="181">
        <v>10</v>
      </c>
      <c r="W11" s="176" t="s">
        <v>204</v>
      </c>
      <c r="X11" s="181" t="s">
        <v>58</v>
      </c>
      <c r="Y11" s="180">
        <f>C35/C24</f>
        <v>3.6051844716787863E-3</v>
      </c>
      <c r="Z11" s="180">
        <f t="shared" ref="Z11:AB11" si="16">D35/D24</f>
        <v>-1.1765007158048253E-2</v>
      </c>
      <c r="AA11" s="82">
        <f t="shared" si="16"/>
        <v>6.1183196001266191E-2</v>
      </c>
      <c r="AB11" s="89">
        <f t="shared" si="16"/>
        <v>3.1115610884439482E-2</v>
      </c>
      <c r="AD11" s="120">
        <v>6</v>
      </c>
      <c r="AE11" s="72" t="s">
        <v>225</v>
      </c>
      <c r="AF11" s="182" t="s">
        <v>255</v>
      </c>
      <c r="AG11" s="61">
        <f>Sheet1!C84</f>
        <v>7231.842627</v>
      </c>
      <c r="AH11" s="61">
        <f>Sheet1!D84</f>
        <v>6263.1073499999993</v>
      </c>
      <c r="AI11" s="96">
        <f>Sheet1!E84</f>
        <v>9283.4297509888675</v>
      </c>
      <c r="AJ11" s="99">
        <f>Sheet1!F84</f>
        <v>10311.525035166667</v>
      </c>
      <c r="AK11" s="207">
        <f>AJ11-AI11</f>
        <v>1028.0952841777998</v>
      </c>
      <c r="AL11" s="63">
        <f>AK11/AI11</f>
        <v>0.11074519996968658</v>
      </c>
    </row>
    <row r="12" spans="1:38" s="59" customFormat="1" ht="18.95" customHeight="1" x14ac:dyDescent="0.2">
      <c r="A12" s="53" t="s">
        <v>140</v>
      </c>
      <c r="B12" s="51" t="s">
        <v>251</v>
      </c>
      <c r="C12" s="65">
        <v>1378167443.0418193</v>
      </c>
      <c r="D12" s="65">
        <v>2036034770</v>
      </c>
      <c r="E12" s="65">
        <v>4197280868</v>
      </c>
      <c r="F12" s="65">
        <v>4292838083.3413696</v>
      </c>
      <c r="G12" s="65">
        <f>F12-E12</f>
        <v>95557215.341369629</v>
      </c>
      <c r="H12" s="37">
        <f>G12/E12</f>
        <v>2.2766457224699034E-2</v>
      </c>
      <c r="I12" s="58"/>
      <c r="J12" s="54" t="s">
        <v>161</v>
      </c>
      <c r="K12" s="60">
        <f>K13+K17</f>
        <v>3298081647.8600001</v>
      </c>
      <c r="L12" s="60">
        <f>L13+L17</f>
        <v>7125575958.4820004</v>
      </c>
      <c r="M12" s="60">
        <f>M13+M17</f>
        <v>7957168842</v>
      </c>
      <c r="N12" s="60">
        <f t="shared" ref="N12" si="17">N13+N17</f>
        <v>7957168842</v>
      </c>
      <c r="P12" s="39" t="s">
        <v>181</v>
      </c>
      <c r="Q12" s="29">
        <v>-1121281000</v>
      </c>
      <c r="R12" s="29">
        <v>-2225328414</v>
      </c>
      <c r="S12" s="29">
        <v>-3744325672</v>
      </c>
      <c r="T12" s="29"/>
      <c r="V12" s="181">
        <v>11</v>
      </c>
      <c r="W12" s="176" t="s">
        <v>205</v>
      </c>
      <c r="X12" s="181" t="s">
        <v>58</v>
      </c>
      <c r="Y12" s="180">
        <v>1.1039652710654258E-2</v>
      </c>
      <c r="Z12" s="79">
        <v>-2.5472087258132359E-3</v>
      </c>
      <c r="AA12" s="84">
        <v>4.6784536419351173E-2</v>
      </c>
      <c r="AB12" s="91">
        <v>5.2034323132918302E-2</v>
      </c>
      <c r="AD12" s="121"/>
      <c r="AE12" s="77" t="s">
        <v>226</v>
      </c>
      <c r="AF12" s="76"/>
      <c r="AG12" s="208">
        <f>AG11/AG3</f>
        <v>9.1640140171774534E-2</v>
      </c>
      <c r="AH12" s="208">
        <f t="shared" ref="AH12:AJ12" si="18">AH11/AH3</f>
        <v>8.4042491612485545E-2</v>
      </c>
      <c r="AI12" s="209">
        <f t="shared" si="18"/>
        <v>9.0779933615714889E-2</v>
      </c>
      <c r="AJ12" s="210">
        <f t="shared" si="18"/>
        <v>0.10353560490759149</v>
      </c>
      <c r="AK12" s="208"/>
      <c r="AL12" s="211"/>
    </row>
    <row r="13" spans="1:38" ht="18.95" customHeight="1" x14ac:dyDescent="0.2">
      <c r="A13" s="51" t="s">
        <v>141</v>
      </c>
      <c r="B13" s="51"/>
      <c r="C13" s="66">
        <f>C12/C3</f>
        <v>1.7463800607193224E-2</v>
      </c>
      <c r="D13" s="66">
        <f t="shared" ref="D13:F13" si="19">D12/D3</f>
        <v>2.7320852975712438E-2</v>
      </c>
      <c r="E13" s="66">
        <f t="shared" si="19"/>
        <v>4.1043977148958667E-2</v>
      </c>
      <c r="F13" s="66">
        <f t="shared" si="19"/>
        <v>4.3103380558481133E-2</v>
      </c>
      <c r="G13" s="42"/>
      <c r="H13" s="27"/>
      <c r="J13" s="54" t="s">
        <v>162</v>
      </c>
      <c r="K13" s="60">
        <f>SUM(K14:K16)</f>
        <v>3298081647.8600001</v>
      </c>
      <c r="L13" s="60">
        <f t="shared" ref="L13" si="20">SUM(L14:L16)</f>
        <v>7125575958.4820004</v>
      </c>
      <c r="M13" s="60">
        <v>7957168842</v>
      </c>
      <c r="N13" s="60">
        <v>7957168842</v>
      </c>
      <c r="P13" s="39"/>
      <c r="Q13" s="29"/>
      <c r="R13" s="29"/>
      <c r="S13" s="29"/>
      <c r="T13" s="29"/>
      <c r="V13" s="181">
        <v>12</v>
      </c>
      <c r="W13" s="176" t="s">
        <v>206</v>
      </c>
      <c r="X13" s="181" t="s">
        <v>58</v>
      </c>
      <c r="Y13" s="180">
        <f>C41</f>
        <v>-9.6312146900730845E-3</v>
      </c>
      <c r="Z13" s="180">
        <f t="shared" ref="Z13:AB13" si="21">D41</f>
        <v>-3.1525281452586144E-2</v>
      </c>
      <c r="AA13" s="82">
        <f t="shared" si="21"/>
        <v>4.1120726029948693E-2</v>
      </c>
      <c r="AB13" s="201">
        <f t="shared" si="21"/>
        <v>1.8089744877429495E-2</v>
      </c>
      <c r="AD13" s="121"/>
      <c r="AE13" s="77" t="s">
        <v>227</v>
      </c>
      <c r="AF13" s="181" t="s">
        <v>255</v>
      </c>
      <c r="AG13" s="212">
        <f>AG3/Sheet1!C60</f>
        <v>1409.2083083750001</v>
      </c>
      <c r="AH13" s="212">
        <f>AH3/Sheet1!D60</f>
        <v>1520.8796752040817</v>
      </c>
      <c r="AI13" s="213">
        <f>AI3/Sheet1!E60</f>
        <v>1929.4908569433962</v>
      </c>
      <c r="AJ13" s="214">
        <f>AJ3/Sheet1!F60</f>
        <v>1844.3333333333333</v>
      </c>
      <c r="AK13" s="212">
        <f>AJ13-AI13</f>
        <v>-85.157523610062981</v>
      </c>
      <c r="AL13" s="211">
        <f>AK13/AI13</f>
        <v>-4.4134712172186868E-2</v>
      </c>
    </row>
    <row r="14" spans="1:38" s="59" customFormat="1" ht="18.95" customHeight="1" x14ac:dyDescent="0.2">
      <c r="A14" s="52" t="s">
        <v>142</v>
      </c>
      <c r="B14" s="52" t="s">
        <v>251</v>
      </c>
      <c r="C14" s="62">
        <f>C19+C17+C16</f>
        <v>284505530.99999976</v>
      </c>
      <c r="D14" s="62">
        <f t="shared" ref="D14:F14" si="22">D19+D17+D16</f>
        <v>-876764853</v>
      </c>
      <c r="E14" s="62">
        <f t="shared" si="22"/>
        <v>6256778116</v>
      </c>
      <c r="F14" s="62">
        <f t="shared" si="22"/>
        <v>3098928150.4248657</v>
      </c>
      <c r="G14" s="62">
        <f>F14-E14</f>
        <v>-3157849965.5751343</v>
      </c>
      <c r="H14" s="63">
        <f>G14/E14</f>
        <v>-0.50470863870013161</v>
      </c>
      <c r="I14" s="58"/>
      <c r="J14" s="39" t="s">
        <v>163</v>
      </c>
      <c r="K14" s="29">
        <v>533825855</v>
      </c>
      <c r="L14" s="29">
        <v>769690713</v>
      </c>
      <c r="M14" s="29">
        <v>586652262</v>
      </c>
      <c r="N14" s="29">
        <v>602579028.6077615</v>
      </c>
      <c r="P14" s="39" t="s">
        <v>182</v>
      </c>
      <c r="Q14" s="29">
        <v>-93200080</v>
      </c>
      <c r="R14" s="29">
        <v>-60263254</v>
      </c>
      <c r="S14" s="29"/>
      <c r="T14" s="29"/>
      <c r="V14" s="181">
        <v>13</v>
      </c>
      <c r="W14" s="176" t="s">
        <v>207</v>
      </c>
      <c r="X14" s="181" t="s">
        <v>58</v>
      </c>
      <c r="Y14" s="79">
        <f>(C31+C33)/C24</f>
        <v>1.7463800607193221E-2</v>
      </c>
      <c r="Z14" s="79">
        <f t="shared" ref="Z14:AB14" si="23">(D31+D33)/D24</f>
        <v>2.7320852975712438E-2</v>
      </c>
      <c r="AA14" s="84">
        <f t="shared" si="23"/>
        <v>4.1043977148958667E-2</v>
      </c>
      <c r="AB14" s="91">
        <f t="shared" si="23"/>
        <v>4.3103380558481126E-2</v>
      </c>
      <c r="AD14" s="121"/>
      <c r="AE14" s="77" t="s">
        <v>228</v>
      </c>
      <c r="AF14" s="76" t="s">
        <v>250</v>
      </c>
      <c r="AG14" s="212">
        <f>AG2/Sheet1!C60</f>
        <v>100.94233035714285</v>
      </c>
      <c r="AH14" s="212">
        <f>AH2/Sheet1!D60</f>
        <v>99.898334693877544</v>
      </c>
      <c r="AI14" s="213">
        <f>AI2/Sheet1!E60</f>
        <v>116.22603773584905</v>
      </c>
      <c r="AJ14" s="214">
        <f>AJ2/Sheet1!F60</f>
        <v>131.77777777777777</v>
      </c>
      <c r="AK14" s="212">
        <f>AJ14-AI14</f>
        <v>15.551740041928724</v>
      </c>
      <c r="AL14" s="211">
        <f>AK14/AI14</f>
        <v>0.13380598999058804</v>
      </c>
    </row>
    <row r="15" spans="1:38" ht="18.95" customHeight="1" x14ac:dyDescent="0.2">
      <c r="A15" s="51" t="s">
        <v>143</v>
      </c>
      <c r="B15" s="51"/>
      <c r="C15" s="27">
        <f>C14/C3</f>
        <v>3.6051844716787872E-3</v>
      </c>
      <c r="D15" s="27">
        <f t="shared" ref="D15:G15" si="24">D14/D3</f>
        <v>-1.1765007158048253E-2</v>
      </c>
      <c r="E15" s="27">
        <f t="shared" si="24"/>
        <v>6.1183196001266184E-2</v>
      </c>
      <c r="F15" s="27">
        <f t="shared" si="24"/>
        <v>3.1115610884439482E-2</v>
      </c>
      <c r="G15" s="27">
        <f t="shared" si="24"/>
        <v>1.1831516387198084</v>
      </c>
      <c r="H15" s="27"/>
      <c r="J15" s="39" t="s">
        <v>164</v>
      </c>
      <c r="K15" s="29"/>
      <c r="L15" s="29"/>
      <c r="M15" s="29"/>
      <c r="N15" s="29"/>
      <c r="P15" s="70" t="s">
        <v>183</v>
      </c>
      <c r="Q15" s="75">
        <f>SUM(Q12:Q14)</f>
        <v>-1214481080</v>
      </c>
      <c r="R15" s="75">
        <f t="shared" ref="R15:T15" si="25">SUM(R12:R14)</f>
        <v>-2285591668</v>
      </c>
      <c r="S15" s="75">
        <f t="shared" si="25"/>
        <v>-3744325672</v>
      </c>
      <c r="T15" s="75">
        <f t="shared" si="25"/>
        <v>0</v>
      </c>
      <c r="V15" s="181">
        <v>14</v>
      </c>
      <c r="W15" s="176" t="s">
        <v>208</v>
      </c>
      <c r="X15" s="181" t="s">
        <v>58</v>
      </c>
      <c r="Y15" s="19">
        <f>C38/C24</f>
        <v>1.323639916175184E-2</v>
      </c>
      <c r="Z15" s="19">
        <f t="shared" ref="Z15:AB15" si="26">D38/D24</f>
        <v>1.976027429453793E-2</v>
      </c>
      <c r="AA15" s="83">
        <f t="shared" si="26"/>
        <v>2.0062469971317463E-2</v>
      </c>
      <c r="AB15" s="90">
        <f t="shared" si="26"/>
        <v>1.3025866007009968E-2</v>
      </c>
      <c r="AD15" s="120">
        <v>7</v>
      </c>
      <c r="AE15" s="72" t="s">
        <v>229</v>
      </c>
      <c r="AF15" s="182" t="s">
        <v>255</v>
      </c>
      <c r="AG15" s="207">
        <f>C29</f>
        <v>3624.773532958181</v>
      </c>
      <c r="AH15" s="207">
        <f>D29</f>
        <v>4829.197048</v>
      </c>
      <c r="AI15" s="215">
        <f>E29</f>
        <v>10210.269944</v>
      </c>
      <c r="AJ15" s="216">
        <f>F29</f>
        <v>10816</v>
      </c>
      <c r="AK15" s="207">
        <f>AJ15-AI15</f>
        <v>605.73005600000033</v>
      </c>
      <c r="AL15" s="63">
        <f>AK15/AI15</f>
        <v>5.9325567230076398E-2</v>
      </c>
    </row>
    <row r="16" spans="1:38" ht="18.95" customHeight="1" x14ac:dyDescent="0.2">
      <c r="A16" s="51" t="s">
        <v>144</v>
      </c>
      <c r="B16" s="51" t="s">
        <v>251</v>
      </c>
      <c r="C16" s="42">
        <v>0</v>
      </c>
      <c r="D16" s="42">
        <v>0</v>
      </c>
      <c r="E16" s="42">
        <v>0</v>
      </c>
      <c r="F16" s="42">
        <v>0</v>
      </c>
      <c r="G16" s="42">
        <f>F16-E16</f>
        <v>0</v>
      </c>
      <c r="H16" s="27">
        <f>IFERROR(G16/E16,0)</f>
        <v>0</v>
      </c>
      <c r="J16" s="39" t="s">
        <v>165</v>
      </c>
      <c r="K16" s="29">
        <v>2764255792.8600001</v>
      </c>
      <c r="L16" s="29">
        <v>6355885245.4820004</v>
      </c>
      <c r="M16" s="29">
        <v>7370516580</v>
      </c>
      <c r="N16" s="29">
        <v>6355885245.4820004</v>
      </c>
      <c r="P16" s="39" t="s">
        <v>184</v>
      </c>
      <c r="Q16" s="29">
        <v>-2000000000</v>
      </c>
      <c r="R16" s="29"/>
      <c r="S16" s="29"/>
      <c r="T16" s="29"/>
      <c r="V16" s="181">
        <v>15</v>
      </c>
      <c r="W16" s="176" t="s">
        <v>209</v>
      </c>
      <c r="X16" s="181" t="s">
        <v>210</v>
      </c>
      <c r="Y16" s="193">
        <v>11.319790189613519</v>
      </c>
      <c r="Z16" s="29">
        <v>11.319790189613519</v>
      </c>
      <c r="AA16" s="85">
        <v>11.123889232780835</v>
      </c>
      <c r="AB16" s="92">
        <v>12.68779406120249</v>
      </c>
      <c r="AD16" s="121"/>
      <c r="AE16" s="123" t="s">
        <v>254</v>
      </c>
      <c r="AF16" s="32" t="s">
        <v>252</v>
      </c>
      <c r="AG16" s="129">
        <f>AG15/AG2</f>
        <v>0.64123840388676334</v>
      </c>
      <c r="AH16" s="129">
        <f>AH15/AH2</f>
        <v>0.9865534004938572</v>
      </c>
      <c r="AI16" s="133">
        <f>AI15/AI2</f>
        <v>1.657516736093299</v>
      </c>
      <c r="AJ16" s="136">
        <f>AJ15/AJ2</f>
        <v>1.5199550309162451</v>
      </c>
      <c r="AK16" s="217">
        <f>AJ16-AI16</f>
        <v>-0.13756170517705391</v>
      </c>
      <c r="AL16" s="211">
        <f>AK16/AI16</f>
        <v>-8.2992649293714749E-2</v>
      </c>
    </row>
    <row r="17" spans="1:38" ht="18.95" customHeight="1" x14ac:dyDescent="0.2">
      <c r="A17" s="51" t="s">
        <v>145</v>
      </c>
      <c r="B17" s="51" t="s">
        <v>251</v>
      </c>
      <c r="C17" s="42">
        <v>1044559245.6156806</v>
      </c>
      <c r="D17" s="42">
        <v>1472596978</v>
      </c>
      <c r="E17" s="42">
        <v>2051648676</v>
      </c>
      <c r="F17" s="42">
        <v>1297298099.1021507</v>
      </c>
      <c r="G17" s="42">
        <f>F17-E17</f>
        <v>-754350576.89784932</v>
      </c>
      <c r="H17" s="27">
        <f>G17/E17</f>
        <v>-0.36768019092263404</v>
      </c>
      <c r="J17" s="54" t="s">
        <v>166</v>
      </c>
      <c r="K17" s="29"/>
      <c r="L17" s="29"/>
      <c r="M17" s="29"/>
      <c r="N17" s="29"/>
      <c r="P17" s="39" t="s">
        <v>185</v>
      </c>
      <c r="Q17" s="29"/>
      <c r="R17" s="29"/>
      <c r="S17" s="29"/>
      <c r="T17" s="29"/>
      <c r="V17" s="181">
        <v>16</v>
      </c>
      <c r="W17" s="176" t="s">
        <v>211</v>
      </c>
      <c r="X17" s="181" t="s">
        <v>210</v>
      </c>
      <c r="Y17" s="29">
        <v>7.3385818037882657</v>
      </c>
      <c r="Z17" s="29">
        <v>7.3385818037882657</v>
      </c>
      <c r="AA17" s="85">
        <v>7.3385818037882657</v>
      </c>
      <c r="AB17" s="92">
        <v>7</v>
      </c>
      <c r="AD17" s="121"/>
      <c r="AE17" s="77" t="s">
        <v>230</v>
      </c>
      <c r="AF17" s="76"/>
      <c r="AG17" s="208">
        <f>AG15/AG3</f>
        <v>4.5932243244765247E-2</v>
      </c>
      <c r="AH17" s="208">
        <f t="shared" ref="AH17:AJ17" si="27">AH15/AH3</f>
        <v>6.4801340568045665E-2</v>
      </c>
      <c r="AI17" s="209">
        <f t="shared" si="27"/>
        <v>9.9843231712516287E-2</v>
      </c>
      <c r="AJ17" s="210">
        <f t="shared" si="27"/>
        <v>0.10860091973412053</v>
      </c>
      <c r="AK17" s="218"/>
      <c r="AL17" s="211"/>
    </row>
    <row r="18" spans="1:38" ht="18.95" customHeight="1" x14ac:dyDescent="0.2">
      <c r="A18" s="51" t="s">
        <v>149</v>
      </c>
      <c r="B18" s="51" t="s">
        <v>251</v>
      </c>
      <c r="C18" s="42">
        <v>19637130</v>
      </c>
      <c r="D18" s="42">
        <v>-59050451</v>
      </c>
      <c r="E18" s="42">
        <v>364850046</v>
      </c>
      <c r="F18" s="42"/>
      <c r="G18" s="42">
        <f>F18-E18</f>
        <v>-364850046</v>
      </c>
      <c r="H18" s="27">
        <f>G18/E18</f>
        <v>-1</v>
      </c>
      <c r="J18" s="39" t="s">
        <v>167</v>
      </c>
      <c r="K18" s="29"/>
      <c r="L18" s="29"/>
      <c r="M18" s="29"/>
      <c r="N18" s="29"/>
      <c r="P18" s="39" t="s">
        <v>186</v>
      </c>
      <c r="Q18" s="29"/>
      <c r="R18" s="29"/>
      <c r="S18" s="29"/>
      <c r="T18" s="29"/>
      <c r="V18" s="181">
        <v>17</v>
      </c>
      <c r="W18" s="176" t="s">
        <v>212</v>
      </c>
      <c r="X18" s="181" t="s">
        <v>210</v>
      </c>
      <c r="Y18" s="29">
        <v>3.7602207582762865</v>
      </c>
      <c r="Z18" s="29">
        <v>3.7602207582762865</v>
      </c>
      <c r="AA18" s="85">
        <v>3.7602207582762865</v>
      </c>
      <c r="AB18" s="92">
        <v>4</v>
      </c>
      <c r="AD18" s="120">
        <v>8</v>
      </c>
      <c r="AE18" s="72" t="s">
        <v>231</v>
      </c>
      <c r="AF18" s="182" t="s">
        <v>255</v>
      </c>
      <c r="AG18" s="61">
        <f>C35</f>
        <v>284.50553099999973</v>
      </c>
      <c r="AH18" s="61">
        <f>D35</f>
        <v>-876.76485300000002</v>
      </c>
      <c r="AI18" s="96">
        <f>E35</f>
        <v>6256.7781160000004</v>
      </c>
      <c r="AJ18" s="99">
        <f>F35</f>
        <v>3098.9281504248656</v>
      </c>
      <c r="AK18" s="61">
        <f>AJ18-AI18</f>
        <v>-3157.8499655751348</v>
      </c>
      <c r="AL18" s="63">
        <f>AK18/AI18</f>
        <v>-0.50470863870013172</v>
      </c>
    </row>
    <row r="19" spans="1:38" s="59" customFormat="1" ht="18.95" customHeight="1" x14ac:dyDescent="0.2">
      <c r="A19" s="52" t="s">
        <v>146</v>
      </c>
      <c r="B19" s="52" t="s">
        <v>251</v>
      </c>
      <c r="C19" s="62">
        <f>C6-C8-C10-C12-C16-C17+C18</f>
        <v>-760053714.61568081</v>
      </c>
      <c r="D19" s="62">
        <f t="shared" ref="D19:E19" si="28">D6-D8-D10-D12-D16-D17+D18</f>
        <v>-2349361831</v>
      </c>
      <c r="E19" s="62">
        <f t="shared" si="28"/>
        <v>4205129440</v>
      </c>
      <c r="F19" s="62">
        <f>F6-F8-F10-F12-F16-F17+F18</f>
        <v>1801630051.322715</v>
      </c>
      <c r="G19" s="62">
        <f>F19-E19</f>
        <v>-2403499388.6772852</v>
      </c>
      <c r="H19" s="63">
        <f>G19/E19</f>
        <v>-0.57156371117015725</v>
      </c>
      <c r="I19" s="58"/>
      <c r="J19" s="39" t="s">
        <v>168</v>
      </c>
      <c r="K19" s="29"/>
      <c r="L19" s="29"/>
      <c r="M19" s="29"/>
      <c r="N19" s="29"/>
      <c r="P19" s="39" t="s">
        <v>187</v>
      </c>
      <c r="Q19" s="29"/>
      <c r="R19" s="29"/>
      <c r="S19" s="29"/>
      <c r="T19" s="29"/>
      <c r="V19" s="181">
        <v>18</v>
      </c>
      <c r="W19" s="195" t="s">
        <v>213</v>
      </c>
      <c r="X19" s="194" t="s">
        <v>210</v>
      </c>
      <c r="Y19" s="29">
        <v>7.7313139408957525</v>
      </c>
      <c r="Z19" s="29">
        <v>7.7313139408957525</v>
      </c>
      <c r="AA19" s="85">
        <v>7.7313139408957525</v>
      </c>
      <c r="AB19" s="92">
        <v>10</v>
      </c>
      <c r="AD19" s="121"/>
      <c r="AE19" s="77" t="s">
        <v>232</v>
      </c>
      <c r="AF19" s="76"/>
      <c r="AG19" s="219">
        <f>AG18/AG3</f>
        <v>3.6051844716787863E-3</v>
      </c>
      <c r="AH19" s="219">
        <f t="shared" ref="AH19:AJ19" si="29">AH18/AH3</f>
        <v>-1.1765007158048253E-2</v>
      </c>
      <c r="AI19" s="220">
        <f t="shared" si="29"/>
        <v>6.1183196001266191E-2</v>
      </c>
      <c r="AJ19" s="221">
        <f t="shared" si="29"/>
        <v>3.1115610884439482E-2</v>
      </c>
      <c r="AK19" s="218"/>
      <c r="AL19" s="211"/>
    </row>
    <row r="20" spans="1:38" ht="18.95" customHeight="1" x14ac:dyDescent="0.2">
      <c r="A20" s="51" t="s">
        <v>147</v>
      </c>
      <c r="B20" s="51"/>
      <c r="C20" s="27">
        <f>C19/C3</f>
        <v>-9.631214690073055E-3</v>
      </c>
      <c r="D20" s="27">
        <f t="shared" ref="D20:G20" si="30">D19/D3</f>
        <v>-3.1525281452586179E-2</v>
      </c>
      <c r="E20" s="27">
        <f t="shared" si="30"/>
        <v>4.112072602994872E-2</v>
      </c>
      <c r="F20" s="27">
        <f t="shared" si="30"/>
        <v>1.8089744877429516E-2</v>
      </c>
      <c r="G20" s="27">
        <f t="shared" si="30"/>
        <v>0.90051910995640605</v>
      </c>
      <c r="H20" s="27"/>
      <c r="J20" s="54" t="s">
        <v>169</v>
      </c>
      <c r="K20" s="60">
        <f>SUM(K21:K22)</f>
        <v>12958433537</v>
      </c>
      <c r="L20" s="60">
        <f t="shared" ref="L20:N20" si="31">SUM(L21:L22)</f>
        <v>10673522415</v>
      </c>
      <c r="M20" s="60">
        <f t="shared" si="31"/>
        <v>14417330139</v>
      </c>
      <c r="N20" s="60">
        <f t="shared" si="31"/>
        <v>16218960190</v>
      </c>
      <c r="P20" s="70" t="s">
        <v>188</v>
      </c>
      <c r="Q20" s="75">
        <f>SUM(Q16:Q19)</f>
        <v>-2000000000</v>
      </c>
      <c r="R20" s="75">
        <f t="shared" ref="R20:T20" si="32">SUM(R16:R19)</f>
        <v>0</v>
      </c>
      <c r="S20" s="75">
        <f t="shared" si="32"/>
        <v>0</v>
      </c>
      <c r="T20" s="75">
        <f t="shared" si="32"/>
        <v>0</v>
      </c>
      <c r="V20" s="181">
        <v>19</v>
      </c>
      <c r="W20" s="195" t="s">
        <v>214</v>
      </c>
      <c r="X20" s="194" t="s">
        <v>195</v>
      </c>
      <c r="Y20" s="78">
        <f>C24/K32</f>
        <v>16.372446083867676</v>
      </c>
      <c r="Z20" s="78">
        <f t="shared" ref="Z20:AA20" si="33">D24/L32</f>
        <v>13.190959201919759</v>
      </c>
      <c r="AA20" s="86">
        <f t="shared" si="33"/>
        <v>17.57661791460022</v>
      </c>
      <c r="AB20" s="93">
        <f>F24/N32</f>
        <v>14.0071810374584</v>
      </c>
      <c r="AD20" s="120">
        <v>9</v>
      </c>
      <c r="AE20" s="72" t="s">
        <v>145</v>
      </c>
      <c r="AF20" s="182" t="s">
        <v>255</v>
      </c>
      <c r="AG20" s="61">
        <f>C38</f>
        <v>1044.5592456156805</v>
      </c>
      <c r="AH20" s="61">
        <f>D38</f>
        <v>1472.596978</v>
      </c>
      <c r="AI20" s="96">
        <f>E38</f>
        <v>2051.6486759999998</v>
      </c>
      <c r="AJ20" s="99">
        <f>F38</f>
        <v>1297.2980991021507</v>
      </c>
      <c r="AK20" s="61">
        <f>AJ20-AI20</f>
        <v>-754.35057689784912</v>
      </c>
      <c r="AL20" s="63">
        <f>AK20/AI20</f>
        <v>-0.36768019092263399</v>
      </c>
    </row>
    <row r="21" spans="1:38" ht="18.95" customHeight="1" x14ac:dyDescent="0.2">
      <c r="I21" s="56">
        <v>1000000</v>
      </c>
      <c r="J21" s="39" t="s">
        <v>170</v>
      </c>
      <c r="K21" s="29">
        <v>15000000000</v>
      </c>
      <c r="L21" s="29">
        <v>15000000000</v>
      </c>
      <c r="M21" s="29">
        <v>15000000000</v>
      </c>
      <c r="N21" s="29">
        <v>15000000000</v>
      </c>
      <c r="P21" s="39" t="s">
        <v>189</v>
      </c>
      <c r="Q21" s="29">
        <v>3956178628</v>
      </c>
      <c r="R21" s="29">
        <v>2116625281.0000005</v>
      </c>
      <c r="S21" s="29">
        <v>6003863340</v>
      </c>
      <c r="T21" s="29">
        <v>4555126441.1356201</v>
      </c>
      <c r="V21" s="181">
        <v>20</v>
      </c>
      <c r="W21" s="195" t="s">
        <v>215</v>
      </c>
      <c r="X21" s="194" t="s">
        <v>195</v>
      </c>
      <c r="Y21" s="78">
        <f>C24/K35</f>
        <v>4.8544023347940923</v>
      </c>
      <c r="Z21" s="78">
        <f t="shared" ref="Z21:AB21" si="34">D24/L35</f>
        <v>4.1869033206776542</v>
      </c>
      <c r="AA21" s="86">
        <f t="shared" si="34"/>
        <v>4.7689125663459322</v>
      </c>
      <c r="AB21" s="93">
        <f t="shared" si="34"/>
        <v>4.1195180530072317</v>
      </c>
      <c r="AD21" s="50"/>
      <c r="AE21" s="39" t="s">
        <v>233</v>
      </c>
      <c r="AF21" s="32"/>
      <c r="AG21" s="20">
        <f>AG20/AG3</f>
        <v>1.323639916175184E-2</v>
      </c>
      <c r="AH21" s="20">
        <f t="shared" ref="AH21:AJ21" si="35">AH20/AH3</f>
        <v>1.976027429453793E-2</v>
      </c>
      <c r="AI21" s="114">
        <f t="shared" si="35"/>
        <v>2.0062469971317463E-2</v>
      </c>
      <c r="AJ21" s="115">
        <f t="shared" si="35"/>
        <v>1.3025866007009968E-2</v>
      </c>
      <c r="AK21" s="18"/>
      <c r="AL21" s="27"/>
    </row>
    <row r="22" spans="1:38" ht="18.95" customHeight="1" x14ac:dyDescent="0.2">
      <c r="A22" s="174" t="s">
        <v>132</v>
      </c>
      <c r="B22" s="174" t="s">
        <v>193</v>
      </c>
      <c r="C22" s="175" t="s">
        <v>9</v>
      </c>
      <c r="D22" s="175" t="s">
        <v>10</v>
      </c>
      <c r="E22" s="175" t="s">
        <v>11</v>
      </c>
      <c r="F22" s="175" t="s">
        <v>12</v>
      </c>
      <c r="G22" s="254" t="s">
        <v>133</v>
      </c>
      <c r="H22" s="255"/>
      <c r="I22" s="56" t="s">
        <v>94</v>
      </c>
      <c r="J22" s="39" t="s">
        <v>146</v>
      </c>
      <c r="K22" s="29">
        <v>-2041566463</v>
      </c>
      <c r="L22" s="29">
        <v>-4326477585</v>
      </c>
      <c r="M22" s="29">
        <v>-582669861</v>
      </c>
      <c r="N22" s="29">
        <v>1218960190</v>
      </c>
      <c r="P22" s="39"/>
      <c r="Q22" s="29"/>
      <c r="R22" s="29">
        <f t="shared" ref="R22:T22" si="36">R11+R15+R20+R21</f>
        <v>6003863340</v>
      </c>
      <c r="S22" s="29">
        <f t="shared" si="36"/>
        <v>4555126441.1356201</v>
      </c>
      <c r="T22" s="29">
        <f t="shared" si="36"/>
        <v>4267622366.7795391</v>
      </c>
      <c r="AD22" s="120">
        <v>10</v>
      </c>
      <c r="AE22" s="72" t="s">
        <v>146</v>
      </c>
      <c r="AF22" s="182" t="s">
        <v>255</v>
      </c>
      <c r="AG22" s="61">
        <f>C40</f>
        <v>-760.05371461568313</v>
      </c>
      <c r="AH22" s="61">
        <f>D40</f>
        <v>-2349.3618309999974</v>
      </c>
      <c r="AI22" s="96">
        <f>E40</f>
        <v>4205.129439999997</v>
      </c>
      <c r="AJ22" s="99">
        <f>F40</f>
        <v>1801.6300513227131</v>
      </c>
      <c r="AK22" s="61">
        <f>AJ22-AI22</f>
        <v>-2403.4993886772836</v>
      </c>
      <c r="AL22" s="63">
        <f>AK22/AI22</f>
        <v>-0.57156371117015725</v>
      </c>
    </row>
    <row r="23" spans="1:38" ht="18.95" customHeight="1" x14ac:dyDescent="0.2">
      <c r="A23" s="176" t="s">
        <v>134</v>
      </c>
      <c r="B23" s="181" t="s">
        <v>250</v>
      </c>
      <c r="C23" s="42">
        <f>5652770.5/1000</f>
        <v>5652.7704999999996</v>
      </c>
      <c r="D23" s="42">
        <f>4895018.4/1000</f>
        <v>4895.0183999999999</v>
      </c>
      <c r="E23" s="42">
        <f>6159980/1000</f>
        <v>6159.98</v>
      </c>
      <c r="F23" s="106">
        <f>7116000/1000</f>
        <v>7116</v>
      </c>
      <c r="G23" s="42">
        <f>F23-E23</f>
        <v>956.02000000000044</v>
      </c>
      <c r="H23" s="27">
        <f>G23/E23</f>
        <v>0.15519855583946709</v>
      </c>
      <c r="J23" s="72" t="s">
        <v>171</v>
      </c>
      <c r="K23" s="57">
        <f>K12+K20</f>
        <v>16256515184.860001</v>
      </c>
      <c r="L23" s="57">
        <f t="shared" ref="L23:N23" si="37">L12+L20</f>
        <v>17799098373.482002</v>
      </c>
      <c r="M23" s="57">
        <f t="shared" si="37"/>
        <v>22374498981</v>
      </c>
      <c r="N23" s="57">
        <f t="shared" si="37"/>
        <v>24176129032</v>
      </c>
      <c r="AD23" s="141"/>
      <c r="AE23" s="39" t="s">
        <v>234</v>
      </c>
      <c r="AF23" s="32"/>
      <c r="AG23" s="222">
        <f>AG22/AG3</f>
        <v>-9.6312146900730845E-3</v>
      </c>
      <c r="AH23" s="222">
        <f t="shared" ref="AH23:AK23" si="38">AH22/AH3</f>
        <v>-3.1525281452586144E-2</v>
      </c>
      <c r="AI23" s="223">
        <f t="shared" si="38"/>
        <v>4.1120726029948693E-2</v>
      </c>
      <c r="AJ23" s="224">
        <f t="shared" si="38"/>
        <v>1.8089744877429495E-2</v>
      </c>
      <c r="AK23" s="224">
        <f t="shared" si="38"/>
        <v>0.90051910995640549</v>
      </c>
      <c r="AL23" s="224"/>
    </row>
    <row r="24" spans="1:38" ht="18.95" customHeight="1" x14ac:dyDescent="0.2">
      <c r="A24" s="177" t="s">
        <v>135</v>
      </c>
      <c r="B24" s="182" t="s">
        <v>255</v>
      </c>
      <c r="C24" s="62">
        <f>C3/$I$21</f>
        <v>78915.665269000005</v>
      </c>
      <c r="D24" s="62">
        <f t="shared" ref="D24:G24" si="39">D3/$I$21</f>
        <v>74523.104084999999</v>
      </c>
      <c r="E24" s="102">
        <f>E3/$I$21</f>
        <v>102263.015418</v>
      </c>
      <c r="F24" s="107">
        <f t="shared" si="39"/>
        <v>99594</v>
      </c>
      <c r="G24" s="62">
        <f t="shared" si="39"/>
        <v>-2669.015418</v>
      </c>
      <c r="H24" s="63">
        <f>G24/E24</f>
        <v>-2.6099518062228086E-2</v>
      </c>
      <c r="N24" s="56">
        <f>N23-N11</f>
        <v>-0.2048187255859375</v>
      </c>
      <c r="O24" s="56">
        <v>1000000</v>
      </c>
      <c r="P24" s="174" t="s">
        <v>150</v>
      </c>
      <c r="Q24" s="175" t="s">
        <v>9</v>
      </c>
      <c r="R24" s="175" t="s">
        <v>10</v>
      </c>
      <c r="S24" s="175" t="s">
        <v>11</v>
      </c>
      <c r="T24" s="175" t="s">
        <v>12</v>
      </c>
      <c r="U24" s="56">
        <v>1000000</v>
      </c>
    </row>
    <row r="25" spans="1:38" ht="18.600000000000001" customHeight="1" x14ac:dyDescent="0.2">
      <c r="A25" s="176" t="s">
        <v>44</v>
      </c>
      <c r="B25" s="181" t="s">
        <v>255</v>
      </c>
      <c r="C25" s="178">
        <f>C4/$I$21</f>
        <v>1458.505034</v>
      </c>
      <c r="D25" s="178">
        <f t="shared" ref="D25:G25" si="40">D4/$I$21</f>
        <v>1294.0518279999999</v>
      </c>
      <c r="E25" s="103">
        <f t="shared" si="40"/>
        <v>1386.3</v>
      </c>
      <c r="F25" s="108">
        <f>F4/$I$21</f>
        <v>1386.2337662337661</v>
      </c>
      <c r="G25" s="178">
        <f t="shared" si="40"/>
        <v>-6.6233766233921049E-2</v>
      </c>
      <c r="H25" s="27">
        <f>G25/E25</f>
        <v>-4.7777368703686831E-5</v>
      </c>
      <c r="J25" s="174" t="s">
        <v>150</v>
      </c>
      <c r="K25" s="175" t="s">
        <v>9</v>
      </c>
      <c r="L25" s="175" t="s">
        <v>10</v>
      </c>
      <c r="M25" s="175" t="s">
        <v>11</v>
      </c>
      <c r="N25" s="175" t="s">
        <v>12</v>
      </c>
      <c r="P25" s="200" t="s">
        <v>172</v>
      </c>
      <c r="Q25" s="38">
        <f>Q2/$U$24</f>
        <v>-423.578104</v>
      </c>
      <c r="R25" s="38">
        <f t="shared" ref="R25:T25" si="41">R2/$U$24</f>
        <v>-2284.911122</v>
      </c>
      <c r="S25" s="94">
        <f>S2/$U$24</f>
        <v>970.69113274818653</v>
      </c>
      <c r="T25" s="97">
        <f t="shared" si="41"/>
        <v>297.97898736687802</v>
      </c>
    </row>
    <row r="26" spans="1:38" ht="18.600000000000001" customHeight="1" x14ac:dyDescent="0.2">
      <c r="A26" s="176" t="s">
        <v>148</v>
      </c>
      <c r="B26" s="181" t="s">
        <v>255</v>
      </c>
      <c r="C26" s="178">
        <f>C5/$I$21</f>
        <v>72189.350858000005</v>
      </c>
      <c r="D26" s="178">
        <f t="shared" ref="D26:G26" si="42">D5/$I$21</f>
        <v>67181.534841000001</v>
      </c>
      <c r="E26" s="103">
        <f t="shared" si="42"/>
        <v>80577.236535999997</v>
      </c>
      <c r="F26" s="108">
        <f t="shared" si="42"/>
        <v>80000</v>
      </c>
      <c r="G26" s="178">
        <f t="shared" si="42"/>
        <v>-577.236536</v>
      </c>
      <c r="H26" s="27">
        <f>G26/E26</f>
        <v>-7.1637668504814563E-3</v>
      </c>
      <c r="J26" s="12" t="s">
        <v>151</v>
      </c>
      <c r="K26" s="38">
        <f>SUM(K27:K30)</f>
        <v>11226.207309859999</v>
      </c>
      <c r="L26" s="38">
        <f t="shared" ref="L26" si="43">SUM(L27:L30)</f>
        <v>11878.997128481999</v>
      </c>
      <c r="M26" s="94">
        <f t="shared" ref="M26" si="44">SUM(M27:M30)</f>
        <v>15229.289556481999</v>
      </c>
      <c r="N26" s="97">
        <f t="shared" ref="N26" si="45">SUM(N27:N30)</f>
        <v>16795.37683027779</v>
      </c>
      <c r="P26" s="198" t="s">
        <v>173</v>
      </c>
      <c r="Q26" s="34">
        <f>Q3/$U$24</f>
        <v>1036.4082699999999</v>
      </c>
      <c r="R26" s="34">
        <f t="shared" ref="R26:T26" si="46">R3/$U$24</f>
        <v>1395.7982979999999</v>
      </c>
      <c r="S26" s="95">
        <f t="shared" si="46"/>
        <v>1998.3577809062976</v>
      </c>
      <c r="T26" s="98">
        <f t="shared" si="46"/>
        <v>1103.8001571666668</v>
      </c>
    </row>
    <row r="27" spans="1:38" ht="18.600000000000001" customHeight="1" x14ac:dyDescent="0.2">
      <c r="A27" s="179" t="s">
        <v>52</v>
      </c>
      <c r="B27" s="12" t="s">
        <v>255</v>
      </c>
      <c r="C27" s="65">
        <f>C24-C25-C26</f>
        <v>5267.8093769999978</v>
      </c>
      <c r="D27" s="65">
        <f t="shared" ref="D27" si="47">D24-D25-D26</f>
        <v>6047.5174160000024</v>
      </c>
      <c r="E27" s="104">
        <f t="shared" ref="E27" si="48">E24-E25-E26</f>
        <v>20299.478881999996</v>
      </c>
      <c r="F27" s="109">
        <f t="shared" ref="F27" si="49">F24-F25-F26</f>
        <v>18207.766233766233</v>
      </c>
      <c r="G27" s="65">
        <f>F27-E27</f>
        <v>-2091.7126482337626</v>
      </c>
      <c r="H27" s="37">
        <f>G27/E27</f>
        <v>-0.10304267712451137</v>
      </c>
      <c r="J27" s="186" t="s">
        <v>152</v>
      </c>
      <c r="K27" s="34">
        <f>K3/$O$24</f>
        <v>2116.6252810000001</v>
      </c>
      <c r="L27" s="34">
        <f t="shared" ref="L27:N27" si="50">L3/$O$24</f>
        <v>6003.8633399999999</v>
      </c>
      <c r="M27" s="95">
        <f>M3/$O$24</f>
        <v>2740.0548090000002</v>
      </c>
      <c r="N27" s="98">
        <f t="shared" si="50"/>
        <v>7724.41136677954</v>
      </c>
      <c r="P27" s="200" t="s">
        <v>174</v>
      </c>
      <c r="Q27" s="38">
        <f t="shared" ref="Q27:T45" si="51">Q4/$U$24</f>
        <v>762.09756700000048</v>
      </c>
      <c r="R27" s="38">
        <f t="shared" si="51"/>
        <v>7061.9425510000001</v>
      </c>
      <c r="S27" s="94">
        <f t="shared" si="51"/>
        <v>-673.46014051886368</v>
      </c>
      <c r="T27" s="97">
        <f t="shared" si="51"/>
        <v>-1689.2832188896255</v>
      </c>
    </row>
    <row r="28" spans="1:38" ht="18.600000000000001" customHeight="1" x14ac:dyDescent="0.2">
      <c r="A28" s="176" t="s">
        <v>53</v>
      </c>
      <c r="B28" s="181"/>
      <c r="C28" s="180">
        <f>C27/C24</f>
        <v>6.6752391417389742E-2</v>
      </c>
      <c r="D28" s="180">
        <f t="shared" ref="D28" si="52">D27/D24</f>
        <v>8.1149564155329465E-2</v>
      </c>
      <c r="E28" s="82">
        <f t="shared" ref="E28" si="53">E27/E24</f>
        <v>0.19850264339483725</v>
      </c>
      <c r="F28" s="89">
        <f t="shared" ref="F28" si="54">F27/F24</f>
        <v>0.18281991117704111</v>
      </c>
      <c r="G28" s="180"/>
      <c r="H28" s="27"/>
      <c r="J28" s="186" t="s">
        <v>153</v>
      </c>
      <c r="K28" s="34">
        <f t="shared" ref="K28:N30" si="55">K4/$O$24</f>
        <v>3904.917434</v>
      </c>
      <c r="L28" s="34">
        <f t="shared" si="55"/>
        <v>1638.9748099999999</v>
      </c>
      <c r="M28" s="95">
        <f t="shared" si="55"/>
        <v>8273.6201860000001</v>
      </c>
      <c r="N28" s="98">
        <f t="shared" si="55"/>
        <v>2404.2568684594403</v>
      </c>
      <c r="P28" s="198" t="s">
        <v>175</v>
      </c>
      <c r="Q28" s="34">
        <f t="shared" si="51"/>
        <v>-286.66911599999997</v>
      </c>
      <c r="R28" s="34">
        <f t="shared" si="51"/>
        <v>2369.9663810000002</v>
      </c>
      <c r="S28" s="95">
        <f t="shared" si="51"/>
        <v>-466.50888248701813</v>
      </c>
      <c r="T28" s="98">
        <f t="shared" si="51"/>
        <v>-276.00334417964842</v>
      </c>
    </row>
    <row r="29" spans="1:38" ht="18.600000000000001" customHeight="1" x14ac:dyDescent="0.2">
      <c r="A29" s="179" t="s">
        <v>136</v>
      </c>
      <c r="B29" s="12" t="s">
        <v>255</v>
      </c>
      <c r="C29" s="183">
        <f>C8/$I$21</f>
        <v>3624.773532958181</v>
      </c>
      <c r="D29" s="183">
        <f t="shared" ref="D29:G29" si="56">D8/$I$21</f>
        <v>4829.197048</v>
      </c>
      <c r="E29" s="184">
        <f t="shared" si="56"/>
        <v>10210.269944</v>
      </c>
      <c r="F29" s="185">
        <f t="shared" si="56"/>
        <v>10816</v>
      </c>
      <c r="G29" s="183">
        <f t="shared" si="56"/>
        <v>605.73005599999999</v>
      </c>
      <c r="H29" s="37">
        <f>G29/E29</f>
        <v>5.9325567230076363E-2</v>
      </c>
      <c r="J29" s="186" t="s">
        <v>154</v>
      </c>
      <c r="K29" s="34">
        <f t="shared" si="55"/>
        <v>4604.3066168599998</v>
      </c>
      <c r="L29" s="34">
        <f t="shared" si="55"/>
        <v>1582.545526482</v>
      </c>
      <c r="M29" s="95">
        <f t="shared" si="55"/>
        <v>2740.1083954819997</v>
      </c>
      <c r="N29" s="98">
        <f t="shared" si="55"/>
        <v>4013.09514303881</v>
      </c>
      <c r="P29" s="198" t="s">
        <v>176</v>
      </c>
      <c r="Q29" s="34">
        <f t="shared" si="51"/>
        <v>-2089.6683168599998</v>
      </c>
      <c r="R29" s="34">
        <f t="shared" si="51"/>
        <v>3021.7610903779992</v>
      </c>
      <c r="S29" s="95">
        <f t="shared" si="51"/>
        <v>-390.60981984794546</v>
      </c>
      <c r="T29" s="98">
        <f t="shared" si="51"/>
        <v>-1039.7397967088618</v>
      </c>
    </row>
    <row r="30" spans="1:38" ht="18.600000000000001" customHeight="1" x14ac:dyDescent="0.2">
      <c r="A30" s="176" t="s">
        <v>137</v>
      </c>
      <c r="B30" s="181"/>
      <c r="C30" s="27">
        <f>C29/C24</f>
        <v>4.5932243244765247E-2</v>
      </c>
      <c r="D30" s="27">
        <f t="shared" ref="D30" si="57">D29/D24</f>
        <v>6.4801340568045665E-2</v>
      </c>
      <c r="E30" s="105">
        <f t="shared" ref="E30" si="58">E29/E24</f>
        <v>9.9843231712516287E-2</v>
      </c>
      <c r="F30" s="110">
        <f t="shared" ref="F30" si="59">F29/F24</f>
        <v>0.10860091973412053</v>
      </c>
      <c r="G30" s="27">
        <f t="shared" ref="G30" si="60">G29/G24</f>
        <v>-0.22694887856957296</v>
      </c>
      <c r="H30" s="27"/>
      <c r="J30" s="186" t="s">
        <v>155</v>
      </c>
      <c r="K30" s="34">
        <f t="shared" si="55"/>
        <v>600.357978</v>
      </c>
      <c r="L30" s="34">
        <f t="shared" si="55"/>
        <v>2653.6134520000001</v>
      </c>
      <c r="M30" s="95">
        <f t="shared" si="55"/>
        <v>1475.5061659999999</v>
      </c>
      <c r="N30" s="98">
        <f t="shared" si="55"/>
        <v>2653.6134520000001</v>
      </c>
      <c r="P30" s="198" t="s">
        <v>257</v>
      </c>
      <c r="Q30" s="34">
        <f t="shared" si="51"/>
        <v>947.34280000000001</v>
      </c>
      <c r="R30" s="34">
        <f t="shared" si="51"/>
        <v>235.864858</v>
      </c>
      <c r="S30" s="95">
        <f t="shared" si="51"/>
        <v>189.97794737185799</v>
      </c>
      <c r="T30" s="98">
        <f t="shared" si="51"/>
        <v>-357.08963176409645</v>
      </c>
    </row>
    <row r="31" spans="1:38" ht="18.600000000000001" customHeight="1" x14ac:dyDescent="0.2">
      <c r="A31" s="179" t="s">
        <v>138</v>
      </c>
      <c r="B31" s="12" t="s">
        <v>255</v>
      </c>
      <c r="C31" s="42">
        <v>0</v>
      </c>
      <c r="D31" s="42">
        <v>0</v>
      </c>
      <c r="E31" s="101">
        <v>0</v>
      </c>
      <c r="F31" s="106">
        <v>0</v>
      </c>
      <c r="G31" s="42">
        <v>0</v>
      </c>
      <c r="H31" s="27"/>
      <c r="J31" s="12" t="s">
        <v>156</v>
      </c>
      <c r="K31" s="38">
        <f>SUM(K32:K34)</f>
        <v>5030.3078750000004</v>
      </c>
      <c r="L31" s="38">
        <f t="shared" ref="L31" si="61">SUM(L32:L34)</f>
        <v>5920.1012449999998</v>
      </c>
      <c r="M31" s="94">
        <f t="shared" ref="M31" si="62">SUM(M32:M34)</f>
        <v>6214.3863330000004</v>
      </c>
      <c r="N31" s="97">
        <f t="shared" ref="N31" si="63">SUM(N32:N34)</f>
        <v>7380.7522019270291</v>
      </c>
      <c r="P31" s="198" t="s">
        <v>177</v>
      </c>
      <c r="Q31" s="34">
        <f t="shared" si="51"/>
        <v>2265.1899969999999</v>
      </c>
      <c r="R31" s="34">
        <f t="shared" si="51"/>
        <v>-19.023757</v>
      </c>
      <c r="S31" s="95">
        <f t="shared" si="51"/>
        <v>-6.3193855557581413</v>
      </c>
      <c r="T31" s="98">
        <f t="shared" si="51"/>
        <v>-16.450446237018848</v>
      </c>
    </row>
    <row r="32" spans="1:38" ht="18.600000000000001" customHeight="1" x14ac:dyDescent="0.2">
      <c r="A32" s="176" t="s">
        <v>139</v>
      </c>
      <c r="B32" s="181"/>
      <c r="C32" s="180">
        <v>0</v>
      </c>
      <c r="D32" s="180">
        <v>0</v>
      </c>
      <c r="E32" s="82">
        <v>0</v>
      </c>
      <c r="F32" s="89">
        <v>0</v>
      </c>
      <c r="G32" s="180">
        <v>0</v>
      </c>
      <c r="H32" s="180">
        <v>0</v>
      </c>
      <c r="J32" s="186" t="s">
        <v>157</v>
      </c>
      <c r="K32" s="34">
        <f>K8/$O$24</f>
        <v>4820.0290210000003</v>
      </c>
      <c r="L32" s="34">
        <f t="shared" ref="L32:N32" si="64">L8/$O$24</f>
        <v>5649.5591370000002</v>
      </c>
      <c r="M32" s="95">
        <f t="shared" si="64"/>
        <v>5818.1281470000004</v>
      </c>
      <c r="N32" s="98">
        <f t="shared" si="64"/>
        <v>7110.2100939270294</v>
      </c>
      <c r="P32" s="198" t="s">
        <v>178</v>
      </c>
      <c r="Q32" s="34">
        <f t="shared" si="51"/>
        <v>77.386212999999998</v>
      </c>
      <c r="R32" s="34">
        <f t="shared" si="51"/>
        <v>-2138.255474</v>
      </c>
      <c r="S32" s="95">
        <f t="shared" si="51"/>
        <v>0</v>
      </c>
      <c r="T32" s="98">
        <f t="shared" si="51"/>
        <v>0</v>
      </c>
    </row>
    <row r="33" spans="1:20" ht="18.600000000000001" customHeight="1" x14ac:dyDescent="0.2">
      <c r="A33" s="179" t="s">
        <v>140</v>
      </c>
      <c r="B33" s="12" t="s">
        <v>255</v>
      </c>
      <c r="C33" s="65">
        <f>C12/$I$21</f>
        <v>1378.1674430418193</v>
      </c>
      <c r="D33" s="65">
        <f t="shared" ref="D33:G33" si="65">D12/$I$21</f>
        <v>2036.03477</v>
      </c>
      <c r="E33" s="104">
        <f t="shared" si="65"/>
        <v>4197.2808679999998</v>
      </c>
      <c r="F33" s="109">
        <f t="shared" si="65"/>
        <v>4292.8380833413694</v>
      </c>
      <c r="G33" s="65">
        <f t="shared" si="65"/>
        <v>95.557215341369627</v>
      </c>
      <c r="H33" s="37">
        <f>G33/E33</f>
        <v>2.2766457224699034E-2</v>
      </c>
      <c r="J33" s="186" t="s">
        <v>158</v>
      </c>
      <c r="K33" s="34">
        <f t="shared" ref="K33:N34" si="66">K9/$O$24</f>
        <v>0</v>
      </c>
      <c r="L33" s="34">
        <f t="shared" si="66"/>
        <v>0</v>
      </c>
      <c r="M33" s="95">
        <f t="shared" si="66"/>
        <v>0</v>
      </c>
      <c r="N33" s="98">
        <f t="shared" si="66"/>
        <v>0</v>
      </c>
      <c r="P33" s="198" t="s">
        <v>179</v>
      </c>
      <c r="Q33" s="34">
        <f t="shared" si="51"/>
        <v>-151.48401013999987</v>
      </c>
      <c r="R33" s="34">
        <f t="shared" si="51"/>
        <v>3591.6294526220004</v>
      </c>
      <c r="S33" s="95">
        <f t="shared" si="51"/>
        <v>0</v>
      </c>
      <c r="T33" s="98">
        <f t="shared" si="51"/>
        <v>0</v>
      </c>
    </row>
    <row r="34" spans="1:20" ht="18.600000000000001" customHeight="1" x14ac:dyDescent="0.2">
      <c r="A34" s="176" t="s">
        <v>141</v>
      </c>
      <c r="B34" s="181"/>
      <c r="C34" s="180">
        <f>C33/C24</f>
        <v>1.7463800607193221E-2</v>
      </c>
      <c r="D34" s="180">
        <f t="shared" ref="D34" si="67">D33/D24</f>
        <v>2.7320852975712438E-2</v>
      </c>
      <c r="E34" s="82">
        <f t="shared" ref="E34" si="68">E33/E24</f>
        <v>4.1043977148958667E-2</v>
      </c>
      <c r="F34" s="89">
        <f t="shared" ref="F34:G34" si="69">F33/F24</f>
        <v>4.3103380558481126E-2</v>
      </c>
      <c r="G34" s="180">
        <f t="shared" si="69"/>
        <v>-3.5802421633433078E-2</v>
      </c>
      <c r="H34" s="27"/>
      <c r="J34" s="186" t="s">
        <v>159</v>
      </c>
      <c r="K34" s="34">
        <f t="shared" si="66"/>
        <v>210.278854</v>
      </c>
      <c r="L34" s="34">
        <f t="shared" si="66"/>
        <v>270.54210799999998</v>
      </c>
      <c r="M34" s="95">
        <f t="shared" si="66"/>
        <v>396.25818600000002</v>
      </c>
      <c r="N34" s="98">
        <f t="shared" si="66"/>
        <v>270.54210799999998</v>
      </c>
      <c r="P34" s="199" t="s">
        <v>265</v>
      </c>
      <c r="Q34" s="190">
        <f t="shared" si="51"/>
        <v>1374.9277330000004</v>
      </c>
      <c r="R34" s="190">
        <f t="shared" si="51"/>
        <v>6172.8297270000003</v>
      </c>
      <c r="S34" s="188">
        <f t="shared" si="51"/>
        <v>2295.5887731356206</v>
      </c>
      <c r="T34" s="189">
        <f t="shared" si="51"/>
        <v>-287.50407435608076</v>
      </c>
    </row>
    <row r="35" spans="1:20" ht="18.600000000000001" customHeight="1" x14ac:dyDescent="0.2">
      <c r="A35" s="177" t="s">
        <v>142</v>
      </c>
      <c r="B35" s="182" t="s">
        <v>255</v>
      </c>
      <c r="C35" s="62">
        <f>C14/$I$21</f>
        <v>284.50553099999973</v>
      </c>
      <c r="D35" s="62">
        <f t="shared" ref="D35:G35" si="70">D14/$I$21</f>
        <v>-876.76485300000002</v>
      </c>
      <c r="E35" s="102">
        <f t="shared" si="70"/>
        <v>6256.7781160000004</v>
      </c>
      <c r="F35" s="107">
        <f t="shared" si="70"/>
        <v>3098.9281504248656</v>
      </c>
      <c r="G35" s="62">
        <f t="shared" si="70"/>
        <v>-3157.8499655751343</v>
      </c>
      <c r="H35" s="63">
        <f>G35/E35</f>
        <v>-0.50470863870013161</v>
      </c>
      <c r="J35" s="182" t="s">
        <v>160</v>
      </c>
      <c r="K35" s="61">
        <f>K26+K31</f>
        <v>16256.51518486</v>
      </c>
      <c r="L35" s="61">
        <f t="shared" ref="L35:N35" si="71">L26+L31</f>
        <v>17799.098373481997</v>
      </c>
      <c r="M35" s="96">
        <f t="shared" si="71"/>
        <v>21443.675889482001</v>
      </c>
      <c r="N35" s="99">
        <f t="shared" si="71"/>
        <v>24176.129032204819</v>
      </c>
      <c r="P35" s="198" t="s">
        <v>258</v>
      </c>
      <c r="Q35" s="34">
        <f t="shared" si="51"/>
        <v>-1121.2809999999999</v>
      </c>
      <c r="R35" s="34">
        <f t="shared" si="51"/>
        <v>-2225.3284140000001</v>
      </c>
      <c r="S35" s="95">
        <f t="shared" si="51"/>
        <v>-3744.3256719999999</v>
      </c>
      <c r="T35" s="98">
        <f t="shared" si="51"/>
        <v>0</v>
      </c>
    </row>
    <row r="36" spans="1:20" ht="18.600000000000001" customHeight="1" x14ac:dyDescent="0.2">
      <c r="A36" s="176" t="s">
        <v>143</v>
      </c>
      <c r="B36" s="181"/>
      <c r="C36" s="138">
        <f>C35/C24</f>
        <v>3.6051844716787863E-3</v>
      </c>
      <c r="D36" s="138">
        <f t="shared" ref="D36" si="72">D35/D24</f>
        <v>-1.1765007158048253E-2</v>
      </c>
      <c r="E36" s="139">
        <f t="shared" ref="E36" si="73">E35/E24</f>
        <v>6.1183196001266191E-2</v>
      </c>
      <c r="F36" s="140">
        <f t="shared" ref="F36" si="74">F35/F24</f>
        <v>3.1115610884439482E-2</v>
      </c>
      <c r="G36" s="27">
        <f t="shared" ref="G36" si="75">G35/G24</f>
        <v>1.1831516387198084</v>
      </c>
      <c r="H36" s="27"/>
      <c r="J36" s="12" t="s">
        <v>161</v>
      </c>
      <c r="K36" s="38">
        <f>K37+K41</f>
        <v>3298.08164786</v>
      </c>
      <c r="L36" s="38">
        <f t="shared" ref="L36" si="76">L37+L41</f>
        <v>7125.5759584820007</v>
      </c>
      <c r="M36" s="94">
        <f t="shared" ref="M36" si="77">M37+M41</f>
        <v>7957.168842</v>
      </c>
      <c r="N36" s="97">
        <f t="shared" ref="N36" si="78">N37+N41</f>
        <v>6958.4642740897625</v>
      </c>
      <c r="P36" s="198" t="s">
        <v>259</v>
      </c>
      <c r="Q36" s="34">
        <f t="shared" si="51"/>
        <v>0</v>
      </c>
      <c r="R36" s="34">
        <f t="shared" si="51"/>
        <v>0</v>
      </c>
      <c r="S36" s="95">
        <f t="shared" si="51"/>
        <v>0</v>
      </c>
      <c r="T36" s="98">
        <f t="shared" si="51"/>
        <v>0</v>
      </c>
    </row>
    <row r="37" spans="1:20" ht="18.600000000000001" customHeight="1" x14ac:dyDescent="0.2">
      <c r="A37" s="176" t="s">
        <v>144</v>
      </c>
      <c r="B37" s="181" t="s">
        <v>255</v>
      </c>
      <c r="C37" s="42">
        <v>0</v>
      </c>
      <c r="D37" s="42">
        <v>0</v>
      </c>
      <c r="E37" s="101">
        <v>0</v>
      </c>
      <c r="F37" s="106">
        <v>0</v>
      </c>
      <c r="G37" s="42">
        <f>F37-E37</f>
        <v>0</v>
      </c>
      <c r="H37" s="27">
        <f>IFERROR(G37/E37,0)</f>
        <v>0</v>
      </c>
      <c r="J37" s="12" t="s">
        <v>162</v>
      </c>
      <c r="K37" s="38">
        <f>SUM(K38:K40)</f>
        <v>3298.08164786</v>
      </c>
      <c r="L37" s="38">
        <f t="shared" ref="L37" si="79">SUM(L38:L40)</f>
        <v>7125.5759584820007</v>
      </c>
      <c r="M37" s="94">
        <f t="shared" ref="M37" si="80">SUM(M38:M40)</f>
        <v>7957.168842</v>
      </c>
      <c r="N37" s="97">
        <f t="shared" ref="N37" si="81">SUM(N38:N40)</f>
        <v>6958.4642740897625</v>
      </c>
      <c r="P37" s="198" t="s">
        <v>260</v>
      </c>
      <c r="Q37" s="34">
        <f t="shared" si="51"/>
        <v>-93.20008</v>
      </c>
      <c r="R37" s="34">
        <f t="shared" si="51"/>
        <v>-60.263254000000003</v>
      </c>
      <c r="S37" s="95">
        <f t="shared" si="51"/>
        <v>0</v>
      </c>
      <c r="T37" s="98">
        <f t="shared" si="51"/>
        <v>0</v>
      </c>
    </row>
    <row r="38" spans="1:20" ht="18.600000000000001" customHeight="1" x14ac:dyDescent="0.2">
      <c r="A38" s="176" t="s">
        <v>145</v>
      </c>
      <c r="B38" s="181" t="s">
        <v>255</v>
      </c>
      <c r="C38" s="42">
        <f>C17/$I$21</f>
        <v>1044.5592456156805</v>
      </c>
      <c r="D38" s="42">
        <f t="shared" ref="D38:G38" si="82">D17/$I$21</f>
        <v>1472.596978</v>
      </c>
      <c r="E38" s="101">
        <f t="shared" si="82"/>
        <v>2051.6486759999998</v>
      </c>
      <c r="F38" s="106">
        <f t="shared" si="82"/>
        <v>1297.2980991021507</v>
      </c>
      <c r="G38" s="42">
        <f t="shared" si="82"/>
        <v>-754.35057689784935</v>
      </c>
      <c r="H38" s="27">
        <f>G38/E38</f>
        <v>-0.3676801909226341</v>
      </c>
      <c r="J38" s="186" t="s">
        <v>163</v>
      </c>
      <c r="K38" s="34">
        <f>K14/$O$24</f>
        <v>533.82585500000005</v>
      </c>
      <c r="L38" s="34">
        <f t="shared" ref="L38:N38" si="83">L14/$O$24</f>
        <v>769.69071299999996</v>
      </c>
      <c r="M38" s="95">
        <f t="shared" si="83"/>
        <v>586.65226199999995</v>
      </c>
      <c r="N38" s="98">
        <f t="shared" si="83"/>
        <v>602.57902860776153</v>
      </c>
      <c r="P38" s="199" t="s">
        <v>266</v>
      </c>
      <c r="Q38" s="190">
        <f t="shared" si="51"/>
        <v>-1214.48108</v>
      </c>
      <c r="R38" s="190">
        <f t="shared" si="51"/>
        <v>-2285.591668</v>
      </c>
      <c r="S38" s="188">
        <f t="shared" si="51"/>
        <v>-3744.3256719999999</v>
      </c>
      <c r="T38" s="189">
        <f t="shared" si="51"/>
        <v>0</v>
      </c>
    </row>
    <row r="39" spans="1:20" ht="18.600000000000001" customHeight="1" x14ac:dyDescent="0.2">
      <c r="A39" s="176" t="s">
        <v>149</v>
      </c>
      <c r="B39" s="181" t="s">
        <v>255</v>
      </c>
      <c r="C39" s="42">
        <f>C18/$I$21</f>
        <v>19.637129999999999</v>
      </c>
      <c r="D39" s="42">
        <f t="shared" ref="D39:G39" si="84">D18/$I$21</f>
        <v>-59.050451000000002</v>
      </c>
      <c r="E39" s="101">
        <f t="shared" si="84"/>
        <v>364.85004600000002</v>
      </c>
      <c r="F39" s="106">
        <f t="shared" si="84"/>
        <v>0</v>
      </c>
      <c r="G39" s="42">
        <f t="shared" si="84"/>
        <v>-364.85004600000002</v>
      </c>
      <c r="H39" s="27">
        <f>G39/E39</f>
        <v>-1</v>
      </c>
      <c r="J39" s="186" t="s">
        <v>164</v>
      </c>
      <c r="K39" s="34">
        <f t="shared" ref="K39:N40" si="85">K15/$O$24</f>
        <v>0</v>
      </c>
      <c r="L39" s="34">
        <f t="shared" si="85"/>
        <v>0</v>
      </c>
      <c r="M39" s="95">
        <f t="shared" si="85"/>
        <v>0</v>
      </c>
      <c r="N39" s="98">
        <f t="shared" si="85"/>
        <v>0</v>
      </c>
      <c r="P39" s="198" t="s">
        <v>261</v>
      </c>
      <c r="Q39" s="34">
        <f t="shared" si="51"/>
        <v>-2000</v>
      </c>
      <c r="R39" s="34">
        <f t="shared" si="51"/>
        <v>0</v>
      </c>
      <c r="S39" s="95">
        <f t="shared" si="51"/>
        <v>0</v>
      </c>
      <c r="T39" s="98">
        <f t="shared" si="51"/>
        <v>0</v>
      </c>
    </row>
    <row r="40" spans="1:20" ht="18.600000000000001" customHeight="1" x14ac:dyDescent="0.2">
      <c r="A40" s="177" t="s">
        <v>146</v>
      </c>
      <c r="B40" s="182" t="s">
        <v>255</v>
      </c>
      <c r="C40" s="62">
        <f>C27-C29-C31-C33-C37-C38+C39</f>
        <v>-760.05371461568313</v>
      </c>
      <c r="D40" s="62">
        <f t="shared" ref="D40" si="86">D27-D29-D31-D33-D37-D38+D39</f>
        <v>-2349.3618309999974</v>
      </c>
      <c r="E40" s="102">
        <f t="shared" ref="E40" si="87">E27-E29-E31-E33-E37-E38+E39</f>
        <v>4205.129439999997</v>
      </c>
      <c r="F40" s="107">
        <f>F27-F29-F31-F33-F37-F38+F39</f>
        <v>1801.6300513227131</v>
      </c>
      <c r="G40" s="62">
        <f>F40-E40</f>
        <v>-2403.4993886772836</v>
      </c>
      <c r="H40" s="63">
        <f>G40/E40</f>
        <v>-0.57156371117015725</v>
      </c>
      <c r="J40" s="186" t="s">
        <v>165</v>
      </c>
      <c r="K40" s="34">
        <f t="shared" si="85"/>
        <v>2764.2557928599999</v>
      </c>
      <c r="L40" s="34">
        <f t="shared" si="85"/>
        <v>6355.8852454820008</v>
      </c>
      <c r="M40" s="95">
        <f t="shared" si="85"/>
        <v>7370.5165800000004</v>
      </c>
      <c r="N40" s="98">
        <f t="shared" si="85"/>
        <v>6355.8852454820008</v>
      </c>
      <c r="P40" s="198" t="s">
        <v>262</v>
      </c>
      <c r="Q40" s="34">
        <f t="shared" si="51"/>
        <v>0</v>
      </c>
      <c r="R40" s="34">
        <f t="shared" si="51"/>
        <v>0</v>
      </c>
      <c r="S40" s="95">
        <f t="shared" si="51"/>
        <v>0</v>
      </c>
      <c r="T40" s="98">
        <f t="shared" si="51"/>
        <v>0</v>
      </c>
    </row>
    <row r="41" spans="1:20" ht="18.600000000000001" customHeight="1" x14ac:dyDescent="0.2">
      <c r="A41" s="176" t="s">
        <v>147</v>
      </c>
      <c r="B41" s="181"/>
      <c r="C41" s="138">
        <f>C40/C24</f>
        <v>-9.6312146900730845E-3</v>
      </c>
      <c r="D41" s="138">
        <f t="shared" ref="D41" si="88">D40/D24</f>
        <v>-3.1525281452586144E-2</v>
      </c>
      <c r="E41" s="139">
        <f t="shared" ref="E41" si="89">E40/E24</f>
        <v>4.1120726029948693E-2</v>
      </c>
      <c r="F41" s="140">
        <f t="shared" ref="F41" si="90">F40/F24</f>
        <v>1.8089744877429495E-2</v>
      </c>
      <c r="G41" s="27">
        <f>G40/G24</f>
        <v>0.90051910995640549</v>
      </c>
      <c r="H41" s="27"/>
      <c r="J41" s="12" t="s">
        <v>166</v>
      </c>
      <c r="K41" s="34"/>
      <c r="L41" s="34"/>
      <c r="M41" s="95"/>
      <c r="N41" s="98"/>
      <c r="P41" s="198" t="s">
        <v>263</v>
      </c>
      <c r="Q41" s="34">
        <f t="shared" si="51"/>
        <v>0</v>
      </c>
      <c r="R41" s="34">
        <f t="shared" si="51"/>
        <v>0</v>
      </c>
      <c r="S41" s="95">
        <f t="shared" si="51"/>
        <v>0</v>
      </c>
      <c r="T41" s="98">
        <f t="shared" si="51"/>
        <v>0</v>
      </c>
    </row>
    <row r="42" spans="1:20" ht="18.600000000000001" customHeight="1" x14ac:dyDescent="0.2">
      <c r="J42" s="186" t="s">
        <v>167</v>
      </c>
      <c r="K42" s="34"/>
      <c r="L42" s="34"/>
      <c r="M42" s="95"/>
      <c r="N42" s="98"/>
      <c r="P42" s="198" t="s">
        <v>264</v>
      </c>
      <c r="Q42" s="34">
        <f t="shared" si="51"/>
        <v>0</v>
      </c>
      <c r="R42" s="34">
        <f t="shared" si="51"/>
        <v>0</v>
      </c>
      <c r="S42" s="95">
        <f t="shared" si="51"/>
        <v>0</v>
      </c>
      <c r="T42" s="98">
        <f t="shared" si="51"/>
        <v>0</v>
      </c>
    </row>
    <row r="43" spans="1:20" ht="18.600000000000001" customHeight="1" x14ac:dyDescent="0.2">
      <c r="J43" s="186" t="s">
        <v>168</v>
      </c>
      <c r="K43" s="34"/>
      <c r="L43" s="34"/>
      <c r="M43" s="95"/>
      <c r="N43" s="98"/>
      <c r="P43" s="199" t="s">
        <v>188</v>
      </c>
      <c r="Q43" s="190">
        <f t="shared" si="51"/>
        <v>-2000</v>
      </c>
      <c r="R43" s="190">
        <f t="shared" si="51"/>
        <v>0</v>
      </c>
      <c r="S43" s="188">
        <f t="shared" si="51"/>
        <v>0</v>
      </c>
      <c r="T43" s="189">
        <f t="shared" si="51"/>
        <v>0</v>
      </c>
    </row>
    <row r="44" spans="1:20" ht="18.600000000000001" customHeight="1" x14ac:dyDescent="0.2">
      <c r="J44" s="12" t="s">
        <v>169</v>
      </c>
      <c r="K44" s="38">
        <f>SUM(K45:K46)</f>
        <v>12958.433537000001</v>
      </c>
      <c r="L44" s="38">
        <f t="shared" ref="L44" si="91">SUM(L45:L46)</f>
        <v>10673.522414999999</v>
      </c>
      <c r="M44" s="94">
        <f t="shared" ref="M44" si="92">SUM(M45:M46)</f>
        <v>14417.330139</v>
      </c>
      <c r="N44" s="97">
        <f t="shared" ref="N44" si="93">SUM(N45:N46)</f>
        <v>16218.96019</v>
      </c>
      <c r="P44" s="198" t="s">
        <v>189</v>
      </c>
      <c r="Q44" s="34">
        <f t="shared" si="51"/>
        <v>3956.1786280000001</v>
      </c>
      <c r="R44" s="34">
        <f t="shared" si="51"/>
        <v>2116.6252810000005</v>
      </c>
      <c r="S44" s="95">
        <f t="shared" si="51"/>
        <v>6003.8633399999999</v>
      </c>
      <c r="T44" s="98">
        <f t="shared" si="51"/>
        <v>4555.1264411356206</v>
      </c>
    </row>
    <row r="45" spans="1:20" ht="18.600000000000001" customHeight="1" x14ac:dyDescent="0.2">
      <c r="J45" s="186" t="s">
        <v>170</v>
      </c>
      <c r="K45" s="34">
        <f>K21/$O$24</f>
        <v>15000</v>
      </c>
      <c r="L45" s="34">
        <f t="shared" ref="L45:N45" si="94">L21/$O$24</f>
        <v>15000</v>
      </c>
      <c r="M45" s="95">
        <f t="shared" si="94"/>
        <v>15000</v>
      </c>
      <c r="N45" s="98">
        <f t="shared" si="94"/>
        <v>15000</v>
      </c>
      <c r="P45" s="198" t="s">
        <v>190</v>
      </c>
      <c r="Q45" s="34">
        <f t="shared" si="51"/>
        <v>0</v>
      </c>
      <c r="R45" s="34">
        <f t="shared" si="51"/>
        <v>6003.8633399999999</v>
      </c>
      <c r="S45" s="95">
        <f t="shared" si="51"/>
        <v>4555.1264411356206</v>
      </c>
      <c r="T45" s="98">
        <f t="shared" si="51"/>
        <v>4267.6223667795393</v>
      </c>
    </row>
    <row r="46" spans="1:20" ht="18.600000000000001" customHeight="1" x14ac:dyDescent="0.2">
      <c r="J46" s="186" t="s">
        <v>146</v>
      </c>
      <c r="K46" s="34">
        <f>K22/$O$24</f>
        <v>-2041.5664630000001</v>
      </c>
      <c r="L46" s="34">
        <f t="shared" ref="L46:M46" si="95">L22/$O$24</f>
        <v>-4326.4775849999996</v>
      </c>
      <c r="M46" s="95">
        <f t="shared" si="95"/>
        <v>-582.66986099999997</v>
      </c>
      <c r="N46" s="98">
        <f>N22/$O$24</f>
        <v>1218.96019</v>
      </c>
    </row>
    <row r="47" spans="1:20" ht="18.600000000000001" customHeight="1" x14ac:dyDescent="0.2">
      <c r="J47" s="182" t="s">
        <v>171</v>
      </c>
      <c r="K47" s="61">
        <f>K36+K44</f>
        <v>16256.51518486</v>
      </c>
      <c r="L47" s="61">
        <f t="shared" ref="L47:N47" si="96">L36+L44</f>
        <v>17799.098373482</v>
      </c>
      <c r="M47" s="96">
        <f t="shared" si="96"/>
        <v>22374.498981000001</v>
      </c>
      <c r="N47" s="99">
        <f t="shared" si="96"/>
        <v>23177.424464089763</v>
      </c>
    </row>
  </sheetData>
  <mergeCells count="3">
    <mergeCell ref="G1:H1"/>
    <mergeCell ref="G22:H22"/>
    <mergeCell ref="AK1:AL1"/>
  </mergeCells>
  <phoneticPr fontId="4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E1BFE-1A5D-408E-A647-71C7A6F9B86E}">
  <dimension ref="A1"/>
  <sheetViews>
    <sheetView workbookViewId="0"/>
  </sheetViews>
  <sheetFormatPr defaultRowHeight="12.75" x14ac:dyDescent="0.2"/>
  <cols>
    <col min="1" max="1" width="13.1640625" customWidth="1"/>
  </cols>
  <sheetData>
    <row r="1" spans="1:1" x14ac:dyDescent="0.2">
      <c r="A1" s="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theo anh Hoang</vt:lpstr>
      <vt:lpstr>kt tu lam</vt:lpstr>
      <vt:lpstr>Sheet1</vt:lpstr>
      <vt:lpstr>Sheet2</vt:lpstr>
      <vt:lpstr>Sheet3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Loan, Trương Thị Hồng (KN)</dc:creator>
  <cp:lastModifiedBy>Danh, Hoàng Duy</cp:lastModifiedBy>
  <cp:lastPrinted>2025-12-11T04:09:51Z</cp:lastPrinted>
  <dcterms:created xsi:type="dcterms:W3CDTF">2025-12-09T05:41:17Z</dcterms:created>
  <dcterms:modified xsi:type="dcterms:W3CDTF">2026-03-24T04:33:57Z</dcterms:modified>
</cp:coreProperties>
</file>