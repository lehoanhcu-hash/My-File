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ata\BI\Diễm BI\"/>
    </mc:Choice>
  </mc:AlternateContent>
  <xr:revisionPtr revIDLastSave="0" documentId="13_ncr:1_{DB1F8BF6-130C-41E8-9577-D2E0009DC565}" xr6:coauthVersionLast="47" xr6:coauthVersionMax="47" xr10:uidLastSave="{00000000-0000-0000-0000-000000000000}"/>
  <bookViews>
    <workbookView xWindow="-110" yWindow="-110" windowWidth="19420" windowHeight="10300" tabRatio="898" firstSheet="5" activeTab="12" xr2:uid="{00000000-000D-0000-FFFF-FFFF00000000}"/>
  </bookViews>
  <sheets>
    <sheet name="SL bán so với SL mua 2022" sheetId="45" state="hidden" r:id="rId1"/>
    <sheet name="SL bán so với SL mua 2022- PET" sheetId="42" state="hidden" r:id="rId2"/>
    <sheet name="SL bán so với SL mua 2022- HDPE" sheetId="43" state="hidden" r:id="rId3"/>
    <sheet name="SL bán&amp; SL SX-2022" sheetId="44" state="hidden" r:id="rId4"/>
    <sheet name="Tổng mua và bán" sheetId="57" r:id="rId5"/>
    <sheet name="Mua-bán PET" sheetId="59" r:id="rId6"/>
    <sheet name="Mua-bán HD" sheetId="61" r:id="rId7"/>
    <sheet name="Mua-bán-PP" sheetId="68" r:id="rId8"/>
    <sheet name="Tổng SX và bán" sheetId="62" r:id="rId9"/>
    <sheet name="SX và bán PET" sheetId="69" r:id="rId10"/>
    <sheet name="SX và bán HD" sheetId="70" r:id="rId11"/>
    <sheet name="SX và bán PP" sheetId="71" r:id="rId12"/>
    <sheet name="SX và bán xơ sợi" sheetId="73" r:id="rId13"/>
    <sheet name="SL TP&amp;BTP" sheetId="72" state="hidden" r:id="rId14"/>
    <sheet name="Data" sheetId="7" state="hidden" r:id="rId15"/>
    <sheet name="Data2" sheetId="19" state="hidden" r:id="rId16"/>
    <sheet name="ICIS" sheetId="20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Jan02">'[5]FG waste'!#REF!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>#REF!</definedName>
    <definedName name="Asset">[12]Capex!$G$6:$I$13</definedName>
    <definedName name="aù0">'[13]bang tien luong'!#REF!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>#REF!</definedName>
    <definedName name="C_">#REF!</definedName>
    <definedName name="cap">#REF!</definedName>
    <definedName name="cap0.7">#REF!</definedName>
    <definedName name="CCNK">[15]QMCT!#REF!</definedName>
    <definedName name="ChemicalReagent">#REF!</definedName>
    <definedName name="CL">#REF!</definedName>
    <definedName name="CLTMP">[15]QMCT!#REF!</definedName>
    <definedName name="CLVC">[16]CHITIET!$D$3</definedName>
    <definedName name="cong_bq">'[4]truc tiep'!#REF!</definedName>
    <definedName name="cong_bv">'[4]truc tiep'!#REF!</definedName>
    <definedName name="cong_ck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gio">'[4]truc tiep'!#REF!</definedName>
    <definedName name="cong_nv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ntingency">[17]Summary!$AR$1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>{"Book1"}</definedName>
    <definedName name="DocumentYear">[18]P3!#REF!</definedName>
    <definedName name="domestic">#REF!</definedName>
    <definedName name="domesticcost">[19]Domestic!#REF!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[15]QMCT!#REF!</definedName>
    <definedName name="G">#REF!</definedName>
    <definedName name="G23_">#REF!</definedName>
    <definedName name="Gas">#REF!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gio">'[4]truc tiep'!#REF!</definedName>
    <definedName name="gica_nv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HDCCT">[15]QMCT!#REF!</definedName>
    <definedName name="HDCD">[15]QMCT!#REF!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>#REF!</definedName>
    <definedName name="Jul">#REF!</definedName>
    <definedName name="Jun">#REF!</definedName>
    <definedName name="Justification">[12]Capex!$B$6:$C$9</definedName>
    <definedName name="K">#REF!</definedName>
    <definedName name="K_1" localSheetId="5">[24]!K_1</definedName>
    <definedName name="K_1" localSheetId="7">[24]!K_1</definedName>
    <definedName name="K_1" localSheetId="0">[24]!K_1</definedName>
    <definedName name="K_1" localSheetId="10">[24]!K_1</definedName>
    <definedName name="K_1" localSheetId="9">[24]!K_1</definedName>
    <definedName name="K_1" localSheetId="11">[24]!K_1</definedName>
    <definedName name="K_1" localSheetId="12">[24]!K_1</definedName>
    <definedName name="K_1" localSheetId="4">[24]!K_1</definedName>
    <definedName name="K_1" localSheetId="8">[24]!K_1</definedName>
    <definedName name="K_1">[24]!K_1</definedName>
    <definedName name="K_2" localSheetId="5">[24]!K_2</definedName>
    <definedName name="K_2" localSheetId="7">[24]!K_2</definedName>
    <definedName name="K_2" localSheetId="0">[24]!K_2</definedName>
    <definedName name="K_2" localSheetId="10">[24]!K_2</definedName>
    <definedName name="K_2" localSheetId="9">[24]!K_2</definedName>
    <definedName name="K_2" localSheetId="11">[24]!K_2</definedName>
    <definedName name="K_2" localSheetId="12">[24]!K_2</definedName>
    <definedName name="K_2" localSheetId="4">[24]!K_2</definedName>
    <definedName name="K_2" localSheetId="8">[24]!K_2</definedName>
    <definedName name="K_2">[24]!K_2</definedName>
    <definedName name="KCSCM">#REF!</definedName>
    <definedName name="KVC">#REF!</definedName>
    <definedName name="L">#REF!</definedName>
    <definedName name="Lab_supplies_lists">'[25]List(Add only)'!#REF!</definedName>
    <definedName name="Labsupplieslist">#REF!</definedName>
    <definedName name="lanh_bq">'[4]truc tiep'!#REF!</definedName>
    <definedName name="lanh_bv">'[4]truc tiep'!#REF!</definedName>
    <definedName name="lanh_ck">'[4]truc tiep'!#REF!</definedName>
    <definedName name="lanh_d1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gio">'[4]truc tiep'!#REF!</definedName>
    <definedName name="lanh_nv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gio">'[4]truc tiep'!#REF!</definedName>
    <definedName name="lcb_nv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gio">'[4]truc tiep'!#REF!</definedName>
    <definedName name="le_nv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>[18]P3!#REF!</definedName>
    <definedName name="mar">#REF!</definedName>
    <definedName name="mat">[26]Tke!$AD$10:$AR$96</definedName>
    <definedName name="may">#REF!</definedName>
    <definedName name="MPETABLE">#REF!</definedName>
    <definedName name="NCcap0.7">#REF!</definedName>
    <definedName name="NCcap1">#REF!</definedName>
    <definedName name="NGANHANG">OFFSET([21]NGUON!$F:$F,COUNTIF([21]NGUON!$F:$F,"&lt;&gt;0")-1,0,1)</definedName>
    <definedName name="NGAØY">#REF!</definedName>
    <definedName name="NGAY">OFFSET([21]NGUON!$B:$B,COUNTA([21]NGUON!$B:$B)-1,0,1)</definedName>
    <definedName name="nghi_bq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gio">'[4]truc tiep'!#REF!</definedName>
    <definedName name="nghi_nv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NOIDUNG">OFFSET([21]NGUON!$H:$H,COUNTA([21]NGUON!$H:$H)-1,0,1)</definedName>
    <definedName name="Nov">#REF!</definedName>
    <definedName name="NToS" localSheetId="5">[27]!NToS</definedName>
    <definedName name="NToS" localSheetId="7">[27]!NToS</definedName>
    <definedName name="NToS" localSheetId="0">[27]!NToS</definedName>
    <definedName name="NToS" localSheetId="10">[27]!NToS</definedName>
    <definedName name="NToS" localSheetId="9">[27]!NToS</definedName>
    <definedName name="NToS" localSheetId="11">[27]!NToS</definedName>
    <definedName name="NToS" localSheetId="12">[27]!NToS</definedName>
    <definedName name="NToS" localSheetId="4">[27]!NToS</definedName>
    <definedName name="NToS" localSheetId="8">[27]!NToS</definedName>
    <definedName name="NToS">[27]!NToS</definedName>
    <definedName name="Oct">#REF!</definedName>
    <definedName name="OneTwoThree">#REF!</definedName>
    <definedName name="oo">[28]Overseas!$B$20:$L$29</definedName>
    <definedName name="ooo">[29]Overseas!$B$20:$L$29</definedName>
    <definedName name="Other_Lab_Supplies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PHUONG" hidden="1">[9]Sheet1!#REF!</definedName>
    <definedName name="Print_Area_MI">[31]ESTI.!$A$1:$U$52</definedName>
    <definedName name="_xlnm.Print_Titles">#N/A</definedName>
    <definedName name="QUYLUONG">'[4]truc tiep'!#REF!</definedName>
    <definedName name="RawMat">[30]RM!$A$2:$D$65</definedName>
    <definedName name="re">#REF!</definedName>
    <definedName name="ree">#REF!</definedName>
    <definedName name="rr">[32]Capex!$B$17:$Y$41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hidden="1">#REF!</definedName>
    <definedName name="sencount" hidden="1">1</definedName>
    <definedName name="Sep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gio">'[4]truc tiep'!#REF!</definedName>
    <definedName name="sp_nv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>#REF!</definedName>
    <definedName name="tdtrnc">[16]CHITIET!$G$513</definedName>
    <definedName name="tdtrvl">[16]CHITIET!$G$507</definedName>
    <definedName name="TG">#REF!</definedName>
    <definedName name="TGxayduong">#REF!</definedName>
    <definedName name="thgian_bq">'[4]truc tiep'!#REF!</definedName>
    <definedName name="thgian_bv">'[4]truc tiep'!#REF!</definedName>
    <definedName name="thgian_ck">'[4]truc tiep'!#REF!</definedName>
    <definedName name="thgian_d1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gio">'[4]truc tiep'!#REF!</definedName>
    <definedName name="thgian_nv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gio">'[4]truc tiep'!#REF!</definedName>
    <definedName name="thgio_nv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INHTP">OFFSET([21]NGUON!$G:$G,COUNTIF([21]NGUON!$G:$G,"&lt;&gt;0")-1,0,1)</definedName>
    <definedName name="tluong">#REF!</definedName>
    <definedName name="tnh_bq">'[4]truc tiep'!#REF!</definedName>
    <definedName name="tnh_bv">'[4]truc tiep'!#REF!</definedName>
    <definedName name="tnh_ck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gio">'[4]truc tiep'!#REF!</definedName>
    <definedName name="tnh_nv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ram" hidden="1">[9]Sheet1!#REF!</definedName>
    <definedName name="TSSCM">#REF!</definedName>
    <definedName name="TSSlist">#REF!</definedName>
    <definedName name="ttbt">#REF!</definedName>
    <definedName name="ttt">'[1]CT Thang Mo'!$B$309:$M$309</definedName>
    <definedName name="tttb">'[1]CT Thang Mo'!$B$431:$I$431</definedName>
    <definedName name="vc3.">'[1]CT  PL'!$B$125:$H$125</definedName>
    <definedName name="vca">'[1]CT  PL'!$B$25:$H$25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>#REF!</definedName>
    <definedName name="VLcap1">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gio">'[4]truc tiep'!#REF!</definedName>
    <definedName name="xh_nv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gio">'[4]truc tiep'!#REF!</definedName>
    <definedName name="yt_nv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62" l="1"/>
  <c r="J27" i="62"/>
  <c r="F27" i="62"/>
  <c r="L26" i="62"/>
  <c r="J26" i="62"/>
  <c r="I26" i="62"/>
  <c r="H26" i="62"/>
  <c r="G26" i="62"/>
  <c r="M26" i="62"/>
  <c r="M46" i="62"/>
  <c r="M28" i="69"/>
  <c r="M30" i="61"/>
  <c r="F26" i="62"/>
  <c r="M35" i="57" l="1"/>
  <c r="L46" i="62"/>
  <c r="N30" i="69"/>
  <c r="N30" i="70"/>
  <c r="N30" i="71"/>
  <c r="N30" i="73"/>
  <c r="L30" i="61"/>
  <c r="K30" i="61"/>
  <c r="C36" i="57" l="1"/>
  <c r="D36" i="57"/>
  <c r="E36" i="57"/>
  <c r="F36" i="57"/>
  <c r="G36" i="57"/>
  <c r="H36" i="57"/>
  <c r="I36" i="57"/>
  <c r="J36" i="57"/>
  <c r="B36" i="57"/>
  <c r="J30" i="61"/>
  <c r="J32" i="71"/>
  <c r="I32" i="71"/>
  <c r="I46" i="62" l="1"/>
  <c r="I30" i="61"/>
  <c r="H46" i="62"/>
  <c r="H30" i="61" l="1"/>
  <c r="N27" i="70" l="1"/>
  <c r="H29" i="59"/>
  <c r="H27" i="62"/>
  <c r="G46" i="62"/>
  <c r="G30" i="61"/>
  <c r="N35" i="61"/>
  <c r="F30" i="61"/>
  <c r="F29" i="61"/>
  <c r="F43" i="62"/>
  <c r="N30" i="61"/>
  <c r="B33" i="61" s="1"/>
  <c r="C33" i="61" s="1"/>
  <c r="D33" i="61" s="1"/>
  <c r="E33" i="61" s="1"/>
  <c r="F33" i="61" s="1"/>
  <c r="G33" i="61" s="1"/>
  <c r="H33" i="61" s="1"/>
  <c r="I33" i="61" s="1"/>
  <c r="J33" i="61" s="1"/>
  <c r="K33" i="61" s="1"/>
  <c r="L33" i="61" s="1"/>
  <c r="M33" i="61" s="1"/>
  <c r="D46" i="62"/>
  <c r="C46" i="62"/>
  <c r="B46" i="62"/>
  <c r="E46" i="62"/>
  <c r="F33" i="72"/>
  <c r="E30" i="61"/>
  <c r="D30" i="61"/>
  <c r="C30" i="61"/>
  <c r="G27" i="62"/>
  <c r="E26" i="62"/>
  <c r="E33" i="72"/>
  <c r="C29" i="59"/>
  <c r="D29" i="59"/>
  <c r="E29" i="59"/>
  <c r="E42" i="62"/>
  <c r="F29" i="59"/>
  <c r="G29" i="59"/>
  <c r="I29" i="59"/>
  <c r="I42" i="62" s="1"/>
  <c r="J29" i="59"/>
  <c r="K29" i="59"/>
  <c r="K42" i="62" s="1"/>
  <c r="L29" i="59"/>
  <c r="M29" i="59"/>
  <c r="M42" i="62" s="1"/>
  <c r="B29" i="59"/>
  <c r="B35" i="59"/>
  <c r="C31" i="59"/>
  <c r="D31" i="59"/>
  <c r="E31" i="59"/>
  <c r="F31" i="59"/>
  <c r="G31" i="59"/>
  <c r="H31" i="59"/>
  <c r="I31" i="59"/>
  <c r="J31" i="59"/>
  <c r="K31" i="59"/>
  <c r="L31" i="59"/>
  <c r="M31" i="59"/>
  <c r="B31" i="59"/>
  <c r="B29" i="61"/>
  <c r="C35" i="61"/>
  <c r="D35" i="61"/>
  <c r="E35" i="61"/>
  <c r="F35" i="61"/>
  <c r="G35" i="61"/>
  <c r="H35" i="61"/>
  <c r="I35" i="61"/>
  <c r="J35" i="61"/>
  <c r="K35" i="61"/>
  <c r="L35" i="61"/>
  <c r="M35" i="61"/>
  <c r="B35" i="61"/>
  <c r="C31" i="61"/>
  <c r="D31" i="61"/>
  <c r="E31" i="61"/>
  <c r="F31" i="61"/>
  <c r="G31" i="61"/>
  <c r="H31" i="61"/>
  <c r="I31" i="61"/>
  <c r="J31" i="61"/>
  <c r="K31" i="61"/>
  <c r="L31" i="61"/>
  <c r="M31" i="61"/>
  <c r="B31" i="61"/>
  <c r="B28" i="68"/>
  <c r="B31" i="68"/>
  <c r="C30" i="68"/>
  <c r="D30" i="68"/>
  <c r="E30" i="68"/>
  <c r="F30" i="68"/>
  <c r="G30" i="68"/>
  <c r="H30" i="68"/>
  <c r="I30" i="68"/>
  <c r="J30" i="68"/>
  <c r="K30" i="68"/>
  <c r="L30" i="68"/>
  <c r="M30" i="68"/>
  <c r="B30" i="68"/>
  <c r="J35" i="59"/>
  <c r="K35" i="59"/>
  <c r="L35" i="59"/>
  <c r="M35" i="59"/>
  <c r="I29" i="61"/>
  <c r="I43" i="62" s="1"/>
  <c r="I35" i="59"/>
  <c r="H35" i="59"/>
  <c r="G29" i="61"/>
  <c r="G43" i="62"/>
  <c r="G35" i="59"/>
  <c r="F35" i="59"/>
  <c r="E35" i="59"/>
  <c r="D29" i="62"/>
  <c r="F29" i="62"/>
  <c r="G29" i="62"/>
  <c r="H29" i="62"/>
  <c r="I29" i="62"/>
  <c r="J29" i="62"/>
  <c r="K29" i="62"/>
  <c r="L29" i="62"/>
  <c r="M29" i="62"/>
  <c r="E29" i="62"/>
  <c r="D35" i="59"/>
  <c r="D29" i="61"/>
  <c r="E29" i="61"/>
  <c r="H29" i="61"/>
  <c r="J29" i="61"/>
  <c r="J43" i="62" s="1"/>
  <c r="K29" i="61"/>
  <c r="K43" i="62" s="1"/>
  <c r="L29" i="61"/>
  <c r="L43" i="62" s="1"/>
  <c r="M29" i="61"/>
  <c r="M43" i="62" s="1"/>
  <c r="D31" i="68"/>
  <c r="E31" i="68"/>
  <c r="F31" i="68"/>
  <c r="G31" i="68"/>
  <c r="H31" i="68"/>
  <c r="I31" i="68"/>
  <c r="J31" i="68"/>
  <c r="K31" i="68"/>
  <c r="L31" i="68"/>
  <c r="M31" i="68"/>
  <c r="D28" i="68"/>
  <c r="E28" i="68"/>
  <c r="F28" i="68"/>
  <c r="F44" i="62"/>
  <c r="G28" i="68"/>
  <c r="H28" i="68"/>
  <c r="I28" i="68"/>
  <c r="J28" i="68"/>
  <c r="J44" i="62" s="1"/>
  <c r="K28" i="68"/>
  <c r="L28" i="68"/>
  <c r="L44" i="62" s="1"/>
  <c r="M28" i="68"/>
  <c r="M44" i="62" s="1"/>
  <c r="C26" i="62"/>
  <c r="D26" i="62"/>
  <c r="I33" i="72"/>
  <c r="J33" i="72"/>
  <c r="K26" i="62"/>
  <c r="K33" i="72" s="1"/>
  <c r="L33" i="72"/>
  <c r="M33" i="72"/>
  <c r="C29" i="61"/>
  <c r="C28" i="68"/>
  <c r="C27" i="62"/>
  <c r="D27" i="62"/>
  <c r="E27" i="62"/>
  <c r="I27" i="62"/>
  <c r="J46" i="62"/>
  <c r="K27" i="62"/>
  <c r="L27" i="62"/>
  <c r="M36" i="57"/>
  <c r="C31" i="68"/>
  <c r="C29" i="62"/>
  <c r="C35" i="59"/>
  <c r="C28" i="62"/>
  <c r="D28" i="62"/>
  <c r="E28" i="62"/>
  <c r="F28" i="62"/>
  <c r="G28" i="62"/>
  <c r="H28" i="62"/>
  <c r="I28" i="62"/>
  <c r="J28" i="62"/>
  <c r="K28" i="62"/>
  <c r="L28" i="62"/>
  <c r="M28" i="62"/>
  <c r="B28" i="62"/>
  <c r="N29" i="73"/>
  <c r="N27" i="73"/>
  <c r="N28" i="73"/>
  <c r="B26" i="62"/>
  <c r="C38" i="57"/>
  <c r="D38" i="57"/>
  <c r="E38" i="57"/>
  <c r="F38" i="57"/>
  <c r="G38" i="57"/>
  <c r="H38" i="57"/>
  <c r="I38" i="57"/>
  <c r="J38" i="57"/>
  <c r="K38" i="57"/>
  <c r="L38" i="57"/>
  <c r="M38" i="57"/>
  <c r="B38" i="57"/>
  <c r="B29" i="62"/>
  <c r="M34" i="72"/>
  <c r="N34" i="72"/>
  <c r="C36" i="44"/>
  <c r="D36" i="44"/>
  <c r="E36" i="44"/>
  <c r="F36" i="44"/>
  <c r="G36" i="44"/>
  <c r="H36" i="44"/>
  <c r="I36" i="44"/>
  <c r="J36" i="44"/>
  <c r="K36" i="44"/>
  <c r="L36" i="44"/>
  <c r="M36" i="44"/>
  <c r="B36" i="44"/>
  <c r="N27" i="71"/>
  <c r="N31" i="61"/>
  <c r="N29" i="69"/>
  <c r="N31" i="70"/>
  <c r="N29" i="70"/>
  <c r="K39" i="62"/>
  <c r="L39" i="62"/>
  <c r="M39" i="62"/>
  <c r="K40" i="62"/>
  <c r="L40" i="62"/>
  <c r="M40" i="62"/>
  <c r="K41" i="62"/>
  <c r="L41" i="62"/>
  <c r="M41" i="62"/>
  <c r="L42" i="62"/>
  <c r="K44" i="62"/>
  <c r="J39" i="62"/>
  <c r="J40" i="62"/>
  <c r="J41" i="62"/>
  <c r="N31" i="62"/>
  <c r="N30" i="62"/>
  <c r="N38" i="57"/>
  <c r="N32" i="70"/>
  <c r="I39" i="62"/>
  <c r="I40" i="62"/>
  <c r="I41" i="62"/>
  <c r="N29" i="71"/>
  <c r="B27" i="62"/>
  <c r="N28" i="71"/>
  <c r="C40" i="62"/>
  <c r="D40" i="62"/>
  <c r="E40" i="62"/>
  <c r="G40" i="62"/>
  <c r="B40" i="62"/>
  <c r="H39" i="62"/>
  <c r="H41" i="62"/>
  <c r="D39" i="57"/>
  <c r="C39" i="57"/>
  <c r="B39" i="57"/>
  <c r="N27" i="69"/>
  <c r="N28" i="70"/>
  <c r="H35" i="57"/>
  <c r="I35" i="57"/>
  <c r="J35" i="57"/>
  <c r="K35" i="57"/>
  <c r="L35" i="57"/>
  <c r="C41" i="62"/>
  <c r="D41" i="62"/>
  <c r="E41" i="62"/>
  <c r="F41" i="62"/>
  <c r="G41" i="62"/>
  <c r="B41" i="62"/>
  <c r="C39" i="62"/>
  <c r="D39" i="62"/>
  <c r="E39" i="62"/>
  <c r="F39" i="62"/>
  <c r="G39" i="62"/>
  <c r="B39" i="62"/>
  <c r="C33" i="72"/>
  <c r="D33" i="72"/>
  <c r="B33" i="72"/>
  <c r="N28" i="69"/>
  <c r="G44" i="62"/>
  <c r="G35" i="57"/>
  <c r="F35" i="57"/>
  <c r="E35" i="57"/>
  <c r="D35" i="57"/>
  <c r="C35" i="57"/>
  <c r="B35" i="57"/>
  <c r="N30" i="68"/>
  <c r="B34" i="68"/>
  <c r="C34" i="68"/>
  <c r="D34" i="68"/>
  <c r="E34" i="68"/>
  <c r="F34" i="68"/>
  <c r="G34" i="68"/>
  <c r="H34" i="68"/>
  <c r="I34" i="68"/>
  <c r="J34" i="68"/>
  <c r="K34" i="68"/>
  <c r="L34" i="68"/>
  <c r="M34" i="68"/>
  <c r="N29" i="68"/>
  <c r="B33" i="68" s="1"/>
  <c r="C33" i="68" s="1"/>
  <c r="D33" i="68" s="1"/>
  <c r="E33" i="68" s="1"/>
  <c r="F33" i="68" s="1"/>
  <c r="G33" i="68" s="1"/>
  <c r="H33" i="68" s="1"/>
  <c r="I33" i="68" s="1"/>
  <c r="J33" i="68" s="1"/>
  <c r="K33" i="68" s="1"/>
  <c r="L33" i="68" s="1"/>
  <c r="M33" i="68" s="1"/>
  <c r="W23" i="68"/>
  <c r="W3" i="68"/>
  <c r="W6" i="68"/>
  <c r="N28" i="62"/>
  <c r="D43" i="62"/>
  <c r="D42" i="62"/>
  <c r="C42" i="62"/>
  <c r="C43" i="62"/>
  <c r="N36" i="44"/>
  <c r="N32" i="43"/>
  <c r="N31" i="43"/>
  <c r="C31" i="45"/>
  <c r="D31" i="45"/>
  <c r="E31" i="45"/>
  <c r="F31" i="45"/>
  <c r="G31" i="45"/>
  <c r="H31" i="45"/>
  <c r="I31" i="45"/>
  <c r="K31" i="45"/>
  <c r="L31" i="45"/>
  <c r="M31" i="45"/>
  <c r="B31" i="45"/>
  <c r="C30" i="45"/>
  <c r="D30" i="45"/>
  <c r="E30" i="45"/>
  <c r="F30" i="45"/>
  <c r="G30" i="45"/>
  <c r="H30" i="45"/>
  <c r="I30" i="45"/>
  <c r="J30" i="45"/>
  <c r="K30" i="45"/>
  <c r="L30" i="45"/>
  <c r="M30" i="45"/>
  <c r="B30" i="45"/>
  <c r="B43" i="62"/>
  <c r="B42" i="62"/>
  <c r="N35" i="62"/>
  <c r="N34" i="62"/>
  <c r="N33" i="62"/>
  <c r="B34" i="61"/>
  <c r="C34" i="61"/>
  <c r="D34" i="61"/>
  <c r="E34" i="61"/>
  <c r="F34" i="61"/>
  <c r="G34" i="61"/>
  <c r="H34" i="61"/>
  <c r="I34" i="61"/>
  <c r="J34" i="61"/>
  <c r="K34" i="61"/>
  <c r="L34" i="61"/>
  <c r="M34" i="61"/>
  <c r="W25" i="61"/>
  <c r="W3" i="61"/>
  <c r="W6" i="61"/>
  <c r="N31" i="59"/>
  <c r="B34" i="59"/>
  <c r="C34" i="59"/>
  <c r="D34" i="59"/>
  <c r="E34" i="59"/>
  <c r="F34" i="59"/>
  <c r="G34" i="59"/>
  <c r="H34" i="59"/>
  <c r="I34" i="59"/>
  <c r="J34" i="59"/>
  <c r="K34" i="59"/>
  <c r="L34" i="59"/>
  <c r="M34" i="59"/>
  <c r="N30" i="59"/>
  <c r="B33" i="59" s="1"/>
  <c r="C33" i="59" s="1"/>
  <c r="D33" i="59" s="1"/>
  <c r="E33" i="59" s="1"/>
  <c r="F33" i="59" s="1"/>
  <c r="G33" i="59" s="1"/>
  <c r="H33" i="59" s="1"/>
  <c r="I33" i="59" s="1"/>
  <c r="J33" i="59" s="1"/>
  <c r="K33" i="59" s="1"/>
  <c r="L33" i="59" s="1"/>
  <c r="M33" i="59" s="1"/>
  <c r="W23" i="59"/>
  <c r="W3" i="59"/>
  <c r="W6" i="59"/>
  <c r="O37" i="57"/>
  <c r="D37" i="57"/>
  <c r="C37" i="57"/>
  <c r="B37" i="57"/>
  <c r="W23" i="57"/>
  <c r="W3" i="57"/>
  <c r="W6" i="57"/>
  <c r="N35" i="44"/>
  <c r="N34" i="44"/>
  <c r="N32" i="42"/>
  <c r="M43" i="44"/>
  <c r="N30" i="45"/>
  <c r="Q30" i="45"/>
  <c r="M29" i="44"/>
  <c r="C43" i="44"/>
  <c r="D43" i="44"/>
  <c r="E43" i="44"/>
  <c r="F43" i="44"/>
  <c r="G43" i="44"/>
  <c r="H43" i="44"/>
  <c r="I43" i="44"/>
  <c r="I29" i="44"/>
  <c r="J43" i="44"/>
  <c r="K43" i="44"/>
  <c r="B43" i="44"/>
  <c r="C42" i="44"/>
  <c r="D42" i="44"/>
  <c r="E42" i="44"/>
  <c r="F42" i="44"/>
  <c r="G42" i="44"/>
  <c r="H42" i="44"/>
  <c r="K42" i="44"/>
  <c r="B42" i="44"/>
  <c r="N41" i="44"/>
  <c r="N40" i="44"/>
  <c r="B29" i="44"/>
  <c r="K29" i="44"/>
  <c r="H29" i="44"/>
  <c r="F29" i="44"/>
  <c r="C29" i="44"/>
  <c r="E29" i="44"/>
  <c r="G29" i="44"/>
  <c r="D29" i="44"/>
  <c r="O32" i="45"/>
  <c r="C32" i="45"/>
  <c r="D32" i="45"/>
  <c r="E32" i="45"/>
  <c r="F32" i="45"/>
  <c r="G32" i="45"/>
  <c r="H32" i="45"/>
  <c r="I32" i="45"/>
  <c r="K32" i="45"/>
  <c r="M32" i="45"/>
  <c r="B32" i="45"/>
  <c r="W23" i="45"/>
  <c r="W3" i="45"/>
  <c r="W6" i="45"/>
  <c r="O32" i="42"/>
  <c r="N28" i="44"/>
  <c r="N27" i="44"/>
  <c r="N26" i="44"/>
  <c r="B35" i="43"/>
  <c r="C35" i="43"/>
  <c r="D35" i="43"/>
  <c r="E35" i="43"/>
  <c r="F35" i="43"/>
  <c r="G35" i="43"/>
  <c r="H35" i="43"/>
  <c r="I35" i="43"/>
  <c r="J35" i="43"/>
  <c r="K35" i="43"/>
  <c r="L35" i="43"/>
  <c r="M35" i="43"/>
  <c r="B34" i="43"/>
  <c r="C34" i="43"/>
  <c r="D34" i="43"/>
  <c r="E34" i="43"/>
  <c r="F34" i="43"/>
  <c r="G34" i="43"/>
  <c r="H34" i="43"/>
  <c r="I34" i="43"/>
  <c r="J34" i="43"/>
  <c r="K34" i="43"/>
  <c r="L34" i="43"/>
  <c r="M34" i="43"/>
  <c r="W23" i="43"/>
  <c r="W3" i="43"/>
  <c r="W6" i="43"/>
  <c r="B35" i="42"/>
  <c r="C35" i="42"/>
  <c r="D35" i="42"/>
  <c r="E35" i="42"/>
  <c r="F35" i="42"/>
  <c r="G35" i="42"/>
  <c r="H35" i="42"/>
  <c r="I35" i="42"/>
  <c r="J35" i="42"/>
  <c r="K35" i="42"/>
  <c r="L35" i="42"/>
  <c r="M35" i="42"/>
  <c r="N31" i="42"/>
  <c r="B34" i="42"/>
  <c r="C34" i="42"/>
  <c r="D34" i="42"/>
  <c r="E34" i="42"/>
  <c r="F34" i="42"/>
  <c r="G34" i="42"/>
  <c r="H34" i="42"/>
  <c r="I34" i="42"/>
  <c r="J34" i="42"/>
  <c r="K34" i="42"/>
  <c r="L34" i="42"/>
  <c r="M34" i="42"/>
  <c r="J30" i="42"/>
  <c r="W23" i="42"/>
  <c r="W3" i="42"/>
  <c r="W6" i="42"/>
  <c r="J31" i="45"/>
  <c r="N30" i="42"/>
  <c r="B33" i="42"/>
  <c r="C33" i="42"/>
  <c r="D33" i="42"/>
  <c r="E33" i="42"/>
  <c r="F33" i="42"/>
  <c r="G33" i="42"/>
  <c r="H33" i="42"/>
  <c r="I33" i="42"/>
  <c r="J33" i="42"/>
  <c r="K33" i="42"/>
  <c r="L33" i="42"/>
  <c r="M33" i="42"/>
  <c r="J42" i="44"/>
  <c r="L23" i="19"/>
  <c r="I23" i="19"/>
  <c r="K23" i="19"/>
  <c r="H23" i="19"/>
  <c r="F23" i="19"/>
  <c r="C23" i="19"/>
  <c r="J22" i="19"/>
  <c r="I22" i="19"/>
  <c r="K22" i="19"/>
  <c r="F22" i="19"/>
  <c r="E22" i="19"/>
  <c r="D22" i="19"/>
  <c r="C22" i="19"/>
  <c r="L21" i="19"/>
  <c r="G21" i="19"/>
  <c r="L20" i="19"/>
  <c r="J20" i="19"/>
  <c r="I20" i="19"/>
  <c r="G20" i="19"/>
  <c r="B20" i="19"/>
  <c r="L19" i="19"/>
  <c r="J19" i="19"/>
  <c r="I19" i="19"/>
  <c r="G19" i="19"/>
  <c r="B19" i="19"/>
  <c r="L18" i="19"/>
  <c r="G18" i="19"/>
  <c r="E18" i="19"/>
  <c r="B18" i="19"/>
  <c r="L17" i="19"/>
  <c r="G17" i="19"/>
  <c r="E17" i="19"/>
  <c r="B17" i="19"/>
  <c r="L16" i="19"/>
  <c r="G16" i="19"/>
  <c r="E16" i="19"/>
  <c r="B16" i="19"/>
  <c r="L15" i="19"/>
  <c r="G15" i="19"/>
  <c r="E15" i="19"/>
  <c r="B15" i="19"/>
  <c r="L14" i="19"/>
  <c r="G14" i="19"/>
  <c r="E14" i="19"/>
  <c r="B14" i="19"/>
  <c r="G13" i="19"/>
  <c r="E13" i="19"/>
  <c r="B13" i="19"/>
  <c r="G12" i="19"/>
  <c r="E12" i="19"/>
  <c r="B12" i="19"/>
  <c r="E11" i="19"/>
  <c r="B11" i="19"/>
  <c r="E10" i="19"/>
  <c r="B10" i="19"/>
  <c r="E9" i="19"/>
  <c r="B9" i="19"/>
  <c r="E8" i="19"/>
  <c r="B8" i="19"/>
  <c r="E7" i="19"/>
  <c r="B7" i="19"/>
  <c r="E6" i="19"/>
  <c r="B6" i="19"/>
  <c r="E5" i="19"/>
  <c r="B5" i="19"/>
  <c r="U14" i="7"/>
  <c r="F18" i="19"/>
  <c r="T14" i="7"/>
  <c r="F17" i="19"/>
  <c r="S14" i="7"/>
  <c r="F16" i="19"/>
  <c r="R14" i="7"/>
  <c r="F15" i="19"/>
  <c r="Q14" i="7"/>
  <c r="F14" i="19"/>
  <c r="P14" i="7"/>
  <c r="F13" i="19"/>
  <c r="O14" i="7"/>
  <c r="F12" i="19"/>
  <c r="U12" i="7"/>
  <c r="T12" i="7"/>
  <c r="S12" i="7"/>
  <c r="R12" i="7"/>
  <c r="Q12" i="7"/>
  <c r="P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W10" i="7"/>
  <c r="W11" i="7"/>
  <c r="V10" i="7"/>
  <c r="V12" i="7"/>
  <c r="X9" i="7"/>
  <c r="J21" i="19"/>
  <c r="I21" i="19"/>
  <c r="K21" i="19"/>
  <c r="U9" i="7"/>
  <c r="J18" i="19"/>
  <c r="I18" i="19"/>
  <c r="T9" i="7"/>
  <c r="J17" i="19"/>
  <c r="I17" i="19"/>
  <c r="S9" i="7"/>
  <c r="J16" i="19"/>
  <c r="I16" i="19"/>
  <c r="R9" i="7"/>
  <c r="J15" i="19"/>
  <c r="I15" i="19"/>
  <c r="Q9" i="7"/>
  <c r="J14" i="19"/>
  <c r="P9" i="7"/>
  <c r="J13" i="19"/>
  <c r="O9" i="7"/>
  <c r="J12" i="19"/>
  <c r="N9" i="7"/>
  <c r="J11" i="19"/>
  <c r="M9" i="7"/>
  <c r="J10" i="19"/>
  <c r="L9" i="7"/>
  <c r="J9" i="19"/>
  <c r="K9" i="7"/>
  <c r="J8" i="19"/>
  <c r="J9" i="7"/>
  <c r="J7" i="19"/>
  <c r="I9" i="7"/>
  <c r="J6" i="19"/>
  <c r="H9" i="7"/>
  <c r="J5" i="19"/>
  <c r="U8" i="7"/>
  <c r="D18" i="19"/>
  <c r="T8" i="7"/>
  <c r="D17" i="19"/>
  <c r="S8" i="7"/>
  <c r="D16" i="19"/>
  <c r="R8" i="7"/>
  <c r="D15" i="19"/>
  <c r="Q8" i="7"/>
  <c r="D14" i="19"/>
  <c r="P8" i="7"/>
  <c r="D13" i="19"/>
  <c r="O8" i="7"/>
  <c r="D12" i="19"/>
  <c r="N8" i="7"/>
  <c r="D11" i="19"/>
  <c r="M8" i="7"/>
  <c r="D10" i="19"/>
  <c r="L8" i="7"/>
  <c r="D9" i="19"/>
  <c r="K8" i="7"/>
  <c r="D8" i="19"/>
  <c r="J8" i="7"/>
  <c r="D7" i="19"/>
  <c r="I8" i="7"/>
  <c r="D6" i="19"/>
  <c r="H8" i="7"/>
  <c r="D5" i="19"/>
  <c r="W6" i="7"/>
  <c r="W5" i="7"/>
  <c r="V3" i="7"/>
  <c r="W3" i="7"/>
  <c r="V14" i="7"/>
  <c r="F19" i="19"/>
  <c r="V8" i="7"/>
  <c r="D19" i="19"/>
  <c r="V11" i="7"/>
  <c r="X3" i="7"/>
  <c r="X14" i="7"/>
  <c r="F21" i="19"/>
  <c r="W8" i="7"/>
  <c r="D20" i="19"/>
  <c r="W14" i="7"/>
  <c r="F20" i="19"/>
  <c r="E19" i="19"/>
  <c r="H19" i="19"/>
  <c r="E20" i="19"/>
  <c r="H20" i="19"/>
  <c r="W12" i="7"/>
  <c r="J29" i="44"/>
  <c r="N42" i="44"/>
  <c r="N31" i="45"/>
  <c r="J32" i="45"/>
  <c r="K19" i="19"/>
  <c r="K17" i="19"/>
  <c r="H13" i="19"/>
  <c r="K18" i="19"/>
  <c r="H17" i="19"/>
  <c r="C7" i="19"/>
  <c r="C9" i="19"/>
  <c r="C14" i="19"/>
  <c r="C6" i="19"/>
  <c r="C8" i="19"/>
  <c r="C10" i="19"/>
  <c r="C12" i="19"/>
  <c r="H14" i="19"/>
  <c r="K16" i="19"/>
  <c r="K15" i="19"/>
  <c r="C16" i="19"/>
  <c r="H16" i="19"/>
  <c r="K20" i="19"/>
  <c r="H12" i="19"/>
  <c r="C13" i="19"/>
  <c r="H15" i="19"/>
  <c r="C11" i="19"/>
  <c r="C15" i="19"/>
  <c r="H18" i="19"/>
  <c r="C18" i="19"/>
  <c r="C21" i="19"/>
  <c r="C19" i="19"/>
  <c r="K14" i="19"/>
  <c r="X10" i="7"/>
  <c r="C17" i="19"/>
  <c r="C20" i="19"/>
  <c r="Q31" i="45"/>
  <c r="Q32" i="45"/>
  <c r="N32" i="45"/>
  <c r="X12" i="7"/>
  <c r="X11" i="7"/>
  <c r="X8" i="7"/>
  <c r="D21" i="19"/>
  <c r="E21" i="19"/>
  <c r="H21" i="19"/>
  <c r="L32" i="45"/>
  <c r="N30" i="43"/>
  <c r="B33" i="43"/>
  <c r="C33" i="43"/>
  <c r="D33" i="43"/>
  <c r="E33" i="43"/>
  <c r="F33" i="43"/>
  <c r="G33" i="43"/>
  <c r="H33" i="43"/>
  <c r="I33" i="43"/>
  <c r="J33" i="43"/>
  <c r="K33" i="43"/>
  <c r="L33" i="43"/>
  <c r="M33" i="43"/>
  <c r="L43" i="44"/>
  <c r="N43" i="44"/>
  <c r="L29" i="44"/>
  <c r="L30" i="44"/>
  <c r="N29" i="44"/>
  <c r="F46" i="62"/>
  <c r="F39" i="57"/>
  <c r="F40" i="62"/>
  <c r="F42" i="62"/>
  <c r="E39" i="57"/>
  <c r="E43" i="62"/>
  <c r="E37" i="57"/>
  <c r="F37" i="57"/>
  <c r="H44" i="62"/>
  <c r="N35" i="59"/>
  <c r="G39" i="57"/>
  <c r="G33" i="72"/>
  <c r="N29" i="62"/>
  <c r="G42" i="62"/>
  <c r="N31" i="68"/>
  <c r="G37" i="57"/>
  <c r="M39" i="57" l="1"/>
  <c r="M37" i="57"/>
  <c r="L36" i="57"/>
  <c r="L37" i="57" s="1"/>
  <c r="L39" i="57"/>
  <c r="K36" i="57"/>
  <c r="K37" i="57" s="1"/>
  <c r="K46" i="62"/>
  <c r="K39" i="57"/>
  <c r="J37" i="57"/>
  <c r="N41" i="62"/>
  <c r="J39" i="57"/>
  <c r="J42" i="62"/>
  <c r="N28" i="68"/>
  <c r="B32" i="68" s="1"/>
  <c r="C32" i="68" s="1"/>
  <c r="D32" i="68" s="1"/>
  <c r="E32" i="68" s="1"/>
  <c r="F32" i="68" s="1"/>
  <c r="G32" i="68" s="1"/>
  <c r="H32" i="68" s="1"/>
  <c r="I32" i="68" s="1"/>
  <c r="J32" i="68" s="1"/>
  <c r="K32" i="68" s="1"/>
  <c r="L32" i="68" s="1"/>
  <c r="M32" i="68" s="1"/>
  <c r="I39" i="57"/>
  <c r="N29" i="61"/>
  <c r="B32" i="61" s="1"/>
  <c r="C32" i="61" s="1"/>
  <c r="D32" i="61" s="1"/>
  <c r="E32" i="61" s="1"/>
  <c r="F32" i="61" s="1"/>
  <c r="G32" i="61" s="1"/>
  <c r="H32" i="61" s="1"/>
  <c r="I32" i="61" s="1"/>
  <c r="J32" i="61" s="1"/>
  <c r="K32" i="61" s="1"/>
  <c r="L32" i="61" s="1"/>
  <c r="M32" i="61" s="1"/>
  <c r="N39" i="62"/>
  <c r="I44" i="62"/>
  <c r="N44" i="62" s="1"/>
  <c r="I37" i="57"/>
  <c r="N35" i="57"/>
  <c r="H33" i="72"/>
  <c r="N33" i="72" s="1"/>
  <c r="H40" i="62"/>
  <c r="N40" i="62" s="1"/>
  <c r="N39" i="57"/>
  <c r="H39" i="57"/>
  <c r="H42" i="62"/>
  <c r="N29" i="59"/>
  <c r="B32" i="59" s="1"/>
  <c r="C32" i="59" s="1"/>
  <c r="D32" i="59" s="1"/>
  <c r="E32" i="59" s="1"/>
  <c r="F32" i="59" s="1"/>
  <c r="G32" i="59" s="1"/>
  <c r="H32" i="59" s="1"/>
  <c r="I32" i="59" s="1"/>
  <c r="J32" i="59" s="1"/>
  <c r="K32" i="59" s="1"/>
  <c r="L32" i="59" s="1"/>
  <c r="M32" i="59" s="1"/>
  <c r="H37" i="57"/>
  <c r="H43" i="62"/>
  <c r="N43" i="62" s="1"/>
  <c r="N27" i="62"/>
  <c r="N36" i="57" s="1"/>
  <c r="N42" i="62" l="1"/>
  <c r="N26" i="62"/>
  <c r="N37" i="57"/>
</calcChain>
</file>

<file path=xl/sharedStrings.xml><?xml version="1.0" encoding="utf-8"?>
<sst xmlns="http://schemas.openxmlformats.org/spreadsheetml/2006/main" count="567" uniqueCount="191">
  <si>
    <t>Stt</t>
  </si>
  <si>
    <t>Mã SAP</t>
  </si>
  <si>
    <t>Diễn giải</t>
  </si>
  <si>
    <t>T4.22</t>
  </si>
  <si>
    <t>T5.22</t>
  </si>
  <si>
    <t>T6.22</t>
  </si>
  <si>
    <t>Tỷ giá</t>
  </si>
  <si>
    <t>Tên hàng hóa SAP</t>
  </si>
  <si>
    <t>Mã SP</t>
  </si>
  <si>
    <t>Tên sản phẩm</t>
  </si>
  <si>
    <t>Đơn vị tính</t>
  </si>
  <si>
    <t>T1.21</t>
  </si>
  <si>
    <t>T2.21</t>
  </si>
  <si>
    <t>T3.21</t>
  </si>
  <si>
    <t>T4.21</t>
  </si>
  <si>
    <t>T5.21</t>
  </si>
  <si>
    <t>T6.21</t>
  </si>
  <si>
    <t>T7.21</t>
  </si>
  <si>
    <t>T8.21</t>
  </si>
  <si>
    <t>T9.21</t>
  </si>
  <si>
    <t>T10.21</t>
  </si>
  <si>
    <t>T11.21</t>
  </si>
  <si>
    <t>T12.21</t>
  </si>
  <si>
    <t>T1.22</t>
  </si>
  <si>
    <t>T2.22</t>
  </si>
  <si>
    <t>T3.22</t>
  </si>
  <si>
    <t>Vảy PET DBF01-CR</t>
  </si>
  <si>
    <t>A4</t>
  </si>
  <si>
    <t>A4 - Vảy PET tuyển -RL mua ngoài</t>
  </si>
  <si>
    <t>đồng /kg</t>
  </si>
  <si>
    <t>$ /tấn</t>
  </si>
  <si>
    <t>110000329</t>
  </si>
  <si>
    <t>Hạt rPET WSS01</t>
  </si>
  <si>
    <t>WSS01 - Hạt rPET (IV 0.78)</t>
  </si>
  <si>
    <t>110000330</t>
  </si>
  <si>
    <t>Hạt rPET SS01</t>
  </si>
  <si>
    <t>SS01 - Hạt rPET  (IV 0.82)</t>
  </si>
  <si>
    <t>ICIS</t>
  </si>
  <si>
    <t>ICIS giá rPET  ($ /tấn)</t>
  </si>
  <si>
    <t>B0</t>
  </si>
  <si>
    <t>B1</t>
  </si>
  <si>
    <t>GIÁ MUA CHAI &amp; VẢY PET NĂM 2022</t>
  </si>
  <si>
    <t>T7.22</t>
  </si>
  <si>
    <t>T8.22</t>
  </si>
  <si>
    <t>T9.22</t>
  </si>
  <si>
    <t>T10.22</t>
  </si>
  <si>
    <t>T11.22</t>
  </si>
  <si>
    <t>T12.22</t>
  </si>
  <si>
    <t>B0 - Chai PET xá</t>
  </si>
  <si>
    <t>Chai xá các loại</t>
  </si>
  <si>
    <t>Chai PET _DB01</t>
  </si>
  <si>
    <t>B1 - Chai PET tuyển nước ngọt</t>
  </si>
  <si>
    <t>Chai tuyển ép kiện, tách nhãn</t>
  </si>
  <si>
    <t>Vảy PET tuyển RL</t>
  </si>
  <si>
    <t>WSS01</t>
  </si>
  <si>
    <t>Giá FOB - WSS01</t>
  </si>
  <si>
    <t>Giá EXW - WSS01</t>
  </si>
  <si>
    <t>SS01</t>
  </si>
  <si>
    <t>Giá FOB - SS01</t>
  </si>
  <si>
    <t>160009895</t>
  </si>
  <si>
    <t>Vảy PET DT-DBF01</t>
  </si>
  <si>
    <t>DBF01</t>
  </si>
  <si>
    <t>DBF01 - Vảy rPET</t>
  </si>
  <si>
    <t xml:space="preserve">ICIS giá rPET </t>
  </si>
  <si>
    <t>ICIS giá rPET  (Đồng /kg)</t>
  </si>
  <si>
    <t>MA TRẬN GIÁ BÁN HẠT rPET WSS01</t>
  </si>
  <si>
    <t>Lấy giá CIF - 60 USD</t>
  </si>
  <si>
    <t>Tháng</t>
  </si>
  <si>
    <t>Giá mua vảy PET A4</t>
  </si>
  <si>
    <t xml:space="preserve">% tăng tháng này </t>
  </si>
  <si>
    <t>DTR_FOB</t>
  </si>
  <si>
    <t>ICIS_FOB rPET</t>
  </si>
  <si>
    <t>FOB ICIS vs DTR</t>
  </si>
  <si>
    <t>DTR_giá bán EXW</t>
  </si>
  <si>
    <t>% lãi gộp Vảy /Giá bán trong nước</t>
  </si>
  <si>
    <t>Đối Thủ FENC_FOB Taiwan Giá cao</t>
  </si>
  <si>
    <t>(đ/kg)</t>
  </si>
  <si>
    <t>so với tháng trước</t>
  </si>
  <si>
    <t>Đồng/kg</t>
  </si>
  <si>
    <t>USD/tấn</t>
  </si>
  <si>
    <t>tại ĐNA (đ/kg)</t>
  </si>
  <si>
    <t>tại ĐNA (USD/tấn)</t>
  </si>
  <si>
    <t xml:space="preserve"> (USD/tấn)</t>
  </si>
  <si>
    <t>rPET WSS01 (USD/tấn)</t>
  </si>
  <si>
    <t>TG: 23.315 đ/usd</t>
  </si>
  <si>
    <t>ICIS Dashboard Price History</t>
  </si>
  <si>
    <t>Generated</t>
  </si>
  <si>
    <t>02 Mar 2022 07:16:15</t>
  </si>
  <si>
    <t>Data</t>
  </si>
  <si>
    <t>Price History</t>
  </si>
  <si>
    <t>Date Range</t>
  </si>
  <si>
    <t>From 02 Mar 2021 to 02 Mar 2022</t>
  </si>
  <si>
    <t>Original Currency</t>
  </si>
  <si>
    <t>USD</t>
  </si>
  <si>
    <t>Original Unit</t>
  </si>
  <si>
    <t>tonne</t>
  </si>
  <si>
    <t>Original Frequency</t>
  </si>
  <si>
    <t>Weekly</t>
  </si>
  <si>
    <t>Selected Currency</t>
  </si>
  <si>
    <t>Selected Unit</t>
  </si>
  <si>
    <t>Selected Frequency</t>
  </si>
  <si>
    <t>Original Quoted Frequency</t>
  </si>
  <si>
    <t>Date</t>
  </si>
  <si>
    <t>RPET Pellets FOB Asia SE Assessment Spot 0-6 Weeks Full Market Range Weekly (Low) : USD/tonne</t>
  </si>
  <si>
    <t>RPET Pellets FOB Asia SE Assessment Spot 0-6 Weeks Full Market Range Weekly (High) : USD/tonne</t>
  </si>
  <si>
    <t>RPET Pellets FOB Asia SE Assessment Spot 0-6 Weeks Full Market Range Weekly (Mid) : USD/tonne</t>
  </si>
  <si>
    <t>07-Sep-2021</t>
  </si>
  <si>
    <t>14-Sep-2021</t>
  </si>
  <si>
    <t>21-Sep-2021</t>
  </si>
  <si>
    <t>28-Sep-2021</t>
  </si>
  <si>
    <t>05-Oct-2021</t>
  </si>
  <si>
    <t>12-Oct-2021</t>
  </si>
  <si>
    <t>19-Oct-2021</t>
  </si>
  <si>
    <t>26-Oct-2021</t>
  </si>
  <si>
    <t>02-Nov-2021</t>
  </si>
  <si>
    <t>09-Nov-2021</t>
  </si>
  <si>
    <t>16-Nov-2021</t>
  </si>
  <si>
    <t>23-Nov-2021</t>
  </si>
  <si>
    <t>30-Nov-2021</t>
  </si>
  <si>
    <t>07-Dec-2021</t>
  </si>
  <si>
    <t>14-Dec-2021</t>
  </si>
  <si>
    <t>21-Dec-2021</t>
  </si>
  <si>
    <t>04-Jan-2022</t>
  </si>
  <si>
    <t>11-Jan-2022</t>
  </si>
  <si>
    <t>18-Jan-2022</t>
  </si>
  <si>
    <t>25-Jan-2022</t>
  </si>
  <si>
    <t>01-Feb-2022</t>
  </si>
  <si>
    <t>08-Feb-2022</t>
  </si>
  <si>
    <t>15-Feb-2022</t>
  </si>
  <si>
    <t>22-Feb-2022</t>
  </si>
  <si>
    <t>01-Mar-2022</t>
  </si>
  <si>
    <t>T1</t>
  </si>
  <si>
    <t>T2</t>
  </si>
  <si>
    <t>T3</t>
  </si>
  <si>
    <t>T4</t>
  </si>
  <si>
    <t>T5</t>
  </si>
  <si>
    <t>T6</t>
  </si>
  <si>
    <t>T8</t>
  </si>
  <si>
    <t>T7</t>
  </si>
  <si>
    <t>T9</t>
  </si>
  <si>
    <t>T10</t>
  </si>
  <si>
    <t>T11</t>
  </si>
  <si>
    <t>BTP PET</t>
  </si>
  <si>
    <t>Chai PET</t>
  </si>
  <si>
    <t>Vảy PET</t>
  </si>
  <si>
    <t>Tổng</t>
  </si>
  <si>
    <t>BTP HD</t>
  </si>
  <si>
    <t>Vảy HD</t>
  </si>
  <si>
    <t>RPET</t>
  </si>
  <si>
    <t>T12</t>
  </si>
  <si>
    <t>Lũy kế</t>
  </si>
  <si>
    <t>Sản lượng bán thực tế</t>
  </si>
  <si>
    <t>Sản lượng mua</t>
  </si>
  <si>
    <t>Sản lượng bán dự báo</t>
  </si>
  <si>
    <t>Lũy kế SL bán thực tế</t>
  </si>
  <si>
    <t>Lũy kế SL mua</t>
  </si>
  <si>
    <t>Lũy kế SL bán dự báo</t>
  </si>
  <si>
    <t>RHDPE</t>
  </si>
  <si>
    <t>SL SX dự kiến</t>
  </si>
  <si>
    <t>SL bán dự kiến</t>
  </si>
  <si>
    <t>SL Bán</t>
  </si>
  <si>
    <t>Tổng mua</t>
  </si>
  <si>
    <t>Tổng bán</t>
  </si>
  <si>
    <t>tỷ</t>
  </si>
  <si>
    <t>Chênh lệch mua so với bán</t>
  </si>
  <si>
    <t>giá trị</t>
  </si>
  <si>
    <t>BQ/tháng</t>
  </si>
  <si>
    <t>SL SX - PET</t>
  </si>
  <si>
    <t>SL SX - HD</t>
  </si>
  <si>
    <t>SL Bán- HD</t>
  </si>
  <si>
    <t>SL Bán- PET</t>
  </si>
  <si>
    <t>SL SX</t>
  </si>
  <si>
    <t>SL Bán dự báo</t>
  </si>
  <si>
    <t>SL SX - PP</t>
  </si>
  <si>
    <t>SL Bán- PP</t>
  </si>
  <si>
    <t>Mua vô</t>
  </si>
  <si>
    <t>Dự báo</t>
  </si>
  <si>
    <t>Bán thực tế</t>
  </si>
  <si>
    <t>Tồn kho TP</t>
  </si>
  <si>
    <t>Tổng tồn TP</t>
  </si>
  <si>
    <t>Tồn TP</t>
  </si>
  <si>
    <t>FC</t>
  </si>
  <si>
    <t>Sản lượng S&amp;OP</t>
  </si>
  <si>
    <t xml:space="preserve">SL SX </t>
  </si>
  <si>
    <t>TP</t>
  </si>
  <si>
    <t>BTP</t>
  </si>
  <si>
    <t xml:space="preserve">
</t>
  </si>
  <si>
    <t>KD</t>
  </si>
  <si>
    <t>Ul nilever</t>
  </si>
  <si>
    <t xml:space="preserve">Việt Nam </t>
  </si>
  <si>
    <t>Quốc tế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</si>
</sst>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(* #,##0_);_(* \(#,##0\);_(* &quot;-&quot;??_);_(@_)"/>
    <numFmt numFmtId="168" formatCode="0.000"/>
    <numFmt numFmtId="169" formatCode="&quot;$&quot;#,##0"/>
    <numFmt numFmtId="170" formatCode="#,##0\ [$₫-42A];\-#,##0\ [$₫-42A]"/>
    <numFmt numFmtId="171" formatCode="dd\-mmm\-yyyy"/>
    <numFmt numFmtId="172" formatCode="_-* #,##0_-;\-* #,##0_-;_-* &quot;-&quot;??_-;_-@_-"/>
    <numFmt numFmtId="173" formatCode="#,##0.000"/>
    <numFmt numFmtId="174" formatCode="_-* #,##0.000_-;\-* #,##0.000_-;_-* &quot;-&quot;??_-;_-@_-"/>
    <numFmt numFmtId="175" formatCode="_-* #,##0.0000\ _₫_-;\-* #,##0.0000\ _₫_-;_-* &quot;-&quot;??\ _₫_-;_-@_-"/>
    <numFmt numFmtId="176" formatCode="_-* #,##0.0000_-;\-* #,##0.0000_-;_-* &quot;-&quot;??_-;_-@_-"/>
    <numFmt numFmtId="177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rgb="FFC00000"/>
      <name val="Times New Roman"/>
      <family val="1"/>
    </font>
    <font>
      <b/>
      <sz val="16"/>
      <color theme="1"/>
      <name val="Times New Roman"/>
      <family val="1"/>
    </font>
    <font>
      <sz val="10"/>
      <color theme="9" tint="-0.499984740745262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4"/>
      <color theme="1"/>
      <name val="Times New Roman"/>
      <family val="1"/>
    </font>
    <font>
      <sz val="11"/>
      <color theme="9" tint="-0.499984740745262"/>
      <name val="Times New Roman"/>
      <family val="1"/>
    </font>
    <font>
      <b/>
      <sz val="15"/>
      <color indexed="64"/>
      <name val="Calibri"/>
      <family val="2"/>
    </font>
    <font>
      <sz val="11"/>
      <color indexed="64"/>
      <name val="Calibri"/>
      <family val="2"/>
    </font>
    <font>
      <b/>
      <sz val="11"/>
      <color indexed="64"/>
      <name val="Calibri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i/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  <charset val="163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0000FF"/>
      <name val="segoe UI"/>
      <family val="2"/>
      <charset val="163"/>
    </font>
    <font>
      <b/>
      <sz val="11"/>
      <color rgb="FF0000FF"/>
      <name val="Calibri"/>
      <family val="2"/>
      <charset val="163"/>
      <scheme val="minor"/>
    </font>
    <font>
      <sz val="12"/>
      <color rgb="FF242424"/>
      <name val="Segoe UI"/>
      <family val="2"/>
    </font>
    <font>
      <b/>
      <sz val="12"/>
      <color rgb="FF242424"/>
      <name val="Segoe UI"/>
      <family val="2"/>
      <charset val="163"/>
    </font>
    <font>
      <b/>
      <sz val="12"/>
      <color rgb="FF242424"/>
      <name val="Segoe UI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6"/>
      <color theme="1"/>
      <name val="segoe UI"/>
      <family val="2"/>
      <charset val="163"/>
    </font>
    <font>
      <sz val="8"/>
      <color theme="1"/>
      <name val="segoe UI"/>
      <family val="2"/>
      <charset val="163"/>
    </font>
    <font>
      <sz val="12"/>
      <color rgb="FF0000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0" fontId="22" fillId="0" borderId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6" fillId="0" borderId="0"/>
    <xf numFmtId="0" fontId="37" fillId="0" borderId="0"/>
    <xf numFmtId="0" fontId="36" fillId="0" borderId="0"/>
    <xf numFmtId="165" fontId="36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170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5" fontId="4" fillId="4" borderId="1" xfId="6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/>
    <xf numFmtId="169" fontId="3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2" fillId="0" borderId="0" xfId="0" applyFont="1"/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70" fontId="4" fillId="0" borderId="2" xfId="6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9" fontId="6" fillId="0" borderId="2" xfId="0" applyNumberFormat="1" applyFont="1" applyBorder="1" applyAlignment="1">
      <alignment horizontal="center" vertical="center"/>
    </xf>
    <xf numFmtId="170" fontId="11" fillId="0" borderId="1" xfId="6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5" borderId="9" xfId="0" applyFont="1" applyFill="1" applyBorder="1" applyAlignment="1">
      <alignment horizontal="center" vertical="center" wrapText="1"/>
    </xf>
    <xf numFmtId="171" fontId="15" fillId="6" borderId="10" xfId="0" applyNumberFormat="1" applyFont="1" applyFill="1" applyBorder="1" applyAlignment="1">
      <alignment horizontal="right"/>
    </xf>
    <xf numFmtId="2" fontId="15" fillId="6" borderId="11" xfId="0" applyNumberFormat="1" applyFont="1" applyFill="1" applyBorder="1" applyAlignment="1">
      <alignment horizontal="right"/>
    </xf>
    <xf numFmtId="168" fontId="15" fillId="6" borderId="12" xfId="0" applyNumberFormat="1" applyFont="1" applyFill="1" applyBorder="1" applyAlignment="1">
      <alignment horizontal="right"/>
    </xf>
    <xf numFmtId="171" fontId="15" fillId="3" borderId="13" xfId="0" applyNumberFormat="1" applyFont="1" applyFill="1" applyBorder="1" applyAlignment="1">
      <alignment horizontal="right"/>
    </xf>
    <xf numFmtId="171" fontId="15" fillId="3" borderId="10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center" vertical="center"/>
    </xf>
    <xf numFmtId="170" fontId="11" fillId="7" borderId="1" xfId="6" applyNumberFormat="1" applyFont="1" applyFill="1" applyBorder="1" applyAlignment="1">
      <alignment horizontal="center" vertical="center"/>
    </xf>
    <xf numFmtId="169" fontId="4" fillId="7" borderId="1" xfId="0" applyNumberFormat="1" applyFont="1" applyFill="1" applyBorder="1" applyAlignment="1">
      <alignment horizontal="center" vertical="center"/>
    </xf>
    <xf numFmtId="169" fontId="6" fillId="7" borderId="2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5" fontId="6" fillId="8" borderId="1" xfId="6" applyNumberFormat="1" applyFont="1" applyFill="1" applyBorder="1" applyAlignment="1">
      <alignment horizontal="center" vertical="center"/>
    </xf>
    <xf numFmtId="170" fontId="6" fillId="8" borderId="1" xfId="6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9" fontId="11" fillId="7" borderId="1" xfId="0" applyNumberFormat="1" applyFont="1" applyFill="1" applyBorder="1" applyAlignment="1">
      <alignment horizontal="center" vertical="center"/>
    </xf>
    <xf numFmtId="9" fontId="4" fillId="0" borderId="1" xfId="5" applyFont="1" applyFill="1" applyBorder="1" applyAlignment="1">
      <alignment horizontal="left" vertical="center"/>
    </xf>
    <xf numFmtId="9" fontId="6" fillId="0" borderId="1" xfId="5" applyFont="1" applyBorder="1" applyAlignment="1">
      <alignment horizontal="left" vertical="center"/>
    </xf>
    <xf numFmtId="169" fontId="6" fillId="0" borderId="5" xfId="0" applyNumberFormat="1" applyFont="1" applyBorder="1" applyAlignment="1">
      <alignment horizontal="left" vertical="center"/>
    </xf>
    <xf numFmtId="170" fontId="4" fillId="0" borderId="5" xfId="6" applyNumberFormat="1" applyFont="1" applyFill="1" applyBorder="1" applyAlignment="1">
      <alignment horizontal="center" vertical="center"/>
    </xf>
    <xf numFmtId="9" fontId="4" fillId="0" borderId="1" xfId="5" applyFont="1" applyFill="1" applyBorder="1" applyAlignment="1">
      <alignment horizontal="right" vertical="center"/>
    </xf>
    <xf numFmtId="9" fontId="4" fillId="7" borderId="1" xfId="5" applyFont="1" applyFill="1" applyBorder="1" applyAlignment="1">
      <alignment horizontal="right" vertical="center"/>
    </xf>
    <xf numFmtId="167" fontId="15" fillId="3" borderId="11" xfId="1" applyNumberFormat="1" applyFont="1" applyFill="1" applyBorder="1" applyAlignment="1">
      <alignment horizontal="right"/>
    </xf>
    <xf numFmtId="167" fontId="15" fillId="3" borderId="12" xfId="1" applyNumberFormat="1" applyFont="1" applyFill="1" applyBorder="1" applyAlignment="1">
      <alignment horizontal="right"/>
    </xf>
    <xf numFmtId="167" fontId="15" fillId="3" borderId="14" xfId="1" applyNumberFormat="1" applyFont="1" applyFill="1" applyBorder="1" applyAlignment="1">
      <alignment horizontal="right"/>
    </xf>
    <xf numFmtId="167" fontId="15" fillId="3" borderId="15" xfId="1" applyNumberFormat="1" applyFont="1" applyFill="1" applyBorder="1" applyAlignment="1">
      <alignment horizontal="right"/>
    </xf>
    <xf numFmtId="9" fontId="6" fillId="0" borderId="1" xfId="5" applyFont="1" applyBorder="1" applyAlignment="1">
      <alignment horizontal="center" vertical="center"/>
    </xf>
    <xf numFmtId="0" fontId="3" fillId="3" borderId="0" xfId="0" applyFont="1" applyFill="1"/>
    <xf numFmtId="9" fontId="3" fillId="0" borderId="0" xfId="5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3" fillId="0" borderId="0" xfId="1" applyNumberFormat="1" applyFont="1"/>
    <xf numFmtId="167" fontId="13" fillId="2" borderId="7" xfId="1" applyNumberFormat="1" applyFont="1" applyFill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167" fontId="3" fillId="0" borderId="1" xfId="1" applyNumberFormat="1" applyFont="1" applyBorder="1"/>
    <xf numFmtId="0" fontId="20" fillId="0" borderId="0" xfId="0" applyFont="1"/>
    <xf numFmtId="0" fontId="22" fillId="0" borderId="0" xfId="8"/>
    <xf numFmtId="0" fontId="5" fillId="0" borderId="1" xfId="8" applyFont="1" applyBorder="1"/>
    <xf numFmtId="172" fontId="5" fillId="0" borderId="1" xfId="9" applyNumberFormat="1" applyFont="1" applyBorder="1"/>
    <xf numFmtId="0" fontId="17" fillId="0" borderId="1" xfId="8" applyFont="1" applyBorder="1"/>
    <xf numFmtId="172" fontId="17" fillId="0" borderId="1" xfId="9" applyNumberFormat="1" applyFont="1" applyBorder="1"/>
    <xf numFmtId="0" fontId="23" fillId="0" borderId="0" xfId="8" applyFont="1" applyAlignment="1">
      <alignment horizontal="right" wrapText="1" indent="1"/>
    </xf>
    <xf numFmtId="167" fontId="24" fillId="0" borderId="0" xfId="8" applyNumberFormat="1" applyFont="1"/>
    <xf numFmtId="172" fontId="0" fillId="0" borderId="0" xfId="9" applyNumberFormat="1" applyFont="1"/>
    <xf numFmtId="0" fontId="22" fillId="0" borderId="1" xfId="8" applyBorder="1"/>
    <xf numFmtId="172" fontId="0" fillId="0" borderId="1" xfId="9" applyNumberFormat="1" applyFont="1" applyBorder="1"/>
    <xf numFmtId="0" fontId="25" fillId="0" borderId="1" xfId="8" applyFont="1" applyBorder="1"/>
    <xf numFmtId="172" fontId="25" fillId="0" borderId="1" xfId="9" applyNumberFormat="1" applyFont="1" applyBorder="1"/>
    <xf numFmtId="172" fontId="0" fillId="0" borderId="0" xfId="9" applyNumberFormat="1" applyFont="1" applyBorder="1"/>
    <xf numFmtId="0" fontId="25" fillId="2" borderId="1" xfId="8" applyFont="1" applyFill="1" applyBorder="1" applyAlignment="1">
      <alignment horizontal="center" vertical="center"/>
    </xf>
    <xf numFmtId="0" fontId="25" fillId="9" borderId="1" xfId="8" applyFont="1" applyFill="1" applyBorder="1" applyAlignment="1">
      <alignment horizontal="center" vertical="center"/>
    </xf>
    <xf numFmtId="0" fontId="26" fillId="0" borderId="1" xfId="8" applyFont="1" applyBorder="1" applyAlignment="1">
      <alignment horizontal="left" indent="1"/>
    </xf>
    <xf numFmtId="172" fontId="26" fillId="0" borderId="1" xfId="9" applyNumberFormat="1" applyFont="1" applyFill="1" applyBorder="1"/>
    <xf numFmtId="172" fontId="24" fillId="0" borderId="1" xfId="9" applyNumberFormat="1" applyFont="1" applyFill="1" applyBorder="1"/>
    <xf numFmtId="172" fontId="22" fillId="0" borderId="0" xfId="8" applyNumberFormat="1"/>
    <xf numFmtId="172" fontId="22" fillId="0" borderId="1" xfId="8" applyNumberFormat="1" applyBorder="1"/>
    <xf numFmtId="0" fontId="26" fillId="0" borderId="0" xfId="8" applyFont="1" applyAlignment="1">
      <alignment horizontal="left" indent="1"/>
    </xf>
    <xf numFmtId="0" fontId="17" fillId="9" borderId="1" xfId="8" applyFont="1" applyFill="1" applyBorder="1" applyAlignment="1">
      <alignment horizontal="center" vertical="center"/>
    </xf>
    <xf numFmtId="0" fontId="3" fillId="0" borderId="1" xfId="0" applyFont="1" applyBorder="1"/>
    <xf numFmtId="172" fontId="3" fillId="0" borderId="1" xfId="10" applyNumberFormat="1" applyFont="1" applyBorder="1"/>
    <xf numFmtId="1" fontId="3" fillId="0" borderId="1" xfId="0" applyNumberFormat="1" applyFont="1" applyBorder="1"/>
    <xf numFmtId="0" fontId="27" fillId="0" borderId="0" xfId="8" applyFont="1"/>
    <xf numFmtId="172" fontId="27" fillId="0" borderId="0" xfId="8" applyNumberFormat="1" applyFont="1"/>
    <xf numFmtId="172" fontId="28" fillId="0" borderId="0" xfId="8" applyNumberFormat="1" applyFont="1"/>
    <xf numFmtId="172" fontId="29" fillId="0" borderId="0" xfId="9" applyNumberFormat="1" applyFont="1"/>
    <xf numFmtId="172" fontId="3" fillId="0" borderId="0" xfId="0" applyNumberFormat="1" applyFont="1"/>
    <xf numFmtId="0" fontId="30" fillId="0" borderId="0" xfId="8" applyFont="1"/>
    <xf numFmtId="172" fontId="30" fillId="0" borderId="0" xfId="8" applyNumberFormat="1" applyFont="1"/>
    <xf numFmtId="172" fontId="31" fillId="0" borderId="0" xfId="9" applyNumberFormat="1" applyFont="1"/>
    <xf numFmtId="0" fontId="25" fillId="0" borderId="0" xfId="8" applyFont="1"/>
    <xf numFmtId="0" fontId="32" fillId="10" borderId="16" xfId="0" applyFont="1" applyFill="1" applyBorder="1" applyAlignment="1">
      <alignment vertical="center" wrapText="1"/>
    </xf>
    <xf numFmtId="0" fontId="33" fillId="10" borderId="16" xfId="0" applyFont="1" applyFill="1" applyBorder="1" applyAlignment="1">
      <alignment vertical="center" wrapText="1"/>
    </xf>
    <xf numFmtId="167" fontId="32" fillId="10" borderId="16" xfId="1" applyNumberFormat="1" applyFont="1" applyFill="1" applyBorder="1" applyAlignment="1">
      <alignment vertical="center" wrapText="1"/>
    </xf>
    <xf numFmtId="167" fontId="32" fillId="10" borderId="16" xfId="1" applyNumberFormat="1" applyFont="1" applyFill="1" applyBorder="1" applyAlignment="1">
      <alignment horizontal="right" vertical="center" wrapText="1"/>
    </xf>
    <xf numFmtId="167" fontId="33" fillId="10" borderId="16" xfId="1" applyNumberFormat="1" applyFont="1" applyFill="1" applyBorder="1" applyAlignment="1">
      <alignment horizontal="right" vertical="center" wrapText="1"/>
    </xf>
    <xf numFmtId="0" fontId="34" fillId="10" borderId="16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1" fontId="3" fillId="0" borderId="0" xfId="0" applyNumberFormat="1" applyFont="1"/>
    <xf numFmtId="9" fontId="3" fillId="0" borderId="0" xfId="5" applyFont="1"/>
    <xf numFmtId="172" fontId="3" fillId="0" borderId="1" xfId="10" applyNumberFormat="1" applyFont="1" applyFill="1" applyBorder="1"/>
    <xf numFmtId="172" fontId="21" fillId="0" borderId="1" xfId="10" applyNumberFormat="1" applyFont="1" applyFill="1" applyBorder="1"/>
    <xf numFmtId="4" fontId="3" fillId="0" borderId="0" xfId="0" applyNumberFormat="1" applyFont="1"/>
    <xf numFmtId="1" fontId="27" fillId="0" borderId="0" xfId="8" applyNumberFormat="1" applyFont="1"/>
    <xf numFmtId="172" fontId="35" fillId="0" borderId="0" xfId="8" applyNumberFormat="1" applyFont="1"/>
    <xf numFmtId="3" fontId="22" fillId="0" borderId="0" xfId="8" applyNumberFormat="1"/>
    <xf numFmtId="4" fontId="22" fillId="0" borderId="0" xfId="8" applyNumberFormat="1"/>
    <xf numFmtId="167" fontId="3" fillId="0" borderId="1" xfId="0" applyNumberFormat="1" applyFont="1" applyBorder="1"/>
    <xf numFmtId="0" fontId="32" fillId="10" borderId="1" xfId="0" applyFont="1" applyFill="1" applyBorder="1" applyAlignment="1">
      <alignment vertical="center" wrapText="1"/>
    </xf>
    <xf numFmtId="0" fontId="33" fillId="10" borderId="1" xfId="0" applyFont="1" applyFill="1" applyBorder="1" applyAlignment="1">
      <alignment vertical="center" wrapText="1"/>
    </xf>
    <xf numFmtId="0" fontId="34" fillId="10" borderId="1" xfId="0" applyFont="1" applyFill="1" applyBorder="1" applyAlignment="1">
      <alignment horizontal="right" vertical="center" wrapText="1"/>
    </xf>
    <xf numFmtId="167" fontId="32" fillId="10" borderId="1" xfId="1" applyNumberFormat="1" applyFont="1" applyFill="1" applyBorder="1" applyAlignment="1">
      <alignment vertical="center" wrapText="1"/>
    </xf>
    <xf numFmtId="167" fontId="32" fillId="10" borderId="1" xfId="1" applyNumberFormat="1" applyFont="1" applyFill="1" applyBorder="1" applyAlignment="1">
      <alignment horizontal="right" vertical="center" wrapText="1"/>
    </xf>
    <xf numFmtId="167" fontId="33" fillId="10" borderId="1" xfId="1" applyNumberFormat="1" applyFont="1" applyFill="1" applyBorder="1" applyAlignment="1">
      <alignment horizontal="right" vertical="center" wrapText="1"/>
    </xf>
    <xf numFmtId="9" fontId="3" fillId="0" borderId="1" xfId="5" applyFont="1" applyBorder="1"/>
    <xf numFmtId="172" fontId="25" fillId="0" borderId="0" xfId="9" applyNumberFormat="1" applyFont="1" applyBorder="1"/>
    <xf numFmtId="0" fontId="26" fillId="0" borderId="1" xfId="8" applyFont="1" applyBorder="1"/>
    <xf numFmtId="10" fontId="3" fillId="0" borderId="0" xfId="5" applyNumberFormat="1" applyFont="1"/>
    <xf numFmtId="166" fontId="22" fillId="0" borderId="0" xfId="8" applyNumberFormat="1"/>
    <xf numFmtId="4" fontId="38" fillId="0" borderId="0" xfId="8" applyNumberFormat="1" applyFont="1"/>
    <xf numFmtId="9" fontId="22" fillId="0" borderId="0" xfId="5" applyFont="1" applyBorder="1"/>
    <xf numFmtId="9" fontId="22" fillId="0" borderId="0" xfId="8" applyNumberFormat="1"/>
    <xf numFmtId="172" fontId="39" fillId="0" borderId="1" xfId="9" applyNumberFormat="1" applyFont="1" applyBorder="1"/>
    <xf numFmtId="166" fontId="40" fillId="0" borderId="0" xfId="8" applyNumberFormat="1" applyFont="1"/>
    <xf numFmtId="173" fontId="22" fillId="0" borderId="0" xfId="8" applyNumberFormat="1"/>
    <xf numFmtId="166" fontId="41" fillId="0" borderId="0" xfId="8" applyNumberFormat="1" applyFont="1"/>
    <xf numFmtId="3" fontId="3" fillId="0" borderId="0" xfId="0" applyNumberFormat="1" applyFont="1"/>
    <xf numFmtId="174" fontId="3" fillId="0" borderId="0" xfId="0" applyNumberFormat="1" applyFont="1"/>
    <xf numFmtId="175" fontId="3" fillId="0" borderId="0" xfId="0" applyNumberFormat="1" applyFont="1"/>
    <xf numFmtId="9" fontId="3" fillId="0" borderId="0" xfId="5" applyFont="1" applyBorder="1"/>
    <xf numFmtId="166" fontId="3" fillId="0" borderId="0" xfId="0" applyNumberFormat="1" applyFont="1"/>
    <xf numFmtId="176" fontId="22" fillId="0" borderId="0" xfId="8" applyNumberFormat="1"/>
    <xf numFmtId="3" fontId="22" fillId="0" borderId="0" xfId="8" applyNumberFormat="1" applyAlignment="1">
      <alignment wrapText="1"/>
    </xf>
    <xf numFmtId="9" fontId="22" fillId="0" borderId="0" xfId="5" applyFont="1"/>
    <xf numFmtId="167" fontId="22" fillId="0" borderId="0" xfId="1" applyNumberFormat="1" applyFont="1"/>
    <xf numFmtId="0" fontId="42" fillId="0" borderId="0" xfId="0" applyFont="1"/>
    <xf numFmtId="167" fontId="3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7" fontId="40" fillId="0" borderId="0" xfId="1" applyNumberFormat="1" applyFont="1"/>
    <xf numFmtId="164" fontId="22" fillId="0" borderId="0" xfId="15" applyFont="1"/>
    <xf numFmtId="164" fontId="40" fillId="0" borderId="0" xfId="15" applyFont="1"/>
    <xf numFmtId="164" fontId="3" fillId="0" borderId="0" xfId="15" applyFont="1"/>
    <xf numFmtId="177" fontId="3" fillId="0" borderId="0" xfId="5" applyNumberFormat="1" applyFont="1"/>
    <xf numFmtId="165" fontId="22" fillId="0" borderId="0" xfId="8" applyNumberFormat="1"/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</cellXfs>
  <cellStyles count="16">
    <cellStyle name="Comma" xfId="1" builtinId="3"/>
    <cellStyle name="Comma [0]" xfId="15" builtinId="6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6600"/>
      <color rgb="FFFF3399"/>
      <color rgb="FFFFCC00"/>
      <color rgb="FF84ACE8"/>
      <color rgb="FF0000FF"/>
      <color rgb="FFFF5050"/>
      <color rgb="FF639D69"/>
      <color rgb="FF2CD8D4"/>
      <color rgb="FFCCCC00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33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 i="0" baseline="0">
                <a:solidFill>
                  <a:srgbClr val="0000FF"/>
                </a:solidFill>
                <a:effectLst/>
              </a:rPr>
              <a:t>SẢN LƯỢNG MUA SO VỚI SẢN LƯỢNG BÁN-NĂM 2022 (TẤN) </a:t>
            </a:r>
            <a:endParaRPr lang="en-US" b="1">
              <a:solidFill>
                <a:srgbClr val="0000FF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rgbClr val="0000FF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'SL bán so với SL mua 2022'!$A$30</c:f>
              <c:strCache>
                <c:ptCount val="1"/>
                <c:pt idx="0">
                  <c:v>Tổng mua</c:v>
                </c:pt>
              </c:strCache>
            </c:strRef>
          </c:tx>
          <c:spPr>
            <a:solidFill>
              <a:srgbClr val="00B0F0"/>
            </a:solidFill>
            <a:ln w="38100">
              <a:solidFill>
                <a:schemeClr val="bg1"/>
              </a:solidFill>
            </a:ln>
            <a:effectLst/>
          </c:spPr>
          <c:invertIfNegative val="0"/>
          <c:dLbls>
            <c:dLbl>
              <c:idx val="7"/>
              <c:layout>
                <c:manualLayout>
                  <c:x val="-1.4440560780066673E-2"/>
                  <c:y val="-6.18124731243503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B-4648-B9E1-F9C7E0D02E6D}"/>
                </c:ext>
              </c:extLst>
            </c:dLbl>
            <c:dLbl>
              <c:idx val="8"/>
              <c:layout>
                <c:manualLayout>
                  <c:x val="-4.5784711968103178E-3"/>
                  <c:y val="-6.5036942686940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37-4942-BBC6-B05CF72DBBD4}"/>
                </c:ext>
              </c:extLst>
            </c:dLbl>
            <c:dLbl>
              <c:idx val="11"/>
              <c:layout>
                <c:manualLayout>
                  <c:x val="-8.3310927577307722E-3"/>
                  <c:y val="3.090623656216952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37-4942-BBC6-B05CF72DBB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2022'!$B$30:$N$30</c:f>
              <c:numCache>
                <c:formatCode>_-* #,##0_-;\-* #,##0_-;_-* "-"??_-;_-@_-</c:formatCode>
                <c:ptCount val="13"/>
                <c:pt idx="0">
                  <c:v>708.74699999999996</c:v>
                </c:pt>
                <c:pt idx="1">
                  <c:v>500.69318000000004</c:v>
                </c:pt>
                <c:pt idx="2">
                  <c:v>1601.29312</c:v>
                </c:pt>
                <c:pt idx="3">
                  <c:v>1909.1155799999999</c:v>
                </c:pt>
                <c:pt idx="4">
                  <c:v>2165.9779799999992</c:v>
                </c:pt>
                <c:pt idx="5">
                  <c:v>1557.2704399999996</c:v>
                </c:pt>
                <c:pt idx="6">
                  <c:v>872.08764000000008</c:v>
                </c:pt>
                <c:pt idx="7">
                  <c:v>1070.8506000000002</c:v>
                </c:pt>
                <c:pt idx="8">
                  <c:v>903.85081000000059</c:v>
                </c:pt>
                <c:pt idx="9">
                  <c:v>2326.46684</c:v>
                </c:pt>
                <c:pt idx="10">
                  <c:v>2035.6570000000002</c:v>
                </c:pt>
                <c:pt idx="11">
                  <c:v>1500.7365999999995</c:v>
                </c:pt>
                <c:pt idx="12">
                  <c:v>17152.746789999997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3-49E6-9F94-6E0BA9C1BE92}"/>
            </c:ext>
          </c:extLst>
        </c:ser>
        <c:ser>
          <c:idx val="2"/>
          <c:order val="1"/>
          <c:tx>
            <c:strRef>
              <c:f>'SL bán so với SL mua 2022'!$A$31</c:f>
              <c:strCache>
                <c:ptCount val="1"/>
                <c:pt idx="0">
                  <c:v>Tổng bán</c:v>
                </c:pt>
              </c:strCache>
            </c:strRef>
          </c:tx>
          <c:spPr>
            <a:solidFill>
              <a:srgbClr val="00B050"/>
            </a:solidFill>
            <a:ln w="38100">
              <a:solidFill>
                <a:schemeClr val="bg1"/>
              </a:solidFill>
            </a:ln>
            <a:effectLst/>
          </c:spPr>
          <c:invertIfNegative val="0"/>
          <c:dLbls>
            <c:dLbl>
              <c:idx val="8"/>
              <c:layout>
                <c:manualLayout>
                  <c:x val="3.5887986030703552E-3"/>
                  <c:y val="8.8146046812484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73-49E6-9F94-6E0BA9C1BE92}"/>
                </c:ext>
              </c:extLst>
            </c:dLbl>
            <c:dLbl>
              <c:idx val="11"/>
              <c:layout>
                <c:manualLayout>
                  <c:x val="4.4432494707895825E-3"/>
                  <c:y val="5.87218494681328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37-4942-BBC6-B05CF72DBBD4}"/>
                </c:ext>
              </c:extLst>
            </c:dLbl>
            <c:dLbl>
              <c:idx val="12"/>
              <c:layout>
                <c:manualLayout>
                  <c:x val="7.7756865738818921E-3"/>
                  <c:y val="6.18124731243498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B-4648-B9E1-F9C7E0D02E6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2022'!$B$31:$N$31</c:f>
              <c:numCache>
                <c:formatCode>_-* #,##0_-;\-* #,##0_-;_-* "-"??_-;_-@_-</c:formatCode>
                <c:ptCount val="13"/>
                <c:pt idx="0">
                  <c:v>250.8</c:v>
                </c:pt>
                <c:pt idx="1">
                  <c:v>242</c:v>
                </c:pt>
                <c:pt idx="2">
                  <c:v>707.8</c:v>
                </c:pt>
                <c:pt idx="3">
                  <c:v>757.69999999999993</c:v>
                </c:pt>
                <c:pt idx="4">
                  <c:v>578.20800000000008</c:v>
                </c:pt>
                <c:pt idx="5">
                  <c:v>678.90000000000009</c:v>
                </c:pt>
                <c:pt idx="6">
                  <c:v>421.5</c:v>
                </c:pt>
                <c:pt idx="7">
                  <c:v>1078.8</c:v>
                </c:pt>
                <c:pt idx="8">
                  <c:v>1030.32</c:v>
                </c:pt>
                <c:pt idx="9">
                  <c:v>1178.075</c:v>
                </c:pt>
                <c:pt idx="10">
                  <c:v>981.09999999999991</c:v>
                </c:pt>
                <c:pt idx="11">
                  <c:v>1827.7</c:v>
                </c:pt>
                <c:pt idx="12">
                  <c:v>9732.9030000000002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3-49E6-9F94-6E0BA9C1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18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MUA SO VỚI SẢN LƯỢNG BÁN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18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2022 (TẤN)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92330697014924E-2"/>
          <c:y val="0.14867457473853971"/>
          <c:w val="0.94360674808990119"/>
          <c:h val="0.743518028545742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'SL bán so với SL mua 2022- PET'!$A$31</c:f>
              <c:strCache>
                <c:ptCount val="1"/>
                <c:pt idx="0">
                  <c:v>Sản lượng mua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PET'!$B$29:$N$29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PET'!$B$31:$N$31</c:f>
              <c:numCache>
                <c:formatCode>_-* #,##0_-;\-* #,##0_-;_-* "-"??_-;_-@_-</c:formatCode>
                <c:ptCount val="13"/>
                <c:pt idx="0">
                  <c:v>537.72799999999995</c:v>
                </c:pt>
                <c:pt idx="1">
                  <c:v>441.92718000000002</c:v>
                </c:pt>
                <c:pt idx="2">
                  <c:v>1492.4511199999999</c:v>
                </c:pt>
                <c:pt idx="3">
                  <c:v>1840.18508</c:v>
                </c:pt>
                <c:pt idx="4">
                  <c:v>2139.3249799999994</c:v>
                </c:pt>
                <c:pt idx="5">
                  <c:v>1338.8894399999995</c:v>
                </c:pt>
                <c:pt idx="6">
                  <c:v>861.30964000000006</c:v>
                </c:pt>
                <c:pt idx="7">
                  <c:v>980.0766000000001</c:v>
                </c:pt>
                <c:pt idx="8">
                  <c:v>851.71181000000058</c:v>
                </c:pt>
                <c:pt idx="9">
                  <c:v>2024.1148400000002</c:v>
                </c:pt>
                <c:pt idx="10">
                  <c:v>1881.18</c:v>
                </c:pt>
                <c:pt idx="11">
                  <c:v>1432.3595999999995</c:v>
                </c:pt>
                <c:pt idx="12">
                  <c:v>15821.25829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D6F-80AE-D1F0FEC3C97B}"/>
            </c:ext>
          </c:extLst>
        </c:ser>
        <c:ser>
          <c:idx val="2"/>
          <c:order val="1"/>
          <c:tx>
            <c:strRef>
              <c:f>'SL bán so với SL mua 2022- PET'!$A$32</c:f>
              <c:strCache>
                <c:ptCount val="1"/>
                <c:pt idx="0">
                  <c:v>Sản lượng bán dự báo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PET'!$B$29:$N$29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PET'!$B$32:$N$32</c:f>
              <c:numCache>
                <c:formatCode>_-* #,##0_-;\-* #,##0_-;_-* "-"??_-;_-@_-</c:formatCode>
                <c:ptCount val="13"/>
                <c:pt idx="0">
                  <c:v>507</c:v>
                </c:pt>
                <c:pt idx="1">
                  <c:v>506</c:v>
                </c:pt>
                <c:pt idx="2">
                  <c:v>846</c:v>
                </c:pt>
                <c:pt idx="3">
                  <c:v>746</c:v>
                </c:pt>
                <c:pt idx="4">
                  <c:v>561</c:v>
                </c:pt>
                <c:pt idx="5">
                  <c:v>644</c:v>
                </c:pt>
                <c:pt idx="6">
                  <c:v>502</c:v>
                </c:pt>
                <c:pt idx="7">
                  <c:v>1480</c:v>
                </c:pt>
                <c:pt idx="8">
                  <c:v>1041.5999999999999</c:v>
                </c:pt>
                <c:pt idx="9">
                  <c:v>1042.6099999999999</c:v>
                </c:pt>
                <c:pt idx="10">
                  <c:v>1377.8999999999999</c:v>
                </c:pt>
                <c:pt idx="11">
                  <c:v>1447.98</c:v>
                </c:pt>
                <c:pt idx="12">
                  <c:v>10702.09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7-4D6F-80AE-D1F0FEC3C97B}"/>
            </c:ext>
          </c:extLst>
        </c:ser>
        <c:ser>
          <c:idx val="0"/>
          <c:order val="2"/>
          <c:tx>
            <c:strRef>
              <c:f>'SL bán so với SL mua 2022- PET'!$A$30</c:f>
              <c:strCache>
                <c:ptCount val="1"/>
                <c:pt idx="0">
                  <c:v>Sản lượng 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PET'!$B$29:$N$29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PET'!$B$30:$N$30</c:f>
              <c:numCache>
                <c:formatCode>_-* #,##0_-;\-* #,##0_-;_-* "-"??_-;_-@_-</c:formatCode>
                <c:ptCount val="13"/>
                <c:pt idx="0">
                  <c:v>250.8</c:v>
                </c:pt>
                <c:pt idx="1">
                  <c:v>242</c:v>
                </c:pt>
                <c:pt idx="2">
                  <c:v>665.5</c:v>
                </c:pt>
                <c:pt idx="3">
                  <c:v>748.4</c:v>
                </c:pt>
                <c:pt idx="4">
                  <c:v>577.50800000000004</c:v>
                </c:pt>
                <c:pt idx="5">
                  <c:v>678.7</c:v>
                </c:pt>
                <c:pt idx="6">
                  <c:v>391.5</c:v>
                </c:pt>
                <c:pt idx="7">
                  <c:v>1078.8</c:v>
                </c:pt>
                <c:pt idx="8">
                  <c:v>996.6</c:v>
                </c:pt>
                <c:pt idx="9">
                  <c:v>1002.675</c:v>
                </c:pt>
                <c:pt idx="10">
                  <c:v>916.3</c:v>
                </c:pt>
                <c:pt idx="11">
                  <c:v>1760.3</c:v>
                </c:pt>
                <c:pt idx="12">
                  <c:v>9309.0830000000005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7-4D6F-80AE-D1F0FEC3C9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18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MUA SO VỚI SẢN LƯỢNG BÁN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18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2022 (TẤN)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50361024599367E-2"/>
          <c:y val="0.10031708095827303"/>
          <c:w val="0.94036346920702452"/>
          <c:h val="0.74089283684466978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'SL bán so với SL mua 2022- HDPE'!$A$31</c:f>
              <c:strCache>
                <c:ptCount val="1"/>
                <c:pt idx="0">
                  <c:v>Sản lượng mua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HDPE'!$B$29:$N$29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HDPE'!$B$31:$N$31</c:f>
              <c:numCache>
                <c:formatCode>_-* #,##0_-;\-* #,##0_-;_-* "-"??_-;_-@_-</c:formatCode>
                <c:ptCount val="13"/>
                <c:pt idx="0">
                  <c:v>171.01900000000001</c:v>
                </c:pt>
                <c:pt idx="1">
                  <c:v>58.765999999999998</c:v>
                </c:pt>
                <c:pt idx="2">
                  <c:v>108.842</c:v>
                </c:pt>
                <c:pt idx="3">
                  <c:v>68.930499999999995</c:v>
                </c:pt>
                <c:pt idx="4">
                  <c:v>26.652999999999999</c:v>
                </c:pt>
                <c:pt idx="5">
                  <c:v>218.381</c:v>
                </c:pt>
                <c:pt idx="6">
                  <c:v>10.778</c:v>
                </c:pt>
                <c:pt idx="7">
                  <c:v>90.774000000000001</c:v>
                </c:pt>
                <c:pt idx="8">
                  <c:v>52.139000000000003</c:v>
                </c:pt>
                <c:pt idx="9">
                  <c:v>302.35199999999998</c:v>
                </c:pt>
                <c:pt idx="10">
                  <c:v>154.477</c:v>
                </c:pt>
                <c:pt idx="11">
                  <c:v>68.376999999999995</c:v>
                </c:pt>
                <c:pt idx="12">
                  <c:v>1331.4885000000002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7-4C7D-9777-65C79D41B386}"/>
            </c:ext>
          </c:extLst>
        </c:ser>
        <c:ser>
          <c:idx val="5"/>
          <c:order val="1"/>
          <c:tx>
            <c:strRef>
              <c:f>'SL bán so với SL mua 2022- HDPE'!$A$32</c:f>
              <c:strCache>
                <c:ptCount val="1"/>
                <c:pt idx="0">
                  <c:v>Sản lượng bán dự báo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2.3065763215228516E-3"/>
                  <c:y val="-8.42860641683926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4E-4E2D-9BDE-DFB28A1115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HDPE'!$B$29:$N$29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HDPE'!$B$32:$N$32</c:f>
              <c:numCache>
                <c:formatCode>_-* #,##0_-;\-* #,##0_-;_-*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42</c:v>
                </c:pt>
                <c:pt idx="3">
                  <c:v>9</c:v>
                </c:pt>
                <c:pt idx="4">
                  <c:v>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34</c:v>
                </c:pt>
                <c:pt idx="9">
                  <c:v>175</c:v>
                </c:pt>
                <c:pt idx="10">
                  <c:v>65</c:v>
                </c:pt>
                <c:pt idx="11">
                  <c:v>262</c:v>
                </c:pt>
                <c:pt idx="12">
                  <c:v>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7-4C7D-9777-65C79D41B386}"/>
            </c:ext>
          </c:extLst>
        </c:ser>
        <c:ser>
          <c:idx val="3"/>
          <c:order val="2"/>
          <c:tx>
            <c:strRef>
              <c:f>'SL bán so với SL mua 2022- HDPE'!$A$30</c:f>
              <c:strCache>
                <c:ptCount val="1"/>
                <c:pt idx="0">
                  <c:v>Sản lượng 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1.1532881607613835E-3"/>
                  <c:y val="-2.2987373958599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58-4DAB-93BB-29E8F98979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 so với SL mua 2022- HDPE'!$B$29:$N$29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 so với SL mua 2022- HDPE'!$B$30:$N$30</c:f>
              <c:numCache>
                <c:formatCode>_-* #,##0_-;\-* #,##0_-;_-*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42.3</c:v>
                </c:pt>
                <c:pt idx="3">
                  <c:v>9.3000000000000007</c:v>
                </c:pt>
                <c:pt idx="4">
                  <c:v>0.7</c:v>
                </c:pt>
                <c:pt idx="5">
                  <c:v>0.2</c:v>
                </c:pt>
                <c:pt idx="6">
                  <c:v>30</c:v>
                </c:pt>
                <c:pt idx="7">
                  <c:v>0</c:v>
                </c:pt>
                <c:pt idx="8">
                  <c:v>33.72</c:v>
                </c:pt>
                <c:pt idx="9">
                  <c:v>175.4</c:v>
                </c:pt>
                <c:pt idx="10">
                  <c:v>64.8</c:v>
                </c:pt>
                <c:pt idx="11">
                  <c:v>67.400000000000006</c:v>
                </c:pt>
                <c:pt idx="12">
                  <c:v>423.82000000000005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7-4C7D-9777-65C79D41B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THEO DÕI SẢN LƯỢNG SX &amp; SẢN LƯỢNG BÁN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'SL bán&amp; SL SX-2022'!$A$27</c:f>
              <c:strCache>
                <c:ptCount val="1"/>
                <c:pt idx="0">
                  <c:v>SL SX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1.3238018488362629E-2"/>
                  <c:y val="5.5284056200366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74-4523-B679-EBDD1F94FA38}"/>
                </c:ext>
              </c:extLst>
            </c:dLbl>
            <c:dLbl>
              <c:idx val="8"/>
              <c:layout>
                <c:manualLayout>
                  <c:x val="-1.6944663665104068E-2"/>
                  <c:y val="4.3066585216860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74-4523-B679-EBDD1F94F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bán&amp; SL SX-2022'!$B$25:$N$25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bán&amp; SL SX-2022'!$B$27:$N$27</c:f>
              <c:numCache>
                <c:formatCode>_-* #,##0_-;\-* #,##0_-;_-* "-"??_-;_-@_-</c:formatCode>
                <c:ptCount val="13"/>
                <c:pt idx="0">
                  <c:v>396.863</c:v>
                </c:pt>
                <c:pt idx="1">
                  <c:v>731.72500000000002</c:v>
                </c:pt>
                <c:pt idx="2">
                  <c:v>523.51499999999999</c:v>
                </c:pt>
                <c:pt idx="3">
                  <c:v>840</c:v>
                </c:pt>
                <c:pt idx="4">
                  <c:v>978.76599999999985</c:v>
                </c:pt>
                <c:pt idx="5">
                  <c:v>921.15</c:v>
                </c:pt>
                <c:pt idx="6">
                  <c:v>393.40000000000003</c:v>
                </c:pt>
                <c:pt idx="7">
                  <c:v>1058.7</c:v>
                </c:pt>
                <c:pt idx="8">
                  <c:v>943.28200000000004</c:v>
                </c:pt>
                <c:pt idx="9">
                  <c:v>1124.4769999999999</c:v>
                </c:pt>
                <c:pt idx="10">
                  <c:v>1198.873</c:v>
                </c:pt>
                <c:pt idx="11">
                  <c:v>1582.6670000000001</c:v>
                </c:pt>
                <c:pt idx="12">
                  <c:v>10693.417999999998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74-4523-B679-EBDD1F94FA38}"/>
            </c:ext>
          </c:extLst>
        </c:ser>
        <c:ser>
          <c:idx val="3"/>
          <c:order val="1"/>
          <c:tx>
            <c:strRef>
              <c:f>'SL bán&amp; SL SX-2022'!$A$29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5.2952073953450203E-3"/>
                  <c:y val="8.85766646304214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50-41A1-81EF-56890CFE47EB}"/>
                </c:ext>
              </c:extLst>
            </c:dLbl>
            <c:dLbl>
              <c:idx val="7"/>
              <c:layout>
                <c:manualLayout>
                  <c:x val="2.6476036976724325E-3"/>
                  <c:y val="-3.054367745876603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74-4523-B679-EBDD1F94FA38}"/>
                </c:ext>
              </c:extLst>
            </c:dLbl>
            <c:dLbl>
              <c:idx val="8"/>
              <c:layout>
                <c:manualLayout>
                  <c:x val="3.706645176741592E-3"/>
                  <c:y val="2.74893097128894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74-4523-B679-EBDD1F94F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 bán&amp; SL SX-2022'!$B$25:$N$25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'SL bán&amp; SL SX-2022'!$B$29:$N$29</c:f>
              <c:numCache>
                <c:formatCode>_-* #,##0_-;\-* #,##0_-;_-* "-"??_-;_-@_-</c:formatCode>
                <c:ptCount val="13"/>
                <c:pt idx="0">
                  <c:v>250.8</c:v>
                </c:pt>
                <c:pt idx="1">
                  <c:v>242</c:v>
                </c:pt>
                <c:pt idx="2">
                  <c:v>707.8</c:v>
                </c:pt>
                <c:pt idx="3">
                  <c:v>757.69999999999993</c:v>
                </c:pt>
                <c:pt idx="4">
                  <c:v>578.20800000000008</c:v>
                </c:pt>
                <c:pt idx="5">
                  <c:v>678.90000000000009</c:v>
                </c:pt>
                <c:pt idx="6">
                  <c:v>421.5</c:v>
                </c:pt>
                <c:pt idx="7">
                  <c:v>1104.4680000000001</c:v>
                </c:pt>
                <c:pt idx="8">
                  <c:v>1030.32</c:v>
                </c:pt>
                <c:pt idx="9">
                  <c:v>1178.075</c:v>
                </c:pt>
                <c:pt idx="10">
                  <c:v>981.09999999999991</c:v>
                </c:pt>
                <c:pt idx="11">
                  <c:v>1860.105</c:v>
                </c:pt>
                <c:pt idx="12">
                  <c:v>9790.9759999999987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74-4523-B679-EBDD1F94F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F74-4523-B679-EBDD1F94FA38}"/>
                  </c:ext>
                </c:extLst>
              </c15:ser>
            </c15:filteredBarSeries>
            <c15:filteredBa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F74-4523-B679-EBDD1F94FA38}"/>
                  </c:ext>
                </c:extLst>
              </c15:ser>
            </c15:filteredBarSeries>
          </c:ext>
        </c:extLst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rgbClr val="0000FF"/>
                </a:solidFill>
                <a:effectLst/>
              </a:rPr>
              <a:t>SẢN LƯỢNG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MUA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 SO VỚI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BÁN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-NĂM 2025 (TẤN) </a:t>
            </a:r>
            <a:endParaRPr lang="en-US" sz="2400" b="1">
              <a:solidFill>
                <a:srgbClr val="0000FF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rgbClr val="0000FF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97127380792358E-2"/>
          <c:y val="0.11264986998776841"/>
          <c:w val="0.84903188289513898"/>
          <c:h val="0.821108379730017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'Tổng mua và bán'!$A$35</c:f>
              <c:strCache>
                <c:ptCount val="1"/>
                <c:pt idx="0">
                  <c:v>Tổng mua</c:v>
                </c:pt>
              </c:strCache>
            </c:strRef>
          </c:tx>
          <c:spPr>
            <a:solidFill>
              <a:srgbClr val="00B0F0">
                <a:alpha val="80000"/>
              </a:srgbClr>
            </a:solidFill>
            <a:ln w="508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7"/>
              <c:layout>
                <c:manualLayout>
                  <c:x val="-7.7756865738821367E-3"/>
                  <c:y val="4.17179309455133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C9-4E90-8C51-D120EC36E6B8}"/>
                </c:ext>
              </c:extLst>
            </c:dLbl>
            <c:dLbl>
              <c:idx val="8"/>
              <c:layout>
                <c:manualLayout>
                  <c:x val="-1.926528530343824E-3"/>
                  <c:y val="3.84938094625723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BB-478C-954A-EF81AE25DD3D}"/>
                </c:ext>
              </c:extLst>
            </c:dLbl>
            <c:dLbl>
              <c:idx val="11"/>
              <c:layout>
                <c:manualLayout>
                  <c:x val="-8.3310927577307722E-3"/>
                  <c:y val="3.090623656216952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63-4326-BBF4-D2520563E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bán'!$B$35:$N$35</c:f>
              <c:numCache>
                <c:formatCode>_-* #,##0_-;\-* #,##0_-;_-* "-"??_-;_-@_-</c:formatCode>
                <c:ptCount val="13"/>
                <c:pt idx="0">
                  <c:v>1725.373</c:v>
                </c:pt>
                <c:pt idx="1">
                  <c:v>2432.70336</c:v>
                </c:pt>
                <c:pt idx="2">
                  <c:v>4428.8812799999996</c:v>
                </c:pt>
                <c:pt idx="3">
                  <c:v>6853.6959999999999</c:v>
                </c:pt>
                <c:pt idx="4">
                  <c:v>5297.1019999999999</c:v>
                </c:pt>
                <c:pt idx="5">
                  <c:v>4829.8689999999997</c:v>
                </c:pt>
                <c:pt idx="6">
                  <c:v>4950.8580399999992</c:v>
                </c:pt>
                <c:pt idx="7">
                  <c:v>6367.8262000000004</c:v>
                </c:pt>
                <c:pt idx="8">
                  <c:v>3608.2051200000001</c:v>
                </c:pt>
                <c:pt idx="9">
                  <c:v>3341.95912</c:v>
                </c:pt>
                <c:pt idx="10">
                  <c:v>3276.04268</c:v>
                </c:pt>
                <c:pt idx="11">
                  <c:v>3648.4360000000001</c:v>
                </c:pt>
                <c:pt idx="12">
                  <c:v>50760.951799999995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B-4FE7-BB00-A7E025FF45DF}"/>
            </c:ext>
          </c:extLst>
        </c:ser>
        <c:ser>
          <c:idx val="3"/>
          <c:order val="1"/>
          <c:tx>
            <c:strRef>
              <c:f>'Tổng mua và bán'!$A$38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bán'!$B$38:$N$38</c:f>
              <c:numCache>
                <c:formatCode>_-* #,##0_-;\-* #,##0_-;_-* "-"??_-;_-@_-</c:formatCode>
                <c:ptCount val="13"/>
                <c:pt idx="0">
                  <c:v>3047.23</c:v>
                </c:pt>
                <c:pt idx="1">
                  <c:v>3649.23</c:v>
                </c:pt>
                <c:pt idx="2">
                  <c:v>3614.0800000000004</c:v>
                </c:pt>
                <c:pt idx="3">
                  <c:v>3882.1800000000003</c:v>
                </c:pt>
                <c:pt idx="4">
                  <c:v>5125.4800000000005</c:v>
                </c:pt>
                <c:pt idx="5">
                  <c:v>4946.2300000000005</c:v>
                </c:pt>
                <c:pt idx="6">
                  <c:v>5469.23</c:v>
                </c:pt>
                <c:pt idx="7">
                  <c:v>5438.73</c:v>
                </c:pt>
                <c:pt idx="8">
                  <c:v>6450.73</c:v>
                </c:pt>
                <c:pt idx="9">
                  <c:v>6466.95</c:v>
                </c:pt>
                <c:pt idx="10">
                  <c:v>5968.9699999999993</c:v>
                </c:pt>
                <c:pt idx="11">
                  <c:v>5940.9599999999991</c:v>
                </c:pt>
                <c:pt idx="12">
                  <c:v>59999.999999999993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9-4E90-8C51-D120EC36E6B8}"/>
            </c:ext>
          </c:extLst>
        </c:ser>
        <c:ser>
          <c:idx val="2"/>
          <c:order val="2"/>
          <c:tx>
            <c:strRef>
              <c:f>'Tổng mua và bán'!$A$36</c:f>
              <c:strCache>
                <c:ptCount val="1"/>
                <c:pt idx="0">
                  <c:v>Tổng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8"/>
              <c:layout>
                <c:manualLayout>
                  <c:x val="3.5887986030703552E-3"/>
                  <c:y val="8.8146046812484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BB-478C-954A-EF81AE25DD3D}"/>
                </c:ext>
              </c:extLst>
            </c:dLbl>
            <c:dLbl>
              <c:idx val="11"/>
              <c:layout>
                <c:manualLayout>
                  <c:x val="-8.4195857083874603E-4"/>
                  <c:y val="5.87215338526222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63-4326-BBF4-D2520563E011}"/>
                </c:ext>
              </c:extLst>
            </c:dLbl>
            <c:dLbl>
              <c:idx val="12"/>
              <c:layout>
                <c:manualLayout>
                  <c:x val="0"/>
                  <c:y val="6.18126451185838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DB-4FE7-BB00-A7E025FF45D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bán'!$B$36:$N$36</c:f>
              <c:numCache>
                <c:formatCode>_-* #,##0_-;\-* #,##0_-;_-* "-"??_-;_-@_-</c:formatCode>
                <c:ptCount val="13"/>
                <c:pt idx="0">
                  <c:v>3487.9992999999999</c:v>
                </c:pt>
                <c:pt idx="1">
                  <c:v>5476.6750000000002</c:v>
                </c:pt>
                <c:pt idx="2">
                  <c:v>4580.05</c:v>
                </c:pt>
                <c:pt idx="3">
                  <c:v>3850.9250000000002</c:v>
                </c:pt>
                <c:pt idx="4">
                  <c:v>4582.7242999999999</c:v>
                </c:pt>
                <c:pt idx="5">
                  <c:v>3673.2080000000001</c:v>
                </c:pt>
                <c:pt idx="6">
                  <c:v>4560.4241000000002</c:v>
                </c:pt>
                <c:pt idx="7">
                  <c:v>5189.3680000000004</c:v>
                </c:pt>
                <c:pt idx="8">
                  <c:v>2657.0430000000001</c:v>
                </c:pt>
                <c:pt idx="9">
                  <c:v>3219.1950000000002</c:v>
                </c:pt>
                <c:pt idx="10">
                  <c:v>2510.4150000000004</c:v>
                </c:pt>
                <c:pt idx="11">
                  <c:v>2781.1109999999999</c:v>
                </c:pt>
                <c:pt idx="12">
                  <c:v>46569.137699999992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DB-4FE7-BB00-A7E025FF45DF}"/>
            </c:ext>
          </c:extLst>
        </c:ser>
        <c:ser>
          <c:idx val="0"/>
          <c:order val="3"/>
          <c:tx>
            <c:strRef>
              <c:f>'Tổng mua và bán'!$A$39</c:f>
              <c:strCache>
                <c:ptCount val="1"/>
                <c:pt idx="0">
                  <c:v>Tổng tồn TP</c:v>
                </c:pt>
              </c:strCache>
            </c:strRef>
          </c:tx>
          <c:spPr>
            <a:solidFill>
              <a:srgbClr val="FF6600"/>
            </a:solidFill>
            <a:ln w="635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2.2216247353947097E-3"/>
                  <c:y val="5.1765288032047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C9-4E90-8C51-D120EC36E6B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5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bán'!$B$39:$N$39</c:f>
              <c:numCache>
                <c:formatCode>_-* #,##0_-;\-* #,##0_-;_-* "-"??_-;_-@_-</c:formatCode>
                <c:ptCount val="13"/>
                <c:pt idx="0">
                  <c:v>12431.015950000003</c:v>
                </c:pt>
                <c:pt idx="1">
                  <c:v>10156.010450000002</c:v>
                </c:pt>
                <c:pt idx="2">
                  <c:v>10242.050050000002</c:v>
                </c:pt>
                <c:pt idx="3">
                  <c:v>10385.597450000001</c:v>
                </c:pt>
                <c:pt idx="4">
                  <c:v>10753.50375</c:v>
                </c:pt>
                <c:pt idx="5">
                  <c:v>11025.174599999998</c:v>
                </c:pt>
                <c:pt idx="6">
                  <c:v>11073.453800000001</c:v>
                </c:pt>
                <c:pt idx="7">
                  <c:v>10325.593199999999</c:v>
                </c:pt>
                <c:pt idx="8">
                  <c:v>11528.4915</c:v>
                </c:pt>
                <c:pt idx="9">
                  <c:v>12582.099049999999</c:v>
                </c:pt>
                <c:pt idx="10">
                  <c:v>11606.9877</c:v>
                </c:pt>
                <c:pt idx="11">
                  <c:v>11701.407050000002</c:v>
                </c:pt>
                <c:pt idx="12">
                  <c:v>11701.407050000002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B-490F-868A-0C93F2C7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16288602697757"/>
          <c:y val="0.16242727379027561"/>
          <c:w val="0.1038326175445029"/>
          <c:h val="0.47426415795094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2025 (TẤN) </a:t>
            </a:r>
          </a:p>
        </c:rich>
      </c:tx>
      <c:layout>
        <c:manualLayout>
          <c:xMode val="edge"/>
          <c:yMode val="edge"/>
          <c:x val="0.26603200439226593"/>
          <c:y val="1.3733026750522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92330697014924E-2"/>
          <c:y val="0.14867457473853971"/>
          <c:w val="0.86229417648039308"/>
          <c:h val="0.711849250127221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 PET'!$A$30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PET'!$B$30:$N$30</c:f>
              <c:numCache>
                <c:formatCode>_-* #,##0_-;\-* #,##0_-;_-* "-"??_-;_-@_-</c:formatCode>
                <c:ptCount val="13"/>
                <c:pt idx="0">
                  <c:v>1377.509</c:v>
                </c:pt>
                <c:pt idx="1">
                  <c:v>2057.9373599999999</c:v>
                </c:pt>
                <c:pt idx="2">
                  <c:v>4108.3752800000002</c:v>
                </c:pt>
                <c:pt idx="3">
                  <c:v>6538.9610000000002</c:v>
                </c:pt>
                <c:pt idx="4">
                  <c:v>5007.0789999999997</c:v>
                </c:pt>
                <c:pt idx="5">
                  <c:v>4674.0140000000001</c:v>
                </c:pt>
                <c:pt idx="6">
                  <c:v>4795.8326399999996</c:v>
                </c:pt>
                <c:pt idx="7">
                  <c:v>6200.3274000000001</c:v>
                </c:pt>
                <c:pt idx="8">
                  <c:v>3502.8753200000001</c:v>
                </c:pt>
                <c:pt idx="9">
                  <c:v>3282.54232</c:v>
                </c:pt>
                <c:pt idx="10">
                  <c:v>3204.5250799999999</c:v>
                </c:pt>
                <c:pt idx="11">
                  <c:v>3588.9670000000001</c:v>
                </c:pt>
                <c:pt idx="12">
                  <c:v>48338.945399999997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6-42F3-ADD3-A27FAB974ADD}"/>
            </c:ext>
          </c:extLst>
        </c:ser>
        <c:ser>
          <c:idx val="2"/>
          <c:order val="1"/>
          <c:tx>
            <c:strRef>
              <c:f>'Mua-bán PET'!$A$31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PET'!$B$31:$N$31</c:f>
              <c:numCache>
                <c:formatCode>_-* #,##0_-;\-* #,##0_-;_-* "-"??_-;_-@_-</c:formatCode>
                <c:ptCount val="13"/>
                <c:pt idx="0">
                  <c:v>2736.29</c:v>
                </c:pt>
                <c:pt idx="1">
                  <c:v>3222.29</c:v>
                </c:pt>
                <c:pt idx="2">
                  <c:v>3068.8900000000003</c:v>
                </c:pt>
                <c:pt idx="3">
                  <c:v>3137.2400000000002</c:v>
                </c:pt>
                <c:pt idx="4">
                  <c:v>4345.5400000000009</c:v>
                </c:pt>
                <c:pt idx="5">
                  <c:v>4153.5400000000009</c:v>
                </c:pt>
                <c:pt idx="6">
                  <c:v>4535.54</c:v>
                </c:pt>
                <c:pt idx="7">
                  <c:v>4449.54</c:v>
                </c:pt>
                <c:pt idx="8">
                  <c:v>5395.54</c:v>
                </c:pt>
                <c:pt idx="9">
                  <c:v>5402.26</c:v>
                </c:pt>
                <c:pt idx="10">
                  <c:v>4778.78</c:v>
                </c:pt>
                <c:pt idx="11">
                  <c:v>4774.7699999999995</c:v>
                </c:pt>
                <c:pt idx="12">
                  <c:v>50000.22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6-42F3-ADD3-A27FAB974ADD}"/>
            </c:ext>
          </c:extLst>
        </c:ser>
        <c:ser>
          <c:idx val="0"/>
          <c:order val="2"/>
          <c:tx>
            <c:strRef>
              <c:f>'Mua-bán PET'!$A$29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PET'!$B$29:$N$29</c:f>
              <c:numCache>
                <c:formatCode>_-* #,##0_-;\-* #,##0_-;_-* "-"??_-;_-@_-</c:formatCode>
                <c:ptCount val="13"/>
                <c:pt idx="0">
                  <c:v>3307.1493</c:v>
                </c:pt>
                <c:pt idx="1">
                  <c:v>5164.5</c:v>
                </c:pt>
                <c:pt idx="2">
                  <c:v>4052.3</c:v>
                </c:pt>
                <c:pt idx="3">
                  <c:v>3575.4</c:v>
                </c:pt>
                <c:pt idx="4">
                  <c:v>4207.0102999999999</c:v>
                </c:pt>
                <c:pt idx="5">
                  <c:v>3249.9830000000002</c:v>
                </c:pt>
                <c:pt idx="6">
                  <c:v>4238.1490999999996</c:v>
                </c:pt>
                <c:pt idx="7">
                  <c:v>4665.9430000000002</c:v>
                </c:pt>
                <c:pt idx="8">
                  <c:v>1989.65</c:v>
                </c:pt>
                <c:pt idx="9">
                  <c:v>2532.0950000000003</c:v>
                </c:pt>
                <c:pt idx="10">
                  <c:v>2054.94</c:v>
                </c:pt>
                <c:pt idx="11">
                  <c:v>2365.25</c:v>
                </c:pt>
                <c:pt idx="12">
                  <c:v>41402.369700000003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6-42F3-ADD3-A27FAB974ADD}"/>
            </c:ext>
          </c:extLst>
        </c:ser>
        <c:ser>
          <c:idx val="3"/>
          <c:order val="3"/>
          <c:tx>
            <c:strRef>
              <c:f>'Mua-bán PET'!$A$35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PET'!$B$35:$N$35</c:f>
              <c:numCache>
                <c:formatCode>_-* #,##0_-;\-* #,##0_-;_-* "-"??_-;_-@_-</c:formatCode>
                <c:ptCount val="13"/>
                <c:pt idx="0">
                  <c:v>8284.8054000000011</c:v>
                </c:pt>
                <c:pt idx="1">
                  <c:v>5953.4868999999999</c:v>
                </c:pt>
                <c:pt idx="2">
                  <c:v>6251.4694000000009</c:v>
                </c:pt>
                <c:pt idx="3">
                  <c:v>6299.5714000000007</c:v>
                </c:pt>
                <c:pt idx="4">
                  <c:v>6545.1701999999996</c:v>
                </c:pt>
                <c:pt idx="5">
                  <c:v>6932.5499499999996</c:v>
                </c:pt>
                <c:pt idx="6">
                  <c:v>6933.0523499999999</c:v>
                </c:pt>
                <c:pt idx="7">
                  <c:v>6423.7518499999996</c:v>
                </c:pt>
                <c:pt idx="8">
                  <c:v>7889.9109499999995</c:v>
                </c:pt>
                <c:pt idx="9">
                  <c:v>9115.2385999999988</c:v>
                </c:pt>
                <c:pt idx="10">
                  <c:v>8471.5702500000007</c:v>
                </c:pt>
                <c:pt idx="11">
                  <c:v>8679.3245500000012</c:v>
                </c:pt>
                <c:pt idx="12">
                  <c:v>8679.3245500000012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9-4074-8E2F-9EA67E71C8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111854000267467"/>
          <c:y val="0.30452664810473068"/>
          <c:w val="8.3399714963646038E-2"/>
          <c:h val="0.3350873395617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2025 (TẤN)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50361024599367E-2"/>
          <c:y val="0.10031708095827303"/>
          <c:w val="0.86109140489445024"/>
          <c:h val="0.83105296723682531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'Mua-bán HD'!$A$30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HD'!$B$30:$N$30</c:f>
              <c:numCache>
                <c:formatCode>_-* #,##0_-;\-* #,##0_-;_-* "-"??_-;_-@_-</c:formatCode>
                <c:ptCount val="13"/>
                <c:pt idx="0">
                  <c:v>347.86399999999998</c:v>
                </c:pt>
                <c:pt idx="1">
                  <c:v>361.47399999999999</c:v>
                </c:pt>
                <c:pt idx="2">
                  <c:v>277.21199999999999</c:v>
                </c:pt>
                <c:pt idx="3">
                  <c:v>288.77199999999999</c:v>
                </c:pt>
                <c:pt idx="4">
                  <c:v>258.06099999999998</c:v>
                </c:pt>
                <c:pt idx="5">
                  <c:v>154.36500000000001</c:v>
                </c:pt>
                <c:pt idx="6">
                  <c:v>145.7774</c:v>
                </c:pt>
                <c:pt idx="7">
                  <c:v>146.60479999999998</c:v>
                </c:pt>
                <c:pt idx="8">
                  <c:v>105.32980000000001</c:v>
                </c:pt>
                <c:pt idx="9">
                  <c:v>59.416800000000002</c:v>
                </c:pt>
                <c:pt idx="10">
                  <c:v>71.517600000000002</c:v>
                </c:pt>
                <c:pt idx="11">
                  <c:v>54.954000000000001</c:v>
                </c:pt>
                <c:pt idx="12">
                  <c:v>2271.3484000000003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957-94C1-C64CB0A15014}"/>
            </c:ext>
          </c:extLst>
        </c:ser>
        <c:ser>
          <c:idx val="5"/>
          <c:order val="1"/>
          <c:tx>
            <c:strRef>
              <c:f>'Mua-bán HD'!$A$31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2.3065763215228516E-3"/>
                  <c:y val="-8.42860641683926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HD'!$B$31:$N$31</c:f>
              <c:numCache>
                <c:formatCode>_-* #,##0_-;\-* #,##0_-;_-* "-"??_-;_-@_-</c:formatCode>
                <c:ptCount val="13"/>
                <c:pt idx="0">
                  <c:v>260</c:v>
                </c:pt>
                <c:pt idx="1">
                  <c:v>366</c:v>
                </c:pt>
                <c:pt idx="2">
                  <c:v>458.75</c:v>
                </c:pt>
                <c:pt idx="3">
                  <c:v>673.25</c:v>
                </c:pt>
                <c:pt idx="4">
                  <c:v>688.25</c:v>
                </c:pt>
                <c:pt idx="5">
                  <c:v>721.25</c:v>
                </c:pt>
                <c:pt idx="6">
                  <c:v>832.25</c:v>
                </c:pt>
                <c:pt idx="7">
                  <c:v>907.75</c:v>
                </c:pt>
                <c:pt idx="8">
                  <c:v>953.75</c:v>
                </c:pt>
                <c:pt idx="9">
                  <c:v>977.25</c:v>
                </c:pt>
                <c:pt idx="10">
                  <c:v>1082.75</c:v>
                </c:pt>
                <c:pt idx="11">
                  <c:v>1078.75</c:v>
                </c:pt>
                <c:pt idx="1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957-94C1-C64CB0A15014}"/>
            </c:ext>
          </c:extLst>
        </c:ser>
        <c:ser>
          <c:idx val="3"/>
          <c:order val="2"/>
          <c:tx>
            <c:strRef>
              <c:f>'Mua-bán HD'!$A$29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1.1532881607613835E-3"/>
                  <c:y val="-2.2987373958599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HD'!$B$29:$N$29</c:f>
              <c:numCache>
                <c:formatCode>_-* #,##0_-;\-* #,##0_-;_-* "-"??_-;_-@_-</c:formatCode>
                <c:ptCount val="13"/>
                <c:pt idx="0">
                  <c:v>180.85</c:v>
                </c:pt>
                <c:pt idx="1">
                  <c:v>311.5</c:v>
                </c:pt>
                <c:pt idx="2">
                  <c:v>474.82499999999999</c:v>
                </c:pt>
                <c:pt idx="3">
                  <c:v>268.85000000000002</c:v>
                </c:pt>
                <c:pt idx="4">
                  <c:v>351.625</c:v>
                </c:pt>
                <c:pt idx="5">
                  <c:v>399.22500000000002</c:v>
                </c:pt>
                <c:pt idx="6">
                  <c:v>271.42500000000001</c:v>
                </c:pt>
                <c:pt idx="7">
                  <c:v>506.875</c:v>
                </c:pt>
                <c:pt idx="8">
                  <c:v>608.125</c:v>
                </c:pt>
                <c:pt idx="9">
                  <c:v>659.32500000000005</c:v>
                </c:pt>
                <c:pt idx="10">
                  <c:v>455.47500000000002</c:v>
                </c:pt>
                <c:pt idx="11">
                  <c:v>387.65</c:v>
                </c:pt>
                <c:pt idx="12">
                  <c:v>4875.75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8-4957-94C1-C64CB0A15014}"/>
            </c:ext>
          </c:extLst>
        </c:ser>
        <c:ser>
          <c:idx val="0"/>
          <c:order val="3"/>
          <c:tx>
            <c:strRef>
              <c:f>'Mua-bán HD'!$A$35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HD'!$B$35:$N$35</c:f>
              <c:numCache>
                <c:formatCode>_-* #,##0_-;\-* #,##0_-;_-* "-"??_-;_-@_-</c:formatCode>
                <c:ptCount val="13"/>
                <c:pt idx="0">
                  <c:v>3744.9288000000006</c:v>
                </c:pt>
                <c:pt idx="1">
                  <c:v>3800.9818000000005</c:v>
                </c:pt>
                <c:pt idx="2">
                  <c:v>3612.9632000000006</c:v>
                </c:pt>
                <c:pt idx="3">
                  <c:v>3701.6711000000005</c:v>
                </c:pt>
                <c:pt idx="4">
                  <c:v>3814.8038000000001</c:v>
                </c:pt>
                <c:pt idx="5">
                  <c:v>3735.7371000000003</c:v>
                </c:pt>
                <c:pt idx="6">
                  <c:v>3823.3564000000001</c:v>
                </c:pt>
                <c:pt idx="7">
                  <c:v>3590.3818000000001</c:v>
                </c:pt>
                <c:pt idx="8">
                  <c:v>3317.6709999999998</c:v>
                </c:pt>
                <c:pt idx="9">
                  <c:v>3161.4223999999995</c:v>
                </c:pt>
                <c:pt idx="10">
                  <c:v>2833.8098</c:v>
                </c:pt>
                <c:pt idx="11">
                  <c:v>2734.19</c:v>
                </c:pt>
                <c:pt idx="12">
                  <c:v>2734.19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0-4574-9063-455F29603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563948012321938"/>
          <c:y val="0.31604528686302047"/>
          <c:w val="7.8893479672080907E-2"/>
          <c:h val="0.31689820821303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2025 (TẤN)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16954070760351E-2"/>
          <c:y val="0.16094526412353796"/>
          <c:w val="0.84597374824308191"/>
          <c:h val="0.75132205106643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'Mua-bán-PP'!$A$29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'Mua-bán-PP'!$B$29:$N$29</c:f>
              <c:numCache>
                <c:formatCode>_-* #,##0_-;\-* #,##0_-;_-* "-"??_-;_-@_-</c:formatCode>
                <c:ptCount val="13"/>
                <c:pt idx="0">
                  <c:v>0</c:v>
                </c:pt>
                <c:pt idx="1">
                  <c:v>13.292</c:v>
                </c:pt>
                <c:pt idx="2">
                  <c:v>43.293999999999997</c:v>
                </c:pt>
                <c:pt idx="3">
                  <c:v>25.963000000000001</c:v>
                </c:pt>
                <c:pt idx="4">
                  <c:v>31.962</c:v>
                </c:pt>
                <c:pt idx="5">
                  <c:v>1.49</c:v>
                </c:pt>
                <c:pt idx="6">
                  <c:v>9.2479999999999993</c:v>
                </c:pt>
                <c:pt idx="7">
                  <c:v>20.893999999999998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4.5149999999999997</c:v>
                </c:pt>
                <c:pt idx="12">
                  <c:v>150.65799999999999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F-47DD-99C2-6ED9B6695E13}"/>
            </c:ext>
          </c:extLst>
        </c:ser>
        <c:ser>
          <c:idx val="2"/>
          <c:order val="1"/>
          <c:tx>
            <c:strRef>
              <c:f>'Mua-bán-PP'!$A$30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'Mua-bán-PP'!$B$30:$N$30</c:f>
              <c:numCache>
                <c:formatCode>_-* #,##0_-;\-* #,##0_-;_-* "-"??_-;_-@_-</c:formatCode>
                <c:ptCount val="13"/>
                <c:pt idx="0">
                  <c:v>50.94</c:v>
                </c:pt>
                <c:pt idx="1">
                  <c:v>60.94</c:v>
                </c:pt>
                <c:pt idx="2">
                  <c:v>86.44</c:v>
                </c:pt>
                <c:pt idx="3">
                  <c:v>71.69</c:v>
                </c:pt>
                <c:pt idx="4">
                  <c:v>91.69</c:v>
                </c:pt>
                <c:pt idx="5">
                  <c:v>71.44</c:v>
                </c:pt>
                <c:pt idx="6">
                  <c:v>101.44</c:v>
                </c:pt>
                <c:pt idx="7">
                  <c:v>81.44</c:v>
                </c:pt>
                <c:pt idx="8">
                  <c:v>101.44</c:v>
                </c:pt>
                <c:pt idx="9">
                  <c:v>87.44</c:v>
                </c:pt>
                <c:pt idx="10">
                  <c:v>107.44</c:v>
                </c:pt>
                <c:pt idx="11">
                  <c:v>87.44</c:v>
                </c:pt>
                <c:pt idx="12">
                  <c:v>999.7800000000002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F-47DD-99C2-6ED9B6695E13}"/>
            </c:ext>
          </c:extLst>
        </c:ser>
        <c:ser>
          <c:idx val="0"/>
          <c:order val="2"/>
          <c:tx>
            <c:strRef>
              <c:f>'Mua-bán-PP'!$A$28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'Mua-bán-PP'!$B$28:$N$28</c:f>
              <c:numCache>
                <c:formatCode>_-* #,##0_-;\-* #,##0_-;_-* "-"??_-;_-@_-</c:formatCode>
                <c:ptCount val="13"/>
                <c:pt idx="0">
                  <c:v>0</c:v>
                </c:pt>
                <c:pt idx="1">
                  <c:v>0.67500000000000004</c:v>
                </c:pt>
                <c:pt idx="2">
                  <c:v>52.924999999999997</c:v>
                </c:pt>
                <c:pt idx="3">
                  <c:v>6.6749999999999998</c:v>
                </c:pt>
                <c:pt idx="4">
                  <c:v>20.25</c:v>
                </c:pt>
                <c:pt idx="5">
                  <c:v>24</c:v>
                </c:pt>
                <c:pt idx="6">
                  <c:v>50.85</c:v>
                </c:pt>
                <c:pt idx="7">
                  <c:v>16.55</c:v>
                </c:pt>
                <c:pt idx="8">
                  <c:v>51.55</c:v>
                </c:pt>
                <c:pt idx="9">
                  <c:v>27.774999999999999</c:v>
                </c:pt>
                <c:pt idx="10">
                  <c:v>0</c:v>
                </c:pt>
                <c:pt idx="11">
                  <c:v>23.75</c:v>
                </c:pt>
                <c:pt idx="12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7DD-99C2-6ED9B6695E13}"/>
            </c:ext>
          </c:extLst>
        </c:ser>
        <c:ser>
          <c:idx val="3"/>
          <c:order val="3"/>
          <c:tx>
            <c:strRef>
              <c:f>'Mua-bán-PP'!$A$31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'Mua-bán-PP'!$B$31:$N$31</c:f>
              <c:numCache>
                <c:formatCode>_-* #,##0_-;\-* #,##0_-;_-* "-"??_-;_-@_-</c:formatCode>
                <c:ptCount val="13"/>
                <c:pt idx="0">
                  <c:v>401.28174999999999</c:v>
                </c:pt>
                <c:pt idx="1">
                  <c:v>401.54174999999998</c:v>
                </c:pt>
                <c:pt idx="2">
                  <c:v>377.61744999999996</c:v>
                </c:pt>
                <c:pt idx="3">
                  <c:v>384.35495000000003</c:v>
                </c:pt>
                <c:pt idx="4">
                  <c:v>393.52974999999998</c:v>
                </c:pt>
                <c:pt idx="5">
                  <c:v>356.88755000000003</c:v>
                </c:pt>
                <c:pt idx="6">
                  <c:v>317.04505</c:v>
                </c:pt>
                <c:pt idx="7">
                  <c:v>311.45954999999998</c:v>
                </c:pt>
                <c:pt idx="8">
                  <c:v>320.90954999999997</c:v>
                </c:pt>
                <c:pt idx="9">
                  <c:v>305.43804999999998</c:v>
                </c:pt>
                <c:pt idx="10">
                  <c:v>301.60765000000004</c:v>
                </c:pt>
                <c:pt idx="11">
                  <c:v>287.89249999999998</c:v>
                </c:pt>
                <c:pt idx="12">
                  <c:v>287.89249999999998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F-47DD-99C2-6ED9B669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355729728"/>
        <c:axId val="355729248"/>
      </c:barChart>
      <c:catAx>
        <c:axId val="3557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248"/>
        <c:crosses val="autoZero"/>
        <c:auto val="1"/>
        <c:lblAlgn val="ctr"/>
        <c:lblOffset val="100"/>
        <c:noMultiLvlLbl val="0"/>
      </c:catAx>
      <c:valAx>
        <c:axId val="355729248"/>
        <c:scaling>
          <c:orientation val="minMax"/>
          <c:max val="1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7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57649840512144"/>
          <c:y val="0.26900044994375705"/>
          <c:w val="9.8757779215275149E-2"/>
          <c:h val="0.39542767154105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2025 ( TẤN)</a:t>
            </a:r>
          </a:p>
        </c:rich>
      </c:tx>
      <c:layout>
        <c:manualLayout>
          <c:xMode val="edge"/>
          <c:yMode val="edge"/>
          <c:x val="0.21046213128941893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4340677756629E-2"/>
          <c:y val="0.14734294056248468"/>
          <c:w val="0.84683799348055666"/>
          <c:h val="0.7688759926695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SX và bán'!$A$26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bán'!$B$26:$N$26</c:f>
              <c:numCache>
                <c:formatCode>_-* #,##0_-;\-* #,##0_-;_-* "-"??_-;_-@_-</c:formatCode>
                <c:ptCount val="13"/>
                <c:pt idx="0">
                  <c:v>1839.7309999999998</c:v>
                </c:pt>
                <c:pt idx="1">
                  <c:v>2957.2660000000001</c:v>
                </c:pt>
                <c:pt idx="2">
                  <c:v>4821.92</c:v>
                </c:pt>
                <c:pt idx="3">
                  <c:v>4088.2489999999993</c:v>
                </c:pt>
                <c:pt idx="4">
                  <c:v>4828.9710000000005</c:v>
                </c:pt>
                <c:pt idx="5">
                  <c:v>4232.4530000000004</c:v>
                </c:pt>
                <c:pt idx="6">
                  <c:v>4561.6410000000005</c:v>
                </c:pt>
                <c:pt idx="7">
                  <c:v>4570.5645000000004</c:v>
                </c:pt>
                <c:pt idx="8">
                  <c:v>4555.5080000000007</c:v>
                </c:pt>
                <c:pt idx="9">
                  <c:v>3173.9179999999997</c:v>
                </c:pt>
                <c:pt idx="10">
                  <c:v>2323.2630000000004</c:v>
                </c:pt>
                <c:pt idx="11">
                  <c:v>3552.8617999999997</c:v>
                </c:pt>
                <c:pt idx="12">
                  <c:v>45506.346299999997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D58-AC19-00FCE5290A4F}"/>
            </c:ext>
          </c:extLst>
        </c:ser>
        <c:ser>
          <c:idx val="3"/>
          <c:order val="1"/>
          <c:tx>
            <c:strRef>
              <c:f>'Tổng SX và bán'!$A$27</c:f>
              <c:strCache>
                <c:ptCount val="1"/>
                <c:pt idx="0">
                  <c:v>SL Bán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4-4BDF-B8AA-583E0DBAF19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SX và bán'!$B$25:$N$25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SX và bán'!$B$27:$N$27</c:f>
              <c:numCache>
                <c:formatCode>_-* #,##0_-;\-* #,##0_-;_-* "-"??_-;_-@_-</c:formatCode>
                <c:ptCount val="13"/>
                <c:pt idx="0">
                  <c:v>3487.9992999999999</c:v>
                </c:pt>
                <c:pt idx="1">
                  <c:v>5476.6750000000002</c:v>
                </c:pt>
                <c:pt idx="2">
                  <c:v>4580.05</c:v>
                </c:pt>
                <c:pt idx="3">
                  <c:v>3850.9250000000002</c:v>
                </c:pt>
                <c:pt idx="4">
                  <c:v>4582.7242999999999</c:v>
                </c:pt>
                <c:pt idx="5">
                  <c:v>3673.2080000000001</c:v>
                </c:pt>
                <c:pt idx="6">
                  <c:v>4560.4241000000002</c:v>
                </c:pt>
                <c:pt idx="7">
                  <c:v>5189.3680000000004</c:v>
                </c:pt>
                <c:pt idx="8">
                  <c:v>2657.0430000000001</c:v>
                </c:pt>
                <c:pt idx="9">
                  <c:v>3219.1950000000002</c:v>
                </c:pt>
                <c:pt idx="10">
                  <c:v>2510.4150000000004</c:v>
                </c:pt>
                <c:pt idx="11">
                  <c:v>2781.1109999999999</c:v>
                </c:pt>
                <c:pt idx="12">
                  <c:v>46569.137699999992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0BF-41B0-99E8-8D9F414B5D7F}"/>
            </c:ext>
          </c:extLst>
        </c:ser>
        <c:ser>
          <c:idx val="1"/>
          <c:order val="2"/>
          <c:tx>
            <c:strRef>
              <c:f>'Tổng SX và bán'!$A$29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bán'!$B$29:$N$29</c:f>
              <c:numCache>
                <c:formatCode>_-* #,##0_-;\-* #,##0_-;_-* "-"??_-;_-@_-</c:formatCode>
                <c:ptCount val="13"/>
                <c:pt idx="0">
                  <c:v>12431.015950000001</c:v>
                </c:pt>
                <c:pt idx="1">
                  <c:v>10156.010450000002</c:v>
                </c:pt>
                <c:pt idx="2">
                  <c:v>10242.050050000002</c:v>
                </c:pt>
                <c:pt idx="3">
                  <c:v>10385.597450000001</c:v>
                </c:pt>
                <c:pt idx="4">
                  <c:v>10753.50375</c:v>
                </c:pt>
                <c:pt idx="5">
                  <c:v>11025.1746</c:v>
                </c:pt>
                <c:pt idx="6">
                  <c:v>11073.453799999999</c:v>
                </c:pt>
                <c:pt idx="7">
                  <c:v>10325.593199999999</c:v>
                </c:pt>
                <c:pt idx="8">
                  <c:v>11528.491499999998</c:v>
                </c:pt>
                <c:pt idx="9">
                  <c:v>12582.099049999999</c:v>
                </c:pt>
                <c:pt idx="10">
                  <c:v>11606.987700000001</c:v>
                </c:pt>
                <c:pt idx="11">
                  <c:v>11701.407050000002</c:v>
                </c:pt>
                <c:pt idx="12">
                  <c:v>11701.407050000002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3-4372-A209-E1A42D23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5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0436029033328682"/>
          <c:w val="6.5851134664911687E-2"/>
          <c:h val="0.36056739089654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(TẤN) </a:t>
            </a:r>
          </a:p>
        </c:rich>
      </c:tx>
      <c:layout>
        <c:manualLayout>
          <c:xMode val="edge"/>
          <c:yMode val="edge"/>
          <c:x val="0.16190388902741129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24305510621261E-2"/>
          <c:y val="0.15377996046157028"/>
          <c:w val="0.85608088540939808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PET'!$A$27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PET'!$B$27:$N$27</c:f>
              <c:numCache>
                <c:formatCode>_-* #,##0_-;\-* #,##0_-;_-* "-"??_-;_-@_-</c:formatCode>
                <c:ptCount val="13"/>
                <c:pt idx="0">
                  <c:v>1486.2339999999999</c:v>
                </c:pt>
                <c:pt idx="1">
                  <c:v>2278.12</c:v>
                </c:pt>
                <c:pt idx="2">
                  <c:v>4026.846</c:v>
                </c:pt>
                <c:pt idx="3">
                  <c:v>3597.1</c:v>
                </c:pt>
                <c:pt idx="4">
                  <c:v>4141.1620000000003</c:v>
                </c:pt>
                <c:pt idx="5">
                  <c:v>3810.13</c:v>
                </c:pt>
                <c:pt idx="6">
                  <c:v>3923.7</c:v>
                </c:pt>
                <c:pt idx="7">
                  <c:v>3919.8</c:v>
                </c:pt>
                <c:pt idx="8">
                  <c:v>3826.3</c:v>
                </c:pt>
                <c:pt idx="9">
                  <c:v>2438.1999999999998</c:v>
                </c:pt>
                <c:pt idx="10">
                  <c:v>1861.979</c:v>
                </c:pt>
                <c:pt idx="11">
                  <c:v>3191.1</c:v>
                </c:pt>
                <c:pt idx="12">
                  <c:v>38500.670999999995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EBF-8D2D-AA94013D30F3}"/>
            </c:ext>
          </c:extLst>
        </c:ser>
        <c:ser>
          <c:idx val="3"/>
          <c:order val="1"/>
          <c:tx>
            <c:strRef>
              <c:f>'SX và bán PET'!$A$28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C0-4EBF-8D2D-AA94013D30F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PET'!$B$26:$N$26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PET'!$B$28:$N$28</c:f>
              <c:numCache>
                <c:formatCode>_-* #,##0_-;\-* #,##0_-;_-* "-"??_-;_-@_-</c:formatCode>
                <c:ptCount val="13"/>
                <c:pt idx="0">
                  <c:v>3296.1493</c:v>
                </c:pt>
                <c:pt idx="1">
                  <c:v>5148</c:v>
                </c:pt>
                <c:pt idx="2">
                  <c:v>4019.3</c:v>
                </c:pt>
                <c:pt idx="3">
                  <c:v>3574.4</c:v>
                </c:pt>
                <c:pt idx="4">
                  <c:v>4207.0102999999999</c:v>
                </c:pt>
                <c:pt idx="5">
                  <c:v>3103.0830000000001</c:v>
                </c:pt>
                <c:pt idx="6">
                  <c:v>3670.3490999999999</c:v>
                </c:pt>
                <c:pt idx="7">
                  <c:v>4344.5929999999998</c:v>
                </c:pt>
                <c:pt idx="8">
                  <c:v>1787</c:v>
                </c:pt>
                <c:pt idx="9">
                  <c:v>2337.42</c:v>
                </c:pt>
                <c:pt idx="10">
                  <c:v>2027.64</c:v>
                </c:pt>
                <c:pt idx="11">
                  <c:v>2255.1999999999998</c:v>
                </c:pt>
                <c:pt idx="12">
                  <c:v>39770.14469999999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9C0-4EBF-8D2D-AA94013D30F3}"/>
            </c:ext>
          </c:extLst>
        </c:ser>
        <c:ser>
          <c:idx val="1"/>
          <c:order val="2"/>
          <c:tx>
            <c:strRef>
              <c:f>'SX và bán PET'!$A$30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PET'!$B$30:$N$30</c:f>
              <c:numCache>
                <c:formatCode>_-* #,##0_-;\-* #,##0_-;_-* "-"??_-;_-@_-</c:formatCode>
                <c:ptCount val="13"/>
                <c:pt idx="0">
                  <c:v>7701.0797000000002</c:v>
                </c:pt>
                <c:pt idx="1">
                  <c:v>5308.6233000000002</c:v>
                </c:pt>
                <c:pt idx="2">
                  <c:v>5050.203300000001</c:v>
                </c:pt>
                <c:pt idx="3">
                  <c:v>5030.5533000000005</c:v>
                </c:pt>
                <c:pt idx="4">
                  <c:v>5170.4480999999996</c:v>
                </c:pt>
                <c:pt idx="5">
                  <c:v>5643.9726499999997</c:v>
                </c:pt>
                <c:pt idx="6">
                  <c:v>5964.8315499999999</c:v>
                </c:pt>
                <c:pt idx="7">
                  <c:v>5556.6960499999996</c:v>
                </c:pt>
                <c:pt idx="8">
                  <c:v>6887.2171499999995</c:v>
                </c:pt>
                <c:pt idx="9">
                  <c:v>8048.6273999999994</c:v>
                </c:pt>
                <c:pt idx="10">
                  <c:v>7371.3164500000003</c:v>
                </c:pt>
                <c:pt idx="11">
                  <c:v>7687.4459500000012</c:v>
                </c:pt>
                <c:pt idx="12">
                  <c:v>7687.4459500000012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6-41DB-8EB0-A7F2C39B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6850201299669549"/>
          <c:w val="6.5851134664911687E-2"/>
          <c:h val="0.3086431392166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(TẤN) </a:t>
            </a:r>
          </a:p>
        </c:rich>
      </c:tx>
      <c:layout>
        <c:manualLayout>
          <c:xMode val="edge"/>
          <c:yMode val="edge"/>
          <c:x val="0.21894111692165971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30236764312123E-2"/>
          <c:y val="0.14767122496981708"/>
          <c:w val="0.85225760754935553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HD'!$A$27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HD'!$B$27:$N$27</c:f>
              <c:numCache>
                <c:formatCode>_-* #,##0_-;\-* #,##0_-;_-* "-"??_-;_-@_-</c:formatCode>
                <c:ptCount val="13"/>
                <c:pt idx="0">
                  <c:v>248.928</c:v>
                </c:pt>
                <c:pt idx="1">
                  <c:v>338.13</c:v>
                </c:pt>
                <c:pt idx="2">
                  <c:v>394.09899999999999</c:v>
                </c:pt>
                <c:pt idx="3">
                  <c:v>394.50099999999998</c:v>
                </c:pt>
                <c:pt idx="4">
                  <c:v>544.18899999999996</c:v>
                </c:pt>
                <c:pt idx="5">
                  <c:v>389.34</c:v>
                </c:pt>
                <c:pt idx="6">
                  <c:v>410.94200000000001</c:v>
                </c:pt>
                <c:pt idx="7">
                  <c:v>305.041</c:v>
                </c:pt>
                <c:pt idx="8">
                  <c:v>346.45699999999999</c:v>
                </c:pt>
                <c:pt idx="9">
                  <c:v>438.99400000000003</c:v>
                </c:pt>
                <c:pt idx="10">
                  <c:v>397.10399999999998</c:v>
                </c:pt>
                <c:pt idx="11">
                  <c:v>339.6438</c:v>
                </c:pt>
                <c:pt idx="12">
                  <c:v>4547.3688000000002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F-4138-B6A1-4DB96B465B89}"/>
            </c:ext>
          </c:extLst>
        </c:ser>
        <c:ser>
          <c:idx val="3"/>
          <c:order val="1"/>
          <c:tx>
            <c:strRef>
              <c:f>'SX và bán HD'!$A$28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1F-4138-B6A1-4DB96B465B8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HD'!$B$26:$N$26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HD'!$B$28:$N$28</c:f>
              <c:numCache>
                <c:formatCode>_-* #,##0_-;\-* #,##0_-;_-* "-"??_-;_-@_-</c:formatCode>
                <c:ptCount val="13"/>
                <c:pt idx="0">
                  <c:v>180.85</c:v>
                </c:pt>
                <c:pt idx="1">
                  <c:v>311.5</c:v>
                </c:pt>
                <c:pt idx="2">
                  <c:v>474.82499999999999</c:v>
                </c:pt>
                <c:pt idx="3">
                  <c:v>268.85000000000002</c:v>
                </c:pt>
                <c:pt idx="4">
                  <c:v>351.625</c:v>
                </c:pt>
                <c:pt idx="5">
                  <c:v>399.22500000000002</c:v>
                </c:pt>
                <c:pt idx="6">
                  <c:v>271.42500000000001</c:v>
                </c:pt>
                <c:pt idx="7">
                  <c:v>506.875</c:v>
                </c:pt>
                <c:pt idx="8">
                  <c:v>608.125</c:v>
                </c:pt>
                <c:pt idx="9">
                  <c:v>659.32500000000005</c:v>
                </c:pt>
                <c:pt idx="10">
                  <c:v>455.47500000000002</c:v>
                </c:pt>
                <c:pt idx="11">
                  <c:v>387.65</c:v>
                </c:pt>
                <c:pt idx="12">
                  <c:v>4875.75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EE1F-4138-B6A1-4DB96B465B89}"/>
            </c:ext>
          </c:extLst>
        </c:ser>
        <c:ser>
          <c:idx val="1"/>
          <c:order val="2"/>
          <c:tx>
            <c:strRef>
              <c:f>'SX và bán HD'!$A$30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HD'!$B$30:$N$30</c:f>
              <c:numCache>
                <c:formatCode>_-* #,##0_-;\-* #,##0_-;_-* "-"??_-;_-@_-</c:formatCode>
                <c:ptCount val="13"/>
                <c:pt idx="0">
                  <c:v>3744.9288000000006</c:v>
                </c:pt>
                <c:pt idx="1">
                  <c:v>3800.9818000000005</c:v>
                </c:pt>
                <c:pt idx="2">
                  <c:v>3612.9632000000006</c:v>
                </c:pt>
                <c:pt idx="3">
                  <c:v>3701.6711000000005</c:v>
                </c:pt>
                <c:pt idx="4">
                  <c:v>3814.8038000000001</c:v>
                </c:pt>
                <c:pt idx="5">
                  <c:v>3735.7371000000003</c:v>
                </c:pt>
                <c:pt idx="6">
                  <c:v>3823.3564000000001</c:v>
                </c:pt>
                <c:pt idx="7">
                  <c:v>3590.3818000000001</c:v>
                </c:pt>
                <c:pt idx="8">
                  <c:v>3317.6709999999998</c:v>
                </c:pt>
                <c:pt idx="9">
                  <c:v>3161.4223999999995</c:v>
                </c:pt>
                <c:pt idx="10">
                  <c:v>2833.8098</c:v>
                </c:pt>
                <c:pt idx="11">
                  <c:v>2734.19</c:v>
                </c:pt>
                <c:pt idx="12">
                  <c:v>2734.19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F-4F39-A3F5-8AFD1773E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44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27992534836627403"/>
          <c:w val="6.5851134664911687E-2"/>
          <c:h val="0.3514042876589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PP'!$A$27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5.2418909082704171E-3"/>
                  <c:y val="-1.139942269395230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55-47E5-9FAA-186F2A2B9DC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PP'!$B$27:$N$27</c:f>
              <c:numCache>
                <c:formatCode>_-* #,##0_-;\-* #,##0_-;_-* "-"??_-;_-@_-</c:formatCode>
                <c:ptCount val="13"/>
                <c:pt idx="0">
                  <c:v>6.9000000000000006E-2</c:v>
                </c:pt>
                <c:pt idx="1">
                  <c:v>0.996</c:v>
                </c:pt>
                <c:pt idx="2">
                  <c:v>74.424999999999997</c:v>
                </c:pt>
                <c:pt idx="3">
                  <c:v>27.87</c:v>
                </c:pt>
                <c:pt idx="4">
                  <c:v>30.577000000000002</c:v>
                </c:pt>
                <c:pt idx="5">
                  <c:v>1.4999999999999999E-2</c:v>
                </c:pt>
                <c:pt idx="6">
                  <c:v>2.75</c:v>
                </c:pt>
                <c:pt idx="7">
                  <c:v>79.004499999999993</c:v>
                </c:pt>
                <c:pt idx="8">
                  <c:v>41.715000000000003</c:v>
                </c:pt>
                <c:pt idx="9">
                  <c:v>36.374000000000002</c:v>
                </c:pt>
                <c:pt idx="10">
                  <c:v>0</c:v>
                </c:pt>
                <c:pt idx="11">
                  <c:v>22.233499999999999</c:v>
                </c:pt>
                <c:pt idx="12">
                  <c:v>316.02900000000005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493-A466-DCFA4E2A7B98}"/>
            </c:ext>
          </c:extLst>
        </c:ser>
        <c:ser>
          <c:idx val="3"/>
          <c:order val="1"/>
          <c:tx>
            <c:strRef>
              <c:f>'SX và bán PP'!$A$28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1-4493-A466-DCFA4E2A7B9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PP'!$B$26:$N$26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PP'!$B$28:$N$28</c:f>
              <c:numCache>
                <c:formatCode>_-* #,##0_-;\-* #,##0_-;_-* "-"??_-;_-@_-</c:formatCode>
                <c:ptCount val="13"/>
                <c:pt idx="0">
                  <c:v>0</c:v>
                </c:pt>
                <c:pt idx="1">
                  <c:v>0.67500000000000004</c:v>
                </c:pt>
                <c:pt idx="2">
                  <c:v>52.924999999999997</c:v>
                </c:pt>
                <c:pt idx="3">
                  <c:v>6.6749999999999998</c:v>
                </c:pt>
                <c:pt idx="4">
                  <c:v>20.25</c:v>
                </c:pt>
                <c:pt idx="5">
                  <c:v>24</c:v>
                </c:pt>
                <c:pt idx="6">
                  <c:v>50.85</c:v>
                </c:pt>
                <c:pt idx="7">
                  <c:v>16.55</c:v>
                </c:pt>
                <c:pt idx="8">
                  <c:v>51.55</c:v>
                </c:pt>
                <c:pt idx="9">
                  <c:v>27.774999999999999</c:v>
                </c:pt>
                <c:pt idx="10">
                  <c:v>0</c:v>
                </c:pt>
                <c:pt idx="11">
                  <c:v>23.75</c:v>
                </c:pt>
                <c:pt idx="12">
                  <c:v>275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D41-4493-A466-DCFA4E2A7B98}"/>
            </c:ext>
          </c:extLst>
        </c:ser>
        <c:ser>
          <c:idx val="1"/>
          <c:order val="2"/>
          <c:tx>
            <c:strRef>
              <c:f>'SX và bán PP'!$A$30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PP'!$B$30:$N$30</c:f>
              <c:numCache>
                <c:formatCode>_-* #,##0_-;\-* #,##0_-;_-* "-"??_-;_-@_-</c:formatCode>
                <c:ptCount val="13"/>
                <c:pt idx="0">
                  <c:v>401.28174999999999</c:v>
                </c:pt>
                <c:pt idx="1">
                  <c:v>401.54174999999998</c:v>
                </c:pt>
                <c:pt idx="2">
                  <c:v>377.61744999999996</c:v>
                </c:pt>
                <c:pt idx="3">
                  <c:v>384.35495000000003</c:v>
                </c:pt>
                <c:pt idx="4">
                  <c:v>393.52974999999998</c:v>
                </c:pt>
                <c:pt idx="5">
                  <c:v>356.88755000000003</c:v>
                </c:pt>
                <c:pt idx="6">
                  <c:v>317.04505</c:v>
                </c:pt>
                <c:pt idx="7">
                  <c:v>311.45954999999998</c:v>
                </c:pt>
                <c:pt idx="8">
                  <c:v>320.90954999999997</c:v>
                </c:pt>
                <c:pt idx="9">
                  <c:v>305.43804999999998</c:v>
                </c:pt>
                <c:pt idx="10">
                  <c:v>301.60765000000004</c:v>
                </c:pt>
                <c:pt idx="11">
                  <c:v>287.89249999999998</c:v>
                </c:pt>
                <c:pt idx="12">
                  <c:v>287.89249999999998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F-4717-9D79-AA7BA6A9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7155638074257213"/>
          <c:w val="7.2188610815444587E-2"/>
          <c:h val="0.314751874708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XƠ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SỢI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xơ sợi'!$A$27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5.241890908270545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C0-4052-8C4D-3CA4DCCB3F2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sợi'!$B$27:$N$27</c:f>
              <c:numCache>
                <c:formatCode>_-* #,##0_-;\-* #,##0_-;_-* "-"??_-;_-@_-</c:formatCode>
                <c:ptCount val="13"/>
                <c:pt idx="0">
                  <c:v>104.5</c:v>
                </c:pt>
                <c:pt idx="1">
                  <c:v>340.02</c:v>
                </c:pt>
                <c:pt idx="2">
                  <c:v>326.55</c:v>
                </c:pt>
                <c:pt idx="3">
                  <c:v>68.778000000000006</c:v>
                </c:pt>
                <c:pt idx="4">
                  <c:v>109.2</c:v>
                </c:pt>
                <c:pt idx="5">
                  <c:v>30.808</c:v>
                </c:pt>
                <c:pt idx="6">
                  <c:v>224.1</c:v>
                </c:pt>
                <c:pt idx="7">
                  <c:v>265.10000000000002</c:v>
                </c:pt>
                <c:pt idx="8">
                  <c:v>337.25</c:v>
                </c:pt>
                <c:pt idx="9">
                  <c:v>260.35000000000002</c:v>
                </c:pt>
                <c:pt idx="10">
                  <c:v>61.53</c:v>
                </c:pt>
                <c:pt idx="11">
                  <c:v>-1.9265000000000001</c:v>
                </c:pt>
                <c:pt idx="12">
                  <c:v>2126.2595000000001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1-4DD8-A1B4-51C538637678}"/>
            </c:ext>
          </c:extLst>
        </c:ser>
        <c:ser>
          <c:idx val="3"/>
          <c:order val="1"/>
          <c:tx>
            <c:strRef>
              <c:f>'SX và bán xơ sợi'!$A$28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41-4DD8-A1B4-51C53863767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xơ sợi'!$B$26:$N$26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xơ sợi'!$B$28:$N$28</c:f>
              <c:numCache>
                <c:formatCode>_-* #,##0_-;\-* #,##0_-;_-* "-"??_-;_-@_-</c:formatCode>
                <c:ptCount val="13"/>
                <c:pt idx="0">
                  <c:v>11</c:v>
                </c:pt>
                <c:pt idx="1">
                  <c:v>16.5</c:v>
                </c:pt>
                <c:pt idx="2">
                  <c:v>33</c:v>
                </c:pt>
                <c:pt idx="3">
                  <c:v>1</c:v>
                </c:pt>
                <c:pt idx="4">
                  <c:v>0</c:v>
                </c:pt>
                <c:pt idx="5">
                  <c:v>146.9</c:v>
                </c:pt>
                <c:pt idx="6">
                  <c:v>567.79999999999995</c:v>
                </c:pt>
                <c:pt idx="7">
                  <c:v>321.35000000000002</c:v>
                </c:pt>
                <c:pt idx="8">
                  <c:v>202.65</c:v>
                </c:pt>
                <c:pt idx="9">
                  <c:v>194.67500000000001</c:v>
                </c:pt>
                <c:pt idx="10">
                  <c:v>27.3</c:v>
                </c:pt>
                <c:pt idx="11">
                  <c:v>110.05</c:v>
                </c:pt>
                <c:pt idx="12">
                  <c:v>1632.2249999999999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341-4DD8-A1B4-51C538637678}"/>
            </c:ext>
          </c:extLst>
        </c:ser>
        <c:ser>
          <c:idx val="1"/>
          <c:order val="2"/>
          <c:tx>
            <c:strRef>
              <c:f>'SX và bán xơ sợi'!$A$30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5.24189090827041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DF-4564-A94F-3923B4BA6A9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sợi'!$B$30:$N$30</c:f>
              <c:numCache>
                <c:formatCode>_-* #,##0_-;\-* #,##0_-;_-* "-"??_-;_-@_-</c:formatCode>
                <c:ptCount val="13"/>
                <c:pt idx="0">
                  <c:v>583.72569999999996</c:v>
                </c:pt>
                <c:pt idx="1">
                  <c:v>644.86360000000002</c:v>
                </c:pt>
                <c:pt idx="2">
                  <c:v>1201.2661000000001</c:v>
                </c:pt>
                <c:pt idx="3">
                  <c:v>1269.0181</c:v>
                </c:pt>
                <c:pt idx="4">
                  <c:v>1374.7221000000002</c:v>
                </c:pt>
                <c:pt idx="5">
                  <c:v>1288.5773000000002</c:v>
                </c:pt>
                <c:pt idx="6">
                  <c:v>968.22079999999994</c:v>
                </c:pt>
                <c:pt idx="7">
                  <c:v>867.05579999999998</c:v>
                </c:pt>
                <c:pt idx="8">
                  <c:v>1002.6937999999998</c:v>
                </c:pt>
                <c:pt idx="9">
                  <c:v>1066.6112000000001</c:v>
                </c:pt>
                <c:pt idx="10">
                  <c:v>1100.2537999999997</c:v>
                </c:pt>
                <c:pt idx="11">
                  <c:v>991.87860000000001</c:v>
                </c:pt>
                <c:pt idx="12">
                  <c:v>991.87860000000001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4-4421-B205-05D5FF29E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818627132979433"/>
          <c:w val="7.2188611214661011E-2"/>
          <c:h val="0.30794268235512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TP &amp; BTP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2023 (TẤN) </a:t>
            </a:r>
          </a:p>
        </c:rich>
      </c:tx>
      <c:layout>
        <c:manualLayout>
          <c:xMode val="edge"/>
          <c:yMode val="edge"/>
          <c:x val="0.14338780233308243"/>
          <c:y val="9.63677927355854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 TP&amp;BTP'!$A$33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2.6212322495363567E-3"/>
                  <c:y val="2.5806451612902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C7-40F4-AFDD-C46D3902B424}"/>
                </c:ext>
              </c:extLst>
            </c:dLbl>
            <c:dLbl>
              <c:idx val="9"/>
              <c:layout>
                <c:manualLayout>
                  <c:x val="-5.2424644990727133E-3"/>
                  <c:y val="-1.8924512565211654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C7-40F4-AFDD-C46D3902B424}"/>
                </c:ext>
              </c:extLst>
            </c:dLbl>
            <c:dLbl>
              <c:idx val="10"/>
              <c:layout>
                <c:manualLayout>
                  <c:x val="-5.2424644990727133E-3"/>
                  <c:y val="-9.462256282605826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C7-40F4-AFDD-C46D3902B424}"/>
                </c:ext>
              </c:extLst>
            </c:dLbl>
            <c:dLbl>
              <c:idx val="11"/>
              <c:layout>
                <c:manualLayout>
                  <c:x val="-3.9318483743044389E-3"/>
                  <c:y val="-2.58064516129041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C7-40F4-AFDD-C46D3902B4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T1</c:v>
              </c:pt>
              <c:pt idx="1">
                <c:v>T2</c:v>
              </c:pt>
              <c:pt idx="2">
                <c:v>T3</c:v>
              </c:pt>
              <c:pt idx="3">
                <c:v>T4</c:v>
              </c:pt>
              <c:pt idx="4">
                <c:v>T5</c:v>
              </c:pt>
              <c:pt idx="5">
                <c:v>T6</c:v>
              </c:pt>
              <c:pt idx="6">
                <c:v>T7</c:v>
              </c:pt>
              <c:pt idx="7">
                <c:v>T8</c:v>
              </c:pt>
              <c:pt idx="8">
                <c:v>T9</c:v>
              </c:pt>
              <c:pt idx="9">
                <c:v>T10</c:v>
              </c:pt>
              <c:pt idx="10">
                <c:v>T11</c:v>
              </c:pt>
              <c:pt idx="11">
                <c:v>Lũy kế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'SL TP&amp;BTP'!$B$33:$N$33</c15:sqref>
                  </c15:fullRef>
                </c:ext>
              </c:extLst>
              <c:f>('SL TP&amp;BTP'!$B$33:$L$33,'SL TP&amp;BTP'!$N$33)</c:f>
              <c:numCache>
                <c:formatCode>_-* #,##0_-;\-* #,##0_-;_-* "-"??_-;_-@_-</c:formatCode>
                <c:ptCount val="12"/>
                <c:pt idx="0">
                  <c:v>1839.7309999999998</c:v>
                </c:pt>
                <c:pt idx="1">
                  <c:v>2957.2660000000001</c:v>
                </c:pt>
                <c:pt idx="2">
                  <c:v>4821.92</c:v>
                </c:pt>
                <c:pt idx="3">
                  <c:v>4088.2489999999993</c:v>
                </c:pt>
                <c:pt idx="4">
                  <c:v>4828.9710000000005</c:v>
                </c:pt>
                <c:pt idx="5">
                  <c:v>4232.4530000000004</c:v>
                </c:pt>
                <c:pt idx="6">
                  <c:v>4561.6410000000005</c:v>
                </c:pt>
                <c:pt idx="7">
                  <c:v>4570.5645000000004</c:v>
                </c:pt>
                <c:pt idx="8">
                  <c:v>4555.5080000000007</c:v>
                </c:pt>
                <c:pt idx="9">
                  <c:v>3173.9179999999997</c:v>
                </c:pt>
                <c:pt idx="10">
                  <c:v>2323.2630000000004</c:v>
                </c:pt>
                <c:pt idx="11">
                  <c:v>45506.346299999997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C-45ED-9E79-4D75FD30FFC5}"/>
            </c:ext>
          </c:extLst>
        </c:ser>
        <c:ser>
          <c:idx val="3"/>
          <c:order val="1"/>
          <c:tx>
            <c:strRef>
              <c:f>'SL TP&amp;BTP'!$A$34</c:f>
              <c:strCache>
                <c:ptCount val="1"/>
                <c:pt idx="0">
                  <c:v>BTP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'SX và bán PP'!$B$26:$N$26</c15:sqref>
                  </c15:fullRef>
                </c:ext>
              </c:extLst>
              <c:f>('SX và bán PP'!$B$26:$L$26,'SX và bán PP'!$N$26)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Lũy kế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'SL TP&amp;BTP'!$B$34:$N$34</c15:sqref>
                  </c15:fullRef>
                </c:ext>
              </c:extLst>
              <c:f>('SL TP&amp;BTP'!$B$34:$L$34,'SL TP&amp;BTP'!$N$34)</c:f>
              <c:numCache>
                <c:formatCode>_-* #,##0_-;\-* #,##0_-;_-* "-"??_-;_-@_-</c:formatCode>
                <c:ptCount val="12"/>
                <c:pt idx="0">
                  <c:v>2053.6640000000002</c:v>
                </c:pt>
                <c:pt idx="1">
                  <c:v>3101.1529999999998</c:v>
                </c:pt>
                <c:pt idx="2">
                  <c:v>4388.9250000000002</c:v>
                </c:pt>
                <c:pt idx="3">
                  <c:v>3271.2820000000002</c:v>
                </c:pt>
                <c:pt idx="4">
                  <c:v>4243.4328999999998</c:v>
                </c:pt>
                <c:pt idx="5">
                  <c:v>4511.0379999999996</c:v>
                </c:pt>
                <c:pt idx="6">
                  <c:v>4847.8630999999996</c:v>
                </c:pt>
                <c:pt idx="7">
                  <c:v>4681.2246999999998</c:v>
                </c:pt>
                <c:pt idx="8">
                  <c:v>4640.3549000000003</c:v>
                </c:pt>
                <c:pt idx="9">
                  <c:v>5647.4637999999995</c:v>
                </c:pt>
                <c:pt idx="10">
                  <c:v>6490.8776999999991</c:v>
                </c:pt>
                <c:pt idx="11">
                  <c:v>47877.279099999992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CEC-45ED-9E79-4D75FD30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10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50000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49067672283175967"/>
          <c:w val="6.5851134664911687E-2"/>
          <c:h val="0.27092193805646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GIÁ</a:t>
            </a:r>
            <a:r>
              <a:rPr lang="en-US" sz="1600" b="1" baseline="0"/>
              <a:t> BÁN FOB rPET WSS01 vs ICIS vs FENC Cao ($ /tấn)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8605428921263"/>
          <c:y val="0.10790887923599134"/>
          <c:w val="0.84408834212111139"/>
          <c:h val="0.7370997735146895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Data2!$D$3:$E$3</c:f>
              <c:strCache>
                <c:ptCount val="1"/>
                <c:pt idx="0">
                  <c:v>DTR_FOB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Data2!$A$4:$A$20</c15:sqref>
                  </c15:fullRef>
                </c:ext>
              </c:extLst>
              <c:f>Data2!$A$5:$A$20</c:f>
              <c:strCache>
                <c:ptCount val="6"/>
                <c:pt idx="0">
                  <c:v>T11.21</c:v>
                </c:pt>
                <c:pt idx="1">
                  <c:v>T12.21</c:v>
                </c:pt>
                <c:pt idx="2">
                  <c:v>T1.22</c:v>
                </c:pt>
                <c:pt idx="3">
                  <c:v>T2.22</c:v>
                </c:pt>
                <c:pt idx="4">
                  <c:v>T3.22</c:v>
                </c:pt>
                <c:pt idx="5">
                  <c:v>T4.22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Data2!$E$5:$E$20</c15:sqref>
                  </c15:fullRef>
                </c:ext>
              </c:extLst>
              <c:f>Data2!$E$6:$E$20</c:f>
              <c:numCache>
                <c:formatCode>"$"#,##0</c:formatCode>
                <c:ptCount val="5"/>
                <c:pt idx="0">
                  <c:v>1320</c:v>
                </c:pt>
                <c:pt idx="1">
                  <c:v>1320</c:v>
                </c:pt>
                <c:pt idx="2">
                  <c:v>1320</c:v>
                </c:pt>
                <c:pt idx="3">
                  <c:v>1470</c:v>
                </c:pt>
                <c:pt idx="4">
                  <c:v>1570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D-43D0-A3CB-0220AA0BF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78331648"/>
        <c:axId val="678332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Data2!$I$3</c15:sqref>
                        </c15:formulaRef>
                      </c:ext>
                    </c:extLst>
                    <c:strCache>
                      <c:ptCount val="1"/>
                      <c:pt idx="0">
                        <c:v>DTR_giá bán EXW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Data2!$A$4:$A$20</c15:sqref>
                        </c15:fullRef>
                        <c15:formulaRef>
                          <c15:sqref>Data2!$A$5:$A$20</c15:sqref>
                        </c15:formulaRef>
                      </c:ext>
                    </c:extLst>
                    <c:strCache>
                      <c:ptCount val="6"/>
                      <c:pt idx="0">
                        <c:v>T11.21</c:v>
                      </c:pt>
                      <c:pt idx="1">
                        <c:v>T12.21</c:v>
                      </c:pt>
                      <c:pt idx="2">
                        <c:v>T1.22</c:v>
                      </c:pt>
                      <c:pt idx="3">
                        <c:v>T2.22</c:v>
                      </c:pt>
                      <c:pt idx="4">
                        <c:v>T3.22</c:v>
                      </c:pt>
                      <c:pt idx="5">
                        <c:v>T4.22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Data2!$J$4:$J$20</c15:sqref>
                        </c15:fullRef>
                        <c15:formulaRef>
                          <c15:sqref>Data2!$J$5:$J$20</c15:sqref>
                        </c15:formulaRef>
                      </c:ext>
                    </c:extLst>
                    <c:numCache>
                      <c:formatCode>"$"#,##0</c:formatCode>
                      <c:ptCount val="6"/>
                      <c:pt idx="0">
                        <c:v>1300</c:v>
                      </c:pt>
                      <c:pt idx="1">
                        <c:v>1300</c:v>
                      </c:pt>
                      <c:pt idx="2">
                        <c:v>1300</c:v>
                      </c:pt>
                      <c:pt idx="3">
                        <c:v>1300</c:v>
                      </c:pt>
                      <c:pt idx="4">
                        <c:v>1450</c:v>
                      </c:pt>
                      <c:pt idx="5">
                        <c:v>1550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CD-43D0-A3CB-0220AA0BFA9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2"/>
          <c:tx>
            <c:strRef>
              <c:f>Data2!$G$3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6760242269136902E-2"/>
                  <c:y val="-2.123754505754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05-487A-8EFC-D18FCF19E23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29-4D4F-9B40-CBED35CDD5D5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29-4D4F-9B40-CBED35CDD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Data2!$A$4:$A$20</c15:sqref>
                  </c15:fullRef>
                </c:ext>
              </c:extLst>
              <c:f>Data2!$A$5:$A$20</c:f>
              <c:strCache>
                <c:ptCount val="6"/>
                <c:pt idx="0">
                  <c:v>T11.21</c:v>
                </c:pt>
                <c:pt idx="1">
                  <c:v>T12.21</c:v>
                </c:pt>
                <c:pt idx="2">
                  <c:v>T1.22</c:v>
                </c:pt>
                <c:pt idx="3">
                  <c:v>T2.22</c:v>
                </c:pt>
                <c:pt idx="4">
                  <c:v>T3.22</c:v>
                </c:pt>
                <c:pt idx="5">
                  <c:v>T4.22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Data2!$G$4:$G$20</c15:sqref>
                  </c15:fullRef>
                </c:ext>
              </c:extLst>
              <c:f>Data2!$G$5:$G$20</c:f>
              <c:numCache>
                <c:formatCode>"$"#,##0</c:formatCode>
                <c:ptCount val="6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1500</c:v>
                </c:pt>
                <c:pt idx="4">
                  <c:v>1525</c:v>
                </c:pt>
                <c:pt idx="5">
                  <c:v>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CD-43D0-A3CB-0220AA0BFA94}"/>
            </c:ext>
          </c:extLst>
        </c:ser>
        <c:ser>
          <c:idx val="5"/>
          <c:order val="3"/>
          <c:tx>
            <c:strRef>
              <c:f>Data2!$L$3</c:f>
              <c:strCache>
                <c:ptCount val="1"/>
                <c:pt idx="0">
                  <c:v>Đối Thủ FENC_FOB Taiwan Giá cao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530012388163461E-2"/>
                  <c:y val="-3.1240486867594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5-487A-8EFC-D18FCF19E23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29-4D4F-9B40-CBED35CDD5D5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9-4D4F-9B40-CBED35CDD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Data2!$A$4:$A$20</c15:sqref>
                  </c15:fullRef>
                </c:ext>
              </c:extLst>
              <c:f>Data2!$A$5:$A$20</c:f>
              <c:strCache>
                <c:ptCount val="6"/>
                <c:pt idx="0">
                  <c:v>T11.21</c:v>
                </c:pt>
                <c:pt idx="1">
                  <c:v>T12.21</c:v>
                </c:pt>
                <c:pt idx="2">
                  <c:v>T1.22</c:v>
                </c:pt>
                <c:pt idx="3">
                  <c:v>T2.22</c:v>
                </c:pt>
                <c:pt idx="4">
                  <c:v>T3.22</c:v>
                </c:pt>
                <c:pt idx="5">
                  <c:v>T4.22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Data2!$L$4:$L$20</c15:sqref>
                  </c15:fullRef>
                </c:ext>
              </c:extLst>
              <c:f>Data2!$L$5:$L$20</c:f>
              <c:numCache>
                <c:formatCode>"$"#,##0</c:formatCode>
                <c:ptCount val="6"/>
                <c:pt idx="0">
                  <c:v>1290</c:v>
                </c:pt>
                <c:pt idx="1">
                  <c:v>1290</c:v>
                </c:pt>
                <c:pt idx="2">
                  <c:v>1340</c:v>
                </c:pt>
                <c:pt idx="3">
                  <c:v>1980</c:v>
                </c:pt>
                <c:pt idx="4">
                  <c:v>1980</c:v>
                </c:pt>
                <c:pt idx="5">
                  <c:v>1980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E-4D77-B25E-8839D3BB1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331648"/>
        <c:axId val="678332064"/>
        <c:extLst/>
      </c:lineChart>
      <c:catAx>
        <c:axId val="6783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32064"/>
        <c:crosses val="autoZero"/>
        <c:auto val="1"/>
        <c:lblAlgn val="ctr"/>
        <c:lblOffset val="100"/>
        <c:noMultiLvlLbl val="0"/>
      </c:catAx>
      <c:valAx>
        <c:axId val="678332064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31648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8940987724201611"/>
          <c:y val="0.14204039534461516"/>
          <c:w val="0.46703208795324386"/>
          <c:h val="4.011083163500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28676</xdr:colOff>
      <xdr:row>0</xdr:row>
      <xdr:rowOff>69097</xdr:rowOff>
    </xdr:from>
    <xdr:to>
      <xdr:col>16</xdr:col>
      <xdr:colOff>107950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60427</xdr:colOff>
      <xdr:row>0</xdr:row>
      <xdr:rowOff>44449</xdr:rowOff>
    </xdr:from>
    <xdr:to>
      <xdr:col>16</xdr:col>
      <xdr:colOff>323850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30658</xdr:colOff>
      <xdr:row>0</xdr:row>
      <xdr:rowOff>37828</xdr:rowOff>
    </xdr:from>
    <xdr:to>
      <xdr:col>15</xdr:col>
      <xdr:colOff>565150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17</xdr:col>
      <xdr:colOff>266700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36614</xdr:colOff>
      <xdr:row>0</xdr:row>
      <xdr:rowOff>23059</xdr:rowOff>
    </xdr:from>
    <xdr:to>
      <xdr:col>20</xdr:col>
      <xdr:colOff>595313</xdr:colOff>
      <xdr:row>26</xdr:row>
      <xdr:rowOff>36512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16D9AEF-19EC-4BE3-8B17-C63330D94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60427</xdr:colOff>
      <xdr:row>0</xdr:row>
      <xdr:rowOff>44449</xdr:rowOff>
    </xdr:from>
    <xdr:to>
      <xdr:col>20</xdr:col>
      <xdr:colOff>403860</xdr:colOff>
      <xdr:row>26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F4691-023A-425E-9F8C-A802912F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30658</xdr:colOff>
      <xdr:row>0</xdr:row>
      <xdr:rowOff>37829</xdr:rowOff>
    </xdr:from>
    <xdr:to>
      <xdr:col>20</xdr:col>
      <xdr:colOff>411480</xdr:colOff>
      <xdr:row>26</xdr:row>
      <xdr:rowOff>169334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E4A4E13-8F45-4B2F-A701-172563EE3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57150</xdr:rowOff>
    </xdr:from>
    <xdr:to>
      <xdr:col>19</xdr:col>
      <xdr:colOff>577850</xdr:colOff>
      <xdr:row>25</xdr:row>
      <xdr:rowOff>135467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5CEA73B8-4241-98C8-9645-AEEEEBC9D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16</xdr:col>
      <xdr:colOff>590550</xdr:colOff>
      <xdr:row>23</xdr:row>
      <xdr:rowOff>21167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BC954E4-2D3A-480A-85D1-572E3766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17</xdr:col>
      <xdr:colOff>238126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9191A-D40B-42F8-8FF1-9CEF45CAC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17</xdr:col>
      <xdr:colOff>266700</xdr:colOff>
      <xdr:row>23</xdr:row>
      <xdr:rowOff>106680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F769E1E-8E32-470B-B3A2-7C0448212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238CE-956C-42DC-B1C9-B19C40210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C2983-60C6-4AA1-980B-C60DB73AD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44450</xdr:rowOff>
    </xdr:from>
    <xdr:to>
      <xdr:col>17</xdr:col>
      <xdr:colOff>406400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E1AED-0096-4B90-BC69-EB1D84112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49</xdr:row>
      <xdr:rowOff>139700</xdr:rowOff>
    </xdr:from>
    <xdr:to>
      <xdr:col>12</xdr:col>
      <xdr:colOff>0</xdr:colOff>
      <xdr:row>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1CE1-D8BE-46FB-A074-F508AB94B9D3}">
  <dimension ref="A3:W34"/>
  <sheetViews>
    <sheetView showGridLines="0" topLeftCell="A15" zoomScaleNormal="100" workbookViewId="0">
      <selection activeCell="H31" sqref="H31:M31"/>
    </sheetView>
  </sheetViews>
  <sheetFormatPr defaultColWidth="8.81640625" defaultRowHeight="16"/>
  <cols>
    <col min="1" max="1" width="25.90625" style="80" bestFit="1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W24" s="92"/>
    </row>
    <row r="29" spans="1:23">
      <c r="A29" s="93"/>
      <c r="B29" s="94" t="s">
        <v>131</v>
      </c>
      <c r="C29" s="94" t="s">
        <v>132</v>
      </c>
      <c r="D29" s="94" t="s">
        <v>133</v>
      </c>
      <c r="E29" s="94" t="s">
        <v>134</v>
      </c>
      <c r="F29" s="94" t="s">
        <v>135</v>
      </c>
      <c r="G29" s="94" t="s">
        <v>136</v>
      </c>
      <c r="H29" s="94" t="s">
        <v>138</v>
      </c>
      <c r="I29" s="94" t="s">
        <v>137</v>
      </c>
      <c r="J29" s="94" t="s">
        <v>139</v>
      </c>
      <c r="K29" s="94" t="s">
        <v>140</v>
      </c>
      <c r="L29" s="94" t="s">
        <v>141</v>
      </c>
      <c r="M29" s="94" t="s">
        <v>149</v>
      </c>
      <c r="N29" s="94" t="s">
        <v>150</v>
      </c>
      <c r="O29" s="80" t="s">
        <v>165</v>
      </c>
      <c r="Q29" s="113" t="s">
        <v>166</v>
      </c>
    </row>
    <row r="30" spans="1:23" s="105" customFormat="1">
      <c r="A30" s="105" t="s">
        <v>161</v>
      </c>
      <c r="B30" s="106">
        <f>'SL bán so với SL mua 2022- PET'!B31+'SL bán so với SL mua 2022- HDPE'!B31</f>
        <v>708.74699999999996</v>
      </c>
      <c r="C30" s="106">
        <f>'SL bán so với SL mua 2022- PET'!C31+'SL bán so với SL mua 2022- HDPE'!C31</f>
        <v>500.69318000000004</v>
      </c>
      <c r="D30" s="106">
        <f>'SL bán so với SL mua 2022- PET'!D31+'SL bán so với SL mua 2022- HDPE'!D31</f>
        <v>1601.29312</v>
      </c>
      <c r="E30" s="106">
        <f>'SL bán so với SL mua 2022- PET'!E31+'SL bán so với SL mua 2022- HDPE'!E31</f>
        <v>1909.1155799999999</v>
      </c>
      <c r="F30" s="106">
        <f>'SL bán so với SL mua 2022- PET'!F31+'SL bán so với SL mua 2022- HDPE'!F31</f>
        <v>2165.9779799999992</v>
      </c>
      <c r="G30" s="106">
        <f>'SL bán so với SL mua 2022- PET'!G31+'SL bán so với SL mua 2022- HDPE'!G31</f>
        <v>1557.2704399999996</v>
      </c>
      <c r="H30" s="106">
        <f>'SL bán so với SL mua 2022- PET'!H31+'SL bán so với SL mua 2022- HDPE'!H31</f>
        <v>872.08764000000008</v>
      </c>
      <c r="I30" s="106">
        <f>'SL bán so với SL mua 2022- PET'!I31+'SL bán so với SL mua 2022- HDPE'!I31</f>
        <v>1070.8506000000002</v>
      </c>
      <c r="J30" s="106">
        <f>'SL bán so với SL mua 2022- PET'!J31+'SL bán so với SL mua 2022- HDPE'!J31</f>
        <v>903.85081000000059</v>
      </c>
      <c r="K30" s="106">
        <f>'SL bán so với SL mua 2022- PET'!K31+'SL bán so với SL mua 2022- HDPE'!K31</f>
        <v>2326.46684</v>
      </c>
      <c r="L30" s="106">
        <f>'SL bán so với SL mua 2022- PET'!L31+'SL bán so với SL mua 2022- HDPE'!L31</f>
        <v>2035.6570000000002</v>
      </c>
      <c r="M30" s="106">
        <f>'SL bán so với SL mua 2022- PET'!M31+'SL bán so với SL mua 2022- HDPE'!M31</f>
        <v>1500.7365999999995</v>
      </c>
      <c r="N30" s="106">
        <f>SUM(B30:M30)</f>
        <v>17152.746789999997</v>
      </c>
      <c r="O30" s="127">
        <v>315</v>
      </c>
      <c r="P30" s="105" t="s">
        <v>163</v>
      </c>
      <c r="Q30" s="106">
        <f>N30/12</f>
        <v>1429.3955658333332</v>
      </c>
      <c r="W30" s="108"/>
    </row>
    <row r="31" spans="1:23" s="105" customFormat="1">
      <c r="A31" s="105" t="s">
        <v>162</v>
      </c>
      <c r="B31" s="106">
        <f>'SL bán so với SL mua 2022- PET'!B30+'SL bán so với SL mua 2022- HDPE'!B30</f>
        <v>250.8</v>
      </c>
      <c r="C31" s="106">
        <f>'SL bán so với SL mua 2022- PET'!C30+'SL bán so với SL mua 2022- HDPE'!C30</f>
        <v>242</v>
      </c>
      <c r="D31" s="106">
        <f>'SL bán so với SL mua 2022- PET'!D30+'SL bán so với SL mua 2022- HDPE'!D30</f>
        <v>707.8</v>
      </c>
      <c r="E31" s="106">
        <f>'SL bán so với SL mua 2022- PET'!E30+'SL bán so với SL mua 2022- HDPE'!E30</f>
        <v>757.69999999999993</v>
      </c>
      <c r="F31" s="106">
        <f>'SL bán so với SL mua 2022- PET'!F30+'SL bán so với SL mua 2022- HDPE'!F30</f>
        <v>578.20800000000008</v>
      </c>
      <c r="G31" s="106">
        <f>'SL bán so với SL mua 2022- PET'!G30+'SL bán so với SL mua 2022- HDPE'!G30</f>
        <v>678.90000000000009</v>
      </c>
      <c r="H31" s="106">
        <f>'SL bán so với SL mua 2022- PET'!H30+'SL bán so với SL mua 2022- HDPE'!H30</f>
        <v>421.5</v>
      </c>
      <c r="I31" s="106">
        <f>'SL bán so với SL mua 2022- PET'!I30+'SL bán so với SL mua 2022- HDPE'!I30</f>
        <v>1078.8</v>
      </c>
      <c r="J31" s="106">
        <f>'SL bán so với SL mua 2022- PET'!J30+'SL bán so với SL mua 2022- HDPE'!J30</f>
        <v>1030.32</v>
      </c>
      <c r="K31" s="106">
        <f>'SL bán so với SL mua 2022- PET'!K30+'SL bán so với SL mua 2022- HDPE'!K30</f>
        <v>1178.075</v>
      </c>
      <c r="L31" s="106">
        <f>'SL bán so với SL mua 2022- PET'!L30+'SL bán so với SL mua 2022- HDPE'!L30</f>
        <v>981.09999999999991</v>
      </c>
      <c r="M31" s="106">
        <f>'SL bán so với SL mua 2022- PET'!M30+'SL bán so với SL mua 2022- HDPE'!M30</f>
        <v>1827.7</v>
      </c>
      <c r="N31" s="106">
        <f>SUM(B31:M31)</f>
        <v>9732.9030000000002</v>
      </c>
      <c r="O31" s="105">
        <v>329</v>
      </c>
      <c r="P31" s="105" t="s">
        <v>163</v>
      </c>
      <c r="Q31" s="106">
        <f>N31/12</f>
        <v>811.07524999999998</v>
      </c>
      <c r="W31" s="108"/>
    </row>
    <row r="32" spans="1:23" s="110" customFormat="1">
      <c r="A32" s="110" t="s">
        <v>164</v>
      </c>
      <c r="B32" s="111">
        <f>B30-B31</f>
        <v>457.94699999999995</v>
      </c>
      <c r="C32" s="111">
        <f t="shared" ref="C32:M32" si="0">C30-C31</f>
        <v>258.69318000000004</v>
      </c>
      <c r="D32" s="111">
        <f t="shared" si="0"/>
        <v>893.49312000000009</v>
      </c>
      <c r="E32" s="111">
        <f t="shared" si="0"/>
        <v>1151.4155799999999</v>
      </c>
      <c r="F32" s="111">
        <f t="shared" si="0"/>
        <v>1587.7699799999991</v>
      </c>
      <c r="G32" s="111">
        <f t="shared" si="0"/>
        <v>878.37043999999946</v>
      </c>
      <c r="H32" s="111">
        <f t="shared" si="0"/>
        <v>450.58764000000008</v>
      </c>
      <c r="I32" s="111">
        <f t="shared" si="0"/>
        <v>-7.9493999999997413</v>
      </c>
      <c r="J32" s="111">
        <f t="shared" si="0"/>
        <v>-126.46918999999934</v>
      </c>
      <c r="K32" s="111">
        <f t="shared" si="0"/>
        <v>1148.39184</v>
      </c>
      <c r="L32" s="111">
        <f t="shared" si="0"/>
        <v>1054.5570000000002</v>
      </c>
      <c r="M32" s="111">
        <f t="shared" si="0"/>
        <v>-326.96340000000055</v>
      </c>
      <c r="N32" s="111">
        <f>N30-N31</f>
        <v>7419.8437899999972</v>
      </c>
      <c r="O32" s="110">
        <f>O30-O31</f>
        <v>-14</v>
      </c>
      <c r="Q32" s="111">
        <f>Q30-Q31</f>
        <v>618.32031583333321</v>
      </c>
      <c r="W32" s="112"/>
    </row>
    <row r="33" spans="10:13">
      <c r="J33" s="98"/>
    </row>
    <row r="34" spans="10:13">
      <c r="M34" s="98"/>
    </row>
  </sheetData>
  <pageMargins left="0.17" right="0.17" top="0.17" bottom="0.17" header="0.17" footer="0.17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7EB0-8345-423A-9889-BE7768CEA374}">
  <dimension ref="A3:W37"/>
  <sheetViews>
    <sheetView showGridLines="0" topLeftCell="A21" zoomScaleNormal="100" workbookViewId="0">
      <selection activeCell="J45" sqref="J45"/>
    </sheetView>
  </sheetViews>
  <sheetFormatPr defaultColWidth="8.81640625" defaultRowHeight="16"/>
  <cols>
    <col min="1" max="1" width="22.1796875" style="80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W24" s="92"/>
    </row>
    <row r="29" spans="1:23">
      <c r="A29" s="93" t="s">
        <v>148</v>
      </c>
      <c r="B29" s="94" t="s">
        <v>131</v>
      </c>
      <c r="C29" s="94" t="s">
        <v>132</v>
      </c>
      <c r="D29" s="94" t="s">
        <v>133</v>
      </c>
      <c r="E29" s="94" t="s">
        <v>134</v>
      </c>
      <c r="F29" s="94" t="s">
        <v>135</v>
      </c>
      <c r="G29" s="94" t="s">
        <v>136</v>
      </c>
      <c r="H29" s="94" t="s">
        <v>138</v>
      </c>
      <c r="I29" s="94" t="s">
        <v>137</v>
      </c>
      <c r="J29" s="94" t="s">
        <v>139</v>
      </c>
      <c r="K29" s="94" t="s">
        <v>140</v>
      </c>
      <c r="L29" s="94" t="s">
        <v>141</v>
      </c>
      <c r="M29" s="94" t="s">
        <v>149</v>
      </c>
      <c r="N29" s="94" t="s">
        <v>150</v>
      </c>
    </row>
    <row r="30" spans="1:23">
      <c r="A30" s="95" t="s">
        <v>151</v>
      </c>
      <c r="B30" s="96">
        <v>250.8</v>
      </c>
      <c r="C30" s="96">
        <v>242</v>
      </c>
      <c r="D30" s="96">
        <v>665.5</v>
      </c>
      <c r="E30" s="96">
        <v>748.4</v>
      </c>
      <c r="F30" s="96">
        <v>577.50800000000004</v>
      </c>
      <c r="G30" s="96">
        <v>678.7</v>
      </c>
      <c r="H30" s="96">
        <v>391.5</v>
      </c>
      <c r="I30" s="96">
        <v>1078.8</v>
      </c>
      <c r="J30" s="96">
        <f>44+952.6</f>
        <v>996.6</v>
      </c>
      <c r="K30" s="96">
        <v>1002.675</v>
      </c>
      <c r="L30" s="96">
        <v>916.3</v>
      </c>
      <c r="M30" s="96">
        <v>1760.3</v>
      </c>
      <c r="N30" s="97">
        <f>SUM(B30:M30)</f>
        <v>9309.0830000000005</v>
      </c>
      <c r="Q30" s="98"/>
    </row>
    <row r="31" spans="1:23">
      <c r="A31" s="95" t="s">
        <v>152</v>
      </c>
      <c r="B31" s="96">
        <v>537.72799999999995</v>
      </c>
      <c r="C31" s="96">
        <v>441.92718000000002</v>
      </c>
      <c r="D31" s="96">
        <v>1492.4511199999999</v>
      </c>
      <c r="E31" s="96">
        <v>1840.18508</v>
      </c>
      <c r="F31" s="96">
        <v>2139.3249799999994</v>
      </c>
      <c r="G31" s="96">
        <v>1338.8894399999995</v>
      </c>
      <c r="H31" s="96">
        <v>861.30964000000006</v>
      </c>
      <c r="I31" s="96">
        <v>980.0766000000001</v>
      </c>
      <c r="J31" s="96">
        <v>851.71181000000058</v>
      </c>
      <c r="K31" s="96">
        <v>2024.1148400000002</v>
      </c>
      <c r="L31" s="96">
        <v>1881.18</v>
      </c>
      <c r="M31" s="96">
        <v>1432.3595999999995</v>
      </c>
      <c r="N31" s="97">
        <f t="shared" ref="N31" si="0">SUM(B31:M31)</f>
        <v>15821.25829</v>
      </c>
    </row>
    <row r="32" spans="1:23">
      <c r="A32" s="95" t="s">
        <v>153</v>
      </c>
      <c r="B32" s="96">
        <v>507</v>
      </c>
      <c r="C32" s="96">
        <v>506</v>
      </c>
      <c r="D32" s="96">
        <v>846</v>
      </c>
      <c r="E32" s="96">
        <v>746</v>
      </c>
      <c r="F32" s="96">
        <v>561</v>
      </c>
      <c r="G32" s="96">
        <v>644</v>
      </c>
      <c r="H32" s="96">
        <v>502</v>
      </c>
      <c r="I32" s="96">
        <v>1480</v>
      </c>
      <c r="J32" s="96">
        <v>1041.5999999999999</v>
      </c>
      <c r="K32" s="96">
        <v>1042.6099999999999</v>
      </c>
      <c r="L32" s="96">
        <v>1377.8999999999999</v>
      </c>
      <c r="M32" s="96">
        <v>1447.98</v>
      </c>
      <c r="N32" s="97">
        <f>SUM(B32:M32)</f>
        <v>10702.09</v>
      </c>
      <c r="O32" s="98">
        <f>SUM(B32:M32)</f>
        <v>10702.09</v>
      </c>
    </row>
    <row r="33" spans="1:15" hidden="1">
      <c r="A33" s="95" t="s">
        <v>154</v>
      </c>
      <c r="B33" s="99">
        <f>N30</f>
        <v>9309.0830000000005</v>
      </c>
      <c r="C33" s="99">
        <f>B33</f>
        <v>9309.0830000000005</v>
      </c>
      <c r="D33" s="99">
        <f t="shared" ref="D33:M35" si="1">C33</f>
        <v>9309.0830000000005</v>
      </c>
      <c r="E33" s="99">
        <f t="shared" si="1"/>
        <v>9309.0830000000005</v>
      </c>
      <c r="F33" s="99">
        <f t="shared" si="1"/>
        <v>9309.0830000000005</v>
      </c>
      <c r="G33" s="99">
        <f t="shared" si="1"/>
        <v>9309.0830000000005</v>
      </c>
      <c r="H33" s="99">
        <f t="shared" si="1"/>
        <v>9309.0830000000005</v>
      </c>
      <c r="I33" s="99">
        <f t="shared" si="1"/>
        <v>9309.0830000000005</v>
      </c>
      <c r="J33" s="99">
        <f t="shared" si="1"/>
        <v>9309.0830000000005</v>
      </c>
      <c r="K33" s="99">
        <f t="shared" si="1"/>
        <v>9309.0830000000005</v>
      </c>
      <c r="L33" s="99">
        <f t="shared" si="1"/>
        <v>9309.0830000000005</v>
      </c>
      <c r="M33" s="99">
        <f t="shared" si="1"/>
        <v>9309.0830000000005</v>
      </c>
      <c r="N33" s="88"/>
    </row>
    <row r="34" spans="1:15" hidden="1">
      <c r="A34" s="95" t="s">
        <v>155</v>
      </c>
      <c r="B34" s="99">
        <f>N31</f>
        <v>15821.25829</v>
      </c>
      <c r="C34" s="99">
        <f>B34</f>
        <v>15821.25829</v>
      </c>
      <c r="D34" s="99">
        <f t="shared" si="1"/>
        <v>15821.25829</v>
      </c>
      <c r="E34" s="99">
        <f t="shared" si="1"/>
        <v>15821.25829</v>
      </c>
      <c r="F34" s="99">
        <f t="shared" si="1"/>
        <v>15821.25829</v>
      </c>
      <c r="G34" s="99">
        <f t="shared" si="1"/>
        <v>15821.25829</v>
      </c>
      <c r="H34" s="99">
        <f t="shared" si="1"/>
        <v>15821.25829</v>
      </c>
      <c r="I34" s="99">
        <f t="shared" si="1"/>
        <v>15821.25829</v>
      </c>
      <c r="J34" s="99">
        <f t="shared" si="1"/>
        <v>15821.25829</v>
      </c>
      <c r="K34" s="99">
        <f t="shared" si="1"/>
        <v>15821.25829</v>
      </c>
      <c r="L34" s="99">
        <f t="shared" si="1"/>
        <v>15821.25829</v>
      </c>
      <c r="M34" s="99">
        <f t="shared" si="1"/>
        <v>15821.25829</v>
      </c>
      <c r="N34" s="88"/>
    </row>
    <row r="35" spans="1:15" hidden="1">
      <c r="A35" s="95" t="s">
        <v>156</v>
      </c>
      <c r="B35" s="99">
        <f>N32</f>
        <v>10702.09</v>
      </c>
      <c r="C35" s="99">
        <f>B35</f>
        <v>10702.09</v>
      </c>
      <c r="D35" s="99">
        <f t="shared" si="1"/>
        <v>10702.09</v>
      </c>
      <c r="E35" s="99">
        <f t="shared" si="1"/>
        <v>10702.09</v>
      </c>
      <c r="F35" s="99">
        <f t="shared" si="1"/>
        <v>10702.09</v>
      </c>
      <c r="G35" s="99">
        <f t="shared" si="1"/>
        <v>10702.09</v>
      </c>
      <c r="H35" s="99">
        <f t="shared" si="1"/>
        <v>10702.09</v>
      </c>
      <c r="I35" s="99">
        <f t="shared" si="1"/>
        <v>10702.09</v>
      </c>
      <c r="J35" s="99">
        <f t="shared" si="1"/>
        <v>10702.09</v>
      </c>
      <c r="K35" s="99">
        <f t="shared" si="1"/>
        <v>10702.09</v>
      </c>
      <c r="L35" s="99">
        <f t="shared" si="1"/>
        <v>10702.09</v>
      </c>
      <c r="M35" s="99">
        <f t="shared" si="1"/>
        <v>10702.09</v>
      </c>
      <c r="N35" s="88"/>
    </row>
    <row r="36" spans="1:15">
      <c r="A36" s="100"/>
      <c r="O36" s="98"/>
    </row>
    <row r="37" spans="1:15">
      <c r="J37" s="98"/>
    </row>
  </sheetData>
  <pageMargins left="0.17" right="0.17" top="0.17" bottom="0.17" header="0.17" footer="0.17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08DF-2F50-4327-85DF-0009B449FDB0}">
  <dimension ref="A3:W40"/>
  <sheetViews>
    <sheetView zoomScaleNormal="100" workbookViewId="0">
      <selection activeCell="J45" sqref="J45"/>
    </sheetView>
  </sheetViews>
  <sheetFormatPr defaultColWidth="8.81640625" defaultRowHeight="16"/>
  <cols>
    <col min="1" max="1" width="22.1796875" style="80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W24" s="92"/>
    </row>
    <row r="25" spans="1:23">
      <c r="W25" s="92"/>
    </row>
    <row r="26" spans="1:23">
      <c r="W26" s="92"/>
    </row>
    <row r="29" spans="1:23">
      <c r="A29" s="93" t="s">
        <v>157</v>
      </c>
      <c r="B29" s="94" t="s">
        <v>131</v>
      </c>
      <c r="C29" s="94" t="s">
        <v>132</v>
      </c>
      <c r="D29" s="94" t="s">
        <v>133</v>
      </c>
      <c r="E29" s="94" t="s">
        <v>134</v>
      </c>
      <c r="F29" s="94" t="s">
        <v>135</v>
      </c>
      <c r="G29" s="94" t="s">
        <v>136</v>
      </c>
      <c r="H29" s="94" t="s">
        <v>138</v>
      </c>
      <c r="I29" s="94" t="s">
        <v>137</v>
      </c>
      <c r="J29" s="94" t="s">
        <v>139</v>
      </c>
      <c r="K29" s="94" t="s">
        <v>140</v>
      </c>
      <c r="L29" s="94" t="s">
        <v>141</v>
      </c>
      <c r="M29" s="94" t="s">
        <v>149</v>
      </c>
      <c r="N29" s="94" t="s">
        <v>150</v>
      </c>
    </row>
    <row r="30" spans="1:23">
      <c r="A30" s="95" t="s">
        <v>151</v>
      </c>
      <c r="B30" s="96">
        <v>0</v>
      </c>
      <c r="C30" s="96">
        <v>0</v>
      </c>
      <c r="D30" s="96">
        <v>42.3</v>
      </c>
      <c r="E30" s="96">
        <v>9.3000000000000007</v>
      </c>
      <c r="F30" s="96">
        <v>0.7</v>
      </c>
      <c r="G30" s="96">
        <v>0.2</v>
      </c>
      <c r="H30" s="96">
        <v>30</v>
      </c>
      <c r="I30" s="96">
        <v>0</v>
      </c>
      <c r="J30" s="96">
        <v>33.72</v>
      </c>
      <c r="K30" s="96">
        <v>175.4</v>
      </c>
      <c r="L30" s="96">
        <v>64.8</v>
      </c>
      <c r="M30" s="96">
        <v>67.400000000000006</v>
      </c>
      <c r="N30" s="97">
        <f>SUM(B30:M30)</f>
        <v>423.82000000000005</v>
      </c>
    </row>
    <row r="31" spans="1:23">
      <c r="A31" s="95" t="s">
        <v>152</v>
      </c>
      <c r="B31" s="96">
        <v>171.01900000000001</v>
      </c>
      <c r="C31" s="96">
        <v>58.765999999999998</v>
      </c>
      <c r="D31" s="96">
        <v>108.842</v>
      </c>
      <c r="E31" s="96">
        <v>68.930499999999995</v>
      </c>
      <c r="F31" s="96">
        <v>26.652999999999999</v>
      </c>
      <c r="G31" s="96">
        <v>218.381</v>
      </c>
      <c r="H31" s="96">
        <v>10.778</v>
      </c>
      <c r="I31" s="96">
        <v>90.774000000000001</v>
      </c>
      <c r="J31" s="96">
        <v>52.139000000000003</v>
      </c>
      <c r="K31" s="96">
        <v>302.35199999999998</v>
      </c>
      <c r="L31" s="96">
        <v>154.477</v>
      </c>
      <c r="M31" s="96">
        <v>68.376999999999995</v>
      </c>
      <c r="N31" s="97">
        <f>SUM(B31:M31)</f>
        <v>1331.4885000000002</v>
      </c>
    </row>
    <row r="32" spans="1:23">
      <c r="A32" s="95" t="s">
        <v>153</v>
      </c>
      <c r="B32" s="96">
        <v>0</v>
      </c>
      <c r="C32" s="96">
        <v>0</v>
      </c>
      <c r="D32" s="96">
        <v>42</v>
      </c>
      <c r="E32" s="96">
        <v>9</v>
      </c>
      <c r="F32" s="96">
        <v>1</v>
      </c>
      <c r="G32" s="96">
        <v>0</v>
      </c>
      <c r="H32" s="96">
        <v>30</v>
      </c>
      <c r="I32" s="96">
        <v>0</v>
      </c>
      <c r="J32" s="96">
        <v>34</v>
      </c>
      <c r="K32" s="96">
        <v>175</v>
      </c>
      <c r="L32" s="96">
        <v>65</v>
      </c>
      <c r="M32" s="96">
        <v>262</v>
      </c>
      <c r="N32" s="97">
        <f>SUM(B32:M32)</f>
        <v>618</v>
      </c>
      <c r="O32" s="98"/>
    </row>
    <row r="33" spans="1:14" hidden="1">
      <c r="A33" s="95" t="s">
        <v>154</v>
      </c>
      <c r="B33" s="99">
        <f>N30</f>
        <v>423.82000000000005</v>
      </c>
      <c r="C33" s="99">
        <f>B33</f>
        <v>423.82000000000005</v>
      </c>
      <c r="D33" s="99">
        <f t="shared" ref="D33:M35" si="0">C33</f>
        <v>423.82000000000005</v>
      </c>
      <c r="E33" s="99">
        <f t="shared" si="0"/>
        <v>423.82000000000005</v>
      </c>
      <c r="F33" s="99">
        <f t="shared" si="0"/>
        <v>423.82000000000005</v>
      </c>
      <c r="G33" s="99">
        <f t="shared" si="0"/>
        <v>423.82000000000005</v>
      </c>
      <c r="H33" s="99">
        <f t="shared" si="0"/>
        <v>423.82000000000005</v>
      </c>
      <c r="I33" s="99">
        <f t="shared" si="0"/>
        <v>423.82000000000005</v>
      </c>
      <c r="J33" s="99">
        <f t="shared" si="0"/>
        <v>423.82000000000005</v>
      </c>
      <c r="K33" s="99">
        <f t="shared" si="0"/>
        <v>423.82000000000005</v>
      </c>
      <c r="L33" s="99">
        <f t="shared" si="0"/>
        <v>423.82000000000005</v>
      </c>
      <c r="M33" s="99">
        <f t="shared" si="0"/>
        <v>423.82000000000005</v>
      </c>
      <c r="N33" s="88"/>
    </row>
    <row r="34" spans="1:14" hidden="1">
      <c r="A34" s="95" t="s">
        <v>155</v>
      </c>
      <c r="B34" s="99">
        <f>N31</f>
        <v>1331.4885000000002</v>
      </c>
      <c r="C34" s="99">
        <f>B34</f>
        <v>1331.4885000000002</v>
      </c>
      <c r="D34" s="99">
        <f t="shared" si="0"/>
        <v>1331.4885000000002</v>
      </c>
      <c r="E34" s="99">
        <f t="shared" si="0"/>
        <v>1331.4885000000002</v>
      </c>
      <c r="F34" s="99">
        <f t="shared" si="0"/>
        <v>1331.4885000000002</v>
      </c>
      <c r="G34" s="99">
        <f t="shared" si="0"/>
        <v>1331.4885000000002</v>
      </c>
      <c r="H34" s="99">
        <f t="shared" si="0"/>
        <v>1331.4885000000002</v>
      </c>
      <c r="I34" s="99">
        <f t="shared" si="0"/>
        <v>1331.4885000000002</v>
      </c>
      <c r="J34" s="99">
        <f t="shared" si="0"/>
        <v>1331.4885000000002</v>
      </c>
      <c r="K34" s="99">
        <f t="shared" si="0"/>
        <v>1331.4885000000002</v>
      </c>
      <c r="L34" s="99">
        <f t="shared" si="0"/>
        <v>1331.4885000000002</v>
      </c>
      <c r="M34" s="99">
        <f t="shared" si="0"/>
        <v>1331.4885000000002</v>
      </c>
      <c r="N34" s="88"/>
    </row>
    <row r="35" spans="1:14" hidden="1">
      <c r="A35" s="95" t="s">
        <v>156</v>
      </c>
      <c r="B35" s="99">
        <f>N32</f>
        <v>618</v>
      </c>
      <c r="C35" s="99">
        <f>B35</f>
        <v>618</v>
      </c>
      <c r="D35" s="99">
        <f t="shared" si="0"/>
        <v>618</v>
      </c>
      <c r="E35" s="99">
        <f t="shared" si="0"/>
        <v>618</v>
      </c>
      <c r="F35" s="99">
        <f t="shared" si="0"/>
        <v>618</v>
      </c>
      <c r="G35" s="99">
        <f t="shared" si="0"/>
        <v>618</v>
      </c>
      <c r="H35" s="99">
        <f t="shared" si="0"/>
        <v>618</v>
      </c>
      <c r="I35" s="99">
        <f t="shared" si="0"/>
        <v>618</v>
      </c>
      <c r="J35" s="99">
        <f t="shared" si="0"/>
        <v>618</v>
      </c>
      <c r="K35" s="99">
        <f t="shared" si="0"/>
        <v>618</v>
      </c>
      <c r="L35" s="99">
        <f t="shared" si="0"/>
        <v>618</v>
      </c>
      <c r="M35" s="99">
        <f t="shared" si="0"/>
        <v>618</v>
      </c>
      <c r="N35" s="88"/>
    </row>
    <row r="37" spans="1:14">
      <c r="N37" s="98"/>
    </row>
    <row r="38" spans="1:14">
      <c r="J38" s="98"/>
      <c r="K38" s="98"/>
      <c r="N38" s="98"/>
    </row>
    <row r="40" spans="1:14">
      <c r="J40" s="98"/>
      <c r="L40" s="98"/>
    </row>
  </sheetData>
  <pageMargins left="0.17" right="0.17" top="0.17" bottom="0.17" header="0.17" footer="0.17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11F-50A8-499B-9A28-5E281CB586F8}">
  <dimension ref="A25:P47"/>
  <sheetViews>
    <sheetView showGridLines="0" topLeftCell="A31" workbookViewId="0">
      <selection activeCell="K46" sqref="K46"/>
    </sheetView>
  </sheetViews>
  <sheetFormatPr defaultColWidth="8.81640625" defaultRowHeight="14"/>
  <cols>
    <col min="1" max="1" width="13.81640625" style="24" customWidth="1"/>
    <col min="2" max="4" width="8.90625" style="24" bestFit="1" customWidth="1"/>
    <col min="5" max="8" width="9.1796875" style="24" bestFit="1" customWidth="1"/>
    <col min="9" max="10" width="9.54296875" style="24" bestFit="1" customWidth="1"/>
    <col min="11" max="11" width="9.453125" style="24" bestFit="1" customWidth="1"/>
    <col min="12" max="12" width="13.90625" style="24" bestFit="1" customWidth="1"/>
    <col min="13" max="13" width="10.1796875" style="24" bestFit="1" customWidth="1"/>
    <col min="14" max="14" width="12.1796875" style="24" customWidth="1"/>
    <col min="15" max="15" width="11.6328125" style="24" bestFit="1" customWidth="1"/>
    <col min="16" max="16384" width="8.81640625" style="24"/>
  </cols>
  <sheetData>
    <row r="25" spans="1:16">
      <c r="A25" s="120">
        <v>2022</v>
      </c>
      <c r="B25" s="101" t="s">
        <v>131</v>
      </c>
      <c r="C25" s="101" t="s">
        <v>132</v>
      </c>
      <c r="D25" s="101" t="s">
        <v>133</v>
      </c>
      <c r="E25" s="101" t="s">
        <v>134</v>
      </c>
      <c r="F25" s="101" t="s">
        <v>135</v>
      </c>
      <c r="G25" s="101" t="s">
        <v>136</v>
      </c>
      <c r="H25" s="101" t="s">
        <v>138</v>
      </c>
      <c r="I25" s="101" t="s">
        <v>137</v>
      </c>
      <c r="J25" s="101" t="s">
        <v>139</v>
      </c>
      <c r="K25" s="101" t="s">
        <v>140</v>
      </c>
      <c r="L25" s="101" t="s">
        <v>141</v>
      </c>
      <c r="M25" s="101" t="s">
        <v>149</v>
      </c>
      <c r="N25" s="101" t="s">
        <v>150</v>
      </c>
    </row>
    <row r="26" spans="1:16" hidden="1">
      <c r="A26" s="102" t="s">
        <v>158</v>
      </c>
      <c r="B26" s="103">
        <v>701.1</v>
      </c>
      <c r="C26" s="103">
        <v>826.02</v>
      </c>
      <c r="D26" s="103">
        <v>919.39</v>
      </c>
      <c r="E26" s="103">
        <v>1059.0999999999999</v>
      </c>
      <c r="F26" s="103">
        <v>1118.6599999999999</v>
      </c>
      <c r="G26" s="103">
        <v>1454.2199999999998</v>
      </c>
      <c r="H26" s="103">
        <v>1519.3999999999999</v>
      </c>
      <c r="I26" s="103">
        <v>1451.05</v>
      </c>
      <c r="J26" s="103">
        <v>1601.65</v>
      </c>
      <c r="K26" s="103">
        <v>1660.81</v>
      </c>
      <c r="L26" s="103">
        <v>1782.3</v>
      </c>
      <c r="M26" s="103">
        <v>1906.38</v>
      </c>
      <c r="N26" s="103">
        <f>SUM(B26:M26)</f>
        <v>16000.079999999998</v>
      </c>
    </row>
    <row r="27" spans="1:16">
      <c r="A27" s="102" t="s">
        <v>183</v>
      </c>
      <c r="B27" s="103">
        <v>396.863</v>
      </c>
      <c r="C27" s="103">
        <v>731.72500000000002</v>
      </c>
      <c r="D27" s="103">
        <v>523.51499999999999</v>
      </c>
      <c r="E27" s="103">
        <v>840</v>
      </c>
      <c r="F27" s="103">
        <v>978.76599999999985</v>
      </c>
      <c r="G27" s="103">
        <v>921.15</v>
      </c>
      <c r="H27" s="103">
        <v>393.40000000000003</v>
      </c>
      <c r="I27" s="103">
        <v>1058.7</v>
      </c>
      <c r="J27" s="103">
        <v>943.28200000000004</v>
      </c>
      <c r="K27" s="103">
        <v>1124.4769999999999</v>
      </c>
      <c r="L27" s="103">
        <v>1198.873</v>
      </c>
      <c r="M27" s="103">
        <v>1582.6670000000001</v>
      </c>
      <c r="N27" s="103">
        <f>SUM(B27:M27)</f>
        <v>10693.417999999998</v>
      </c>
      <c r="O27" s="126"/>
    </row>
    <row r="28" spans="1:16" hidden="1">
      <c r="A28" s="102" t="s">
        <v>159</v>
      </c>
      <c r="B28" s="104">
        <v>701.1</v>
      </c>
      <c r="C28" s="104">
        <v>826.02</v>
      </c>
      <c r="D28" s="104">
        <v>919.39</v>
      </c>
      <c r="E28" s="104">
        <v>1059.0999999999999</v>
      </c>
      <c r="F28" s="104">
        <v>1118.6599999999999</v>
      </c>
      <c r="G28" s="104">
        <v>1454.2199999999998</v>
      </c>
      <c r="H28" s="104">
        <v>1519.3999999999999</v>
      </c>
      <c r="I28" s="104">
        <v>1451.05</v>
      </c>
      <c r="J28" s="104">
        <v>1601.65</v>
      </c>
      <c r="K28" s="104">
        <v>1122.76</v>
      </c>
      <c r="L28" s="104">
        <v>1549.8999999999999</v>
      </c>
      <c r="M28" s="104">
        <v>1550.9</v>
      </c>
      <c r="N28" s="103">
        <f>SUM(B28:M28)</f>
        <v>14874.149999999998</v>
      </c>
    </row>
    <row r="29" spans="1:16">
      <c r="A29" s="102" t="s">
        <v>160</v>
      </c>
      <c r="B29" s="124">
        <f t="shared" ref="B29:L29" si="0">B42+B43</f>
        <v>250.8</v>
      </c>
      <c r="C29" s="124">
        <f t="shared" si="0"/>
        <v>242</v>
      </c>
      <c r="D29" s="124">
        <f t="shared" si="0"/>
        <v>707.8</v>
      </c>
      <c r="E29" s="124">
        <f t="shared" si="0"/>
        <v>757.69999999999993</v>
      </c>
      <c r="F29" s="124">
        <f t="shared" si="0"/>
        <v>578.20800000000008</v>
      </c>
      <c r="G29" s="124">
        <f t="shared" si="0"/>
        <v>678.90000000000009</v>
      </c>
      <c r="H29" s="124">
        <f t="shared" si="0"/>
        <v>421.5</v>
      </c>
      <c r="I29" s="124">
        <f t="shared" si="0"/>
        <v>1104.4680000000001</v>
      </c>
      <c r="J29" s="124">
        <f t="shared" si="0"/>
        <v>1030.32</v>
      </c>
      <c r="K29" s="124">
        <f t="shared" si="0"/>
        <v>1178.075</v>
      </c>
      <c r="L29" s="124">
        <f t="shared" si="0"/>
        <v>981.09999999999991</v>
      </c>
      <c r="M29" s="124">
        <f>M42+M43</f>
        <v>1860.105</v>
      </c>
      <c r="N29" s="103">
        <f>SUM(B29:M29)</f>
        <v>9790.9759999999987</v>
      </c>
      <c r="P29" s="109"/>
    </row>
    <row r="30" spans="1:16">
      <c r="D30" s="109"/>
      <c r="L30" s="123">
        <f>L29/H29-1</f>
        <v>1.3276393831553972</v>
      </c>
    </row>
    <row r="31" spans="1:16">
      <c r="D31" s="109"/>
    </row>
    <row r="32" spans="1:16" ht="14.5" thickBot="1"/>
    <row r="33" spans="1:16" ht="18" thickBot="1">
      <c r="A33" s="79"/>
      <c r="B33" s="114" t="s">
        <v>131</v>
      </c>
      <c r="C33" s="114" t="s">
        <v>132</v>
      </c>
      <c r="D33" s="114" t="s">
        <v>133</v>
      </c>
      <c r="E33" s="114" t="s">
        <v>134</v>
      </c>
      <c r="F33" s="114" t="s">
        <v>135</v>
      </c>
      <c r="G33" s="114" t="s">
        <v>136</v>
      </c>
      <c r="H33" s="114" t="s">
        <v>138</v>
      </c>
      <c r="I33" s="114" t="s">
        <v>137</v>
      </c>
      <c r="J33" s="114" t="s">
        <v>139</v>
      </c>
      <c r="K33" s="114" t="s">
        <v>140</v>
      </c>
      <c r="L33" s="114" t="s">
        <v>141</v>
      </c>
      <c r="M33" s="114" t="s">
        <v>149</v>
      </c>
      <c r="N33" s="115" t="s">
        <v>145</v>
      </c>
    </row>
    <row r="34" spans="1:16" ht="18" thickBot="1">
      <c r="A34" s="119">
        <v>2020</v>
      </c>
      <c r="B34" s="116"/>
      <c r="C34" s="116"/>
      <c r="D34" s="116"/>
      <c r="E34" s="116"/>
      <c r="F34" s="116"/>
      <c r="G34" s="116"/>
      <c r="H34" s="116"/>
      <c r="I34" s="117">
        <v>67</v>
      </c>
      <c r="J34" s="117">
        <v>85</v>
      </c>
      <c r="K34" s="117">
        <v>146</v>
      </c>
      <c r="L34" s="117">
        <v>155</v>
      </c>
      <c r="M34" s="117">
        <v>124</v>
      </c>
      <c r="N34" s="118">
        <f>SUM(B34:M34)</f>
        <v>577</v>
      </c>
    </row>
    <row r="35" spans="1:16" ht="18" thickBot="1">
      <c r="A35" s="119">
        <v>2021</v>
      </c>
      <c r="B35" s="117">
        <v>144</v>
      </c>
      <c r="C35" s="117">
        <v>6</v>
      </c>
      <c r="D35" s="117">
        <v>401</v>
      </c>
      <c r="E35" s="117">
        <v>695</v>
      </c>
      <c r="F35" s="117">
        <v>88</v>
      </c>
      <c r="G35" s="117">
        <v>30</v>
      </c>
      <c r="H35" s="117">
        <v>95</v>
      </c>
      <c r="I35" s="117">
        <v>65</v>
      </c>
      <c r="J35" s="117">
        <v>224</v>
      </c>
      <c r="K35" s="117">
        <v>223</v>
      </c>
      <c r="L35" s="117">
        <v>586</v>
      </c>
      <c r="M35" s="117">
        <v>1103</v>
      </c>
      <c r="N35" s="118">
        <f t="shared" ref="N35" si="1">SUM(B35:M35)</f>
        <v>3660</v>
      </c>
    </row>
    <row r="36" spans="1:16" ht="18" thickBot="1">
      <c r="A36" s="119">
        <v>2022</v>
      </c>
      <c r="B36" s="117">
        <f>B40+B41</f>
        <v>396.863</v>
      </c>
      <c r="C36" s="117">
        <f t="shared" ref="C36:M36" si="2">C40+C41</f>
        <v>731.72500000000002</v>
      </c>
      <c r="D36" s="117">
        <f t="shared" si="2"/>
        <v>523.51499999999999</v>
      </c>
      <c r="E36" s="117">
        <f t="shared" si="2"/>
        <v>840</v>
      </c>
      <c r="F36" s="117">
        <f t="shared" si="2"/>
        <v>978.76599999999985</v>
      </c>
      <c r="G36" s="117">
        <f t="shared" si="2"/>
        <v>921.15</v>
      </c>
      <c r="H36" s="117">
        <f t="shared" si="2"/>
        <v>393.40000000000003</v>
      </c>
      <c r="I36" s="117">
        <f t="shared" si="2"/>
        <v>1058.7</v>
      </c>
      <c r="J36" s="117">
        <f t="shared" si="2"/>
        <v>943.28200000000004</v>
      </c>
      <c r="K36" s="117">
        <f t="shared" si="2"/>
        <v>1124.4769999999999</v>
      </c>
      <c r="L36" s="117">
        <f t="shared" si="2"/>
        <v>1198.873</v>
      </c>
      <c r="M36" s="117">
        <f t="shared" si="2"/>
        <v>1582.6670000000001</v>
      </c>
      <c r="N36" s="118">
        <f>SUM(B36:M36)</f>
        <v>10693.417999999998</v>
      </c>
    </row>
    <row r="39" spans="1:16">
      <c r="A39" s="121">
        <v>2022</v>
      </c>
      <c r="B39" s="101" t="s">
        <v>131</v>
      </c>
      <c r="C39" s="101" t="s">
        <v>132</v>
      </c>
      <c r="D39" s="101" t="s">
        <v>133</v>
      </c>
      <c r="E39" s="101" t="s">
        <v>134</v>
      </c>
      <c r="F39" s="101" t="s">
        <v>135</v>
      </c>
      <c r="G39" s="101" t="s">
        <v>136</v>
      </c>
      <c r="H39" s="101" t="s">
        <v>138</v>
      </c>
      <c r="I39" s="101" t="s">
        <v>137</v>
      </c>
      <c r="J39" s="101" t="s">
        <v>139</v>
      </c>
      <c r="K39" s="101" t="s">
        <v>140</v>
      </c>
      <c r="L39" s="101" t="s">
        <v>141</v>
      </c>
      <c r="M39" s="101" t="s">
        <v>149</v>
      </c>
      <c r="N39" s="101" t="s">
        <v>150</v>
      </c>
    </row>
    <row r="40" spans="1:16">
      <c r="A40" s="102" t="s">
        <v>167</v>
      </c>
      <c r="B40" s="124">
        <v>396.863</v>
      </c>
      <c r="C40" s="124">
        <v>727.1</v>
      </c>
      <c r="D40" s="124">
        <v>428.065</v>
      </c>
      <c r="E40" s="124">
        <v>750.17499999999995</v>
      </c>
      <c r="F40" s="124">
        <v>933.53599999999983</v>
      </c>
      <c r="G40" s="124">
        <v>919.6</v>
      </c>
      <c r="H40" s="124">
        <v>388.3</v>
      </c>
      <c r="I40" s="124">
        <v>1057.625</v>
      </c>
      <c r="J40" s="124">
        <v>902.47400000000005</v>
      </c>
      <c r="K40" s="124">
        <v>1056.8969999999999</v>
      </c>
      <c r="L40" s="124">
        <v>1080.1990000000001</v>
      </c>
      <c r="M40" s="103">
        <v>1378.075</v>
      </c>
      <c r="N40" s="103">
        <f>SUM(B40:M40)</f>
        <v>10018.909000000001</v>
      </c>
    </row>
    <row r="41" spans="1:16">
      <c r="A41" s="102" t="s">
        <v>168</v>
      </c>
      <c r="B41" s="124"/>
      <c r="C41" s="124">
        <v>4.625</v>
      </c>
      <c r="D41" s="124">
        <v>95.45</v>
      </c>
      <c r="E41" s="124">
        <v>89.825000000000003</v>
      </c>
      <c r="F41" s="125">
        <v>45.230000000000004</v>
      </c>
      <c r="G41" s="124">
        <v>1.55</v>
      </c>
      <c r="H41" s="124">
        <v>5.0999999999999996</v>
      </c>
      <c r="I41" s="124">
        <v>1.075</v>
      </c>
      <c r="J41" s="125">
        <v>40.808</v>
      </c>
      <c r="K41" s="125">
        <v>67.58</v>
      </c>
      <c r="L41" s="124">
        <v>118.67400000000001</v>
      </c>
      <c r="M41" s="103">
        <v>204.59200000000001</v>
      </c>
      <c r="N41" s="103">
        <f>SUM(B41:M41)</f>
        <v>674.50900000000001</v>
      </c>
      <c r="O41" s="109"/>
      <c r="P41" s="109"/>
    </row>
    <row r="42" spans="1:16">
      <c r="A42" s="102" t="s">
        <v>170</v>
      </c>
      <c r="B42" s="104">
        <f>'SL bán so với SL mua 2022- PET'!B30</f>
        <v>250.8</v>
      </c>
      <c r="C42" s="104">
        <f>'SL bán so với SL mua 2022- PET'!C30</f>
        <v>242</v>
      </c>
      <c r="D42" s="104">
        <f>'SL bán so với SL mua 2022- PET'!D30</f>
        <v>665.5</v>
      </c>
      <c r="E42" s="104">
        <f>'SL bán so với SL mua 2022- PET'!E30</f>
        <v>748.4</v>
      </c>
      <c r="F42" s="104">
        <f>'SL bán so với SL mua 2022- PET'!F30</f>
        <v>577.50800000000004</v>
      </c>
      <c r="G42" s="104">
        <f>'SL bán so với SL mua 2022- PET'!G30</f>
        <v>678.7</v>
      </c>
      <c r="H42" s="104">
        <f>'SL bán so với SL mua 2022- PET'!H30</f>
        <v>391.5</v>
      </c>
      <c r="I42" s="104">
        <v>1104.4680000000001</v>
      </c>
      <c r="J42" s="104">
        <f>'SL bán so với SL mua 2022- PET'!J30</f>
        <v>996.6</v>
      </c>
      <c r="K42" s="104">
        <f>'SL bán so với SL mua 2022- PET'!K30</f>
        <v>1002.675</v>
      </c>
      <c r="L42" s="104">
        <v>916.3</v>
      </c>
      <c r="M42" s="104">
        <v>1792.7049999999999</v>
      </c>
      <c r="N42" s="103">
        <f>SUM(B42:M42)</f>
        <v>9367.155999999999</v>
      </c>
      <c r="O42" s="122"/>
    </row>
    <row r="43" spans="1:16">
      <c r="A43" s="102" t="s">
        <v>169</v>
      </c>
      <c r="B43" s="124">
        <f>'SL bán so với SL mua 2022- HDPE'!B30</f>
        <v>0</v>
      </c>
      <c r="C43" s="124">
        <f>'SL bán so với SL mua 2022- HDPE'!C30</f>
        <v>0</v>
      </c>
      <c r="D43" s="124">
        <f>'SL bán so với SL mua 2022- HDPE'!D30</f>
        <v>42.3</v>
      </c>
      <c r="E43" s="124">
        <f>'SL bán so với SL mua 2022- HDPE'!E30</f>
        <v>9.3000000000000007</v>
      </c>
      <c r="F43" s="124">
        <f>'SL bán so với SL mua 2022- HDPE'!F30</f>
        <v>0.7</v>
      </c>
      <c r="G43" s="124">
        <f>'SL bán so với SL mua 2022- HDPE'!G30</f>
        <v>0.2</v>
      </c>
      <c r="H43" s="124">
        <f>'SL bán so với SL mua 2022- HDPE'!H30</f>
        <v>30</v>
      </c>
      <c r="I43" s="124">
        <f>'SL bán so với SL mua 2022- HDPE'!I30</f>
        <v>0</v>
      </c>
      <c r="J43" s="124">
        <f>'SL bán so với SL mua 2022- HDPE'!J30</f>
        <v>33.72</v>
      </c>
      <c r="K43" s="124">
        <f>'SL bán so với SL mua 2022- HDPE'!K30</f>
        <v>175.4</v>
      </c>
      <c r="L43" s="124">
        <f>'SL bán so với SL mua 2022- HDPE'!L30</f>
        <v>64.8</v>
      </c>
      <c r="M43" s="103">
        <f>'SL bán so với SL mua 2022- HDPE'!M30</f>
        <v>67.400000000000006</v>
      </c>
      <c r="N43" s="103">
        <f>SUM(B43:M43)</f>
        <v>423.82000000000005</v>
      </c>
    </row>
    <row r="44" spans="1:16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</row>
    <row r="45" spans="1:16"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</row>
    <row r="47" spans="1:16">
      <c r="L47" s="10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ABF-E4BE-48E0-925A-9A22B412D27E}">
  <dimension ref="A3:W46"/>
  <sheetViews>
    <sheetView showGridLines="0" topLeftCell="A15" zoomScale="80" zoomScaleNormal="80" workbookViewId="0">
      <selection activeCell="N36" sqref="N36"/>
    </sheetView>
  </sheetViews>
  <sheetFormatPr defaultColWidth="8.81640625" defaultRowHeight="16"/>
  <cols>
    <col min="1" max="1" width="25.90625" style="80" bestFit="1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W24" s="92"/>
    </row>
    <row r="27" spans="1:23" ht="7.25" customHeight="1"/>
    <row r="28" spans="1:23" ht="7.25" customHeight="1"/>
    <row r="29" spans="1:23" ht="7.25" customHeight="1"/>
    <row r="30" spans="1:23" ht="7.25" customHeight="1"/>
    <row r="31" spans="1:23" ht="7.25" customHeight="1"/>
    <row r="32" spans="1:23" ht="7.25" customHeight="1"/>
    <row r="33" spans="1:23" ht="7.25" customHeight="1"/>
    <row r="34" spans="1:23">
      <c r="A34" s="93"/>
      <c r="B34" s="94" t="s">
        <v>131</v>
      </c>
      <c r="C34" s="94" t="s">
        <v>132</v>
      </c>
      <c r="D34" s="94" t="s">
        <v>133</v>
      </c>
      <c r="E34" s="94" t="s">
        <v>134</v>
      </c>
      <c r="F34" s="94" t="s">
        <v>135</v>
      </c>
      <c r="G34" s="94" t="s">
        <v>136</v>
      </c>
      <c r="H34" s="94" t="s">
        <v>138</v>
      </c>
      <c r="I34" s="94" t="s">
        <v>137</v>
      </c>
      <c r="J34" s="94" t="s">
        <v>139</v>
      </c>
      <c r="K34" s="94" t="s">
        <v>140</v>
      </c>
      <c r="L34" s="94" t="s">
        <v>141</v>
      </c>
      <c r="M34" s="94" t="s">
        <v>149</v>
      </c>
      <c r="N34" s="94" t="s">
        <v>150</v>
      </c>
      <c r="O34" s="80" t="s">
        <v>165</v>
      </c>
      <c r="Q34" s="113"/>
    </row>
    <row r="35" spans="1:23" s="105" customFormat="1">
      <c r="A35" s="105" t="s">
        <v>161</v>
      </c>
      <c r="B35" s="106">
        <f>'Mua-bán PET'!B30+'Mua-bán HD'!B30+'Mua-bán-PP'!B29</f>
        <v>1725.373</v>
      </c>
      <c r="C35" s="128">
        <f>'Mua-bán PET'!C30+'Mua-bán HD'!C30+'Mua-bán-PP'!C29</f>
        <v>2432.70336</v>
      </c>
      <c r="D35" s="107">
        <f>'Mua-bán PET'!D30+'Mua-bán HD'!D30+'Mua-bán-PP'!D29</f>
        <v>4428.8812799999996</v>
      </c>
      <c r="E35" s="107">
        <f>'Mua-bán PET'!E30+'Mua-bán HD'!E30+'Mua-bán-PP'!E29</f>
        <v>6853.6959999999999</v>
      </c>
      <c r="F35" s="107">
        <f>'Mua-bán PET'!F30+'Mua-bán HD'!F30+'Mua-bán-PP'!F29</f>
        <v>5297.1019999999999</v>
      </c>
      <c r="G35" s="107">
        <f>'Mua-bán PET'!G30+'Mua-bán HD'!G30+'Mua-bán-PP'!G29</f>
        <v>4829.8689999999997</v>
      </c>
      <c r="H35" s="107">
        <f>'Mua-bán PET'!H30+'Mua-bán HD'!H30+'Mua-bán-PP'!H29</f>
        <v>4950.8580399999992</v>
      </c>
      <c r="I35" s="107">
        <f>'Mua-bán PET'!I30+'Mua-bán HD'!I30+'Mua-bán-PP'!I29</f>
        <v>6367.8262000000004</v>
      </c>
      <c r="J35" s="107">
        <f>'Mua-bán PET'!J30+'Mua-bán HD'!J30+'Mua-bán-PP'!J29</f>
        <v>3608.2051200000001</v>
      </c>
      <c r="K35" s="107">
        <f>'Mua-bán PET'!K30+'Mua-bán HD'!K30+'Mua-bán-PP'!K29</f>
        <v>3341.95912</v>
      </c>
      <c r="L35" s="107">
        <f>'Mua-bán PET'!L30+'Mua-bán HD'!L30+'Mua-bán-PP'!L29</f>
        <v>3276.04268</v>
      </c>
      <c r="M35" s="107">
        <f>'Mua-bán PET'!M30+'Mua-bán HD'!M30+'Mua-bán-PP'!M29</f>
        <v>3648.4360000000001</v>
      </c>
      <c r="N35" s="106">
        <f>SUM(B35:M35)</f>
        <v>50760.951799999995</v>
      </c>
      <c r="O35" s="127"/>
      <c r="P35" s="105" t="s">
        <v>163</v>
      </c>
      <c r="Q35" s="106"/>
      <c r="W35" s="108"/>
    </row>
    <row r="36" spans="1:23" s="105" customFormat="1">
      <c r="A36" s="105" t="s">
        <v>162</v>
      </c>
      <c r="B36" s="106">
        <f>'Tổng SX và bán'!B27</f>
        <v>3487.9992999999999</v>
      </c>
      <c r="C36" s="106">
        <f>'Tổng SX và bán'!C27</f>
        <v>5476.6750000000002</v>
      </c>
      <c r="D36" s="106">
        <f>'Tổng SX và bán'!D27</f>
        <v>4580.05</v>
      </c>
      <c r="E36" s="106">
        <f>'Tổng SX và bán'!E27</f>
        <v>3850.9250000000002</v>
      </c>
      <c r="F36" s="106">
        <f>'Tổng SX và bán'!F27</f>
        <v>4582.7242999999999</v>
      </c>
      <c r="G36" s="106">
        <f>'Tổng SX và bán'!G27</f>
        <v>3673.2080000000001</v>
      </c>
      <c r="H36" s="106">
        <f>'Tổng SX và bán'!H27</f>
        <v>4560.4241000000002</v>
      </c>
      <c r="I36" s="106">
        <f>'Tổng SX và bán'!I27</f>
        <v>5189.3680000000004</v>
      </c>
      <c r="J36" s="106">
        <f>'Tổng SX và bán'!J27</f>
        <v>2657.0430000000001</v>
      </c>
      <c r="K36" s="106">
        <f>'Tổng SX và bán'!K27</f>
        <v>3219.1950000000002</v>
      </c>
      <c r="L36" s="106">
        <f>'Tổng SX và bán'!L27</f>
        <v>2510.4150000000004</v>
      </c>
      <c r="M36" s="106">
        <f>'Tổng SX và bán'!M27</f>
        <v>2781.1109999999999</v>
      </c>
      <c r="N36" s="106">
        <f>'Tổng SX và bán'!N27</f>
        <v>46569.137699999992</v>
      </c>
      <c r="P36" s="105" t="s">
        <v>163</v>
      </c>
      <c r="Q36" s="106"/>
      <c r="R36" s="106"/>
      <c r="W36" s="108"/>
    </row>
    <row r="37" spans="1:23" s="110" customFormat="1">
      <c r="A37" s="110" t="s">
        <v>164</v>
      </c>
      <c r="B37" s="111">
        <f>B35-B36</f>
        <v>-1762.6262999999999</v>
      </c>
      <c r="C37" s="111">
        <f t="shared" ref="C37:L37" si="0">C35-C36</f>
        <v>-3043.9716400000002</v>
      </c>
      <c r="D37" s="111">
        <f t="shared" si="0"/>
        <v>-151.16872000000058</v>
      </c>
      <c r="E37" s="111">
        <f t="shared" si="0"/>
        <v>3002.7709999999997</v>
      </c>
      <c r="F37" s="111">
        <f t="shared" si="0"/>
        <v>714.3777</v>
      </c>
      <c r="G37" s="111">
        <f t="shared" si="0"/>
        <v>1156.6609999999996</v>
      </c>
      <c r="H37" s="111">
        <f t="shared" si="0"/>
        <v>390.43393999999898</v>
      </c>
      <c r="I37" s="111">
        <f t="shared" si="0"/>
        <v>1178.4582</v>
      </c>
      <c r="J37" s="111">
        <f t="shared" si="0"/>
        <v>951.16211999999996</v>
      </c>
      <c r="K37" s="111">
        <f t="shared" si="0"/>
        <v>122.76411999999982</v>
      </c>
      <c r="L37" s="111">
        <f t="shared" si="0"/>
        <v>765.6276799999996</v>
      </c>
      <c r="M37" s="111">
        <f>M35-M36</f>
        <v>867.32500000000027</v>
      </c>
      <c r="N37" s="111">
        <f>N35-N36</f>
        <v>4191.8141000000032</v>
      </c>
      <c r="O37" s="110">
        <f>O35-O36</f>
        <v>0</v>
      </c>
      <c r="Q37" s="111"/>
      <c r="W37" s="112"/>
    </row>
    <row r="38" spans="1:23" s="105" customFormat="1">
      <c r="A38" s="105" t="s">
        <v>176</v>
      </c>
      <c r="B38" s="106">
        <f>'Mua-bán PET'!B31+'Mua-bán HD'!B31+'Mua-bán-PP'!B30</f>
        <v>3047.23</v>
      </c>
      <c r="C38" s="106">
        <f>'Mua-bán PET'!C31+'Mua-bán HD'!C31+'Mua-bán-PP'!C30</f>
        <v>3649.23</v>
      </c>
      <c r="D38" s="106">
        <f>'Mua-bán PET'!D31+'Mua-bán HD'!D31+'Mua-bán-PP'!D30</f>
        <v>3614.0800000000004</v>
      </c>
      <c r="E38" s="106">
        <f>'Mua-bán PET'!E31+'Mua-bán HD'!E31+'Mua-bán-PP'!E30</f>
        <v>3882.1800000000003</v>
      </c>
      <c r="F38" s="106">
        <f>'Mua-bán PET'!F31+'Mua-bán HD'!F31+'Mua-bán-PP'!F30</f>
        <v>5125.4800000000005</v>
      </c>
      <c r="G38" s="106">
        <f>'Mua-bán PET'!G31+'Mua-bán HD'!G31+'Mua-bán-PP'!G30</f>
        <v>4946.2300000000005</v>
      </c>
      <c r="H38" s="106">
        <f>'Mua-bán PET'!H31+'Mua-bán HD'!H31+'Mua-bán-PP'!H30</f>
        <v>5469.23</v>
      </c>
      <c r="I38" s="106">
        <f>'Mua-bán PET'!I31+'Mua-bán HD'!I31+'Mua-bán-PP'!I30</f>
        <v>5438.73</v>
      </c>
      <c r="J38" s="106">
        <f>'Mua-bán PET'!J31+'Mua-bán HD'!J31+'Mua-bán-PP'!J30</f>
        <v>6450.73</v>
      </c>
      <c r="K38" s="106">
        <f>'Mua-bán PET'!K31+'Mua-bán HD'!K31+'Mua-bán-PP'!K30</f>
        <v>6466.95</v>
      </c>
      <c r="L38" s="106">
        <f>'Mua-bán PET'!L31+'Mua-bán HD'!L31+'Mua-bán-PP'!L30</f>
        <v>5968.9699999999993</v>
      </c>
      <c r="M38" s="106">
        <f>'Mua-bán PET'!M31+'Mua-bán HD'!M31+'Mua-bán-PP'!M30</f>
        <v>5940.9599999999991</v>
      </c>
      <c r="N38" s="106">
        <f>SUM(B38:M38)</f>
        <v>59999.999999999993</v>
      </c>
      <c r="Q38" s="106"/>
      <c r="W38" s="108"/>
    </row>
    <row r="39" spans="1:23" s="105" customFormat="1">
      <c r="A39" s="105" t="s">
        <v>179</v>
      </c>
      <c r="B39" s="106">
        <f>'Mua-bán PET'!B35+'Mua-bán HD'!B35+'Mua-bán-PP'!B31</f>
        <v>12431.015950000003</v>
      </c>
      <c r="C39" s="106">
        <f>'Mua-bán PET'!C35+'Mua-bán HD'!C35+'Mua-bán-PP'!C31</f>
        <v>10156.010450000002</v>
      </c>
      <c r="D39" s="106">
        <f>'Mua-bán PET'!D35+'Mua-bán HD'!D35+'Mua-bán-PP'!D31</f>
        <v>10242.050050000002</v>
      </c>
      <c r="E39" s="106">
        <f>'Mua-bán PET'!E35+'Mua-bán HD'!E35+'Mua-bán-PP'!E31</f>
        <v>10385.597450000001</v>
      </c>
      <c r="F39" s="106">
        <f>'Mua-bán PET'!F35+'Mua-bán HD'!F35+'Mua-bán-PP'!F31</f>
        <v>10753.50375</v>
      </c>
      <c r="G39" s="106">
        <f>'Mua-bán PET'!G35+'Mua-bán HD'!G35+'Mua-bán-PP'!G31</f>
        <v>11025.174599999998</v>
      </c>
      <c r="H39" s="106">
        <f>'Mua-bán PET'!H35+'Mua-bán HD'!H35+'Mua-bán-PP'!H31</f>
        <v>11073.453800000001</v>
      </c>
      <c r="I39" s="106">
        <f>'Mua-bán PET'!I35+'Mua-bán HD'!I35+'Mua-bán-PP'!I31</f>
        <v>10325.593199999999</v>
      </c>
      <c r="J39" s="106">
        <f>'Mua-bán PET'!J35+'Mua-bán HD'!J35+'Mua-bán-PP'!J31</f>
        <v>11528.4915</v>
      </c>
      <c r="K39" s="106">
        <f>'Mua-bán PET'!K35+'Mua-bán HD'!K35+'Mua-bán-PP'!K31</f>
        <v>12582.099049999999</v>
      </c>
      <c r="L39" s="106">
        <f>'Mua-bán PET'!L35+'Mua-bán HD'!L35+'Mua-bán-PP'!L31</f>
        <v>11606.9877</v>
      </c>
      <c r="M39" s="106">
        <f>'Mua-bán PET'!M35+'Mua-bán HD'!M35+'Mua-bán-PP'!M31</f>
        <v>11701.407050000002</v>
      </c>
      <c r="N39" s="106">
        <f>'Mua-bán PET'!N35+'Mua-bán HD'!N35+'Mua-bán-PP'!N31</f>
        <v>11701.407050000002</v>
      </c>
      <c r="Q39" s="106"/>
      <c r="W39" s="108"/>
    </row>
    <row r="40" spans="1:23"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</row>
    <row r="41" spans="1:23">
      <c r="D41" s="129"/>
      <c r="E41" s="129"/>
      <c r="F41" s="98"/>
      <c r="G41" s="129"/>
      <c r="H41" s="129"/>
      <c r="I41" s="129"/>
      <c r="J41" s="129"/>
      <c r="K41" s="129"/>
      <c r="M41" s="148"/>
    </row>
    <row r="42" spans="1:23" ht="16.5">
      <c r="A42" s="129"/>
      <c r="C42" s="129"/>
      <c r="D42" s="130"/>
      <c r="E42" s="157"/>
      <c r="F42" s="163"/>
      <c r="G42" s="164"/>
      <c r="H42" s="129"/>
      <c r="I42" s="163"/>
      <c r="J42" s="130"/>
      <c r="K42" s="143"/>
      <c r="L42" s="129"/>
      <c r="M42" s="129"/>
      <c r="N42" s="129"/>
      <c r="Q42" s="159"/>
    </row>
    <row r="43" spans="1:23">
      <c r="A43" s="130"/>
      <c r="B43" s="130"/>
      <c r="C43" s="130"/>
      <c r="D43" s="130"/>
      <c r="E43" s="158"/>
      <c r="F43" s="164"/>
      <c r="G43" s="164"/>
      <c r="H43" s="130"/>
      <c r="I43" s="163"/>
      <c r="J43" s="130"/>
      <c r="K43" s="129"/>
      <c r="L43" s="144"/>
      <c r="M43" s="145"/>
    </row>
    <row r="44" spans="1:23">
      <c r="B44" s="130"/>
      <c r="C44" s="130"/>
      <c r="E44" s="158"/>
      <c r="F44" s="162"/>
      <c r="G44" s="147"/>
      <c r="H44" s="130"/>
      <c r="I44" s="149"/>
      <c r="J44" s="130"/>
      <c r="K44" s="130"/>
      <c r="L44" s="144"/>
    </row>
    <row r="45" spans="1:23">
      <c r="B45" s="155"/>
      <c r="E45" s="157"/>
      <c r="F45" s="157"/>
      <c r="I45" s="163"/>
    </row>
    <row r="46" spans="1:23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</row>
  </sheetData>
  <pageMargins left="0.17" right="0.17" top="0.17" bottom="0.17" header="0.17" footer="0.17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B1C5-225C-4935-9DD8-F1E4DB1CA582}">
  <dimension ref="A3:W40"/>
  <sheetViews>
    <sheetView showGridLines="0" topLeftCell="A18" zoomScale="90" zoomScaleNormal="90" workbookViewId="0">
      <selection activeCell="N35" sqref="N35"/>
    </sheetView>
  </sheetViews>
  <sheetFormatPr defaultColWidth="8.81640625" defaultRowHeight="16"/>
  <cols>
    <col min="1" max="1" width="22.1796875" style="80" customWidth="1"/>
    <col min="2" max="13" width="9.1796875" style="80" customWidth="1"/>
    <col min="14" max="15" width="8.81640625" style="80"/>
    <col min="16" max="16" width="9.81640625" style="80" bestFit="1" customWidth="1"/>
    <col min="17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W24" s="92"/>
    </row>
    <row r="28" spans="1:23">
      <c r="A28" s="93" t="s">
        <v>148</v>
      </c>
      <c r="B28" s="94" t="s">
        <v>131</v>
      </c>
      <c r="C28" s="94" t="s">
        <v>132</v>
      </c>
      <c r="D28" s="94" t="s">
        <v>133</v>
      </c>
      <c r="E28" s="94" t="s">
        <v>134</v>
      </c>
      <c r="F28" s="94" t="s">
        <v>135</v>
      </c>
      <c r="G28" s="94" t="s">
        <v>136</v>
      </c>
      <c r="H28" s="94" t="s">
        <v>138</v>
      </c>
      <c r="I28" s="94" t="s">
        <v>137</v>
      </c>
      <c r="J28" s="94" t="s">
        <v>139</v>
      </c>
      <c r="K28" s="94" t="s">
        <v>140</v>
      </c>
      <c r="L28" s="94" t="s">
        <v>141</v>
      </c>
      <c r="M28" s="94" t="s">
        <v>149</v>
      </c>
      <c r="N28" s="94" t="s">
        <v>150</v>
      </c>
      <c r="P28" s="80" t="s">
        <v>188</v>
      </c>
      <c r="Q28" s="80" t="s">
        <v>189</v>
      </c>
      <c r="R28" s="80" t="s">
        <v>190</v>
      </c>
    </row>
    <row r="29" spans="1:23">
      <c r="A29" s="95" t="s">
        <v>177</v>
      </c>
      <c r="B29" s="96">
        <f>'SX và bán PET'!B28+'SX và bán xơ sợi'!B28</f>
        <v>3307.1493</v>
      </c>
      <c r="C29" s="96">
        <f>'SX và bán PET'!C28+'SX và bán xơ sợi'!C28</f>
        <v>5164.5</v>
      </c>
      <c r="D29" s="96">
        <f>'SX và bán PET'!D28+'SX và bán xơ sợi'!D28</f>
        <v>4052.3</v>
      </c>
      <c r="E29" s="96">
        <f>'SX và bán PET'!E28+'SX và bán xơ sợi'!E28</f>
        <v>3575.4</v>
      </c>
      <c r="F29" s="96">
        <f>'SX và bán PET'!F28+'SX và bán xơ sợi'!F28</f>
        <v>4207.0102999999999</v>
      </c>
      <c r="G29" s="96">
        <f>'SX và bán PET'!G28+'SX và bán xơ sợi'!G28</f>
        <v>3249.9830000000002</v>
      </c>
      <c r="H29" s="96">
        <f>'SX và bán PET'!H28+'SX và bán xơ sợi'!H28</f>
        <v>4238.1490999999996</v>
      </c>
      <c r="I29" s="96">
        <f>'SX và bán PET'!I28+'SX và bán xơ sợi'!I28</f>
        <v>4665.9430000000002</v>
      </c>
      <c r="J29" s="96">
        <f>'SX và bán PET'!J28+'SX và bán xơ sợi'!J28</f>
        <v>1989.65</v>
      </c>
      <c r="K29" s="96">
        <f>'SX và bán PET'!K28+'SX và bán xơ sợi'!K28</f>
        <v>2532.0950000000003</v>
      </c>
      <c r="L29" s="96">
        <f>'SX và bán PET'!L28+'SX và bán xơ sợi'!L28</f>
        <v>2054.94</v>
      </c>
      <c r="M29" s="96">
        <f>'SX và bán PET'!M28+'SX và bán xơ sợi'!M28</f>
        <v>2365.25</v>
      </c>
      <c r="N29" s="97">
        <f>SUM(B29:M29)</f>
        <v>41402.369700000003</v>
      </c>
      <c r="O29" s="98"/>
      <c r="P29" s="158">
        <v>26340</v>
      </c>
      <c r="Q29" s="98">
        <v>1230</v>
      </c>
      <c r="R29" s="80">
        <v>1170</v>
      </c>
    </row>
    <row r="30" spans="1:23">
      <c r="A30" s="95" t="s">
        <v>175</v>
      </c>
      <c r="B30" s="96">
        <v>1377.509</v>
      </c>
      <c r="C30" s="96">
        <v>2057.9373599999999</v>
      </c>
      <c r="D30" s="96">
        <v>4108.3752800000002</v>
      </c>
      <c r="E30" s="96">
        <v>6538.9610000000002</v>
      </c>
      <c r="F30" s="96">
        <v>5007.0789999999997</v>
      </c>
      <c r="G30" s="96">
        <v>4674.0140000000001</v>
      </c>
      <c r="H30" s="96">
        <v>4795.8326399999996</v>
      </c>
      <c r="I30" s="96">
        <v>6200.3274000000001</v>
      </c>
      <c r="J30" s="96">
        <v>3502.8753200000001</v>
      </c>
      <c r="K30" s="96">
        <v>3282.54232</v>
      </c>
      <c r="L30" s="96">
        <v>3204.5250799999999</v>
      </c>
      <c r="M30" s="96">
        <v>3588.9670000000001</v>
      </c>
      <c r="N30" s="97">
        <f t="shared" ref="N30" si="0">SUM(B30:M30)</f>
        <v>48338.945399999997</v>
      </c>
      <c r="O30" s="98"/>
    </row>
    <row r="31" spans="1:23">
      <c r="A31" s="95" t="s">
        <v>176</v>
      </c>
      <c r="B31" s="96">
        <f>'SX và bán PET'!B29+'SX và bán xơ sợi'!B29</f>
        <v>2736.29</v>
      </c>
      <c r="C31" s="96">
        <f>'SX và bán PET'!C29+'SX và bán xơ sợi'!C29</f>
        <v>3222.29</v>
      </c>
      <c r="D31" s="96">
        <f>'SX và bán PET'!D29+'SX và bán xơ sợi'!D29</f>
        <v>3068.8900000000003</v>
      </c>
      <c r="E31" s="96">
        <f>'SX và bán PET'!E29+'SX và bán xơ sợi'!E29</f>
        <v>3137.2400000000002</v>
      </c>
      <c r="F31" s="96">
        <f>'SX và bán PET'!F29+'SX và bán xơ sợi'!F29</f>
        <v>4345.5400000000009</v>
      </c>
      <c r="G31" s="96">
        <f>'SX và bán PET'!G29+'SX và bán xơ sợi'!G29</f>
        <v>4153.5400000000009</v>
      </c>
      <c r="H31" s="96">
        <f>'SX và bán PET'!H29+'SX và bán xơ sợi'!H29</f>
        <v>4535.54</v>
      </c>
      <c r="I31" s="96">
        <f>'SX và bán PET'!I29+'SX và bán xơ sợi'!I29</f>
        <v>4449.54</v>
      </c>
      <c r="J31" s="96">
        <f>'SX và bán PET'!J29+'SX và bán xơ sợi'!J29</f>
        <v>5395.54</v>
      </c>
      <c r="K31" s="96">
        <f>'SX và bán PET'!K29+'SX và bán xơ sợi'!K29</f>
        <v>5402.26</v>
      </c>
      <c r="L31" s="96">
        <f>'SX và bán PET'!L29+'SX và bán xơ sợi'!L29</f>
        <v>4778.78</v>
      </c>
      <c r="M31" s="96">
        <f>'SX và bán PET'!M29+'SX và bán xơ sợi'!M29</f>
        <v>4774.7699999999995</v>
      </c>
      <c r="N31" s="97">
        <f>SUM(B31:M31)</f>
        <v>50000.22</v>
      </c>
      <c r="O31" s="98"/>
    </row>
    <row r="32" spans="1:23" hidden="1">
      <c r="A32" s="95" t="s">
        <v>154</v>
      </c>
      <c r="B32" s="99">
        <f>N29</f>
        <v>41402.369700000003</v>
      </c>
      <c r="C32" s="99">
        <f>B32</f>
        <v>41402.369700000003</v>
      </c>
      <c r="D32" s="99">
        <f t="shared" ref="D32:M34" si="1">C32</f>
        <v>41402.369700000003</v>
      </c>
      <c r="E32" s="99">
        <f t="shared" si="1"/>
        <v>41402.369700000003</v>
      </c>
      <c r="F32" s="99">
        <f>E32</f>
        <v>41402.369700000003</v>
      </c>
      <c r="G32" s="99">
        <f t="shared" si="1"/>
        <v>41402.369700000003</v>
      </c>
      <c r="H32" s="99">
        <f t="shared" si="1"/>
        <v>41402.369700000003</v>
      </c>
      <c r="I32" s="99">
        <f t="shared" si="1"/>
        <v>41402.369700000003</v>
      </c>
      <c r="J32" s="99">
        <f t="shared" si="1"/>
        <v>41402.369700000003</v>
      </c>
      <c r="K32" s="99">
        <f t="shared" si="1"/>
        <v>41402.369700000003</v>
      </c>
      <c r="L32" s="99">
        <f t="shared" si="1"/>
        <v>41402.369700000003</v>
      </c>
      <c r="M32" s="99">
        <f t="shared" si="1"/>
        <v>41402.369700000003</v>
      </c>
      <c r="N32" s="88"/>
    </row>
    <row r="33" spans="1:15" hidden="1">
      <c r="A33" s="95" t="s">
        <v>155</v>
      </c>
      <c r="B33" s="99">
        <f>N30</f>
        <v>48338.945399999997</v>
      </c>
      <c r="C33" s="99">
        <f>B33</f>
        <v>48338.945399999997</v>
      </c>
      <c r="D33" s="99">
        <f t="shared" si="1"/>
        <v>48338.945399999997</v>
      </c>
      <c r="E33" s="99">
        <f t="shared" si="1"/>
        <v>48338.945399999997</v>
      </c>
      <c r="F33" s="99">
        <f t="shared" si="1"/>
        <v>48338.945399999997</v>
      </c>
      <c r="G33" s="99">
        <f t="shared" si="1"/>
        <v>48338.945399999997</v>
      </c>
      <c r="H33" s="99">
        <f t="shared" si="1"/>
        <v>48338.945399999997</v>
      </c>
      <c r="I33" s="99">
        <f t="shared" si="1"/>
        <v>48338.945399999997</v>
      </c>
      <c r="J33" s="99">
        <f t="shared" si="1"/>
        <v>48338.945399999997</v>
      </c>
      <c r="K33" s="99">
        <f t="shared" si="1"/>
        <v>48338.945399999997</v>
      </c>
      <c r="L33" s="99">
        <f t="shared" si="1"/>
        <v>48338.945399999997</v>
      </c>
      <c r="M33" s="99">
        <f t="shared" si="1"/>
        <v>48338.945399999997</v>
      </c>
      <c r="N33" s="88"/>
    </row>
    <row r="34" spans="1:15" hidden="1">
      <c r="A34" s="95" t="s">
        <v>156</v>
      </c>
      <c r="B34" s="99">
        <f>N31</f>
        <v>50000.22</v>
      </c>
      <c r="C34" s="99">
        <f>B34</f>
        <v>50000.22</v>
      </c>
      <c r="D34" s="99">
        <f t="shared" si="1"/>
        <v>50000.22</v>
      </c>
      <c r="E34" s="99">
        <f t="shared" si="1"/>
        <v>50000.22</v>
      </c>
      <c r="F34" s="99">
        <f t="shared" si="1"/>
        <v>50000.22</v>
      </c>
      <c r="G34" s="99">
        <f t="shared" si="1"/>
        <v>50000.22</v>
      </c>
      <c r="H34" s="99">
        <f t="shared" si="1"/>
        <v>50000.22</v>
      </c>
      <c r="I34" s="99">
        <f t="shared" si="1"/>
        <v>50000.22</v>
      </c>
      <c r="J34" s="99">
        <f t="shared" si="1"/>
        <v>50000.22</v>
      </c>
      <c r="K34" s="99">
        <f t="shared" si="1"/>
        <v>50000.22</v>
      </c>
      <c r="L34" s="99">
        <f t="shared" si="1"/>
        <v>50000.22</v>
      </c>
      <c r="M34" s="99">
        <f t="shared" si="1"/>
        <v>50000.22</v>
      </c>
      <c r="N34" s="88"/>
    </row>
    <row r="35" spans="1:15">
      <c r="A35" s="95" t="s">
        <v>178</v>
      </c>
      <c r="B35" s="96">
        <f>'SX và bán PET'!B30+'SX và bán xơ sợi'!B30</f>
        <v>8284.8054000000011</v>
      </c>
      <c r="C35" s="96">
        <f>'SX và bán PET'!C30+'SX và bán xơ sợi'!C30</f>
        <v>5953.4868999999999</v>
      </c>
      <c r="D35" s="96">
        <f>'SX và bán PET'!D30+'SX và bán xơ sợi'!D30</f>
        <v>6251.4694000000009</v>
      </c>
      <c r="E35" s="96">
        <f>'SX và bán PET'!E30+'SX và bán xơ sợi'!E30</f>
        <v>6299.5714000000007</v>
      </c>
      <c r="F35" s="96">
        <f>'SX và bán PET'!F30+'SX và bán xơ sợi'!F30</f>
        <v>6545.1701999999996</v>
      </c>
      <c r="G35" s="96">
        <f>'SX và bán PET'!G30+'SX và bán xơ sợi'!G30</f>
        <v>6932.5499499999996</v>
      </c>
      <c r="H35" s="96">
        <f>'SX và bán PET'!H30+'SX và bán xơ sợi'!H30</f>
        <v>6933.0523499999999</v>
      </c>
      <c r="I35" s="96">
        <f>'SX và bán PET'!I30+'SX và bán xơ sợi'!I30</f>
        <v>6423.7518499999996</v>
      </c>
      <c r="J35" s="96">
        <f>'SX và bán PET'!J30+'SX và bán xơ sợi'!J30</f>
        <v>7889.9109499999995</v>
      </c>
      <c r="K35" s="96">
        <f>'SX và bán PET'!K30+'SX và bán xơ sợi'!K30</f>
        <v>9115.2385999999988</v>
      </c>
      <c r="L35" s="96">
        <f>'SX và bán PET'!L30+'SX và bán xơ sợi'!L30</f>
        <v>8471.5702500000007</v>
      </c>
      <c r="M35" s="96">
        <f>'SX và bán PET'!M30+'SX và bán xơ sợi'!M30</f>
        <v>8679.3245500000012</v>
      </c>
      <c r="N35" s="97">
        <f>'SX và bán PET'!N30+'SX và bán xơ sợi'!N30</f>
        <v>8679.3245500000012</v>
      </c>
      <c r="O35" s="98"/>
    </row>
    <row r="36" spans="1:15">
      <c r="G36" s="129"/>
      <c r="H36" s="98"/>
      <c r="J36" s="129"/>
    </row>
    <row r="37" spans="1:15">
      <c r="A37" s="129"/>
      <c r="B37" s="129"/>
      <c r="C37" s="130"/>
      <c r="D37" s="129"/>
      <c r="E37" s="129"/>
      <c r="F37" s="129"/>
      <c r="G37" s="130"/>
      <c r="H37" s="148"/>
      <c r="I37" s="129"/>
      <c r="J37" s="98"/>
      <c r="K37" s="129"/>
      <c r="L37" s="129"/>
      <c r="M37" s="129"/>
    </row>
    <row r="38" spans="1:15">
      <c r="A38" s="130"/>
      <c r="B38" s="130"/>
      <c r="C38" s="130"/>
      <c r="D38" s="130"/>
      <c r="E38" s="130"/>
      <c r="F38" s="130"/>
      <c r="G38" s="130"/>
      <c r="H38" s="129"/>
      <c r="I38" s="129"/>
      <c r="J38" s="142"/>
      <c r="K38" s="129"/>
      <c r="L38" s="129"/>
      <c r="M38" s="129"/>
    </row>
    <row r="39" spans="1:15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</row>
    <row r="40" spans="1:15">
      <c r="B40" s="130"/>
      <c r="C40" s="130"/>
      <c r="E40" s="130"/>
      <c r="F40" s="130"/>
      <c r="I40" s="130"/>
      <c r="K40" s="130"/>
      <c r="L40" s="130"/>
    </row>
  </sheetData>
  <pageMargins left="0.17" right="0.17" top="0.17" bottom="0.17" header="0.17" footer="0.17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86E6-48F7-4422-A90C-EA44EA835325}">
  <dimension ref="A3:W43"/>
  <sheetViews>
    <sheetView topLeftCell="A14" zoomScale="90" zoomScaleNormal="90" workbookViewId="0">
      <selection activeCell="F30" sqref="F30"/>
    </sheetView>
  </sheetViews>
  <sheetFormatPr defaultColWidth="8.81640625" defaultRowHeight="16"/>
  <cols>
    <col min="1" max="1" width="22.1796875" style="80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C22" s="86"/>
      <c r="V22" s="88"/>
      <c r="W22" s="89"/>
    </row>
    <row r="23" spans="1:23">
      <c r="C23" s="86"/>
      <c r="V23" s="88"/>
      <c r="W23" s="89"/>
    </row>
    <row r="24" spans="1:23">
      <c r="V24" s="88" t="s">
        <v>147</v>
      </c>
      <c r="W24" s="89">
        <v>270.8</v>
      </c>
    </row>
    <row r="25" spans="1:23">
      <c r="V25" s="90" t="s">
        <v>145</v>
      </c>
      <c r="W25" s="91">
        <f>SUM(W20:W24)</f>
        <v>580.6</v>
      </c>
    </row>
    <row r="26" spans="1:23">
      <c r="V26" s="113"/>
      <c r="W26" s="139"/>
    </row>
    <row r="27" spans="1:23">
      <c r="V27" s="113"/>
      <c r="W27" s="139"/>
    </row>
    <row r="28" spans="1:23">
      <c r="A28" s="93" t="s">
        <v>157</v>
      </c>
      <c r="B28" s="94" t="s">
        <v>131</v>
      </c>
      <c r="C28" s="94" t="s">
        <v>132</v>
      </c>
      <c r="D28" s="94" t="s">
        <v>133</v>
      </c>
      <c r="E28" s="94" t="s">
        <v>134</v>
      </c>
      <c r="F28" s="94" t="s">
        <v>135</v>
      </c>
      <c r="G28" s="94" t="s">
        <v>136</v>
      </c>
      <c r="H28" s="94" t="s">
        <v>138</v>
      </c>
      <c r="I28" s="94" t="s">
        <v>137</v>
      </c>
      <c r="J28" s="94" t="s">
        <v>139</v>
      </c>
      <c r="K28" s="94" t="s">
        <v>140</v>
      </c>
      <c r="L28" s="94" t="s">
        <v>141</v>
      </c>
      <c r="M28" s="94" t="s">
        <v>149</v>
      </c>
      <c r="N28" s="94" t="s">
        <v>150</v>
      </c>
    </row>
    <row r="29" spans="1:23">
      <c r="A29" s="95" t="s">
        <v>177</v>
      </c>
      <c r="B29" s="96">
        <f>'SX và bán HD'!B28</f>
        <v>180.85</v>
      </c>
      <c r="C29" s="96">
        <f>'SX và bán HD'!C28</f>
        <v>311.5</v>
      </c>
      <c r="D29" s="96">
        <f>'SX và bán HD'!D28</f>
        <v>474.82499999999999</v>
      </c>
      <c r="E29" s="96">
        <f>'SX và bán HD'!E28</f>
        <v>268.85000000000002</v>
      </c>
      <c r="F29" s="96">
        <f>'SX và bán HD'!F28</f>
        <v>351.625</v>
      </c>
      <c r="G29" s="146">
        <f>'SX và bán HD'!G28</f>
        <v>399.22500000000002</v>
      </c>
      <c r="H29" s="96">
        <f>'SX và bán HD'!H28</f>
        <v>271.42500000000001</v>
      </c>
      <c r="I29" s="96">
        <f>'SX và bán HD'!I28</f>
        <v>506.875</v>
      </c>
      <c r="J29" s="96">
        <f>'SX và bán HD'!J28</f>
        <v>608.125</v>
      </c>
      <c r="K29" s="96">
        <f>'SX và bán HD'!K28</f>
        <v>659.32500000000005</v>
      </c>
      <c r="L29" s="96">
        <f>'SX và bán HD'!L28</f>
        <v>455.47500000000002</v>
      </c>
      <c r="M29" s="96">
        <f>'SX và bán HD'!M28</f>
        <v>387.65</v>
      </c>
      <c r="N29" s="97">
        <f>SUM(B29:M29)</f>
        <v>4875.75</v>
      </c>
      <c r="O29" s="98"/>
    </row>
    <row r="30" spans="1:23">
      <c r="A30" s="95" t="s">
        <v>175</v>
      </c>
      <c r="B30" s="96">
        <v>347.86399999999998</v>
      </c>
      <c r="C30" s="96">
        <f>353.01+8.464</f>
        <v>361.47399999999999</v>
      </c>
      <c r="D30" s="96">
        <f>271.884+5.328</f>
        <v>277.21199999999999</v>
      </c>
      <c r="E30" s="96">
        <f>280.074+8.698</f>
        <v>288.77199999999999</v>
      </c>
      <c r="F30" s="96">
        <f>242.541+15.52</f>
        <v>258.06099999999998</v>
      </c>
      <c r="G30" s="96">
        <f>149.62+4.745</f>
        <v>154.36500000000001</v>
      </c>
      <c r="H30" s="96">
        <f>138.1614+7.616</f>
        <v>145.7774</v>
      </c>
      <c r="I30" s="96">
        <f>127.6728+18.932</f>
        <v>146.60479999999998</v>
      </c>
      <c r="J30" s="96">
        <f>83.7868+21.543</f>
        <v>105.32980000000001</v>
      </c>
      <c r="K30" s="96">
        <f>31.1168+28.3</f>
        <v>59.416800000000002</v>
      </c>
      <c r="L30" s="96">
        <f>47.9076+23.61</f>
        <v>71.517600000000002</v>
      </c>
      <c r="M30" s="96">
        <f>35.534+19.42</f>
        <v>54.954000000000001</v>
      </c>
      <c r="N30" s="97">
        <f>SUM(B30:M30)</f>
        <v>2271.3484000000003</v>
      </c>
      <c r="O30" s="98"/>
    </row>
    <row r="31" spans="1:23">
      <c r="A31" s="95" t="s">
        <v>176</v>
      </c>
      <c r="B31" s="96">
        <f>'SX và bán HD'!B29</f>
        <v>260</v>
      </c>
      <c r="C31" s="96">
        <f>'SX và bán HD'!C29</f>
        <v>366</v>
      </c>
      <c r="D31" s="96">
        <f>'SX và bán HD'!D29</f>
        <v>458.75</v>
      </c>
      <c r="E31" s="96">
        <f>'SX và bán HD'!E29</f>
        <v>673.25</v>
      </c>
      <c r="F31" s="96">
        <f>'SX và bán HD'!F29</f>
        <v>688.25</v>
      </c>
      <c r="G31" s="96">
        <f>'SX và bán HD'!G29</f>
        <v>721.25</v>
      </c>
      <c r="H31" s="96">
        <f>'SX và bán HD'!H29</f>
        <v>832.25</v>
      </c>
      <c r="I31" s="96">
        <f>'SX và bán HD'!I29</f>
        <v>907.75</v>
      </c>
      <c r="J31" s="96">
        <f>'SX và bán HD'!J29</f>
        <v>953.75</v>
      </c>
      <c r="K31" s="96">
        <f>'SX và bán HD'!K29</f>
        <v>977.25</v>
      </c>
      <c r="L31" s="96">
        <f>'SX và bán HD'!L29</f>
        <v>1082.75</v>
      </c>
      <c r="M31" s="96">
        <f>'SX và bán HD'!M29</f>
        <v>1078.75</v>
      </c>
      <c r="N31" s="97">
        <f>SUM(B31:M31)</f>
        <v>9000</v>
      </c>
      <c r="O31" s="98"/>
    </row>
    <row r="32" spans="1:23" hidden="1">
      <c r="A32" s="95" t="s">
        <v>154</v>
      </c>
      <c r="B32" s="99">
        <f>N29</f>
        <v>4875.75</v>
      </c>
      <c r="C32" s="99">
        <f>B32</f>
        <v>4875.75</v>
      </c>
      <c r="D32" s="99">
        <f t="shared" ref="D32:M34" si="0">C32</f>
        <v>4875.75</v>
      </c>
      <c r="E32" s="99">
        <f t="shared" si="0"/>
        <v>4875.75</v>
      </c>
      <c r="F32" s="99">
        <f t="shared" si="0"/>
        <v>4875.75</v>
      </c>
      <c r="G32" s="99">
        <f t="shared" si="0"/>
        <v>4875.75</v>
      </c>
      <c r="H32" s="99">
        <f t="shared" si="0"/>
        <v>4875.75</v>
      </c>
      <c r="I32" s="99">
        <f t="shared" si="0"/>
        <v>4875.75</v>
      </c>
      <c r="J32" s="99">
        <f t="shared" si="0"/>
        <v>4875.75</v>
      </c>
      <c r="K32" s="99">
        <f t="shared" si="0"/>
        <v>4875.75</v>
      </c>
      <c r="L32" s="99">
        <f t="shared" si="0"/>
        <v>4875.75</v>
      </c>
      <c r="M32" s="99">
        <f t="shared" si="0"/>
        <v>4875.75</v>
      </c>
      <c r="N32" s="88"/>
    </row>
    <row r="33" spans="1:15" hidden="1">
      <c r="A33" s="95" t="s">
        <v>155</v>
      </c>
      <c r="B33" s="99">
        <f>N30</f>
        <v>2271.3484000000003</v>
      </c>
      <c r="C33" s="99">
        <f>B33</f>
        <v>2271.3484000000003</v>
      </c>
      <c r="D33" s="99">
        <f t="shared" si="0"/>
        <v>2271.3484000000003</v>
      </c>
      <c r="E33" s="99">
        <f t="shared" si="0"/>
        <v>2271.3484000000003</v>
      </c>
      <c r="F33" s="99">
        <f t="shared" si="0"/>
        <v>2271.3484000000003</v>
      </c>
      <c r="G33" s="99">
        <f t="shared" si="0"/>
        <v>2271.3484000000003</v>
      </c>
      <c r="H33" s="99">
        <f t="shared" si="0"/>
        <v>2271.3484000000003</v>
      </c>
      <c r="I33" s="99">
        <f t="shared" si="0"/>
        <v>2271.3484000000003</v>
      </c>
      <c r="J33" s="99">
        <f t="shared" si="0"/>
        <v>2271.3484000000003</v>
      </c>
      <c r="K33" s="99">
        <f t="shared" si="0"/>
        <v>2271.3484000000003</v>
      </c>
      <c r="L33" s="99">
        <f t="shared" si="0"/>
        <v>2271.3484000000003</v>
      </c>
      <c r="M33" s="99">
        <f t="shared" si="0"/>
        <v>2271.3484000000003</v>
      </c>
      <c r="N33" s="88"/>
    </row>
    <row r="34" spans="1:15" hidden="1">
      <c r="A34" s="95" t="s">
        <v>156</v>
      </c>
      <c r="B34" s="99">
        <f>N31</f>
        <v>9000</v>
      </c>
      <c r="C34" s="99">
        <f>B34</f>
        <v>9000</v>
      </c>
      <c r="D34" s="99">
        <f t="shared" si="0"/>
        <v>9000</v>
      </c>
      <c r="E34" s="99">
        <f t="shared" si="0"/>
        <v>9000</v>
      </c>
      <c r="F34" s="99">
        <f t="shared" si="0"/>
        <v>9000</v>
      </c>
      <c r="G34" s="99">
        <f t="shared" si="0"/>
        <v>9000</v>
      </c>
      <c r="H34" s="99">
        <f t="shared" si="0"/>
        <v>9000</v>
      </c>
      <c r="I34" s="99">
        <f t="shared" si="0"/>
        <v>9000</v>
      </c>
      <c r="J34" s="99">
        <f t="shared" si="0"/>
        <v>9000</v>
      </c>
      <c r="K34" s="99">
        <f t="shared" si="0"/>
        <v>9000</v>
      </c>
      <c r="L34" s="99">
        <f t="shared" si="0"/>
        <v>9000</v>
      </c>
      <c r="M34" s="99">
        <f t="shared" si="0"/>
        <v>9000</v>
      </c>
      <c r="N34" s="88"/>
    </row>
    <row r="35" spans="1:15">
      <c r="A35" s="95" t="s">
        <v>178</v>
      </c>
      <c r="B35" s="96">
        <f>'SX và bán HD'!B30</f>
        <v>3744.9288000000006</v>
      </c>
      <c r="C35" s="96">
        <f>'SX và bán HD'!C30</f>
        <v>3800.9818000000005</v>
      </c>
      <c r="D35" s="96">
        <f>'SX và bán HD'!D30</f>
        <v>3612.9632000000006</v>
      </c>
      <c r="E35" s="96">
        <f>'SX và bán HD'!E30</f>
        <v>3701.6711000000005</v>
      </c>
      <c r="F35" s="96">
        <f>'SX và bán HD'!F30</f>
        <v>3814.8038000000001</v>
      </c>
      <c r="G35" s="96">
        <f>'SX và bán HD'!G30</f>
        <v>3735.7371000000003</v>
      </c>
      <c r="H35" s="96">
        <f>'SX và bán HD'!H30</f>
        <v>3823.3564000000001</v>
      </c>
      <c r="I35" s="96">
        <f>'SX và bán HD'!I30</f>
        <v>3590.3818000000001</v>
      </c>
      <c r="J35" s="96">
        <f>'SX và bán HD'!J30</f>
        <v>3317.6709999999998</v>
      </c>
      <c r="K35" s="96">
        <f>'SX và bán HD'!K30</f>
        <v>3161.4223999999995</v>
      </c>
      <c r="L35" s="96">
        <f>'SX và bán HD'!L30</f>
        <v>2833.8098</v>
      </c>
      <c r="M35" s="96">
        <f>'SX và bán HD'!M30</f>
        <v>2734.19</v>
      </c>
      <c r="N35" s="97">
        <f>'SX và bán HD'!N30</f>
        <v>2734.19</v>
      </c>
      <c r="O35" s="98"/>
    </row>
    <row r="36" spans="1:15">
      <c r="I36" s="98"/>
      <c r="K36" s="130"/>
      <c r="N36" s="98"/>
    </row>
    <row r="37" spans="1:15" ht="32">
      <c r="B37" s="129"/>
      <c r="C37" s="129"/>
      <c r="D37" s="156" t="s">
        <v>186</v>
      </c>
      <c r="E37" s="129"/>
      <c r="G37" s="129"/>
      <c r="H37" s="98"/>
      <c r="I37" s="98"/>
      <c r="J37" s="98"/>
      <c r="K37" s="98"/>
      <c r="L37" s="98"/>
      <c r="N37" s="98"/>
    </row>
    <row r="38" spans="1:15">
      <c r="B38" s="130"/>
      <c r="C38" s="130"/>
      <c r="D38" s="130"/>
      <c r="E38" s="130"/>
      <c r="F38" s="130"/>
      <c r="G38" s="130"/>
      <c r="H38" s="130"/>
      <c r="I38" s="142"/>
      <c r="J38" s="142"/>
      <c r="K38" s="98"/>
      <c r="L38" s="98"/>
    </row>
    <row r="39" spans="1:15">
      <c r="F39" s="130"/>
      <c r="H39" s="130"/>
      <c r="I39" s="130"/>
      <c r="J39" s="98"/>
      <c r="L39" s="98"/>
    </row>
    <row r="40" spans="1:15">
      <c r="D40" s="98"/>
      <c r="H40" s="98"/>
    </row>
    <row r="41" spans="1:15">
      <c r="D41" s="130"/>
      <c r="I41" s="98"/>
    </row>
    <row r="43" spans="1:15">
      <c r="D43" s="98"/>
    </row>
  </sheetData>
  <pageMargins left="0.17" right="0.17" top="0.17" bottom="0.17" header="0.17" footer="0.17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907E-0544-46E2-BCCD-BDD8F20CB0DE}">
  <dimension ref="A3:W42"/>
  <sheetViews>
    <sheetView topLeftCell="A15" zoomScale="80" zoomScaleNormal="80" workbookViewId="0">
      <selection activeCell="M28" sqref="M28"/>
    </sheetView>
  </sheetViews>
  <sheetFormatPr defaultColWidth="8.81640625" defaultRowHeight="16"/>
  <cols>
    <col min="1" max="1" width="22.1796875" style="80" customWidth="1"/>
    <col min="2" max="13" width="9.1796875" style="80" customWidth="1"/>
    <col min="14" max="21" width="8.81640625" style="80"/>
    <col min="22" max="22" width="0" style="80" hidden="1" customWidth="1"/>
    <col min="23" max="23" width="0" style="87" hidden="1" customWidth="1"/>
    <col min="24" max="16384" width="8.81640625" style="80"/>
  </cols>
  <sheetData>
    <row r="3" spans="1:23">
      <c r="V3" s="81" t="s">
        <v>142</v>
      </c>
      <c r="W3" s="82">
        <f>974.3+569.6</f>
        <v>1543.9</v>
      </c>
    </row>
    <row r="4" spans="1:23">
      <c r="V4" s="81" t="s">
        <v>143</v>
      </c>
      <c r="W4" s="82">
        <v>526.79999999999995</v>
      </c>
    </row>
    <row r="5" spans="1:23">
      <c r="V5" s="81" t="s">
        <v>144</v>
      </c>
      <c r="W5" s="82">
        <v>886.7</v>
      </c>
    </row>
    <row r="6" spans="1:23">
      <c r="V6" s="83" t="s">
        <v>145</v>
      </c>
      <c r="W6" s="84">
        <f>SUM(W3:W5)</f>
        <v>2957.3999999999996</v>
      </c>
    </row>
    <row r="9" spans="1:23" ht="22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</row>
    <row r="10" spans="1:23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2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2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2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2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23">
      <c r="A15" s="85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23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2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2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2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  <row r="20" spans="1:2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23">
      <c r="C21" s="86"/>
      <c r="V21" s="88" t="s">
        <v>146</v>
      </c>
      <c r="W21" s="89">
        <v>309.8</v>
      </c>
    </row>
    <row r="22" spans="1:23">
      <c r="V22" s="88" t="s">
        <v>147</v>
      </c>
      <c r="W22" s="89">
        <v>270.8</v>
      </c>
    </row>
    <row r="23" spans="1:23">
      <c r="V23" s="90" t="s">
        <v>145</v>
      </c>
      <c r="W23" s="91">
        <f>SUM(W20:W22)</f>
        <v>580.6</v>
      </c>
    </row>
    <row r="24" spans="1:23">
      <c r="V24" s="113"/>
      <c r="W24" s="139"/>
    </row>
    <row r="25" spans="1:23">
      <c r="V25" s="113"/>
      <c r="W25" s="139"/>
    </row>
    <row r="26" spans="1:23">
      <c r="V26" s="113"/>
      <c r="W26" s="139"/>
    </row>
    <row r="27" spans="1:23">
      <c r="A27" s="93" t="s">
        <v>157</v>
      </c>
      <c r="B27" s="94" t="s">
        <v>131</v>
      </c>
      <c r="C27" s="94" t="s">
        <v>132</v>
      </c>
      <c r="D27" s="94" t="s">
        <v>133</v>
      </c>
      <c r="E27" s="94" t="s">
        <v>134</v>
      </c>
      <c r="F27" s="94" t="s">
        <v>135</v>
      </c>
      <c r="G27" s="94" t="s">
        <v>136</v>
      </c>
      <c r="H27" s="94" t="s">
        <v>138</v>
      </c>
      <c r="I27" s="94" t="s">
        <v>137</v>
      </c>
      <c r="J27" s="94" t="s">
        <v>139</v>
      </c>
      <c r="K27" s="94" t="s">
        <v>140</v>
      </c>
      <c r="L27" s="94" t="s">
        <v>141</v>
      </c>
      <c r="M27" s="94" t="s">
        <v>149</v>
      </c>
      <c r="N27" s="94" t="s">
        <v>150</v>
      </c>
    </row>
    <row r="28" spans="1:23">
      <c r="A28" s="95" t="s">
        <v>177</v>
      </c>
      <c r="B28" s="96">
        <f>'SX và bán PP'!B28</f>
        <v>0</v>
      </c>
      <c r="C28" s="96">
        <f>'SX và bán PP'!C28</f>
        <v>0.67500000000000004</v>
      </c>
      <c r="D28" s="96">
        <f>'SX và bán PP'!D28</f>
        <v>52.924999999999997</v>
      </c>
      <c r="E28" s="96">
        <f>'SX và bán PP'!E28</f>
        <v>6.6749999999999998</v>
      </c>
      <c r="F28" s="96">
        <f>'SX và bán PP'!F28</f>
        <v>20.25</v>
      </c>
      <c r="G28" s="96">
        <f>'SX và bán PP'!G28</f>
        <v>24</v>
      </c>
      <c r="H28" s="96">
        <f>'SX và bán PP'!H28</f>
        <v>50.85</v>
      </c>
      <c r="I28" s="96">
        <f>'SX và bán PP'!I28</f>
        <v>16.55</v>
      </c>
      <c r="J28" s="96">
        <f>'SX và bán PP'!J28</f>
        <v>51.55</v>
      </c>
      <c r="K28" s="96">
        <f>'SX và bán PP'!K28</f>
        <v>27.774999999999999</v>
      </c>
      <c r="L28" s="96">
        <f>'SX và bán PP'!L28</f>
        <v>0</v>
      </c>
      <c r="M28" s="96">
        <f>'SX và bán PP'!M28</f>
        <v>23.75</v>
      </c>
      <c r="N28" s="97">
        <f>SUM(B28:M28)</f>
        <v>275</v>
      </c>
      <c r="O28" s="98"/>
    </row>
    <row r="29" spans="1:23">
      <c r="A29" s="95" t="s">
        <v>175</v>
      </c>
      <c r="B29" s="96">
        <v>0</v>
      </c>
      <c r="C29" s="96">
        <v>13.292</v>
      </c>
      <c r="D29" s="96">
        <v>43.293999999999997</v>
      </c>
      <c r="E29" s="96">
        <v>25.963000000000001</v>
      </c>
      <c r="F29" s="96">
        <v>31.962</v>
      </c>
      <c r="G29" s="96">
        <v>1.49</v>
      </c>
      <c r="H29" s="96">
        <v>9.2479999999999993</v>
      </c>
      <c r="I29" s="96">
        <v>20.893999999999998</v>
      </c>
      <c r="J29" s="96">
        <v>0</v>
      </c>
      <c r="K29" s="96">
        <v>0</v>
      </c>
      <c r="L29" s="96">
        <v>0</v>
      </c>
      <c r="M29" s="96">
        <v>4.5149999999999997</v>
      </c>
      <c r="N29" s="97">
        <f>SUM(B29:M29)</f>
        <v>150.65799999999999</v>
      </c>
      <c r="O29" s="98"/>
    </row>
    <row r="30" spans="1:23">
      <c r="A30" s="95" t="s">
        <v>176</v>
      </c>
      <c r="B30" s="96">
        <f>'SX và bán PP'!B29</f>
        <v>50.94</v>
      </c>
      <c r="C30" s="96">
        <f>'SX và bán PP'!C29</f>
        <v>60.94</v>
      </c>
      <c r="D30" s="96">
        <f>'SX và bán PP'!D29</f>
        <v>86.44</v>
      </c>
      <c r="E30" s="96">
        <f>'SX và bán PP'!E29</f>
        <v>71.69</v>
      </c>
      <c r="F30" s="96">
        <f>'SX và bán PP'!F29</f>
        <v>91.69</v>
      </c>
      <c r="G30" s="96">
        <f>'SX và bán PP'!G29</f>
        <v>71.44</v>
      </c>
      <c r="H30" s="96">
        <f>'SX và bán PP'!H29</f>
        <v>101.44</v>
      </c>
      <c r="I30" s="96">
        <f>'SX và bán PP'!I29</f>
        <v>81.44</v>
      </c>
      <c r="J30" s="96">
        <f>'SX và bán PP'!J29</f>
        <v>101.44</v>
      </c>
      <c r="K30" s="96">
        <f>'SX và bán PP'!K29</f>
        <v>87.44</v>
      </c>
      <c r="L30" s="96">
        <f>'SX và bán PP'!L29</f>
        <v>107.44</v>
      </c>
      <c r="M30" s="96">
        <f>'SX và bán PP'!M29</f>
        <v>87.44</v>
      </c>
      <c r="N30" s="97">
        <f>SUM(B30:M30)</f>
        <v>999.7800000000002</v>
      </c>
      <c r="O30" s="98"/>
    </row>
    <row r="31" spans="1:23">
      <c r="A31" s="95" t="s">
        <v>178</v>
      </c>
      <c r="B31" s="96">
        <f>'SX và bán PP'!B30</f>
        <v>401.28174999999999</v>
      </c>
      <c r="C31" s="96">
        <f>'SX và bán PP'!C30</f>
        <v>401.54174999999998</v>
      </c>
      <c r="D31" s="96">
        <f>'SX và bán PP'!D30</f>
        <v>377.61744999999996</v>
      </c>
      <c r="E31" s="96">
        <f>'SX và bán PP'!E30</f>
        <v>384.35495000000003</v>
      </c>
      <c r="F31" s="96">
        <f>'SX và bán PP'!F30</f>
        <v>393.52974999999998</v>
      </c>
      <c r="G31" s="96">
        <f>'SX và bán PP'!G30</f>
        <v>356.88755000000003</v>
      </c>
      <c r="H31" s="96">
        <f>'SX và bán PP'!H30</f>
        <v>317.04505</v>
      </c>
      <c r="I31" s="96">
        <f>'SX và bán PP'!I30</f>
        <v>311.45954999999998</v>
      </c>
      <c r="J31" s="96">
        <f>'SX và bán PP'!J30</f>
        <v>320.90954999999997</v>
      </c>
      <c r="K31" s="96">
        <f>'SX và bán PP'!K30</f>
        <v>305.43804999999998</v>
      </c>
      <c r="L31" s="96">
        <f>'SX và bán PP'!L30</f>
        <v>301.60765000000004</v>
      </c>
      <c r="M31" s="96">
        <f>'SX và bán PP'!M30</f>
        <v>287.89249999999998</v>
      </c>
      <c r="N31" s="97">
        <f>'SX và bán PP'!N30</f>
        <v>287.89249999999998</v>
      </c>
      <c r="O31" s="98"/>
    </row>
    <row r="32" spans="1:23" hidden="1">
      <c r="A32" s="95" t="s">
        <v>154</v>
      </c>
      <c r="B32" s="99">
        <f>N28</f>
        <v>275</v>
      </c>
      <c r="C32" s="99">
        <f>B32</f>
        <v>275</v>
      </c>
      <c r="D32" s="99">
        <f t="shared" ref="D32:M34" si="0">C32</f>
        <v>275</v>
      </c>
      <c r="E32" s="99">
        <f t="shared" si="0"/>
        <v>275</v>
      </c>
      <c r="F32" s="99">
        <f t="shared" si="0"/>
        <v>275</v>
      </c>
      <c r="G32" s="99">
        <f t="shared" si="0"/>
        <v>275</v>
      </c>
      <c r="H32" s="99">
        <f t="shared" si="0"/>
        <v>275</v>
      </c>
      <c r="I32" s="99">
        <f t="shared" si="0"/>
        <v>275</v>
      </c>
      <c r="J32" s="99">
        <f t="shared" si="0"/>
        <v>275</v>
      </c>
      <c r="K32" s="99">
        <f t="shared" si="0"/>
        <v>275</v>
      </c>
      <c r="L32" s="99">
        <f t="shared" si="0"/>
        <v>275</v>
      </c>
      <c r="M32" s="99">
        <f t="shared" si="0"/>
        <v>275</v>
      </c>
      <c r="N32" s="88"/>
    </row>
    <row r="33" spans="1:14" hidden="1">
      <c r="A33" s="95" t="s">
        <v>155</v>
      </c>
      <c r="B33" s="99">
        <f>N29</f>
        <v>150.65799999999999</v>
      </c>
      <c r="C33" s="99">
        <f>B33</f>
        <v>150.65799999999999</v>
      </c>
      <c r="D33" s="99">
        <f t="shared" si="0"/>
        <v>150.65799999999999</v>
      </c>
      <c r="E33" s="99">
        <f t="shared" si="0"/>
        <v>150.65799999999999</v>
      </c>
      <c r="F33" s="99">
        <f t="shared" si="0"/>
        <v>150.65799999999999</v>
      </c>
      <c r="G33" s="99">
        <f t="shared" si="0"/>
        <v>150.65799999999999</v>
      </c>
      <c r="H33" s="99">
        <f t="shared" si="0"/>
        <v>150.65799999999999</v>
      </c>
      <c r="I33" s="99">
        <f t="shared" si="0"/>
        <v>150.65799999999999</v>
      </c>
      <c r="J33" s="99">
        <f t="shared" si="0"/>
        <v>150.65799999999999</v>
      </c>
      <c r="K33" s="99">
        <f t="shared" si="0"/>
        <v>150.65799999999999</v>
      </c>
      <c r="L33" s="99">
        <f t="shared" si="0"/>
        <v>150.65799999999999</v>
      </c>
      <c r="M33" s="99">
        <f t="shared" si="0"/>
        <v>150.65799999999999</v>
      </c>
      <c r="N33" s="88"/>
    </row>
    <row r="34" spans="1:14" hidden="1">
      <c r="A34" s="95" t="s">
        <v>156</v>
      </c>
      <c r="B34" s="99">
        <f>N30</f>
        <v>999.7800000000002</v>
      </c>
      <c r="C34" s="99">
        <f>B34</f>
        <v>999.7800000000002</v>
      </c>
      <c r="D34" s="99">
        <f t="shared" si="0"/>
        <v>999.7800000000002</v>
      </c>
      <c r="E34" s="99">
        <f t="shared" si="0"/>
        <v>999.7800000000002</v>
      </c>
      <c r="F34" s="99">
        <f t="shared" si="0"/>
        <v>999.7800000000002</v>
      </c>
      <c r="G34" s="99">
        <f t="shared" si="0"/>
        <v>999.7800000000002</v>
      </c>
      <c r="H34" s="99">
        <f t="shared" si="0"/>
        <v>999.7800000000002</v>
      </c>
      <c r="I34" s="99">
        <f t="shared" si="0"/>
        <v>999.7800000000002</v>
      </c>
      <c r="J34" s="99">
        <f t="shared" si="0"/>
        <v>999.7800000000002</v>
      </c>
      <c r="K34" s="99">
        <f t="shared" si="0"/>
        <v>999.7800000000002</v>
      </c>
      <c r="L34" s="99">
        <f t="shared" si="0"/>
        <v>999.7800000000002</v>
      </c>
      <c r="M34" s="99">
        <f t="shared" si="0"/>
        <v>999.7800000000002</v>
      </c>
      <c r="N34" s="88"/>
    </row>
    <row r="35" spans="1:14">
      <c r="N35" s="98"/>
    </row>
    <row r="36" spans="1:14">
      <c r="D36" s="129"/>
      <c r="I36" s="98"/>
      <c r="J36" s="98"/>
      <c r="K36" s="98"/>
      <c r="N36" s="98"/>
    </row>
    <row r="37" spans="1:14">
      <c r="D37" s="130"/>
      <c r="I37" s="98"/>
    </row>
    <row r="38" spans="1:14">
      <c r="H38" s="98"/>
      <c r="J38" s="98"/>
      <c r="L38" s="98"/>
    </row>
    <row r="39" spans="1:14">
      <c r="H39" s="98"/>
    </row>
    <row r="40" spans="1:14">
      <c r="D40" s="130"/>
    </row>
    <row r="42" spans="1:14">
      <c r="D42" s="98"/>
    </row>
  </sheetData>
  <pageMargins left="0.17" right="0.17" top="0.17" bottom="0.17" header="0.17" footer="0.17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9C3-438C-41F8-B751-C41E5AB2E8CB}">
  <dimension ref="A25:Q50"/>
  <sheetViews>
    <sheetView showGridLines="0" topLeftCell="A13" zoomScaleNormal="100" workbookViewId="0">
      <selection activeCell="M28" sqref="M28"/>
    </sheetView>
  </sheetViews>
  <sheetFormatPr defaultColWidth="8.81640625" defaultRowHeight="14"/>
  <cols>
    <col min="1" max="1" width="13.81640625" style="24" customWidth="1"/>
    <col min="2" max="13" width="8.90625" style="24" customWidth="1"/>
    <col min="14" max="14" width="11.36328125" style="24" bestFit="1" customWidth="1"/>
    <col min="15" max="15" width="15.36328125" style="24" bestFit="1" customWidth="1"/>
    <col min="16" max="16384" width="8.81640625" style="24"/>
  </cols>
  <sheetData>
    <row r="25" spans="1:17">
      <c r="A25" s="120">
        <v>2025</v>
      </c>
      <c r="B25" s="101" t="s">
        <v>131</v>
      </c>
      <c r="C25" s="101" t="s">
        <v>132</v>
      </c>
      <c r="D25" s="101" t="s">
        <v>133</v>
      </c>
      <c r="E25" s="101" t="s">
        <v>134</v>
      </c>
      <c r="F25" s="101" t="s">
        <v>135</v>
      </c>
      <c r="G25" s="101" t="s">
        <v>136</v>
      </c>
      <c r="H25" s="101" t="s">
        <v>138</v>
      </c>
      <c r="I25" s="101" t="s">
        <v>137</v>
      </c>
      <c r="J25" s="101" t="s">
        <v>139</v>
      </c>
      <c r="K25" s="101" t="s">
        <v>140</v>
      </c>
      <c r="L25" s="101" t="s">
        <v>141</v>
      </c>
      <c r="M25" s="101" t="s">
        <v>149</v>
      </c>
      <c r="N25" s="101" t="s">
        <v>150</v>
      </c>
      <c r="O25" s="165"/>
    </row>
    <row r="26" spans="1:17">
      <c r="A26" s="102" t="s">
        <v>171</v>
      </c>
      <c r="B26" s="103">
        <f>'SX và bán PET'!B27+'SX và bán HD'!B27+'SX và bán PP'!B27+'SX và bán xơ sợi'!B27</f>
        <v>1839.7309999999998</v>
      </c>
      <c r="C26" s="103">
        <f>'SX và bán PET'!C27+'SX và bán HD'!C27+'SX và bán PP'!C27+'SX và bán xơ sợi'!C27</f>
        <v>2957.2660000000001</v>
      </c>
      <c r="D26" s="103">
        <f>'SX và bán PET'!D27+'SX và bán HD'!D27+'SX và bán PP'!D27+'SX và bán xơ sợi'!D27</f>
        <v>4821.92</v>
      </c>
      <c r="E26" s="103">
        <f>'SX và bán PET'!E27+'SX và bán HD'!E27+'SX và bán PP'!E27+'SX và bán xơ sợi'!E27</f>
        <v>4088.2489999999993</v>
      </c>
      <c r="F26" s="103">
        <f>'SX và bán PET'!F27+'SX và bán HD'!F27+'SX và bán PP'!F27+'SX và bán xơ sợi'!F27+3.843</f>
        <v>4828.9710000000005</v>
      </c>
      <c r="G26" s="103">
        <f>'SX và bán PET'!G27+'SX và bán HD'!G27+'SX và bán PP'!G27+'SX và bán xơ sợi'!G27+2.16</f>
        <v>4232.4530000000004</v>
      </c>
      <c r="H26" s="103">
        <f>'SX và bán PET'!H27+'SX và bán HD'!H27+'SX và bán PP'!H27+'SX và bán xơ sợi'!H27+0.149</f>
        <v>4561.6410000000005</v>
      </c>
      <c r="I26" s="103">
        <f>'SX và bán PET'!I27+'SX và bán HD'!I27+'SX và bán PP'!I27+'SX và bán xơ sợi'!I27+1.619</f>
        <v>4570.5645000000004</v>
      </c>
      <c r="J26" s="103">
        <f>'SX và bán PET'!J27+'SX và bán HD'!J27+'SX và bán PP'!J27+'SX và bán xơ sợi'!J27+3.786</f>
        <v>4555.5080000000007</v>
      </c>
      <c r="K26" s="103">
        <f>'SX và bán PET'!K27+'SX và bán HD'!K27+'SX và bán PP'!K27+'SX và bán xơ sợi'!K27</f>
        <v>3173.9179999999997</v>
      </c>
      <c r="L26" s="103">
        <f>'SX và bán PET'!L27+'SX và bán HD'!L27+'SX và bán PP'!L27+'SX và bán xơ sợi'!L27+2.65</f>
        <v>2323.2630000000004</v>
      </c>
      <c r="M26" s="103">
        <f>'SX và bán PET'!M27+'SX và bán HD'!M27+'SX và bán PP'!M27+'SX và bán xơ sợi'!M27+1.811</f>
        <v>3552.8617999999997</v>
      </c>
      <c r="N26" s="103">
        <f>SUM(B26:M26)</f>
        <v>45506.346299999997</v>
      </c>
      <c r="O26" s="74"/>
      <c r="Q26" s="141"/>
    </row>
    <row r="27" spans="1:17">
      <c r="A27" s="102" t="s">
        <v>160</v>
      </c>
      <c r="B27" s="103">
        <f>'SX và bán PET'!B28+'SX và bán HD'!B28+'SX và bán PP'!B28+'SX và bán xơ sợi'!B28</f>
        <v>3487.9992999999999</v>
      </c>
      <c r="C27" s="103">
        <f>'SX và bán PET'!C28+'SX và bán HD'!C28+'SX và bán PP'!C28+'SX và bán xơ sợi'!C28</f>
        <v>5476.6750000000002</v>
      </c>
      <c r="D27" s="103">
        <f>'SX và bán PET'!D28+'SX và bán HD'!D28+'SX và bán PP'!D28+'SX và bán xơ sợi'!D28</f>
        <v>4580.05</v>
      </c>
      <c r="E27" s="103">
        <f>'SX và bán PET'!E28+'SX và bán HD'!E28+'SX và bán PP'!E28+'SX và bán xơ sợi'!E28</f>
        <v>3850.9250000000002</v>
      </c>
      <c r="F27" s="103">
        <f>'SX và bán PET'!F28+'SX và bán HD'!F28+'SX và bán PP'!F28+'SX và bán xơ sợi'!F28+3.839</f>
        <v>4582.7242999999999</v>
      </c>
      <c r="G27" s="103">
        <f>'SX và bán PET'!G28+'SX và bán HD'!G28+'SX và bán PP'!G28+'SX và bán xơ sợi'!G28</f>
        <v>3673.2080000000001</v>
      </c>
      <c r="H27" s="103">
        <f>'SX và bán PET'!H28+'SX và bán HD'!H28+'SX và bán PP'!H28+'SX và bán xơ sợi'!H28</f>
        <v>4560.4241000000002</v>
      </c>
      <c r="I27" s="103">
        <f>'SX và bán PET'!I28+'SX và bán HD'!I28+'SX và bán PP'!I28+'SX và bán xơ sợi'!I28</f>
        <v>5189.3680000000004</v>
      </c>
      <c r="J27" s="103">
        <f>'SX và bán PET'!J28+'SX và bán HD'!J28+'SX và bán PP'!J28+'SX và bán xơ sợi'!J28+7.718</f>
        <v>2657.0430000000001</v>
      </c>
      <c r="K27" s="103">
        <f>'SX và bán PET'!K28+'SX và bán HD'!K28+'SX và bán PP'!K28+'SX và bán xơ sợi'!K28</f>
        <v>3219.1950000000002</v>
      </c>
      <c r="L27" s="103">
        <f>'SX và bán PET'!L28+'SX và bán HD'!L28+'SX và bán PP'!L28+'SX và bán xơ sợi'!L28</f>
        <v>2510.4150000000004</v>
      </c>
      <c r="M27" s="103">
        <f>'SX và bán PET'!M28+'SX và bán HD'!M28+'SX và bán PP'!M28+'SX và bán xơ sợi'!M28+4.461</f>
        <v>2781.1109999999999</v>
      </c>
      <c r="N27" s="103">
        <f t="shared" ref="N27:N31" si="0">SUM(B27:M27)</f>
        <v>46569.137699999992</v>
      </c>
      <c r="O27" s="74"/>
      <c r="P27" s="109"/>
    </row>
    <row r="28" spans="1:17">
      <c r="A28" s="102" t="s">
        <v>172</v>
      </c>
      <c r="B28" s="124">
        <f>'SX và bán PET'!B29+'SX và bán HD'!B29+'SX và bán PP'!B29+'SX và bán xơ sợi'!B29</f>
        <v>3047.23</v>
      </c>
      <c r="C28" s="124">
        <f>'SX và bán PET'!C29+'SX và bán HD'!C29+'SX và bán PP'!C29+'SX và bán xơ sợi'!C29</f>
        <v>3649.23</v>
      </c>
      <c r="D28" s="124">
        <f>'SX và bán PET'!D29+'SX và bán HD'!D29+'SX và bán PP'!D29+'SX và bán xơ sợi'!D29</f>
        <v>3614.0800000000004</v>
      </c>
      <c r="E28" s="124">
        <f>'SX và bán PET'!E29+'SX và bán HD'!E29+'SX và bán PP'!E29+'SX và bán xơ sợi'!E29</f>
        <v>3882.1800000000003</v>
      </c>
      <c r="F28" s="124">
        <f>'SX và bán PET'!F29+'SX và bán HD'!F29+'SX và bán PP'!F29+'SX và bán xơ sợi'!F29</f>
        <v>5125.4800000000005</v>
      </c>
      <c r="G28" s="124">
        <f>'SX và bán PET'!G29+'SX và bán HD'!G29+'SX và bán PP'!G29+'SX và bán xơ sợi'!G29</f>
        <v>4946.2300000000005</v>
      </c>
      <c r="H28" s="124">
        <f>'SX và bán PET'!H29+'SX và bán HD'!H29+'SX và bán PP'!H29+'SX và bán xơ sợi'!H29</f>
        <v>5469.23</v>
      </c>
      <c r="I28" s="124">
        <f>'SX và bán PET'!I29+'SX và bán HD'!I29+'SX và bán PP'!I29+'SX và bán xơ sợi'!I29</f>
        <v>5438.73</v>
      </c>
      <c r="J28" s="124">
        <f>'SX và bán PET'!J29+'SX và bán HD'!J29+'SX và bán PP'!J29+'SX và bán xơ sợi'!J29</f>
        <v>6450.73</v>
      </c>
      <c r="K28" s="124">
        <f>'SX và bán PET'!K29+'SX và bán HD'!K29+'SX và bán PP'!K29+'SX và bán xơ sợi'!K29</f>
        <v>6466.95</v>
      </c>
      <c r="L28" s="124">
        <f>'SX và bán PET'!L29+'SX và bán HD'!L29+'SX và bán PP'!L29+'SX và bán xơ sợi'!L29</f>
        <v>5968.9699999999993</v>
      </c>
      <c r="M28" s="124">
        <f>'SX và bán PET'!M29+'SX và bán HD'!M29+'SX và bán PP'!M29+'SX và bán xơ sợi'!M29</f>
        <v>5940.9599999999991</v>
      </c>
      <c r="N28" s="103">
        <f t="shared" si="0"/>
        <v>59999.999999999993</v>
      </c>
      <c r="O28" s="74"/>
      <c r="P28" s="109"/>
    </row>
    <row r="29" spans="1:17">
      <c r="A29" s="102" t="s">
        <v>180</v>
      </c>
      <c r="B29" s="124">
        <f>'SX và bán PET'!B30+'SX và bán HD'!B30+'SX và bán PP'!B30+'SX và bán xơ sợi'!B30</f>
        <v>12431.015950000001</v>
      </c>
      <c r="C29" s="124">
        <f>'SX và bán PET'!C30+'SX và bán HD'!C30+'SX và bán PP'!C30+'SX và bán xơ sợi'!C30</f>
        <v>10156.010450000002</v>
      </c>
      <c r="D29" s="124">
        <f>'SX và bán PET'!D30+'SX và bán HD'!D30+'SX và bán PP'!D30+'SX và bán xơ sợi'!D30</f>
        <v>10242.050050000002</v>
      </c>
      <c r="E29" s="124">
        <f>'SX và bán PET'!E30+'SX và bán HD'!E30+'SX và bán PP'!E30+'SX và bán xơ sợi'!E30</f>
        <v>10385.597450000001</v>
      </c>
      <c r="F29" s="124">
        <f>'SX và bán PET'!F30+'SX và bán HD'!F30+'SX và bán PP'!F30+'SX và bán xơ sợi'!F30</f>
        <v>10753.50375</v>
      </c>
      <c r="G29" s="124">
        <f>'SX và bán PET'!G30+'SX và bán HD'!G30+'SX và bán PP'!G30+'SX và bán xơ sợi'!G30</f>
        <v>11025.1746</v>
      </c>
      <c r="H29" s="124">
        <f>'SX và bán PET'!H30+'SX và bán HD'!H30+'SX và bán PP'!H30+'SX và bán xơ sợi'!H30</f>
        <v>11073.453799999999</v>
      </c>
      <c r="I29" s="124">
        <f>'SX và bán PET'!I30+'SX và bán HD'!I30+'SX và bán PP'!I30+'SX và bán xơ sợi'!I30</f>
        <v>10325.593199999999</v>
      </c>
      <c r="J29" s="124">
        <f>'SX và bán PET'!J30+'SX và bán HD'!J30+'SX và bán PP'!J30+'SX và bán xơ sợi'!J30</f>
        <v>11528.491499999998</v>
      </c>
      <c r="K29" s="124">
        <f>'SX và bán PET'!K30+'SX và bán HD'!K30+'SX và bán PP'!K30+'SX và bán xơ sợi'!K30</f>
        <v>12582.099049999999</v>
      </c>
      <c r="L29" s="124">
        <f>'SX và bán PET'!L30+'SX và bán HD'!L30+'SX và bán PP'!L30+'SX và bán xơ sợi'!L30</f>
        <v>11606.987700000001</v>
      </c>
      <c r="M29" s="124">
        <f>'SX và bán PET'!M30+'SX và bán HD'!M30+'SX và bán PP'!M30+'SX và bán xơ sợi'!M30</f>
        <v>11701.407050000002</v>
      </c>
      <c r="N29" s="124">
        <f>'SX và bán PET'!N30+'SX và bán HD'!N30+'SX và bán PP'!N30+'SX và bán xơ sợi'!N30</f>
        <v>11701.407050000002</v>
      </c>
      <c r="O29" s="74"/>
      <c r="P29" s="109"/>
    </row>
    <row r="30" spans="1:17" hidden="1">
      <c r="A30" s="102" t="s">
        <v>181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03">
        <f t="shared" si="0"/>
        <v>0</v>
      </c>
      <c r="P30" s="109"/>
    </row>
    <row r="31" spans="1:17" hidden="1">
      <c r="A31" s="102" t="s">
        <v>182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03">
        <f t="shared" si="0"/>
        <v>0</v>
      </c>
      <c r="P31" s="109"/>
    </row>
    <row r="32" spans="1:17" ht="17.5" hidden="1">
      <c r="A32" s="132" t="s">
        <v>171</v>
      </c>
      <c r="B32" s="132" t="s">
        <v>131</v>
      </c>
      <c r="C32" s="132" t="s">
        <v>132</v>
      </c>
      <c r="D32" s="132" t="s">
        <v>133</v>
      </c>
      <c r="E32" s="132" t="s">
        <v>134</v>
      </c>
      <c r="F32" s="132" t="s">
        <v>135</v>
      </c>
      <c r="G32" s="132" t="s">
        <v>136</v>
      </c>
      <c r="H32" s="132" t="s">
        <v>138</v>
      </c>
      <c r="I32" s="132" t="s">
        <v>137</v>
      </c>
      <c r="J32" s="132" t="s">
        <v>139</v>
      </c>
      <c r="K32" s="132" t="s">
        <v>140</v>
      </c>
      <c r="L32" s="132" t="s">
        <v>141</v>
      </c>
      <c r="M32" s="132" t="s">
        <v>149</v>
      </c>
      <c r="N32" s="133" t="s">
        <v>145</v>
      </c>
      <c r="O32" s="102"/>
    </row>
    <row r="33" spans="1:16" ht="17.5" hidden="1">
      <c r="A33" s="134">
        <v>2020</v>
      </c>
      <c r="B33" s="135"/>
      <c r="C33" s="135"/>
      <c r="D33" s="135"/>
      <c r="E33" s="135"/>
      <c r="F33" s="135"/>
      <c r="G33" s="135"/>
      <c r="H33" s="135"/>
      <c r="I33" s="135">
        <v>67</v>
      </c>
      <c r="J33" s="135">
        <v>85</v>
      </c>
      <c r="K33" s="135">
        <v>146</v>
      </c>
      <c r="L33" s="135">
        <v>155</v>
      </c>
      <c r="M33" s="135">
        <v>124</v>
      </c>
      <c r="N33" s="137">
        <f>SUM(B33:M33)</f>
        <v>577</v>
      </c>
      <c r="O33" s="131"/>
    </row>
    <row r="34" spans="1:16" ht="17.5" hidden="1">
      <c r="A34" s="134">
        <v>2021</v>
      </c>
      <c r="B34" s="136">
        <v>144</v>
      </c>
      <c r="C34" s="136">
        <v>6</v>
      </c>
      <c r="D34" s="136">
        <v>401</v>
      </c>
      <c r="E34" s="136">
        <v>695</v>
      </c>
      <c r="F34" s="136">
        <v>88</v>
      </c>
      <c r="G34" s="136">
        <v>30</v>
      </c>
      <c r="H34" s="136">
        <v>95</v>
      </c>
      <c r="I34" s="136">
        <v>65</v>
      </c>
      <c r="J34" s="136">
        <v>224</v>
      </c>
      <c r="K34" s="136">
        <v>223</v>
      </c>
      <c r="L34" s="136">
        <v>586</v>
      </c>
      <c r="M34" s="136">
        <v>1103</v>
      </c>
      <c r="N34" s="137">
        <f t="shared" ref="N34:N35" si="1">SUM(B34:M34)</f>
        <v>3660</v>
      </c>
      <c r="O34" s="131"/>
    </row>
    <row r="35" spans="1:16" ht="17.5" hidden="1">
      <c r="A35" s="134">
        <v>2022</v>
      </c>
      <c r="B35" s="136">
        <v>397</v>
      </c>
      <c r="C35" s="136">
        <v>731.72500000000002</v>
      </c>
      <c r="D35" s="136">
        <v>523.51499999999999</v>
      </c>
      <c r="E35" s="136">
        <v>840</v>
      </c>
      <c r="F35" s="136">
        <v>978.76599999999985</v>
      </c>
      <c r="G35" s="136">
        <v>922.24999999999989</v>
      </c>
      <c r="H35" s="136">
        <v>393.4</v>
      </c>
      <c r="I35" s="136">
        <v>1058.7</v>
      </c>
      <c r="J35" s="136">
        <v>943.28250000000003</v>
      </c>
      <c r="K35" s="136">
        <v>1124.2269999999999</v>
      </c>
      <c r="L35" s="136">
        <v>1198.873</v>
      </c>
      <c r="M35" s="136">
        <v>1582.6670000000001</v>
      </c>
      <c r="N35" s="137">
        <f t="shared" si="1"/>
        <v>10694.405499999999</v>
      </c>
      <c r="O35" s="131"/>
    </row>
    <row r="36" spans="1:16" hidden="1"/>
    <row r="37" spans="1:16" hidden="1"/>
    <row r="38" spans="1:16" hidden="1">
      <c r="A38" s="121">
        <v>2023</v>
      </c>
      <c r="B38" s="101" t="s">
        <v>131</v>
      </c>
      <c r="C38" s="101" t="s">
        <v>132</v>
      </c>
      <c r="D38" s="101" t="s">
        <v>133</v>
      </c>
      <c r="E38" s="101" t="s">
        <v>134</v>
      </c>
      <c r="F38" s="101" t="s">
        <v>135</v>
      </c>
      <c r="G38" s="101" t="s">
        <v>136</v>
      </c>
      <c r="H38" s="101" t="s">
        <v>138</v>
      </c>
      <c r="I38" s="101" t="s">
        <v>137</v>
      </c>
      <c r="J38" s="101" t="s">
        <v>139</v>
      </c>
      <c r="K38" s="101" t="s">
        <v>140</v>
      </c>
      <c r="L38" s="101" t="s">
        <v>141</v>
      </c>
      <c r="M38" s="101" t="s">
        <v>149</v>
      </c>
      <c r="N38" s="101" t="s">
        <v>150</v>
      </c>
      <c r="O38" s="102"/>
    </row>
    <row r="39" spans="1:16" hidden="1">
      <c r="A39" s="102" t="s">
        <v>167</v>
      </c>
      <c r="B39" s="124">
        <f>'SX và bán PET'!B27</f>
        <v>1486.2339999999999</v>
      </c>
      <c r="C39" s="124">
        <f>'SX và bán PET'!C27</f>
        <v>2278.12</v>
      </c>
      <c r="D39" s="124">
        <f>'SX và bán PET'!D27</f>
        <v>4026.846</v>
      </c>
      <c r="E39" s="124">
        <f>'SX và bán PET'!E27</f>
        <v>3597.1</v>
      </c>
      <c r="F39" s="124">
        <f>'SX và bán PET'!F27</f>
        <v>4141.1620000000003</v>
      </c>
      <c r="G39" s="124">
        <f>'SX và bán PET'!G27</f>
        <v>3810.13</v>
      </c>
      <c r="H39" s="124">
        <f>'SX và bán PET'!H27</f>
        <v>3923.7</v>
      </c>
      <c r="I39" s="124">
        <f>'SX và bán PET'!I27</f>
        <v>3919.8</v>
      </c>
      <c r="J39" s="124">
        <f>'SX và bán PET'!J27</f>
        <v>3826.3</v>
      </c>
      <c r="K39" s="124">
        <f>'SX và bán PET'!K27</f>
        <v>2438.1999999999998</v>
      </c>
      <c r="L39" s="124">
        <f>'SX và bán PET'!L27</f>
        <v>1861.979</v>
      </c>
      <c r="M39" s="124">
        <f>'SX và bán PET'!M27</f>
        <v>3191.1</v>
      </c>
      <c r="N39" s="103">
        <f>SUM(B39:M39)</f>
        <v>38500.670999999995</v>
      </c>
      <c r="O39" s="131"/>
    </row>
    <row r="40" spans="1:16" hidden="1">
      <c r="A40" s="102" t="s">
        <v>168</v>
      </c>
      <c r="B40" s="124">
        <f>'SX và bán HD'!B27</f>
        <v>248.928</v>
      </c>
      <c r="C40" s="124">
        <f>'SX và bán HD'!C27</f>
        <v>338.13</v>
      </c>
      <c r="D40" s="124">
        <f>'SX và bán HD'!D27</f>
        <v>394.09899999999999</v>
      </c>
      <c r="E40" s="124">
        <f>'SX và bán HD'!E27</f>
        <v>394.50099999999998</v>
      </c>
      <c r="F40" s="124">
        <f>'SX và bán HD'!F27</f>
        <v>544.18899999999996</v>
      </c>
      <c r="G40" s="124">
        <f>'SX và bán HD'!G27</f>
        <v>389.34</v>
      </c>
      <c r="H40" s="124">
        <f>'SX và bán HD'!H27</f>
        <v>410.94200000000001</v>
      </c>
      <c r="I40" s="124">
        <f>'SX và bán HD'!I27</f>
        <v>305.041</v>
      </c>
      <c r="J40" s="124">
        <f>'SX và bán HD'!J27</f>
        <v>346.45699999999999</v>
      </c>
      <c r="K40" s="124">
        <f>'SX và bán HD'!K27</f>
        <v>438.99400000000003</v>
      </c>
      <c r="L40" s="124">
        <f>'SX và bán HD'!L27</f>
        <v>397.10399999999998</v>
      </c>
      <c r="M40" s="124">
        <f>'SX và bán HD'!M27</f>
        <v>339.6438</v>
      </c>
      <c r="N40" s="103">
        <f t="shared" ref="N40:N43" si="2">SUM(B40:M40)</f>
        <v>4547.3688000000002</v>
      </c>
      <c r="O40" s="131"/>
      <c r="P40" s="109"/>
    </row>
    <row r="41" spans="1:16" hidden="1">
      <c r="A41" s="102" t="s">
        <v>173</v>
      </c>
      <c r="B41" s="124">
        <f>'SX và bán PP'!B27</f>
        <v>6.9000000000000006E-2</v>
      </c>
      <c r="C41" s="124">
        <f>'SX và bán PP'!C27</f>
        <v>0.996</v>
      </c>
      <c r="D41" s="124">
        <f>'SX và bán PP'!D27</f>
        <v>74.424999999999997</v>
      </c>
      <c r="E41" s="124">
        <f>'SX và bán PP'!E27</f>
        <v>27.87</v>
      </c>
      <c r="F41" s="124">
        <f>'SX và bán PP'!F27</f>
        <v>30.577000000000002</v>
      </c>
      <c r="G41" s="124">
        <f>'SX và bán PP'!G27</f>
        <v>1.4999999999999999E-2</v>
      </c>
      <c r="H41" s="124">
        <f>'SX và bán PP'!H27</f>
        <v>2.75</v>
      </c>
      <c r="I41" s="124">
        <f>'SX và bán PP'!I27</f>
        <v>79.004499999999993</v>
      </c>
      <c r="J41" s="124">
        <f>'SX và bán PP'!J27</f>
        <v>41.715000000000003</v>
      </c>
      <c r="K41" s="124">
        <f>'SX và bán PP'!K27</f>
        <v>36.374000000000002</v>
      </c>
      <c r="L41" s="124">
        <f>'SX và bán PP'!L27</f>
        <v>0</v>
      </c>
      <c r="M41" s="124">
        <f>'SX và bán PP'!M27</f>
        <v>22.233499999999999</v>
      </c>
      <c r="N41" s="103">
        <f t="shared" si="2"/>
        <v>316.02900000000005</v>
      </c>
      <c r="O41" s="138"/>
      <c r="P41" s="109"/>
    </row>
    <row r="42" spans="1:16" hidden="1">
      <c r="A42" s="102" t="s">
        <v>170</v>
      </c>
      <c r="B42" s="104">
        <f>'Mua-bán PET'!B29</f>
        <v>3307.1493</v>
      </c>
      <c r="C42" s="104">
        <f>'Mua-bán PET'!C29</f>
        <v>5164.5</v>
      </c>
      <c r="D42" s="104">
        <f>'Mua-bán PET'!D29</f>
        <v>4052.3</v>
      </c>
      <c r="E42" s="104">
        <f>'Mua-bán PET'!E29</f>
        <v>3575.4</v>
      </c>
      <c r="F42" s="104">
        <f>'Mua-bán PET'!F29</f>
        <v>4207.0102999999999</v>
      </c>
      <c r="G42" s="104">
        <f>'Mua-bán PET'!G29</f>
        <v>3249.9830000000002</v>
      </c>
      <c r="H42" s="104">
        <f>'Mua-bán PET'!H29</f>
        <v>4238.1490999999996</v>
      </c>
      <c r="I42" s="104">
        <f>'Mua-bán PET'!I29</f>
        <v>4665.9430000000002</v>
      </c>
      <c r="J42" s="104">
        <f>'Mua-bán PET'!J29</f>
        <v>1989.65</v>
      </c>
      <c r="K42" s="104">
        <f>'Mua-bán PET'!K29</f>
        <v>2532.0950000000003</v>
      </c>
      <c r="L42" s="104">
        <f>'Mua-bán PET'!L29</f>
        <v>2054.94</v>
      </c>
      <c r="M42" s="104">
        <f>'Mua-bán PET'!M29</f>
        <v>2365.25</v>
      </c>
      <c r="N42" s="103">
        <f t="shared" si="2"/>
        <v>41402.369700000003</v>
      </c>
      <c r="O42" s="104"/>
    </row>
    <row r="43" spans="1:16" hidden="1">
      <c r="A43" s="102" t="s">
        <v>169</v>
      </c>
      <c r="B43" s="103">
        <f>'Mua-bán HD'!B29</f>
        <v>180.85</v>
      </c>
      <c r="C43" s="103">
        <f>'Mua-bán HD'!C29</f>
        <v>311.5</v>
      </c>
      <c r="D43" s="124">
        <f>'Mua-bán HD'!D29</f>
        <v>474.82499999999999</v>
      </c>
      <c r="E43" s="124">
        <f>'Mua-bán HD'!E29</f>
        <v>268.85000000000002</v>
      </c>
      <c r="F43" s="124">
        <f>'Mua-bán HD'!F29</f>
        <v>351.625</v>
      </c>
      <c r="G43" s="124">
        <f>'Mua-bán HD'!G29</f>
        <v>399.22500000000002</v>
      </c>
      <c r="H43" s="124">
        <f>'Mua-bán HD'!H29</f>
        <v>271.42500000000001</v>
      </c>
      <c r="I43" s="124">
        <f>'Mua-bán HD'!I29</f>
        <v>506.875</v>
      </c>
      <c r="J43" s="124">
        <f>'Mua-bán HD'!J29</f>
        <v>608.125</v>
      </c>
      <c r="K43" s="124">
        <f>'Mua-bán HD'!K29</f>
        <v>659.32500000000005</v>
      </c>
      <c r="L43" s="124">
        <f>'Mua-bán HD'!L29</f>
        <v>455.47500000000002</v>
      </c>
      <c r="M43" s="124">
        <f>'Mua-bán HD'!M29</f>
        <v>387.65</v>
      </c>
      <c r="N43" s="103">
        <f t="shared" si="2"/>
        <v>4875.75</v>
      </c>
      <c r="O43" s="102"/>
    </row>
    <row r="44" spans="1:16" hidden="1">
      <c r="A44" s="102" t="s">
        <v>174</v>
      </c>
      <c r="B44" s="103">
        <v>0</v>
      </c>
      <c r="C44" s="103">
        <v>0</v>
      </c>
      <c r="D44" s="103">
        <v>0</v>
      </c>
      <c r="E44" s="103">
        <v>0</v>
      </c>
      <c r="F44" s="103">
        <f>'Mua-bán-PP'!F28</f>
        <v>20.25</v>
      </c>
      <c r="G44" s="103">
        <f>'Mua-bán-PP'!G28</f>
        <v>24</v>
      </c>
      <c r="H44" s="103">
        <f>'Mua-bán-PP'!H28</f>
        <v>50.85</v>
      </c>
      <c r="I44" s="103">
        <f>'Mua-bán-PP'!I28</f>
        <v>16.55</v>
      </c>
      <c r="J44" s="103">
        <f>'Mua-bán-PP'!J28</f>
        <v>51.55</v>
      </c>
      <c r="K44" s="103">
        <f>'Mua-bán-PP'!K28</f>
        <v>27.774999999999999</v>
      </c>
      <c r="L44" s="103">
        <f>'Mua-bán-PP'!L28</f>
        <v>0</v>
      </c>
      <c r="M44" s="103">
        <f>'Mua-bán-PP'!M28</f>
        <v>23.75</v>
      </c>
      <c r="N44" s="103">
        <f>SUM(B44:M44)</f>
        <v>214.72499999999999</v>
      </c>
      <c r="O44" s="102"/>
    </row>
    <row r="45" spans="1:16"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N45" s="126"/>
      <c r="O45" s="126"/>
    </row>
    <row r="46" spans="1:16">
      <c r="B46" s="123">
        <f t="shared" ref="B46:D46" si="3">B27/B28</f>
        <v>1.1446458915145887</v>
      </c>
      <c r="C46" s="123">
        <f t="shared" si="3"/>
        <v>1.5007755060656631</v>
      </c>
      <c r="D46" s="123">
        <f t="shared" si="3"/>
        <v>1.2672796396316628</v>
      </c>
      <c r="E46" s="123">
        <f t="shared" ref="E46:I46" si="4">E27/E28</f>
        <v>0.99194911106646266</v>
      </c>
      <c r="F46" s="123">
        <f t="shared" si="4"/>
        <v>0.89410636662322351</v>
      </c>
      <c r="G46" s="123">
        <f t="shared" si="4"/>
        <v>0.74262781957167368</v>
      </c>
      <c r="H46" s="123">
        <f t="shared" si="4"/>
        <v>0.83383293443501194</v>
      </c>
      <c r="I46" s="123">
        <f t="shared" si="4"/>
        <v>0.95415069326846536</v>
      </c>
      <c r="J46" s="123">
        <f>J27/J28</f>
        <v>0.41189803324584973</v>
      </c>
      <c r="K46" s="123">
        <f>K27/K28</f>
        <v>0.49779184932618936</v>
      </c>
      <c r="L46" s="123">
        <f>L27/L28</f>
        <v>0.42057758708788967</v>
      </c>
      <c r="M46" s="123">
        <f>M27/M28</f>
        <v>0.46812484850933189</v>
      </c>
      <c r="O46" s="126"/>
    </row>
    <row r="47" spans="1:16">
      <c r="A47" s="161" t="s">
        <v>187</v>
      </c>
      <c r="B47" s="109"/>
      <c r="C47" s="109"/>
      <c r="D47" s="109"/>
      <c r="F47" s="160"/>
      <c r="G47" s="74"/>
      <c r="H47" s="74"/>
      <c r="K47" s="109"/>
    </row>
    <row r="48" spans="1:16">
      <c r="D48" s="123"/>
      <c r="F48" s="123"/>
      <c r="G48" s="123"/>
      <c r="H48" s="123"/>
      <c r="K48" s="123"/>
    </row>
    <row r="49" spans="6:11">
      <c r="F49" s="74"/>
      <c r="H49" s="123"/>
      <c r="K49" s="123"/>
    </row>
    <row r="50" spans="6:11">
      <c r="F50" s="123"/>
      <c r="H50" s="74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0EF6-13FF-4FF3-89C4-C2C63CC2B369}">
  <dimension ref="A26:R35"/>
  <sheetViews>
    <sheetView showGridLines="0" zoomScale="90" zoomScaleNormal="90" workbookViewId="0">
      <selection activeCell="L29" sqref="L29"/>
    </sheetView>
  </sheetViews>
  <sheetFormatPr defaultColWidth="8.81640625" defaultRowHeight="14"/>
  <cols>
    <col min="1" max="1" width="14.36328125" style="24" customWidth="1"/>
    <col min="2" max="14" width="9.54296875" style="24" customWidth="1"/>
    <col min="15" max="15" width="11.6328125" style="24" bestFit="1" customWidth="1"/>
    <col min="16" max="16" width="10" style="24" bestFit="1" customWidth="1"/>
    <col min="17" max="16384" width="8.81640625" style="24"/>
  </cols>
  <sheetData>
    <row r="26" spans="1:18">
      <c r="A26" s="120">
        <v>2025</v>
      </c>
      <c r="B26" s="101" t="s">
        <v>131</v>
      </c>
      <c r="C26" s="101" t="s">
        <v>132</v>
      </c>
      <c r="D26" s="101" t="s">
        <v>133</v>
      </c>
      <c r="E26" s="101" t="s">
        <v>134</v>
      </c>
      <c r="F26" s="101" t="s">
        <v>135</v>
      </c>
      <c r="G26" s="101" t="s">
        <v>136</v>
      </c>
      <c r="H26" s="101" t="s">
        <v>138</v>
      </c>
      <c r="I26" s="101" t="s">
        <v>137</v>
      </c>
      <c r="J26" s="101" t="s">
        <v>139</v>
      </c>
      <c r="K26" s="101" t="s">
        <v>140</v>
      </c>
      <c r="L26" s="101" t="s">
        <v>141</v>
      </c>
      <c r="M26" s="101" t="s">
        <v>149</v>
      </c>
      <c r="N26" s="101" t="s">
        <v>150</v>
      </c>
      <c r="O26" s="126"/>
    </row>
    <row r="27" spans="1:18" ht="17" customHeight="1">
      <c r="A27" s="102" t="s">
        <v>171</v>
      </c>
      <c r="B27" s="103">
        <v>1486.2339999999999</v>
      </c>
      <c r="C27" s="103">
        <v>2278.12</v>
      </c>
      <c r="D27" s="103">
        <v>4026.846</v>
      </c>
      <c r="E27" s="103">
        <v>3597.1</v>
      </c>
      <c r="F27" s="103">
        <v>4141.1620000000003</v>
      </c>
      <c r="G27" s="103">
        <v>3810.13</v>
      </c>
      <c r="H27" s="103">
        <v>3923.7</v>
      </c>
      <c r="I27" s="103">
        <v>3919.8</v>
      </c>
      <c r="J27" s="103">
        <v>3826.3</v>
      </c>
      <c r="K27" s="103">
        <v>2438.1999999999998</v>
      </c>
      <c r="L27" s="103">
        <v>1861.979</v>
      </c>
      <c r="M27" s="103">
        <v>3191.1</v>
      </c>
      <c r="N27" s="103">
        <f>SUM(B27:M27)</f>
        <v>38500.670999999995</v>
      </c>
      <c r="O27" s="126"/>
      <c r="P27" s="126"/>
    </row>
    <row r="28" spans="1:18" ht="15.5" customHeight="1">
      <c r="A28" s="102" t="s">
        <v>160</v>
      </c>
      <c r="B28" s="124">
        <v>3296.1493</v>
      </c>
      <c r="C28" s="124">
        <v>5148</v>
      </c>
      <c r="D28" s="124">
        <v>4019.3</v>
      </c>
      <c r="E28" s="124">
        <v>3574.4</v>
      </c>
      <c r="F28" s="124">
        <v>4207.0102999999999</v>
      </c>
      <c r="G28" s="124">
        <v>3103.0830000000001</v>
      </c>
      <c r="H28" s="124">
        <v>3670.3490999999999</v>
      </c>
      <c r="I28" s="124">
        <v>4344.5929999999998</v>
      </c>
      <c r="J28" s="124">
        <v>1787</v>
      </c>
      <c r="K28" s="124">
        <v>2337.42</v>
      </c>
      <c r="L28" s="124">
        <v>2027.64</v>
      </c>
      <c r="M28" s="124">
        <f>2849.2-528-66</f>
        <v>2255.1999999999998</v>
      </c>
      <c r="N28" s="103">
        <f>SUM(B28:M28)</f>
        <v>39770.14469999999</v>
      </c>
      <c r="O28" s="126"/>
      <c r="P28" s="109"/>
      <c r="R28" s="122"/>
    </row>
    <row r="29" spans="1:18" ht="16" customHeight="1">
      <c r="A29" s="102" t="s">
        <v>172</v>
      </c>
      <c r="B29" s="124">
        <v>2716.29</v>
      </c>
      <c r="C29" s="124">
        <v>3222.29</v>
      </c>
      <c r="D29" s="124">
        <v>3018.8900000000003</v>
      </c>
      <c r="E29" s="124">
        <v>3087.2400000000002</v>
      </c>
      <c r="F29" s="124">
        <v>4135.5400000000009</v>
      </c>
      <c r="G29" s="124">
        <v>3943.5400000000004</v>
      </c>
      <c r="H29" s="124">
        <v>4435.54</v>
      </c>
      <c r="I29" s="124">
        <v>4349.54</v>
      </c>
      <c r="J29" s="124">
        <v>5075.54</v>
      </c>
      <c r="K29" s="124">
        <v>5302.26</v>
      </c>
      <c r="L29" s="124">
        <v>4678.78</v>
      </c>
      <c r="M29" s="124">
        <v>4674.7699999999995</v>
      </c>
      <c r="N29" s="103">
        <f>SUM(B29:M29)</f>
        <v>48640.22</v>
      </c>
      <c r="O29" s="152"/>
      <c r="P29" s="109"/>
      <c r="Q29" s="123"/>
      <c r="R29" s="122"/>
    </row>
    <row r="30" spans="1:18" ht="17.5" customHeight="1">
      <c r="A30" s="102" t="s">
        <v>180</v>
      </c>
      <c r="B30" s="124">
        <v>7701.0797000000002</v>
      </c>
      <c r="C30" s="124">
        <v>5308.6233000000002</v>
      </c>
      <c r="D30" s="124">
        <v>5050.203300000001</v>
      </c>
      <c r="E30" s="124">
        <v>5030.5533000000005</v>
      </c>
      <c r="F30" s="124">
        <v>5170.4480999999996</v>
      </c>
      <c r="G30" s="124">
        <v>5643.9726499999997</v>
      </c>
      <c r="H30" s="124">
        <v>5964.8315499999999</v>
      </c>
      <c r="I30" s="124">
        <v>5556.6960499999996</v>
      </c>
      <c r="J30" s="124">
        <v>6887.2171499999995</v>
      </c>
      <c r="K30" s="124">
        <v>8048.6273999999994</v>
      </c>
      <c r="L30" s="124">
        <v>7371.3164500000003</v>
      </c>
      <c r="M30" s="124">
        <v>7687.4459500000012</v>
      </c>
      <c r="N30" s="103">
        <f>M30</f>
        <v>7687.4459500000012</v>
      </c>
      <c r="O30" s="126"/>
      <c r="P30" s="109"/>
    </row>
    <row r="31" spans="1:18">
      <c r="G31" s="109"/>
      <c r="K31" s="126"/>
      <c r="O31" s="126"/>
    </row>
    <row r="32" spans="1:18">
      <c r="B32" s="109"/>
      <c r="C32" s="109"/>
      <c r="D32" s="109"/>
      <c r="E32" s="109"/>
      <c r="F32" s="109"/>
      <c r="G32" s="109"/>
      <c r="H32" s="123"/>
      <c r="I32" s="123"/>
      <c r="J32" s="123"/>
      <c r="K32" s="109"/>
      <c r="L32" s="123"/>
      <c r="M32" s="109"/>
      <c r="O32" s="126"/>
    </row>
    <row r="33" spans="6:14">
      <c r="F33" s="150"/>
      <c r="G33" s="150"/>
      <c r="J33" s="126"/>
      <c r="L33" s="109"/>
    </row>
    <row r="34" spans="6:14">
      <c r="F34" s="150"/>
      <c r="I34" s="123"/>
      <c r="L34" s="109"/>
      <c r="M34" s="109"/>
      <c r="N34" s="166"/>
    </row>
    <row r="35" spans="6:14">
      <c r="F35" s="150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335F-9E7B-4FC9-9D43-8730CA412C78}">
  <dimension ref="A26:R38"/>
  <sheetViews>
    <sheetView showGridLines="0" topLeftCell="A13" zoomScale="80" zoomScaleNormal="80" workbookViewId="0">
      <selection activeCell="M28" sqref="M28"/>
    </sheetView>
  </sheetViews>
  <sheetFormatPr defaultColWidth="8.81640625" defaultRowHeight="14"/>
  <cols>
    <col min="1" max="1" width="13.81640625" style="24" customWidth="1"/>
    <col min="2" max="4" width="8.90625" style="24" bestFit="1" customWidth="1"/>
    <col min="5" max="7" width="9.1796875" style="24" bestFit="1" customWidth="1"/>
    <col min="8" max="8" width="10.36328125" style="24" bestFit="1" customWidth="1"/>
    <col min="9" max="10" width="9.54296875" style="24" bestFit="1" customWidth="1"/>
    <col min="11" max="12" width="9.453125" style="24" bestFit="1" customWidth="1"/>
    <col min="13" max="13" width="10.08984375" style="24" customWidth="1"/>
    <col min="14" max="14" width="9.54296875" style="24" bestFit="1" customWidth="1"/>
    <col min="15" max="15" width="11.6328125" style="24" bestFit="1" customWidth="1"/>
    <col min="16" max="17" width="8.81640625" style="24"/>
    <col min="18" max="18" width="10.36328125" style="24" bestFit="1" customWidth="1"/>
    <col min="19" max="16384" width="8.81640625" style="24"/>
  </cols>
  <sheetData>
    <row r="26" spans="1:17">
      <c r="A26" s="120">
        <v>2025</v>
      </c>
      <c r="B26" s="101" t="s">
        <v>131</v>
      </c>
      <c r="C26" s="101" t="s">
        <v>132</v>
      </c>
      <c r="D26" s="101" t="s">
        <v>133</v>
      </c>
      <c r="E26" s="101" t="s">
        <v>134</v>
      </c>
      <c r="F26" s="101" t="s">
        <v>135</v>
      </c>
      <c r="G26" s="101" t="s">
        <v>136</v>
      </c>
      <c r="H26" s="101" t="s">
        <v>138</v>
      </c>
      <c r="I26" s="101" t="s">
        <v>137</v>
      </c>
      <c r="J26" s="101" t="s">
        <v>139</v>
      </c>
      <c r="K26" s="101" t="s">
        <v>140</v>
      </c>
      <c r="L26" s="101" t="s">
        <v>141</v>
      </c>
      <c r="M26" s="101" t="s">
        <v>149</v>
      </c>
      <c r="N26" s="101" t="s">
        <v>150</v>
      </c>
      <c r="Q26" s="126"/>
    </row>
    <row r="27" spans="1:17" ht="18.5" customHeight="1">
      <c r="A27" s="102" t="s">
        <v>171</v>
      </c>
      <c r="B27" s="103">
        <v>248.928</v>
      </c>
      <c r="C27" s="103">
        <v>338.13</v>
      </c>
      <c r="D27" s="103">
        <v>394.09899999999999</v>
      </c>
      <c r="E27" s="103">
        <v>394.50099999999998</v>
      </c>
      <c r="F27" s="103">
        <v>544.18899999999996</v>
      </c>
      <c r="G27" s="103">
        <v>389.34</v>
      </c>
      <c r="H27" s="103">
        <v>410.94200000000001</v>
      </c>
      <c r="I27" s="103">
        <v>305.041</v>
      </c>
      <c r="J27" s="103">
        <v>346.45699999999999</v>
      </c>
      <c r="K27" s="103">
        <v>438.99400000000003</v>
      </c>
      <c r="L27" s="103">
        <v>397.10399999999998</v>
      </c>
      <c r="M27" s="103">
        <v>339.6438</v>
      </c>
      <c r="N27" s="103">
        <f>SUM(B27:M27)</f>
        <v>4547.3688000000002</v>
      </c>
      <c r="O27" s="109"/>
      <c r="Q27" s="126"/>
    </row>
    <row r="28" spans="1:17" ht="18" customHeight="1">
      <c r="A28" s="102" t="s">
        <v>160</v>
      </c>
      <c r="B28" s="124">
        <v>180.85</v>
      </c>
      <c r="C28" s="124">
        <v>311.5</v>
      </c>
      <c r="D28" s="124">
        <v>474.82499999999999</v>
      </c>
      <c r="E28" s="124">
        <v>268.85000000000002</v>
      </c>
      <c r="F28" s="124">
        <v>351.625</v>
      </c>
      <c r="G28" s="124">
        <v>399.22500000000002</v>
      </c>
      <c r="H28" s="124">
        <v>271.42500000000001</v>
      </c>
      <c r="I28" s="124">
        <v>506.875</v>
      </c>
      <c r="J28" s="124">
        <v>608.125</v>
      </c>
      <c r="K28" s="124">
        <v>659.32500000000005</v>
      </c>
      <c r="L28" s="124">
        <v>455.47500000000002</v>
      </c>
      <c r="M28" s="124">
        <v>387.65</v>
      </c>
      <c r="N28" s="103">
        <f>SUM(B28:M28)</f>
        <v>4875.75</v>
      </c>
      <c r="O28" s="150"/>
      <c r="P28" s="151"/>
    </row>
    <row r="29" spans="1:17" ht="19" customHeight="1">
      <c r="A29" s="102" t="s">
        <v>172</v>
      </c>
      <c r="B29" s="96">
        <v>260</v>
      </c>
      <c r="C29" s="96">
        <v>366</v>
      </c>
      <c r="D29" s="96">
        <v>458.75</v>
      </c>
      <c r="E29" s="96">
        <v>673.25</v>
      </c>
      <c r="F29" s="96">
        <v>688.25</v>
      </c>
      <c r="G29" s="96">
        <v>721.25</v>
      </c>
      <c r="H29" s="96">
        <v>832.25</v>
      </c>
      <c r="I29" s="96">
        <v>907.75</v>
      </c>
      <c r="J29" s="96">
        <v>953.75</v>
      </c>
      <c r="K29" s="96">
        <v>977.25</v>
      </c>
      <c r="L29" s="96">
        <v>1082.75</v>
      </c>
      <c r="M29" s="96">
        <v>1078.75</v>
      </c>
      <c r="N29" s="103">
        <f>SUM(B29:M29)</f>
        <v>9000</v>
      </c>
      <c r="P29" s="109"/>
      <c r="Q29" s="126"/>
    </row>
    <row r="30" spans="1:17" ht="20" customHeight="1">
      <c r="A30" s="102" t="s">
        <v>180</v>
      </c>
      <c r="B30" s="96">
        <v>3744.9288000000006</v>
      </c>
      <c r="C30" s="96">
        <v>3800.9818000000005</v>
      </c>
      <c r="D30" s="96">
        <v>3612.9632000000006</v>
      </c>
      <c r="E30" s="96">
        <v>3701.6711000000005</v>
      </c>
      <c r="F30" s="96">
        <v>3814.8038000000001</v>
      </c>
      <c r="G30" s="96">
        <v>3735.7371000000003</v>
      </c>
      <c r="H30" s="96">
        <v>3823.3564000000001</v>
      </c>
      <c r="I30" s="96">
        <v>3590.3818000000001</v>
      </c>
      <c r="J30" s="96">
        <v>3317.6709999999998</v>
      </c>
      <c r="K30" s="96">
        <v>3161.4223999999995</v>
      </c>
      <c r="L30" s="96">
        <v>2833.8098</v>
      </c>
      <c r="M30" s="96">
        <v>2734.19</v>
      </c>
      <c r="N30" s="97">
        <f>M30</f>
        <v>2734.19</v>
      </c>
      <c r="Q30" s="126"/>
    </row>
    <row r="31" spans="1:17" ht="16" hidden="1">
      <c r="A31" s="102" t="s">
        <v>181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103">
        <f>SUM(B31:M31)</f>
        <v>0</v>
      </c>
      <c r="P31" s="109"/>
    </row>
    <row r="32" spans="1:17" ht="4" hidden="1" customHeight="1">
      <c r="A32" s="102" t="s">
        <v>182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03">
        <f>SUM(B32:M32)</f>
        <v>0</v>
      </c>
      <c r="P32" s="109"/>
    </row>
    <row r="33" spans="2:18">
      <c r="F33" s="109"/>
      <c r="H33" s="109"/>
    </row>
    <row r="34" spans="2:18">
      <c r="B34" s="109"/>
      <c r="C34" s="109"/>
      <c r="D34" s="109"/>
      <c r="E34" s="109"/>
      <c r="F34" s="153"/>
      <c r="G34" s="109"/>
      <c r="H34" s="109"/>
      <c r="I34" s="123"/>
      <c r="J34" s="123"/>
      <c r="K34" s="109"/>
      <c r="M34" s="126"/>
      <c r="Q34" s="126"/>
      <c r="R34" s="126"/>
    </row>
    <row r="35" spans="2:18">
      <c r="C35" s="109"/>
      <c r="D35" s="109"/>
      <c r="G35" s="109"/>
      <c r="H35" s="126"/>
      <c r="K35" s="122"/>
      <c r="M35" s="154"/>
    </row>
    <row r="36" spans="2:18">
      <c r="G36" s="109"/>
      <c r="H36" s="126"/>
      <c r="I36" s="123"/>
    </row>
    <row r="37" spans="2:18">
      <c r="G37" s="126"/>
    </row>
    <row r="38" spans="2:18">
      <c r="G38" s="126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8C7-CDE0-4197-8EFA-591F077CED47}">
  <dimension ref="A26:P34"/>
  <sheetViews>
    <sheetView showGridLines="0" topLeftCell="A13" zoomScale="80" zoomScaleNormal="80" workbookViewId="0">
      <selection activeCell="M28" sqref="M28"/>
    </sheetView>
  </sheetViews>
  <sheetFormatPr defaultColWidth="8.81640625" defaultRowHeight="14"/>
  <cols>
    <col min="1" max="1" width="13.81640625" style="24" customWidth="1"/>
    <col min="2" max="4" width="8.90625" style="24" bestFit="1" customWidth="1"/>
    <col min="5" max="8" width="9.1796875" style="24" bestFit="1" customWidth="1"/>
    <col min="9" max="10" width="9.54296875" style="24" bestFit="1" customWidth="1"/>
    <col min="11" max="12" width="9.453125" style="24" bestFit="1" customWidth="1"/>
    <col min="13" max="13" width="10.1796875" style="24" bestFit="1" customWidth="1"/>
    <col min="14" max="14" width="9.54296875" style="24" bestFit="1" customWidth="1"/>
    <col min="15" max="15" width="11.6328125" style="24" bestFit="1" customWidth="1"/>
    <col min="16" max="16384" width="8.81640625" style="24"/>
  </cols>
  <sheetData>
    <row r="26" spans="1:16">
      <c r="A26" s="120">
        <v>2025</v>
      </c>
      <c r="B26" s="101" t="s">
        <v>131</v>
      </c>
      <c r="C26" s="101" t="s">
        <v>132</v>
      </c>
      <c r="D26" s="101" t="s">
        <v>133</v>
      </c>
      <c r="E26" s="101" t="s">
        <v>134</v>
      </c>
      <c r="F26" s="101" t="s">
        <v>135</v>
      </c>
      <c r="G26" s="101" t="s">
        <v>136</v>
      </c>
      <c r="H26" s="101" t="s">
        <v>138</v>
      </c>
      <c r="I26" s="101" t="s">
        <v>137</v>
      </c>
      <c r="J26" s="101" t="s">
        <v>139</v>
      </c>
      <c r="K26" s="101" t="s">
        <v>140</v>
      </c>
      <c r="L26" s="101" t="s">
        <v>141</v>
      </c>
      <c r="M26" s="101" t="s">
        <v>149</v>
      </c>
      <c r="N26" s="101" t="s">
        <v>150</v>
      </c>
    </row>
    <row r="27" spans="1:16" ht="16">
      <c r="A27" s="102" t="s">
        <v>171</v>
      </c>
      <c r="B27" s="96">
        <v>6.9000000000000006E-2</v>
      </c>
      <c r="C27" s="96">
        <v>0.996</v>
      </c>
      <c r="D27" s="96">
        <v>74.424999999999997</v>
      </c>
      <c r="E27" s="96">
        <v>27.87</v>
      </c>
      <c r="F27" s="96">
        <v>30.577000000000002</v>
      </c>
      <c r="G27" s="96">
        <v>1.4999999999999999E-2</v>
      </c>
      <c r="H27" s="96">
        <v>2.75</v>
      </c>
      <c r="I27" s="96">
        <v>79.004499999999993</v>
      </c>
      <c r="J27" s="96">
        <v>41.715000000000003</v>
      </c>
      <c r="K27" s="96">
        <v>36.374000000000002</v>
      </c>
      <c r="L27" s="96">
        <v>0</v>
      </c>
      <c r="M27" s="96">
        <v>22.233499999999999</v>
      </c>
      <c r="N27" s="103">
        <f>SUM(B27:M27)</f>
        <v>316.02900000000005</v>
      </c>
      <c r="O27" s="150"/>
      <c r="P27" s="109"/>
    </row>
    <row r="28" spans="1:16" ht="16">
      <c r="A28" s="102" t="s">
        <v>160</v>
      </c>
      <c r="B28" s="96">
        <v>0</v>
      </c>
      <c r="C28" s="96">
        <v>0.67500000000000004</v>
      </c>
      <c r="D28" s="96">
        <v>52.924999999999997</v>
      </c>
      <c r="E28" s="96">
        <v>6.6749999999999998</v>
      </c>
      <c r="F28" s="96">
        <v>20.25</v>
      </c>
      <c r="G28" s="96">
        <v>24</v>
      </c>
      <c r="H28" s="96">
        <v>50.85</v>
      </c>
      <c r="I28" s="96">
        <v>16.55</v>
      </c>
      <c r="J28" s="96">
        <v>51.55</v>
      </c>
      <c r="K28" s="96">
        <v>27.774999999999999</v>
      </c>
      <c r="L28" s="96">
        <v>0</v>
      </c>
      <c r="M28" s="96">
        <v>23.75</v>
      </c>
      <c r="N28" s="103">
        <f t="shared" ref="N28:N29" si="0">SUM(B28:M28)</f>
        <v>275</v>
      </c>
      <c r="O28" s="150"/>
      <c r="P28" s="109"/>
    </row>
    <row r="29" spans="1:16" ht="16">
      <c r="A29" s="102" t="s">
        <v>172</v>
      </c>
      <c r="B29" s="96">
        <v>50.94</v>
      </c>
      <c r="C29" s="96">
        <v>60.94</v>
      </c>
      <c r="D29" s="96">
        <v>86.44</v>
      </c>
      <c r="E29" s="96">
        <v>71.69</v>
      </c>
      <c r="F29" s="96">
        <v>91.69</v>
      </c>
      <c r="G29" s="96">
        <v>71.44</v>
      </c>
      <c r="H29" s="96">
        <v>101.44</v>
      </c>
      <c r="I29" s="96">
        <v>81.44</v>
      </c>
      <c r="J29" s="96">
        <v>101.44</v>
      </c>
      <c r="K29" s="96">
        <v>87.44</v>
      </c>
      <c r="L29" s="96">
        <v>107.44</v>
      </c>
      <c r="M29" s="96">
        <v>87.44</v>
      </c>
      <c r="N29" s="103">
        <f t="shared" si="0"/>
        <v>999.7800000000002</v>
      </c>
      <c r="O29" s="150"/>
      <c r="P29" s="109"/>
    </row>
    <row r="30" spans="1:16" ht="16">
      <c r="A30" s="140" t="s">
        <v>178</v>
      </c>
      <c r="B30" s="96">
        <v>401.28174999999999</v>
      </c>
      <c r="C30" s="96">
        <v>401.54174999999998</v>
      </c>
      <c r="D30" s="96">
        <v>377.61744999999996</v>
      </c>
      <c r="E30" s="96">
        <v>384.35495000000003</v>
      </c>
      <c r="F30" s="96">
        <v>393.52974999999998</v>
      </c>
      <c r="G30" s="96">
        <v>356.88755000000003</v>
      </c>
      <c r="H30" s="96">
        <v>317.04505</v>
      </c>
      <c r="I30" s="96">
        <v>311.45954999999998</v>
      </c>
      <c r="J30" s="96">
        <v>320.90954999999997</v>
      </c>
      <c r="K30" s="96">
        <v>305.43804999999998</v>
      </c>
      <c r="L30" s="96">
        <v>301.60765000000004</v>
      </c>
      <c r="M30" s="96">
        <v>287.89249999999998</v>
      </c>
      <c r="N30" s="97">
        <f>M30</f>
        <v>287.89249999999998</v>
      </c>
    </row>
    <row r="32" spans="1:16">
      <c r="B32" s="109"/>
      <c r="C32" s="109"/>
      <c r="D32" s="109"/>
      <c r="E32" s="109"/>
      <c r="F32" s="109"/>
      <c r="G32" s="109"/>
      <c r="H32" s="109"/>
      <c r="I32" s="123">
        <f>I28/I29</f>
        <v>0.20321709233791749</v>
      </c>
      <c r="J32" s="123">
        <f>J28/J29</f>
        <v>0.5081821766561514</v>
      </c>
      <c r="K32" s="109"/>
      <c r="L32" s="109"/>
    </row>
    <row r="34" spans="3:3">
      <c r="C34" s="109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3F1E-133A-44C6-86A6-3D069D47591E}">
  <dimension ref="A26:P36"/>
  <sheetViews>
    <sheetView showGridLines="0" tabSelected="1" topLeftCell="A19" zoomScale="80" zoomScaleNormal="80" workbookViewId="0">
      <selection activeCell="E36" sqref="E36"/>
    </sheetView>
  </sheetViews>
  <sheetFormatPr defaultColWidth="8.81640625" defaultRowHeight="14"/>
  <cols>
    <col min="1" max="1" width="13.81640625" style="24" customWidth="1"/>
    <col min="2" max="4" width="8.90625" style="24" bestFit="1" customWidth="1"/>
    <col min="5" max="8" width="9.1796875" style="24" bestFit="1" customWidth="1"/>
    <col min="9" max="10" width="9.54296875" style="24" bestFit="1" customWidth="1"/>
    <col min="11" max="12" width="9.453125" style="24" bestFit="1" customWidth="1"/>
    <col min="13" max="13" width="10.1796875" style="24" bestFit="1" customWidth="1"/>
    <col min="14" max="14" width="9.54296875" style="24" bestFit="1" customWidth="1"/>
    <col min="15" max="15" width="11.6328125" style="24" bestFit="1" customWidth="1"/>
    <col min="16" max="16384" width="8.81640625" style="24"/>
  </cols>
  <sheetData>
    <row r="26" spans="1:16">
      <c r="A26" s="120">
        <v>2025</v>
      </c>
      <c r="B26" s="101" t="s">
        <v>131</v>
      </c>
      <c r="C26" s="101" t="s">
        <v>132</v>
      </c>
      <c r="D26" s="101" t="s">
        <v>133</v>
      </c>
      <c r="E26" s="101" t="s">
        <v>134</v>
      </c>
      <c r="F26" s="101" t="s">
        <v>135</v>
      </c>
      <c r="G26" s="101" t="s">
        <v>136</v>
      </c>
      <c r="H26" s="101" t="s">
        <v>138</v>
      </c>
      <c r="I26" s="101" t="s">
        <v>137</v>
      </c>
      <c r="J26" s="101" t="s">
        <v>139</v>
      </c>
      <c r="K26" s="101" t="s">
        <v>140</v>
      </c>
      <c r="L26" s="101" t="s">
        <v>141</v>
      </c>
      <c r="M26" s="101" t="s">
        <v>149</v>
      </c>
      <c r="N26" s="101" t="s">
        <v>150</v>
      </c>
    </row>
    <row r="27" spans="1:16" ht="16.5" customHeight="1">
      <c r="A27" s="102" t="s">
        <v>171</v>
      </c>
      <c r="B27" s="103">
        <v>104.5</v>
      </c>
      <c r="C27" s="103">
        <v>340.02</v>
      </c>
      <c r="D27" s="103">
        <v>326.55</v>
      </c>
      <c r="E27" s="103">
        <v>68.778000000000006</v>
      </c>
      <c r="F27" s="103">
        <v>109.2</v>
      </c>
      <c r="G27" s="103">
        <v>30.808</v>
      </c>
      <c r="H27" s="103">
        <v>224.1</v>
      </c>
      <c r="I27" s="103">
        <v>265.10000000000002</v>
      </c>
      <c r="J27" s="103">
        <v>337.25</v>
      </c>
      <c r="K27" s="103">
        <v>260.35000000000002</v>
      </c>
      <c r="L27" s="103">
        <v>61.53</v>
      </c>
      <c r="M27" s="103">
        <v>-1.9265000000000001</v>
      </c>
      <c r="N27" s="103">
        <f>SUM(B27:M27)</f>
        <v>2126.2595000000001</v>
      </c>
    </row>
    <row r="28" spans="1:16" ht="15.5" customHeight="1">
      <c r="A28" s="102" t="s">
        <v>160</v>
      </c>
      <c r="B28" s="124">
        <v>11</v>
      </c>
      <c r="C28" s="124">
        <v>16.5</v>
      </c>
      <c r="D28" s="124">
        <v>33</v>
      </c>
      <c r="E28" s="124">
        <v>1</v>
      </c>
      <c r="F28" s="124">
        <v>0</v>
      </c>
      <c r="G28" s="124">
        <v>146.9</v>
      </c>
      <c r="H28" s="124">
        <v>567.79999999999995</v>
      </c>
      <c r="I28" s="124">
        <v>321.35000000000002</v>
      </c>
      <c r="J28" s="124">
        <v>202.65</v>
      </c>
      <c r="K28" s="124">
        <v>194.67500000000001</v>
      </c>
      <c r="L28" s="124">
        <v>27.3</v>
      </c>
      <c r="M28" s="124">
        <v>110.05</v>
      </c>
      <c r="N28" s="103">
        <f t="shared" ref="N28:N29" si="0">SUM(B28:M28)</f>
        <v>1632.2249999999999</v>
      </c>
      <c r="P28" s="109"/>
    </row>
    <row r="29" spans="1:16" ht="16.5" customHeight="1">
      <c r="A29" s="102" t="s">
        <v>172</v>
      </c>
      <c r="B29" s="96">
        <v>20</v>
      </c>
      <c r="C29" s="96">
        <v>0</v>
      </c>
      <c r="D29" s="96">
        <v>50</v>
      </c>
      <c r="E29" s="96">
        <v>50</v>
      </c>
      <c r="F29" s="96">
        <v>210</v>
      </c>
      <c r="G29" s="96">
        <v>210</v>
      </c>
      <c r="H29" s="96">
        <v>100</v>
      </c>
      <c r="I29" s="96">
        <v>100</v>
      </c>
      <c r="J29" s="96">
        <v>320</v>
      </c>
      <c r="K29" s="96">
        <v>100</v>
      </c>
      <c r="L29" s="96">
        <v>100</v>
      </c>
      <c r="M29" s="96">
        <v>100</v>
      </c>
      <c r="N29" s="103">
        <f t="shared" si="0"/>
        <v>1360</v>
      </c>
      <c r="P29" s="109"/>
    </row>
    <row r="30" spans="1:16" ht="16">
      <c r="A30" s="140" t="s">
        <v>178</v>
      </c>
      <c r="B30" s="96">
        <v>583.72569999999996</v>
      </c>
      <c r="C30" s="96">
        <v>644.86360000000002</v>
      </c>
      <c r="D30" s="96">
        <v>1201.2661000000001</v>
      </c>
      <c r="E30" s="96">
        <v>1269.0181</v>
      </c>
      <c r="F30" s="96">
        <v>1374.7221000000002</v>
      </c>
      <c r="G30" s="96">
        <v>1288.5773000000002</v>
      </c>
      <c r="H30" s="96">
        <v>968.22079999999994</v>
      </c>
      <c r="I30" s="96">
        <v>867.05579999999998</v>
      </c>
      <c r="J30" s="96">
        <v>1002.6937999999998</v>
      </c>
      <c r="K30" s="96">
        <v>1066.6112000000001</v>
      </c>
      <c r="L30" s="96">
        <v>1100.2537999999997</v>
      </c>
      <c r="M30" s="96">
        <v>991.87860000000001</v>
      </c>
      <c r="N30" s="97">
        <f>M30</f>
        <v>991.87860000000001</v>
      </c>
      <c r="O30" s="109"/>
    </row>
    <row r="32" spans="1:16">
      <c r="B32" s="109"/>
      <c r="C32" s="109"/>
      <c r="D32" s="109"/>
      <c r="E32" s="109"/>
      <c r="F32" s="109"/>
      <c r="G32" s="109"/>
      <c r="H32" s="109"/>
      <c r="I32" s="123"/>
      <c r="J32" s="123"/>
      <c r="K32" s="109"/>
      <c r="L32" s="109"/>
    </row>
    <row r="34" spans="3:8">
      <c r="C34" s="109"/>
      <c r="H34" s="126"/>
    </row>
    <row r="35" spans="3:8">
      <c r="H35" s="126"/>
    </row>
    <row r="36" spans="3:8">
      <c r="H36" s="126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815A-0E08-48A9-8368-80C90CE0F3D9}">
  <dimension ref="A32:P34"/>
  <sheetViews>
    <sheetView topLeftCell="A22" workbookViewId="0">
      <selection activeCell="L34" sqref="L34"/>
    </sheetView>
  </sheetViews>
  <sheetFormatPr defaultRowHeight="14.5"/>
  <sheetData>
    <row r="32" spans="1:14" s="24" customFormat="1" ht="14">
      <c r="A32" s="120">
        <v>2023</v>
      </c>
      <c r="B32" s="101" t="s">
        <v>131</v>
      </c>
      <c r="C32" s="101" t="s">
        <v>132</v>
      </c>
      <c r="D32" s="101" t="s">
        <v>133</v>
      </c>
      <c r="E32" s="101" t="s">
        <v>134</v>
      </c>
      <c r="F32" s="101" t="s">
        <v>135</v>
      </c>
      <c r="G32" s="101" t="s">
        <v>136</v>
      </c>
      <c r="H32" s="101" t="s">
        <v>138</v>
      </c>
      <c r="I32" s="101" t="s">
        <v>137</v>
      </c>
      <c r="J32" s="101" t="s">
        <v>139</v>
      </c>
      <c r="K32" s="101" t="s">
        <v>140</v>
      </c>
      <c r="L32" s="101" t="s">
        <v>141</v>
      </c>
      <c r="M32" s="101" t="s">
        <v>149</v>
      </c>
      <c r="N32" s="101" t="s">
        <v>150</v>
      </c>
    </row>
    <row r="33" spans="1:16" s="24" customFormat="1" ht="14">
      <c r="A33" s="102" t="s">
        <v>184</v>
      </c>
      <c r="B33" s="103">
        <f>'Tổng SX và bán'!B26</f>
        <v>1839.7309999999998</v>
      </c>
      <c r="C33" s="103">
        <f>'Tổng SX và bán'!C26</f>
        <v>2957.2660000000001</v>
      </c>
      <c r="D33" s="103">
        <f>'Tổng SX và bán'!D26</f>
        <v>4821.92</v>
      </c>
      <c r="E33" s="103">
        <f>'Tổng SX và bán'!E26</f>
        <v>4088.2489999999993</v>
      </c>
      <c r="F33" s="103">
        <f>'Tổng SX và bán'!F26</f>
        <v>4828.9710000000005</v>
      </c>
      <c r="G33" s="103">
        <f>'Tổng SX và bán'!G26</f>
        <v>4232.4530000000004</v>
      </c>
      <c r="H33" s="103">
        <f>'Tổng SX và bán'!H26</f>
        <v>4561.6410000000005</v>
      </c>
      <c r="I33" s="103">
        <f>'Tổng SX và bán'!I26</f>
        <v>4570.5645000000004</v>
      </c>
      <c r="J33" s="103">
        <f>'Tổng SX và bán'!J26</f>
        <v>4555.5080000000007</v>
      </c>
      <c r="K33" s="103">
        <f>'Tổng SX và bán'!K26</f>
        <v>3173.9179999999997</v>
      </c>
      <c r="L33" s="103">
        <f>'Tổng SX và bán'!L26</f>
        <v>2323.2630000000004</v>
      </c>
      <c r="M33" s="103">
        <f>'Tổng SX và bán'!M26</f>
        <v>3552.8617999999997</v>
      </c>
      <c r="N33" s="103">
        <f>SUM(B33:M33)</f>
        <v>45506.346299999997</v>
      </c>
    </row>
    <row r="34" spans="1:16" s="24" customFormat="1" ht="14">
      <c r="A34" s="102" t="s">
        <v>185</v>
      </c>
      <c r="B34" s="124">
        <v>2053.6640000000002</v>
      </c>
      <c r="C34" s="124">
        <v>3101.1529999999998</v>
      </c>
      <c r="D34" s="124">
        <v>4388.9250000000002</v>
      </c>
      <c r="E34" s="124">
        <v>3271.2820000000002</v>
      </c>
      <c r="F34" s="124">
        <v>4243.4328999999998</v>
      </c>
      <c r="G34" s="124">
        <v>4511.0379999999996</v>
      </c>
      <c r="H34" s="124">
        <v>4847.8630999999996</v>
      </c>
      <c r="I34" s="124">
        <v>4681.2246999999998</v>
      </c>
      <c r="J34" s="124">
        <v>4640.3549000000003</v>
      </c>
      <c r="K34" s="124">
        <v>5647.4637999999995</v>
      </c>
      <c r="L34" s="124">
        <v>6490.8776999999991</v>
      </c>
      <c r="M34" s="124">
        <f>'Mua-bán HD'!M21</f>
        <v>0</v>
      </c>
      <c r="N34" s="103">
        <f>SUM(B34:M34)</f>
        <v>47877.279099999992</v>
      </c>
      <c r="P34" s="10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5F50-C92A-4946-8B08-0A1F268A3AAE}">
  <dimension ref="A2:AE50"/>
  <sheetViews>
    <sheetView showGridLines="0" workbookViewId="0">
      <pane xSplit="6" ySplit="4" topLeftCell="G5" activePane="bottomRight" state="frozen"/>
      <selection pane="topRight" activeCell="T3" sqref="T3"/>
      <selection pane="bottomLeft" activeCell="T3" sqref="T3"/>
      <selection pane="bottomRight" activeCell="X12" sqref="X12"/>
    </sheetView>
  </sheetViews>
  <sheetFormatPr defaultColWidth="9.1796875" defaultRowHeight="13"/>
  <cols>
    <col min="1" max="1" width="3" style="5" bestFit="1" customWidth="1"/>
    <col min="2" max="2" width="13.1796875" style="5" hidden="1" customWidth="1"/>
    <col min="3" max="3" width="23" style="5" hidden="1" customWidth="1"/>
    <col min="4" max="4" width="6.81640625" style="5" bestFit="1" customWidth="1"/>
    <col min="5" max="5" width="36" style="5" hidden="1" customWidth="1"/>
    <col min="6" max="6" width="27.1796875" style="5" customWidth="1"/>
    <col min="7" max="7" width="13.1796875" style="5" customWidth="1"/>
    <col min="8" max="16" width="7.81640625" style="5" hidden="1" customWidth="1"/>
    <col min="17" max="24" width="7.81640625" style="5" bestFit="1" customWidth="1"/>
    <col min="25" max="28" width="5.54296875" style="5" bestFit="1" customWidth="1"/>
    <col min="29" max="31" width="6.54296875" style="5" bestFit="1" customWidth="1"/>
    <col min="32" max="16384" width="9.1796875" style="5"/>
  </cols>
  <sheetData>
    <row r="2" spans="1:31" ht="20">
      <c r="B2" s="6" t="s">
        <v>41</v>
      </c>
      <c r="C2" s="6"/>
    </row>
    <row r="3" spans="1:31">
      <c r="A3" s="7"/>
      <c r="B3" s="7"/>
      <c r="C3" s="7"/>
      <c r="D3" s="7"/>
      <c r="E3" s="7"/>
      <c r="F3" s="21" t="s">
        <v>6</v>
      </c>
      <c r="G3" s="21"/>
      <c r="H3" s="22">
        <v>23147</v>
      </c>
      <c r="I3" s="22">
        <v>23135</v>
      </c>
      <c r="J3" s="22">
        <v>23142</v>
      </c>
      <c r="K3" s="22">
        <v>23194</v>
      </c>
      <c r="L3" s="22">
        <v>23204</v>
      </c>
      <c r="M3" s="22">
        <v>23160</v>
      </c>
      <c r="N3" s="22">
        <v>23141</v>
      </c>
      <c r="O3" s="22">
        <v>23161</v>
      </c>
      <c r="P3" s="22">
        <v>23161</v>
      </c>
      <c r="Q3" s="22">
        <v>23123</v>
      </c>
      <c r="R3" s="22">
        <v>23156</v>
      </c>
      <c r="S3" s="22">
        <v>23126</v>
      </c>
      <c r="T3" s="22">
        <v>23180</v>
      </c>
      <c r="U3" s="22">
        <v>23108</v>
      </c>
      <c r="V3" s="22">
        <f>U3</f>
        <v>23108</v>
      </c>
      <c r="W3" s="22">
        <f>V3</f>
        <v>23108</v>
      </c>
      <c r="X3" s="22">
        <f>W3</f>
        <v>23108</v>
      </c>
      <c r="Y3" s="22"/>
      <c r="Z3" s="22"/>
      <c r="AA3" s="22"/>
      <c r="AB3" s="22"/>
      <c r="AC3" s="22"/>
      <c r="AD3" s="22"/>
      <c r="AE3" s="22"/>
    </row>
    <row r="4" spans="1:31" ht="19.5" customHeight="1">
      <c r="A4" s="2" t="s">
        <v>0</v>
      </c>
      <c r="B4" s="2" t="s">
        <v>1</v>
      </c>
      <c r="C4" s="2" t="s">
        <v>7</v>
      </c>
      <c r="D4" s="15" t="s">
        <v>8</v>
      </c>
      <c r="E4" s="2" t="s">
        <v>9</v>
      </c>
      <c r="F4" s="2" t="s">
        <v>2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3</v>
      </c>
      <c r="X4" s="2" t="s">
        <v>4</v>
      </c>
      <c r="Y4" s="2" t="s">
        <v>5</v>
      </c>
      <c r="Z4" s="2" t="s">
        <v>42</v>
      </c>
      <c r="AA4" s="2" t="s">
        <v>43</v>
      </c>
      <c r="AB4" s="2" t="s">
        <v>44</v>
      </c>
      <c r="AC4" s="2" t="s">
        <v>45</v>
      </c>
      <c r="AD4" s="2" t="s">
        <v>46</v>
      </c>
      <c r="AE4" s="2" t="s">
        <v>47</v>
      </c>
    </row>
    <row r="5" spans="1:31" ht="18" customHeight="1">
      <c r="A5" s="8">
        <v>1</v>
      </c>
      <c r="B5" s="9">
        <v>150000001</v>
      </c>
      <c r="C5" s="9"/>
      <c r="D5" s="8" t="s">
        <v>39</v>
      </c>
      <c r="E5" s="10" t="s">
        <v>48</v>
      </c>
      <c r="F5" s="11" t="s">
        <v>49</v>
      </c>
      <c r="G5" s="11" t="s">
        <v>29</v>
      </c>
      <c r="H5" s="12">
        <v>9000</v>
      </c>
      <c r="I5" s="12">
        <v>9000</v>
      </c>
      <c r="J5" s="12">
        <v>9000</v>
      </c>
      <c r="K5" s="12">
        <v>9000</v>
      </c>
      <c r="L5" s="12">
        <v>9000</v>
      </c>
      <c r="M5" s="12">
        <v>9000</v>
      </c>
      <c r="N5" s="12">
        <v>9000</v>
      </c>
      <c r="O5" s="12">
        <v>9000</v>
      </c>
      <c r="P5" s="12">
        <v>9000</v>
      </c>
      <c r="Q5" s="12">
        <v>9000</v>
      </c>
      <c r="R5" s="12">
        <v>9500</v>
      </c>
      <c r="S5" s="12">
        <v>9500</v>
      </c>
      <c r="T5" s="12">
        <v>10000</v>
      </c>
      <c r="U5" s="12">
        <v>10500</v>
      </c>
      <c r="V5" s="12">
        <v>10500</v>
      </c>
      <c r="W5" s="12">
        <f>V5</f>
        <v>10500</v>
      </c>
      <c r="X5" s="12"/>
      <c r="Y5" s="12"/>
      <c r="Z5" s="12"/>
      <c r="AA5" s="12"/>
      <c r="AB5" s="12"/>
      <c r="AC5" s="12"/>
      <c r="AD5" s="12"/>
      <c r="AE5" s="12"/>
    </row>
    <row r="6" spans="1:31" ht="18" customHeight="1">
      <c r="A6" s="8">
        <v>2</v>
      </c>
      <c r="B6" s="9">
        <v>150000003</v>
      </c>
      <c r="C6" s="14" t="s">
        <v>50</v>
      </c>
      <c r="D6" s="8" t="s">
        <v>40</v>
      </c>
      <c r="E6" s="10" t="s">
        <v>51</v>
      </c>
      <c r="F6" s="11" t="s">
        <v>52</v>
      </c>
      <c r="G6" s="11" t="s">
        <v>29</v>
      </c>
      <c r="H6" s="12">
        <v>15800</v>
      </c>
      <c r="I6" s="12">
        <v>15800</v>
      </c>
      <c r="J6" s="12">
        <v>15800</v>
      </c>
      <c r="K6" s="12">
        <v>15800</v>
      </c>
      <c r="L6" s="12">
        <v>15800</v>
      </c>
      <c r="M6" s="12">
        <v>15800</v>
      </c>
      <c r="N6" s="12">
        <v>15800</v>
      </c>
      <c r="O6" s="12">
        <v>15800</v>
      </c>
      <c r="P6" s="12">
        <v>15800</v>
      </c>
      <c r="Q6" s="12">
        <v>15800</v>
      </c>
      <c r="R6" s="12">
        <v>15800</v>
      </c>
      <c r="S6" s="12">
        <v>16000</v>
      </c>
      <c r="T6" s="12">
        <v>16000</v>
      </c>
      <c r="U6" s="12">
        <v>16000</v>
      </c>
      <c r="V6" s="12">
        <v>16700</v>
      </c>
      <c r="W6" s="12">
        <f>V6</f>
        <v>16700</v>
      </c>
      <c r="X6" s="12"/>
      <c r="Y6" s="12"/>
      <c r="Z6" s="12"/>
      <c r="AA6" s="12"/>
      <c r="AB6" s="12"/>
      <c r="AC6" s="12"/>
      <c r="AD6" s="12"/>
      <c r="AE6" s="12"/>
    </row>
    <row r="7" spans="1:31" ht="18" customHeight="1">
      <c r="A7" s="8">
        <v>3</v>
      </c>
      <c r="B7" s="14">
        <v>150000007</v>
      </c>
      <c r="C7" s="14" t="s">
        <v>26</v>
      </c>
      <c r="D7" s="8" t="s">
        <v>27</v>
      </c>
      <c r="E7" s="10" t="s">
        <v>28</v>
      </c>
      <c r="F7" s="13" t="s">
        <v>53</v>
      </c>
      <c r="G7" s="13" t="s">
        <v>29</v>
      </c>
      <c r="H7" s="12">
        <v>18000</v>
      </c>
      <c r="I7" s="12">
        <v>18000</v>
      </c>
      <c r="J7" s="12">
        <v>18000</v>
      </c>
      <c r="K7" s="12">
        <v>18000</v>
      </c>
      <c r="L7" s="12">
        <v>18000</v>
      </c>
      <c r="M7" s="12">
        <v>18000</v>
      </c>
      <c r="N7" s="12">
        <v>18000</v>
      </c>
      <c r="O7" s="12">
        <v>18000</v>
      </c>
      <c r="P7" s="12">
        <v>18000</v>
      </c>
      <c r="Q7" s="12">
        <v>19000</v>
      </c>
      <c r="R7" s="12">
        <v>19000</v>
      </c>
      <c r="S7" s="12">
        <v>19000</v>
      </c>
      <c r="T7" s="12">
        <v>19000</v>
      </c>
      <c r="U7" s="12">
        <v>19000</v>
      </c>
      <c r="V7" s="12">
        <v>19700</v>
      </c>
      <c r="W7" s="12">
        <v>21500</v>
      </c>
      <c r="X7" s="12">
        <v>21500</v>
      </c>
      <c r="Y7" s="12"/>
      <c r="Z7" s="12"/>
      <c r="AA7" s="12"/>
      <c r="AB7" s="12"/>
      <c r="AC7" s="12"/>
      <c r="AD7" s="12"/>
      <c r="AE7" s="12"/>
    </row>
    <row r="8" spans="1:31" ht="18" customHeight="1">
      <c r="A8" s="8">
        <v>4</v>
      </c>
      <c r="B8" s="14" t="s">
        <v>31</v>
      </c>
      <c r="C8" s="14" t="s">
        <v>32</v>
      </c>
      <c r="D8" s="8" t="s">
        <v>54</v>
      </c>
      <c r="E8" s="14" t="s">
        <v>33</v>
      </c>
      <c r="F8" s="14" t="s">
        <v>55</v>
      </c>
      <c r="G8" s="14" t="s">
        <v>29</v>
      </c>
      <c r="H8" s="12">
        <f t="shared" ref="H8:W8" si="0">H10*H3/1000</f>
        <v>28933.75</v>
      </c>
      <c r="I8" s="12">
        <f t="shared" si="0"/>
        <v>28918.75</v>
      </c>
      <c r="J8" s="12">
        <f t="shared" si="0"/>
        <v>28927.5</v>
      </c>
      <c r="K8" s="12">
        <f t="shared" si="0"/>
        <v>28992.5</v>
      </c>
      <c r="L8" s="12">
        <f t="shared" si="0"/>
        <v>29005</v>
      </c>
      <c r="M8" s="12">
        <f t="shared" si="0"/>
        <v>28950</v>
      </c>
      <c r="N8" s="12">
        <f t="shared" si="0"/>
        <v>29389.07</v>
      </c>
      <c r="O8" s="12">
        <f t="shared" si="0"/>
        <v>29414.47</v>
      </c>
      <c r="P8" s="12">
        <f t="shared" si="0"/>
        <v>29414.47</v>
      </c>
      <c r="Q8" s="12">
        <f t="shared" si="0"/>
        <v>29366.21</v>
      </c>
      <c r="R8" s="12">
        <f t="shared" si="0"/>
        <v>30565.919999999998</v>
      </c>
      <c r="S8" s="12">
        <f t="shared" si="0"/>
        <v>30526.32</v>
      </c>
      <c r="T8" s="12">
        <f t="shared" si="0"/>
        <v>30597.599999999999</v>
      </c>
      <c r="U8" s="12">
        <f t="shared" si="0"/>
        <v>30502.560000000001</v>
      </c>
      <c r="V8" s="12">
        <f t="shared" si="0"/>
        <v>33968.76</v>
      </c>
      <c r="W8" s="12">
        <f t="shared" si="0"/>
        <v>36279.56</v>
      </c>
      <c r="X8" s="12" t="e">
        <f>X10*X3/1000</f>
        <v>#REF!</v>
      </c>
      <c r="Y8" s="17"/>
      <c r="Z8" s="17"/>
      <c r="AA8" s="17"/>
      <c r="AB8" s="17"/>
      <c r="AC8" s="17"/>
      <c r="AD8" s="17"/>
      <c r="AE8" s="17"/>
    </row>
    <row r="9" spans="1:31" ht="18" customHeight="1">
      <c r="A9" s="16">
        <v>5</v>
      </c>
      <c r="B9" s="18" t="s">
        <v>31</v>
      </c>
      <c r="C9" s="18" t="s">
        <v>32</v>
      </c>
      <c r="D9" s="16" t="s">
        <v>54</v>
      </c>
      <c r="E9" s="18" t="s">
        <v>33</v>
      </c>
      <c r="F9" s="18" t="s">
        <v>56</v>
      </c>
      <c r="G9" s="18" t="s">
        <v>30</v>
      </c>
      <c r="H9" s="20">
        <f t="shared" ref="H9:U9" si="1">H10-20</f>
        <v>1230</v>
      </c>
      <c r="I9" s="20">
        <f t="shared" si="1"/>
        <v>1230</v>
      </c>
      <c r="J9" s="20">
        <f t="shared" si="1"/>
        <v>1230</v>
      </c>
      <c r="K9" s="20">
        <f t="shared" si="1"/>
        <v>1230</v>
      </c>
      <c r="L9" s="20">
        <f t="shared" si="1"/>
        <v>1230</v>
      </c>
      <c r="M9" s="20">
        <f t="shared" si="1"/>
        <v>1230</v>
      </c>
      <c r="N9" s="20">
        <f t="shared" si="1"/>
        <v>1250</v>
      </c>
      <c r="O9" s="20">
        <f t="shared" si="1"/>
        <v>1250</v>
      </c>
      <c r="P9" s="20">
        <f t="shared" si="1"/>
        <v>1250</v>
      </c>
      <c r="Q9" s="20">
        <f t="shared" si="1"/>
        <v>1250</v>
      </c>
      <c r="R9" s="20">
        <f t="shared" si="1"/>
        <v>1300</v>
      </c>
      <c r="S9" s="20">
        <f t="shared" si="1"/>
        <v>1300</v>
      </c>
      <c r="T9" s="20">
        <f t="shared" si="1"/>
        <v>1300</v>
      </c>
      <c r="U9" s="20">
        <f t="shared" si="1"/>
        <v>1300</v>
      </c>
      <c r="V9" s="20">
        <v>1450</v>
      </c>
      <c r="W9" s="20">
        <v>1550</v>
      </c>
      <c r="X9" s="20" t="e">
        <f>#REF!</f>
        <v>#REF!</v>
      </c>
      <c r="Y9" s="20"/>
      <c r="Z9" s="20"/>
      <c r="AA9" s="20"/>
      <c r="AB9" s="20"/>
      <c r="AC9" s="20"/>
      <c r="AD9" s="20"/>
      <c r="AE9" s="20"/>
    </row>
    <row r="10" spans="1:31" ht="18" customHeight="1">
      <c r="A10" s="16">
        <v>6</v>
      </c>
      <c r="B10" s="18" t="s">
        <v>31</v>
      </c>
      <c r="C10" s="18" t="s">
        <v>32</v>
      </c>
      <c r="D10" s="16" t="s">
        <v>54</v>
      </c>
      <c r="E10" s="18" t="s">
        <v>33</v>
      </c>
      <c r="F10" s="18" t="s">
        <v>55</v>
      </c>
      <c r="G10" s="18" t="s">
        <v>30</v>
      </c>
      <c r="H10" s="20">
        <v>1250</v>
      </c>
      <c r="I10" s="20">
        <v>1250</v>
      </c>
      <c r="J10" s="20">
        <v>1250</v>
      </c>
      <c r="K10" s="20">
        <v>1250</v>
      </c>
      <c r="L10" s="20">
        <v>1250</v>
      </c>
      <c r="M10" s="20">
        <v>1250</v>
      </c>
      <c r="N10" s="20">
        <v>1270</v>
      </c>
      <c r="O10" s="20">
        <v>1270</v>
      </c>
      <c r="P10" s="20">
        <v>1270</v>
      </c>
      <c r="Q10" s="20">
        <v>1270</v>
      </c>
      <c r="R10" s="20">
        <v>1320</v>
      </c>
      <c r="S10" s="20">
        <v>1320</v>
      </c>
      <c r="T10" s="20">
        <v>1320</v>
      </c>
      <c r="U10" s="20">
        <v>1320</v>
      </c>
      <c r="V10" s="20">
        <f>V9+20</f>
        <v>1470</v>
      </c>
      <c r="W10" s="20">
        <f>W9+20</f>
        <v>1570</v>
      </c>
      <c r="X10" s="20" t="e">
        <f>X9+20</f>
        <v>#REF!</v>
      </c>
      <c r="Y10" s="20"/>
      <c r="Z10" s="20"/>
      <c r="AA10" s="20"/>
      <c r="AB10" s="20"/>
      <c r="AC10" s="20"/>
      <c r="AD10" s="20"/>
      <c r="AE10" s="20"/>
    </row>
    <row r="11" spans="1:31" ht="18" customHeight="1">
      <c r="A11" s="16">
        <v>7</v>
      </c>
      <c r="B11" s="18" t="s">
        <v>34</v>
      </c>
      <c r="C11" s="18" t="s">
        <v>35</v>
      </c>
      <c r="D11" s="16" t="s">
        <v>57</v>
      </c>
      <c r="E11" s="18" t="s">
        <v>36</v>
      </c>
      <c r="F11" s="18" t="s">
        <v>58</v>
      </c>
      <c r="G11" s="18" t="s">
        <v>30</v>
      </c>
      <c r="H11" s="20">
        <f t="shared" ref="H11:O11" si="2">H10+30</f>
        <v>1280</v>
      </c>
      <c r="I11" s="20">
        <f t="shared" si="2"/>
        <v>1280</v>
      </c>
      <c r="J11" s="20">
        <f t="shared" si="2"/>
        <v>1280</v>
      </c>
      <c r="K11" s="20">
        <f t="shared" si="2"/>
        <v>1280</v>
      </c>
      <c r="L11" s="20">
        <f t="shared" si="2"/>
        <v>1280</v>
      </c>
      <c r="M11" s="20">
        <f t="shared" si="2"/>
        <v>1280</v>
      </c>
      <c r="N11" s="20">
        <f t="shared" si="2"/>
        <v>1300</v>
      </c>
      <c r="O11" s="20">
        <f t="shared" si="2"/>
        <v>1300</v>
      </c>
      <c r="P11" s="20">
        <f>P10+30</f>
        <v>1300</v>
      </c>
      <c r="Q11" s="20">
        <f>Q10+30</f>
        <v>1300</v>
      </c>
      <c r="R11" s="20">
        <f>R10+30</f>
        <v>1350</v>
      </c>
      <c r="S11" s="20">
        <f>S10+50</f>
        <v>1370</v>
      </c>
      <c r="T11" s="20">
        <f>T10+50</f>
        <v>1370</v>
      </c>
      <c r="U11" s="20">
        <f>U10+50</f>
        <v>1370</v>
      </c>
      <c r="V11" s="20">
        <f>V10+100</f>
        <v>1570</v>
      </c>
      <c r="W11" s="20">
        <f>W10+100</f>
        <v>1670</v>
      </c>
      <c r="X11" s="20" t="e">
        <f>X10+100</f>
        <v>#REF!</v>
      </c>
      <c r="Y11" s="20"/>
      <c r="Z11" s="20"/>
      <c r="AA11" s="20"/>
      <c r="AB11" s="20"/>
      <c r="AC11" s="20"/>
      <c r="AD11" s="20"/>
      <c r="AE11" s="20"/>
    </row>
    <row r="12" spans="1:31" ht="18" customHeight="1">
      <c r="A12" s="16">
        <v>8</v>
      </c>
      <c r="B12" s="18" t="s">
        <v>59</v>
      </c>
      <c r="C12" s="18" t="s">
        <v>60</v>
      </c>
      <c r="D12" s="16" t="s">
        <v>61</v>
      </c>
      <c r="E12" s="19" t="s">
        <v>62</v>
      </c>
      <c r="F12" s="19" t="s">
        <v>62</v>
      </c>
      <c r="G12" s="19" t="s">
        <v>30</v>
      </c>
      <c r="H12" s="20"/>
      <c r="I12" s="20"/>
      <c r="J12" s="20"/>
      <c r="K12" s="20"/>
      <c r="L12" s="20"/>
      <c r="M12" s="20"/>
      <c r="N12" s="20"/>
      <c r="O12" s="20"/>
      <c r="P12" s="20">
        <f t="shared" ref="P12:V12" si="3">P10-100</f>
        <v>1170</v>
      </c>
      <c r="Q12" s="20">
        <f t="shared" si="3"/>
        <v>1170</v>
      </c>
      <c r="R12" s="20">
        <f t="shared" si="3"/>
        <v>1220</v>
      </c>
      <c r="S12" s="20">
        <f t="shared" si="3"/>
        <v>1220</v>
      </c>
      <c r="T12" s="20">
        <f t="shared" si="3"/>
        <v>1220</v>
      </c>
      <c r="U12" s="20">
        <f t="shared" si="3"/>
        <v>1220</v>
      </c>
      <c r="V12" s="20">
        <f t="shared" si="3"/>
        <v>1370</v>
      </c>
      <c r="W12" s="20">
        <f>W10-100</f>
        <v>1470</v>
      </c>
      <c r="X12" s="20" t="e">
        <f>X10-100</f>
        <v>#REF!</v>
      </c>
      <c r="Y12" s="20"/>
      <c r="Z12" s="20"/>
      <c r="AA12" s="20"/>
      <c r="AB12" s="20"/>
      <c r="AC12" s="20"/>
      <c r="AD12" s="20"/>
      <c r="AE12" s="20"/>
    </row>
    <row r="13" spans="1:31" s="23" customFormat="1" ht="18" customHeight="1">
      <c r="A13" s="53">
        <v>9</v>
      </c>
      <c r="B13" s="54"/>
      <c r="C13" s="54"/>
      <c r="D13" s="53" t="s">
        <v>37</v>
      </c>
      <c r="E13" s="54" t="s">
        <v>38</v>
      </c>
      <c r="F13" s="54" t="s">
        <v>63</v>
      </c>
      <c r="G13" s="54" t="s">
        <v>30</v>
      </c>
      <c r="H13" s="55"/>
      <c r="I13" s="55"/>
      <c r="J13" s="55"/>
      <c r="K13" s="55"/>
      <c r="L13" s="55"/>
      <c r="M13" s="55"/>
      <c r="N13" s="55"/>
      <c r="O13" s="55">
        <v>1300</v>
      </c>
      <c r="P13" s="55">
        <v>1300</v>
      </c>
      <c r="Q13" s="55">
        <v>1350</v>
      </c>
      <c r="R13" s="55">
        <v>1350</v>
      </c>
      <c r="S13" s="55">
        <v>1350</v>
      </c>
      <c r="T13" s="55">
        <v>1350</v>
      </c>
      <c r="U13" s="55">
        <v>1500</v>
      </c>
      <c r="V13" s="55">
        <v>1525</v>
      </c>
      <c r="W13" s="55">
        <v>1525</v>
      </c>
      <c r="X13" s="55">
        <v>1550</v>
      </c>
      <c r="Y13" s="55"/>
      <c r="Z13" s="55"/>
      <c r="AA13" s="55"/>
      <c r="AB13" s="55"/>
      <c r="AC13" s="55"/>
      <c r="AD13" s="55"/>
      <c r="AE13" s="55"/>
    </row>
    <row r="14" spans="1:31" s="23" customFormat="1" ht="18" customHeight="1">
      <c r="A14" s="53">
        <v>10</v>
      </c>
      <c r="B14" s="54"/>
      <c r="C14" s="54"/>
      <c r="D14" s="53" t="s">
        <v>37</v>
      </c>
      <c r="E14" s="54" t="s">
        <v>64</v>
      </c>
      <c r="F14" s="54" t="s">
        <v>63</v>
      </c>
      <c r="G14" s="54" t="s">
        <v>29</v>
      </c>
      <c r="H14" s="55"/>
      <c r="I14" s="55"/>
      <c r="J14" s="55"/>
      <c r="K14" s="55"/>
      <c r="L14" s="55"/>
      <c r="M14" s="55"/>
      <c r="N14" s="55"/>
      <c r="O14" s="56">
        <f t="shared" ref="O14:X14" si="4">O13*O3/1000</f>
        <v>30109.3</v>
      </c>
      <c r="P14" s="56">
        <f t="shared" si="4"/>
        <v>30109.3</v>
      </c>
      <c r="Q14" s="56">
        <f t="shared" si="4"/>
        <v>31216.05</v>
      </c>
      <c r="R14" s="56">
        <f t="shared" si="4"/>
        <v>31260.6</v>
      </c>
      <c r="S14" s="56">
        <f t="shared" si="4"/>
        <v>31220.1</v>
      </c>
      <c r="T14" s="56">
        <f t="shared" si="4"/>
        <v>31293</v>
      </c>
      <c r="U14" s="56">
        <f t="shared" si="4"/>
        <v>34662</v>
      </c>
      <c r="V14" s="56">
        <f t="shared" si="4"/>
        <v>35239.699999999997</v>
      </c>
      <c r="W14" s="56">
        <f t="shared" si="4"/>
        <v>35239.699999999997</v>
      </c>
      <c r="X14" s="56">
        <f t="shared" si="4"/>
        <v>35817.4</v>
      </c>
      <c r="Y14" s="55"/>
      <c r="Z14" s="55"/>
      <c r="AA14" s="55"/>
      <c r="AB14" s="55"/>
      <c r="AC14" s="55"/>
      <c r="AD14" s="55"/>
      <c r="AE14" s="55"/>
    </row>
    <row r="16" spans="1:31" ht="1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ht="1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ht="1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ht="1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ht="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ht="1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ht="1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ht="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ht="1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ht="1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ht="1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1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ht="1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ht="1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ht="1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ht="1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ht="1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ht="1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1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ht="1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ht="1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 ht="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 ht="1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 ht="1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ht="1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ht="1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ht="1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 ht="1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ht="1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ht="1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ht="1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ht="1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ht="1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5ABB-32BA-407A-8CB8-E80750FF520E}">
  <dimension ref="A1:Q26"/>
  <sheetViews>
    <sheetView showGridLines="0" zoomScaleNormal="100" workbookViewId="0">
      <pane xSplit="1" ySplit="13" topLeftCell="B14" activePane="bottomRight" state="frozen"/>
      <selection pane="topRight" activeCell="T3" sqref="T3"/>
      <selection pane="bottomLeft" activeCell="T3" sqref="T3"/>
      <selection pane="bottomRight" activeCell="L22" sqref="L22"/>
    </sheetView>
  </sheetViews>
  <sheetFormatPr defaultColWidth="9.1796875" defaultRowHeight="14"/>
  <cols>
    <col min="1" max="1" width="13" style="24" customWidth="1"/>
    <col min="2" max="2" width="10.81640625" style="24" customWidth="1"/>
    <col min="3" max="3" width="9.81640625" style="24" customWidth="1"/>
    <col min="4" max="4" width="9.1796875" style="24" customWidth="1"/>
    <col min="5" max="5" width="16.1796875" style="24" customWidth="1"/>
    <col min="6" max="6" width="14.81640625" style="24" bestFit="1" customWidth="1"/>
    <col min="7" max="7" width="13.1796875" style="24" customWidth="1"/>
    <col min="8" max="8" width="10.54296875" style="24" customWidth="1"/>
    <col min="9" max="9" width="8.1796875" style="74" bestFit="1" customWidth="1"/>
    <col min="10" max="10" width="12.81640625" style="24" customWidth="1"/>
    <col min="11" max="11" width="14" style="24" customWidth="1"/>
    <col min="12" max="12" width="12.453125" style="24" customWidth="1"/>
    <col min="13" max="16384" width="9.1796875" style="24"/>
  </cols>
  <sheetData>
    <row r="1" spans="1:17" ht="17.5">
      <c r="A1" s="28" t="s">
        <v>65</v>
      </c>
    </row>
    <row r="2" spans="1:17">
      <c r="L2" s="71" t="s">
        <v>66</v>
      </c>
    </row>
    <row r="3" spans="1:17" ht="38.5" customHeight="1">
      <c r="A3" s="26" t="s">
        <v>67</v>
      </c>
      <c r="B3" s="33" t="s">
        <v>68</v>
      </c>
      <c r="C3" s="29" t="s">
        <v>69</v>
      </c>
      <c r="D3" s="170" t="s">
        <v>70</v>
      </c>
      <c r="E3" s="170"/>
      <c r="F3" s="172" t="s">
        <v>71</v>
      </c>
      <c r="G3" s="173"/>
      <c r="H3" s="15" t="s">
        <v>72</v>
      </c>
      <c r="I3" s="171" t="s">
        <v>73</v>
      </c>
      <c r="J3" s="171"/>
      <c r="K3" s="31" t="s">
        <v>74</v>
      </c>
      <c r="L3" s="168" t="s">
        <v>75</v>
      </c>
      <c r="M3" s="1"/>
      <c r="N3" s="1"/>
      <c r="O3" s="1"/>
      <c r="P3" s="1"/>
      <c r="Q3" s="1"/>
    </row>
    <row r="4" spans="1:17" ht="29.15" customHeight="1">
      <c r="A4" s="27"/>
      <c r="B4" s="34" t="s">
        <v>76</v>
      </c>
      <c r="C4" s="30" t="s">
        <v>77</v>
      </c>
      <c r="D4" s="35" t="s">
        <v>78</v>
      </c>
      <c r="E4" s="37" t="s">
        <v>79</v>
      </c>
      <c r="F4" s="57" t="s">
        <v>80</v>
      </c>
      <c r="G4" s="57" t="s">
        <v>81</v>
      </c>
      <c r="H4" s="15" t="s">
        <v>82</v>
      </c>
      <c r="I4" s="75" t="s">
        <v>78</v>
      </c>
      <c r="J4" s="73" t="s">
        <v>83</v>
      </c>
      <c r="K4" s="32"/>
      <c r="L4" s="169"/>
      <c r="M4" s="1"/>
      <c r="N4" s="1"/>
      <c r="O4" s="1"/>
      <c r="P4" s="1"/>
      <c r="Q4" s="1"/>
    </row>
    <row r="5" spans="1:17" ht="15" hidden="1" customHeight="1">
      <c r="A5" s="3" t="s">
        <v>11</v>
      </c>
      <c r="B5" s="36">
        <f>HLOOKUP($A5,Data!$D$4:$AE$12,4,0)</f>
        <v>18000</v>
      </c>
      <c r="C5" s="63"/>
      <c r="D5" s="12">
        <f>HLOOKUP($A5,Data!$D$4:$AE$12,5,0)</f>
        <v>28933.75</v>
      </c>
      <c r="E5" s="38">
        <f>HLOOKUP($A5,Data!$D$4:$AE$12,7,0)</f>
        <v>1250</v>
      </c>
      <c r="F5" s="39"/>
      <c r="G5" s="58"/>
      <c r="H5" s="4"/>
      <c r="I5" s="76"/>
      <c r="J5" s="40">
        <f>HLOOKUP($A5,Data!$D$4:$AE$12,6,0)</f>
        <v>1230</v>
      </c>
      <c r="K5" s="62"/>
      <c r="L5" s="58"/>
      <c r="M5" s="1"/>
      <c r="N5" s="1"/>
      <c r="O5" s="1"/>
      <c r="P5" s="1"/>
      <c r="Q5" s="1"/>
    </row>
    <row r="6" spans="1:17" ht="15" hidden="1" customHeight="1">
      <c r="A6" s="3" t="s">
        <v>12</v>
      </c>
      <c r="B6" s="36">
        <f>HLOOKUP($A6,Data!$D$4:$AE$12,4,0)</f>
        <v>18000</v>
      </c>
      <c r="C6" s="60">
        <f>B6/B5-1</f>
        <v>0</v>
      </c>
      <c r="D6" s="12">
        <f>HLOOKUP($A6,Data!$D$4:$AE$12,5,0)</f>
        <v>28918.75</v>
      </c>
      <c r="E6" s="38">
        <f>HLOOKUP($A6,Data!$D$4:$AE$12,7,0)</f>
        <v>1250</v>
      </c>
      <c r="F6" s="39"/>
      <c r="G6" s="58"/>
      <c r="H6" s="4"/>
      <c r="I6" s="77"/>
      <c r="J6" s="40">
        <f>HLOOKUP($A6,Data!$D$4:$AE$12,6,0)</f>
        <v>1230</v>
      </c>
      <c r="K6" s="61"/>
      <c r="L6" s="58"/>
      <c r="M6" s="1"/>
      <c r="N6" s="1"/>
      <c r="O6" s="1"/>
      <c r="P6" s="1"/>
      <c r="Q6" s="1"/>
    </row>
    <row r="7" spans="1:17" ht="15" hidden="1" customHeight="1">
      <c r="A7" s="3" t="s">
        <v>13</v>
      </c>
      <c r="B7" s="36">
        <f>HLOOKUP($A7,Data!$D$4:$AE$12,4,0)</f>
        <v>18000</v>
      </c>
      <c r="C7" s="60">
        <f t="shared" ref="C7:C23" si="0">B7/B6-1</f>
        <v>0</v>
      </c>
      <c r="D7" s="12">
        <f>HLOOKUP($A7,Data!$D$4:$AE$12,5,0)</f>
        <v>28927.5</v>
      </c>
      <c r="E7" s="38">
        <f>HLOOKUP($A7,Data!$D$4:$AE$12,7,0)</f>
        <v>1250</v>
      </c>
      <c r="F7" s="39"/>
      <c r="G7" s="58"/>
      <c r="H7" s="4"/>
      <c r="I7" s="77"/>
      <c r="J7" s="40">
        <f>HLOOKUP($A7,Data!$D$4:$AE$12,6,0)</f>
        <v>1230</v>
      </c>
      <c r="K7" s="61"/>
      <c r="L7" s="58"/>
      <c r="M7" s="1"/>
      <c r="N7" s="1"/>
      <c r="O7" s="1"/>
      <c r="P7" s="1"/>
      <c r="Q7" s="1"/>
    </row>
    <row r="8" spans="1:17" ht="15" hidden="1" customHeight="1">
      <c r="A8" s="3" t="s">
        <v>14</v>
      </c>
      <c r="B8" s="36">
        <f>HLOOKUP($A8,Data!$D$4:$AE$12,4,0)</f>
        <v>18000</v>
      </c>
      <c r="C8" s="60">
        <f t="shared" si="0"/>
        <v>0</v>
      </c>
      <c r="D8" s="12">
        <f>HLOOKUP($A8,Data!$D$4:$AE$12,5,0)</f>
        <v>28992.5</v>
      </c>
      <c r="E8" s="38">
        <f>HLOOKUP($A8,Data!$D$4:$AE$12,7,0)</f>
        <v>1250</v>
      </c>
      <c r="F8" s="39"/>
      <c r="G8" s="58"/>
      <c r="H8" s="4"/>
      <c r="I8" s="77"/>
      <c r="J8" s="40">
        <f>HLOOKUP($A8,Data!$D$4:$AE$12,6,0)</f>
        <v>1230</v>
      </c>
      <c r="K8" s="61"/>
      <c r="L8" s="58"/>
      <c r="M8" s="1"/>
      <c r="N8" s="1"/>
      <c r="O8" s="1"/>
      <c r="P8" s="1"/>
      <c r="Q8" s="1"/>
    </row>
    <row r="9" spans="1:17" ht="15" hidden="1" customHeight="1">
      <c r="A9" s="3" t="s">
        <v>15</v>
      </c>
      <c r="B9" s="36">
        <f>HLOOKUP($A9,Data!$D$4:$AE$12,4,0)</f>
        <v>18000</v>
      </c>
      <c r="C9" s="60">
        <f t="shared" si="0"/>
        <v>0</v>
      </c>
      <c r="D9" s="12">
        <f>HLOOKUP($A9,Data!$D$4:$AE$12,5,0)</f>
        <v>29005</v>
      </c>
      <c r="E9" s="38">
        <f>HLOOKUP($A9,Data!$D$4:$AE$12,7,0)</f>
        <v>1250</v>
      </c>
      <c r="F9" s="39"/>
      <c r="G9" s="58"/>
      <c r="H9" s="4"/>
      <c r="I9" s="77"/>
      <c r="J9" s="40">
        <f>HLOOKUP($A9,Data!$D$4:$AE$12,6,0)</f>
        <v>1230</v>
      </c>
      <c r="K9" s="61"/>
      <c r="L9" s="58"/>
      <c r="M9" s="1"/>
      <c r="N9" s="1"/>
      <c r="O9" s="1"/>
      <c r="P9" s="1"/>
      <c r="Q9" s="1"/>
    </row>
    <row r="10" spans="1:17" ht="15" hidden="1" customHeight="1">
      <c r="A10" s="3" t="s">
        <v>16</v>
      </c>
      <c r="B10" s="36">
        <f>HLOOKUP($A10,Data!$D$4:$AE$12,4,0)</f>
        <v>18000</v>
      </c>
      <c r="C10" s="60">
        <f t="shared" si="0"/>
        <v>0</v>
      </c>
      <c r="D10" s="12">
        <f>HLOOKUP($A10,Data!$D$4:$AE$12,5,0)</f>
        <v>28950</v>
      </c>
      <c r="E10" s="38">
        <f>HLOOKUP($A10,Data!$D$4:$AE$12,7,0)</f>
        <v>1250</v>
      </c>
      <c r="F10" s="39"/>
      <c r="G10" s="58"/>
      <c r="H10" s="4"/>
      <c r="I10" s="77"/>
      <c r="J10" s="40">
        <f>HLOOKUP($A10,Data!$D$4:$AE$12,6,0)</f>
        <v>1230</v>
      </c>
      <c r="K10" s="61"/>
      <c r="L10" s="58"/>
      <c r="M10" s="1"/>
      <c r="N10" s="1"/>
      <c r="O10" s="1"/>
      <c r="P10" s="1"/>
      <c r="Q10" s="1"/>
    </row>
    <row r="11" spans="1:17" ht="2.5" hidden="1" customHeight="1">
      <c r="A11" s="3" t="s">
        <v>17</v>
      </c>
      <c r="B11" s="36">
        <f>HLOOKUP($A11,Data!$D$4:$AE$12,4,0)</f>
        <v>18000</v>
      </c>
      <c r="C11" s="60">
        <f t="shared" si="0"/>
        <v>0</v>
      </c>
      <c r="D11" s="12">
        <f>HLOOKUP($A11,Data!$D$4:$AE$12,5,0)</f>
        <v>29389.07</v>
      </c>
      <c r="E11" s="38">
        <f>HLOOKUP($A11,Data!$D$4:$AE$12,7,0)</f>
        <v>1270</v>
      </c>
      <c r="F11" s="39"/>
      <c r="G11" s="58"/>
      <c r="H11" s="4"/>
      <c r="I11" s="77"/>
      <c r="J11" s="40">
        <f>HLOOKUP($A11,Data!$D$4:$AE$12,6,0)</f>
        <v>1250</v>
      </c>
      <c r="K11" s="61"/>
      <c r="L11" s="58"/>
      <c r="M11" s="1"/>
      <c r="N11" s="1"/>
      <c r="O11" s="1"/>
      <c r="P11" s="1"/>
      <c r="Q11" s="1"/>
    </row>
    <row r="12" spans="1:17" hidden="1">
      <c r="A12" s="3" t="s">
        <v>18</v>
      </c>
      <c r="B12" s="36">
        <f>HLOOKUP($A12,Data!$D$4:$AE$12,4,0)</f>
        <v>18000</v>
      </c>
      <c r="C12" s="64">
        <f t="shared" si="0"/>
        <v>0</v>
      </c>
      <c r="D12" s="12">
        <f>HLOOKUP($A12,Data!$D$4:$AE$12,5,0)</f>
        <v>29414.47</v>
      </c>
      <c r="E12" s="38">
        <f>HLOOKUP($A12,Data!$D$4:$AE$12,7,0)</f>
        <v>1270</v>
      </c>
      <c r="F12" s="39">
        <f>HLOOKUP($A12,Data!$D$4:$AE$14,11,0)</f>
        <v>30109.3</v>
      </c>
      <c r="G12" s="58">
        <f>HLOOKUP($A12,Data!$D$4:$AE$13,10,0)</f>
        <v>1300</v>
      </c>
      <c r="H12" s="25">
        <f t="shared" ref="H12:H23" si="1">G12-E12</f>
        <v>30</v>
      </c>
      <c r="I12" s="77"/>
      <c r="J12" s="40">
        <f>HLOOKUP($A12,Data!$D$4:$AE$12,6,0)</f>
        <v>1250</v>
      </c>
      <c r="K12" s="70"/>
      <c r="L12" s="58">
        <v>1350</v>
      </c>
      <c r="M12" s="1"/>
      <c r="N12" s="1"/>
      <c r="O12" s="1"/>
      <c r="P12" s="1"/>
      <c r="Q12" s="1"/>
    </row>
    <row r="13" spans="1:17" hidden="1">
      <c r="A13" s="3" t="s">
        <v>19</v>
      </c>
      <c r="B13" s="36">
        <f>HLOOKUP($A13,Data!$D$4:$AE$12,4,0)</f>
        <v>18000</v>
      </c>
      <c r="C13" s="64">
        <f t="shared" si="0"/>
        <v>0</v>
      </c>
      <c r="D13" s="12">
        <f>HLOOKUP($A13,Data!$D$4:$AE$12,5,0)</f>
        <v>29414.47</v>
      </c>
      <c r="E13" s="38">
        <f>HLOOKUP($A13,Data!$D$4:$AE$12,7,0)</f>
        <v>1270</v>
      </c>
      <c r="F13" s="39">
        <f>HLOOKUP($A13,Data!$D$4:$AE$14,11,0)</f>
        <v>30109.3</v>
      </c>
      <c r="G13" s="58">
        <f>HLOOKUP($A13,Data!$D$4:$AE$13,10,0)</f>
        <v>1300</v>
      </c>
      <c r="H13" s="25">
        <f t="shared" si="1"/>
        <v>30</v>
      </c>
      <c r="I13" s="77"/>
      <c r="J13" s="40">
        <f>HLOOKUP($A13,Data!$D$4:$AE$12,6,0)</f>
        <v>1250</v>
      </c>
      <c r="K13" s="70"/>
      <c r="L13" s="58">
        <v>1350</v>
      </c>
      <c r="M13" s="1"/>
      <c r="N13" s="1"/>
      <c r="O13" s="1"/>
      <c r="P13" s="1"/>
      <c r="Q13" s="1"/>
    </row>
    <row r="14" spans="1:17" hidden="1">
      <c r="A14" s="3" t="s">
        <v>20</v>
      </c>
      <c r="B14" s="36">
        <f>HLOOKUP($A14,Data!$D$4:$AE$12,4,0)</f>
        <v>19000</v>
      </c>
      <c r="C14" s="64">
        <f t="shared" si="0"/>
        <v>5.555555555555558E-2</v>
      </c>
      <c r="D14" s="12">
        <f>HLOOKUP($A14,Data!$D$4:$AE$12,5,0)</f>
        <v>29366.21</v>
      </c>
      <c r="E14" s="38">
        <f>HLOOKUP($A14,Data!$D$4:$AE$12,7,0)</f>
        <v>1270</v>
      </c>
      <c r="F14" s="39">
        <f>HLOOKUP($A14,Data!$D$4:$AE$14,11,0)</f>
        <v>31216.05</v>
      </c>
      <c r="G14" s="58">
        <f>HLOOKUP($A14,Data!$D$4:$AE$13,10,0)</f>
        <v>1350</v>
      </c>
      <c r="H14" s="25">
        <f t="shared" si="1"/>
        <v>80</v>
      </c>
      <c r="I14" s="77"/>
      <c r="J14" s="40">
        <f>HLOOKUP($A14,Data!$D$4:$AE$12,6,0)</f>
        <v>1250</v>
      </c>
      <c r="K14" s="70">
        <f>1-(B14/D14)</f>
        <v>0.35299788430308165</v>
      </c>
      <c r="L14" s="58">
        <f>1350-60</f>
        <v>1290</v>
      </c>
      <c r="M14" s="1"/>
      <c r="N14" s="1"/>
      <c r="O14" s="1"/>
      <c r="P14" s="1"/>
      <c r="Q14" s="1"/>
    </row>
    <row r="15" spans="1:17">
      <c r="A15" s="3" t="s">
        <v>21</v>
      </c>
      <c r="B15" s="78">
        <f>HLOOKUP($A15,Data!$D$4:$AE$12,4,0)</f>
        <v>19000</v>
      </c>
      <c r="C15" s="64">
        <f t="shared" si="0"/>
        <v>0</v>
      </c>
      <c r="D15" s="78">
        <f>HLOOKUP($A15,Data!$D$4:$AE$12,5,0)</f>
        <v>30565.919999999998</v>
      </c>
      <c r="E15" s="38">
        <f>HLOOKUP($A15,Data!$D$4:$AE$12,7,0)</f>
        <v>1320</v>
      </c>
      <c r="F15" s="39">
        <f>HLOOKUP($A15,Data!$D$4:$AE$14,11,0)</f>
        <v>31260.6</v>
      </c>
      <c r="G15" s="58">
        <f>HLOOKUP($A15,Data!$D$4:$AE$13,10,0)</f>
        <v>1350</v>
      </c>
      <c r="H15" s="25">
        <f t="shared" si="1"/>
        <v>30</v>
      </c>
      <c r="I15" s="77">
        <f>J15*23156/1000</f>
        <v>30102.799999999999</v>
      </c>
      <c r="J15" s="40">
        <f>HLOOKUP($A15,Data!$D$4:$AE$12,6,0)</f>
        <v>1300</v>
      </c>
      <c r="K15" s="70">
        <f>1-(B15/I15)</f>
        <v>0.36882947765656349</v>
      </c>
      <c r="L15" s="58">
        <f>1350-60</f>
        <v>1290</v>
      </c>
      <c r="M15" s="1"/>
      <c r="N15" s="1"/>
      <c r="O15" s="1"/>
      <c r="P15" s="1"/>
      <c r="Q15" s="1"/>
    </row>
    <row r="16" spans="1:17">
      <c r="A16" s="3" t="s">
        <v>22</v>
      </c>
      <c r="B16" s="78">
        <f>HLOOKUP($A16,Data!$D$4:$AE$12,4,0)</f>
        <v>19000</v>
      </c>
      <c r="C16" s="64">
        <f t="shared" si="0"/>
        <v>0</v>
      </c>
      <c r="D16" s="78">
        <f>HLOOKUP($A16,Data!$D$4:$AE$12,5,0)</f>
        <v>30526.32</v>
      </c>
      <c r="E16" s="38">
        <f>HLOOKUP($A16,Data!$D$4:$AE$12,7,0)</f>
        <v>1320</v>
      </c>
      <c r="F16" s="39">
        <f>HLOOKUP($A16,Data!$D$4:$AE$14,11,0)</f>
        <v>31220.1</v>
      </c>
      <c r="G16" s="58">
        <f>HLOOKUP($A16,Data!$D$4:$AE$13,10,0)</f>
        <v>1350</v>
      </c>
      <c r="H16" s="25">
        <f t="shared" si="1"/>
        <v>30</v>
      </c>
      <c r="I16" s="77">
        <f>J16*23126/1000</f>
        <v>30063.8</v>
      </c>
      <c r="J16" s="40">
        <f>HLOOKUP($A16,Data!$D$4:$AE$12,6,0)</f>
        <v>1300</v>
      </c>
      <c r="K16" s="70">
        <f t="shared" ref="K16:K23" si="2">1-(B16/I16)</f>
        <v>0.36801069725051394</v>
      </c>
      <c r="L16" s="58">
        <f>1350-60</f>
        <v>1290</v>
      </c>
      <c r="M16" s="1"/>
      <c r="N16" s="1"/>
      <c r="O16" s="1"/>
      <c r="P16" s="1"/>
      <c r="Q16" s="1"/>
    </row>
    <row r="17" spans="1:17">
      <c r="A17" s="3" t="s">
        <v>23</v>
      </c>
      <c r="B17" s="78">
        <f>HLOOKUP($A17,Data!$D$4:$AE$12,4,0)</f>
        <v>19000</v>
      </c>
      <c r="C17" s="64">
        <f t="shared" si="0"/>
        <v>0</v>
      </c>
      <c r="D17" s="78">
        <f>HLOOKUP($A17,Data!$D$4:$AE$12,5,0)</f>
        <v>30597.599999999999</v>
      </c>
      <c r="E17" s="38">
        <f>HLOOKUP($A17,Data!$D$4:$AE$12,7,0)</f>
        <v>1320</v>
      </c>
      <c r="F17" s="39">
        <f>HLOOKUP($A17,Data!$D$4:$AE$14,11,0)</f>
        <v>31293</v>
      </c>
      <c r="G17" s="58">
        <f>HLOOKUP($A17,Data!$D$4:$AE$13,10,0)</f>
        <v>1350</v>
      </c>
      <c r="H17" s="25">
        <f t="shared" si="1"/>
        <v>30</v>
      </c>
      <c r="I17" s="77">
        <f>J17*23180/1000</f>
        <v>30134</v>
      </c>
      <c r="J17" s="40">
        <f>HLOOKUP($A17,Data!$D$4:$AE$12,6,0)</f>
        <v>1300</v>
      </c>
      <c r="K17" s="70">
        <f t="shared" si="2"/>
        <v>0.36948297604035307</v>
      </c>
      <c r="L17" s="58">
        <f>1400-60</f>
        <v>1340</v>
      </c>
      <c r="M17" s="1"/>
      <c r="N17" s="1"/>
      <c r="O17" s="1"/>
      <c r="P17" s="1"/>
      <c r="Q17" s="1"/>
    </row>
    <row r="18" spans="1:17">
      <c r="A18" s="3" t="s">
        <v>24</v>
      </c>
      <c r="B18" s="78">
        <f>HLOOKUP($A18,Data!$D$4:$AE$12,4,0)</f>
        <v>19000</v>
      </c>
      <c r="C18" s="64">
        <f t="shared" si="0"/>
        <v>0</v>
      </c>
      <c r="D18" s="78">
        <f>HLOOKUP($A18,Data!$D$4:$AE$12,5,0)</f>
        <v>30502.560000000001</v>
      </c>
      <c r="E18" s="38">
        <f>HLOOKUP($A18,Data!$D$4:$AE$12,7,0)</f>
        <v>1320</v>
      </c>
      <c r="F18" s="39">
        <f>HLOOKUP($A18,Data!$D$4:$AE$14,11,0)</f>
        <v>34662</v>
      </c>
      <c r="G18" s="58">
        <f>HLOOKUP($A18,Data!$D$4:$AE$13,10,0)</f>
        <v>1500</v>
      </c>
      <c r="H18" s="25">
        <f t="shared" si="1"/>
        <v>180</v>
      </c>
      <c r="I18" s="77">
        <f>J18*23108/1000</f>
        <v>30040.400000000001</v>
      </c>
      <c r="J18" s="40">
        <f>HLOOKUP($A18,Data!$D$4:$AE$12,6,0)</f>
        <v>1300</v>
      </c>
      <c r="K18" s="70">
        <f t="shared" si="2"/>
        <v>0.36751840854316187</v>
      </c>
      <c r="L18" s="58">
        <f>2040-60</f>
        <v>1980</v>
      </c>
      <c r="M18" s="1"/>
      <c r="N18" s="1"/>
      <c r="O18" s="1"/>
      <c r="P18" s="1"/>
      <c r="Q18" s="1"/>
    </row>
    <row r="19" spans="1:17">
      <c r="A19" s="3" t="s">
        <v>25</v>
      </c>
      <c r="B19" s="78">
        <f>HLOOKUP($A19,Data!$D$4:$AE$12,4,0)</f>
        <v>19700</v>
      </c>
      <c r="C19" s="64">
        <f t="shared" si="0"/>
        <v>3.6842105263157787E-2</v>
      </c>
      <c r="D19" s="78">
        <f>HLOOKUP($A19,Data!$D$4:$AE$12,5,0)</f>
        <v>33968.76</v>
      </c>
      <c r="E19" s="38">
        <f>HLOOKUP($A19,Data!$D$4:$AE$12,7,0)</f>
        <v>1470</v>
      </c>
      <c r="F19" s="39">
        <f>HLOOKUP($A19,Data!$D$4:$AE$14,11,0)</f>
        <v>35239.699999999997</v>
      </c>
      <c r="G19" s="58">
        <f>HLOOKUP($A19,Data!$D$4:$AE$13,10,0)</f>
        <v>1525</v>
      </c>
      <c r="H19" s="25">
        <f t="shared" si="1"/>
        <v>55</v>
      </c>
      <c r="I19" s="77">
        <f>J19*23108/1000</f>
        <v>33506.6</v>
      </c>
      <c r="J19" s="40">
        <f>HLOOKUP($A19,Data!$D$4:$AE$12,6,0)</f>
        <v>1450</v>
      </c>
      <c r="K19" s="70">
        <f t="shared" si="2"/>
        <v>0.41205613222469606</v>
      </c>
      <c r="L19" s="58">
        <f>2040-60</f>
        <v>1980</v>
      </c>
      <c r="M19" s="72"/>
      <c r="N19" s="1"/>
      <c r="O19" s="1"/>
      <c r="P19" s="1"/>
      <c r="Q19" s="1"/>
    </row>
    <row r="20" spans="1:17">
      <c r="A20" s="3" t="s">
        <v>3</v>
      </c>
      <c r="B20" s="78">
        <f>HLOOKUP($A20,Data!$D$4:$AE$12,4,0)</f>
        <v>21500</v>
      </c>
      <c r="C20" s="64">
        <f t="shared" si="0"/>
        <v>9.137055837563457E-2</v>
      </c>
      <c r="D20" s="78">
        <f>HLOOKUP($A20,Data!$D$4:$AE$12,5,0)</f>
        <v>36279.56</v>
      </c>
      <c r="E20" s="38">
        <f>HLOOKUP($A20,Data!$D$4:$AE$12,7,0)</f>
        <v>1570</v>
      </c>
      <c r="F20" s="39">
        <f>HLOOKUP($A20,Data!$D$4:$AE$14,11,0)</f>
        <v>35239.699999999997</v>
      </c>
      <c r="G20" s="58">
        <f>HLOOKUP($A20,Data!$D$4:$AE$13,10,0)</f>
        <v>1525</v>
      </c>
      <c r="H20" s="25">
        <f t="shared" si="1"/>
        <v>-45</v>
      </c>
      <c r="I20" s="77">
        <f>J20*23108/1000</f>
        <v>35817.4</v>
      </c>
      <c r="J20" s="40">
        <f>HLOOKUP($A20,Data!$D$4:$AE$12,6,0)</f>
        <v>1550</v>
      </c>
      <c r="K20" s="70">
        <f t="shared" si="2"/>
        <v>0.39973309062075979</v>
      </c>
      <c r="L20" s="58">
        <f>2040-60</f>
        <v>1980</v>
      </c>
      <c r="M20" s="72"/>
      <c r="N20" s="1"/>
      <c r="O20" s="1"/>
      <c r="P20" s="1"/>
      <c r="Q20" s="1"/>
    </row>
    <row r="21" spans="1:17">
      <c r="A21" s="49" t="s">
        <v>4</v>
      </c>
      <c r="B21" s="78">
        <v>21500</v>
      </c>
      <c r="C21" s="65">
        <f t="shared" si="0"/>
        <v>0</v>
      </c>
      <c r="D21" s="78" t="e">
        <f>HLOOKUP($A21,Data!$D$4:$AE$12,5,0)</f>
        <v>#REF!</v>
      </c>
      <c r="E21" s="52" t="e">
        <f>HLOOKUP($A21,Data!$D$4:$AE$12,7,0)</f>
        <v>#REF!</v>
      </c>
      <c r="F21" s="50">
        <f>HLOOKUP($A21,Data!$D$4:$AE$14,11,0)</f>
        <v>35817.4</v>
      </c>
      <c r="G21" s="59">
        <f>HLOOKUP($A21,Data!$D$4:$AE$13,10,0)</f>
        <v>1550</v>
      </c>
      <c r="H21" s="25" t="e">
        <f t="shared" si="1"/>
        <v>#REF!</v>
      </c>
      <c r="I21" s="77" t="e">
        <f>J21*23108/1000</f>
        <v>#REF!</v>
      </c>
      <c r="J21" s="51" t="e">
        <f>HLOOKUP($A21,Data!$D$4:$AE$12,6,0)</f>
        <v>#REF!</v>
      </c>
      <c r="K21" s="70" t="e">
        <f t="shared" si="2"/>
        <v>#REF!</v>
      </c>
      <c r="L21" s="58">
        <f>2050-60</f>
        <v>1990</v>
      </c>
      <c r="M21" s="1"/>
      <c r="N21" s="1"/>
      <c r="O21" s="1"/>
      <c r="P21" s="1"/>
      <c r="Q21" s="1"/>
    </row>
    <row r="22" spans="1:17">
      <c r="A22" s="49" t="s">
        <v>5</v>
      </c>
      <c r="B22" s="78">
        <v>21500</v>
      </c>
      <c r="C22" s="65">
        <f t="shared" si="0"/>
        <v>0</v>
      </c>
      <c r="D22" s="78" t="e">
        <f>#REF!</f>
        <v>#REF!</v>
      </c>
      <c r="E22" s="52" t="e">
        <f>#REF!</f>
        <v>#REF!</v>
      </c>
      <c r="F22" s="50">
        <f>G22*23150/1000</f>
        <v>37665.050000000003</v>
      </c>
      <c r="G22" s="59">
        <v>1627</v>
      </c>
      <c r="H22" s="25"/>
      <c r="I22" s="77" t="e">
        <f>#REF!</f>
        <v>#REF!</v>
      </c>
      <c r="J22" s="51" t="e">
        <f>#REF!</f>
        <v>#REF!</v>
      </c>
      <c r="K22" s="70" t="e">
        <f>1-(B22/I22)</f>
        <v>#REF!</v>
      </c>
      <c r="L22" s="58"/>
      <c r="M22" s="1" t="s">
        <v>84</v>
      </c>
      <c r="N22" s="1"/>
      <c r="O22" s="1"/>
      <c r="P22" s="1"/>
      <c r="Q22" s="1"/>
    </row>
    <row r="23" spans="1:17">
      <c r="A23" s="49" t="s">
        <v>42</v>
      </c>
      <c r="B23" s="78">
        <v>21500</v>
      </c>
      <c r="C23" s="65">
        <f t="shared" si="0"/>
        <v>0</v>
      </c>
      <c r="D23" s="78">
        <v>36279.56</v>
      </c>
      <c r="E23" s="52">
        <v>1570</v>
      </c>
      <c r="F23" s="50">
        <f>G23*23150/1000</f>
        <v>37040</v>
      </c>
      <c r="G23" s="59">
        <v>1600</v>
      </c>
      <c r="H23" s="25">
        <f t="shared" si="1"/>
        <v>30</v>
      </c>
      <c r="I23" s="77">
        <f>J23*23108/1000</f>
        <v>35817.4</v>
      </c>
      <c r="J23" s="51">
        <v>1550</v>
      </c>
      <c r="K23" s="70">
        <f t="shared" si="2"/>
        <v>0.39973309062075979</v>
      </c>
      <c r="L23" s="58">
        <f>2040-60</f>
        <v>1980</v>
      </c>
    </row>
    <row r="26" spans="1:17">
      <c r="B26" s="74">
        <v>19000</v>
      </c>
    </row>
  </sheetData>
  <mergeCells count="4">
    <mergeCell ref="L3:L4"/>
    <mergeCell ref="D3:E3"/>
    <mergeCell ref="I3:J3"/>
    <mergeCell ref="F3:G3"/>
  </mergeCells>
  <phoneticPr fontId="19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3628-8D66-46DD-B724-5004AB66EBE8}">
  <dimension ref="B2:E39"/>
  <sheetViews>
    <sheetView topLeftCell="A13" zoomScale="130" zoomScaleNormal="130" workbookViewId="0">
      <pane xSplit="1" ySplit="2" topLeftCell="B30" activePane="bottomRight" state="frozen"/>
      <selection pane="topRight" activeCell="D41" sqref="D41"/>
      <selection pane="bottomLeft" activeCell="D41" sqref="D41"/>
      <selection pane="bottomRight" activeCell="D41" sqref="D41"/>
    </sheetView>
  </sheetViews>
  <sheetFormatPr defaultRowHeight="14.5"/>
  <cols>
    <col min="1" max="1" width="4" customWidth="1"/>
    <col min="2" max="2" width="20" customWidth="1"/>
    <col min="3" max="3" width="25.453125" customWidth="1"/>
    <col min="4" max="4" width="25.54296875" customWidth="1"/>
    <col min="5" max="5" width="25" customWidth="1"/>
    <col min="257" max="257" width="4" customWidth="1"/>
    <col min="258" max="258" width="20" customWidth="1"/>
    <col min="259" max="261" width="25" customWidth="1"/>
    <col min="513" max="513" width="4" customWidth="1"/>
    <col min="514" max="514" width="20" customWidth="1"/>
    <col min="515" max="517" width="25" customWidth="1"/>
    <col min="769" max="769" width="4" customWidth="1"/>
    <col min="770" max="770" width="20" customWidth="1"/>
    <col min="771" max="773" width="25" customWidth="1"/>
    <col min="1025" max="1025" width="4" customWidth="1"/>
    <col min="1026" max="1026" width="20" customWidth="1"/>
    <col min="1027" max="1029" width="25" customWidth="1"/>
    <col min="1281" max="1281" width="4" customWidth="1"/>
    <col min="1282" max="1282" width="20" customWidth="1"/>
    <col min="1283" max="1285" width="25" customWidth="1"/>
    <col min="1537" max="1537" width="4" customWidth="1"/>
    <col min="1538" max="1538" width="20" customWidth="1"/>
    <col min="1539" max="1541" width="25" customWidth="1"/>
    <col min="1793" max="1793" width="4" customWidth="1"/>
    <col min="1794" max="1794" width="20" customWidth="1"/>
    <col min="1795" max="1797" width="25" customWidth="1"/>
    <col min="2049" max="2049" width="4" customWidth="1"/>
    <col min="2050" max="2050" width="20" customWidth="1"/>
    <col min="2051" max="2053" width="25" customWidth="1"/>
    <col min="2305" max="2305" width="4" customWidth="1"/>
    <col min="2306" max="2306" width="20" customWidth="1"/>
    <col min="2307" max="2309" width="25" customWidth="1"/>
    <col min="2561" max="2561" width="4" customWidth="1"/>
    <col min="2562" max="2562" width="20" customWidth="1"/>
    <col min="2563" max="2565" width="25" customWidth="1"/>
    <col min="2817" max="2817" width="4" customWidth="1"/>
    <col min="2818" max="2818" width="20" customWidth="1"/>
    <col min="2819" max="2821" width="25" customWidth="1"/>
    <col min="3073" max="3073" width="4" customWidth="1"/>
    <col min="3074" max="3074" width="20" customWidth="1"/>
    <col min="3075" max="3077" width="25" customWidth="1"/>
    <col min="3329" max="3329" width="4" customWidth="1"/>
    <col min="3330" max="3330" width="20" customWidth="1"/>
    <col min="3331" max="3333" width="25" customWidth="1"/>
    <col min="3585" max="3585" width="4" customWidth="1"/>
    <col min="3586" max="3586" width="20" customWidth="1"/>
    <col min="3587" max="3589" width="25" customWidth="1"/>
    <col min="3841" max="3841" width="4" customWidth="1"/>
    <col min="3842" max="3842" width="20" customWidth="1"/>
    <col min="3843" max="3845" width="25" customWidth="1"/>
    <col min="4097" max="4097" width="4" customWidth="1"/>
    <col min="4098" max="4098" width="20" customWidth="1"/>
    <col min="4099" max="4101" width="25" customWidth="1"/>
    <col min="4353" max="4353" width="4" customWidth="1"/>
    <col min="4354" max="4354" width="20" customWidth="1"/>
    <col min="4355" max="4357" width="25" customWidth="1"/>
    <col min="4609" max="4609" width="4" customWidth="1"/>
    <col min="4610" max="4610" width="20" customWidth="1"/>
    <col min="4611" max="4613" width="25" customWidth="1"/>
    <col min="4865" max="4865" width="4" customWidth="1"/>
    <col min="4866" max="4866" width="20" customWidth="1"/>
    <col min="4867" max="4869" width="25" customWidth="1"/>
    <col min="5121" max="5121" width="4" customWidth="1"/>
    <col min="5122" max="5122" width="20" customWidth="1"/>
    <col min="5123" max="5125" width="25" customWidth="1"/>
    <col min="5377" max="5377" width="4" customWidth="1"/>
    <col min="5378" max="5378" width="20" customWidth="1"/>
    <col min="5379" max="5381" width="25" customWidth="1"/>
    <col min="5633" max="5633" width="4" customWidth="1"/>
    <col min="5634" max="5634" width="20" customWidth="1"/>
    <col min="5635" max="5637" width="25" customWidth="1"/>
    <col min="5889" max="5889" width="4" customWidth="1"/>
    <col min="5890" max="5890" width="20" customWidth="1"/>
    <col min="5891" max="5893" width="25" customWidth="1"/>
    <col min="6145" max="6145" width="4" customWidth="1"/>
    <col min="6146" max="6146" width="20" customWidth="1"/>
    <col min="6147" max="6149" width="25" customWidth="1"/>
    <col min="6401" max="6401" width="4" customWidth="1"/>
    <col min="6402" max="6402" width="20" customWidth="1"/>
    <col min="6403" max="6405" width="25" customWidth="1"/>
    <col min="6657" max="6657" width="4" customWidth="1"/>
    <col min="6658" max="6658" width="20" customWidth="1"/>
    <col min="6659" max="6661" width="25" customWidth="1"/>
    <col min="6913" max="6913" width="4" customWidth="1"/>
    <col min="6914" max="6914" width="20" customWidth="1"/>
    <col min="6915" max="6917" width="25" customWidth="1"/>
    <col min="7169" max="7169" width="4" customWidth="1"/>
    <col min="7170" max="7170" width="20" customWidth="1"/>
    <col min="7171" max="7173" width="25" customWidth="1"/>
    <col min="7425" max="7425" width="4" customWidth="1"/>
    <col min="7426" max="7426" width="20" customWidth="1"/>
    <col min="7427" max="7429" width="25" customWidth="1"/>
    <col min="7681" max="7681" width="4" customWidth="1"/>
    <col min="7682" max="7682" width="20" customWidth="1"/>
    <col min="7683" max="7685" width="25" customWidth="1"/>
    <col min="7937" max="7937" width="4" customWidth="1"/>
    <col min="7938" max="7938" width="20" customWidth="1"/>
    <col min="7939" max="7941" width="25" customWidth="1"/>
    <col min="8193" max="8193" width="4" customWidth="1"/>
    <col min="8194" max="8194" width="20" customWidth="1"/>
    <col min="8195" max="8197" width="25" customWidth="1"/>
    <col min="8449" max="8449" width="4" customWidth="1"/>
    <col min="8450" max="8450" width="20" customWidth="1"/>
    <col min="8451" max="8453" width="25" customWidth="1"/>
    <col min="8705" max="8705" width="4" customWidth="1"/>
    <col min="8706" max="8706" width="20" customWidth="1"/>
    <col min="8707" max="8709" width="25" customWidth="1"/>
    <col min="8961" max="8961" width="4" customWidth="1"/>
    <col min="8962" max="8962" width="20" customWidth="1"/>
    <col min="8963" max="8965" width="25" customWidth="1"/>
    <col min="9217" max="9217" width="4" customWidth="1"/>
    <col min="9218" max="9218" width="20" customWidth="1"/>
    <col min="9219" max="9221" width="25" customWidth="1"/>
    <col min="9473" max="9473" width="4" customWidth="1"/>
    <col min="9474" max="9474" width="20" customWidth="1"/>
    <col min="9475" max="9477" width="25" customWidth="1"/>
    <col min="9729" max="9729" width="4" customWidth="1"/>
    <col min="9730" max="9730" width="20" customWidth="1"/>
    <col min="9731" max="9733" width="25" customWidth="1"/>
    <col min="9985" max="9985" width="4" customWidth="1"/>
    <col min="9986" max="9986" width="20" customWidth="1"/>
    <col min="9987" max="9989" width="25" customWidth="1"/>
    <col min="10241" max="10241" width="4" customWidth="1"/>
    <col min="10242" max="10242" width="20" customWidth="1"/>
    <col min="10243" max="10245" width="25" customWidth="1"/>
    <col min="10497" max="10497" width="4" customWidth="1"/>
    <col min="10498" max="10498" width="20" customWidth="1"/>
    <col min="10499" max="10501" width="25" customWidth="1"/>
    <col min="10753" max="10753" width="4" customWidth="1"/>
    <col min="10754" max="10754" width="20" customWidth="1"/>
    <col min="10755" max="10757" width="25" customWidth="1"/>
    <col min="11009" max="11009" width="4" customWidth="1"/>
    <col min="11010" max="11010" width="20" customWidth="1"/>
    <col min="11011" max="11013" width="25" customWidth="1"/>
    <col min="11265" max="11265" width="4" customWidth="1"/>
    <col min="11266" max="11266" width="20" customWidth="1"/>
    <col min="11267" max="11269" width="25" customWidth="1"/>
    <col min="11521" max="11521" width="4" customWidth="1"/>
    <col min="11522" max="11522" width="20" customWidth="1"/>
    <col min="11523" max="11525" width="25" customWidth="1"/>
    <col min="11777" max="11777" width="4" customWidth="1"/>
    <col min="11778" max="11778" width="20" customWidth="1"/>
    <col min="11779" max="11781" width="25" customWidth="1"/>
    <col min="12033" max="12033" width="4" customWidth="1"/>
    <col min="12034" max="12034" width="20" customWidth="1"/>
    <col min="12035" max="12037" width="25" customWidth="1"/>
    <col min="12289" max="12289" width="4" customWidth="1"/>
    <col min="12290" max="12290" width="20" customWidth="1"/>
    <col min="12291" max="12293" width="25" customWidth="1"/>
    <col min="12545" max="12545" width="4" customWidth="1"/>
    <col min="12546" max="12546" width="20" customWidth="1"/>
    <col min="12547" max="12549" width="25" customWidth="1"/>
    <col min="12801" max="12801" width="4" customWidth="1"/>
    <col min="12802" max="12802" width="20" customWidth="1"/>
    <col min="12803" max="12805" width="25" customWidth="1"/>
    <col min="13057" max="13057" width="4" customWidth="1"/>
    <col min="13058" max="13058" width="20" customWidth="1"/>
    <col min="13059" max="13061" width="25" customWidth="1"/>
    <col min="13313" max="13313" width="4" customWidth="1"/>
    <col min="13314" max="13314" width="20" customWidth="1"/>
    <col min="13315" max="13317" width="25" customWidth="1"/>
    <col min="13569" max="13569" width="4" customWidth="1"/>
    <col min="13570" max="13570" width="20" customWidth="1"/>
    <col min="13571" max="13573" width="25" customWidth="1"/>
    <col min="13825" max="13825" width="4" customWidth="1"/>
    <col min="13826" max="13826" width="20" customWidth="1"/>
    <col min="13827" max="13829" width="25" customWidth="1"/>
    <col min="14081" max="14081" width="4" customWidth="1"/>
    <col min="14082" max="14082" width="20" customWidth="1"/>
    <col min="14083" max="14085" width="25" customWidth="1"/>
    <col min="14337" max="14337" width="4" customWidth="1"/>
    <col min="14338" max="14338" width="20" customWidth="1"/>
    <col min="14339" max="14341" width="25" customWidth="1"/>
    <col min="14593" max="14593" width="4" customWidth="1"/>
    <col min="14594" max="14594" width="20" customWidth="1"/>
    <col min="14595" max="14597" width="25" customWidth="1"/>
    <col min="14849" max="14849" width="4" customWidth="1"/>
    <col min="14850" max="14850" width="20" customWidth="1"/>
    <col min="14851" max="14853" width="25" customWidth="1"/>
    <col min="15105" max="15105" width="4" customWidth="1"/>
    <col min="15106" max="15106" width="20" customWidth="1"/>
    <col min="15107" max="15109" width="25" customWidth="1"/>
    <col min="15361" max="15361" width="4" customWidth="1"/>
    <col min="15362" max="15362" width="20" customWidth="1"/>
    <col min="15363" max="15365" width="25" customWidth="1"/>
    <col min="15617" max="15617" width="4" customWidth="1"/>
    <col min="15618" max="15618" width="20" customWidth="1"/>
    <col min="15619" max="15621" width="25" customWidth="1"/>
    <col min="15873" max="15873" width="4" customWidth="1"/>
    <col min="15874" max="15874" width="20" customWidth="1"/>
    <col min="15875" max="15877" width="25" customWidth="1"/>
    <col min="16129" max="16129" width="4" customWidth="1"/>
    <col min="16130" max="16130" width="20" customWidth="1"/>
    <col min="16131" max="16133" width="25" customWidth="1"/>
  </cols>
  <sheetData>
    <row r="2" spans="2:5" ht="20.149999999999999" customHeight="1">
      <c r="B2" s="41" t="s">
        <v>85</v>
      </c>
    </row>
    <row r="3" spans="2:5">
      <c r="B3" s="42" t="s">
        <v>86</v>
      </c>
      <c r="C3" s="42" t="s">
        <v>87</v>
      </c>
    </row>
    <row r="4" spans="2:5">
      <c r="B4" s="42" t="s">
        <v>88</v>
      </c>
      <c r="C4" s="42" t="s">
        <v>89</v>
      </c>
    </row>
    <row r="5" spans="2:5">
      <c r="B5" s="42" t="s">
        <v>90</v>
      </c>
      <c r="C5" s="42" t="s">
        <v>91</v>
      </c>
    </row>
    <row r="6" spans="2:5">
      <c r="B6" s="42" t="s">
        <v>92</v>
      </c>
      <c r="C6" t="s">
        <v>93</v>
      </c>
      <c r="D6" t="s">
        <v>93</v>
      </c>
      <c r="E6" t="s">
        <v>93</v>
      </c>
    </row>
    <row r="7" spans="2:5">
      <c r="B7" s="42" t="s">
        <v>94</v>
      </c>
      <c r="C7" t="s">
        <v>95</v>
      </c>
      <c r="D7" t="s">
        <v>95</v>
      </c>
      <c r="E7" t="s">
        <v>95</v>
      </c>
    </row>
    <row r="8" spans="2:5">
      <c r="B8" s="42" t="s">
        <v>96</v>
      </c>
      <c r="C8" t="s">
        <v>97</v>
      </c>
      <c r="D8" t="s">
        <v>97</v>
      </c>
      <c r="E8" t="s">
        <v>97</v>
      </c>
    </row>
    <row r="9" spans="2:5">
      <c r="B9" s="42" t="s">
        <v>98</v>
      </c>
      <c r="C9" t="s">
        <v>93</v>
      </c>
      <c r="D9" t="s">
        <v>93</v>
      </c>
      <c r="E9" t="s">
        <v>93</v>
      </c>
    </row>
    <row r="10" spans="2:5">
      <c r="B10" s="42" t="s">
        <v>99</v>
      </c>
      <c r="C10" t="s">
        <v>95</v>
      </c>
      <c r="D10" t="s">
        <v>95</v>
      </c>
      <c r="E10" t="s">
        <v>95</v>
      </c>
    </row>
    <row r="11" spans="2:5">
      <c r="B11" s="42" t="s">
        <v>100</v>
      </c>
      <c r="C11" t="s">
        <v>101</v>
      </c>
      <c r="D11" t="s">
        <v>101</v>
      </c>
      <c r="E11" t="s">
        <v>101</v>
      </c>
    </row>
    <row r="12" spans="2:5" ht="15" thickBot="1"/>
    <row r="13" spans="2:5" ht="59" thickTop="1" thickBot="1">
      <c r="B13" s="43" t="s">
        <v>102</v>
      </c>
      <c r="C13" s="43" t="s">
        <v>103</v>
      </c>
      <c r="D13" s="43" t="s">
        <v>104</v>
      </c>
      <c r="E13" s="43" t="s">
        <v>105</v>
      </c>
    </row>
    <row r="14" spans="2:5" ht="15" hidden="1" thickTop="1">
      <c r="B14" s="44" t="s">
        <v>106</v>
      </c>
      <c r="C14" s="45">
        <v>1300</v>
      </c>
      <c r="D14" s="45">
        <v>1400</v>
      </c>
      <c r="E14" s="46">
        <v>1350</v>
      </c>
    </row>
    <row r="15" spans="2:5" hidden="1">
      <c r="B15" s="44" t="s">
        <v>107</v>
      </c>
      <c r="C15" s="45">
        <v>1200</v>
      </c>
      <c r="D15" s="45">
        <v>1400</v>
      </c>
      <c r="E15" s="46">
        <v>1300</v>
      </c>
    </row>
    <row r="16" spans="2:5" hidden="1">
      <c r="B16" s="44" t="s">
        <v>108</v>
      </c>
      <c r="C16" s="45">
        <v>1200</v>
      </c>
      <c r="D16" s="45">
        <v>1400</v>
      </c>
      <c r="E16" s="46">
        <v>1300</v>
      </c>
    </row>
    <row r="17" spans="2:5" hidden="1">
      <c r="B17" s="44" t="s">
        <v>109</v>
      </c>
      <c r="C17" s="45">
        <v>1200</v>
      </c>
      <c r="D17" s="45">
        <v>1400</v>
      </c>
      <c r="E17" s="46">
        <v>1300</v>
      </c>
    </row>
    <row r="18" spans="2:5" ht="15" thickTop="1">
      <c r="B18" s="44" t="s">
        <v>110</v>
      </c>
      <c r="C18" s="45">
        <v>1200</v>
      </c>
      <c r="D18" s="45">
        <v>1400</v>
      </c>
      <c r="E18" s="46">
        <v>1300</v>
      </c>
    </row>
    <row r="19" spans="2:5">
      <c r="B19" s="44" t="s">
        <v>111</v>
      </c>
      <c r="C19" s="45">
        <v>1200</v>
      </c>
      <c r="D19" s="45">
        <v>1500</v>
      </c>
      <c r="E19" s="46">
        <v>1350</v>
      </c>
    </row>
    <row r="20" spans="2:5">
      <c r="B20" s="44" t="s">
        <v>112</v>
      </c>
      <c r="C20" s="45">
        <v>1200</v>
      </c>
      <c r="D20" s="45">
        <v>1500</v>
      </c>
      <c r="E20" s="46">
        <v>1350</v>
      </c>
    </row>
    <row r="21" spans="2:5">
      <c r="B21" s="44" t="s">
        <v>113</v>
      </c>
      <c r="C21" s="45">
        <v>1200</v>
      </c>
      <c r="D21" s="45">
        <v>1500</v>
      </c>
      <c r="E21" s="46">
        <v>1350</v>
      </c>
    </row>
    <row r="22" spans="2:5">
      <c r="B22" s="44" t="s">
        <v>114</v>
      </c>
      <c r="C22" s="45">
        <v>1200</v>
      </c>
      <c r="D22" s="45">
        <v>1500</v>
      </c>
      <c r="E22" s="46">
        <v>1350</v>
      </c>
    </row>
    <row r="23" spans="2:5">
      <c r="B23" s="44" t="s">
        <v>115</v>
      </c>
      <c r="C23" s="45">
        <v>1200</v>
      </c>
      <c r="D23" s="45">
        <v>1500</v>
      </c>
      <c r="E23" s="46">
        <v>1350</v>
      </c>
    </row>
    <row r="24" spans="2:5">
      <c r="B24" s="44" t="s">
        <v>116</v>
      </c>
      <c r="C24" s="45">
        <v>1200</v>
      </c>
      <c r="D24" s="45">
        <v>1500</v>
      </c>
      <c r="E24" s="46">
        <v>1350</v>
      </c>
    </row>
    <row r="25" spans="2:5">
      <c r="B25" s="44" t="s">
        <v>117</v>
      </c>
      <c r="C25" s="45">
        <v>1200</v>
      </c>
      <c r="D25" s="45">
        <v>1500</v>
      </c>
      <c r="E25" s="46">
        <v>1350</v>
      </c>
    </row>
    <row r="26" spans="2:5">
      <c r="B26" s="44" t="s">
        <v>118</v>
      </c>
      <c r="C26" s="45">
        <v>1200</v>
      </c>
      <c r="D26" s="45">
        <v>1500</v>
      </c>
      <c r="E26" s="46">
        <v>1350</v>
      </c>
    </row>
    <row r="27" spans="2:5">
      <c r="B27" s="44" t="s">
        <v>119</v>
      </c>
      <c r="C27" s="45">
        <v>1200</v>
      </c>
      <c r="D27" s="45">
        <v>1500</v>
      </c>
      <c r="E27" s="46">
        <v>1350</v>
      </c>
    </row>
    <row r="28" spans="2:5">
      <c r="B28" s="44" t="s">
        <v>120</v>
      </c>
      <c r="C28" s="45">
        <v>1200</v>
      </c>
      <c r="D28" s="45">
        <v>1500</v>
      </c>
      <c r="E28" s="46">
        <v>1350</v>
      </c>
    </row>
    <row r="29" spans="2:5">
      <c r="B29" s="44" t="s">
        <v>121</v>
      </c>
      <c r="C29" s="45">
        <v>1200</v>
      </c>
      <c r="D29" s="45">
        <v>1500</v>
      </c>
      <c r="E29" s="46">
        <v>1350</v>
      </c>
    </row>
    <row r="30" spans="2:5">
      <c r="B30" s="44" t="s">
        <v>122</v>
      </c>
      <c r="C30" s="45">
        <v>1200</v>
      </c>
      <c r="D30" s="45">
        <v>1500</v>
      </c>
      <c r="E30" s="46">
        <v>1350</v>
      </c>
    </row>
    <row r="31" spans="2:5">
      <c r="B31" s="44" t="s">
        <v>123</v>
      </c>
      <c r="C31" s="45">
        <v>1200</v>
      </c>
      <c r="D31" s="45">
        <v>1500</v>
      </c>
      <c r="E31" s="46">
        <v>1350</v>
      </c>
    </row>
    <row r="32" spans="2:5">
      <c r="B32" s="44" t="s">
        <v>124</v>
      </c>
      <c r="C32" s="45">
        <v>1200</v>
      </c>
      <c r="D32" s="45">
        <v>1500</v>
      </c>
      <c r="E32" s="46">
        <v>1350</v>
      </c>
    </row>
    <row r="33" spans="2:5">
      <c r="B33" s="44" t="s">
        <v>125</v>
      </c>
      <c r="C33" s="45">
        <v>1200</v>
      </c>
      <c r="D33" s="45">
        <v>1500</v>
      </c>
      <c r="E33" s="46">
        <v>1350</v>
      </c>
    </row>
    <row r="34" spans="2:5">
      <c r="B34" s="48" t="s">
        <v>126</v>
      </c>
      <c r="C34" s="66">
        <v>1200</v>
      </c>
      <c r="D34" s="66">
        <v>1500</v>
      </c>
      <c r="E34" s="67">
        <v>1350</v>
      </c>
    </row>
    <row r="35" spans="2:5">
      <c r="B35" s="48" t="s">
        <v>127</v>
      </c>
      <c r="C35" s="66">
        <v>1200</v>
      </c>
      <c r="D35" s="66">
        <v>1500</v>
      </c>
      <c r="E35" s="67">
        <v>1350</v>
      </c>
    </row>
    <row r="36" spans="2:5">
      <c r="B36" s="48" t="s">
        <v>128</v>
      </c>
      <c r="C36" s="66">
        <v>1350</v>
      </c>
      <c r="D36" s="66">
        <v>1650</v>
      </c>
      <c r="E36" s="67">
        <v>1500</v>
      </c>
    </row>
    <row r="37" spans="2:5">
      <c r="B37" s="48" t="s">
        <v>129</v>
      </c>
      <c r="C37" s="66">
        <v>1350</v>
      </c>
      <c r="D37" s="66">
        <v>1650</v>
      </c>
      <c r="E37" s="67">
        <v>1500</v>
      </c>
    </row>
    <row r="38" spans="2:5" ht="21.75" customHeight="1" thickBot="1">
      <c r="B38" s="47" t="s">
        <v>130</v>
      </c>
      <c r="C38" s="68">
        <v>1400</v>
      </c>
      <c r="D38" s="68">
        <v>1650</v>
      </c>
      <c r="E38" s="69">
        <v>1525</v>
      </c>
    </row>
    <row r="39" spans="2:5" ht="15" thickTop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SL bán so với SL mua 2022</vt:lpstr>
      <vt:lpstr>SL bán so với SL mua 2022- PET</vt:lpstr>
      <vt:lpstr>SL bán so với SL mua 2022- HDPE</vt:lpstr>
      <vt:lpstr>SL bán&amp; SL SX-2022</vt:lpstr>
      <vt:lpstr>Tổng mua và bán</vt:lpstr>
      <vt:lpstr>Mua-bán PET</vt:lpstr>
      <vt:lpstr>Mua-bán HD</vt:lpstr>
      <vt:lpstr>Mua-bán-PP</vt:lpstr>
      <vt:lpstr>Tổng SX và bán</vt:lpstr>
      <vt:lpstr>SX và bán PET</vt:lpstr>
      <vt:lpstr>SX và bán HD</vt:lpstr>
      <vt:lpstr>SX và bán PP</vt:lpstr>
      <vt:lpstr>SX và bán xơ sợi</vt:lpstr>
      <vt:lpstr>SL TP&amp;BTP</vt:lpstr>
      <vt:lpstr>Data</vt:lpstr>
      <vt:lpstr>Data2</vt:lpstr>
      <vt:lpstr>ICIS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Cư, Lê Hoành</cp:lastModifiedBy>
  <cp:revision/>
  <cp:lastPrinted>2025-07-15T02:13:22Z</cp:lastPrinted>
  <dcterms:created xsi:type="dcterms:W3CDTF">2015-06-05T18:17:20Z</dcterms:created>
  <dcterms:modified xsi:type="dcterms:W3CDTF">2026-01-26T16:12:43Z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