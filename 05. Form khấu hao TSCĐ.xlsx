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7. NGÂN SÁCH- THỰC HIỆN/Năm 2026/01. Budget 2026-New/06. CAPEX/"/>
    </mc:Choice>
  </mc:AlternateContent>
  <xr:revisionPtr revIDLastSave="29" documentId="8_{DA91A106-5170-42FF-AC0E-2FA752C68D68}" xr6:coauthVersionLast="47" xr6:coauthVersionMax="47" xr10:uidLastSave="{721F0C8B-D097-4E9A-8E0C-7E65E1413BE0}"/>
  <bookViews>
    <workbookView xWindow="-108" yWindow="-108" windowWidth="23256" windowHeight="12456" tabRatio="887" xr2:uid="{70D126AF-1C3E-48E3-BE3C-9C0601FDA063}"/>
  </bookViews>
  <sheets>
    <sheet name="Dep.Full" sheetId="18" r:id="rId1"/>
    <sheet name="MD" sheetId="2" r:id="rId2"/>
    <sheet name="Cúc" sheetId="11" r:id="rId3"/>
    <sheet name="Nhi-TG KH" sheetId="22" r:id="rId4"/>
    <sheet name="Dep.-Current Asset-v2" sheetId="36" state="hidden" r:id="rId5"/>
    <sheet name="Nhi-TG KH-v2" sheetId="28" state="hidden" r:id="rId6"/>
  </sheets>
  <definedNames>
    <definedName name="_xlnm._FilterDatabase" localSheetId="2" hidden="1">Cúc!$A$1:$K$73</definedName>
    <definedName name="_xlnm._FilterDatabase" localSheetId="0" hidden="1">Dep.Full!$A$8:$BM$502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3" i="18" l="1"/>
  <c r="S502" i="18"/>
  <c r="S501" i="18"/>
  <c r="S500" i="18"/>
  <c r="S499" i="18"/>
  <c r="S498" i="18"/>
  <c r="S497" i="18"/>
  <c r="S496" i="18"/>
  <c r="S495" i="18"/>
  <c r="S494" i="18"/>
  <c r="S493" i="18"/>
  <c r="S492" i="18"/>
  <c r="S491" i="18"/>
  <c r="S490" i="18"/>
  <c r="S489" i="18"/>
  <c r="S488" i="18"/>
  <c r="S487" i="18"/>
  <c r="S486" i="18"/>
  <c r="S485" i="18"/>
  <c r="S484" i="18"/>
  <c r="S483" i="18"/>
  <c r="S482" i="18"/>
  <c r="S481" i="18"/>
  <c r="S480" i="18"/>
  <c r="S479" i="18"/>
  <c r="S478" i="18"/>
  <c r="S477" i="18"/>
  <c r="S476" i="18"/>
  <c r="S475" i="18"/>
  <c r="S474" i="18"/>
  <c r="S473" i="18"/>
  <c r="S472" i="18"/>
  <c r="S471" i="18"/>
  <c r="S470" i="18"/>
  <c r="S469" i="18"/>
  <c r="S468" i="18"/>
  <c r="S467" i="18"/>
  <c r="S466" i="18"/>
  <c r="S465" i="18"/>
  <c r="S464" i="18"/>
  <c r="S463" i="18"/>
  <c r="S462" i="18"/>
  <c r="S461" i="18"/>
  <c r="S460" i="18"/>
  <c r="S459" i="18"/>
  <c r="S458" i="18"/>
  <c r="S457" i="18"/>
  <c r="S456" i="18"/>
  <c r="S455" i="18"/>
  <c r="S454" i="18"/>
  <c r="S453" i="18"/>
  <c r="S452" i="18"/>
  <c r="S451" i="18"/>
  <c r="S450" i="18"/>
  <c r="S449" i="18"/>
  <c r="S448" i="18"/>
  <c r="S447" i="18"/>
  <c r="S446" i="18"/>
  <c r="S445" i="18"/>
  <c r="S444" i="18"/>
  <c r="S443" i="18"/>
  <c r="S442" i="18"/>
  <c r="S441" i="18"/>
  <c r="S440" i="18"/>
  <c r="S439" i="18"/>
  <c r="S438" i="18"/>
  <c r="S437" i="18"/>
  <c r="S436" i="18"/>
  <c r="S435" i="18"/>
  <c r="S434" i="18"/>
  <c r="S433" i="18"/>
  <c r="S432" i="18"/>
  <c r="S431" i="18"/>
  <c r="S430" i="18"/>
  <c r="S429" i="18"/>
  <c r="S428" i="18"/>
  <c r="S427" i="18"/>
  <c r="S426" i="18"/>
  <c r="S425" i="18"/>
  <c r="S424" i="18"/>
  <c r="S423" i="18"/>
  <c r="S422" i="18"/>
  <c r="S421" i="18"/>
  <c r="S420" i="18"/>
  <c r="S419" i="18"/>
  <c r="S418" i="18"/>
  <c r="S417" i="18"/>
  <c r="S416" i="18"/>
  <c r="S415" i="18"/>
  <c r="S414" i="18"/>
  <c r="S413" i="18"/>
  <c r="S412" i="18"/>
  <c r="S411" i="18"/>
  <c r="S410" i="18"/>
  <c r="S409" i="18"/>
  <c r="S408" i="18"/>
  <c r="S407" i="18"/>
  <c r="S406" i="18"/>
  <c r="S405" i="18"/>
  <c r="S404" i="18"/>
  <c r="S403" i="18"/>
  <c r="S402" i="18"/>
  <c r="S401" i="18"/>
  <c r="S400" i="18"/>
  <c r="S399" i="18"/>
  <c r="S398" i="18"/>
  <c r="S397" i="18"/>
  <c r="S396" i="18"/>
  <c r="S395" i="18"/>
  <c r="S394" i="18"/>
  <c r="S393" i="18"/>
  <c r="S392" i="18"/>
  <c r="S391" i="18"/>
  <c r="S390" i="18"/>
  <c r="S389" i="18"/>
  <c r="S388" i="18"/>
  <c r="S387" i="18"/>
  <c r="S386" i="18"/>
  <c r="S385" i="18"/>
  <c r="S384" i="18"/>
  <c r="S383" i="18"/>
  <c r="S382" i="18"/>
  <c r="S381" i="18"/>
  <c r="S380" i="18"/>
  <c r="S379" i="18"/>
  <c r="S378" i="18"/>
  <c r="S377" i="18"/>
  <c r="S376" i="18"/>
  <c r="S375" i="18"/>
  <c r="S374" i="18"/>
  <c r="S373" i="18"/>
  <c r="S372" i="18"/>
  <c r="S371" i="18"/>
  <c r="S370" i="18"/>
  <c r="S369" i="18"/>
  <c r="S368" i="18"/>
  <c r="S367" i="18"/>
  <c r="S366" i="18"/>
  <c r="S365" i="18"/>
  <c r="S364" i="18"/>
  <c r="S363" i="18"/>
  <c r="S362" i="18"/>
  <c r="S361" i="18"/>
  <c r="S360" i="18"/>
  <c r="S359" i="18"/>
  <c r="S358" i="18"/>
  <c r="S357" i="18"/>
  <c r="S356" i="18"/>
  <c r="S355" i="18"/>
  <c r="S354" i="18"/>
  <c r="S353" i="18"/>
  <c r="S352" i="18"/>
  <c r="S351" i="18"/>
  <c r="S350" i="18"/>
  <c r="S349" i="18"/>
  <c r="S348" i="18"/>
  <c r="S347" i="18"/>
  <c r="S346" i="18"/>
  <c r="S345" i="18"/>
  <c r="S344" i="18"/>
  <c r="S343" i="18"/>
  <c r="S342" i="18"/>
  <c r="S341" i="18"/>
  <c r="S340" i="18"/>
  <c r="S339" i="18"/>
  <c r="S338" i="18"/>
  <c r="S337" i="18"/>
  <c r="S336" i="18"/>
  <c r="S335" i="18"/>
  <c r="S334" i="18"/>
  <c r="S333" i="18"/>
  <c r="S332" i="18"/>
  <c r="S331" i="18"/>
  <c r="S330" i="18"/>
  <c r="S329" i="18"/>
  <c r="S328" i="18"/>
  <c r="S327" i="18"/>
  <c r="S326" i="18"/>
  <c r="S325" i="18"/>
  <c r="S324" i="18"/>
  <c r="S323" i="18"/>
  <c r="S322" i="18"/>
  <c r="S321" i="18"/>
  <c r="S320" i="18"/>
  <c r="S319" i="18"/>
  <c r="S318" i="18"/>
  <c r="S317" i="18"/>
  <c r="S316" i="18"/>
  <c r="S315" i="18"/>
  <c r="S314" i="18"/>
  <c r="S313" i="18"/>
  <c r="S312" i="18"/>
  <c r="S311" i="18"/>
  <c r="S310" i="18"/>
  <c r="S309" i="18"/>
  <c r="S308" i="18"/>
  <c r="S307" i="18"/>
  <c r="S306" i="18"/>
  <c r="S305" i="18"/>
  <c r="S304" i="18"/>
  <c r="S303" i="18"/>
  <c r="S302" i="18"/>
  <c r="S301" i="18"/>
  <c r="S300" i="18"/>
  <c r="S299" i="18"/>
  <c r="S298" i="18"/>
  <c r="S297" i="18"/>
  <c r="S296" i="18"/>
  <c r="S295" i="18"/>
  <c r="S294" i="18"/>
  <c r="S293" i="18"/>
  <c r="S292" i="18"/>
  <c r="S291" i="18"/>
  <c r="S290" i="18"/>
  <c r="S289" i="18"/>
  <c r="S288" i="18"/>
  <c r="S287" i="18"/>
  <c r="S286" i="18"/>
  <c r="S285" i="18"/>
  <c r="S284" i="18"/>
  <c r="S283" i="18"/>
  <c r="S282" i="18"/>
  <c r="S281" i="18"/>
  <c r="S280" i="18"/>
  <c r="S279" i="18"/>
  <c r="S278" i="18"/>
  <c r="S277" i="18"/>
  <c r="S276" i="18"/>
  <c r="S275" i="18"/>
  <c r="S274" i="18"/>
  <c r="S273" i="18"/>
  <c r="S272" i="18"/>
  <c r="S271" i="18"/>
  <c r="S270" i="18"/>
  <c r="S269" i="18"/>
  <c r="S268" i="18"/>
  <c r="S267" i="18"/>
  <c r="S266" i="18"/>
  <c r="S265" i="18"/>
  <c r="S264" i="18"/>
  <c r="S263" i="18"/>
  <c r="S262" i="18"/>
  <c r="S261" i="18"/>
  <c r="S260" i="18"/>
  <c r="S259" i="18"/>
  <c r="S258" i="18"/>
  <c r="S257" i="18"/>
  <c r="S256" i="18"/>
  <c r="S255" i="18"/>
  <c r="S254" i="18"/>
  <c r="S253" i="18"/>
  <c r="S252" i="18"/>
  <c r="S251" i="18"/>
  <c r="S250" i="18"/>
  <c r="S249" i="18"/>
  <c r="S248" i="18"/>
  <c r="S247" i="18"/>
  <c r="S246" i="18"/>
  <c r="S245" i="18"/>
  <c r="S244" i="18"/>
  <c r="S243" i="18"/>
  <c r="S242" i="18"/>
  <c r="S241" i="18"/>
  <c r="S240" i="18"/>
  <c r="S239" i="18"/>
  <c r="S238" i="18"/>
  <c r="S237" i="18"/>
  <c r="S236" i="18"/>
  <c r="S235" i="18"/>
  <c r="S234" i="18"/>
  <c r="S233" i="18"/>
  <c r="S232" i="18"/>
  <c r="S231" i="18"/>
  <c r="S230" i="18"/>
  <c r="S229" i="18"/>
  <c r="S228" i="18"/>
  <c r="S227" i="18"/>
  <c r="S226" i="18"/>
  <c r="S225" i="18"/>
  <c r="S224" i="18"/>
  <c r="S223" i="18"/>
  <c r="S222" i="18"/>
  <c r="S221" i="18"/>
  <c r="S220" i="18"/>
  <c r="S219" i="18"/>
  <c r="S218" i="18"/>
  <c r="S217" i="18"/>
  <c r="S216" i="18"/>
  <c r="S215" i="18"/>
  <c r="S214" i="18"/>
  <c r="S213" i="18"/>
  <c r="S212" i="18"/>
  <c r="S211" i="18"/>
  <c r="S210" i="18"/>
  <c r="S209" i="18"/>
  <c r="S208" i="18"/>
  <c r="S207" i="18"/>
  <c r="S206" i="18"/>
  <c r="S205" i="18"/>
  <c r="S204" i="18"/>
  <c r="S203" i="18"/>
  <c r="S202" i="18"/>
  <c r="S201" i="18"/>
  <c r="S200" i="18"/>
  <c r="S199" i="18"/>
  <c r="S198" i="18"/>
  <c r="S197" i="18"/>
  <c r="S196" i="18"/>
  <c r="S195" i="18"/>
  <c r="S194" i="18"/>
  <c r="S193" i="18"/>
  <c r="S192" i="18"/>
  <c r="S191" i="18"/>
  <c r="S190" i="18"/>
  <c r="S189" i="18"/>
  <c r="S188" i="18"/>
  <c r="S187" i="18"/>
  <c r="S186" i="18"/>
  <c r="S185" i="18"/>
  <c r="S184" i="18"/>
  <c r="S183" i="18"/>
  <c r="S182" i="18"/>
  <c r="S181" i="18"/>
  <c r="S180" i="18"/>
  <c r="S179" i="18"/>
  <c r="S178" i="18"/>
  <c r="S177" i="18"/>
  <c r="S176" i="18"/>
  <c r="S175" i="18"/>
  <c r="S174" i="18"/>
  <c r="S173" i="18"/>
  <c r="S172" i="18"/>
  <c r="S171" i="18"/>
  <c r="S170" i="18"/>
  <c r="S169" i="18"/>
  <c r="S168" i="18"/>
  <c r="S167" i="18"/>
  <c r="S166" i="18"/>
  <c r="S165" i="18"/>
  <c r="S164" i="18"/>
  <c r="S163" i="18"/>
  <c r="S162" i="18"/>
  <c r="S161" i="18"/>
  <c r="S160" i="18"/>
  <c r="S159" i="18"/>
  <c r="S158" i="18"/>
  <c r="S157" i="18"/>
  <c r="S156" i="18"/>
  <c r="S155" i="18"/>
  <c r="S154" i="18"/>
  <c r="S153" i="18"/>
  <c r="S152" i="18"/>
  <c r="S151" i="18"/>
  <c r="S150" i="18"/>
  <c r="S149" i="18"/>
  <c r="S148" i="18"/>
  <c r="S147" i="18"/>
  <c r="S146" i="18"/>
  <c r="S145" i="18"/>
  <c r="S144" i="18"/>
  <c r="S143" i="18"/>
  <c r="S142" i="18"/>
  <c r="S141" i="18"/>
  <c r="S140" i="18"/>
  <c r="S139" i="18"/>
  <c r="S138" i="18"/>
  <c r="S137" i="18"/>
  <c r="S136" i="18"/>
  <c r="S135" i="18"/>
  <c r="S134" i="18"/>
  <c r="S133" i="18"/>
  <c r="S132" i="18"/>
  <c r="S131" i="18"/>
  <c r="S130" i="18"/>
  <c r="S129" i="18"/>
  <c r="S128" i="18"/>
  <c r="S127" i="18"/>
  <c r="S126" i="18"/>
  <c r="S125" i="18"/>
  <c r="S124" i="18"/>
  <c r="S123" i="18"/>
  <c r="S122" i="18"/>
  <c r="S121" i="18"/>
  <c r="S120" i="18"/>
  <c r="S119" i="18"/>
  <c r="S118" i="18"/>
  <c r="S117" i="18"/>
  <c r="S116" i="18"/>
  <c r="S115" i="18"/>
  <c r="S114" i="18"/>
  <c r="S113" i="18"/>
  <c r="S112" i="18"/>
  <c r="S111" i="18"/>
  <c r="S110" i="18"/>
  <c r="S109" i="18"/>
  <c r="S108" i="18"/>
  <c r="S107" i="18"/>
  <c r="S106" i="18"/>
  <c r="S105" i="18"/>
  <c r="S104" i="18"/>
  <c r="S103" i="18"/>
  <c r="S102" i="18"/>
  <c r="S101" i="18"/>
  <c r="S100" i="18"/>
  <c r="S99" i="18"/>
  <c r="S98" i="18"/>
  <c r="S97" i="18"/>
  <c r="S96" i="18"/>
  <c r="S95" i="18"/>
  <c r="S94" i="18"/>
  <c r="S93" i="18"/>
  <c r="S92" i="18"/>
  <c r="S91" i="18"/>
  <c r="S90" i="18"/>
  <c r="S89" i="18"/>
  <c r="S88" i="18"/>
  <c r="S87" i="18"/>
  <c r="S86" i="18"/>
  <c r="S85" i="18"/>
  <c r="S84" i="18"/>
  <c r="S83" i="18"/>
  <c r="S82" i="18"/>
  <c r="S81" i="18"/>
  <c r="S80" i="18"/>
  <c r="S79" i="18"/>
  <c r="S78" i="18"/>
  <c r="S77" i="18"/>
  <c r="S76" i="18"/>
  <c r="S75" i="18"/>
  <c r="S74" i="18"/>
  <c r="S73" i="18"/>
  <c r="S72" i="18"/>
  <c r="S71" i="18"/>
  <c r="S70" i="18"/>
  <c r="S69" i="18"/>
  <c r="S68" i="18"/>
  <c r="S67" i="18"/>
  <c r="S66" i="18"/>
  <c r="S65" i="18"/>
  <c r="S64" i="18"/>
  <c r="S63" i="18"/>
  <c r="S62" i="18"/>
  <c r="S61" i="18"/>
  <c r="S60" i="18"/>
  <c r="S59" i="18"/>
  <c r="S58" i="18"/>
  <c r="S57" i="18"/>
  <c r="S56" i="18"/>
  <c r="S55" i="18"/>
  <c r="S54" i="18"/>
  <c r="S53" i="18"/>
  <c r="S52" i="18"/>
  <c r="S51" i="18"/>
  <c r="S50" i="18"/>
  <c r="S49" i="18"/>
  <c r="S48" i="18"/>
  <c r="S47" i="18"/>
  <c r="S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R503" i="18" l="1"/>
  <c r="R502" i="18"/>
  <c r="R501" i="18"/>
  <c r="R500" i="18"/>
  <c r="R499" i="18"/>
  <c r="R498" i="18"/>
  <c r="R497" i="18"/>
  <c r="R496" i="18"/>
  <c r="R495" i="18"/>
  <c r="R494" i="18"/>
  <c r="R493" i="18"/>
  <c r="R492" i="18"/>
  <c r="R491" i="18"/>
  <c r="R490" i="18"/>
  <c r="R489" i="18"/>
  <c r="R488" i="18"/>
  <c r="R487" i="18"/>
  <c r="R486" i="18"/>
  <c r="R485" i="18"/>
  <c r="R484" i="18"/>
  <c r="R483" i="18"/>
  <c r="R482" i="18"/>
  <c r="R481" i="18"/>
  <c r="R480" i="18"/>
  <c r="R479" i="18"/>
  <c r="R478" i="18"/>
  <c r="R477" i="18"/>
  <c r="R476" i="18"/>
  <c r="R475" i="18"/>
  <c r="R474" i="18"/>
  <c r="R473" i="18"/>
  <c r="R472" i="18"/>
  <c r="R471" i="18"/>
  <c r="R470" i="18"/>
  <c r="R469" i="18"/>
  <c r="R468" i="18"/>
  <c r="R467" i="18"/>
  <c r="R466" i="18"/>
  <c r="R465" i="18"/>
  <c r="R464" i="18"/>
  <c r="R463" i="18"/>
  <c r="R462" i="18"/>
  <c r="R461" i="18"/>
  <c r="R460" i="18"/>
  <c r="R459" i="18"/>
  <c r="R458" i="18"/>
  <c r="R457" i="18"/>
  <c r="R456" i="18"/>
  <c r="R455" i="18"/>
  <c r="R454" i="18"/>
  <c r="R453" i="18"/>
  <c r="R452" i="18"/>
  <c r="R451" i="18"/>
  <c r="R450" i="18"/>
  <c r="R449" i="18"/>
  <c r="R448" i="18"/>
  <c r="R447" i="18"/>
  <c r="R446" i="18"/>
  <c r="R445" i="18"/>
  <c r="R444" i="18"/>
  <c r="R443" i="18"/>
  <c r="R442" i="18"/>
  <c r="R441" i="18"/>
  <c r="R440" i="18"/>
  <c r="R439" i="18"/>
  <c r="R438" i="18"/>
  <c r="R437" i="18"/>
  <c r="R436" i="18"/>
  <c r="R435" i="18"/>
  <c r="R434" i="18"/>
  <c r="R433" i="18"/>
  <c r="R432" i="18"/>
  <c r="R431" i="18"/>
  <c r="R430" i="18"/>
  <c r="R429" i="18"/>
  <c r="R428" i="18"/>
  <c r="R427" i="18"/>
  <c r="R426" i="18"/>
  <c r="R425" i="18"/>
  <c r="R424" i="18"/>
  <c r="R423" i="18"/>
  <c r="R422" i="18"/>
  <c r="R421" i="18"/>
  <c r="R420" i="18"/>
  <c r="R419" i="18"/>
  <c r="R418" i="18"/>
  <c r="R417" i="18"/>
  <c r="R416" i="18"/>
  <c r="R415" i="18"/>
  <c r="R414" i="18"/>
  <c r="R413" i="18"/>
  <c r="R412" i="18"/>
  <c r="R411" i="18"/>
  <c r="R410" i="18"/>
  <c r="R409" i="18"/>
  <c r="R408" i="18"/>
  <c r="R407" i="18"/>
  <c r="R406" i="18"/>
  <c r="R405" i="18"/>
  <c r="R404" i="18"/>
  <c r="R403" i="18"/>
  <c r="R402" i="18"/>
  <c r="R401" i="18"/>
  <c r="R400" i="18"/>
  <c r="R399" i="18"/>
  <c r="R398" i="18"/>
  <c r="R397" i="18"/>
  <c r="R396" i="18"/>
  <c r="R395" i="18"/>
  <c r="R394" i="18"/>
  <c r="R393" i="18"/>
  <c r="R392" i="18"/>
  <c r="R391" i="18"/>
  <c r="R390" i="18"/>
  <c r="R389" i="18"/>
  <c r="R388" i="18"/>
  <c r="R387" i="18"/>
  <c r="R386" i="18"/>
  <c r="R385" i="18"/>
  <c r="R384" i="18"/>
  <c r="R383" i="18"/>
  <c r="R382" i="18"/>
  <c r="R381" i="18"/>
  <c r="R380" i="18"/>
  <c r="R379" i="18"/>
  <c r="R378" i="18"/>
  <c r="R377" i="18"/>
  <c r="R376" i="18"/>
  <c r="R375" i="18"/>
  <c r="R374" i="18"/>
  <c r="R373" i="18"/>
  <c r="R372" i="18"/>
  <c r="R371" i="18"/>
  <c r="R370" i="18"/>
  <c r="R369" i="18"/>
  <c r="R368" i="18"/>
  <c r="R367" i="18"/>
  <c r="R366" i="18"/>
  <c r="R365" i="18"/>
  <c r="R364" i="18"/>
  <c r="R363" i="18"/>
  <c r="R362" i="18"/>
  <c r="R361" i="18"/>
  <c r="R360" i="18"/>
  <c r="R359" i="18"/>
  <c r="R358" i="18"/>
  <c r="R357" i="18"/>
  <c r="R356" i="18"/>
  <c r="R355" i="18"/>
  <c r="R354" i="18"/>
  <c r="R353" i="18"/>
  <c r="R352" i="18"/>
  <c r="R351" i="18"/>
  <c r="R350" i="18"/>
  <c r="R349" i="18"/>
  <c r="R348" i="18"/>
  <c r="R347" i="18"/>
  <c r="R346" i="18"/>
  <c r="R345" i="18"/>
  <c r="R344" i="18"/>
  <c r="R343" i="18"/>
  <c r="R342" i="18"/>
  <c r="R341" i="18"/>
  <c r="R340" i="18"/>
  <c r="R339" i="18"/>
  <c r="R338" i="18"/>
  <c r="R337" i="18"/>
  <c r="R336" i="18"/>
  <c r="R335" i="18"/>
  <c r="R334" i="18"/>
  <c r="R333" i="18"/>
  <c r="R332" i="18"/>
  <c r="R331" i="18"/>
  <c r="R330" i="18"/>
  <c r="R329" i="18"/>
  <c r="R328" i="18"/>
  <c r="R327" i="18"/>
  <c r="R326" i="18"/>
  <c r="R325" i="18"/>
  <c r="R324" i="18"/>
  <c r="R323" i="18"/>
  <c r="R322" i="18"/>
  <c r="R321" i="18"/>
  <c r="R320" i="18"/>
  <c r="R319" i="18"/>
  <c r="R318" i="18"/>
  <c r="R317" i="18"/>
  <c r="R316" i="18"/>
  <c r="R315" i="18"/>
  <c r="R314" i="18"/>
  <c r="R313" i="18"/>
  <c r="R312" i="18"/>
  <c r="R311" i="18"/>
  <c r="R310" i="18"/>
  <c r="R309" i="18"/>
  <c r="R308" i="18"/>
  <c r="R307" i="18"/>
  <c r="R306" i="18"/>
  <c r="R305" i="18"/>
  <c r="R304" i="18"/>
  <c r="R303" i="18"/>
  <c r="R302" i="18"/>
  <c r="R301" i="18"/>
  <c r="R300" i="18"/>
  <c r="R299" i="18"/>
  <c r="R298" i="18"/>
  <c r="R297" i="18"/>
  <c r="R296" i="18"/>
  <c r="R295" i="18"/>
  <c r="R294" i="18"/>
  <c r="R293" i="18"/>
  <c r="R292" i="18"/>
  <c r="R291" i="18"/>
  <c r="R290" i="18"/>
  <c r="R289" i="18"/>
  <c r="R288" i="18"/>
  <c r="R287" i="18"/>
  <c r="R286" i="18"/>
  <c r="R285" i="18"/>
  <c r="R284" i="18"/>
  <c r="R283" i="18"/>
  <c r="R282" i="18"/>
  <c r="R281" i="18"/>
  <c r="R280" i="18"/>
  <c r="R279" i="18"/>
  <c r="R278" i="18"/>
  <c r="R277" i="18"/>
  <c r="R276" i="18"/>
  <c r="R275" i="18"/>
  <c r="R274" i="18"/>
  <c r="R273" i="18"/>
  <c r="R272" i="18"/>
  <c r="R271" i="18"/>
  <c r="R270" i="18"/>
  <c r="R269" i="18"/>
  <c r="R268" i="18"/>
  <c r="R267" i="18"/>
  <c r="R266" i="18"/>
  <c r="R265" i="18"/>
  <c r="R264" i="18"/>
  <c r="R263" i="18"/>
  <c r="R262" i="18"/>
  <c r="R261" i="18"/>
  <c r="R260" i="18"/>
  <c r="R259" i="18"/>
  <c r="R258" i="18"/>
  <c r="R257" i="18"/>
  <c r="R256" i="18"/>
  <c r="R255" i="18"/>
  <c r="R254" i="18"/>
  <c r="R253" i="18"/>
  <c r="R252" i="18"/>
  <c r="R251" i="18"/>
  <c r="R250" i="18"/>
  <c r="R249" i="18"/>
  <c r="R248" i="18"/>
  <c r="R247" i="18"/>
  <c r="R246" i="18"/>
  <c r="R245" i="18"/>
  <c r="R244" i="18"/>
  <c r="R243" i="18"/>
  <c r="R242" i="18"/>
  <c r="R241" i="18"/>
  <c r="R240" i="18"/>
  <c r="R239" i="18"/>
  <c r="R238" i="18"/>
  <c r="R237" i="18"/>
  <c r="R236" i="18"/>
  <c r="R235" i="18"/>
  <c r="R234" i="18"/>
  <c r="R233" i="18"/>
  <c r="R232" i="18"/>
  <c r="R231" i="18"/>
  <c r="R230" i="18"/>
  <c r="R229" i="18"/>
  <c r="R228" i="18"/>
  <c r="R227" i="18"/>
  <c r="R226" i="18"/>
  <c r="R225" i="18"/>
  <c r="R224" i="18"/>
  <c r="R223" i="18"/>
  <c r="R222" i="18"/>
  <c r="R221" i="18"/>
  <c r="R220" i="18"/>
  <c r="R219" i="18"/>
  <c r="R218" i="18"/>
  <c r="R217" i="18"/>
  <c r="R216" i="18"/>
  <c r="R215" i="18"/>
  <c r="R214" i="18"/>
  <c r="R213" i="18"/>
  <c r="R212" i="18"/>
  <c r="R211" i="18"/>
  <c r="R210" i="18"/>
  <c r="R209" i="18"/>
  <c r="R208" i="18"/>
  <c r="R207" i="18"/>
  <c r="R206" i="18"/>
  <c r="R205" i="18"/>
  <c r="R204" i="18"/>
  <c r="R203" i="18"/>
  <c r="R202" i="18"/>
  <c r="R201" i="18"/>
  <c r="R200" i="18"/>
  <c r="R199" i="18"/>
  <c r="R198" i="18"/>
  <c r="R197" i="18"/>
  <c r="R196" i="18"/>
  <c r="R195" i="18"/>
  <c r="R194" i="18"/>
  <c r="R193" i="18"/>
  <c r="R192" i="18"/>
  <c r="R191" i="18"/>
  <c r="R190" i="18"/>
  <c r="R189" i="18"/>
  <c r="R188" i="18"/>
  <c r="R187" i="18"/>
  <c r="R186" i="18"/>
  <c r="R185" i="18"/>
  <c r="R184" i="18"/>
  <c r="R183" i="18"/>
  <c r="R182" i="18"/>
  <c r="R181" i="18"/>
  <c r="R180" i="18"/>
  <c r="R179" i="18"/>
  <c r="R178" i="18"/>
  <c r="R177" i="18"/>
  <c r="R176" i="18"/>
  <c r="R175" i="18"/>
  <c r="R174" i="18"/>
  <c r="R173" i="18"/>
  <c r="R172" i="18"/>
  <c r="R171" i="18"/>
  <c r="R170" i="18"/>
  <c r="R169" i="18"/>
  <c r="R168" i="18"/>
  <c r="R167" i="18"/>
  <c r="R166" i="18"/>
  <c r="R165" i="18"/>
  <c r="R164" i="18"/>
  <c r="R163" i="18"/>
  <c r="R162" i="18"/>
  <c r="R161" i="18"/>
  <c r="R160" i="18"/>
  <c r="R159" i="18"/>
  <c r="R158" i="18"/>
  <c r="R157" i="18"/>
  <c r="R156" i="18"/>
  <c r="R155" i="18"/>
  <c r="R154" i="18"/>
  <c r="R153" i="18"/>
  <c r="R152" i="18"/>
  <c r="R151" i="18"/>
  <c r="R150" i="18"/>
  <c r="R149" i="18"/>
  <c r="R148" i="18"/>
  <c r="R147" i="18"/>
  <c r="R146" i="18"/>
  <c r="R145" i="18"/>
  <c r="R144" i="18"/>
  <c r="R143" i="18"/>
  <c r="R142" i="18"/>
  <c r="R141" i="18"/>
  <c r="R140" i="18"/>
  <c r="R139" i="18"/>
  <c r="R138" i="18"/>
  <c r="R137" i="18"/>
  <c r="R136" i="18"/>
  <c r="R135" i="18"/>
  <c r="R134" i="18"/>
  <c r="R133" i="18"/>
  <c r="R132" i="18"/>
  <c r="R131" i="18"/>
  <c r="R130" i="18"/>
  <c r="R129" i="18"/>
  <c r="R128" i="18"/>
  <c r="R127" i="18"/>
  <c r="R126" i="18"/>
  <c r="R125" i="18"/>
  <c r="R124" i="18"/>
  <c r="R123" i="18"/>
  <c r="R122" i="18"/>
  <c r="R121" i="18"/>
  <c r="R120" i="18"/>
  <c r="R119" i="18"/>
  <c r="R118" i="18"/>
  <c r="R117" i="18"/>
  <c r="R116" i="18"/>
  <c r="R115" i="18"/>
  <c r="R114" i="18"/>
  <c r="R113" i="18"/>
  <c r="R112" i="18"/>
  <c r="R111" i="18"/>
  <c r="R110" i="18"/>
  <c r="R109" i="18"/>
  <c r="R108" i="18"/>
  <c r="R107" i="18"/>
  <c r="R106" i="18"/>
  <c r="R105" i="18"/>
  <c r="R104" i="18"/>
  <c r="R103" i="18"/>
  <c r="R102" i="18"/>
  <c r="R101" i="18"/>
  <c r="R100" i="18"/>
  <c r="R99" i="18"/>
  <c r="R98" i="18"/>
  <c r="R97" i="18"/>
  <c r="R96" i="18"/>
  <c r="R95" i="18"/>
  <c r="R94" i="18"/>
  <c r="R93" i="18"/>
  <c r="R92" i="18"/>
  <c r="R91" i="18"/>
  <c r="R90" i="18"/>
  <c r="R89" i="18"/>
  <c r="R88" i="18"/>
  <c r="R87" i="18"/>
  <c r="R86" i="18"/>
  <c r="R85" i="18"/>
  <c r="R84" i="18"/>
  <c r="R83" i="18"/>
  <c r="R82" i="18"/>
  <c r="R81" i="18"/>
  <c r="R80" i="18"/>
  <c r="R79" i="18"/>
  <c r="R78" i="18"/>
  <c r="R77" i="18"/>
  <c r="R76" i="18"/>
  <c r="R75" i="18"/>
  <c r="R74" i="18"/>
  <c r="R73" i="18"/>
  <c r="R72" i="18"/>
  <c r="R71" i="18"/>
  <c r="R70" i="18"/>
  <c r="R69" i="18"/>
  <c r="R68" i="18"/>
  <c r="R67" i="18"/>
  <c r="R66" i="18"/>
  <c r="R65" i="18"/>
  <c r="R64" i="18"/>
  <c r="R63" i="18"/>
  <c r="R62" i="18"/>
  <c r="R61" i="18"/>
  <c r="R60" i="18"/>
  <c r="R59" i="18"/>
  <c r="R58" i="18"/>
  <c r="R57" i="18"/>
  <c r="R56" i="18"/>
  <c r="R55" i="18"/>
  <c r="R54" i="18"/>
  <c r="R53" i="18"/>
  <c r="R52" i="18"/>
  <c r="R51" i="18"/>
  <c r="R50" i="18"/>
  <c r="R49" i="18"/>
  <c r="R48" i="18"/>
  <c r="R47" i="18"/>
  <c r="R46" i="18"/>
  <c r="R45" i="18"/>
  <c r="R44" i="18"/>
  <c r="R43" i="18"/>
  <c r="R42" i="18"/>
  <c r="R41" i="18"/>
  <c r="R40" i="18"/>
  <c r="R39" i="18"/>
  <c r="R38" i="18"/>
  <c r="R37" i="18"/>
  <c r="R36" i="18"/>
  <c r="R35" i="18"/>
  <c r="R34" i="18"/>
  <c r="R33" i="18"/>
  <c r="R32" i="18"/>
  <c r="R31" i="18"/>
  <c r="R30" i="18"/>
  <c r="R29" i="18"/>
  <c r="R28" i="18"/>
  <c r="R27" i="18"/>
  <c r="R26" i="18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AZ356" i="18" l="1"/>
  <c r="AZ355" i="18"/>
  <c r="AZ354" i="18"/>
  <c r="AZ353" i="18"/>
  <c r="AZ352" i="18"/>
  <c r="AZ351" i="18"/>
  <c r="AZ350" i="18"/>
  <c r="AZ349" i="18"/>
  <c r="AZ348" i="18"/>
  <c r="AZ347" i="18"/>
  <c r="AZ346" i="18"/>
  <c r="AZ345" i="18"/>
  <c r="AZ344" i="18"/>
  <c r="AZ343" i="18"/>
  <c r="AZ342" i="18"/>
  <c r="AZ341" i="18"/>
  <c r="AZ340" i="18"/>
  <c r="AZ339" i="18"/>
  <c r="AZ338" i="18"/>
  <c r="AZ337" i="18"/>
  <c r="AZ336" i="18"/>
  <c r="AZ335" i="18"/>
  <c r="AZ334" i="18"/>
  <c r="AZ333" i="18"/>
  <c r="AZ332" i="18"/>
  <c r="AZ331" i="18"/>
  <c r="H400" i="18" l="1"/>
  <c r="G400" i="18"/>
  <c r="F400" i="18"/>
  <c r="E400" i="18"/>
  <c r="AO503" i="18"/>
  <c r="AN503" i="18"/>
  <c r="AK503" i="18"/>
  <c r="AJ503" i="18"/>
  <c r="AI503" i="18"/>
  <c r="AH503" i="18"/>
  <c r="AG503" i="18"/>
  <c r="AF503" i="18"/>
  <c r="AE503" i="18"/>
  <c r="AD503" i="18"/>
  <c r="AC503" i="18"/>
  <c r="AB503" i="18"/>
  <c r="AA503" i="18"/>
  <c r="Z503" i="18"/>
  <c r="Y503" i="18"/>
  <c r="BA503" i="18" s="1"/>
  <c r="X503" i="18"/>
  <c r="AX503" i="18" s="1"/>
  <c r="U503" i="18"/>
  <c r="P503" i="18"/>
  <c r="Q503" i="18" s="1"/>
  <c r="H503" i="18"/>
  <c r="H500" i="18"/>
  <c r="G503" i="18"/>
  <c r="F503" i="18"/>
  <c r="E503" i="18"/>
  <c r="AR503" i="18" l="1"/>
  <c r="AT503" i="18"/>
  <c r="AP503" i="18"/>
  <c r="AV503" i="18"/>
  <c r="AU503" i="18"/>
  <c r="AS503" i="18"/>
  <c r="AW503" i="18"/>
  <c r="AQ503" i="18"/>
  <c r="AY503" i="18"/>
  <c r="BB503" i="18"/>
  <c r="BC503" i="18"/>
  <c r="BL503" i="18" l="1"/>
  <c r="BI503" i="18"/>
  <c r="BK503" i="18"/>
  <c r="AZ503" i="18"/>
  <c r="BH503" i="18"/>
  <c r="BJ503" i="18"/>
  <c r="BM503" i="18"/>
  <c r="BD503" i="18"/>
  <c r="BF503" i="18"/>
  <c r="BG503" i="18"/>
  <c r="BE503" i="18"/>
  <c r="BM400" i="18"/>
  <c r="BL400" i="18"/>
  <c r="BK400" i="18"/>
  <c r="BJ400" i="18"/>
  <c r="BI400" i="18"/>
  <c r="BH400" i="18"/>
  <c r="BG400" i="18"/>
  <c r="BF400" i="18"/>
  <c r="BE400" i="18"/>
  <c r="BD400" i="18"/>
  <c r="BC400" i="18"/>
  <c r="BB400" i="18"/>
  <c r="AZ400" i="18"/>
  <c r="BA400" i="18"/>
  <c r="BA9" i="18"/>
  <c r="H502" i="18" l="1"/>
  <c r="H501" i="18"/>
  <c r="H499" i="18"/>
  <c r="H498" i="18"/>
  <c r="H497" i="18"/>
  <c r="H496" i="18"/>
  <c r="H495" i="18"/>
  <c r="H494" i="18"/>
  <c r="H493" i="18"/>
  <c r="H492" i="18"/>
  <c r="H491" i="18"/>
  <c r="H490" i="18"/>
  <c r="H489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467" i="18"/>
  <c r="H466" i="18"/>
  <c r="H465" i="18"/>
  <c r="H464" i="18"/>
  <c r="H463" i="18"/>
  <c r="H462" i="18"/>
  <c r="H461" i="18"/>
  <c r="H460" i="18"/>
  <c r="H459" i="18"/>
  <c r="H458" i="18"/>
  <c r="H457" i="18"/>
  <c r="H456" i="18"/>
  <c r="H455" i="18"/>
  <c r="H454" i="18"/>
  <c r="H453" i="18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E502" i="18" l="1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G502" i="18"/>
  <c r="G501" i="18"/>
  <c r="G500" i="18"/>
  <c r="G499" i="18"/>
  <c r="G498" i="18"/>
  <c r="G497" i="18"/>
  <c r="G496" i="18"/>
  <c r="G495" i="18"/>
  <c r="G494" i="18"/>
  <c r="G493" i="18"/>
  <c r="G492" i="18"/>
  <c r="G491" i="18"/>
  <c r="G490" i="18"/>
  <c r="G489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467" i="18"/>
  <c r="G466" i="18"/>
  <c r="G465" i="18"/>
  <c r="G464" i="18"/>
  <c r="G463" i="18"/>
  <c r="G462" i="18"/>
  <c r="G461" i="18"/>
  <c r="G460" i="18"/>
  <c r="G459" i="18"/>
  <c r="G458" i="18"/>
  <c r="G457" i="18"/>
  <c r="G456" i="18"/>
  <c r="G455" i="18"/>
  <c r="G454" i="18"/>
  <c r="G453" i="18"/>
  <c r="G452" i="18"/>
  <c r="G451" i="18"/>
  <c r="G450" i="18"/>
  <c r="G449" i="18"/>
  <c r="G448" i="18"/>
  <c r="G447" i="18"/>
  <c r="G446" i="18"/>
  <c r="G445" i="18"/>
  <c r="G444" i="18"/>
  <c r="G443" i="18"/>
  <c r="G442" i="18"/>
  <c r="G441" i="18"/>
  <c r="G440" i="18"/>
  <c r="G439" i="18"/>
  <c r="G438" i="18"/>
  <c r="G437" i="18"/>
  <c r="G436" i="18"/>
  <c r="G435" i="18"/>
  <c r="G434" i="18"/>
  <c r="G433" i="18"/>
  <c r="G432" i="18"/>
  <c r="G431" i="18"/>
  <c r="G430" i="18"/>
  <c r="G429" i="18"/>
  <c r="G428" i="18"/>
  <c r="G427" i="18"/>
  <c r="G426" i="18"/>
  <c r="G425" i="18"/>
  <c r="G424" i="18"/>
  <c r="G423" i="18"/>
  <c r="G422" i="18"/>
  <c r="G421" i="18"/>
  <c r="G420" i="18"/>
  <c r="G419" i="18"/>
  <c r="G418" i="18"/>
  <c r="G417" i="18"/>
  <c r="G416" i="18"/>
  <c r="G415" i="18"/>
  <c r="G414" i="18"/>
  <c r="G413" i="18"/>
  <c r="G412" i="18"/>
  <c r="G411" i="18"/>
  <c r="G410" i="18"/>
  <c r="G409" i="18"/>
  <c r="G408" i="18"/>
  <c r="G407" i="18"/>
  <c r="G406" i="18"/>
  <c r="G405" i="18"/>
  <c r="G404" i="18"/>
  <c r="G403" i="18"/>
  <c r="G402" i="18"/>
  <c r="G401" i="18"/>
  <c r="G399" i="18"/>
  <c r="G398" i="18"/>
  <c r="G397" i="18"/>
  <c r="G396" i="18"/>
  <c r="G395" i="18"/>
  <c r="G394" i="18"/>
  <c r="G393" i="18"/>
  <c r="G392" i="18"/>
  <c r="G391" i="18"/>
  <c r="G390" i="18"/>
  <c r="G389" i="18"/>
  <c r="G388" i="18"/>
  <c r="G387" i="18"/>
  <c r="G386" i="18"/>
  <c r="G385" i="18"/>
  <c r="G384" i="18"/>
  <c r="G383" i="18"/>
  <c r="G382" i="18"/>
  <c r="G381" i="18"/>
  <c r="G380" i="18"/>
  <c r="G379" i="18"/>
  <c r="G378" i="18"/>
  <c r="G377" i="18"/>
  <c r="G376" i="18"/>
  <c r="G375" i="18"/>
  <c r="G374" i="18"/>
  <c r="G373" i="18"/>
  <c r="G372" i="18"/>
  <c r="G371" i="18"/>
  <c r="G370" i="18"/>
  <c r="G369" i="18"/>
  <c r="G368" i="18"/>
  <c r="G367" i="18"/>
  <c r="G366" i="18"/>
  <c r="G365" i="18"/>
  <c r="G364" i="18"/>
  <c r="G363" i="18"/>
  <c r="G362" i="18"/>
  <c r="G361" i="18"/>
  <c r="G360" i="18"/>
  <c r="G359" i="18"/>
  <c r="G358" i="18"/>
  <c r="G357" i="18"/>
  <c r="G356" i="18"/>
  <c r="G355" i="18"/>
  <c r="G354" i="18"/>
  <c r="G353" i="18"/>
  <c r="G352" i="18"/>
  <c r="G351" i="18"/>
  <c r="G350" i="18"/>
  <c r="G349" i="18"/>
  <c r="G348" i="18"/>
  <c r="G347" i="18"/>
  <c r="G346" i="18"/>
  <c r="G345" i="18"/>
  <c r="G344" i="18"/>
  <c r="G343" i="18"/>
  <c r="G342" i="18"/>
  <c r="G341" i="18"/>
  <c r="G340" i="18"/>
  <c r="G339" i="18"/>
  <c r="G338" i="18"/>
  <c r="G337" i="18"/>
  <c r="G336" i="18"/>
  <c r="G335" i="18"/>
  <c r="G334" i="18"/>
  <c r="G333" i="18"/>
  <c r="G332" i="18"/>
  <c r="G331" i="18"/>
  <c r="G330" i="18"/>
  <c r="G329" i="18"/>
  <c r="G328" i="18"/>
  <c r="G327" i="18"/>
  <c r="G326" i="18"/>
  <c r="G325" i="18"/>
  <c r="G324" i="18"/>
  <c r="G323" i="18"/>
  <c r="G322" i="18"/>
  <c r="G321" i="18"/>
  <c r="G320" i="18"/>
  <c r="G319" i="18"/>
  <c r="G318" i="18"/>
  <c r="G317" i="18"/>
  <c r="G316" i="18"/>
  <c r="G315" i="18"/>
  <c r="G314" i="18"/>
  <c r="G313" i="18"/>
  <c r="G312" i="18"/>
  <c r="G311" i="18"/>
  <c r="G310" i="18"/>
  <c r="G309" i="18"/>
  <c r="G308" i="18"/>
  <c r="G307" i="18"/>
  <c r="G306" i="18"/>
  <c r="G305" i="18"/>
  <c r="G304" i="18"/>
  <c r="G303" i="18"/>
  <c r="G302" i="18"/>
  <c r="G301" i="18"/>
  <c r="G300" i="18"/>
  <c r="G299" i="18"/>
  <c r="G298" i="18"/>
  <c r="G297" i="18"/>
  <c r="G296" i="18"/>
  <c r="G295" i="18"/>
  <c r="G294" i="18"/>
  <c r="G293" i="18"/>
  <c r="G292" i="18"/>
  <c r="G291" i="18"/>
  <c r="G290" i="18"/>
  <c r="G289" i="18"/>
  <c r="G288" i="18"/>
  <c r="G287" i="18"/>
  <c r="G286" i="18"/>
  <c r="G285" i="18"/>
  <c r="G284" i="18"/>
  <c r="G283" i="18"/>
  <c r="G282" i="18"/>
  <c r="G281" i="18"/>
  <c r="G280" i="18"/>
  <c r="G279" i="18"/>
  <c r="G278" i="18"/>
  <c r="G277" i="18"/>
  <c r="G276" i="18"/>
  <c r="G275" i="18"/>
  <c r="G274" i="18"/>
  <c r="G273" i="18"/>
  <c r="G272" i="18"/>
  <c r="G271" i="18"/>
  <c r="G270" i="18"/>
  <c r="G269" i="18"/>
  <c r="G268" i="18"/>
  <c r="G267" i="18"/>
  <c r="G266" i="18"/>
  <c r="G265" i="18"/>
  <c r="G264" i="18"/>
  <c r="G263" i="18"/>
  <c r="G262" i="18"/>
  <c r="G261" i="18"/>
  <c r="G260" i="18"/>
  <c r="G259" i="18"/>
  <c r="G258" i="18"/>
  <c r="G257" i="18"/>
  <c r="G256" i="18"/>
  <c r="G255" i="18"/>
  <c r="G254" i="18"/>
  <c r="G253" i="18"/>
  <c r="G252" i="18"/>
  <c r="G251" i="18"/>
  <c r="G250" i="18"/>
  <c r="G249" i="18"/>
  <c r="G248" i="18"/>
  <c r="G247" i="18"/>
  <c r="G246" i="18"/>
  <c r="G245" i="18"/>
  <c r="G244" i="18"/>
  <c r="G243" i="18"/>
  <c r="G242" i="18"/>
  <c r="G241" i="18"/>
  <c r="G240" i="18"/>
  <c r="G239" i="18"/>
  <c r="G238" i="18"/>
  <c r="G237" i="18"/>
  <c r="G236" i="18"/>
  <c r="G235" i="18"/>
  <c r="G234" i="18"/>
  <c r="G233" i="18"/>
  <c r="G232" i="18"/>
  <c r="G231" i="18"/>
  <c r="G230" i="18"/>
  <c r="G229" i="18"/>
  <c r="G228" i="18"/>
  <c r="G227" i="18"/>
  <c r="G226" i="18"/>
  <c r="G225" i="18"/>
  <c r="G224" i="18"/>
  <c r="G223" i="18"/>
  <c r="G222" i="18"/>
  <c r="G221" i="18"/>
  <c r="G220" i="18"/>
  <c r="G219" i="18"/>
  <c r="G218" i="18"/>
  <c r="G217" i="18"/>
  <c r="G216" i="18"/>
  <c r="G215" i="18"/>
  <c r="G214" i="18"/>
  <c r="G213" i="18"/>
  <c r="G212" i="18"/>
  <c r="G211" i="18"/>
  <c r="G210" i="18"/>
  <c r="G209" i="18"/>
  <c r="G208" i="18"/>
  <c r="G207" i="18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6" i="18"/>
  <c r="G185" i="18"/>
  <c r="G184" i="18"/>
  <c r="G183" i="18"/>
  <c r="G182" i="18"/>
  <c r="G181" i="18"/>
  <c r="G180" i="18"/>
  <c r="G179" i="18"/>
  <c r="G178" i="18"/>
  <c r="G177" i="18"/>
  <c r="G176" i="18"/>
  <c r="G175" i="18"/>
  <c r="G174" i="18"/>
  <c r="G173" i="18"/>
  <c r="G172" i="18"/>
  <c r="G171" i="18"/>
  <c r="G170" i="18"/>
  <c r="G169" i="18"/>
  <c r="G168" i="18"/>
  <c r="G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F502" i="18"/>
  <c r="F501" i="18"/>
  <c r="F500" i="18"/>
  <c r="F499" i="18"/>
  <c r="F498" i="18"/>
  <c r="F497" i="18"/>
  <c r="F496" i="18"/>
  <c r="F495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1" i="18"/>
  <c r="F480" i="18"/>
  <c r="F479" i="18"/>
  <c r="F478" i="18"/>
  <c r="F477" i="18"/>
  <c r="F476" i="18"/>
  <c r="F475" i="18"/>
  <c r="F474" i="18"/>
  <c r="F473" i="18"/>
  <c r="F472" i="18"/>
  <c r="F471" i="18"/>
  <c r="F470" i="18"/>
  <c r="F469" i="18"/>
  <c r="F468" i="18"/>
  <c r="F467" i="18"/>
  <c r="F466" i="18"/>
  <c r="F465" i="18"/>
  <c r="F464" i="18"/>
  <c r="F463" i="18"/>
  <c r="F462" i="18"/>
  <c r="F461" i="18"/>
  <c r="F460" i="18"/>
  <c r="F459" i="18"/>
  <c r="F458" i="18"/>
  <c r="F457" i="18"/>
  <c r="F456" i="18"/>
  <c r="F455" i="18"/>
  <c r="F454" i="18"/>
  <c r="F453" i="18"/>
  <c r="F452" i="18"/>
  <c r="F451" i="18"/>
  <c r="F450" i="18"/>
  <c r="F449" i="18"/>
  <c r="F448" i="18"/>
  <c r="F447" i="18"/>
  <c r="F446" i="18"/>
  <c r="F445" i="18"/>
  <c r="F444" i="18"/>
  <c r="F443" i="18"/>
  <c r="F442" i="18"/>
  <c r="F441" i="18"/>
  <c r="F440" i="18"/>
  <c r="F439" i="18"/>
  <c r="F438" i="18"/>
  <c r="F437" i="18"/>
  <c r="F436" i="18"/>
  <c r="F435" i="18"/>
  <c r="F434" i="18"/>
  <c r="F433" i="18"/>
  <c r="F432" i="18"/>
  <c r="F431" i="18"/>
  <c r="F430" i="18"/>
  <c r="F429" i="18"/>
  <c r="F428" i="18"/>
  <c r="F427" i="18"/>
  <c r="F426" i="18"/>
  <c r="F425" i="18"/>
  <c r="F424" i="18"/>
  <c r="F423" i="18"/>
  <c r="F422" i="18"/>
  <c r="F421" i="18"/>
  <c r="F420" i="18"/>
  <c r="F419" i="18"/>
  <c r="F418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6" i="18"/>
  <c r="F375" i="18"/>
  <c r="F374" i="18"/>
  <c r="F373" i="18"/>
  <c r="F372" i="18"/>
  <c r="F371" i="18"/>
  <c r="F370" i="18"/>
  <c r="F369" i="18"/>
  <c r="F368" i="18"/>
  <c r="F367" i="18"/>
  <c r="F366" i="18"/>
  <c r="F365" i="18"/>
  <c r="F364" i="18"/>
  <c r="F363" i="18"/>
  <c r="F362" i="18"/>
  <c r="F361" i="18"/>
  <c r="F360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7" i="18"/>
  <c r="F336" i="18"/>
  <c r="F335" i="18"/>
  <c r="F334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1" i="18"/>
  <c r="F320" i="18"/>
  <c r="F319" i="18"/>
  <c r="F318" i="18"/>
  <c r="F317" i="18"/>
  <c r="F316" i="18"/>
  <c r="F315" i="18"/>
  <c r="F314" i="18"/>
  <c r="F313" i="18"/>
  <c r="F312" i="18"/>
  <c r="F311" i="18"/>
  <c r="F310" i="18"/>
  <c r="F309" i="18"/>
  <c r="F308" i="18"/>
  <c r="F307" i="18"/>
  <c r="F306" i="18"/>
  <c r="F305" i="18"/>
  <c r="F304" i="18"/>
  <c r="F303" i="18"/>
  <c r="F302" i="18"/>
  <c r="F301" i="18"/>
  <c r="F300" i="18"/>
  <c r="F299" i="18"/>
  <c r="F298" i="18"/>
  <c r="F297" i="18"/>
  <c r="F296" i="18"/>
  <c r="F295" i="18"/>
  <c r="F294" i="18"/>
  <c r="F293" i="18"/>
  <c r="F292" i="18"/>
  <c r="F291" i="18"/>
  <c r="F290" i="18"/>
  <c r="F289" i="18"/>
  <c r="F288" i="18"/>
  <c r="F287" i="18"/>
  <c r="F286" i="18"/>
  <c r="F285" i="18"/>
  <c r="F284" i="18"/>
  <c r="F283" i="18"/>
  <c r="F282" i="18"/>
  <c r="F281" i="18"/>
  <c r="F280" i="18"/>
  <c r="F279" i="18"/>
  <c r="F278" i="18"/>
  <c r="F277" i="18"/>
  <c r="F276" i="18"/>
  <c r="F275" i="18"/>
  <c r="F274" i="18"/>
  <c r="F273" i="18"/>
  <c r="F272" i="18"/>
  <c r="F271" i="18"/>
  <c r="F270" i="18"/>
  <c r="F269" i="18"/>
  <c r="F268" i="18"/>
  <c r="F267" i="18"/>
  <c r="F266" i="18"/>
  <c r="F265" i="18"/>
  <c r="F264" i="18"/>
  <c r="F263" i="18"/>
  <c r="F262" i="18"/>
  <c r="F261" i="18"/>
  <c r="F260" i="18"/>
  <c r="F259" i="18"/>
  <c r="F258" i="18"/>
  <c r="F257" i="18"/>
  <c r="F256" i="18"/>
  <c r="F255" i="18"/>
  <c r="F254" i="18"/>
  <c r="F253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6" i="18"/>
  <c r="F225" i="18"/>
  <c r="F224" i="18"/>
  <c r="F223" i="18"/>
  <c r="F222" i="18"/>
  <c r="F221" i="18"/>
  <c r="F220" i="18"/>
  <c r="F219" i="18"/>
  <c r="F218" i="18"/>
  <c r="F217" i="18"/>
  <c r="F216" i="18"/>
  <c r="F215" i="18"/>
  <c r="F214" i="18"/>
  <c r="F213" i="18"/>
  <c r="F212" i="18"/>
  <c r="F211" i="18"/>
  <c r="F210" i="18"/>
  <c r="F209" i="18"/>
  <c r="F208" i="18"/>
  <c r="F207" i="18"/>
  <c r="F206" i="18"/>
  <c r="F205" i="18"/>
  <c r="F204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5" i="18"/>
  <c r="F184" i="18"/>
  <c r="F183" i="18"/>
  <c r="F182" i="18"/>
  <c r="F181" i="18"/>
  <c r="F180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66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2" i="18"/>
  <c r="F121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AZ362" i="18" l="1"/>
  <c r="AO399" i="36"/>
  <c r="Z399" i="36"/>
  <c r="Y399" i="36"/>
  <c r="U399" i="36"/>
  <c r="V399" i="36" s="1"/>
  <c r="M399" i="36"/>
  <c r="K399" i="36"/>
  <c r="J399" i="36"/>
  <c r="I399" i="36"/>
  <c r="D399" i="36"/>
  <c r="AO398" i="36"/>
  <c r="Y398" i="36"/>
  <c r="U398" i="36"/>
  <c r="V398" i="36" s="1"/>
  <c r="M398" i="36"/>
  <c r="K398" i="36"/>
  <c r="J398" i="36"/>
  <c r="I398" i="36"/>
  <c r="D398" i="36"/>
  <c r="AO397" i="36"/>
  <c r="Y397" i="36"/>
  <c r="Z397" i="36" s="1"/>
  <c r="U397" i="36"/>
  <c r="V397" i="36" s="1"/>
  <c r="M397" i="36"/>
  <c r="K397" i="36"/>
  <c r="J397" i="36"/>
  <c r="I397" i="36"/>
  <c r="D397" i="36"/>
  <c r="AO396" i="36"/>
  <c r="Z396" i="36"/>
  <c r="Y396" i="36"/>
  <c r="U396" i="36"/>
  <c r="V396" i="36" s="1"/>
  <c r="W396" i="36" s="1"/>
  <c r="AA396" i="36" s="1"/>
  <c r="M396" i="36"/>
  <c r="K396" i="36"/>
  <c r="J396" i="36"/>
  <c r="I396" i="36"/>
  <c r="D396" i="36"/>
  <c r="AO395" i="36"/>
  <c r="Y395" i="36"/>
  <c r="U395" i="36"/>
  <c r="V395" i="36" s="1"/>
  <c r="M395" i="36"/>
  <c r="K395" i="36"/>
  <c r="J395" i="36"/>
  <c r="I395" i="36"/>
  <c r="D395" i="36"/>
  <c r="AO394" i="36"/>
  <c r="Z394" i="36"/>
  <c r="Y394" i="36"/>
  <c r="U394" i="36"/>
  <c r="V394" i="36" s="1"/>
  <c r="W394" i="36" s="1"/>
  <c r="AA394" i="36" s="1"/>
  <c r="M394" i="36"/>
  <c r="K394" i="36"/>
  <c r="J394" i="36"/>
  <c r="I394" i="36"/>
  <c r="D394" i="36"/>
  <c r="AO393" i="36"/>
  <c r="Z393" i="36"/>
  <c r="Y393" i="36"/>
  <c r="U393" i="36"/>
  <c r="V393" i="36" s="1"/>
  <c r="M393" i="36"/>
  <c r="K393" i="36"/>
  <c r="J393" i="36"/>
  <c r="I393" i="36"/>
  <c r="D393" i="36"/>
  <c r="AO392" i="36"/>
  <c r="Y392" i="36"/>
  <c r="U392" i="36"/>
  <c r="V392" i="36" s="1"/>
  <c r="M392" i="36"/>
  <c r="K392" i="36"/>
  <c r="J392" i="36"/>
  <c r="I392" i="36"/>
  <c r="D392" i="36"/>
  <c r="AO391" i="36"/>
  <c r="Z391" i="36"/>
  <c r="Y391" i="36"/>
  <c r="U391" i="36"/>
  <c r="V391" i="36" s="1"/>
  <c r="M391" i="36"/>
  <c r="K391" i="36"/>
  <c r="J391" i="36"/>
  <c r="I391" i="36"/>
  <c r="D391" i="36"/>
  <c r="AO390" i="36"/>
  <c r="Y390" i="36"/>
  <c r="U390" i="36"/>
  <c r="V390" i="36" s="1"/>
  <c r="W390" i="36" s="1"/>
  <c r="M390" i="36"/>
  <c r="K390" i="36"/>
  <c r="J390" i="36"/>
  <c r="I390" i="36"/>
  <c r="D390" i="36"/>
  <c r="AO389" i="36"/>
  <c r="Y389" i="36"/>
  <c r="Z389" i="36" s="1"/>
  <c r="U389" i="36"/>
  <c r="V389" i="36" s="1"/>
  <c r="M389" i="36"/>
  <c r="K389" i="36"/>
  <c r="J389" i="36"/>
  <c r="I389" i="36"/>
  <c r="D389" i="36"/>
  <c r="AO388" i="36"/>
  <c r="Z388" i="36"/>
  <c r="Y388" i="36"/>
  <c r="U388" i="36"/>
  <c r="V388" i="36" s="1"/>
  <c r="M388" i="36"/>
  <c r="K388" i="36"/>
  <c r="J388" i="36"/>
  <c r="I388" i="36"/>
  <c r="D388" i="36"/>
  <c r="AO387" i="36"/>
  <c r="Y387" i="36"/>
  <c r="U387" i="36"/>
  <c r="V387" i="36" s="1"/>
  <c r="W387" i="36" s="1"/>
  <c r="M387" i="36"/>
  <c r="K387" i="36"/>
  <c r="J387" i="36"/>
  <c r="I387" i="36"/>
  <c r="D387" i="36"/>
  <c r="AO386" i="36"/>
  <c r="Z386" i="36"/>
  <c r="Y386" i="36"/>
  <c r="U386" i="36"/>
  <c r="V386" i="36" s="1"/>
  <c r="M386" i="36"/>
  <c r="K386" i="36"/>
  <c r="J386" i="36"/>
  <c r="I386" i="36"/>
  <c r="D386" i="36"/>
  <c r="AO385" i="36"/>
  <c r="Z385" i="36"/>
  <c r="Y385" i="36"/>
  <c r="U385" i="36"/>
  <c r="V385" i="36" s="1"/>
  <c r="M385" i="36"/>
  <c r="K385" i="36"/>
  <c r="J385" i="36"/>
  <c r="I385" i="36"/>
  <c r="D385" i="36"/>
  <c r="AO384" i="36"/>
  <c r="Z384" i="36"/>
  <c r="Y384" i="36"/>
  <c r="U384" i="36"/>
  <c r="V384" i="36" s="1"/>
  <c r="M384" i="36"/>
  <c r="K384" i="36"/>
  <c r="J384" i="36"/>
  <c r="I384" i="36"/>
  <c r="D384" i="36"/>
  <c r="AO383" i="36"/>
  <c r="Z383" i="36"/>
  <c r="Y383" i="36"/>
  <c r="U383" i="36"/>
  <c r="V383" i="36" s="1"/>
  <c r="M383" i="36"/>
  <c r="K383" i="36"/>
  <c r="J383" i="36"/>
  <c r="I383" i="36"/>
  <c r="D383" i="36"/>
  <c r="AO382" i="36"/>
  <c r="Y382" i="36"/>
  <c r="U382" i="36"/>
  <c r="V382" i="36" s="1"/>
  <c r="W382" i="36" s="1"/>
  <c r="M382" i="36"/>
  <c r="K382" i="36"/>
  <c r="J382" i="36"/>
  <c r="I382" i="36"/>
  <c r="D382" i="36"/>
  <c r="AO381" i="36"/>
  <c r="AB381" i="36"/>
  <c r="AA381" i="36"/>
  <c r="Z381" i="36"/>
  <c r="Y381" i="36"/>
  <c r="W381" i="36"/>
  <c r="U381" i="36"/>
  <c r="M381" i="36"/>
  <c r="K381" i="36"/>
  <c r="J381" i="36"/>
  <c r="I381" i="36"/>
  <c r="D381" i="36"/>
  <c r="AO380" i="36"/>
  <c r="AA380" i="36"/>
  <c r="Y380" i="36"/>
  <c r="Z380" i="36" s="1"/>
  <c r="W380" i="36"/>
  <c r="U380" i="36"/>
  <c r="M380" i="36"/>
  <c r="K380" i="36"/>
  <c r="J380" i="36"/>
  <c r="I380" i="36"/>
  <c r="D380" i="36"/>
  <c r="AO379" i="36"/>
  <c r="Y379" i="36"/>
  <c r="W379" i="36"/>
  <c r="U379" i="36"/>
  <c r="M379" i="36"/>
  <c r="K379" i="36"/>
  <c r="J379" i="36"/>
  <c r="I379" i="36"/>
  <c r="D379" i="36"/>
  <c r="AO378" i="36"/>
  <c r="Z378" i="36"/>
  <c r="Y378" i="36"/>
  <c r="U378" i="36"/>
  <c r="V378" i="36" s="1"/>
  <c r="M378" i="36"/>
  <c r="K378" i="36"/>
  <c r="J378" i="36"/>
  <c r="I378" i="36"/>
  <c r="D378" i="36"/>
  <c r="AO377" i="36"/>
  <c r="Y377" i="36"/>
  <c r="U377" i="36"/>
  <c r="V377" i="36" s="1"/>
  <c r="M377" i="36"/>
  <c r="K377" i="36"/>
  <c r="J377" i="36"/>
  <c r="I377" i="36"/>
  <c r="D377" i="36"/>
  <c r="AO376" i="36"/>
  <c r="Y376" i="36"/>
  <c r="Z376" i="36" s="1"/>
  <c r="U376" i="36"/>
  <c r="V376" i="36" s="1"/>
  <c r="M376" i="36"/>
  <c r="K376" i="36"/>
  <c r="J376" i="36"/>
  <c r="I376" i="36"/>
  <c r="D376" i="36"/>
  <c r="AO375" i="36"/>
  <c r="Y375" i="36"/>
  <c r="U375" i="36"/>
  <c r="V375" i="36" s="1"/>
  <c r="M375" i="36"/>
  <c r="K375" i="36"/>
  <c r="J375" i="36"/>
  <c r="I375" i="36"/>
  <c r="D375" i="36"/>
  <c r="AO374" i="36"/>
  <c r="Y374" i="36"/>
  <c r="U374" i="36"/>
  <c r="V374" i="36" s="1"/>
  <c r="M374" i="36"/>
  <c r="K374" i="36"/>
  <c r="J374" i="36"/>
  <c r="I374" i="36"/>
  <c r="D374" i="36"/>
  <c r="AO373" i="36"/>
  <c r="Z373" i="36"/>
  <c r="Y373" i="36"/>
  <c r="U373" i="36"/>
  <c r="V373" i="36" s="1"/>
  <c r="M373" i="36"/>
  <c r="K373" i="36"/>
  <c r="J373" i="36"/>
  <c r="I373" i="36"/>
  <c r="D373" i="36"/>
  <c r="AO372" i="36"/>
  <c r="Y372" i="36"/>
  <c r="Z372" i="36" s="1"/>
  <c r="U372" i="36"/>
  <c r="V372" i="36" s="1"/>
  <c r="M372" i="36"/>
  <c r="K372" i="36"/>
  <c r="J372" i="36"/>
  <c r="I372" i="36"/>
  <c r="D372" i="36"/>
  <c r="AO371" i="36"/>
  <c r="Z371" i="36"/>
  <c r="Y371" i="36"/>
  <c r="U371" i="36"/>
  <c r="V371" i="36" s="1"/>
  <c r="M371" i="36"/>
  <c r="K371" i="36"/>
  <c r="J371" i="36"/>
  <c r="I371" i="36"/>
  <c r="D371" i="36"/>
  <c r="AO370" i="36"/>
  <c r="Z370" i="36"/>
  <c r="Y370" i="36"/>
  <c r="U370" i="36"/>
  <c r="V370" i="36" s="1"/>
  <c r="M370" i="36"/>
  <c r="K370" i="36"/>
  <c r="J370" i="36"/>
  <c r="I370" i="36"/>
  <c r="D370" i="36"/>
  <c r="AO369" i="36"/>
  <c r="Y369" i="36"/>
  <c r="U369" i="36"/>
  <c r="V369" i="36" s="1"/>
  <c r="M369" i="36"/>
  <c r="K369" i="36"/>
  <c r="J369" i="36"/>
  <c r="I369" i="36"/>
  <c r="D369" i="36"/>
  <c r="AO368" i="36"/>
  <c r="Y368" i="36"/>
  <c r="Z368" i="36" s="1"/>
  <c r="U368" i="36"/>
  <c r="V368" i="36" s="1"/>
  <c r="M368" i="36"/>
  <c r="K368" i="36"/>
  <c r="J368" i="36"/>
  <c r="I368" i="36"/>
  <c r="D368" i="36"/>
  <c r="AO367" i="36"/>
  <c r="Z367" i="36"/>
  <c r="Y367" i="36"/>
  <c r="U367" i="36"/>
  <c r="V367" i="36" s="1"/>
  <c r="W367" i="36" s="1"/>
  <c r="AA367" i="36" s="1"/>
  <c r="M367" i="36"/>
  <c r="K367" i="36"/>
  <c r="J367" i="36"/>
  <c r="I367" i="36"/>
  <c r="D367" i="36"/>
  <c r="AO366" i="36"/>
  <c r="Z366" i="36"/>
  <c r="Y366" i="36"/>
  <c r="U366" i="36"/>
  <c r="V366" i="36" s="1"/>
  <c r="M366" i="36"/>
  <c r="K366" i="36"/>
  <c r="J366" i="36"/>
  <c r="I366" i="36"/>
  <c r="D366" i="36"/>
  <c r="AO365" i="36"/>
  <c r="Z365" i="36"/>
  <c r="Y365" i="36"/>
  <c r="U365" i="36"/>
  <c r="V365" i="36" s="1"/>
  <c r="W365" i="36" s="1"/>
  <c r="AA365" i="36" s="1"/>
  <c r="M365" i="36"/>
  <c r="K365" i="36"/>
  <c r="J365" i="36"/>
  <c r="I365" i="36"/>
  <c r="D365" i="36"/>
  <c r="AO364" i="36"/>
  <c r="Y364" i="36"/>
  <c r="Z364" i="36" s="1"/>
  <c r="U364" i="36"/>
  <c r="O364" i="36"/>
  <c r="M364" i="36"/>
  <c r="K364" i="36"/>
  <c r="J364" i="36"/>
  <c r="I364" i="36"/>
  <c r="D364" i="36"/>
  <c r="AO363" i="36"/>
  <c r="Z363" i="36"/>
  <c r="Y363" i="36"/>
  <c r="U363" i="36"/>
  <c r="V363" i="36" s="1"/>
  <c r="W363" i="36" s="1"/>
  <c r="M363" i="36"/>
  <c r="K363" i="36"/>
  <c r="J363" i="36"/>
  <c r="I363" i="36"/>
  <c r="D363" i="36"/>
  <c r="AO362" i="36"/>
  <c r="Y362" i="36"/>
  <c r="Z362" i="36" s="1"/>
  <c r="U362" i="36"/>
  <c r="V362" i="36" s="1"/>
  <c r="M362" i="36"/>
  <c r="K362" i="36"/>
  <c r="J362" i="36"/>
  <c r="I362" i="36"/>
  <c r="D362" i="36"/>
  <c r="AO361" i="36"/>
  <c r="Y361" i="36"/>
  <c r="U361" i="36"/>
  <c r="V361" i="36" s="1"/>
  <c r="M361" i="36"/>
  <c r="K361" i="36"/>
  <c r="J361" i="36"/>
  <c r="I361" i="36"/>
  <c r="D361" i="36"/>
  <c r="AO360" i="36"/>
  <c r="Y360" i="36"/>
  <c r="U360" i="36"/>
  <c r="V360" i="36" s="1"/>
  <c r="M360" i="36"/>
  <c r="K360" i="36"/>
  <c r="J360" i="36"/>
  <c r="I360" i="36"/>
  <c r="D360" i="36"/>
  <c r="AO359" i="36"/>
  <c r="Z359" i="36"/>
  <c r="Y359" i="36"/>
  <c r="U359" i="36"/>
  <c r="V359" i="36" s="1"/>
  <c r="M359" i="36"/>
  <c r="K359" i="36"/>
  <c r="J359" i="36"/>
  <c r="I359" i="36"/>
  <c r="D359" i="36"/>
  <c r="AO358" i="36"/>
  <c r="Y358" i="36"/>
  <c r="U358" i="36"/>
  <c r="V358" i="36" s="1"/>
  <c r="W358" i="36" s="1"/>
  <c r="M358" i="36"/>
  <c r="K358" i="36"/>
  <c r="J358" i="36"/>
  <c r="I358" i="36"/>
  <c r="D358" i="36"/>
  <c r="AO357" i="36"/>
  <c r="Y357" i="36"/>
  <c r="Z357" i="36" s="1"/>
  <c r="U357" i="36"/>
  <c r="V357" i="36" s="1"/>
  <c r="W357" i="36" s="1"/>
  <c r="AA357" i="36" s="1"/>
  <c r="M357" i="36"/>
  <c r="K357" i="36"/>
  <c r="J357" i="36"/>
  <c r="I357" i="36"/>
  <c r="D357" i="36"/>
  <c r="AO356" i="36"/>
  <c r="Y356" i="36"/>
  <c r="U356" i="36"/>
  <c r="V356" i="36" s="1"/>
  <c r="Q356" i="36"/>
  <c r="M356" i="36"/>
  <c r="K356" i="36"/>
  <c r="J356" i="36"/>
  <c r="I356" i="36"/>
  <c r="D356" i="36"/>
  <c r="AO355" i="36"/>
  <c r="Z355" i="36"/>
  <c r="Y355" i="36"/>
  <c r="U355" i="36"/>
  <c r="V355" i="36" s="1"/>
  <c r="Q355" i="36"/>
  <c r="M355" i="36"/>
  <c r="K355" i="36"/>
  <c r="J355" i="36"/>
  <c r="I355" i="36"/>
  <c r="D355" i="36"/>
  <c r="AO354" i="36"/>
  <c r="Y354" i="36"/>
  <c r="U354" i="36"/>
  <c r="V354" i="36" s="1"/>
  <c r="Q354" i="36"/>
  <c r="M354" i="36"/>
  <c r="K354" i="36"/>
  <c r="J354" i="36"/>
  <c r="I354" i="36"/>
  <c r="D354" i="36"/>
  <c r="AO353" i="36"/>
  <c r="Z353" i="36"/>
  <c r="Y353" i="36"/>
  <c r="U353" i="36"/>
  <c r="V353" i="36" s="1"/>
  <c r="Q353" i="36"/>
  <c r="M353" i="36"/>
  <c r="K353" i="36"/>
  <c r="J353" i="36"/>
  <c r="I353" i="36"/>
  <c r="D353" i="36"/>
  <c r="AO352" i="36"/>
  <c r="Y352" i="36"/>
  <c r="Z352" i="36" s="1"/>
  <c r="U352" i="36"/>
  <c r="V352" i="36" s="1"/>
  <c r="W352" i="36" s="1"/>
  <c r="Q352" i="36"/>
  <c r="M352" i="36"/>
  <c r="K352" i="36"/>
  <c r="J352" i="36"/>
  <c r="I352" i="36"/>
  <c r="D352" i="36"/>
  <c r="AO351" i="36"/>
  <c r="Z351" i="36"/>
  <c r="Y351" i="36"/>
  <c r="U351" i="36"/>
  <c r="V351" i="36" s="1"/>
  <c r="Q351" i="36"/>
  <c r="M351" i="36"/>
  <c r="K351" i="36"/>
  <c r="J351" i="36"/>
  <c r="I351" i="36"/>
  <c r="D351" i="36"/>
  <c r="AO350" i="36"/>
  <c r="Z350" i="36"/>
  <c r="Y350" i="36"/>
  <c r="U350" i="36"/>
  <c r="V350" i="36" s="1"/>
  <c r="Q350" i="36"/>
  <c r="M350" i="36"/>
  <c r="K350" i="36"/>
  <c r="J350" i="36"/>
  <c r="I350" i="36"/>
  <c r="D350" i="36"/>
  <c r="AO349" i="36"/>
  <c r="Y349" i="36"/>
  <c r="U349" i="36"/>
  <c r="V349" i="36" s="1"/>
  <c r="W349" i="36" s="1"/>
  <c r="Q349" i="36"/>
  <c r="M349" i="36"/>
  <c r="K349" i="36"/>
  <c r="J349" i="36"/>
  <c r="I349" i="36"/>
  <c r="D349" i="36"/>
  <c r="AO348" i="36"/>
  <c r="Y348" i="36"/>
  <c r="U348" i="36"/>
  <c r="V348" i="36" s="1"/>
  <c r="W348" i="36" s="1"/>
  <c r="AB348" i="36" s="1"/>
  <c r="Q348" i="36"/>
  <c r="M348" i="36"/>
  <c r="K348" i="36"/>
  <c r="J348" i="36"/>
  <c r="I348" i="36"/>
  <c r="D348" i="36"/>
  <c r="AO347" i="36"/>
  <c r="Z347" i="36"/>
  <c r="Y347" i="36"/>
  <c r="U347" i="36"/>
  <c r="V347" i="36" s="1"/>
  <c r="Q347" i="36"/>
  <c r="M347" i="36"/>
  <c r="K347" i="36"/>
  <c r="J347" i="36"/>
  <c r="I347" i="36"/>
  <c r="D347" i="36"/>
  <c r="AO346" i="36"/>
  <c r="Z346" i="36"/>
  <c r="Y346" i="36"/>
  <c r="U346" i="36"/>
  <c r="V346" i="36" s="1"/>
  <c r="Q346" i="36"/>
  <c r="M346" i="36"/>
  <c r="K346" i="36"/>
  <c r="J346" i="36"/>
  <c r="I346" i="36"/>
  <c r="D346" i="36"/>
  <c r="AO345" i="36"/>
  <c r="Y345" i="36"/>
  <c r="U345" i="36"/>
  <c r="V345" i="36" s="1"/>
  <c r="W345" i="36" s="1"/>
  <c r="Q345" i="36"/>
  <c r="M345" i="36"/>
  <c r="K345" i="36"/>
  <c r="J345" i="36"/>
  <c r="I345" i="36"/>
  <c r="D345" i="36"/>
  <c r="AO344" i="36"/>
  <c r="Y344" i="36"/>
  <c r="U344" i="36"/>
  <c r="V344" i="36" s="1"/>
  <c r="W344" i="36" s="1"/>
  <c r="Q344" i="36"/>
  <c r="M344" i="36"/>
  <c r="K344" i="36"/>
  <c r="J344" i="36"/>
  <c r="I344" i="36"/>
  <c r="D344" i="36"/>
  <c r="AO343" i="36"/>
  <c r="Z343" i="36"/>
  <c r="Y343" i="36"/>
  <c r="U343" i="36"/>
  <c r="V343" i="36" s="1"/>
  <c r="Q343" i="36"/>
  <c r="M343" i="36"/>
  <c r="K343" i="36"/>
  <c r="J343" i="36"/>
  <c r="I343" i="36"/>
  <c r="D343" i="36"/>
  <c r="AO342" i="36"/>
  <c r="Y342" i="36"/>
  <c r="U342" i="36"/>
  <c r="V342" i="36" s="1"/>
  <c r="Q342" i="36"/>
  <c r="M342" i="36"/>
  <c r="K342" i="36"/>
  <c r="J342" i="36"/>
  <c r="I342" i="36"/>
  <c r="D342" i="36"/>
  <c r="AO341" i="36"/>
  <c r="Y341" i="36"/>
  <c r="U341" i="36"/>
  <c r="V341" i="36" s="1"/>
  <c r="Q341" i="36"/>
  <c r="M341" i="36"/>
  <c r="K341" i="36"/>
  <c r="J341" i="36"/>
  <c r="I341" i="36"/>
  <c r="D341" i="36"/>
  <c r="AO340" i="36"/>
  <c r="Z340" i="36"/>
  <c r="Y340" i="36"/>
  <c r="U340" i="36"/>
  <c r="V340" i="36" s="1"/>
  <c r="W340" i="36" s="1"/>
  <c r="AA340" i="36" s="1"/>
  <c r="Q340" i="36"/>
  <c r="M340" i="36"/>
  <c r="K340" i="36"/>
  <c r="J340" i="36"/>
  <c r="I340" i="36"/>
  <c r="D340" i="36"/>
  <c r="AO339" i="36"/>
  <c r="Z339" i="36"/>
  <c r="Y339" i="36"/>
  <c r="U339" i="36"/>
  <c r="V339" i="36" s="1"/>
  <c r="Q339" i="36"/>
  <c r="M339" i="36"/>
  <c r="K339" i="36"/>
  <c r="J339" i="36"/>
  <c r="I339" i="36"/>
  <c r="D339" i="36"/>
  <c r="AO338" i="36"/>
  <c r="Y338" i="36"/>
  <c r="U338" i="36"/>
  <c r="V338" i="36" s="1"/>
  <c r="W338" i="36" s="1"/>
  <c r="Q338" i="36"/>
  <c r="M338" i="36"/>
  <c r="K338" i="36"/>
  <c r="J338" i="36"/>
  <c r="I338" i="36"/>
  <c r="D338" i="36"/>
  <c r="AO337" i="36"/>
  <c r="Y337" i="36"/>
  <c r="U337" i="36"/>
  <c r="V337" i="36" s="1"/>
  <c r="Q337" i="36"/>
  <c r="M337" i="36"/>
  <c r="K337" i="36"/>
  <c r="J337" i="36"/>
  <c r="I337" i="36"/>
  <c r="D337" i="36"/>
  <c r="AO336" i="36"/>
  <c r="Z336" i="36"/>
  <c r="Y336" i="36"/>
  <c r="U336" i="36"/>
  <c r="V336" i="36" s="1"/>
  <c r="Q336" i="36"/>
  <c r="M336" i="36"/>
  <c r="K336" i="36"/>
  <c r="J336" i="36"/>
  <c r="I336" i="36"/>
  <c r="D336" i="36"/>
  <c r="AO335" i="36"/>
  <c r="Y335" i="36"/>
  <c r="U335" i="36"/>
  <c r="V335" i="36" s="1"/>
  <c r="Q335" i="36"/>
  <c r="M335" i="36"/>
  <c r="K335" i="36"/>
  <c r="J335" i="36"/>
  <c r="I335" i="36"/>
  <c r="D335" i="36"/>
  <c r="AO334" i="36"/>
  <c r="Y334" i="36"/>
  <c r="U334" i="36"/>
  <c r="V334" i="36" s="1"/>
  <c r="Q334" i="36"/>
  <c r="M334" i="36"/>
  <c r="K334" i="36"/>
  <c r="J334" i="36"/>
  <c r="I334" i="36"/>
  <c r="D334" i="36"/>
  <c r="AO333" i="36"/>
  <c r="Y333" i="36"/>
  <c r="U333" i="36"/>
  <c r="V333" i="36" s="1"/>
  <c r="Q333" i="36"/>
  <c r="M333" i="36"/>
  <c r="K333" i="36"/>
  <c r="J333" i="36"/>
  <c r="I333" i="36"/>
  <c r="D333" i="36"/>
  <c r="AO332" i="36"/>
  <c r="Y332" i="36"/>
  <c r="U332" i="36"/>
  <c r="V332" i="36" s="1"/>
  <c r="W332" i="36" s="1"/>
  <c r="AB332" i="36" s="1"/>
  <c r="Q332" i="36"/>
  <c r="M332" i="36"/>
  <c r="K332" i="36"/>
  <c r="J332" i="36"/>
  <c r="I332" i="36"/>
  <c r="D332" i="36"/>
  <c r="AO331" i="36"/>
  <c r="Y331" i="36"/>
  <c r="Z331" i="36" s="1"/>
  <c r="U331" i="36"/>
  <c r="V331" i="36" s="1"/>
  <c r="W331" i="36" s="1"/>
  <c r="AA331" i="36" s="1"/>
  <c r="Q331" i="36"/>
  <c r="M331" i="36"/>
  <c r="K331" i="36"/>
  <c r="J331" i="36"/>
  <c r="I331" i="36"/>
  <c r="D331" i="36"/>
  <c r="AO330" i="36"/>
  <c r="Z330" i="36"/>
  <c r="Y330" i="36"/>
  <c r="U330" i="36"/>
  <c r="V330" i="36" s="1"/>
  <c r="W330" i="36" s="1"/>
  <c r="AA330" i="36" s="1"/>
  <c r="Q330" i="36"/>
  <c r="M330" i="36"/>
  <c r="K330" i="36"/>
  <c r="J330" i="36"/>
  <c r="I330" i="36"/>
  <c r="D330" i="36"/>
  <c r="AO329" i="36"/>
  <c r="Z329" i="36"/>
  <c r="Y329" i="36"/>
  <c r="U329" i="36"/>
  <c r="V329" i="36" s="1"/>
  <c r="Q329" i="36"/>
  <c r="M329" i="36"/>
  <c r="K329" i="36"/>
  <c r="J329" i="36"/>
  <c r="I329" i="36"/>
  <c r="D329" i="36"/>
  <c r="AO328" i="36"/>
  <c r="Z328" i="36"/>
  <c r="Y328" i="36"/>
  <c r="U328" i="36"/>
  <c r="V328" i="36" s="1"/>
  <c r="Q328" i="36"/>
  <c r="M328" i="36"/>
  <c r="K328" i="36"/>
  <c r="J328" i="36"/>
  <c r="I328" i="36"/>
  <c r="D328" i="36"/>
  <c r="AO327" i="36"/>
  <c r="Y327" i="36"/>
  <c r="U327" i="36"/>
  <c r="V327" i="36" s="1"/>
  <c r="Q327" i="36"/>
  <c r="M327" i="36"/>
  <c r="K327" i="36"/>
  <c r="J327" i="36"/>
  <c r="I327" i="36"/>
  <c r="D327" i="36"/>
  <c r="AO326" i="36"/>
  <c r="Z326" i="36"/>
  <c r="Y326" i="36"/>
  <c r="U326" i="36"/>
  <c r="V326" i="36" s="1"/>
  <c r="Q326" i="36"/>
  <c r="M326" i="36"/>
  <c r="K326" i="36"/>
  <c r="J326" i="36"/>
  <c r="I326" i="36"/>
  <c r="D326" i="36"/>
  <c r="AO325" i="36"/>
  <c r="Z325" i="36"/>
  <c r="Y325" i="36"/>
  <c r="U325" i="36"/>
  <c r="V325" i="36" s="1"/>
  <c r="W325" i="36" s="1"/>
  <c r="AA325" i="36" s="1"/>
  <c r="Q325" i="36"/>
  <c r="M325" i="36"/>
  <c r="K325" i="36"/>
  <c r="J325" i="36"/>
  <c r="I325" i="36"/>
  <c r="D325" i="36"/>
  <c r="AO324" i="36"/>
  <c r="Y324" i="36"/>
  <c r="Z324" i="36" s="1"/>
  <c r="U324" i="36"/>
  <c r="V324" i="36" s="1"/>
  <c r="Q324" i="36"/>
  <c r="M324" i="36"/>
  <c r="K324" i="36"/>
  <c r="J324" i="36"/>
  <c r="I324" i="36"/>
  <c r="D324" i="36"/>
  <c r="AO323" i="36"/>
  <c r="Z323" i="36"/>
  <c r="Y323" i="36"/>
  <c r="U323" i="36"/>
  <c r="V323" i="36" s="1"/>
  <c r="W323" i="36" s="1"/>
  <c r="Q323" i="36"/>
  <c r="M323" i="36"/>
  <c r="K323" i="36"/>
  <c r="J323" i="36"/>
  <c r="I323" i="36"/>
  <c r="D323" i="36"/>
  <c r="AO322" i="36"/>
  <c r="Y322" i="36"/>
  <c r="U322" i="36"/>
  <c r="V322" i="36" s="1"/>
  <c r="Q322" i="36"/>
  <c r="M322" i="36"/>
  <c r="K322" i="36"/>
  <c r="J322" i="36"/>
  <c r="I322" i="36"/>
  <c r="D322" i="36"/>
  <c r="AO321" i="36"/>
  <c r="Y321" i="36"/>
  <c r="U321" i="36"/>
  <c r="V321" i="36" s="1"/>
  <c r="Q321" i="36"/>
  <c r="M321" i="36"/>
  <c r="K321" i="36"/>
  <c r="J321" i="36"/>
  <c r="I321" i="36"/>
  <c r="D321" i="36"/>
  <c r="AO320" i="36"/>
  <c r="Y320" i="36"/>
  <c r="U320" i="36"/>
  <c r="V320" i="36" s="1"/>
  <c r="Q320" i="36"/>
  <c r="M320" i="36"/>
  <c r="K320" i="36"/>
  <c r="J320" i="36"/>
  <c r="I320" i="36"/>
  <c r="D320" i="36"/>
  <c r="AO319" i="36"/>
  <c r="Z319" i="36"/>
  <c r="Y319" i="36"/>
  <c r="U319" i="36"/>
  <c r="V319" i="36" s="1"/>
  <c r="Q319" i="36"/>
  <c r="M319" i="36"/>
  <c r="K319" i="36"/>
  <c r="J319" i="36"/>
  <c r="I319" i="36"/>
  <c r="D319" i="36"/>
  <c r="AO318" i="36"/>
  <c r="Y318" i="36"/>
  <c r="U318" i="36"/>
  <c r="V318" i="36" s="1"/>
  <c r="W318" i="36" s="1"/>
  <c r="Q318" i="36"/>
  <c r="M318" i="36"/>
  <c r="K318" i="36"/>
  <c r="J318" i="36"/>
  <c r="I318" i="36"/>
  <c r="D318" i="36"/>
  <c r="AO317" i="36"/>
  <c r="Y317" i="36"/>
  <c r="U317" i="36"/>
  <c r="V317" i="36" s="1"/>
  <c r="Q317" i="36"/>
  <c r="M317" i="36"/>
  <c r="K317" i="36"/>
  <c r="J317" i="36"/>
  <c r="I317" i="36"/>
  <c r="D317" i="36"/>
  <c r="AO316" i="36"/>
  <c r="Y316" i="36"/>
  <c r="U316" i="36"/>
  <c r="V316" i="36" s="1"/>
  <c r="Q316" i="36"/>
  <c r="M316" i="36"/>
  <c r="K316" i="36"/>
  <c r="J316" i="36"/>
  <c r="I316" i="36"/>
  <c r="D316" i="36"/>
  <c r="AO315" i="36"/>
  <c r="Z315" i="36"/>
  <c r="Y315" i="36"/>
  <c r="U315" i="36"/>
  <c r="V315" i="36" s="1"/>
  <c r="Q315" i="36"/>
  <c r="M315" i="36"/>
  <c r="K315" i="36"/>
  <c r="J315" i="36"/>
  <c r="I315" i="36"/>
  <c r="D315" i="36"/>
  <c r="AO314" i="36"/>
  <c r="Z314" i="36"/>
  <c r="Y314" i="36"/>
  <c r="U314" i="36"/>
  <c r="V314" i="36" s="1"/>
  <c r="Q314" i="36"/>
  <c r="M314" i="36"/>
  <c r="K314" i="36"/>
  <c r="J314" i="36"/>
  <c r="I314" i="36"/>
  <c r="D314" i="36"/>
  <c r="AO313" i="36"/>
  <c r="Z313" i="36"/>
  <c r="Y313" i="36"/>
  <c r="U313" i="36"/>
  <c r="V313" i="36" s="1"/>
  <c r="W313" i="36" s="1"/>
  <c r="AA313" i="36" s="1"/>
  <c r="Q313" i="36"/>
  <c r="M313" i="36"/>
  <c r="K313" i="36"/>
  <c r="J313" i="36"/>
  <c r="I313" i="36"/>
  <c r="D313" i="36"/>
  <c r="AO312" i="36"/>
  <c r="Y312" i="36"/>
  <c r="U312" i="36"/>
  <c r="V312" i="36" s="1"/>
  <c r="Q312" i="36"/>
  <c r="M312" i="36"/>
  <c r="K312" i="36"/>
  <c r="J312" i="36"/>
  <c r="I312" i="36"/>
  <c r="D312" i="36"/>
  <c r="AO311" i="36"/>
  <c r="Y311" i="36"/>
  <c r="U311" i="36"/>
  <c r="V311" i="36" s="1"/>
  <c r="Q311" i="36"/>
  <c r="M311" i="36"/>
  <c r="K311" i="36"/>
  <c r="J311" i="36"/>
  <c r="I311" i="36"/>
  <c r="D311" i="36"/>
  <c r="AO310" i="36"/>
  <c r="Z310" i="36"/>
  <c r="Y310" i="36"/>
  <c r="U310" i="36"/>
  <c r="V310" i="36" s="1"/>
  <c r="Q310" i="36"/>
  <c r="M310" i="36"/>
  <c r="K310" i="36"/>
  <c r="J310" i="36"/>
  <c r="I310" i="36"/>
  <c r="D310" i="36"/>
  <c r="AO309" i="36"/>
  <c r="Z309" i="36"/>
  <c r="Y309" i="36"/>
  <c r="U309" i="36"/>
  <c r="V309" i="36" s="1"/>
  <c r="W309" i="36" s="1"/>
  <c r="AA309" i="36" s="1"/>
  <c r="Q309" i="36"/>
  <c r="M309" i="36"/>
  <c r="K309" i="36"/>
  <c r="J309" i="36"/>
  <c r="I309" i="36"/>
  <c r="D309" i="36"/>
  <c r="AO308" i="36"/>
  <c r="Z308" i="36"/>
  <c r="Y308" i="36"/>
  <c r="U308" i="36"/>
  <c r="V308" i="36" s="1"/>
  <c r="Q308" i="36"/>
  <c r="M308" i="36"/>
  <c r="K308" i="36"/>
  <c r="J308" i="36"/>
  <c r="I308" i="36"/>
  <c r="D308" i="36"/>
  <c r="AO307" i="36"/>
  <c r="Y307" i="36"/>
  <c r="Z307" i="36" s="1"/>
  <c r="U307" i="36"/>
  <c r="V307" i="36" s="1"/>
  <c r="Q307" i="36"/>
  <c r="M307" i="36"/>
  <c r="K307" i="36"/>
  <c r="J307" i="36"/>
  <c r="I307" i="36"/>
  <c r="D307" i="36"/>
  <c r="AO306" i="36"/>
  <c r="Z306" i="36"/>
  <c r="Y306" i="36"/>
  <c r="U306" i="36"/>
  <c r="V306" i="36" s="1"/>
  <c r="Q306" i="36"/>
  <c r="M306" i="36"/>
  <c r="K306" i="36"/>
  <c r="J306" i="36"/>
  <c r="I306" i="36"/>
  <c r="D306" i="36"/>
  <c r="AO305" i="36"/>
  <c r="Y305" i="36"/>
  <c r="U305" i="36"/>
  <c r="V305" i="36" s="1"/>
  <c r="Q305" i="36"/>
  <c r="M305" i="36"/>
  <c r="K305" i="36"/>
  <c r="J305" i="36"/>
  <c r="I305" i="36"/>
  <c r="D305" i="36"/>
  <c r="AO304" i="36"/>
  <c r="Y304" i="36"/>
  <c r="U304" i="36"/>
  <c r="V304" i="36" s="1"/>
  <c r="Q304" i="36"/>
  <c r="M304" i="36"/>
  <c r="K304" i="36"/>
  <c r="J304" i="36"/>
  <c r="I304" i="36"/>
  <c r="D304" i="36"/>
  <c r="AO303" i="36"/>
  <c r="Z303" i="36"/>
  <c r="Y303" i="36"/>
  <c r="U303" i="36"/>
  <c r="V303" i="36" s="1"/>
  <c r="Q303" i="36"/>
  <c r="M303" i="36"/>
  <c r="K303" i="36"/>
  <c r="J303" i="36"/>
  <c r="I303" i="36"/>
  <c r="D303" i="36"/>
  <c r="AO302" i="36"/>
  <c r="Y302" i="36"/>
  <c r="U302" i="36"/>
  <c r="V302" i="36" s="1"/>
  <c r="Q302" i="36"/>
  <c r="M302" i="36"/>
  <c r="K302" i="36"/>
  <c r="J302" i="36"/>
  <c r="I302" i="36"/>
  <c r="D302" i="36"/>
  <c r="AO301" i="36"/>
  <c r="Y301" i="36"/>
  <c r="U301" i="36"/>
  <c r="V301" i="36" s="1"/>
  <c r="Q301" i="36"/>
  <c r="M301" i="36"/>
  <c r="K301" i="36"/>
  <c r="J301" i="36"/>
  <c r="I301" i="36"/>
  <c r="D301" i="36"/>
  <c r="AO300" i="36"/>
  <c r="Z300" i="36"/>
  <c r="Y300" i="36"/>
  <c r="U300" i="36"/>
  <c r="V300" i="36" s="1"/>
  <c r="Q300" i="36"/>
  <c r="M300" i="36"/>
  <c r="K300" i="36"/>
  <c r="J300" i="36"/>
  <c r="I300" i="36"/>
  <c r="D300" i="36"/>
  <c r="AO299" i="36"/>
  <c r="Y299" i="36"/>
  <c r="Z299" i="36" s="1"/>
  <c r="U299" i="36"/>
  <c r="V299" i="36" s="1"/>
  <c r="Q299" i="36"/>
  <c r="M299" i="36"/>
  <c r="K299" i="36"/>
  <c r="J299" i="36"/>
  <c r="I299" i="36"/>
  <c r="D299" i="36"/>
  <c r="AO298" i="36"/>
  <c r="Z298" i="36"/>
  <c r="Y298" i="36"/>
  <c r="U298" i="36"/>
  <c r="V298" i="36" s="1"/>
  <c r="Q298" i="36"/>
  <c r="M298" i="36"/>
  <c r="K298" i="36"/>
  <c r="J298" i="36"/>
  <c r="I298" i="36"/>
  <c r="D298" i="36"/>
  <c r="AO297" i="36"/>
  <c r="Z297" i="36"/>
  <c r="Y297" i="36"/>
  <c r="U297" i="36"/>
  <c r="V297" i="36" s="1"/>
  <c r="W297" i="36" s="1"/>
  <c r="AA297" i="36" s="1"/>
  <c r="Q297" i="36"/>
  <c r="M297" i="36"/>
  <c r="K297" i="36"/>
  <c r="J297" i="36"/>
  <c r="I297" i="36"/>
  <c r="D297" i="36"/>
  <c r="AO296" i="36"/>
  <c r="Y296" i="36"/>
  <c r="U296" i="36"/>
  <c r="V296" i="36" s="1"/>
  <c r="W296" i="36" s="1"/>
  <c r="Q296" i="36"/>
  <c r="M296" i="36"/>
  <c r="K296" i="36"/>
  <c r="J296" i="36"/>
  <c r="I296" i="36"/>
  <c r="D296" i="36"/>
  <c r="AO295" i="36"/>
  <c r="Y295" i="36"/>
  <c r="U295" i="36"/>
  <c r="V295" i="36" s="1"/>
  <c r="Q295" i="36"/>
  <c r="M295" i="36"/>
  <c r="K295" i="36"/>
  <c r="J295" i="36"/>
  <c r="I295" i="36"/>
  <c r="D295" i="36"/>
  <c r="AO294" i="36"/>
  <c r="Z294" i="36"/>
  <c r="Y294" i="36"/>
  <c r="U294" i="36"/>
  <c r="V294" i="36" s="1"/>
  <c r="Q294" i="36"/>
  <c r="M294" i="36"/>
  <c r="K294" i="36"/>
  <c r="J294" i="36"/>
  <c r="I294" i="36"/>
  <c r="D294" i="36"/>
  <c r="AO293" i="36"/>
  <c r="Z293" i="36"/>
  <c r="Y293" i="36"/>
  <c r="U293" i="36"/>
  <c r="V293" i="36" s="1"/>
  <c r="W293" i="36" s="1"/>
  <c r="AA293" i="36" s="1"/>
  <c r="Q293" i="36"/>
  <c r="M293" i="36"/>
  <c r="K293" i="36"/>
  <c r="J293" i="36"/>
  <c r="I293" i="36"/>
  <c r="D293" i="36"/>
  <c r="AO292" i="36"/>
  <c r="Z292" i="36"/>
  <c r="Y292" i="36"/>
  <c r="U292" i="36"/>
  <c r="V292" i="36" s="1"/>
  <c r="W292" i="36" s="1"/>
  <c r="AA292" i="36" s="1"/>
  <c r="Q292" i="36"/>
  <c r="M292" i="36"/>
  <c r="K292" i="36"/>
  <c r="J292" i="36"/>
  <c r="I292" i="36"/>
  <c r="D292" i="36"/>
  <c r="AO291" i="36"/>
  <c r="Y291" i="36"/>
  <c r="Z291" i="36" s="1"/>
  <c r="U291" i="36"/>
  <c r="V291" i="36" s="1"/>
  <c r="W291" i="36" s="1"/>
  <c r="Q291" i="36"/>
  <c r="M291" i="36"/>
  <c r="K291" i="36"/>
  <c r="J291" i="36"/>
  <c r="I291" i="36"/>
  <c r="D291" i="36"/>
  <c r="AO290" i="36"/>
  <c r="Z290" i="36"/>
  <c r="Y290" i="36"/>
  <c r="U290" i="36"/>
  <c r="V290" i="36" s="1"/>
  <c r="Q290" i="36"/>
  <c r="M290" i="36"/>
  <c r="K290" i="36"/>
  <c r="J290" i="36"/>
  <c r="I290" i="36"/>
  <c r="D290" i="36"/>
  <c r="AO289" i="36"/>
  <c r="Y289" i="36"/>
  <c r="U289" i="36"/>
  <c r="V289" i="36" s="1"/>
  <c r="Q289" i="36"/>
  <c r="M289" i="36"/>
  <c r="K289" i="36"/>
  <c r="J289" i="36"/>
  <c r="I289" i="36"/>
  <c r="D289" i="36"/>
  <c r="AO288" i="36"/>
  <c r="Z288" i="36"/>
  <c r="Y288" i="36"/>
  <c r="U288" i="36"/>
  <c r="V288" i="36" s="1"/>
  <c r="W288" i="36" s="1"/>
  <c r="Q288" i="36"/>
  <c r="M288" i="36"/>
  <c r="K288" i="36"/>
  <c r="J288" i="36"/>
  <c r="I288" i="36"/>
  <c r="D288" i="36"/>
  <c r="AO287" i="36"/>
  <c r="Z287" i="36"/>
  <c r="Y287" i="36"/>
  <c r="U287" i="36"/>
  <c r="V287" i="36" s="1"/>
  <c r="Q287" i="36"/>
  <c r="M287" i="36"/>
  <c r="K287" i="36"/>
  <c r="J287" i="36"/>
  <c r="I287" i="36"/>
  <c r="D287" i="36"/>
  <c r="AO286" i="36"/>
  <c r="Y286" i="36"/>
  <c r="U286" i="36"/>
  <c r="V286" i="36" s="1"/>
  <c r="W286" i="36" s="1"/>
  <c r="Q286" i="36"/>
  <c r="M286" i="36"/>
  <c r="K286" i="36"/>
  <c r="J286" i="36"/>
  <c r="I286" i="36"/>
  <c r="D286" i="36"/>
  <c r="AO285" i="36"/>
  <c r="Y285" i="36"/>
  <c r="U285" i="36"/>
  <c r="V285" i="36" s="1"/>
  <c r="Q285" i="36"/>
  <c r="M285" i="36"/>
  <c r="K285" i="36"/>
  <c r="J285" i="36"/>
  <c r="I285" i="36"/>
  <c r="D285" i="36"/>
  <c r="AO284" i="36"/>
  <c r="Z284" i="36"/>
  <c r="Y284" i="36"/>
  <c r="U284" i="36"/>
  <c r="V284" i="36" s="1"/>
  <c r="Q284" i="36"/>
  <c r="M284" i="36"/>
  <c r="K284" i="36"/>
  <c r="J284" i="36"/>
  <c r="I284" i="36"/>
  <c r="D284" i="36"/>
  <c r="AO283" i="36"/>
  <c r="Y283" i="36"/>
  <c r="Z283" i="36" s="1"/>
  <c r="U283" i="36"/>
  <c r="V283" i="36" s="1"/>
  <c r="Q283" i="36"/>
  <c r="M283" i="36"/>
  <c r="K283" i="36"/>
  <c r="J283" i="36"/>
  <c r="I283" i="36"/>
  <c r="D283" i="36"/>
  <c r="AO282" i="36"/>
  <c r="Z282" i="36"/>
  <c r="Y282" i="36"/>
  <c r="U282" i="36"/>
  <c r="V282" i="36" s="1"/>
  <c r="Q282" i="36"/>
  <c r="M282" i="36"/>
  <c r="K282" i="36"/>
  <c r="J282" i="36"/>
  <c r="I282" i="36"/>
  <c r="D282" i="36"/>
  <c r="AO281" i="36"/>
  <c r="Z281" i="36"/>
  <c r="Y281" i="36"/>
  <c r="U281" i="36"/>
  <c r="V281" i="36" s="1"/>
  <c r="W281" i="36" s="1"/>
  <c r="AA281" i="36" s="1"/>
  <c r="Q281" i="36"/>
  <c r="M281" i="36"/>
  <c r="K281" i="36"/>
  <c r="J281" i="36"/>
  <c r="I281" i="36"/>
  <c r="D281" i="36"/>
  <c r="AO280" i="36"/>
  <c r="Y280" i="36"/>
  <c r="U280" i="36"/>
  <c r="V280" i="36" s="1"/>
  <c r="W280" i="36" s="1"/>
  <c r="Q280" i="36"/>
  <c r="M280" i="36"/>
  <c r="K280" i="36"/>
  <c r="J280" i="36"/>
  <c r="I280" i="36"/>
  <c r="D280" i="36"/>
  <c r="AO279" i="36"/>
  <c r="Z279" i="36"/>
  <c r="Y279" i="36"/>
  <c r="U279" i="36"/>
  <c r="V279" i="36" s="1"/>
  <c r="Q279" i="36"/>
  <c r="M279" i="36"/>
  <c r="K279" i="36"/>
  <c r="J279" i="36"/>
  <c r="I279" i="36"/>
  <c r="D279" i="36"/>
  <c r="AO278" i="36"/>
  <c r="Z278" i="36"/>
  <c r="Y278" i="36"/>
  <c r="U278" i="36"/>
  <c r="V278" i="36" s="1"/>
  <c r="W278" i="36" s="1"/>
  <c r="AA278" i="36" s="1"/>
  <c r="Q278" i="36"/>
  <c r="M278" i="36"/>
  <c r="K278" i="36"/>
  <c r="J278" i="36"/>
  <c r="I278" i="36"/>
  <c r="D278" i="36"/>
  <c r="AO277" i="36"/>
  <c r="Z277" i="36"/>
  <c r="Y277" i="36"/>
  <c r="U277" i="36"/>
  <c r="V277" i="36" s="1"/>
  <c r="Q277" i="36"/>
  <c r="M277" i="36"/>
  <c r="K277" i="36"/>
  <c r="J277" i="36"/>
  <c r="I277" i="36"/>
  <c r="D277" i="36"/>
  <c r="AO276" i="36"/>
  <c r="Y276" i="36"/>
  <c r="U276" i="36"/>
  <c r="V276" i="36" s="1"/>
  <c r="W276" i="36" s="1"/>
  <c r="Q276" i="36"/>
  <c r="M276" i="36"/>
  <c r="K276" i="36"/>
  <c r="J276" i="36"/>
  <c r="I276" i="36"/>
  <c r="D276" i="36"/>
  <c r="AO275" i="36"/>
  <c r="Y275" i="36"/>
  <c r="Z275" i="36" s="1"/>
  <c r="U275" i="36"/>
  <c r="V275" i="36" s="1"/>
  <c r="Q275" i="36"/>
  <c r="M275" i="36"/>
  <c r="K275" i="36"/>
  <c r="J275" i="36"/>
  <c r="I275" i="36"/>
  <c r="D275" i="36"/>
  <c r="AO274" i="36"/>
  <c r="Y274" i="36"/>
  <c r="U274" i="36"/>
  <c r="V274" i="36" s="1"/>
  <c r="Q274" i="36"/>
  <c r="M274" i="36"/>
  <c r="K274" i="36"/>
  <c r="J274" i="36"/>
  <c r="I274" i="36"/>
  <c r="D274" i="36"/>
  <c r="AO273" i="36"/>
  <c r="Z273" i="36"/>
  <c r="Y273" i="36"/>
  <c r="U273" i="36"/>
  <c r="V273" i="36" s="1"/>
  <c r="Q273" i="36"/>
  <c r="M273" i="36"/>
  <c r="K273" i="36"/>
  <c r="J273" i="36"/>
  <c r="I273" i="36"/>
  <c r="D273" i="36"/>
  <c r="AO272" i="36"/>
  <c r="Y272" i="36"/>
  <c r="U272" i="36"/>
  <c r="V272" i="36" s="1"/>
  <c r="Q272" i="36"/>
  <c r="M272" i="36"/>
  <c r="K272" i="36"/>
  <c r="J272" i="36"/>
  <c r="I272" i="36"/>
  <c r="D272" i="36"/>
  <c r="AO271" i="36"/>
  <c r="Z271" i="36"/>
  <c r="Y271" i="36"/>
  <c r="U271" i="36"/>
  <c r="V271" i="36" s="1"/>
  <c r="Q271" i="36"/>
  <c r="M271" i="36"/>
  <c r="K271" i="36"/>
  <c r="J271" i="36"/>
  <c r="I271" i="36"/>
  <c r="D271" i="36"/>
  <c r="AO270" i="36"/>
  <c r="Y270" i="36"/>
  <c r="U270" i="36"/>
  <c r="V270" i="36" s="1"/>
  <c r="Q270" i="36"/>
  <c r="M270" i="36"/>
  <c r="K270" i="36"/>
  <c r="J270" i="36"/>
  <c r="I270" i="36"/>
  <c r="D270" i="36"/>
  <c r="AO269" i="36"/>
  <c r="Y269" i="36"/>
  <c r="U269" i="36"/>
  <c r="V269" i="36" s="1"/>
  <c r="W269" i="36" s="1"/>
  <c r="Q269" i="36"/>
  <c r="M269" i="36"/>
  <c r="K269" i="36"/>
  <c r="J269" i="36"/>
  <c r="I269" i="36"/>
  <c r="D269" i="36"/>
  <c r="AO268" i="36"/>
  <c r="Y268" i="36"/>
  <c r="Z268" i="36" s="1"/>
  <c r="U268" i="36"/>
  <c r="V268" i="36" s="1"/>
  <c r="W268" i="36" s="1"/>
  <c r="AA268" i="36" s="1"/>
  <c r="Q268" i="36"/>
  <c r="M268" i="36"/>
  <c r="K268" i="36"/>
  <c r="J268" i="36"/>
  <c r="I268" i="36"/>
  <c r="D268" i="36"/>
  <c r="AO267" i="36"/>
  <c r="Z267" i="36"/>
  <c r="Y267" i="36"/>
  <c r="U267" i="36"/>
  <c r="V267" i="36" s="1"/>
  <c r="Q267" i="36"/>
  <c r="M267" i="36"/>
  <c r="K267" i="36"/>
  <c r="J267" i="36"/>
  <c r="I267" i="36"/>
  <c r="D267" i="36"/>
  <c r="AO266" i="36"/>
  <c r="Z266" i="36"/>
  <c r="Y266" i="36"/>
  <c r="U266" i="36"/>
  <c r="V266" i="36" s="1"/>
  <c r="W266" i="36" s="1"/>
  <c r="AA266" i="36" s="1"/>
  <c r="Q266" i="36"/>
  <c r="M266" i="36"/>
  <c r="K266" i="36"/>
  <c r="J266" i="36"/>
  <c r="I266" i="36"/>
  <c r="D266" i="36"/>
  <c r="AO265" i="36"/>
  <c r="Z265" i="36"/>
  <c r="Y265" i="36"/>
  <c r="U265" i="36"/>
  <c r="V265" i="36" s="1"/>
  <c r="W265" i="36" s="1"/>
  <c r="AA265" i="36" s="1"/>
  <c r="Q265" i="36"/>
  <c r="M265" i="36"/>
  <c r="K265" i="36"/>
  <c r="J265" i="36"/>
  <c r="I265" i="36"/>
  <c r="D265" i="36"/>
  <c r="AO264" i="36"/>
  <c r="Y264" i="36"/>
  <c r="U264" i="36"/>
  <c r="V264" i="36" s="1"/>
  <c r="W264" i="36" s="1"/>
  <c r="AB264" i="36" s="1"/>
  <c r="Q264" i="36"/>
  <c r="M264" i="36"/>
  <c r="K264" i="36"/>
  <c r="J264" i="36"/>
  <c r="I264" i="36"/>
  <c r="D264" i="36"/>
  <c r="AO263" i="36"/>
  <c r="Z263" i="36"/>
  <c r="Y263" i="36"/>
  <c r="U263" i="36"/>
  <c r="V263" i="36" s="1"/>
  <c r="W263" i="36" s="1"/>
  <c r="AA263" i="36" s="1"/>
  <c r="Q263" i="36"/>
  <c r="M263" i="36"/>
  <c r="K263" i="36"/>
  <c r="J263" i="36"/>
  <c r="I263" i="36"/>
  <c r="D263" i="36"/>
  <c r="AO262" i="36"/>
  <c r="Z262" i="36"/>
  <c r="Y262" i="36"/>
  <c r="U262" i="36"/>
  <c r="V262" i="36" s="1"/>
  <c r="Q262" i="36"/>
  <c r="M262" i="36"/>
  <c r="K262" i="36"/>
  <c r="J262" i="36"/>
  <c r="I262" i="36"/>
  <c r="D262" i="36"/>
  <c r="AO261" i="36"/>
  <c r="Y261" i="36"/>
  <c r="U261" i="36"/>
  <c r="V261" i="36" s="1"/>
  <c r="Q261" i="36"/>
  <c r="M261" i="36"/>
  <c r="K261" i="36"/>
  <c r="J261" i="36"/>
  <c r="I261" i="36"/>
  <c r="D261" i="36"/>
  <c r="AO260" i="36"/>
  <c r="Z260" i="36"/>
  <c r="Y260" i="36"/>
  <c r="U260" i="36"/>
  <c r="V260" i="36" s="1"/>
  <c r="Q260" i="36"/>
  <c r="M260" i="36"/>
  <c r="K260" i="36"/>
  <c r="J260" i="36"/>
  <c r="I260" i="36"/>
  <c r="D260" i="36"/>
  <c r="AO259" i="36"/>
  <c r="Y259" i="36"/>
  <c r="U259" i="36"/>
  <c r="V259" i="36" s="1"/>
  <c r="W259" i="36" s="1"/>
  <c r="Q259" i="36"/>
  <c r="M259" i="36"/>
  <c r="K259" i="36"/>
  <c r="J259" i="36"/>
  <c r="I259" i="36"/>
  <c r="D259" i="36"/>
  <c r="AO258" i="36"/>
  <c r="Z258" i="36"/>
  <c r="Y258" i="36"/>
  <c r="U258" i="36"/>
  <c r="V258" i="36" s="1"/>
  <c r="Q258" i="36"/>
  <c r="M258" i="36"/>
  <c r="K258" i="36"/>
  <c r="J258" i="36"/>
  <c r="I258" i="36"/>
  <c r="D258" i="36"/>
  <c r="AO257" i="36"/>
  <c r="Y257" i="36"/>
  <c r="U257" i="36"/>
  <c r="V257" i="36" s="1"/>
  <c r="Q257" i="36"/>
  <c r="M257" i="36"/>
  <c r="K257" i="36"/>
  <c r="J257" i="36"/>
  <c r="I257" i="36"/>
  <c r="D257" i="36"/>
  <c r="AO256" i="36"/>
  <c r="Y256" i="36"/>
  <c r="U256" i="36"/>
  <c r="V256" i="36" s="1"/>
  <c r="Q256" i="36"/>
  <c r="M256" i="36"/>
  <c r="K256" i="36"/>
  <c r="J256" i="36"/>
  <c r="I256" i="36"/>
  <c r="D256" i="36"/>
  <c r="AO255" i="36"/>
  <c r="Z255" i="36"/>
  <c r="Y255" i="36"/>
  <c r="U255" i="36"/>
  <c r="V255" i="36" s="1"/>
  <c r="Q255" i="36"/>
  <c r="M255" i="36"/>
  <c r="K255" i="36"/>
  <c r="J255" i="36"/>
  <c r="I255" i="36"/>
  <c r="D255" i="36"/>
  <c r="AO254" i="36"/>
  <c r="Y254" i="36"/>
  <c r="U254" i="36"/>
  <c r="V254" i="36" s="1"/>
  <c r="Q254" i="36"/>
  <c r="M254" i="36"/>
  <c r="K254" i="36"/>
  <c r="J254" i="36"/>
  <c r="I254" i="36"/>
  <c r="D254" i="36"/>
  <c r="AO253" i="36"/>
  <c r="Y253" i="36"/>
  <c r="U253" i="36"/>
  <c r="V253" i="36" s="1"/>
  <c r="Q253" i="36"/>
  <c r="M253" i="36"/>
  <c r="K253" i="36"/>
  <c r="J253" i="36"/>
  <c r="I253" i="36"/>
  <c r="D253" i="36"/>
  <c r="AO252" i="36"/>
  <c r="Y252" i="36"/>
  <c r="Z252" i="36" s="1"/>
  <c r="U252" i="36"/>
  <c r="V252" i="36" s="1"/>
  <c r="W252" i="36" s="1"/>
  <c r="AA252" i="36" s="1"/>
  <c r="Q252" i="36"/>
  <c r="M252" i="36"/>
  <c r="K252" i="36"/>
  <c r="J252" i="36"/>
  <c r="I252" i="36"/>
  <c r="D252" i="36"/>
  <c r="AO251" i="36"/>
  <c r="Z251" i="36"/>
  <c r="Y251" i="36"/>
  <c r="U251" i="36"/>
  <c r="V251" i="36" s="1"/>
  <c r="W251" i="36" s="1"/>
  <c r="AA251" i="36" s="1"/>
  <c r="Q251" i="36"/>
  <c r="M251" i="36"/>
  <c r="K251" i="36"/>
  <c r="J251" i="36"/>
  <c r="I251" i="36"/>
  <c r="D251" i="36"/>
  <c r="AO250" i="36"/>
  <c r="Z250" i="36"/>
  <c r="Y250" i="36"/>
  <c r="U250" i="36"/>
  <c r="V250" i="36" s="1"/>
  <c r="W250" i="36" s="1"/>
  <c r="AA250" i="36" s="1"/>
  <c r="Q250" i="36"/>
  <c r="M250" i="36"/>
  <c r="K250" i="36"/>
  <c r="J250" i="36"/>
  <c r="I250" i="36"/>
  <c r="D250" i="36"/>
  <c r="AO249" i="36"/>
  <c r="Z249" i="36"/>
  <c r="Y249" i="36"/>
  <c r="U249" i="36"/>
  <c r="V249" i="36" s="1"/>
  <c r="Q249" i="36"/>
  <c r="M249" i="36"/>
  <c r="K249" i="36"/>
  <c r="J249" i="36"/>
  <c r="I249" i="36"/>
  <c r="D249" i="36"/>
  <c r="AO248" i="36"/>
  <c r="Y248" i="36"/>
  <c r="U248" i="36"/>
  <c r="V248" i="36" s="1"/>
  <c r="W248" i="36" s="1"/>
  <c r="AB248" i="36" s="1"/>
  <c r="Q248" i="36"/>
  <c r="M248" i="36"/>
  <c r="K248" i="36"/>
  <c r="J248" i="36"/>
  <c r="I248" i="36"/>
  <c r="D248" i="36"/>
  <c r="AO247" i="36"/>
  <c r="Z247" i="36"/>
  <c r="Y247" i="36"/>
  <c r="U247" i="36"/>
  <c r="V247" i="36" s="1"/>
  <c r="Q247" i="36"/>
  <c r="M247" i="36"/>
  <c r="K247" i="36"/>
  <c r="J247" i="36"/>
  <c r="I247" i="36"/>
  <c r="D247" i="36"/>
  <c r="AO246" i="36"/>
  <c r="Z246" i="36"/>
  <c r="Y246" i="36"/>
  <c r="U246" i="36"/>
  <c r="V246" i="36" s="1"/>
  <c r="Q246" i="36"/>
  <c r="M246" i="36"/>
  <c r="K246" i="36"/>
  <c r="J246" i="36"/>
  <c r="I246" i="36"/>
  <c r="D246" i="36"/>
  <c r="AO245" i="36"/>
  <c r="Z245" i="36"/>
  <c r="Y245" i="36"/>
  <c r="U245" i="36"/>
  <c r="V245" i="36" s="1"/>
  <c r="W245" i="36" s="1"/>
  <c r="AA245" i="36" s="1"/>
  <c r="Q245" i="36"/>
  <c r="M245" i="36"/>
  <c r="K245" i="36"/>
  <c r="J245" i="36"/>
  <c r="I245" i="36"/>
  <c r="D245" i="36"/>
  <c r="AO244" i="36"/>
  <c r="Y244" i="36"/>
  <c r="U244" i="36"/>
  <c r="V244" i="36" s="1"/>
  <c r="Q244" i="36"/>
  <c r="M244" i="36"/>
  <c r="K244" i="36"/>
  <c r="J244" i="36"/>
  <c r="I244" i="36"/>
  <c r="D244" i="36"/>
  <c r="AO243" i="36"/>
  <c r="Y243" i="36"/>
  <c r="U243" i="36"/>
  <c r="V243" i="36" s="1"/>
  <c r="W243" i="36" s="1"/>
  <c r="Q243" i="36"/>
  <c r="M243" i="36"/>
  <c r="K243" i="36"/>
  <c r="J243" i="36"/>
  <c r="I243" i="36"/>
  <c r="D243" i="36"/>
  <c r="AO242" i="36"/>
  <c r="Z242" i="36"/>
  <c r="Y242" i="36"/>
  <c r="U242" i="36"/>
  <c r="V242" i="36" s="1"/>
  <c r="Q242" i="36"/>
  <c r="M242" i="36"/>
  <c r="K242" i="36"/>
  <c r="J242" i="36"/>
  <c r="I242" i="36"/>
  <c r="D242" i="36"/>
  <c r="AO241" i="36"/>
  <c r="Z241" i="36"/>
  <c r="Y241" i="36"/>
  <c r="U241" i="36"/>
  <c r="V241" i="36" s="1"/>
  <c r="Q241" i="36"/>
  <c r="M241" i="36"/>
  <c r="K241" i="36"/>
  <c r="J241" i="36"/>
  <c r="I241" i="36"/>
  <c r="D241" i="36"/>
  <c r="AO240" i="36"/>
  <c r="Y240" i="36"/>
  <c r="Z240" i="36" s="1"/>
  <c r="U240" i="36"/>
  <c r="V240" i="36" s="1"/>
  <c r="Q240" i="36"/>
  <c r="M240" i="36"/>
  <c r="K240" i="36"/>
  <c r="J240" i="36"/>
  <c r="I240" i="36"/>
  <c r="D240" i="36"/>
  <c r="AO239" i="36"/>
  <c r="Y239" i="36"/>
  <c r="U239" i="36"/>
  <c r="V239" i="36" s="1"/>
  <c r="Q239" i="36"/>
  <c r="M239" i="36"/>
  <c r="K239" i="36"/>
  <c r="J239" i="36"/>
  <c r="I239" i="36"/>
  <c r="D239" i="36"/>
  <c r="AO238" i="36"/>
  <c r="Y238" i="36"/>
  <c r="U238" i="36"/>
  <c r="V238" i="36" s="1"/>
  <c r="Q238" i="36"/>
  <c r="M238" i="36"/>
  <c r="K238" i="36"/>
  <c r="J238" i="36"/>
  <c r="I238" i="36"/>
  <c r="D238" i="36"/>
  <c r="AO237" i="36"/>
  <c r="Y237" i="36"/>
  <c r="U237" i="36"/>
  <c r="V237" i="36" s="1"/>
  <c r="W237" i="36" s="1"/>
  <c r="Q237" i="36"/>
  <c r="M237" i="36"/>
  <c r="K237" i="36"/>
  <c r="J237" i="36"/>
  <c r="I237" i="36"/>
  <c r="D237" i="36"/>
  <c r="AO236" i="36"/>
  <c r="Y236" i="36"/>
  <c r="U236" i="36"/>
  <c r="V236" i="36" s="1"/>
  <c r="Q236" i="36"/>
  <c r="M236" i="36"/>
  <c r="K236" i="36"/>
  <c r="J236" i="36"/>
  <c r="I236" i="36"/>
  <c r="D236" i="36"/>
  <c r="AO235" i="36"/>
  <c r="Z235" i="36"/>
  <c r="Y235" i="36"/>
  <c r="U235" i="36"/>
  <c r="V235" i="36" s="1"/>
  <c r="Q235" i="36"/>
  <c r="M235" i="36"/>
  <c r="K235" i="36"/>
  <c r="J235" i="36"/>
  <c r="I235" i="36"/>
  <c r="D235" i="36"/>
  <c r="AO234" i="36"/>
  <c r="Z234" i="36"/>
  <c r="Y234" i="36"/>
  <c r="U234" i="36"/>
  <c r="V234" i="36" s="1"/>
  <c r="Q234" i="36"/>
  <c r="M234" i="36"/>
  <c r="K234" i="36"/>
  <c r="J234" i="36"/>
  <c r="I234" i="36"/>
  <c r="D234" i="36"/>
  <c r="AO233" i="36"/>
  <c r="Z233" i="36"/>
  <c r="Y233" i="36"/>
  <c r="U233" i="36"/>
  <c r="V233" i="36" s="1"/>
  <c r="Q233" i="36"/>
  <c r="M233" i="36"/>
  <c r="K233" i="36"/>
  <c r="J233" i="36"/>
  <c r="I233" i="36"/>
  <c r="D233" i="36"/>
  <c r="AO232" i="36"/>
  <c r="Y232" i="36"/>
  <c r="U232" i="36"/>
  <c r="V232" i="36" s="1"/>
  <c r="Q232" i="36"/>
  <c r="M232" i="36"/>
  <c r="K232" i="36"/>
  <c r="J232" i="36"/>
  <c r="I232" i="36"/>
  <c r="D232" i="36"/>
  <c r="AO231" i="36"/>
  <c r="Z231" i="36"/>
  <c r="Y231" i="36"/>
  <c r="U231" i="36"/>
  <c r="V231" i="36" s="1"/>
  <c r="W231" i="36" s="1"/>
  <c r="AA231" i="36" s="1"/>
  <c r="Q231" i="36"/>
  <c r="M231" i="36"/>
  <c r="K231" i="36"/>
  <c r="J231" i="36"/>
  <c r="I231" i="36"/>
  <c r="D231" i="36"/>
  <c r="AO230" i="36"/>
  <c r="Z230" i="36"/>
  <c r="Y230" i="36"/>
  <c r="U230" i="36"/>
  <c r="V230" i="36" s="1"/>
  <c r="W230" i="36" s="1"/>
  <c r="AA230" i="36" s="1"/>
  <c r="Q230" i="36"/>
  <c r="M230" i="36"/>
  <c r="K230" i="36"/>
  <c r="J230" i="36"/>
  <c r="I230" i="36"/>
  <c r="D230" i="36"/>
  <c r="AO229" i="36"/>
  <c r="Y229" i="36"/>
  <c r="U229" i="36"/>
  <c r="V229" i="36" s="1"/>
  <c r="Q229" i="36"/>
  <c r="M229" i="36"/>
  <c r="K229" i="36"/>
  <c r="J229" i="36"/>
  <c r="I229" i="36"/>
  <c r="D229" i="36"/>
  <c r="AO228" i="36"/>
  <c r="Y228" i="36"/>
  <c r="U228" i="36"/>
  <c r="V228" i="36" s="1"/>
  <c r="Q228" i="36"/>
  <c r="M228" i="36"/>
  <c r="K228" i="36"/>
  <c r="J228" i="36"/>
  <c r="I228" i="36"/>
  <c r="D228" i="36"/>
  <c r="AO227" i="36"/>
  <c r="Y227" i="36"/>
  <c r="Z227" i="36" s="1"/>
  <c r="U227" i="36"/>
  <c r="V227" i="36" s="1"/>
  <c r="Q227" i="36"/>
  <c r="M227" i="36"/>
  <c r="K227" i="36"/>
  <c r="J227" i="36"/>
  <c r="I227" i="36"/>
  <c r="D227" i="36"/>
  <c r="AO226" i="36"/>
  <c r="Z226" i="36"/>
  <c r="Y226" i="36"/>
  <c r="U226" i="36"/>
  <c r="V226" i="36" s="1"/>
  <c r="W226" i="36" s="1"/>
  <c r="AA226" i="36" s="1"/>
  <c r="Q226" i="36"/>
  <c r="M226" i="36"/>
  <c r="K226" i="36"/>
  <c r="J226" i="36"/>
  <c r="I226" i="36"/>
  <c r="D226" i="36"/>
  <c r="AO225" i="36"/>
  <c r="Z225" i="36"/>
  <c r="Y225" i="36"/>
  <c r="U225" i="36"/>
  <c r="V225" i="36" s="1"/>
  <c r="Q225" i="36"/>
  <c r="M225" i="36"/>
  <c r="K225" i="36"/>
  <c r="J225" i="36"/>
  <c r="I225" i="36"/>
  <c r="D225" i="36"/>
  <c r="AO224" i="36"/>
  <c r="Y224" i="36"/>
  <c r="U224" i="36"/>
  <c r="V224" i="36" s="1"/>
  <c r="W224" i="36" s="1"/>
  <c r="Q224" i="36"/>
  <c r="M224" i="36"/>
  <c r="K224" i="36"/>
  <c r="J224" i="36"/>
  <c r="I224" i="36"/>
  <c r="D224" i="36"/>
  <c r="AO223" i="36"/>
  <c r="Y223" i="36"/>
  <c r="U223" i="36"/>
  <c r="V223" i="36" s="1"/>
  <c r="Q223" i="36"/>
  <c r="M223" i="36"/>
  <c r="K223" i="36"/>
  <c r="J223" i="36"/>
  <c r="I223" i="36"/>
  <c r="D223" i="36"/>
  <c r="AO222" i="36"/>
  <c r="Y222" i="36"/>
  <c r="U222" i="36"/>
  <c r="V222" i="36" s="1"/>
  <c r="Q222" i="36"/>
  <c r="M222" i="36"/>
  <c r="K222" i="36"/>
  <c r="J222" i="36"/>
  <c r="I222" i="36"/>
  <c r="D222" i="36"/>
  <c r="AO221" i="36"/>
  <c r="Y221" i="36"/>
  <c r="U221" i="36"/>
  <c r="V221" i="36" s="1"/>
  <c r="Q221" i="36"/>
  <c r="M221" i="36"/>
  <c r="K221" i="36"/>
  <c r="J221" i="36"/>
  <c r="I221" i="36"/>
  <c r="D221" i="36"/>
  <c r="AO220" i="36"/>
  <c r="Y220" i="36"/>
  <c r="U220" i="36"/>
  <c r="V220" i="36" s="1"/>
  <c r="Q220" i="36"/>
  <c r="M220" i="36"/>
  <c r="K220" i="36"/>
  <c r="J220" i="36"/>
  <c r="I220" i="36"/>
  <c r="D220" i="36"/>
  <c r="AO219" i="36"/>
  <c r="Z219" i="36"/>
  <c r="Y219" i="36"/>
  <c r="U219" i="36"/>
  <c r="V219" i="36" s="1"/>
  <c r="Q219" i="36"/>
  <c r="M219" i="36"/>
  <c r="K219" i="36"/>
  <c r="J219" i="36"/>
  <c r="I219" i="36"/>
  <c r="D219" i="36"/>
  <c r="AO218" i="36"/>
  <c r="Z218" i="36"/>
  <c r="Y218" i="36"/>
  <c r="U218" i="36"/>
  <c r="V218" i="36" s="1"/>
  <c r="W218" i="36" s="1"/>
  <c r="AA218" i="36" s="1"/>
  <c r="Q218" i="36"/>
  <c r="M218" i="36"/>
  <c r="K218" i="36"/>
  <c r="J218" i="36"/>
  <c r="I218" i="36"/>
  <c r="D218" i="36"/>
  <c r="AO217" i="36"/>
  <c r="Z217" i="36"/>
  <c r="Y217" i="36"/>
  <c r="U217" i="36"/>
  <c r="V217" i="36" s="1"/>
  <c r="Q217" i="36"/>
  <c r="M217" i="36"/>
  <c r="K217" i="36"/>
  <c r="J217" i="36"/>
  <c r="I217" i="36"/>
  <c r="D217" i="36"/>
  <c r="AO216" i="36"/>
  <c r="Y216" i="36"/>
  <c r="U216" i="36"/>
  <c r="V216" i="36" s="1"/>
  <c r="Q216" i="36"/>
  <c r="M216" i="36"/>
  <c r="K216" i="36"/>
  <c r="J216" i="36"/>
  <c r="I216" i="36"/>
  <c r="D216" i="36"/>
  <c r="AO215" i="36"/>
  <c r="Z215" i="36"/>
  <c r="Y215" i="36"/>
  <c r="U215" i="36"/>
  <c r="V215" i="36" s="1"/>
  <c r="W215" i="36" s="1"/>
  <c r="AA215" i="36" s="1"/>
  <c r="Q215" i="36"/>
  <c r="M215" i="36"/>
  <c r="K215" i="36"/>
  <c r="J215" i="36"/>
  <c r="I215" i="36"/>
  <c r="D215" i="36"/>
  <c r="AO214" i="36"/>
  <c r="Z214" i="36"/>
  <c r="Y214" i="36"/>
  <c r="U214" i="36"/>
  <c r="V214" i="36" s="1"/>
  <c r="Q214" i="36"/>
  <c r="M214" i="36"/>
  <c r="K214" i="36"/>
  <c r="J214" i="36"/>
  <c r="I214" i="36"/>
  <c r="D214" i="36"/>
  <c r="AO213" i="36"/>
  <c r="Y213" i="36"/>
  <c r="U213" i="36"/>
  <c r="V213" i="36" s="1"/>
  <c r="W213" i="36" s="1"/>
  <c r="Q213" i="36"/>
  <c r="M213" i="36"/>
  <c r="K213" i="36"/>
  <c r="J213" i="36"/>
  <c r="I213" i="36"/>
  <c r="D213" i="36"/>
  <c r="AO212" i="36"/>
  <c r="Y212" i="36"/>
  <c r="Z212" i="36" s="1"/>
  <c r="U212" i="36"/>
  <c r="V212" i="36" s="1"/>
  <c r="Q212" i="36"/>
  <c r="M212" i="36"/>
  <c r="K212" i="36"/>
  <c r="J212" i="36"/>
  <c r="I212" i="36"/>
  <c r="D212" i="36"/>
  <c r="AO211" i="36"/>
  <c r="Z211" i="36"/>
  <c r="Y211" i="36"/>
  <c r="U211" i="36"/>
  <c r="V211" i="36" s="1"/>
  <c r="Q211" i="36"/>
  <c r="M211" i="36"/>
  <c r="K211" i="36"/>
  <c r="J211" i="36"/>
  <c r="I211" i="36"/>
  <c r="D211" i="36"/>
  <c r="AO210" i="36"/>
  <c r="Y210" i="36"/>
  <c r="U210" i="36"/>
  <c r="V210" i="36" s="1"/>
  <c r="Q210" i="36"/>
  <c r="M210" i="36"/>
  <c r="K210" i="36"/>
  <c r="J210" i="36"/>
  <c r="I210" i="36"/>
  <c r="D210" i="36"/>
  <c r="AO209" i="36"/>
  <c r="Z209" i="36"/>
  <c r="Y209" i="36"/>
  <c r="U209" i="36"/>
  <c r="V209" i="36" s="1"/>
  <c r="Q209" i="36"/>
  <c r="M209" i="36"/>
  <c r="K209" i="36"/>
  <c r="J209" i="36"/>
  <c r="I209" i="36"/>
  <c r="D209" i="36"/>
  <c r="AO208" i="36"/>
  <c r="Y208" i="36"/>
  <c r="U208" i="36"/>
  <c r="V208" i="36" s="1"/>
  <c r="Q208" i="36"/>
  <c r="M208" i="36"/>
  <c r="K208" i="36"/>
  <c r="J208" i="36"/>
  <c r="I208" i="36"/>
  <c r="D208" i="36"/>
  <c r="AO207" i="36"/>
  <c r="Y207" i="36"/>
  <c r="U207" i="36"/>
  <c r="V207" i="36" s="1"/>
  <c r="Q207" i="36"/>
  <c r="M207" i="36"/>
  <c r="K207" i="36"/>
  <c r="J207" i="36"/>
  <c r="I207" i="36"/>
  <c r="D207" i="36"/>
  <c r="AO206" i="36"/>
  <c r="Y206" i="36"/>
  <c r="U206" i="36"/>
  <c r="V206" i="36" s="1"/>
  <c r="Q206" i="36"/>
  <c r="M206" i="36"/>
  <c r="K206" i="36"/>
  <c r="J206" i="36"/>
  <c r="I206" i="36"/>
  <c r="D206" i="36"/>
  <c r="AO205" i="36"/>
  <c r="Y205" i="36"/>
  <c r="U205" i="36"/>
  <c r="V205" i="36" s="1"/>
  <c r="W205" i="36" s="1"/>
  <c r="Q205" i="36"/>
  <c r="M205" i="36"/>
  <c r="K205" i="36"/>
  <c r="J205" i="36"/>
  <c r="I205" i="36"/>
  <c r="D205" i="36"/>
  <c r="AO204" i="36"/>
  <c r="Y204" i="36"/>
  <c r="Z204" i="36" s="1"/>
  <c r="U204" i="36"/>
  <c r="V204" i="36" s="1"/>
  <c r="Q204" i="36"/>
  <c r="M204" i="36"/>
  <c r="K204" i="36"/>
  <c r="J204" i="36"/>
  <c r="I204" i="36"/>
  <c r="D204" i="36"/>
  <c r="AO203" i="36"/>
  <c r="Z203" i="36"/>
  <c r="Y203" i="36"/>
  <c r="U203" i="36"/>
  <c r="V203" i="36" s="1"/>
  <c r="Q203" i="36"/>
  <c r="M203" i="36"/>
  <c r="K203" i="36"/>
  <c r="J203" i="36"/>
  <c r="I203" i="36"/>
  <c r="D203" i="36"/>
  <c r="AO202" i="36"/>
  <c r="Z202" i="36"/>
  <c r="Y202" i="36"/>
  <c r="U202" i="36"/>
  <c r="V202" i="36" s="1"/>
  <c r="W202" i="36" s="1"/>
  <c r="AA202" i="36" s="1"/>
  <c r="Q202" i="36"/>
  <c r="M202" i="36"/>
  <c r="K202" i="36"/>
  <c r="J202" i="36"/>
  <c r="I202" i="36"/>
  <c r="D202" i="36"/>
  <c r="AO201" i="36"/>
  <c r="Z201" i="36"/>
  <c r="Y201" i="36"/>
  <c r="U201" i="36"/>
  <c r="V201" i="36" s="1"/>
  <c r="Q201" i="36"/>
  <c r="M201" i="36"/>
  <c r="K201" i="36"/>
  <c r="J201" i="36"/>
  <c r="I201" i="36"/>
  <c r="D201" i="36"/>
  <c r="AO200" i="36"/>
  <c r="Y200" i="36"/>
  <c r="U200" i="36"/>
  <c r="V200" i="36" s="1"/>
  <c r="W200" i="36" s="1"/>
  <c r="AB200" i="36" s="1"/>
  <c r="Q200" i="36"/>
  <c r="M200" i="36"/>
  <c r="K200" i="36"/>
  <c r="J200" i="36"/>
  <c r="I200" i="36"/>
  <c r="D200" i="36"/>
  <c r="AO199" i="36"/>
  <c r="Z199" i="36"/>
  <c r="Y199" i="36"/>
  <c r="U199" i="36"/>
  <c r="V199" i="36" s="1"/>
  <c r="Q199" i="36"/>
  <c r="M199" i="36"/>
  <c r="K199" i="36"/>
  <c r="J199" i="36"/>
  <c r="I199" i="36"/>
  <c r="D199" i="36"/>
  <c r="AO198" i="36"/>
  <c r="Z198" i="36"/>
  <c r="Y198" i="36"/>
  <c r="U198" i="36"/>
  <c r="V198" i="36" s="1"/>
  <c r="Q198" i="36"/>
  <c r="M198" i="36"/>
  <c r="K198" i="36"/>
  <c r="J198" i="36"/>
  <c r="I198" i="36"/>
  <c r="D198" i="36"/>
  <c r="AO197" i="36"/>
  <c r="Y197" i="36"/>
  <c r="Z197" i="36" s="1"/>
  <c r="U197" i="36"/>
  <c r="V197" i="36" s="1"/>
  <c r="W197" i="36" s="1"/>
  <c r="AA197" i="36" s="1"/>
  <c r="Q197" i="36"/>
  <c r="M197" i="36"/>
  <c r="K197" i="36"/>
  <c r="J197" i="36"/>
  <c r="I197" i="36"/>
  <c r="D197" i="36"/>
  <c r="AO196" i="36"/>
  <c r="Y196" i="36"/>
  <c r="Z196" i="36" s="1"/>
  <c r="U196" i="36"/>
  <c r="V196" i="36" s="1"/>
  <c r="W196" i="36" s="1"/>
  <c r="Q196" i="36"/>
  <c r="M196" i="36"/>
  <c r="K196" i="36"/>
  <c r="J196" i="36"/>
  <c r="I196" i="36"/>
  <c r="D196" i="36"/>
  <c r="AO195" i="36"/>
  <c r="Y195" i="36"/>
  <c r="U195" i="36"/>
  <c r="V195" i="36" s="1"/>
  <c r="Q195" i="36"/>
  <c r="M195" i="36"/>
  <c r="K195" i="36"/>
  <c r="J195" i="36"/>
  <c r="I195" i="36"/>
  <c r="D195" i="36"/>
  <c r="AO194" i="36"/>
  <c r="Y194" i="36"/>
  <c r="U194" i="36"/>
  <c r="V194" i="36" s="1"/>
  <c r="Q194" i="36"/>
  <c r="M194" i="36"/>
  <c r="K194" i="36"/>
  <c r="J194" i="36"/>
  <c r="I194" i="36"/>
  <c r="D194" i="36"/>
  <c r="AO193" i="36"/>
  <c r="Y193" i="36"/>
  <c r="U193" i="36"/>
  <c r="V193" i="36" s="1"/>
  <c r="Q193" i="36"/>
  <c r="M193" i="36"/>
  <c r="K193" i="36"/>
  <c r="J193" i="36"/>
  <c r="I193" i="36"/>
  <c r="D193" i="36"/>
  <c r="AO192" i="36"/>
  <c r="Y192" i="36"/>
  <c r="U192" i="36"/>
  <c r="V192" i="36" s="1"/>
  <c r="Q192" i="36"/>
  <c r="M192" i="36"/>
  <c r="K192" i="36"/>
  <c r="J192" i="36"/>
  <c r="I192" i="36"/>
  <c r="D192" i="36"/>
  <c r="AO191" i="36"/>
  <c r="Z191" i="36"/>
  <c r="Y191" i="36"/>
  <c r="U191" i="36"/>
  <c r="V191" i="36" s="1"/>
  <c r="Q191" i="36"/>
  <c r="M191" i="36"/>
  <c r="K191" i="36"/>
  <c r="J191" i="36"/>
  <c r="I191" i="36"/>
  <c r="D191" i="36"/>
  <c r="AO190" i="36"/>
  <c r="Y190" i="36"/>
  <c r="U190" i="36"/>
  <c r="V190" i="36" s="1"/>
  <c r="Q190" i="36"/>
  <c r="M190" i="36"/>
  <c r="K190" i="36"/>
  <c r="J190" i="36"/>
  <c r="I190" i="36"/>
  <c r="D190" i="36"/>
  <c r="AO189" i="36"/>
  <c r="Y189" i="36"/>
  <c r="U189" i="36"/>
  <c r="V189" i="36" s="1"/>
  <c r="Q189" i="36"/>
  <c r="M189" i="36"/>
  <c r="K189" i="36"/>
  <c r="J189" i="36"/>
  <c r="I189" i="36"/>
  <c r="D189" i="36"/>
  <c r="AO188" i="36"/>
  <c r="Z188" i="36"/>
  <c r="Y188" i="36"/>
  <c r="U188" i="36"/>
  <c r="V188" i="36" s="1"/>
  <c r="Q188" i="36"/>
  <c r="M188" i="36"/>
  <c r="K188" i="36"/>
  <c r="J188" i="36"/>
  <c r="I188" i="36"/>
  <c r="D188" i="36"/>
  <c r="AO187" i="36"/>
  <c r="Z187" i="36"/>
  <c r="Y187" i="36"/>
  <c r="U187" i="36"/>
  <c r="V187" i="36" s="1"/>
  <c r="Q187" i="36"/>
  <c r="M187" i="36"/>
  <c r="K187" i="36"/>
  <c r="J187" i="36"/>
  <c r="I187" i="36"/>
  <c r="D187" i="36"/>
  <c r="AO186" i="36"/>
  <c r="Y186" i="36"/>
  <c r="Z186" i="36" s="1"/>
  <c r="U186" i="36"/>
  <c r="V186" i="36" s="1"/>
  <c r="W186" i="36" s="1"/>
  <c r="AA186" i="36" s="1"/>
  <c r="Q186" i="36"/>
  <c r="M186" i="36"/>
  <c r="K186" i="36"/>
  <c r="J186" i="36"/>
  <c r="I186" i="36"/>
  <c r="D186" i="36"/>
  <c r="AO185" i="36"/>
  <c r="Y185" i="36"/>
  <c r="U185" i="36"/>
  <c r="V185" i="36" s="1"/>
  <c r="Q185" i="36"/>
  <c r="M185" i="36"/>
  <c r="K185" i="36"/>
  <c r="J185" i="36"/>
  <c r="I185" i="36"/>
  <c r="D185" i="36"/>
  <c r="AO184" i="36"/>
  <c r="Y184" i="36"/>
  <c r="U184" i="36"/>
  <c r="V184" i="36" s="1"/>
  <c r="Q184" i="36"/>
  <c r="M184" i="36"/>
  <c r="K184" i="36"/>
  <c r="J184" i="36"/>
  <c r="I184" i="36"/>
  <c r="D184" i="36"/>
  <c r="AO183" i="36"/>
  <c r="Y183" i="36"/>
  <c r="U183" i="36"/>
  <c r="V183" i="36" s="1"/>
  <c r="Q183" i="36"/>
  <c r="M183" i="36"/>
  <c r="K183" i="36"/>
  <c r="J183" i="36"/>
  <c r="I183" i="36"/>
  <c r="D183" i="36"/>
  <c r="AO182" i="36"/>
  <c r="Z182" i="36"/>
  <c r="Y182" i="36"/>
  <c r="U182" i="36"/>
  <c r="V182" i="36" s="1"/>
  <c r="Q182" i="36"/>
  <c r="M182" i="36"/>
  <c r="K182" i="36"/>
  <c r="J182" i="36"/>
  <c r="I182" i="36"/>
  <c r="D182" i="36"/>
  <c r="AO181" i="36"/>
  <c r="Y181" i="36"/>
  <c r="U181" i="36"/>
  <c r="V181" i="36" s="1"/>
  <c r="Q181" i="36"/>
  <c r="M181" i="36"/>
  <c r="K181" i="36"/>
  <c r="J181" i="36"/>
  <c r="I181" i="36"/>
  <c r="D181" i="36"/>
  <c r="AO180" i="36"/>
  <c r="Y180" i="36"/>
  <c r="U180" i="36"/>
  <c r="V180" i="36" s="1"/>
  <c r="W180" i="36" s="1"/>
  <c r="Q180" i="36"/>
  <c r="M180" i="36"/>
  <c r="K180" i="36"/>
  <c r="J180" i="36"/>
  <c r="I180" i="36"/>
  <c r="D180" i="36"/>
  <c r="AO179" i="36"/>
  <c r="Z179" i="36"/>
  <c r="Y179" i="36"/>
  <c r="U179" i="36"/>
  <c r="V179" i="36" s="1"/>
  <c r="Q179" i="36"/>
  <c r="M179" i="36"/>
  <c r="K179" i="36"/>
  <c r="J179" i="36"/>
  <c r="I179" i="36"/>
  <c r="D179" i="36"/>
  <c r="AO178" i="36"/>
  <c r="Z178" i="36"/>
  <c r="Y178" i="36"/>
  <c r="U178" i="36"/>
  <c r="V178" i="36" s="1"/>
  <c r="W178" i="36" s="1"/>
  <c r="AA178" i="36" s="1"/>
  <c r="Q178" i="36"/>
  <c r="M178" i="36"/>
  <c r="K178" i="36"/>
  <c r="J178" i="36"/>
  <c r="I178" i="36"/>
  <c r="D178" i="36"/>
  <c r="AO177" i="36"/>
  <c r="Y177" i="36"/>
  <c r="U177" i="36"/>
  <c r="V177" i="36" s="1"/>
  <c r="W177" i="36" s="1"/>
  <c r="Q177" i="36"/>
  <c r="M177" i="36"/>
  <c r="K177" i="36"/>
  <c r="J177" i="36"/>
  <c r="I177" i="36"/>
  <c r="D177" i="36"/>
  <c r="AO176" i="36"/>
  <c r="Z176" i="36"/>
  <c r="Y176" i="36"/>
  <c r="U176" i="36"/>
  <c r="V176" i="36" s="1"/>
  <c r="Q176" i="36"/>
  <c r="M176" i="36"/>
  <c r="K176" i="36"/>
  <c r="J176" i="36"/>
  <c r="I176" i="36"/>
  <c r="D176" i="36"/>
  <c r="AO175" i="36"/>
  <c r="Z175" i="36"/>
  <c r="Y175" i="36"/>
  <c r="U175" i="36"/>
  <c r="V175" i="36" s="1"/>
  <c r="W175" i="36" s="1"/>
  <c r="AB175" i="36" s="1"/>
  <c r="Q175" i="36"/>
  <c r="M175" i="36"/>
  <c r="K175" i="36"/>
  <c r="J175" i="36"/>
  <c r="I175" i="36"/>
  <c r="D175" i="36"/>
  <c r="AO174" i="36"/>
  <c r="Z174" i="36"/>
  <c r="Y174" i="36"/>
  <c r="U174" i="36"/>
  <c r="V174" i="36" s="1"/>
  <c r="Q174" i="36"/>
  <c r="M174" i="36"/>
  <c r="K174" i="36"/>
  <c r="J174" i="36"/>
  <c r="I174" i="36"/>
  <c r="D174" i="36"/>
  <c r="AO173" i="36"/>
  <c r="Z173" i="36"/>
  <c r="Y173" i="36"/>
  <c r="U173" i="36"/>
  <c r="V173" i="36" s="1"/>
  <c r="W173" i="36" s="1"/>
  <c r="Q173" i="36"/>
  <c r="M173" i="36"/>
  <c r="K173" i="36"/>
  <c r="J173" i="36"/>
  <c r="I173" i="36"/>
  <c r="D173" i="36"/>
  <c r="AO172" i="36"/>
  <c r="Y172" i="36"/>
  <c r="U172" i="36"/>
  <c r="V172" i="36" s="1"/>
  <c r="W172" i="36" s="1"/>
  <c r="Q172" i="36"/>
  <c r="M172" i="36"/>
  <c r="K172" i="36"/>
  <c r="J172" i="36"/>
  <c r="I172" i="36"/>
  <c r="D172" i="36"/>
  <c r="AO171" i="36"/>
  <c r="Z171" i="36"/>
  <c r="Y171" i="36"/>
  <c r="U171" i="36"/>
  <c r="V171" i="36" s="1"/>
  <c r="Q171" i="36"/>
  <c r="M171" i="36"/>
  <c r="K171" i="36"/>
  <c r="J171" i="36"/>
  <c r="I171" i="36"/>
  <c r="D171" i="36"/>
  <c r="AO170" i="36"/>
  <c r="Y170" i="36"/>
  <c r="Z170" i="36" s="1"/>
  <c r="U170" i="36"/>
  <c r="V170" i="36" s="1"/>
  <c r="Q170" i="36"/>
  <c r="M170" i="36"/>
  <c r="K170" i="36"/>
  <c r="J170" i="36"/>
  <c r="I170" i="36"/>
  <c r="D170" i="36"/>
  <c r="AO169" i="36"/>
  <c r="Z169" i="36"/>
  <c r="Y169" i="36"/>
  <c r="U169" i="36"/>
  <c r="V169" i="36" s="1"/>
  <c r="Q169" i="36"/>
  <c r="M169" i="36"/>
  <c r="K169" i="36"/>
  <c r="J169" i="36"/>
  <c r="I169" i="36"/>
  <c r="D169" i="36"/>
  <c r="AO168" i="36"/>
  <c r="Y168" i="36"/>
  <c r="U168" i="36"/>
  <c r="V168" i="36" s="1"/>
  <c r="Q168" i="36"/>
  <c r="M168" i="36"/>
  <c r="K168" i="36"/>
  <c r="J168" i="36"/>
  <c r="I168" i="36"/>
  <c r="D168" i="36"/>
  <c r="AO167" i="36"/>
  <c r="Y167" i="36"/>
  <c r="U167" i="36"/>
  <c r="V167" i="36" s="1"/>
  <c r="Q167" i="36"/>
  <c r="M167" i="36"/>
  <c r="K167" i="36"/>
  <c r="J167" i="36"/>
  <c r="I167" i="36"/>
  <c r="D167" i="36"/>
  <c r="AO166" i="36"/>
  <c r="Y166" i="36"/>
  <c r="U166" i="36"/>
  <c r="V166" i="36" s="1"/>
  <c r="Q166" i="36"/>
  <c r="M166" i="36"/>
  <c r="K166" i="36"/>
  <c r="J166" i="36"/>
  <c r="I166" i="36"/>
  <c r="D166" i="36"/>
  <c r="AO165" i="36"/>
  <c r="Y165" i="36"/>
  <c r="U165" i="36"/>
  <c r="V165" i="36" s="1"/>
  <c r="Q165" i="36"/>
  <c r="M165" i="36"/>
  <c r="K165" i="36"/>
  <c r="J165" i="36"/>
  <c r="I165" i="36"/>
  <c r="D165" i="36"/>
  <c r="AO164" i="36"/>
  <c r="Y164" i="36"/>
  <c r="U164" i="36"/>
  <c r="V164" i="36" s="1"/>
  <c r="Q164" i="36"/>
  <c r="M164" i="36"/>
  <c r="K164" i="36"/>
  <c r="J164" i="36"/>
  <c r="I164" i="36"/>
  <c r="D164" i="36"/>
  <c r="AO163" i="36"/>
  <c r="Z163" i="36"/>
  <c r="Y163" i="36"/>
  <c r="U163" i="36"/>
  <c r="V163" i="36" s="1"/>
  <c r="Q163" i="36"/>
  <c r="M163" i="36"/>
  <c r="K163" i="36"/>
  <c r="J163" i="36"/>
  <c r="I163" i="36"/>
  <c r="D163" i="36"/>
  <c r="AO162" i="36"/>
  <c r="Z162" i="36"/>
  <c r="Y162" i="36"/>
  <c r="U162" i="36"/>
  <c r="V162" i="36" s="1"/>
  <c r="W162" i="36" s="1"/>
  <c r="AA162" i="36" s="1"/>
  <c r="Q162" i="36"/>
  <c r="M162" i="36"/>
  <c r="K162" i="36"/>
  <c r="J162" i="36"/>
  <c r="I162" i="36"/>
  <c r="D162" i="36"/>
  <c r="AO161" i="36"/>
  <c r="Y161" i="36"/>
  <c r="U161" i="36"/>
  <c r="V161" i="36" s="1"/>
  <c r="W161" i="36" s="1"/>
  <c r="Q161" i="36"/>
  <c r="M161" i="36"/>
  <c r="K161" i="36"/>
  <c r="J161" i="36"/>
  <c r="I161" i="36"/>
  <c r="D161" i="36"/>
  <c r="AO160" i="36"/>
  <c r="Z160" i="36"/>
  <c r="Y160" i="36"/>
  <c r="U160" i="36"/>
  <c r="V160" i="36" s="1"/>
  <c r="W160" i="36" s="1"/>
  <c r="AA160" i="36" s="1"/>
  <c r="Q160" i="36"/>
  <c r="M160" i="36"/>
  <c r="K160" i="36"/>
  <c r="J160" i="36"/>
  <c r="I160" i="36"/>
  <c r="D160" i="36"/>
  <c r="AO159" i="36"/>
  <c r="Y159" i="36"/>
  <c r="U159" i="36"/>
  <c r="V159" i="36" s="1"/>
  <c r="Q159" i="36"/>
  <c r="M159" i="36"/>
  <c r="K159" i="36"/>
  <c r="J159" i="36"/>
  <c r="I159" i="36"/>
  <c r="D159" i="36"/>
  <c r="AO158" i="36"/>
  <c r="Y158" i="36"/>
  <c r="U158" i="36"/>
  <c r="V158" i="36" s="1"/>
  <c r="W158" i="36" s="1"/>
  <c r="Q158" i="36"/>
  <c r="M158" i="36"/>
  <c r="K158" i="36"/>
  <c r="J158" i="36"/>
  <c r="I158" i="36"/>
  <c r="D158" i="36"/>
  <c r="AO157" i="36"/>
  <c r="Y157" i="36"/>
  <c r="U157" i="36"/>
  <c r="V157" i="36" s="1"/>
  <c r="W157" i="36" s="1"/>
  <c r="Q157" i="36"/>
  <c r="M157" i="36"/>
  <c r="K157" i="36"/>
  <c r="J157" i="36"/>
  <c r="I157" i="36"/>
  <c r="D157" i="36"/>
  <c r="AO156" i="36"/>
  <c r="Z156" i="36"/>
  <c r="Y156" i="36"/>
  <c r="U156" i="36"/>
  <c r="V156" i="36" s="1"/>
  <c r="Q156" i="36"/>
  <c r="M156" i="36"/>
  <c r="K156" i="36"/>
  <c r="J156" i="36"/>
  <c r="I156" i="36"/>
  <c r="D156" i="36"/>
  <c r="AO155" i="36"/>
  <c r="Y155" i="36"/>
  <c r="U155" i="36"/>
  <c r="V155" i="36" s="1"/>
  <c r="Q155" i="36"/>
  <c r="M155" i="36"/>
  <c r="K155" i="36"/>
  <c r="J155" i="36"/>
  <c r="I155" i="36"/>
  <c r="D155" i="36"/>
  <c r="AO154" i="36"/>
  <c r="Y154" i="36"/>
  <c r="U154" i="36"/>
  <c r="V154" i="36" s="1"/>
  <c r="W154" i="36" s="1"/>
  <c r="Q154" i="36"/>
  <c r="M154" i="36"/>
  <c r="K154" i="36"/>
  <c r="J154" i="36"/>
  <c r="I154" i="36"/>
  <c r="D154" i="36"/>
  <c r="AO153" i="36"/>
  <c r="Y153" i="36"/>
  <c r="U153" i="36"/>
  <c r="V153" i="36" s="1"/>
  <c r="Q153" i="36"/>
  <c r="M153" i="36"/>
  <c r="K153" i="36"/>
  <c r="J153" i="36"/>
  <c r="I153" i="36"/>
  <c r="D153" i="36"/>
  <c r="AO152" i="36"/>
  <c r="Y152" i="36"/>
  <c r="U152" i="36"/>
  <c r="V152" i="36" s="1"/>
  <c r="Q152" i="36"/>
  <c r="M152" i="36"/>
  <c r="K152" i="36"/>
  <c r="J152" i="36"/>
  <c r="I152" i="36"/>
  <c r="D152" i="36"/>
  <c r="AO151" i="36"/>
  <c r="Y151" i="36"/>
  <c r="Z151" i="36" s="1"/>
  <c r="U151" i="36"/>
  <c r="V151" i="36" s="1"/>
  <c r="Q151" i="36"/>
  <c r="M151" i="36"/>
  <c r="K151" i="36"/>
  <c r="J151" i="36"/>
  <c r="I151" i="36"/>
  <c r="D151" i="36"/>
  <c r="AO150" i="36"/>
  <c r="Y150" i="36"/>
  <c r="Z150" i="36" s="1"/>
  <c r="U150" i="36"/>
  <c r="V150" i="36" s="1"/>
  <c r="Q150" i="36"/>
  <c r="M150" i="36"/>
  <c r="K150" i="36"/>
  <c r="J150" i="36"/>
  <c r="I150" i="36"/>
  <c r="D150" i="36"/>
  <c r="AO149" i="36"/>
  <c r="Y149" i="36"/>
  <c r="Z149" i="36" s="1"/>
  <c r="U149" i="36"/>
  <c r="V149" i="36" s="1"/>
  <c r="Q149" i="36"/>
  <c r="M149" i="36"/>
  <c r="K149" i="36"/>
  <c r="J149" i="36"/>
  <c r="I149" i="36"/>
  <c r="D149" i="36"/>
  <c r="AO148" i="36"/>
  <c r="Y148" i="36"/>
  <c r="U148" i="36"/>
  <c r="V148" i="36" s="1"/>
  <c r="Q148" i="36"/>
  <c r="M148" i="36"/>
  <c r="K148" i="36"/>
  <c r="J148" i="36"/>
  <c r="I148" i="36"/>
  <c r="D148" i="36"/>
  <c r="AO147" i="36"/>
  <c r="Z147" i="36"/>
  <c r="Y147" i="36"/>
  <c r="U147" i="36"/>
  <c r="V147" i="36" s="1"/>
  <c r="Q147" i="36"/>
  <c r="M147" i="36"/>
  <c r="K147" i="36"/>
  <c r="J147" i="36"/>
  <c r="I147" i="36"/>
  <c r="D147" i="36"/>
  <c r="AO146" i="36"/>
  <c r="Z146" i="36"/>
  <c r="Y146" i="36"/>
  <c r="U146" i="36"/>
  <c r="V146" i="36" s="1"/>
  <c r="Q146" i="36"/>
  <c r="M146" i="36"/>
  <c r="K146" i="36"/>
  <c r="J146" i="36"/>
  <c r="I146" i="36"/>
  <c r="D146" i="36"/>
  <c r="AO145" i="36"/>
  <c r="Z145" i="36"/>
  <c r="Y145" i="36"/>
  <c r="U145" i="36"/>
  <c r="V145" i="36" s="1"/>
  <c r="Q145" i="36"/>
  <c r="M145" i="36"/>
  <c r="K145" i="36"/>
  <c r="J145" i="36"/>
  <c r="I145" i="36"/>
  <c r="D145" i="36"/>
  <c r="AO144" i="36"/>
  <c r="Y144" i="36"/>
  <c r="U144" i="36"/>
  <c r="V144" i="36" s="1"/>
  <c r="W144" i="36" s="1"/>
  <c r="AB144" i="36" s="1"/>
  <c r="Q144" i="36"/>
  <c r="M144" i="36"/>
  <c r="K144" i="36"/>
  <c r="J144" i="36"/>
  <c r="I144" i="36"/>
  <c r="D144" i="36"/>
  <c r="AO143" i="36"/>
  <c r="Y143" i="36"/>
  <c r="Z143" i="36" s="1"/>
  <c r="U143" i="36"/>
  <c r="V143" i="36" s="1"/>
  <c r="W143" i="36" s="1"/>
  <c r="AA143" i="36" s="1"/>
  <c r="Q143" i="36"/>
  <c r="M143" i="36"/>
  <c r="K143" i="36"/>
  <c r="J143" i="36"/>
  <c r="I143" i="36"/>
  <c r="D143" i="36"/>
  <c r="AO142" i="36"/>
  <c r="Z142" i="36"/>
  <c r="Y142" i="36"/>
  <c r="U142" i="36"/>
  <c r="V142" i="36" s="1"/>
  <c r="W142" i="36" s="1"/>
  <c r="AA142" i="36" s="1"/>
  <c r="Q142" i="36"/>
  <c r="M142" i="36"/>
  <c r="K142" i="36"/>
  <c r="J142" i="36"/>
  <c r="I142" i="36"/>
  <c r="D142" i="36"/>
  <c r="AO141" i="36"/>
  <c r="Y141" i="36"/>
  <c r="U141" i="36"/>
  <c r="V141" i="36" s="1"/>
  <c r="W141" i="36" s="1"/>
  <c r="Q141" i="36"/>
  <c r="M141" i="36"/>
  <c r="K141" i="36"/>
  <c r="J141" i="36"/>
  <c r="I141" i="36"/>
  <c r="D141" i="36"/>
  <c r="AO140" i="36"/>
  <c r="Z140" i="36"/>
  <c r="Y140" i="36"/>
  <c r="U140" i="36"/>
  <c r="V140" i="36" s="1"/>
  <c r="W140" i="36" s="1"/>
  <c r="AA140" i="36" s="1"/>
  <c r="Q140" i="36"/>
  <c r="M140" i="36"/>
  <c r="K140" i="36"/>
  <c r="J140" i="36"/>
  <c r="I140" i="36"/>
  <c r="D140" i="36"/>
  <c r="AO139" i="36"/>
  <c r="Y139" i="36"/>
  <c r="U139" i="36"/>
  <c r="V139" i="36" s="1"/>
  <c r="Q139" i="36"/>
  <c r="M139" i="36"/>
  <c r="K139" i="36"/>
  <c r="J139" i="36"/>
  <c r="I139" i="36"/>
  <c r="D139" i="36"/>
  <c r="AO138" i="36"/>
  <c r="Y138" i="36"/>
  <c r="Z138" i="36" s="1"/>
  <c r="U138" i="36"/>
  <c r="V138" i="36" s="1"/>
  <c r="W138" i="36" s="1"/>
  <c r="Q138" i="36"/>
  <c r="M138" i="36"/>
  <c r="K138" i="36"/>
  <c r="J138" i="36"/>
  <c r="I138" i="36"/>
  <c r="D138" i="36"/>
  <c r="AO137" i="36"/>
  <c r="Y137" i="36"/>
  <c r="U137" i="36"/>
  <c r="V137" i="36" s="1"/>
  <c r="W137" i="36" s="1"/>
  <c r="Q137" i="36"/>
  <c r="M137" i="36"/>
  <c r="K137" i="36"/>
  <c r="J137" i="36"/>
  <c r="I137" i="36"/>
  <c r="D137" i="36"/>
  <c r="AO136" i="36"/>
  <c r="Z136" i="36"/>
  <c r="Y136" i="36"/>
  <c r="U136" i="36"/>
  <c r="V136" i="36" s="1"/>
  <c r="Q136" i="36"/>
  <c r="M136" i="36"/>
  <c r="K136" i="36"/>
  <c r="J136" i="36"/>
  <c r="I136" i="36"/>
  <c r="D136" i="36"/>
  <c r="AO135" i="36"/>
  <c r="Y135" i="36"/>
  <c r="U135" i="36"/>
  <c r="V135" i="36" s="1"/>
  <c r="Q135" i="36"/>
  <c r="M135" i="36"/>
  <c r="K135" i="36"/>
  <c r="J135" i="36"/>
  <c r="I135" i="36"/>
  <c r="D135" i="36"/>
  <c r="AO134" i="36"/>
  <c r="Z134" i="36"/>
  <c r="Y134" i="36"/>
  <c r="U134" i="36"/>
  <c r="V134" i="36" s="1"/>
  <c r="Q134" i="36"/>
  <c r="M134" i="36"/>
  <c r="K134" i="36"/>
  <c r="J134" i="36"/>
  <c r="I134" i="36"/>
  <c r="D134" i="36"/>
  <c r="AO133" i="36"/>
  <c r="Y133" i="36"/>
  <c r="U133" i="36"/>
  <c r="V133" i="36" s="1"/>
  <c r="Q133" i="36"/>
  <c r="M133" i="36"/>
  <c r="K133" i="36"/>
  <c r="J133" i="36"/>
  <c r="I133" i="36"/>
  <c r="D133" i="36"/>
  <c r="AO132" i="36"/>
  <c r="Y132" i="36"/>
  <c r="U132" i="36"/>
  <c r="V132" i="36" s="1"/>
  <c r="W132" i="36" s="1"/>
  <c r="Q132" i="36"/>
  <c r="M132" i="36"/>
  <c r="K132" i="36"/>
  <c r="J132" i="36"/>
  <c r="I132" i="36"/>
  <c r="D132" i="36"/>
  <c r="AO131" i="36"/>
  <c r="Z131" i="36"/>
  <c r="Y131" i="36"/>
  <c r="U131" i="36"/>
  <c r="V131" i="36" s="1"/>
  <c r="Q131" i="36"/>
  <c r="M131" i="36"/>
  <c r="K131" i="36"/>
  <c r="J131" i="36"/>
  <c r="I131" i="36"/>
  <c r="D131" i="36"/>
  <c r="AO130" i="36"/>
  <c r="Z130" i="36"/>
  <c r="Y130" i="36"/>
  <c r="U130" i="36"/>
  <c r="V130" i="36" s="1"/>
  <c r="Q130" i="36"/>
  <c r="M130" i="36"/>
  <c r="K130" i="36"/>
  <c r="J130" i="36"/>
  <c r="I130" i="36"/>
  <c r="D130" i="36"/>
  <c r="AO129" i="36"/>
  <c r="Y129" i="36"/>
  <c r="U129" i="36"/>
  <c r="V129" i="36" s="1"/>
  <c r="W129" i="36" s="1"/>
  <c r="Q129" i="36"/>
  <c r="M129" i="36"/>
  <c r="K129" i="36"/>
  <c r="J129" i="36"/>
  <c r="I129" i="36"/>
  <c r="D129" i="36"/>
  <c r="AO128" i="36"/>
  <c r="Z128" i="36"/>
  <c r="Y128" i="36"/>
  <c r="U128" i="36"/>
  <c r="V128" i="36" s="1"/>
  <c r="Q128" i="36"/>
  <c r="M128" i="36"/>
  <c r="K128" i="36"/>
  <c r="J128" i="36"/>
  <c r="I128" i="36"/>
  <c r="D128" i="36"/>
  <c r="AO127" i="36"/>
  <c r="Y127" i="36"/>
  <c r="U127" i="36"/>
  <c r="V127" i="36" s="1"/>
  <c r="W127" i="36" s="1"/>
  <c r="Q127" i="36"/>
  <c r="M127" i="36"/>
  <c r="K127" i="36"/>
  <c r="J127" i="36"/>
  <c r="I127" i="36"/>
  <c r="D127" i="36"/>
  <c r="AO126" i="36"/>
  <c r="Z126" i="36"/>
  <c r="Y126" i="36"/>
  <c r="U126" i="36"/>
  <c r="V126" i="36" s="1"/>
  <c r="Q126" i="36"/>
  <c r="M126" i="36"/>
  <c r="K126" i="36"/>
  <c r="J126" i="36"/>
  <c r="I126" i="36"/>
  <c r="D126" i="36"/>
  <c r="AO125" i="36"/>
  <c r="Y125" i="36"/>
  <c r="U125" i="36"/>
  <c r="V125" i="36" s="1"/>
  <c r="W125" i="36" s="1"/>
  <c r="Q125" i="36"/>
  <c r="M125" i="36"/>
  <c r="K125" i="36"/>
  <c r="J125" i="36"/>
  <c r="I125" i="36"/>
  <c r="D125" i="36"/>
  <c r="AO124" i="36"/>
  <c r="Z124" i="36"/>
  <c r="Y124" i="36"/>
  <c r="U124" i="36"/>
  <c r="V124" i="36" s="1"/>
  <c r="Q124" i="36"/>
  <c r="M124" i="36"/>
  <c r="K124" i="36"/>
  <c r="J124" i="36"/>
  <c r="I124" i="36"/>
  <c r="D124" i="36"/>
  <c r="AO123" i="36"/>
  <c r="Y123" i="36"/>
  <c r="U123" i="36"/>
  <c r="V123" i="36" s="1"/>
  <c r="Q123" i="36"/>
  <c r="M123" i="36"/>
  <c r="K123" i="36"/>
  <c r="J123" i="36"/>
  <c r="I123" i="36"/>
  <c r="D123" i="36"/>
  <c r="AO122" i="36"/>
  <c r="Y122" i="36"/>
  <c r="U122" i="36"/>
  <c r="V122" i="36" s="1"/>
  <c r="Q122" i="36"/>
  <c r="M122" i="36"/>
  <c r="K122" i="36"/>
  <c r="J122" i="36"/>
  <c r="I122" i="36"/>
  <c r="D122" i="36"/>
  <c r="AO121" i="36"/>
  <c r="Y121" i="36"/>
  <c r="Z121" i="36" s="1"/>
  <c r="U121" i="36"/>
  <c r="V121" i="36" s="1"/>
  <c r="Q121" i="36"/>
  <c r="M121" i="36"/>
  <c r="K121" i="36"/>
  <c r="J121" i="36"/>
  <c r="I121" i="36"/>
  <c r="D121" i="36"/>
  <c r="AO120" i="36"/>
  <c r="Y120" i="36"/>
  <c r="U120" i="36"/>
  <c r="V120" i="36" s="1"/>
  <c r="Q120" i="36"/>
  <c r="M120" i="36"/>
  <c r="K120" i="36"/>
  <c r="J120" i="36"/>
  <c r="I120" i="36"/>
  <c r="D120" i="36"/>
  <c r="AO119" i="36"/>
  <c r="Y119" i="36"/>
  <c r="U119" i="36"/>
  <c r="V119" i="36" s="1"/>
  <c r="W119" i="36" s="1"/>
  <c r="Q119" i="36"/>
  <c r="M119" i="36"/>
  <c r="K119" i="36"/>
  <c r="J119" i="36"/>
  <c r="I119" i="36"/>
  <c r="D119" i="36"/>
  <c r="AO118" i="36"/>
  <c r="Y118" i="36"/>
  <c r="Z118" i="36" s="1"/>
  <c r="U118" i="36"/>
  <c r="V118" i="36" s="1"/>
  <c r="Q118" i="36"/>
  <c r="M118" i="36"/>
  <c r="K118" i="36"/>
  <c r="J118" i="36"/>
  <c r="I118" i="36"/>
  <c r="D118" i="36"/>
  <c r="AO117" i="36"/>
  <c r="Y117" i="36"/>
  <c r="U117" i="36"/>
  <c r="V117" i="36" s="1"/>
  <c r="Q117" i="36"/>
  <c r="M117" i="36"/>
  <c r="K117" i="36"/>
  <c r="J117" i="36"/>
  <c r="I117" i="36"/>
  <c r="D117" i="36"/>
  <c r="AO116" i="36"/>
  <c r="Y116" i="36"/>
  <c r="U116" i="36"/>
  <c r="V116" i="36" s="1"/>
  <c r="Q116" i="36"/>
  <c r="M116" i="36"/>
  <c r="K116" i="36"/>
  <c r="J116" i="36"/>
  <c r="I116" i="36"/>
  <c r="D116" i="36"/>
  <c r="AO115" i="36"/>
  <c r="Y115" i="36"/>
  <c r="Z115" i="36" s="1"/>
  <c r="U115" i="36"/>
  <c r="V115" i="36" s="1"/>
  <c r="Q115" i="36"/>
  <c r="M115" i="36"/>
  <c r="K115" i="36"/>
  <c r="J115" i="36"/>
  <c r="I115" i="36"/>
  <c r="D115" i="36"/>
  <c r="AO114" i="36"/>
  <c r="Z114" i="36"/>
  <c r="Y114" i="36"/>
  <c r="U114" i="36"/>
  <c r="V114" i="36" s="1"/>
  <c r="Q114" i="36"/>
  <c r="M114" i="36"/>
  <c r="K114" i="36"/>
  <c r="J114" i="36"/>
  <c r="I114" i="36"/>
  <c r="D114" i="36"/>
  <c r="AO113" i="36"/>
  <c r="Z113" i="36"/>
  <c r="Y113" i="36"/>
  <c r="U113" i="36"/>
  <c r="V113" i="36" s="1"/>
  <c r="Q113" i="36"/>
  <c r="M113" i="36"/>
  <c r="K113" i="36"/>
  <c r="J113" i="36"/>
  <c r="I113" i="36"/>
  <c r="D113" i="36"/>
  <c r="AO112" i="36"/>
  <c r="Y112" i="36"/>
  <c r="U112" i="36"/>
  <c r="V112" i="36" s="1"/>
  <c r="Q112" i="36"/>
  <c r="M112" i="36"/>
  <c r="K112" i="36"/>
  <c r="J112" i="36"/>
  <c r="I112" i="36"/>
  <c r="D112" i="36"/>
  <c r="AO111" i="36"/>
  <c r="Y111" i="36"/>
  <c r="U111" i="36"/>
  <c r="V111" i="36" s="1"/>
  <c r="Q111" i="36"/>
  <c r="M111" i="36"/>
  <c r="K111" i="36"/>
  <c r="J111" i="36"/>
  <c r="I111" i="36"/>
  <c r="D111" i="36"/>
  <c r="AO110" i="36"/>
  <c r="Z110" i="36"/>
  <c r="Y110" i="36"/>
  <c r="U110" i="36"/>
  <c r="V110" i="36" s="1"/>
  <c r="Q110" i="36"/>
  <c r="M110" i="36"/>
  <c r="K110" i="36"/>
  <c r="J110" i="36"/>
  <c r="I110" i="36"/>
  <c r="D110" i="36"/>
  <c r="AO109" i="36"/>
  <c r="Y109" i="36"/>
  <c r="U109" i="36"/>
  <c r="V109" i="36" s="1"/>
  <c r="Q109" i="36"/>
  <c r="M109" i="36"/>
  <c r="K109" i="36"/>
  <c r="J109" i="36"/>
  <c r="I109" i="36"/>
  <c r="D109" i="36"/>
  <c r="AO108" i="36"/>
  <c r="Z108" i="36"/>
  <c r="Y108" i="36"/>
  <c r="U108" i="36"/>
  <c r="V108" i="36" s="1"/>
  <c r="Q108" i="36"/>
  <c r="M108" i="36"/>
  <c r="K108" i="36"/>
  <c r="J108" i="36"/>
  <c r="I108" i="36"/>
  <c r="D108" i="36"/>
  <c r="AO107" i="36"/>
  <c r="Y107" i="36"/>
  <c r="U107" i="36"/>
  <c r="V107" i="36" s="1"/>
  <c r="Q107" i="36"/>
  <c r="M107" i="36"/>
  <c r="K107" i="36"/>
  <c r="J107" i="36"/>
  <c r="I107" i="36"/>
  <c r="D107" i="36"/>
  <c r="AO106" i="36"/>
  <c r="Y106" i="36"/>
  <c r="Z106" i="36" s="1"/>
  <c r="U106" i="36"/>
  <c r="V106" i="36" s="1"/>
  <c r="Q106" i="36"/>
  <c r="M106" i="36"/>
  <c r="K106" i="36"/>
  <c r="J106" i="36"/>
  <c r="I106" i="36"/>
  <c r="D106" i="36"/>
  <c r="AO105" i="36"/>
  <c r="Z105" i="36"/>
  <c r="Y105" i="36"/>
  <c r="U105" i="36"/>
  <c r="V105" i="36" s="1"/>
  <c r="Q105" i="36"/>
  <c r="M105" i="36"/>
  <c r="K105" i="36"/>
  <c r="J105" i="36"/>
  <c r="I105" i="36"/>
  <c r="D105" i="36"/>
  <c r="AO104" i="36"/>
  <c r="Y104" i="36"/>
  <c r="U104" i="36"/>
  <c r="V104" i="36" s="1"/>
  <c r="Q104" i="36"/>
  <c r="M104" i="36"/>
  <c r="K104" i="36"/>
  <c r="J104" i="36"/>
  <c r="I104" i="36"/>
  <c r="D104" i="36"/>
  <c r="AO103" i="36"/>
  <c r="Z103" i="36"/>
  <c r="Y103" i="36"/>
  <c r="U103" i="36"/>
  <c r="V103" i="36" s="1"/>
  <c r="W103" i="36" s="1"/>
  <c r="AA103" i="36" s="1"/>
  <c r="Q103" i="36"/>
  <c r="M103" i="36"/>
  <c r="K103" i="36"/>
  <c r="J103" i="36"/>
  <c r="I103" i="36"/>
  <c r="D103" i="36"/>
  <c r="AO102" i="36"/>
  <c r="Y102" i="36"/>
  <c r="Z102" i="36" s="1"/>
  <c r="U102" i="36"/>
  <c r="V102" i="36" s="1"/>
  <c r="Q102" i="36"/>
  <c r="M102" i="36"/>
  <c r="K102" i="36"/>
  <c r="J102" i="36"/>
  <c r="I102" i="36"/>
  <c r="D102" i="36"/>
  <c r="AO101" i="36"/>
  <c r="Y101" i="36"/>
  <c r="U101" i="36"/>
  <c r="V101" i="36" s="1"/>
  <c r="Q101" i="36"/>
  <c r="M101" i="36"/>
  <c r="K101" i="36"/>
  <c r="J101" i="36"/>
  <c r="I101" i="36"/>
  <c r="D101" i="36"/>
  <c r="AO100" i="36"/>
  <c r="Y100" i="36"/>
  <c r="U100" i="36"/>
  <c r="V100" i="36" s="1"/>
  <c r="Q100" i="36"/>
  <c r="M100" i="36"/>
  <c r="K100" i="36"/>
  <c r="J100" i="36"/>
  <c r="I100" i="36"/>
  <c r="D100" i="36"/>
  <c r="AO99" i="36"/>
  <c r="Z99" i="36"/>
  <c r="Y99" i="36"/>
  <c r="U99" i="36"/>
  <c r="V99" i="36" s="1"/>
  <c r="Q99" i="36"/>
  <c r="M99" i="36"/>
  <c r="K99" i="36"/>
  <c r="J99" i="36"/>
  <c r="I99" i="36"/>
  <c r="D99" i="36"/>
  <c r="AO98" i="36"/>
  <c r="Y98" i="36"/>
  <c r="U98" i="36"/>
  <c r="V98" i="36" s="1"/>
  <c r="Q98" i="36"/>
  <c r="M98" i="36"/>
  <c r="K98" i="36"/>
  <c r="J98" i="36"/>
  <c r="I98" i="36"/>
  <c r="D98" i="36"/>
  <c r="AO97" i="36"/>
  <c r="Y97" i="36"/>
  <c r="U97" i="36"/>
  <c r="V97" i="36" s="1"/>
  <c r="Q97" i="36"/>
  <c r="M97" i="36"/>
  <c r="K97" i="36"/>
  <c r="J97" i="36"/>
  <c r="I97" i="36"/>
  <c r="D97" i="36"/>
  <c r="AO96" i="36"/>
  <c r="Y96" i="36"/>
  <c r="U96" i="36"/>
  <c r="V96" i="36" s="1"/>
  <c r="Q96" i="36"/>
  <c r="M96" i="36"/>
  <c r="K96" i="36"/>
  <c r="J96" i="36"/>
  <c r="I96" i="36"/>
  <c r="D96" i="36"/>
  <c r="AO95" i="36"/>
  <c r="Y95" i="36"/>
  <c r="Z95" i="36" s="1"/>
  <c r="U95" i="36"/>
  <c r="V95" i="36" s="1"/>
  <c r="Q95" i="36"/>
  <c r="M95" i="36"/>
  <c r="K95" i="36"/>
  <c r="J95" i="36"/>
  <c r="I95" i="36"/>
  <c r="D95" i="36"/>
  <c r="AO94" i="36"/>
  <c r="Z94" i="36"/>
  <c r="Y94" i="36"/>
  <c r="U94" i="36"/>
  <c r="V94" i="36" s="1"/>
  <c r="Q94" i="36"/>
  <c r="M94" i="36"/>
  <c r="K94" i="36"/>
  <c r="J94" i="36"/>
  <c r="I94" i="36"/>
  <c r="D94" i="36"/>
  <c r="AO93" i="36"/>
  <c r="Y93" i="36"/>
  <c r="U93" i="36"/>
  <c r="V93" i="36" s="1"/>
  <c r="Q93" i="36"/>
  <c r="M93" i="36"/>
  <c r="K93" i="36"/>
  <c r="J93" i="36"/>
  <c r="I93" i="36"/>
  <c r="D93" i="36"/>
  <c r="AO92" i="36"/>
  <c r="Y92" i="36"/>
  <c r="U92" i="36"/>
  <c r="V92" i="36" s="1"/>
  <c r="Q92" i="36"/>
  <c r="M92" i="36"/>
  <c r="K92" i="36"/>
  <c r="J92" i="36"/>
  <c r="I92" i="36"/>
  <c r="D92" i="36"/>
  <c r="AO91" i="36"/>
  <c r="Z91" i="36"/>
  <c r="Y91" i="36"/>
  <c r="U91" i="36"/>
  <c r="V91" i="36" s="1"/>
  <c r="W91" i="36" s="1"/>
  <c r="Q91" i="36"/>
  <c r="M91" i="36"/>
  <c r="K91" i="36"/>
  <c r="J91" i="36"/>
  <c r="I91" i="36"/>
  <c r="D91" i="36"/>
  <c r="AO90" i="36"/>
  <c r="Y90" i="36"/>
  <c r="Z90" i="36" s="1"/>
  <c r="U90" i="36"/>
  <c r="V90" i="36" s="1"/>
  <c r="Q90" i="36"/>
  <c r="M90" i="36"/>
  <c r="K90" i="36"/>
  <c r="J90" i="36"/>
  <c r="I90" i="36"/>
  <c r="D90" i="36"/>
  <c r="AO89" i="36"/>
  <c r="Z89" i="36"/>
  <c r="Y89" i="36"/>
  <c r="U89" i="36"/>
  <c r="V89" i="36" s="1"/>
  <c r="W89" i="36" s="1"/>
  <c r="AA89" i="36" s="1"/>
  <c r="Q89" i="36"/>
  <c r="M89" i="36"/>
  <c r="K89" i="36"/>
  <c r="J89" i="36"/>
  <c r="I89" i="36"/>
  <c r="D89" i="36"/>
  <c r="AO88" i="36"/>
  <c r="Y88" i="36"/>
  <c r="U88" i="36"/>
  <c r="V88" i="36" s="1"/>
  <c r="Q88" i="36"/>
  <c r="M88" i="36"/>
  <c r="K88" i="36"/>
  <c r="J88" i="36"/>
  <c r="I88" i="36"/>
  <c r="D88" i="36"/>
  <c r="AO87" i="36"/>
  <c r="Y87" i="36"/>
  <c r="Z87" i="36" s="1"/>
  <c r="U87" i="36"/>
  <c r="V87" i="36" s="1"/>
  <c r="Q87" i="36"/>
  <c r="M87" i="36"/>
  <c r="K87" i="36"/>
  <c r="J87" i="36"/>
  <c r="I87" i="36"/>
  <c r="D87" i="36"/>
  <c r="AO86" i="36"/>
  <c r="Y86" i="36"/>
  <c r="U86" i="36"/>
  <c r="V86" i="36" s="1"/>
  <c r="Q86" i="36"/>
  <c r="M86" i="36"/>
  <c r="K86" i="36"/>
  <c r="J86" i="36"/>
  <c r="I86" i="36"/>
  <c r="D86" i="36"/>
  <c r="AO85" i="36"/>
  <c r="Y85" i="36"/>
  <c r="Z85" i="36" s="1"/>
  <c r="U85" i="36"/>
  <c r="V85" i="36" s="1"/>
  <c r="Q85" i="36"/>
  <c r="M85" i="36"/>
  <c r="K85" i="36"/>
  <c r="J85" i="36"/>
  <c r="I85" i="36"/>
  <c r="D85" i="36"/>
  <c r="AO84" i="36"/>
  <c r="Z84" i="36"/>
  <c r="Y84" i="36"/>
  <c r="U84" i="36"/>
  <c r="V84" i="36" s="1"/>
  <c r="Q84" i="36"/>
  <c r="M84" i="36"/>
  <c r="K84" i="36"/>
  <c r="J84" i="36"/>
  <c r="I84" i="36"/>
  <c r="D84" i="36"/>
  <c r="AO83" i="36"/>
  <c r="Z83" i="36"/>
  <c r="Y83" i="36"/>
  <c r="U83" i="36"/>
  <c r="V83" i="36" s="1"/>
  <c r="Q83" i="36"/>
  <c r="M83" i="36"/>
  <c r="K83" i="36"/>
  <c r="J83" i="36"/>
  <c r="I83" i="36"/>
  <c r="D83" i="36"/>
  <c r="AO82" i="36"/>
  <c r="Y82" i="36"/>
  <c r="U82" i="36"/>
  <c r="V82" i="36" s="1"/>
  <c r="Q82" i="36"/>
  <c r="M82" i="36"/>
  <c r="K82" i="36"/>
  <c r="J82" i="36"/>
  <c r="I82" i="36"/>
  <c r="D82" i="36"/>
  <c r="AO81" i="36"/>
  <c r="Y81" i="36"/>
  <c r="U81" i="36"/>
  <c r="V81" i="36" s="1"/>
  <c r="W81" i="36" s="1"/>
  <c r="Q81" i="36"/>
  <c r="M81" i="36"/>
  <c r="K81" i="36"/>
  <c r="J81" i="36"/>
  <c r="I81" i="36"/>
  <c r="D81" i="36"/>
  <c r="AO80" i="36"/>
  <c r="Y80" i="36"/>
  <c r="U80" i="36"/>
  <c r="V80" i="36" s="1"/>
  <c r="W80" i="36" s="1"/>
  <c r="Q80" i="36"/>
  <c r="M80" i="36"/>
  <c r="K80" i="36"/>
  <c r="J80" i="36"/>
  <c r="I80" i="36"/>
  <c r="D80" i="36"/>
  <c r="AO79" i="36"/>
  <c r="Z79" i="36"/>
  <c r="Y79" i="36"/>
  <c r="U79" i="36"/>
  <c r="V79" i="36" s="1"/>
  <c r="W79" i="36" s="1"/>
  <c r="AA79" i="36" s="1"/>
  <c r="Q79" i="36"/>
  <c r="M79" i="36"/>
  <c r="K79" i="36"/>
  <c r="J79" i="36"/>
  <c r="I79" i="36"/>
  <c r="D79" i="36"/>
  <c r="AO78" i="36"/>
  <c r="Y78" i="36"/>
  <c r="U78" i="36"/>
  <c r="V78" i="36" s="1"/>
  <c r="Q78" i="36"/>
  <c r="M78" i="36"/>
  <c r="K78" i="36"/>
  <c r="J78" i="36"/>
  <c r="I78" i="36"/>
  <c r="D78" i="36"/>
  <c r="AO77" i="36"/>
  <c r="Z77" i="36"/>
  <c r="Y77" i="36"/>
  <c r="U77" i="36"/>
  <c r="V77" i="36" s="1"/>
  <c r="Q77" i="36"/>
  <c r="M77" i="36"/>
  <c r="K77" i="36"/>
  <c r="J77" i="36"/>
  <c r="I77" i="36"/>
  <c r="D77" i="36"/>
  <c r="AO76" i="36"/>
  <c r="Y76" i="36"/>
  <c r="U76" i="36"/>
  <c r="V76" i="36" s="1"/>
  <c r="Q76" i="36"/>
  <c r="M76" i="36"/>
  <c r="K76" i="36"/>
  <c r="J76" i="36"/>
  <c r="I76" i="36"/>
  <c r="D76" i="36"/>
  <c r="AO75" i="36"/>
  <c r="Y75" i="36"/>
  <c r="U75" i="36"/>
  <c r="V75" i="36" s="1"/>
  <c r="Q75" i="36"/>
  <c r="M75" i="36"/>
  <c r="K75" i="36"/>
  <c r="J75" i="36"/>
  <c r="I75" i="36"/>
  <c r="D75" i="36"/>
  <c r="AO74" i="36"/>
  <c r="Y74" i="36"/>
  <c r="Z74" i="36" s="1"/>
  <c r="U74" i="36"/>
  <c r="V74" i="36" s="1"/>
  <c r="Q74" i="36"/>
  <c r="M74" i="36"/>
  <c r="K74" i="36"/>
  <c r="J74" i="36"/>
  <c r="I74" i="36"/>
  <c r="D74" i="36"/>
  <c r="AO73" i="36"/>
  <c r="Z73" i="36"/>
  <c r="Y73" i="36"/>
  <c r="U73" i="36"/>
  <c r="V73" i="36" s="1"/>
  <c r="Q73" i="36"/>
  <c r="M73" i="36"/>
  <c r="K73" i="36"/>
  <c r="J73" i="36"/>
  <c r="I73" i="36"/>
  <c r="D73" i="36"/>
  <c r="AO72" i="36"/>
  <c r="Z72" i="36"/>
  <c r="Y72" i="36"/>
  <c r="U72" i="36"/>
  <c r="V72" i="36" s="1"/>
  <c r="Q72" i="36"/>
  <c r="M72" i="36"/>
  <c r="K72" i="36"/>
  <c r="J72" i="36"/>
  <c r="I72" i="36"/>
  <c r="D72" i="36"/>
  <c r="AO71" i="36"/>
  <c r="Y71" i="36"/>
  <c r="U71" i="36"/>
  <c r="V71" i="36" s="1"/>
  <c r="W71" i="36" s="1"/>
  <c r="Q71" i="36"/>
  <c r="M71" i="36"/>
  <c r="K71" i="36"/>
  <c r="J71" i="36"/>
  <c r="I71" i="36"/>
  <c r="D71" i="36"/>
  <c r="AO70" i="36"/>
  <c r="Y70" i="36"/>
  <c r="Z70" i="36" s="1"/>
  <c r="U70" i="36"/>
  <c r="V70" i="36" s="1"/>
  <c r="W70" i="36" s="1"/>
  <c r="AA70" i="36" s="1"/>
  <c r="Q70" i="36"/>
  <c r="M70" i="36"/>
  <c r="K70" i="36"/>
  <c r="J70" i="36"/>
  <c r="I70" i="36"/>
  <c r="D70" i="36"/>
  <c r="AO69" i="36"/>
  <c r="Z69" i="36"/>
  <c r="Y69" i="36"/>
  <c r="U69" i="36"/>
  <c r="V69" i="36" s="1"/>
  <c r="W69" i="36" s="1"/>
  <c r="AA69" i="36" s="1"/>
  <c r="Q69" i="36"/>
  <c r="M69" i="36"/>
  <c r="K69" i="36"/>
  <c r="J69" i="36"/>
  <c r="I69" i="36"/>
  <c r="D69" i="36"/>
  <c r="AO68" i="36"/>
  <c r="Z68" i="36"/>
  <c r="Y68" i="36"/>
  <c r="U68" i="36"/>
  <c r="V68" i="36" s="1"/>
  <c r="Q68" i="36"/>
  <c r="M68" i="36"/>
  <c r="K68" i="36"/>
  <c r="J68" i="36"/>
  <c r="I68" i="36"/>
  <c r="D68" i="36"/>
  <c r="AO67" i="36"/>
  <c r="Y67" i="36"/>
  <c r="U67" i="36"/>
  <c r="V67" i="36" s="1"/>
  <c r="Q67" i="36"/>
  <c r="M67" i="36"/>
  <c r="K67" i="36"/>
  <c r="J67" i="36"/>
  <c r="I67" i="36"/>
  <c r="D67" i="36"/>
  <c r="AO66" i="36"/>
  <c r="Y66" i="36"/>
  <c r="U66" i="36"/>
  <c r="V66" i="36" s="1"/>
  <c r="Q66" i="36"/>
  <c r="M66" i="36"/>
  <c r="K66" i="36"/>
  <c r="J66" i="36"/>
  <c r="I66" i="36"/>
  <c r="D66" i="36"/>
  <c r="AO65" i="36"/>
  <c r="Y65" i="36"/>
  <c r="U65" i="36"/>
  <c r="V65" i="36" s="1"/>
  <c r="Q65" i="36"/>
  <c r="M65" i="36"/>
  <c r="K65" i="36"/>
  <c r="J65" i="36"/>
  <c r="I65" i="36"/>
  <c r="D65" i="36"/>
  <c r="AO64" i="36"/>
  <c r="Y64" i="36"/>
  <c r="U64" i="36"/>
  <c r="V64" i="36" s="1"/>
  <c r="Q64" i="36"/>
  <c r="M64" i="36"/>
  <c r="K64" i="36"/>
  <c r="J64" i="36"/>
  <c r="I64" i="36"/>
  <c r="D64" i="36"/>
  <c r="AO63" i="36"/>
  <c r="Z63" i="36"/>
  <c r="Y63" i="36"/>
  <c r="U63" i="36"/>
  <c r="V63" i="36" s="1"/>
  <c r="Q63" i="36"/>
  <c r="M63" i="36"/>
  <c r="K63" i="36"/>
  <c r="J63" i="36"/>
  <c r="I63" i="36"/>
  <c r="D63" i="36"/>
  <c r="AO62" i="36"/>
  <c r="Y62" i="36"/>
  <c r="U62" i="36"/>
  <c r="V62" i="36" s="1"/>
  <c r="Q62" i="36"/>
  <c r="M62" i="36"/>
  <c r="K62" i="36"/>
  <c r="J62" i="36"/>
  <c r="I62" i="36"/>
  <c r="D62" i="36"/>
  <c r="AO61" i="36"/>
  <c r="Y61" i="36"/>
  <c r="U61" i="36"/>
  <c r="V61" i="36" s="1"/>
  <c r="Q61" i="36"/>
  <c r="M61" i="36"/>
  <c r="K61" i="36"/>
  <c r="J61" i="36"/>
  <c r="I61" i="36"/>
  <c r="D61" i="36"/>
  <c r="AO60" i="36"/>
  <c r="Z60" i="36"/>
  <c r="Y60" i="36"/>
  <c r="U60" i="36"/>
  <c r="V60" i="36" s="1"/>
  <c r="Q60" i="36"/>
  <c r="M60" i="36"/>
  <c r="K60" i="36"/>
  <c r="J60" i="36"/>
  <c r="I60" i="36"/>
  <c r="D60" i="36"/>
  <c r="AO59" i="36"/>
  <c r="Y59" i="36"/>
  <c r="U59" i="36"/>
  <c r="V59" i="36" s="1"/>
  <c r="Q59" i="36"/>
  <c r="M59" i="36"/>
  <c r="K59" i="36"/>
  <c r="J59" i="36"/>
  <c r="I59" i="36"/>
  <c r="D59" i="36"/>
  <c r="AO58" i="36"/>
  <c r="Y58" i="36"/>
  <c r="Z58" i="36" s="1"/>
  <c r="U58" i="36"/>
  <c r="V58" i="36" s="1"/>
  <c r="Q58" i="36"/>
  <c r="M58" i="36"/>
  <c r="K58" i="36"/>
  <c r="J58" i="36"/>
  <c r="I58" i="36"/>
  <c r="D58" i="36"/>
  <c r="AO57" i="36"/>
  <c r="Z57" i="36"/>
  <c r="Y57" i="36"/>
  <c r="U57" i="36"/>
  <c r="V57" i="36" s="1"/>
  <c r="W57" i="36" s="1"/>
  <c r="AA57" i="36" s="1"/>
  <c r="Q57" i="36"/>
  <c r="M57" i="36"/>
  <c r="K57" i="36"/>
  <c r="J57" i="36"/>
  <c r="I57" i="36"/>
  <c r="D57" i="36"/>
  <c r="AO56" i="36"/>
  <c r="Z56" i="36"/>
  <c r="Y56" i="36"/>
  <c r="U56" i="36"/>
  <c r="V56" i="36" s="1"/>
  <c r="Q56" i="36"/>
  <c r="M56" i="36"/>
  <c r="K56" i="36"/>
  <c r="J56" i="36"/>
  <c r="I56" i="36"/>
  <c r="D56" i="36"/>
  <c r="AO55" i="36"/>
  <c r="Y55" i="36"/>
  <c r="U55" i="36"/>
  <c r="V55" i="36" s="1"/>
  <c r="Q55" i="36"/>
  <c r="M55" i="36"/>
  <c r="K55" i="36"/>
  <c r="J55" i="36"/>
  <c r="I55" i="36"/>
  <c r="D55" i="36"/>
  <c r="AO54" i="36"/>
  <c r="Y54" i="36"/>
  <c r="U54" i="36"/>
  <c r="V54" i="36" s="1"/>
  <c r="W54" i="36" s="1"/>
  <c r="Q54" i="36"/>
  <c r="M54" i="36"/>
  <c r="K54" i="36"/>
  <c r="J54" i="36"/>
  <c r="I54" i="36"/>
  <c r="D54" i="36"/>
  <c r="AO53" i="36"/>
  <c r="Y53" i="36"/>
  <c r="Z53" i="36" s="1"/>
  <c r="U53" i="36"/>
  <c r="V53" i="36" s="1"/>
  <c r="Q53" i="36"/>
  <c r="M53" i="36"/>
  <c r="K53" i="36"/>
  <c r="J53" i="36"/>
  <c r="I53" i="36"/>
  <c r="D53" i="36"/>
  <c r="AO52" i="36"/>
  <c r="Y52" i="36"/>
  <c r="U52" i="36"/>
  <c r="V52" i="36" s="1"/>
  <c r="Q52" i="36"/>
  <c r="M52" i="36"/>
  <c r="K52" i="36"/>
  <c r="J52" i="36"/>
  <c r="I52" i="36"/>
  <c r="D52" i="36"/>
  <c r="AO51" i="36"/>
  <c r="Y51" i="36"/>
  <c r="U51" i="36"/>
  <c r="V51" i="36" s="1"/>
  <c r="Q51" i="36"/>
  <c r="M51" i="36"/>
  <c r="K51" i="36"/>
  <c r="J51" i="36"/>
  <c r="I51" i="36"/>
  <c r="D51" i="36"/>
  <c r="AO50" i="36"/>
  <c r="Y50" i="36"/>
  <c r="U50" i="36"/>
  <c r="V50" i="36" s="1"/>
  <c r="Q50" i="36"/>
  <c r="M50" i="36"/>
  <c r="K50" i="36"/>
  <c r="J50" i="36"/>
  <c r="I50" i="36"/>
  <c r="D50" i="36"/>
  <c r="AO49" i="36"/>
  <c r="Y49" i="36"/>
  <c r="Z49" i="36" s="1"/>
  <c r="U49" i="36"/>
  <c r="V49" i="36" s="1"/>
  <c r="Q49" i="36"/>
  <c r="M49" i="36"/>
  <c r="K49" i="36"/>
  <c r="J49" i="36"/>
  <c r="I49" i="36"/>
  <c r="D49" i="36"/>
  <c r="AO48" i="36"/>
  <c r="Z48" i="36"/>
  <c r="Y48" i="36"/>
  <c r="U48" i="36"/>
  <c r="V48" i="36" s="1"/>
  <c r="Q48" i="36"/>
  <c r="M48" i="36"/>
  <c r="K48" i="36"/>
  <c r="J48" i="36"/>
  <c r="I48" i="36"/>
  <c r="D48" i="36"/>
  <c r="AO47" i="36"/>
  <c r="Z47" i="36"/>
  <c r="Y47" i="36"/>
  <c r="U47" i="36"/>
  <c r="V47" i="36" s="1"/>
  <c r="Q47" i="36"/>
  <c r="M47" i="36"/>
  <c r="K47" i="36"/>
  <c r="J47" i="36"/>
  <c r="I47" i="36"/>
  <c r="D47" i="36"/>
  <c r="AO46" i="36"/>
  <c r="Y46" i="36"/>
  <c r="U46" i="36"/>
  <c r="V46" i="36" s="1"/>
  <c r="W46" i="36" s="1"/>
  <c r="Q46" i="36"/>
  <c r="M46" i="36"/>
  <c r="K46" i="36"/>
  <c r="J46" i="36"/>
  <c r="I46" i="36"/>
  <c r="D46" i="36"/>
  <c r="AO45" i="36"/>
  <c r="Y45" i="36"/>
  <c r="Z45" i="36" s="1"/>
  <c r="U45" i="36"/>
  <c r="V45" i="36" s="1"/>
  <c r="W45" i="36" s="1"/>
  <c r="AA45" i="36" s="1"/>
  <c r="Q45" i="36"/>
  <c r="M45" i="36"/>
  <c r="K45" i="36"/>
  <c r="J45" i="36"/>
  <c r="I45" i="36"/>
  <c r="D45" i="36"/>
  <c r="AO44" i="36"/>
  <c r="Z44" i="36"/>
  <c r="Y44" i="36"/>
  <c r="U44" i="36"/>
  <c r="V44" i="36" s="1"/>
  <c r="Q44" i="36"/>
  <c r="M44" i="36"/>
  <c r="K44" i="36"/>
  <c r="J44" i="36"/>
  <c r="I44" i="36"/>
  <c r="D44" i="36"/>
  <c r="AO43" i="36"/>
  <c r="Y43" i="36"/>
  <c r="U43" i="36"/>
  <c r="V43" i="36" s="1"/>
  <c r="Q43" i="36"/>
  <c r="M43" i="36"/>
  <c r="K43" i="36"/>
  <c r="J43" i="36"/>
  <c r="I43" i="36"/>
  <c r="D43" i="36"/>
  <c r="AO42" i="36"/>
  <c r="Y42" i="36"/>
  <c r="U42" i="36"/>
  <c r="V42" i="36" s="1"/>
  <c r="W42" i="36" s="1"/>
  <c r="Q42" i="36"/>
  <c r="M42" i="36"/>
  <c r="K42" i="36"/>
  <c r="J42" i="36"/>
  <c r="I42" i="36"/>
  <c r="D42" i="36"/>
  <c r="AO41" i="36"/>
  <c r="Y41" i="36"/>
  <c r="U41" i="36"/>
  <c r="V41" i="36" s="1"/>
  <c r="Q41" i="36"/>
  <c r="M41" i="36"/>
  <c r="K41" i="36"/>
  <c r="J41" i="36"/>
  <c r="I41" i="36"/>
  <c r="D41" i="36"/>
  <c r="AO40" i="36"/>
  <c r="Y40" i="36"/>
  <c r="U40" i="36"/>
  <c r="V40" i="36" s="1"/>
  <c r="Q40" i="36"/>
  <c r="M40" i="36"/>
  <c r="K40" i="36"/>
  <c r="J40" i="36"/>
  <c r="I40" i="36"/>
  <c r="D40" i="36"/>
  <c r="AO39" i="36"/>
  <c r="Y39" i="36"/>
  <c r="U39" i="36"/>
  <c r="V39" i="36" s="1"/>
  <c r="Q39" i="36"/>
  <c r="M39" i="36"/>
  <c r="K39" i="36"/>
  <c r="J39" i="36"/>
  <c r="I39" i="36"/>
  <c r="D39" i="36"/>
  <c r="AO38" i="36"/>
  <c r="Y38" i="36"/>
  <c r="Z38" i="36" s="1"/>
  <c r="U38" i="36"/>
  <c r="V38" i="36" s="1"/>
  <c r="Q38" i="36"/>
  <c r="M38" i="36"/>
  <c r="K38" i="36"/>
  <c r="J38" i="36"/>
  <c r="I38" i="36"/>
  <c r="D38" i="36"/>
  <c r="AO37" i="36"/>
  <c r="Y37" i="36"/>
  <c r="U37" i="36"/>
  <c r="V37" i="36" s="1"/>
  <c r="Q37" i="36"/>
  <c r="M37" i="36"/>
  <c r="K37" i="36"/>
  <c r="J37" i="36"/>
  <c r="I37" i="36"/>
  <c r="D37" i="36"/>
  <c r="AO36" i="36"/>
  <c r="Y36" i="36"/>
  <c r="Z36" i="36" s="1"/>
  <c r="U36" i="36"/>
  <c r="V36" i="36" s="1"/>
  <c r="Q36" i="36"/>
  <c r="M36" i="36"/>
  <c r="K36" i="36"/>
  <c r="J36" i="36"/>
  <c r="I36" i="36"/>
  <c r="D36" i="36"/>
  <c r="AO35" i="36"/>
  <c r="Z35" i="36"/>
  <c r="Y35" i="36"/>
  <c r="U35" i="36"/>
  <c r="V35" i="36" s="1"/>
  <c r="Q35" i="36"/>
  <c r="M35" i="36"/>
  <c r="K35" i="36"/>
  <c r="J35" i="36"/>
  <c r="I35" i="36"/>
  <c r="D35" i="36"/>
  <c r="AO34" i="36"/>
  <c r="Z34" i="36"/>
  <c r="Y34" i="36"/>
  <c r="U34" i="36"/>
  <c r="V34" i="36" s="1"/>
  <c r="Q34" i="36"/>
  <c r="M34" i="36"/>
  <c r="K34" i="36"/>
  <c r="J34" i="36"/>
  <c r="I34" i="36"/>
  <c r="D34" i="36"/>
  <c r="AO33" i="36"/>
  <c r="Z33" i="36"/>
  <c r="Y33" i="36"/>
  <c r="U33" i="36"/>
  <c r="V33" i="36" s="1"/>
  <c r="Q33" i="36"/>
  <c r="M33" i="36"/>
  <c r="K33" i="36"/>
  <c r="J33" i="36"/>
  <c r="I33" i="36"/>
  <c r="D33" i="36"/>
  <c r="AO32" i="36"/>
  <c r="Y32" i="36"/>
  <c r="U32" i="36"/>
  <c r="V32" i="36" s="1"/>
  <c r="W32" i="36" s="1"/>
  <c r="Q32" i="36"/>
  <c r="M32" i="36"/>
  <c r="K32" i="36"/>
  <c r="J32" i="36"/>
  <c r="I32" i="36"/>
  <c r="D32" i="36"/>
  <c r="AO31" i="36"/>
  <c r="Y31" i="36"/>
  <c r="Z31" i="36" s="1"/>
  <c r="U31" i="36"/>
  <c r="V31" i="36" s="1"/>
  <c r="Q31" i="36"/>
  <c r="M31" i="36"/>
  <c r="K31" i="36"/>
  <c r="J31" i="36"/>
  <c r="I31" i="36"/>
  <c r="D31" i="36"/>
  <c r="AO30" i="36"/>
  <c r="Z30" i="36"/>
  <c r="Y30" i="36"/>
  <c r="U30" i="36"/>
  <c r="V30" i="36" s="1"/>
  <c r="W30" i="36" s="1"/>
  <c r="AA30" i="36" s="1"/>
  <c r="Q30" i="36"/>
  <c r="M30" i="36"/>
  <c r="K30" i="36"/>
  <c r="J30" i="36"/>
  <c r="I30" i="36"/>
  <c r="D30" i="36"/>
  <c r="AO29" i="36"/>
  <c r="Z29" i="36"/>
  <c r="Y29" i="36"/>
  <c r="U29" i="36"/>
  <c r="V29" i="36" s="1"/>
  <c r="Q29" i="36"/>
  <c r="M29" i="36"/>
  <c r="K29" i="36"/>
  <c r="J29" i="36"/>
  <c r="I29" i="36"/>
  <c r="D29" i="36"/>
  <c r="AO28" i="36"/>
  <c r="Y28" i="36"/>
  <c r="U28" i="36"/>
  <c r="V28" i="36" s="1"/>
  <c r="Q28" i="36"/>
  <c r="M28" i="36"/>
  <c r="K28" i="36"/>
  <c r="J28" i="36"/>
  <c r="I28" i="36"/>
  <c r="D28" i="36"/>
  <c r="AO27" i="36"/>
  <c r="Y27" i="36"/>
  <c r="U27" i="36"/>
  <c r="V27" i="36" s="1"/>
  <c r="Q27" i="36"/>
  <c r="M27" i="36"/>
  <c r="K27" i="36"/>
  <c r="J27" i="36"/>
  <c r="I27" i="36"/>
  <c r="D27" i="36"/>
  <c r="AO26" i="36"/>
  <c r="Z26" i="36"/>
  <c r="Y26" i="36"/>
  <c r="U26" i="36"/>
  <c r="V26" i="36" s="1"/>
  <c r="W26" i="36" s="1"/>
  <c r="Q26" i="36"/>
  <c r="M26" i="36"/>
  <c r="K26" i="36"/>
  <c r="J26" i="36"/>
  <c r="I26" i="36"/>
  <c r="D26" i="36"/>
  <c r="AO25" i="36"/>
  <c r="Y25" i="36"/>
  <c r="U25" i="36"/>
  <c r="V25" i="36" s="1"/>
  <c r="Q25" i="36"/>
  <c r="M25" i="36"/>
  <c r="K25" i="36"/>
  <c r="J25" i="36"/>
  <c r="I25" i="36"/>
  <c r="D25" i="36"/>
  <c r="AO24" i="36"/>
  <c r="Y24" i="36"/>
  <c r="U24" i="36"/>
  <c r="V24" i="36" s="1"/>
  <c r="Q24" i="36"/>
  <c r="M24" i="36"/>
  <c r="K24" i="36"/>
  <c r="J24" i="36"/>
  <c r="I24" i="36"/>
  <c r="D24" i="36"/>
  <c r="AO23" i="36"/>
  <c r="Y23" i="36"/>
  <c r="U23" i="36"/>
  <c r="V23" i="36" s="1"/>
  <c r="Q23" i="36"/>
  <c r="M23" i="36"/>
  <c r="K23" i="36"/>
  <c r="J23" i="36"/>
  <c r="I23" i="36"/>
  <c r="D23" i="36"/>
  <c r="AO22" i="36"/>
  <c r="Y22" i="36"/>
  <c r="Z22" i="36" s="1"/>
  <c r="U22" i="36"/>
  <c r="V22" i="36" s="1"/>
  <c r="Q22" i="36"/>
  <c r="M22" i="36"/>
  <c r="K22" i="36"/>
  <c r="J22" i="36"/>
  <c r="I22" i="36"/>
  <c r="D22" i="36"/>
  <c r="AO21" i="36"/>
  <c r="Y21" i="36"/>
  <c r="U21" i="36"/>
  <c r="V21" i="36" s="1"/>
  <c r="Q21" i="36"/>
  <c r="M21" i="36"/>
  <c r="K21" i="36"/>
  <c r="J21" i="36"/>
  <c r="I21" i="36"/>
  <c r="D21" i="36"/>
  <c r="AO20" i="36"/>
  <c r="Y20" i="36"/>
  <c r="Z20" i="36" s="1"/>
  <c r="U20" i="36"/>
  <c r="V20" i="36" s="1"/>
  <c r="Q20" i="36"/>
  <c r="M20" i="36"/>
  <c r="K20" i="36"/>
  <c r="J20" i="36"/>
  <c r="I20" i="36"/>
  <c r="D20" i="36"/>
  <c r="AO19" i="36"/>
  <c r="Z19" i="36"/>
  <c r="Y19" i="36"/>
  <c r="U19" i="36"/>
  <c r="V19" i="36" s="1"/>
  <c r="Q19" i="36"/>
  <c r="M19" i="36"/>
  <c r="K19" i="36"/>
  <c r="J19" i="36"/>
  <c r="I19" i="36"/>
  <c r="D19" i="36"/>
  <c r="AO18" i="36"/>
  <c r="Z18" i="36"/>
  <c r="Y18" i="36"/>
  <c r="U18" i="36"/>
  <c r="V18" i="36" s="1"/>
  <c r="Q18" i="36"/>
  <c r="M18" i="36"/>
  <c r="K18" i="36"/>
  <c r="J18" i="36"/>
  <c r="I18" i="36"/>
  <c r="D18" i="36"/>
  <c r="AO17" i="36"/>
  <c r="Z17" i="36"/>
  <c r="Y17" i="36"/>
  <c r="U17" i="36"/>
  <c r="V17" i="36" s="1"/>
  <c r="Q17" i="36"/>
  <c r="M17" i="36"/>
  <c r="K17" i="36"/>
  <c r="J17" i="36"/>
  <c r="I17" i="36"/>
  <c r="D17" i="36"/>
  <c r="AO16" i="36"/>
  <c r="Y16" i="36"/>
  <c r="U16" i="36"/>
  <c r="V16" i="36" s="1"/>
  <c r="W16" i="36" s="1"/>
  <c r="Q16" i="36"/>
  <c r="M16" i="36"/>
  <c r="K16" i="36"/>
  <c r="J16" i="36"/>
  <c r="I16" i="36"/>
  <c r="D16" i="36"/>
  <c r="AO15" i="36"/>
  <c r="Y15" i="36"/>
  <c r="Z15" i="36" s="1"/>
  <c r="U15" i="36"/>
  <c r="V15" i="36" s="1"/>
  <c r="Q15" i="36"/>
  <c r="M15" i="36"/>
  <c r="K15" i="36"/>
  <c r="J15" i="36"/>
  <c r="I15" i="36"/>
  <c r="D15" i="36"/>
  <c r="AO14" i="36"/>
  <c r="Z14" i="36"/>
  <c r="Y14" i="36"/>
  <c r="U14" i="36"/>
  <c r="V14" i="36" s="1"/>
  <c r="Q14" i="36"/>
  <c r="M14" i="36"/>
  <c r="K14" i="36"/>
  <c r="J14" i="36"/>
  <c r="I14" i="36"/>
  <c r="D14" i="36"/>
  <c r="AO13" i="36"/>
  <c r="Z13" i="36"/>
  <c r="Y13" i="36"/>
  <c r="U13" i="36"/>
  <c r="V13" i="36" s="1"/>
  <c r="Q13" i="36"/>
  <c r="M13" i="36"/>
  <c r="K13" i="36"/>
  <c r="J13" i="36"/>
  <c r="I13" i="36"/>
  <c r="D13" i="36"/>
  <c r="AO12" i="36"/>
  <c r="Y12" i="36"/>
  <c r="U12" i="36"/>
  <c r="V12" i="36" s="1"/>
  <c r="Q12" i="36"/>
  <c r="M12" i="36"/>
  <c r="K12" i="36"/>
  <c r="J12" i="36"/>
  <c r="I12" i="36"/>
  <c r="D12" i="36"/>
  <c r="AO11" i="36"/>
  <c r="Y11" i="36"/>
  <c r="Z11" i="36" s="1"/>
  <c r="U11" i="36"/>
  <c r="V11" i="36" s="1"/>
  <c r="Q11" i="36"/>
  <c r="M11" i="36"/>
  <c r="K11" i="36"/>
  <c r="J11" i="36"/>
  <c r="I11" i="36"/>
  <c r="D11" i="36"/>
  <c r="AO10" i="36"/>
  <c r="Y10" i="36"/>
  <c r="U10" i="36"/>
  <c r="V10" i="36" s="1"/>
  <c r="W10" i="36" s="1"/>
  <c r="Q10" i="36"/>
  <c r="M10" i="36"/>
  <c r="K10" i="36"/>
  <c r="J10" i="36"/>
  <c r="I10" i="36"/>
  <c r="D10" i="36"/>
  <c r="AO9" i="36"/>
  <c r="Y9" i="36"/>
  <c r="U9" i="36"/>
  <c r="V9" i="36" s="1"/>
  <c r="Q9" i="36"/>
  <c r="M9" i="36"/>
  <c r="K9" i="36"/>
  <c r="J9" i="36"/>
  <c r="I9" i="36"/>
  <c r="D9" i="36"/>
  <c r="AC7" i="36"/>
  <c r="AP43" i="36" l="1"/>
  <c r="AP102" i="36"/>
  <c r="AP31" i="36"/>
  <c r="AP74" i="36"/>
  <c r="AP192" i="36"/>
  <c r="AP261" i="36"/>
  <c r="AP181" i="36"/>
  <c r="AP386" i="36"/>
  <c r="AP247" i="36"/>
  <c r="AP368" i="36"/>
  <c r="AP55" i="36"/>
  <c r="AP342" i="36"/>
  <c r="AB396" i="36"/>
  <c r="AP228" i="36"/>
  <c r="AP37" i="36"/>
  <c r="AP15" i="36"/>
  <c r="AP186" i="36"/>
  <c r="AP311" i="36"/>
  <c r="AP82" i="36"/>
  <c r="AP51" i="36"/>
  <c r="AP118" i="36"/>
  <c r="AP203" i="36"/>
  <c r="AP298" i="36"/>
  <c r="AP369" i="36"/>
  <c r="AP198" i="36"/>
  <c r="AB245" i="36"/>
  <c r="AP375" i="36"/>
  <c r="AP377" i="36"/>
  <c r="AP314" i="36"/>
  <c r="AB230" i="36"/>
  <c r="AP338" i="36"/>
  <c r="AP358" i="36"/>
  <c r="AP61" i="36"/>
  <c r="AP97" i="36"/>
  <c r="AP372" i="36"/>
  <c r="AP245" i="36"/>
  <c r="AP159" i="36"/>
  <c r="W159" i="36"/>
  <c r="AA159" i="36" s="1"/>
  <c r="W232" i="36"/>
  <c r="AB232" i="36" s="1"/>
  <c r="AP231" i="36"/>
  <c r="AP254" i="36"/>
  <c r="AP178" i="36"/>
  <c r="AP246" i="36"/>
  <c r="AP289" i="36"/>
  <c r="AB325" i="36"/>
  <c r="AP348" i="36"/>
  <c r="AB197" i="36"/>
  <c r="AP93" i="36"/>
  <c r="AP150" i="36"/>
  <c r="AP197" i="36"/>
  <c r="AP230" i="36"/>
  <c r="AP296" i="36"/>
  <c r="AB132" i="36"/>
  <c r="AP132" i="36"/>
  <c r="AB142" i="36"/>
  <c r="AP326" i="36"/>
  <c r="AP325" i="36"/>
  <c r="AP116" i="36"/>
  <c r="AP215" i="36"/>
  <c r="W102" i="36"/>
  <c r="AA102" i="36" s="1"/>
  <c r="AP142" i="36"/>
  <c r="AP293" i="36"/>
  <c r="AP344" i="36"/>
  <c r="AP387" i="36"/>
  <c r="AP307" i="36"/>
  <c r="AP21" i="36"/>
  <c r="AP17" i="36"/>
  <c r="AP216" i="36"/>
  <c r="AP92" i="36"/>
  <c r="W216" i="36"/>
  <c r="AB216" i="36" s="1"/>
  <c r="AP295" i="36"/>
  <c r="AP328" i="36"/>
  <c r="AP109" i="36"/>
  <c r="W109" i="36"/>
  <c r="AB109" i="36" s="1"/>
  <c r="W221" i="36"/>
  <c r="AB221" i="36" s="1"/>
  <c r="AP221" i="36"/>
  <c r="AP77" i="36"/>
  <c r="W77" i="36"/>
  <c r="AB77" i="36" s="1"/>
  <c r="W188" i="36"/>
  <c r="AB188" i="36" s="1"/>
  <c r="AP188" i="36"/>
  <c r="AP300" i="36"/>
  <c r="W300" i="36"/>
  <c r="AB300" i="36" s="1"/>
  <c r="W14" i="36"/>
  <c r="AA14" i="36" s="1"/>
  <c r="W128" i="36"/>
  <c r="AA128" i="36" s="1"/>
  <c r="AP128" i="36"/>
  <c r="AP210" i="36"/>
  <c r="W210" i="36"/>
  <c r="AA210" i="36" s="1"/>
  <c r="W327" i="36"/>
  <c r="AB327" i="36" s="1"/>
  <c r="W187" i="36"/>
  <c r="AA187" i="36" s="1"/>
  <c r="AP187" i="36"/>
  <c r="W395" i="36"/>
  <c r="AA395" i="36" s="1"/>
  <c r="W306" i="36"/>
  <c r="AA306" i="36" s="1"/>
  <c r="AP306" i="36"/>
  <c r="AP312" i="36"/>
  <c r="W312" i="36"/>
  <c r="AA312" i="36" s="1"/>
  <c r="AP66" i="36"/>
  <c r="W66" i="36"/>
  <c r="AA66" i="36" s="1"/>
  <c r="AP253" i="36"/>
  <c r="W253" i="36"/>
  <c r="AA253" i="36" s="1"/>
  <c r="W227" i="36"/>
  <c r="AA227" i="36" s="1"/>
  <c r="AP27" i="36"/>
  <c r="W27" i="36"/>
  <c r="AB27" i="36" s="1"/>
  <c r="W90" i="36"/>
  <c r="AA90" i="36" s="1"/>
  <c r="AP90" i="36"/>
  <c r="W139" i="36"/>
  <c r="AA139" i="36" s="1"/>
  <c r="AP139" i="36"/>
  <c r="AP316" i="36"/>
  <c r="W316" i="36"/>
  <c r="AB316" i="36" s="1"/>
  <c r="AP336" i="36"/>
  <c r="W336" i="36"/>
  <c r="AA336" i="36" s="1"/>
  <c r="AP374" i="36"/>
  <c r="W374" i="36"/>
  <c r="AB374" i="36" s="1"/>
  <c r="AP11" i="36"/>
  <c r="W11" i="36"/>
  <c r="AA11" i="36" s="1"/>
  <c r="W260" i="36"/>
  <c r="AA260" i="36" s="1"/>
  <c r="AP260" i="36"/>
  <c r="W275" i="36"/>
  <c r="AA275" i="36" s="1"/>
  <c r="W290" i="36"/>
  <c r="AB290" i="36" s="1"/>
  <c r="AP290" i="36"/>
  <c r="W176" i="36"/>
  <c r="AA176" i="36" s="1"/>
  <c r="W212" i="36"/>
  <c r="AA212" i="36" s="1"/>
  <c r="W244" i="36"/>
  <c r="AB244" i="36" s="1"/>
  <c r="AP244" i="36"/>
  <c r="W343" i="36"/>
  <c r="AB343" i="36" s="1"/>
  <c r="AP343" i="36"/>
  <c r="AB127" i="36"/>
  <c r="AB161" i="36"/>
  <c r="W220" i="36"/>
  <c r="AA220" i="36" s="1"/>
  <c r="AP248" i="36"/>
  <c r="AB297" i="36"/>
  <c r="W328" i="36"/>
  <c r="AB328" i="36" s="1"/>
  <c r="V364" i="36"/>
  <c r="V7" i="36" s="1"/>
  <c r="AB367" i="36"/>
  <c r="AP196" i="36"/>
  <c r="AP58" i="36"/>
  <c r="AP278" i="36"/>
  <c r="AP367" i="36"/>
  <c r="AP32" i="36"/>
  <c r="AP71" i="36"/>
  <c r="AB79" i="36"/>
  <c r="AP141" i="36"/>
  <c r="AP144" i="36"/>
  <c r="AP177" i="36"/>
  <c r="AP205" i="36"/>
  <c r="AA213" i="36"/>
  <c r="AP212" i="36"/>
  <c r="AA332" i="36"/>
  <c r="AP79" i="36"/>
  <c r="AB103" i="36"/>
  <c r="AP121" i="36"/>
  <c r="AP190" i="36"/>
  <c r="AP202" i="36"/>
  <c r="AB250" i="36"/>
  <c r="AB259" i="36"/>
  <c r="AB263" i="36"/>
  <c r="AP269" i="36"/>
  <c r="AP175" i="36"/>
  <c r="W289" i="36"/>
  <c r="AA289" i="36" s="1"/>
  <c r="AP103" i="36"/>
  <c r="AB160" i="36"/>
  <c r="AP263" i="36"/>
  <c r="W295" i="36"/>
  <c r="AB295" i="36" s="1"/>
  <c r="W311" i="36"/>
  <c r="AB311" i="36" s="1"/>
  <c r="AP276" i="36"/>
  <c r="W43" i="36"/>
  <c r="AB43" i="36" s="1"/>
  <c r="AP332" i="36"/>
  <c r="AP173" i="36"/>
  <c r="AP250" i="36"/>
  <c r="AB292" i="36"/>
  <c r="AB158" i="36"/>
  <c r="AP161" i="36"/>
  <c r="AB281" i="36"/>
  <c r="AA129" i="36"/>
  <c r="AP160" i="36"/>
  <c r="W228" i="36"/>
  <c r="AB228" i="36" s="1"/>
  <c r="W307" i="36"/>
  <c r="AA307" i="36" s="1"/>
  <c r="AP327" i="36"/>
  <c r="AA363" i="36"/>
  <c r="AP158" i="36"/>
  <c r="AP200" i="36"/>
  <c r="AP96" i="36"/>
  <c r="AP227" i="36"/>
  <c r="AP14" i="36"/>
  <c r="AP129" i="36"/>
  <c r="AB140" i="36"/>
  <c r="AP232" i="36"/>
  <c r="AP292" i="36"/>
  <c r="AP345" i="36"/>
  <c r="AP237" i="36"/>
  <c r="AP291" i="36"/>
  <c r="AB251" i="36"/>
  <c r="AP264" i="36"/>
  <c r="AB309" i="36"/>
  <c r="AB313" i="36"/>
  <c r="AP138" i="36"/>
  <c r="AP251" i="36"/>
  <c r="W55" i="36"/>
  <c r="AA55" i="36" s="1"/>
  <c r="AB202" i="36"/>
  <c r="AP16" i="36"/>
  <c r="AP81" i="36"/>
  <c r="AP86" i="36"/>
  <c r="AP107" i="36"/>
  <c r="AP140" i="36"/>
  <c r="AP176" i="36"/>
  <c r="AP268" i="36"/>
  <c r="AP285" i="36"/>
  <c r="AP323" i="36"/>
  <c r="AP330" i="36"/>
  <c r="AB226" i="36"/>
  <c r="AP275" i="36"/>
  <c r="AB278" i="36"/>
  <c r="AP297" i="36"/>
  <c r="AP220" i="36"/>
  <c r="AP226" i="36"/>
  <c r="AP38" i="36"/>
  <c r="AB186" i="36"/>
  <c r="AB215" i="36"/>
  <c r="AB231" i="36"/>
  <c r="AA358" i="36"/>
  <c r="AP64" i="36"/>
  <c r="W64" i="36"/>
  <c r="AB64" i="36" s="1"/>
  <c r="AP194" i="36"/>
  <c r="W194" i="36"/>
  <c r="AA194" i="36" s="1"/>
  <c r="AP40" i="36"/>
  <c r="W40" i="36"/>
  <c r="AB40" i="36" s="1"/>
  <c r="AP171" i="36"/>
  <c r="W171" i="36"/>
  <c r="AA171" i="36" s="1"/>
  <c r="AP53" i="36"/>
  <c r="W53" i="36"/>
  <c r="AB53" i="36" s="1"/>
  <c r="AP124" i="36"/>
  <c r="W124" i="36"/>
  <c r="AB124" i="36" s="1"/>
  <c r="AP208" i="36"/>
  <c r="W208" i="36"/>
  <c r="AA208" i="36" s="1"/>
  <c r="AP24" i="36"/>
  <c r="W24" i="36"/>
  <c r="AB24" i="36" s="1"/>
  <c r="AP63" i="36"/>
  <c r="W63" i="36"/>
  <c r="AA63" i="36" s="1"/>
  <c r="AP76" i="36"/>
  <c r="W76" i="36"/>
  <c r="AB76" i="36" s="1"/>
  <c r="AP100" i="36"/>
  <c r="W100" i="36"/>
  <c r="AA100" i="36" s="1"/>
  <c r="AP52" i="36"/>
  <c r="W52" i="36"/>
  <c r="AA52" i="36" s="1"/>
  <c r="AP25" i="36"/>
  <c r="W25" i="36"/>
  <c r="AA25" i="36" s="1"/>
  <c r="AP39" i="36"/>
  <c r="W39" i="36"/>
  <c r="AA39" i="36" s="1"/>
  <c r="W99" i="36"/>
  <c r="AB99" i="36" s="1"/>
  <c r="AP99" i="36"/>
  <c r="AP242" i="36"/>
  <c r="W242" i="36"/>
  <c r="AB242" i="36" s="1"/>
  <c r="AP23" i="36"/>
  <c r="W23" i="36"/>
  <c r="AA23" i="36" s="1"/>
  <c r="AP75" i="36"/>
  <c r="W75" i="36"/>
  <c r="AB75" i="36" s="1"/>
  <c r="W88" i="36"/>
  <c r="AA88" i="36" s="1"/>
  <c r="AP88" i="36"/>
  <c r="AP136" i="36"/>
  <c r="W136" i="36"/>
  <c r="AB136" i="36" s="1"/>
  <c r="W60" i="36"/>
  <c r="AA60" i="36" s="1"/>
  <c r="AP60" i="36"/>
  <c r="Z78" i="36"/>
  <c r="Z82" i="36"/>
  <c r="AP94" i="36"/>
  <c r="W94" i="36"/>
  <c r="AA94" i="36" s="1"/>
  <c r="W115" i="36"/>
  <c r="AA115" i="36" s="1"/>
  <c r="AP115" i="36"/>
  <c r="AP123" i="36"/>
  <c r="W123" i="36"/>
  <c r="AA123" i="36" s="1"/>
  <c r="AP126" i="36"/>
  <c r="W126" i="36"/>
  <c r="AA126" i="36" s="1"/>
  <c r="Z154" i="36"/>
  <c r="AA154" i="36"/>
  <c r="AP164" i="36"/>
  <c r="W164" i="36"/>
  <c r="AA164" i="36" s="1"/>
  <c r="AP184" i="36"/>
  <c r="Z27" i="36"/>
  <c r="Z41" i="36"/>
  <c r="AB45" i="36"/>
  <c r="Z67" i="36"/>
  <c r="Z109" i="36"/>
  <c r="W112" i="36"/>
  <c r="AA112" i="36" s="1"/>
  <c r="AA157" i="36"/>
  <c r="W184" i="36"/>
  <c r="AA184" i="36" s="1"/>
  <c r="AA243" i="36"/>
  <c r="W246" i="36"/>
  <c r="AA246" i="36" s="1"/>
  <c r="AP351" i="36"/>
  <c r="W351" i="36"/>
  <c r="AA351" i="36" s="1"/>
  <c r="W354" i="36"/>
  <c r="AB354" i="36" s="1"/>
  <c r="AP354" i="36"/>
  <c r="AP12" i="36"/>
  <c r="W12" i="36"/>
  <c r="AB12" i="36" s="1"/>
  <c r="AP26" i="36"/>
  <c r="AB26" i="36"/>
  <c r="W31" i="36"/>
  <c r="AA31" i="36" s="1"/>
  <c r="W44" i="36"/>
  <c r="AA44" i="36" s="1"/>
  <c r="Z71" i="36"/>
  <c r="AB71" i="36"/>
  <c r="AA71" i="36"/>
  <c r="AP87" i="36"/>
  <c r="W87" i="36"/>
  <c r="AB87" i="36" s="1"/>
  <c r="AB91" i="36"/>
  <c r="Z112" i="36"/>
  <c r="Z139" i="36"/>
  <c r="AP151" i="36"/>
  <c r="W151" i="36"/>
  <c r="AA151" i="36" s="1"/>
  <c r="AB157" i="36"/>
  <c r="W166" i="36"/>
  <c r="AB166" i="36" s="1"/>
  <c r="AP166" i="36"/>
  <c r="AA175" i="36"/>
  <c r="W181" i="36"/>
  <c r="AB181" i="36" s="1"/>
  <c r="AP195" i="36"/>
  <c r="W279" i="36"/>
  <c r="AA279" i="36" s="1"/>
  <c r="AP279" i="36"/>
  <c r="AP304" i="36"/>
  <c r="W304" i="36"/>
  <c r="AB304" i="36" s="1"/>
  <c r="W20" i="36"/>
  <c r="AP20" i="36"/>
  <c r="AP45" i="36"/>
  <c r="W56" i="36"/>
  <c r="AA56" i="36" s="1"/>
  <c r="AP56" i="36"/>
  <c r="AB57" i="36"/>
  <c r="W84" i="36"/>
  <c r="AA84" i="36" s="1"/>
  <c r="AP84" i="36"/>
  <c r="AP108" i="36"/>
  <c r="W108" i="36"/>
  <c r="AB108" i="36" s="1"/>
  <c r="AP135" i="36"/>
  <c r="W135" i="36"/>
  <c r="AA135" i="36" s="1"/>
  <c r="W148" i="36"/>
  <c r="AB148" i="36" s="1"/>
  <c r="AP156" i="36"/>
  <c r="W156" i="36"/>
  <c r="AA156" i="36" s="1"/>
  <c r="AP174" i="36"/>
  <c r="W174" i="36"/>
  <c r="AA174" i="36" s="1"/>
  <c r="W195" i="36"/>
  <c r="AB195" i="36" s="1"/>
  <c r="AP223" i="36"/>
  <c r="W223" i="36"/>
  <c r="AA223" i="36" s="1"/>
  <c r="Z304" i="36"/>
  <c r="AB32" i="36"/>
  <c r="AA32" i="36"/>
  <c r="Z32" i="36"/>
  <c r="Z12" i="36"/>
  <c r="AA26" i="36"/>
  <c r="W34" i="36"/>
  <c r="AA34" i="36" s="1"/>
  <c r="AP34" i="36"/>
  <c r="W50" i="36"/>
  <c r="AB50" i="36" s="1"/>
  <c r="AP50" i="36"/>
  <c r="AP91" i="36"/>
  <c r="W105" i="36"/>
  <c r="AA105" i="36" s="1"/>
  <c r="AP105" i="36"/>
  <c r="AP112" i="36"/>
  <c r="W117" i="36"/>
  <c r="AB117" i="36" s="1"/>
  <c r="Z120" i="36"/>
  <c r="AP153" i="36"/>
  <c r="W153" i="36"/>
  <c r="AB153" i="36" s="1"/>
  <c r="AP157" i="36"/>
  <c r="Z195" i="36"/>
  <c r="AA205" i="36"/>
  <c r="Z205" i="36"/>
  <c r="AA345" i="36"/>
  <c r="Z345" i="36"/>
  <c r="AP356" i="36"/>
  <c r="W356" i="36"/>
  <c r="AA356" i="36" s="1"/>
  <c r="Z398" i="36"/>
  <c r="AP9" i="36"/>
  <c r="W35" i="36"/>
  <c r="AA35" i="36" s="1"/>
  <c r="AP35" i="36"/>
  <c r="W48" i="36"/>
  <c r="AA48" i="36" s="1"/>
  <c r="AP48" i="36"/>
  <c r="AA54" i="36"/>
  <c r="Z54" i="36"/>
  <c r="AP133" i="36"/>
  <c r="W133" i="36"/>
  <c r="AB133" i="36" s="1"/>
  <c r="AP240" i="36"/>
  <c r="W240" i="36"/>
  <c r="AA240" i="36" s="1"/>
  <c r="W359" i="36"/>
  <c r="AA359" i="36" s="1"/>
  <c r="AP359" i="36"/>
  <c r="AP168" i="36"/>
  <c r="W168" i="36"/>
  <c r="AB168" i="36" s="1"/>
  <c r="AP62" i="36"/>
  <c r="W62" i="36"/>
  <c r="AA62" i="36" s="1"/>
  <c r="Z66" i="36"/>
  <c r="W73" i="36"/>
  <c r="AA73" i="36" s="1"/>
  <c r="AP73" i="36"/>
  <c r="AB81" i="36"/>
  <c r="AP148" i="36"/>
  <c r="W163" i="36"/>
  <c r="AA163" i="36" s="1"/>
  <c r="AP163" i="36"/>
  <c r="W189" i="36"/>
  <c r="AA189" i="36" s="1"/>
  <c r="AP189" i="36"/>
  <c r="AP239" i="36"/>
  <c r="W239" i="36"/>
  <c r="AA239" i="36" s="1"/>
  <c r="AP258" i="36"/>
  <c r="W258" i="36"/>
  <c r="AA258" i="36" s="1"/>
  <c r="W262" i="36"/>
  <c r="AA262" i="36" s="1"/>
  <c r="AP262" i="36"/>
  <c r="AA269" i="36"/>
  <c r="Z269" i="36"/>
  <c r="AB338" i="36"/>
  <c r="AA338" i="36"/>
  <c r="AP44" i="36"/>
  <c r="W59" i="36"/>
  <c r="AA59" i="36" s="1"/>
  <c r="AP59" i="36"/>
  <c r="AP111" i="36"/>
  <c r="W111" i="36"/>
  <c r="AB111" i="36" s="1"/>
  <c r="AP117" i="36"/>
  <c r="W122" i="36"/>
  <c r="AA122" i="36" s="1"/>
  <c r="AP122" i="36"/>
  <c r="AA125" i="36"/>
  <c r="Z189" i="36"/>
  <c r="W236" i="36"/>
  <c r="AB236" i="36" s="1"/>
  <c r="AP236" i="36"/>
  <c r="AP274" i="36"/>
  <c r="W274" i="36"/>
  <c r="AB274" i="36" s="1"/>
  <c r="Z338" i="36"/>
  <c r="Z9" i="36"/>
  <c r="AP101" i="36"/>
  <c r="AP204" i="36"/>
  <c r="W204" i="36"/>
  <c r="AA204" i="36" s="1"/>
  <c r="W219" i="36"/>
  <c r="AA219" i="36" s="1"/>
  <c r="AP219" i="36"/>
  <c r="W229" i="36"/>
  <c r="AA229" i="36" s="1"/>
  <c r="AP229" i="36"/>
  <c r="AP41" i="36"/>
  <c r="W82" i="36"/>
  <c r="AA82" i="36" s="1"/>
  <c r="W130" i="36"/>
  <c r="AA130" i="36" s="1"/>
  <c r="AP130" i="36"/>
  <c r="AA196" i="36"/>
  <c r="AB196" i="36"/>
  <c r="W299" i="36"/>
  <c r="AA299" i="36" s="1"/>
  <c r="AP299" i="36"/>
  <c r="W9" i="36"/>
  <c r="AA9" i="36" s="1"/>
  <c r="AP57" i="36"/>
  <c r="AA138" i="36"/>
  <c r="AB138" i="36"/>
  <c r="AB30" i="36"/>
  <c r="W147" i="36"/>
  <c r="AA147" i="36" s="1"/>
  <c r="AP147" i="36"/>
  <c r="AP155" i="36"/>
  <c r="W155" i="36"/>
  <c r="AA155" i="36" s="1"/>
  <c r="AB141" i="36"/>
  <c r="AA141" i="36"/>
  <c r="Z141" i="36"/>
  <c r="AP67" i="36"/>
  <c r="W67" i="36"/>
  <c r="AB67" i="36" s="1"/>
  <c r="W22" i="36"/>
  <c r="AA22" i="36" s="1"/>
  <c r="Z93" i="36"/>
  <c r="Z59" i="36"/>
  <c r="Z43" i="36"/>
  <c r="AP70" i="36"/>
  <c r="Z76" i="36"/>
  <c r="AA80" i="36"/>
  <c r="W101" i="36"/>
  <c r="AB101" i="36" s="1"/>
  <c r="AP131" i="36"/>
  <c r="W165" i="36"/>
  <c r="AB165" i="36" s="1"/>
  <c r="AP165" i="36"/>
  <c r="AP191" i="36"/>
  <c r="W191" i="36"/>
  <c r="AA191" i="36" s="1"/>
  <c r="AP209" i="36"/>
  <c r="W209" i="36"/>
  <c r="AA209" i="36" s="1"/>
  <c r="W222" i="36"/>
  <c r="AA222" i="36" s="1"/>
  <c r="Z229" i="36"/>
  <c r="AP241" i="36"/>
  <c r="W241" i="36"/>
  <c r="AB241" i="36" s="1"/>
  <c r="Z274" i="36"/>
  <c r="Z322" i="36"/>
  <c r="AP385" i="36"/>
  <c r="W385" i="36"/>
  <c r="AA385" i="36" s="1"/>
  <c r="AP10" i="36"/>
  <c r="AB10" i="36"/>
  <c r="W15" i="36"/>
  <c r="AA15" i="36" s="1"/>
  <c r="AP22" i="36"/>
  <c r="AP28" i="36"/>
  <c r="W28" i="36"/>
  <c r="AB28" i="36" s="1"/>
  <c r="AB42" i="36"/>
  <c r="AP42" i="36"/>
  <c r="W49" i="36"/>
  <c r="AP49" i="36"/>
  <c r="Z55" i="36"/>
  <c r="Z65" i="36"/>
  <c r="AB80" i="36"/>
  <c r="W95" i="36"/>
  <c r="AP95" i="36"/>
  <c r="Z101" i="36"/>
  <c r="W104" i="36"/>
  <c r="AB104" i="36" s="1"/>
  <c r="AP110" i="36"/>
  <c r="W110" i="36"/>
  <c r="AA119" i="36"/>
  <c r="W131" i="36"/>
  <c r="AA131" i="36" s="1"/>
  <c r="Z137" i="36"/>
  <c r="AA137" i="36"/>
  <c r="Z155" i="36"/>
  <c r="AB159" i="36"/>
  <c r="Z159" i="36"/>
  <c r="AA173" i="36"/>
  <c r="AB173" i="36"/>
  <c r="AB177" i="36"/>
  <c r="AA177" i="36"/>
  <c r="Z177" i="36"/>
  <c r="AA180" i="36"/>
  <c r="AP185" i="36"/>
  <c r="W185" i="36"/>
  <c r="AB185" i="36" s="1"/>
  <c r="AP355" i="36"/>
  <c r="W355" i="36"/>
  <c r="AA355" i="36" s="1"/>
  <c r="W389" i="36"/>
  <c r="AA389" i="36" s="1"/>
  <c r="AP389" i="36"/>
  <c r="AB89" i="36"/>
  <c r="AP89" i="36"/>
  <c r="W33" i="36"/>
  <c r="AA33" i="36" s="1"/>
  <c r="W37" i="36"/>
  <c r="AB37" i="36" s="1"/>
  <c r="W47" i="36"/>
  <c r="AA47" i="36" s="1"/>
  <c r="AP47" i="36"/>
  <c r="AA132" i="36"/>
  <c r="Z132" i="36"/>
  <c r="W19" i="36"/>
  <c r="AA19" i="36" s="1"/>
  <c r="AP19" i="36"/>
  <c r="AP65" i="36"/>
  <c r="AB70" i="36"/>
  <c r="W65" i="36"/>
  <c r="AA65" i="36" s="1"/>
  <c r="AP119" i="36"/>
  <c r="AB119" i="36"/>
  <c r="AP68" i="36"/>
  <c r="W68" i="36"/>
  <c r="AP152" i="36"/>
  <c r="W152" i="36"/>
  <c r="AB152" i="36" s="1"/>
  <c r="AP167" i="36"/>
  <c r="W167" i="36"/>
  <c r="AB167" i="36" s="1"/>
  <c r="AP305" i="36"/>
  <c r="W305" i="36"/>
  <c r="AA305" i="36" s="1"/>
  <c r="AP370" i="36"/>
  <c r="AA10" i="36"/>
  <c r="W18" i="36"/>
  <c r="AA18" i="36" s="1"/>
  <c r="AP18" i="36"/>
  <c r="Z28" i="36"/>
  <c r="AP80" i="36"/>
  <c r="W182" i="36"/>
  <c r="AB182" i="36" s="1"/>
  <c r="AP182" i="36"/>
  <c r="AP222" i="36"/>
  <c r="W238" i="36"/>
  <c r="AB238" i="36" s="1"/>
  <c r="AP238" i="36"/>
  <c r="Z244" i="36"/>
  <c r="W254" i="36"/>
  <c r="AB254" i="36" s="1"/>
  <c r="AP257" i="36"/>
  <c r="AP273" i="36"/>
  <c r="W273" i="36"/>
  <c r="AA273" i="36" s="1"/>
  <c r="W370" i="36"/>
  <c r="AA370" i="36" s="1"/>
  <c r="Z375" i="36"/>
  <c r="Z172" i="36"/>
  <c r="AA172" i="36"/>
  <c r="W41" i="36"/>
  <c r="AB41" i="36" s="1"/>
  <c r="AP29" i="36"/>
  <c r="W29" i="36"/>
  <c r="AA29" i="36" s="1"/>
  <c r="W93" i="36"/>
  <c r="AA93" i="36" s="1"/>
  <c r="AB16" i="36"/>
  <c r="AA16" i="36"/>
  <c r="Z16" i="36"/>
  <c r="AP98" i="36"/>
  <c r="W98" i="36"/>
  <c r="AB98" i="36" s="1"/>
  <c r="AB137" i="36"/>
  <c r="AP137" i="36"/>
  <c r="AP170" i="36"/>
  <c r="W170" i="36"/>
  <c r="AB170" i="36" s="1"/>
  <c r="W83" i="36"/>
  <c r="AA83" i="36" s="1"/>
  <c r="AP83" i="36"/>
  <c r="AB69" i="36"/>
  <c r="W72" i="36"/>
  <c r="AA72" i="36" s="1"/>
  <c r="AP72" i="36"/>
  <c r="W113" i="36"/>
  <c r="AA113" i="36" s="1"/>
  <c r="AP113" i="36"/>
  <c r="AB286" i="36"/>
  <c r="AP286" i="36"/>
  <c r="AA42" i="36"/>
  <c r="W92" i="36"/>
  <c r="AB92" i="36" s="1"/>
  <c r="Z10" i="36"/>
  <c r="W21" i="36"/>
  <c r="AA21" i="36" s="1"/>
  <c r="AP33" i="36"/>
  <c r="Z42" i="36"/>
  <c r="AB46" i="36"/>
  <c r="W51" i="36"/>
  <c r="AB51" i="36" s="1"/>
  <c r="AB54" i="36"/>
  <c r="AP54" i="36"/>
  <c r="W58" i="36"/>
  <c r="AB58" i="36" s="1"/>
  <c r="AP69" i="36"/>
  <c r="Z88" i="36"/>
  <c r="AP104" i="36"/>
  <c r="W121" i="36"/>
  <c r="AA121" i="36" s="1"/>
  <c r="AP149" i="36"/>
  <c r="W149" i="36"/>
  <c r="AB149" i="36" s="1"/>
  <c r="Z167" i="36"/>
  <c r="AP172" i="36"/>
  <c r="AB172" i="36"/>
  <c r="W179" i="36"/>
  <c r="AA179" i="36" s="1"/>
  <c r="AP179" i="36"/>
  <c r="AP193" i="36"/>
  <c r="W193" i="36"/>
  <c r="AB193" i="36" s="1"/>
  <c r="W203" i="36"/>
  <c r="AA203" i="36" s="1"/>
  <c r="AP206" i="36"/>
  <c r="W206" i="36"/>
  <c r="AA206" i="36" s="1"/>
  <c r="AP224" i="36"/>
  <c r="AB224" i="36"/>
  <c r="W235" i="36"/>
  <c r="AA235" i="36" s="1"/>
  <c r="AP235" i="36"/>
  <c r="W257" i="36"/>
  <c r="AA257" i="36" s="1"/>
  <c r="W283" i="36"/>
  <c r="AA283" i="36" s="1"/>
  <c r="AP283" i="36"/>
  <c r="AA286" i="36"/>
  <c r="Z286" i="36"/>
  <c r="Z289" i="36"/>
  <c r="AP357" i="36"/>
  <c r="AB357" i="36"/>
  <c r="W38" i="36"/>
  <c r="AB38" i="36" s="1"/>
  <c r="W190" i="36"/>
  <c r="AA190" i="36" s="1"/>
  <c r="Z224" i="36"/>
  <c r="AA224" i="36"/>
  <c r="AP243" i="36"/>
  <c r="AB243" i="36"/>
  <c r="W267" i="36"/>
  <c r="AA267" i="36" s="1"/>
  <c r="AP267" i="36"/>
  <c r="W17" i="36"/>
  <c r="AA17" i="36" s="1"/>
  <c r="W114" i="36"/>
  <c r="AA114" i="36" s="1"/>
  <c r="AP114" i="36"/>
  <c r="Z320" i="36"/>
  <c r="Z125" i="36"/>
  <c r="AP134" i="36"/>
  <c r="W134" i="36"/>
  <c r="AA134" i="36" s="1"/>
  <c r="AP180" i="36"/>
  <c r="AB180" i="36"/>
  <c r="Z25" i="36"/>
  <c r="AP30" i="36"/>
  <c r="W36" i="36"/>
  <c r="AA36" i="36" s="1"/>
  <c r="AP36" i="36"/>
  <c r="U7" i="36"/>
  <c r="AP13" i="36"/>
  <c r="W13" i="36"/>
  <c r="Z64" i="36"/>
  <c r="AP78" i="36"/>
  <c r="W78" i="36"/>
  <c r="AB78" i="36" s="1"/>
  <c r="W85" i="36"/>
  <c r="AP85" i="36"/>
  <c r="W97" i="36"/>
  <c r="AA97" i="36" s="1"/>
  <c r="W106" i="36"/>
  <c r="AP106" i="36"/>
  <c r="AP154" i="36"/>
  <c r="AB154" i="36"/>
  <c r="AP169" i="36"/>
  <c r="W169" i="36"/>
  <c r="AB169" i="36" s="1"/>
  <c r="W214" i="36"/>
  <c r="AA214" i="36" s="1"/>
  <c r="AP214" i="36"/>
  <c r="Z257" i="36"/>
  <c r="W270" i="36"/>
  <c r="AB270" i="36" s="1"/>
  <c r="AP270" i="36"/>
  <c r="AA280" i="36"/>
  <c r="Z280" i="36"/>
  <c r="W308" i="36"/>
  <c r="AA308" i="36" s="1"/>
  <c r="AP308" i="36"/>
  <c r="W326" i="36"/>
  <c r="AA326" i="36" s="1"/>
  <c r="W333" i="36"/>
  <c r="AB333" i="36" s="1"/>
  <c r="AP333" i="36"/>
  <c r="AP360" i="36"/>
  <c r="W376" i="36"/>
  <c r="AA376" i="36" s="1"/>
  <c r="AP376" i="36"/>
  <c r="AP391" i="36"/>
  <c r="W391" i="36"/>
  <c r="AA391" i="36" s="1"/>
  <c r="Z46" i="36"/>
  <c r="Z81" i="36"/>
  <c r="Z104" i="36"/>
  <c r="Z127" i="36"/>
  <c r="Z158" i="36"/>
  <c r="Z210" i="36"/>
  <c r="AP225" i="36"/>
  <c r="Z239" i="36"/>
  <c r="Z259" i="36"/>
  <c r="AA276" i="36"/>
  <c r="W360" i="36"/>
  <c r="AB360" i="36" s="1"/>
  <c r="AP373" i="36"/>
  <c r="W373" i="36"/>
  <c r="AA373" i="36" s="1"/>
  <c r="AP378" i="36"/>
  <c r="W378" i="36"/>
  <c r="AA378" i="36" s="1"/>
  <c r="AA46" i="36"/>
  <c r="Z80" i="36"/>
  <c r="AA81" i="36"/>
  <c r="Z92" i="36"/>
  <c r="Z111" i="36"/>
  <c r="AA127" i="36"/>
  <c r="W145" i="36"/>
  <c r="AA145" i="36" s="1"/>
  <c r="AP145" i="36"/>
  <c r="Z157" i="36"/>
  <c r="AA158" i="36"/>
  <c r="Z181" i="36"/>
  <c r="Z185" i="36"/>
  <c r="W201" i="36"/>
  <c r="AA201" i="36" s="1"/>
  <c r="AP201" i="36"/>
  <c r="W225" i="36"/>
  <c r="AA259" i="36"/>
  <c r="AP271" i="36"/>
  <c r="W271" i="36"/>
  <c r="AA271" i="36" s="1"/>
  <c r="Z276" i="36"/>
  <c r="AA291" i="36"/>
  <c r="Z305" i="36"/>
  <c r="W368" i="36"/>
  <c r="AA368" i="36" s="1"/>
  <c r="AA91" i="36"/>
  <c r="AP120" i="36"/>
  <c r="W120" i="36"/>
  <c r="AA120" i="36" s="1"/>
  <c r="AP125" i="36"/>
  <c r="AB125" i="36"/>
  <c r="W150" i="36"/>
  <c r="AB150" i="36" s="1"/>
  <c r="W234" i="36"/>
  <c r="AA234" i="36" s="1"/>
  <c r="AP234" i="36"/>
  <c r="W249" i="36"/>
  <c r="AA249" i="36" s="1"/>
  <c r="AP249" i="36"/>
  <c r="AB268" i="36"/>
  <c r="AB276" i="36"/>
  <c r="AB291" i="36"/>
  <c r="W294" i="36"/>
  <c r="AA294" i="36" s="1"/>
  <c r="AP294" i="36"/>
  <c r="AP319" i="36"/>
  <c r="W319" i="36"/>
  <c r="AA319" i="36" s="1"/>
  <c r="AP322" i="36"/>
  <c r="W322" i="36"/>
  <c r="AB322" i="36" s="1"/>
  <c r="W329" i="36"/>
  <c r="AA329" i="36" s="1"/>
  <c r="AP329" i="36"/>
  <c r="AP335" i="36"/>
  <c r="W335" i="36"/>
  <c r="AB335" i="36" s="1"/>
  <c r="AP383" i="36"/>
  <c r="W383" i="36"/>
  <c r="AA383" i="36" s="1"/>
  <c r="Z100" i="36"/>
  <c r="W118" i="36"/>
  <c r="AB118" i="36" s="1"/>
  <c r="Z119" i="36"/>
  <c r="AA144" i="36"/>
  <c r="AP183" i="36"/>
  <c r="W183" i="36"/>
  <c r="AB183" i="36" s="1"/>
  <c r="Z194" i="36"/>
  <c r="AA200" i="36"/>
  <c r="Z243" i="36"/>
  <c r="W282" i="36"/>
  <c r="AA282" i="36" s="1"/>
  <c r="AP288" i="36"/>
  <c r="AB288" i="36"/>
  <c r="Z301" i="36"/>
  <c r="Z312" i="36"/>
  <c r="W324" i="36"/>
  <c r="AB324" i="36" s="1"/>
  <c r="AP324" i="36"/>
  <c r="Z153" i="36"/>
  <c r="AB162" i="36"/>
  <c r="Z183" i="36"/>
  <c r="W192" i="36"/>
  <c r="AB192" i="36" s="1"/>
  <c r="Z193" i="36"/>
  <c r="AP207" i="36"/>
  <c r="W207" i="36"/>
  <c r="AB207" i="36" s="1"/>
  <c r="Z213" i="36"/>
  <c r="Z223" i="36"/>
  <c r="AA248" i="36"/>
  <c r="W261" i="36"/>
  <c r="AB261" i="36" s="1"/>
  <c r="Z285" i="36"/>
  <c r="AP303" i="36"/>
  <c r="W303" i="36"/>
  <c r="AA303" i="36" s="1"/>
  <c r="Z334" i="36"/>
  <c r="W347" i="36"/>
  <c r="AA347" i="36" s="1"/>
  <c r="AP347" i="36"/>
  <c r="W361" i="36"/>
  <c r="AA361" i="36" s="1"/>
  <c r="AP361" i="36"/>
  <c r="Z392" i="36"/>
  <c r="AB390" i="36"/>
  <c r="AP390" i="36"/>
  <c r="Z23" i="36"/>
  <c r="W86" i="36"/>
  <c r="AA86" i="36" s="1"/>
  <c r="W107" i="36"/>
  <c r="AB107" i="36" s="1"/>
  <c r="Z97" i="36"/>
  <c r="Z135" i="36"/>
  <c r="AB331" i="36"/>
  <c r="W350" i="36"/>
  <c r="AB350" i="36" s="1"/>
  <c r="AP350" i="36"/>
  <c r="AP341" i="36"/>
  <c r="W341" i="36"/>
  <c r="AA341" i="36" s="1"/>
  <c r="Z354" i="36"/>
  <c r="Z24" i="36"/>
  <c r="Z40" i="36"/>
  <c r="AP334" i="36"/>
  <c r="W334" i="36"/>
  <c r="AB334" i="36" s="1"/>
  <c r="Z377" i="36"/>
  <c r="Z39" i="36"/>
  <c r="W61" i="36"/>
  <c r="AB61" i="36" s="1"/>
  <c r="W74" i="36"/>
  <c r="AB74" i="36" s="1"/>
  <c r="Z98" i="36"/>
  <c r="Z51" i="36"/>
  <c r="Z62" i="36"/>
  <c r="Z107" i="36"/>
  <c r="Z117" i="36"/>
  <c r="Z166" i="36"/>
  <c r="AA237" i="36"/>
  <c r="Z237" i="36"/>
  <c r="AB266" i="36"/>
  <c r="Z21" i="36"/>
  <c r="Z37" i="36"/>
  <c r="Z50" i="36"/>
  <c r="Z61" i="36"/>
  <c r="Z86" i="36"/>
  <c r="Z96" i="36"/>
  <c r="Z116" i="36"/>
  <c r="Z123" i="36"/>
  <c r="Z129" i="36"/>
  <c r="AB143" i="36"/>
  <c r="Z148" i="36"/>
  <c r="Z161" i="36"/>
  <c r="AP162" i="36"/>
  <c r="Z192" i="36"/>
  <c r="Z207" i="36"/>
  <c r="AP211" i="36"/>
  <c r="AB213" i="36"/>
  <c r="W217" i="36"/>
  <c r="AA217" i="36" s="1"/>
  <c r="AP217" i="36"/>
  <c r="W247" i="36"/>
  <c r="AA247" i="36" s="1"/>
  <c r="Z261" i="36"/>
  <c r="W277" i="36"/>
  <c r="AP277" i="36"/>
  <c r="AP282" i="36"/>
  <c r="AA296" i="36"/>
  <c r="Z337" i="36"/>
  <c r="AP384" i="36"/>
  <c r="W384" i="36"/>
  <c r="AA384" i="36" s="1"/>
  <c r="AA387" i="36"/>
  <c r="AB387" i="36"/>
  <c r="Z387" i="36"/>
  <c r="Z253" i="36"/>
  <c r="W315" i="36"/>
  <c r="AA315" i="36" s="1"/>
  <c r="AP315" i="36"/>
  <c r="W199" i="36"/>
  <c r="AA199" i="36" s="1"/>
  <c r="AP199" i="36"/>
  <c r="AB252" i="36"/>
  <c r="AP256" i="36"/>
  <c r="W256" i="36"/>
  <c r="AA256" i="36" s="1"/>
  <c r="AP321" i="36"/>
  <c r="W321" i="36"/>
  <c r="AB321" i="36" s="1"/>
  <c r="Z52" i="36"/>
  <c r="Z75" i="36"/>
  <c r="W96" i="36"/>
  <c r="AB96" i="36" s="1"/>
  <c r="W116" i="36"/>
  <c r="AA116" i="36" s="1"/>
  <c r="AB218" i="36"/>
  <c r="AA161" i="36"/>
  <c r="W198" i="36"/>
  <c r="AA198" i="36" s="1"/>
  <c r="W211" i="36"/>
  <c r="AP218" i="36"/>
  <c r="AP252" i="36"/>
  <c r="AP255" i="36"/>
  <c r="W255" i="36"/>
  <c r="AA255" i="36" s="1"/>
  <c r="AP266" i="36"/>
  <c r="AP272" i="36"/>
  <c r="W272" i="36"/>
  <c r="AB272" i="36" s="1"/>
  <c r="Z296" i="36"/>
  <c r="W310" i="36"/>
  <c r="AA310" i="36" s="1"/>
  <c r="AP310" i="36"/>
  <c r="AP331" i="36"/>
  <c r="Z374" i="36"/>
  <c r="AB379" i="36"/>
  <c r="AA379" i="36"/>
  <c r="Z379" i="36"/>
  <c r="W301" i="36"/>
  <c r="AB301" i="36" s="1"/>
  <c r="AP301" i="36"/>
  <c r="W285" i="36"/>
  <c r="AB285" i="36" s="1"/>
  <c r="O7" i="36"/>
  <c r="AP46" i="36"/>
  <c r="AP127" i="36"/>
  <c r="AB129" i="36"/>
  <c r="AP143" i="36"/>
  <c r="W146" i="36"/>
  <c r="AP146" i="36"/>
  <c r="Z152" i="36"/>
  <c r="Z165" i="36"/>
  <c r="AB178" i="36"/>
  <c r="AP213" i="36"/>
  <c r="AP259" i="36"/>
  <c r="AP284" i="36"/>
  <c r="W284" i="36"/>
  <c r="AB284" i="36" s="1"/>
  <c r="AP287" i="36"/>
  <c r="W287" i="36"/>
  <c r="AA287" i="36" s="1"/>
  <c r="AP320" i="36"/>
  <c r="W320" i="36"/>
  <c r="AA320" i="36" s="1"/>
  <c r="AB323" i="36"/>
  <c r="AA323" i="36"/>
  <c r="W346" i="36"/>
  <c r="AP346" i="36"/>
  <c r="AB296" i="36"/>
  <c r="AP337" i="36"/>
  <c r="W342" i="36"/>
  <c r="AB342" i="36" s="1"/>
  <c r="AP362" i="36"/>
  <c r="W362" i="36"/>
  <c r="AP365" i="36"/>
  <c r="AB365" i="36"/>
  <c r="AP398" i="36"/>
  <c r="W337" i="36"/>
  <c r="AA337" i="36" s="1"/>
  <c r="Z342" i="36"/>
  <c r="AP353" i="36"/>
  <c r="W353" i="36"/>
  <c r="AB353" i="36" s="1"/>
  <c r="AP371" i="36"/>
  <c r="W371" i="36"/>
  <c r="AA371" i="36" s="1"/>
  <c r="W386" i="36"/>
  <c r="AA386" i="36" s="1"/>
  <c r="AP392" i="36"/>
  <c r="W392" i="36"/>
  <c r="AA392" i="36" s="1"/>
  <c r="W398" i="36"/>
  <c r="AA398" i="36" s="1"/>
  <c r="W314" i="36"/>
  <c r="AA314" i="36" s="1"/>
  <c r="AB318" i="36"/>
  <c r="AP318" i="36"/>
  <c r="Z356" i="36"/>
  <c r="AP394" i="36"/>
  <c r="AB394" i="36"/>
  <c r="AP395" i="36"/>
  <c r="AB280" i="36"/>
  <c r="AA288" i="36"/>
  <c r="AA318" i="36"/>
  <c r="Z318" i="36"/>
  <c r="AB345" i="36"/>
  <c r="AP352" i="36"/>
  <c r="AB352" i="36"/>
  <c r="AB382" i="36"/>
  <c r="AP382" i="36"/>
  <c r="W397" i="36"/>
  <c r="AA397" i="36" s="1"/>
  <c r="Z361" i="36"/>
  <c r="AA382" i="36"/>
  <c r="Z382" i="36"/>
  <c r="W388" i="36"/>
  <c r="AA388" i="36" s="1"/>
  <c r="W298" i="36"/>
  <c r="AA298" i="36" s="1"/>
  <c r="AP302" i="36"/>
  <c r="W317" i="36"/>
  <c r="AB317" i="36" s="1"/>
  <c r="Z335" i="36"/>
  <c r="W339" i="36"/>
  <c r="AP339" i="36"/>
  <c r="AA352" i="36"/>
  <c r="AP393" i="36"/>
  <c r="AP399" i="36"/>
  <c r="W399" i="36"/>
  <c r="AA399" i="36" s="1"/>
  <c r="AP280" i="36"/>
  <c r="W302" i="36"/>
  <c r="AA302" i="36" s="1"/>
  <c r="AP309" i="36"/>
  <c r="Z317" i="36"/>
  <c r="Z321" i="36"/>
  <c r="AB340" i="36"/>
  <c r="AB344" i="36"/>
  <c r="Z344" i="36"/>
  <c r="W393" i="36"/>
  <c r="AA393" i="36" s="1"/>
  <c r="AP397" i="36"/>
  <c r="Z122" i="36"/>
  <c r="Z133" i="36"/>
  <c r="Z144" i="36"/>
  <c r="Z168" i="36"/>
  <c r="Z184" i="36"/>
  <c r="Z208" i="36"/>
  <c r="Z221" i="36"/>
  <c r="Z228" i="36"/>
  <c r="W233" i="36"/>
  <c r="AA233" i="36" s="1"/>
  <c r="AP233" i="36"/>
  <c r="AA264" i="36"/>
  <c r="Z302" i="36"/>
  <c r="AA344" i="36"/>
  <c r="AA348" i="36"/>
  <c r="Z358" i="36"/>
  <c r="AP366" i="36"/>
  <c r="Z256" i="36"/>
  <c r="Z272" i="36"/>
  <c r="AB293" i="36"/>
  <c r="AP317" i="36"/>
  <c r="AP340" i="36"/>
  <c r="W366" i="36"/>
  <c r="AB366" i="36" s="1"/>
  <c r="W369" i="36"/>
  <c r="AB369" i="36" s="1"/>
  <c r="W375" i="36"/>
  <c r="AA375" i="36" s="1"/>
  <c r="AP388" i="36"/>
  <c r="AA390" i="36"/>
  <c r="Z390" i="36"/>
  <c r="AB330" i="36"/>
  <c r="Z369" i="36"/>
  <c r="AB363" i="36"/>
  <c r="W372" i="36"/>
  <c r="AA372" i="36" s="1"/>
  <c r="W377" i="36"/>
  <c r="AA377" i="36" s="1"/>
  <c r="AB349" i="36"/>
  <c r="AB265" i="36"/>
  <c r="AA349" i="36"/>
  <c r="Z349" i="36"/>
  <c r="AB380" i="36"/>
  <c r="Z164" i="36"/>
  <c r="Z180" i="36"/>
  <c r="Z190" i="36"/>
  <c r="Z200" i="36"/>
  <c r="Z206" i="36"/>
  <c r="Z216" i="36"/>
  <c r="Z222" i="36"/>
  <c r="Z232" i="36"/>
  <c r="Z238" i="36"/>
  <c r="Z248" i="36"/>
  <c r="Z254" i="36"/>
  <c r="Z264" i="36"/>
  <c r="Z270" i="36"/>
  <c r="AP281" i="36"/>
  <c r="Z295" i="36"/>
  <c r="Z311" i="36"/>
  <c r="AP313" i="36"/>
  <c r="Z327" i="36"/>
  <c r="Z333" i="36"/>
  <c r="Z341" i="36"/>
  <c r="AB358" i="36"/>
  <c r="AP396" i="36"/>
  <c r="AB205" i="36"/>
  <c r="AB237" i="36"/>
  <c r="AP265" i="36"/>
  <c r="AB269" i="36"/>
  <c r="AP349" i="36"/>
  <c r="AP363" i="36"/>
  <c r="Z395" i="36"/>
  <c r="Z220" i="36"/>
  <c r="Z236" i="36"/>
  <c r="Z316" i="36"/>
  <c r="Z332" i="36"/>
  <c r="Z348" i="36"/>
  <c r="Z360" i="36"/>
  <c r="AB210" i="36" l="1"/>
  <c r="AA216" i="36"/>
  <c r="AB23" i="36"/>
  <c r="AB55" i="36"/>
  <c r="AA182" i="36"/>
  <c r="AB308" i="36"/>
  <c r="AA221" i="36"/>
  <c r="AA165" i="36"/>
  <c r="AA149" i="36"/>
  <c r="AA169" i="36"/>
  <c r="AA274" i="36"/>
  <c r="AB356" i="36"/>
  <c r="AB73" i="36"/>
  <c r="AB219" i="36"/>
  <c r="AB299" i="36"/>
  <c r="AA242" i="36"/>
  <c r="AB359" i="36"/>
  <c r="AA104" i="36"/>
  <c r="AB163" i="36"/>
  <c r="AB393" i="36"/>
  <c r="AB310" i="36"/>
  <c r="AB201" i="36"/>
  <c r="AB376" i="36"/>
  <c r="AB88" i="36"/>
  <c r="AA327" i="36"/>
  <c r="AA27" i="36"/>
  <c r="AA101" i="36"/>
  <c r="AA374" i="36"/>
  <c r="AA284" i="36"/>
  <c r="AB83" i="36"/>
  <c r="AA207" i="36"/>
  <c r="AB15" i="36"/>
  <c r="AA77" i="36"/>
  <c r="AA304" i="36"/>
  <c r="AA254" i="36"/>
  <c r="AB315" i="36"/>
  <c r="AB247" i="36"/>
  <c r="AB260" i="36"/>
  <c r="AB227" i="36"/>
  <c r="AB253" i="36"/>
  <c r="AB122" i="36"/>
  <c r="AB289" i="36"/>
  <c r="AA360" i="36"/>
  <c r="AB395" i="36"/>
  <c r="AA232" i="36"/>
  <c r="AA148" i="36"/>
  <c r="AB283" i="36"/>
  <c r="AP364" i="36"/>
  <c r="AA333" i="36"/>
  <c r="AB11" i="36"/>
  <c r="AA87" i="36"/>
  <c r="AA324" i="36"/>
  <c r="AA50" i="36"/>
  <c r="AB220" i="36"/>
  <c r="AB214" i="36"/>
  <c r="AA183" i="36"/>
  <c r="AB48" i="36"/>
  <c r="AB306" i="36"/>
  <c r="AB139" i="36"/>
  <c r="AB100" i="36"/>
  <c r="AA152" i="36"/>
  <c r="AA92" i="36"/>
  <c r="AA43" i="36"/>
  <c r="AA188" i="36"/>
  <c r="AA328" i="36"/>
  <c r="AA170" i="36"/>
  <c r="AB113" i="36"/>
  <c r="AB90" i="36"/>
  <c r="AA238" i="36"/>
  <c r="AA285" i="36"/>
  <c r="AA343" i="36"/>
  <c r="W364" i="36"/>
  <c r="AA364" i="36" s="1"/>
  <c r="AA109" i="36"/>
  <c r="AB368" i="36"/>
  <c r="AA136" i="36"/>
  <c r="AA244" i="36"/>
  <c r="AA38" i="36"/>
  <c r="AB194" i="36"/>
  <c r="AB397" i="36"/>
  <c r="AB337" i="36"/>
  <c r="AB355" i="36"/>
  <c r="AB275" i="36"/>
  <c r="AA316" i="36"/>
  <c r="AB208" i="36"/>
  <c r="AA40" i="36"/>
  <c r="AB102" i="36"/>
  <c r="AB174" i="36"/>
  <c r="AA272" i="36"/>
  <c r="AA153" i="36"/>
  <c r="AB198" i="36"/>
  <c r="AB116" i="36"/>
  <c r="AA28" i="36"/>
  <c r="AB128" i="36"/>
  <c r="AB176" i="36"/>
  <c r="AB19" i="36"/>
  <c r="AA185" i="36"/>
  <c r="AA295" i="36"/>
  <c r="AB187" i="36"/>
  <c r="AB235" i="36"/>
  <c r="AA300" i="36"/>
  <c r="AA354" i="36"/>
  <c r="AA335" i="36"/>
  <c r="AA334" i="36"/>
  <c r="AA166" i="36"/>
  <c r="AB294" i="36"/>
  <c r="AB33" i="36"/>
  <c r="AB155" i="36"/>
  <c r="AB112" i="36"/>
  <c r="AB336" i="36"/>
  <c r="AB392" i="36"/>
  <c r="AB209" i="36"/>
  <c r="AB147" i="36"/>
  <c r="AB82" i="36"/>
  <c r="AB66" i="36"/>
  <c r="AB223" i="36"/>
  <c r="AB44" i="36"/>
  <c r="AB212" i="36"/>
  <c r="AB319" i="36"/>
  <c r="AA58" i="36"/>
  <c r="AB97" i="36"/>
  <c r="AB179" i="36"/>
  <c r="AB123" i="36"/>
  <c r="AB14" i="36"/>
  <c r="AA133" i="36"/>
  <c r="AB371" i="36"/>
  <c r="AB199" i="36"/>
  <c r="AB267" i="36"/>
  <c r="AB93" i="36"/>
  <c r="AB257" i="36"/>
  <c r="AB229" i="36"/>
  <c r="AA53" i="36"/>
  <c r="AA37" i="36"/>
  <c r="AB22" i="36"/>
  <c r="AA290" i="36"/>
  <c r="AA150" i="36"/>
  <c r="AB115" i="36"/>
  <c r="AB184" i="36"/>
  <c r="AA311" i="36"/>
  <c r="AA195" i="36"/>
  <c r="AA369" i="36"/>
  <c r="AB347" i="36"/>
  <c r="AB312" i="36"/>
  <c r="AB258" i="36"/>
  <c r="AB239" i="36"/>
  <c r="AA12" i="36"/>
  <c r="AA353" i="36"/>
  <c r="AA228" i="36"/>
  <c r="AA107" i="36"/>
  <c r="AA64" i="36"/>
  <c r="AB217" i="36"/>
  <c r="AB145" i="36"/>
  <c r="AA193" i="36"/>
  <c r="AA51" i="36"/>
  <c r="AA241" i="36"/>
  <c r="AA98" i="36"/>
  <c r="AB351" i="36"/>
  <c r="AB164" i="36"/>
  <c r="AB56" i="36"/>
  <c r="AA322" i="36"/>
  <c r="AA350" i="36"/>
  <c r="AA181" i="36"/>
  <c r="AA342" i="36"/>
  <c r="AB372" i="36"/>
  <c r="AB314" i="36"/>
  <c r="AB398" i="36"/>
  <c r="AA24" i="36"/>
  <c r="AB279" i="36"/>
  <c r="AB29" i="36"/>
  <c r="AA75" i="36"/>
  <c r="AA270" i="36"/>
  <c r="AB375" i="36"/>
  <c r="AB282" i="36"/>
  <c r="AA117" i="36"/>
  <c r="AB189" i="36"/>
  <c r="AB307" i="36"/>
  <c r="AB233" i="36"/>
  <c r="AA74" i="36"/>
  <c r="AB234" i="36"/>
  <c r="AB326" i="36"/>
  <c r="AB114" i="36"/>
  <c r="AB203" i="36"/>
  <c r="AA76" i="36"/>
  <c r="AB35" i="36"/>
  <c r="AA339" i="36"/>
  <c r="AB339" i="36"/>
  <c r="AB346" i="36"/>
  <c r="AA346" i="36"/>
  <c r="AA118" i="36"/>
  <c r="AA301" i="36"/>
  <c r="AA108" i="36"/>
  <c r="AB121" i="36"/>
  <c r="AB305" i="36"/>
  <c r="AB222" i="36"/>
  <c r="AB62" i="36"/>
  <c r="AB105" i="36"/>
  <c r="AB135" i="36"/>
  <c r="AA67" i="36"/>
  <c r="AB39" i="36"/>
  <c r="AB63" i="36"/>
  <c r="AB17" i="36"/>
  <c r="AB206" i="36"/>
  <c r="AA95" i="36"/>
  <c r="AB95" i="36"/>
  <c r="AB86" i="36"/>
  <c r="AB59" i="36"/>
  <c r="AA20" i="36"/>
  <c r="AB20" i="36"/>
  <c r="AB246" i="36"/>
  <c r="AB389" i="36"/>
  <c r="AB65" i="36"/>
  <c r="AB171" i="36"/>
  <c r="AB21" i="36"/>
  <c r="AB385" i="36"/>
  <c r="AA192" i="36"/>
  <c r="AB120" i="36"/>
  <c r="AB151" i="36"/>
  <c r="AB25" i="36"/>
  <c r="AB273" i="36"/>
  <c r="AB378" i="36"/>
  <c r="AB60" i="36"/>
  <c r="AB52" i="36"/>
  <c r="AB377" i="36"/>
  <c r="AA317" i="36"/>
  <c r="AB383" i="36"/>
  <c r="AB134" i="36"/>
  <c r="AB320" i="36"/>
  <c r="AB384" i="36"/>
  <c r="AB211" i="36"/>
  <c r="AA211" i="36"/>
  <c r="AA13" i="36"/>
  <c r="AB13" i="36"/>
  <c r="AB191" i="36"/>
  <c r="AB298" i="36"/>
  <c r="AB287" i="36"/>
  <c r="AB146" i="36"/>
  <c r="AA146" i="36"/>
  <c r="AB341" i="36"/>
  <c r="AA168" i="36"/>
  <c r="AA96" i="36"/>
  <c r="AA61" i="36"/>
  <c r="AA49" i="36"/>
  <c r="AB49" i="36"/>
  <c r="AA99" i="36"/>
  <c r="AB329" i="36"/>
  <c r="AB249" i="36"/>
  <c r="AA261" i="36"/>
  <c r="AB18" i="36"/>
  <c r="AB47" i="36"/>
  <c r="AB34" i="36"/>
  <c r="AB84" i="36"/>
  <c r="AB256" i="36"/>
  <c r="AB240" i="36"/>
  <c r="AB399" i="36"/>
  <c r="AB388" i="36"/>
  <c r="AB362" i="36"/>
  <c r="AA362" i="36"/>
  <c r="AB373" i="36"/>
  <c r="AB391" i="36"/>
  <c r="AB130" i="36"/>
  <c r="AB204" i="36"/>
  <c r="AB156" i="36"/>
  <c r="AB262" i="36"/>
  <c r="AB9" i="36"/>
  <c r="AA78" i="36"/>
  <c r="AA106" i="36"/>
  <c r="AB106" i="36"/>
  <c r="AA321" i="36"/>
  <c r="AB302" i="36"/>
  <c r="AA366" i="36"/>
  <c r="AB110" i="36"/>
  <c r="AA110" i="36"/>
  <c r="AB31" i="36"/>
  <c r="AA236" i="36"/>
  <c r="AB271" i="36"/>
  <c r="AB190" i="36"/>
  <c r="AA41" i="36"/>
  <c r="AB255" i="36"/>
  <c r="AA167" i="36"/>
  <c r="AB277" i="36"/>
  <c r="AA277" i="36"/>
  <c r="AA124" i="36"/>
  <c r="AB370" i="36"/>
  <c r="AB131" i="36"/>
  <c r="AA111" i="36"/>
  <c r="AB36" i="36"/>
  <c r="AB225" i="36"/>
  <c r="AA225" i="36"/>
  <c r="AB303" i="36"/>
  <c r="AA68" i="36"/>
  <c r="AB68" i="36"/>
  <c r="AB126" i="36"/>
  <c r="AB361" i="36"/>
  <c r="AB386" i="36"/>
  <c r="AA85" i="36"/>
  <c r="AB85" i="36"/>
  <c r="AB72" i="36"/>
  <c r="AB94" i="36"/>
  <c r="AB364" i="36" l="1"/>
  <c r="Q454" i="18" l="1"/>
  <c r="Q453" i="18"/>
  <c r="Q452" i="18"/>
  <c r="Q451" i="18"/>
  <c r="Q450" i="18"/>
  <c r="Q449" i="18"/>
  <c r="Q448" i="18"/>
  <c r="Q447" i="18"/>
  <c r="Q446" i="18"/>
  <c r="Q445" i="18"/>
  <c r="Q444" i="18"/>
  <c r="Q443" i="18"/>
  <c r="Q442" i="18"/>
  <c r="Q441" i="18"/>
  <c r="Q440" i="18"/>
  <c r="Q439" i="18"/>
  <c r="Q438" i="18"/>
  <c r="Q437" i="18"/>
  <c r="Q436" i="18"/>
  <c r="Q435" i="18"/>
  <c r="Q434" i="18"/>
  <c r="Q433" i="18"/>
  <c r="Q432" i="18"/>
  <c r="Q431" i="18"/>
  <c r="Q430" i="18"/>
  <c r="Q429" i="18"/>
  <c r="Q428" i="18"/>
  <c r="Q427" i="18"/>
  <c r="Q426" i="18"/>
  <c r="Q425" i="18"/>
  <c r="Q424" i="18"/>
  <c r="Q423" i="18"/>
  <c r="Q422" i="18"/>
  <c r="Q421" i="18"/>
  <c r="Q420" i="18"/>
  <c r="Q419" i="18"/>
  <c r="Q418" i="18"/>
  <c r="Q417" i="18"/>
  <c r="Q416" i="18"/>
  <c r="Q415" i="18"/>
  <c r="Q414" i="18"/>
  <c r="Q413" i="18"/>
  <c r="Q412" i="18"/>
  <c r="Q411" i="18"/>
  <c r="Q410" i="18"/>
  <c r="Q409" i="18"/>
  <c r="Q408" i="18"/>
  <c r="Q407" i="18"/>
  <c r="Q406" i="18"/>
  <c r="Q405" i="18"/>
  <c r="Q404" i="18"/>
  <c r="Q403" i="18"/>
  <c r="Q402" i="18"/>
  <c r="Q401" i="18"/>
  <c r="Q399" i="18"/>
  <c r="Q398" i="18"/>
  <c r="Q397" i="18"/>
  <c r="Q396" i="18"/>
  <c r="Q395" i="18"/>
  <c r="Q394" i="18"/>
  <c r="Q393" i="18"/>
  <c r="Q392" i="18"/>
  <c r="Q391" i="18"/>
  <c r="Q390" i="18"/>
  <c r="Q389" i="18"/>
  <c r="Q388" i="18"/>
  <c r="Q387" i="18"/>
  <c r="Q386" i="18"/>
  <c r="Q385" i="18"/>
  <c r="Q384" i="18"/>
  <c r="Q383" i="18"/>
  <c r="Q382" i="18"/>
  <c r="Q381" i="18"/>
  <c r="Q380" i="18"/>
  <c r="Q379" i="18"/>
  <c r="Q378" i="18"/>
  <c r="Q377" i="18"/>
  <c r="Q376" i="18"/>
  <c r="Q375" i="18"/>
  <c r="Q374" i="18"/>
  <c r="Q373" i="18"/>
  <c r="Q372" i="18"/>
  <c r="Q371" i="18"/>
  <c r="Q370" i="18"/>
  <c r="Q369" i="18"/>
  <c r="Q368" i="18"/>
  <c r="Q367" i="18"/>
  <c r="Q366" i="18"/>
  <c r="Q365" i="18"/>
  <c r="Q364" i="18"/>
  <c r="Q363" i="18"/>
  <c r="Q362" i="18"/>
  <c r="Q361" i="18"/>
  <c r="Q360" i="18"/>
  <c r="Q359" i="18"/>
  <c r="Q358" i="18"/>
  <c r="Q357" i="18"/>
  <c r="Q356" i="18"/>
  <c r="Q355" i="18"/>
  <c r="Q354" i="18"/>
  <c r="Q353" i="18"/>
  <c r="Q352" i="18"/>
  <c r="Q351" i="18"/>
  <c r="Q350" i="18"/>
  <c r="Q349" i="18"/>
  <c r="Q348" i="18"/>
  <c r="Q347" i="18"/>
  <c r="Q346" i="18"/>
  <c r="Q345" i="18"/>
  <c r="Q344" i="18"/>
  <c r="Q343" i="18"/>
  <c r="Q342" i="18"/>
  <c r="Q341" i="18"/>
  <c r="Q340" i="18"/>
  <c r="Q339" i="18"/>
  <c r="Q338" i="18"/>
  <c r="Q337" i="18"/>
  <c r="Q336" i="18"/>
  <c r="Q335" i="18"/>
  <c r="Q334" i="18"/>
  <c r="Q333" i="18"/>
  <c r="Q332" i="18"/>
  <c r="Q331" i="18"/>
  <c r="Q330" i="18"/>
  <c r="Q329" i="18"/>
  <c r="Q328" i="18"/>
  <c r="Q327" i="18"/>
  <c r="Q326" i="18"/>
  <c r="Q325" i="18"/>
  <c r="Q324" i="18"/>
  <c r="Q323" i="18"/>
  <c r="Q322" i="18"/>
  <c r="Q321" i="18"/>
  <c r="Q320" i="18"/>
  <c r="Q319" i="18"/>
  <c r="Q318" i="18"/>
  <c r="Q317" i="18"/>
  <c r="Q316" i="18"/>
  <c r="Q315" i="18"/>
  <c r="Q314" i="18"/>
  <c r="Q313" i="18"/>
  <c r="Q312" i="18"/>
  <c r="Q311" i="18"/>
  <c r="Q310" i="18"/>
  <c r="Q309" i="18"/>
  <c r="Q308" i="18"/>
  <c r="Q307" i="18"/>
  <c r="Q306" i="18"/>
  <c r="Q305" i="18"/>
  <c r="Q304" i="18"/>
  <c r="Q303" i="18"/>
  <c r="Q302" i="18"/>
  <c r="Q301" i="18"/>
  <c r="Q300" i="18"/>
  <c r="Q299" i="18"/>
  <c r="Q298" i="18"/>
  <c r="Q297" i="18"/>
  <c r="Q296" i="18"/>
  <c r="Q295" i="18"/>
  <c r="Q294" i="18"/>
  <c r="Q293" i="18"/>
  <c r="Q292" i="18"/>
  <c r="Q291" i="18"/>
  <c r="Q290" i="18"/>
  <c r="Q289" i="18"/>
  <c r="Q288" i="18"/>
  <c r="Q287" i="18"/>
  <c r="Q286" i="18"/>
  <c r="Q285" i="18"/>
  <c r="Q284" i="18"/>
  <c r="Q283" i="18"/>
  <c r="Q282" i="18"/>
  <c r="Q281" i="18"/>
  <c r="Q280" i="18"/>
  <c r="Q279" i="18"/>
  <c r="Q278" i="18"/>
  <c r="Q277" i="18"/>
  <c r="Q276" i="18"/>
  <c r="Q275" i="18"/>
  <c r="Q274" i="18"/>
  <c r="Q273" i="18"/>
  <c r="Q272" i="18"/>
  <c r="Q271" i="18"/>
  <c r="Q270" i="18"/>
  <c r="Q269" i="18"/>
  <c r="Q268" i="18"/>
  <c r="Q267" i="18"/>
  <c r="Q266" i="18"/>
  <c r="Q265" i="18"/>
  <c r="Q264" i="18"/>
  <c r="Q263" i="18"/>
  <c r="Q262" i="18"/>
  <c r="Q261" i="18"/>
  <c r="Q260" i="18"/>
  <c r="Q259" i="18"/>
  <c r="Q258" i="18"/>
  <c r="Q257" i="18"/>
  <c r="Q256" i="18"/>
  <c r="Q255" i="18"/>
  <c r="Q254" i="18"/>
  <c r="Q253" i="18"/>
  <c r="Q252" i="18"/>
  <c r="Q251" i="18"/>
  <c r="Q250" i="18"/>
  <c r="Q249" i="18"/>
  <c r="Q248" i="18"/>
  <c r="Q247" i="18"/>
  <c r="Q246" i="18"/>
  <c r="Q245" i="18"/>
  <c r="Q244" i="18"/>
  <c r="Q243" i="18"/>
  <c r="Q242" i="18"/>
  <c r="Q241" i="18"/>
  <c r="Q240" i="18"/>
  <c r="Q239" i="18"/>
  <c r="Q238" i="18"/>
  <c r="Q237" i="18"/>
  <c r="Q236" i="18"/>
  <c r="Q235" i="18"/>
  <c r="Q234" i="18"/>
  <c r="Q233" i="18"/>
  <c r="Q232" i="18"/>
  <c r="Q231" i="18"/>
  <c r="Q230" i="18"/>
  <c r="Q229" i="18"/>
  <c r="Q228" i="18"/>
  <c r="Q227" i="18"/>
  <c r="Q226" i="18"/>
  <c r="Q225" i="18"/>
  <c r="Q224" i="18"/>
  <c r="Q223" i="18"/>
  <c r="Q222" i="18"/>
  <c r="Q221" i="18"/>
  <c r="Q220" i="18"/>
  <c r="Q219" i="18"/>
  <c r="Q218" i="18"/>
  <c r="Q217" i="18"/>
  <c r="Q216" i="18"/>
  <c r="Q215" i="18"/>
  <c r="Q214" i="18"/>
  <c r="Q213" i="18"/>
  <c r="Q212" i="18"/>
  <c r="Q211" i="18"/>
  <c r="Q210" i="18"/>
  <c r="Q209" i="18"/>
  <c r="Q208" i="18"/>
  <c r="Q207" i="18"/>
  <c r="Q206" i="18"/>
  <c r="Q205" i="18"/>
  <c r="Q204" i="18"/>
  <c r="Q203" i="18"/>
  <c r="Q202" i="18"/>
  <c r="Q201" i="18"/>
  <c r="Q200" i="18"/>
  <c r="Q199" i="18"/>
  <c r="Q198" i="18"/>
  <c r="Q197" i="18"/>
  <c r="Q196" i="18"/>
  <c r="Q195" i="18"/>
  <c r="Q194" i="18"/>
  <c r="Q193" i="18"/>
  <c r="Q192" i="18"/>
  <c r="Q191" i="18"/>
  <c r="Q190" i="18"/>
  <c r="Q189" i="18"/>
  <c r="Q188" i="18"/>
  <c r="Q187" i="18"/>
  <c r="Q186" i="18"/>
  <c r="Q185" i="18"/>
  <c r="Q184" i="18"/>
  <c r="Q183" i="18"/>
  <c r="Q182" i="18"/>
  <c r="Q181" i="18"/>
  <c r="Q180" i="18"/>
  <c r="Q179" i="18"/>
  <c r="Q178" i="18"/>
  <c r="Q177" i="18"/>
  <c r="Q176" i="18"/>
  <c r="Q175" i="18"/>
  <c r="Q174" i="18"/>
  <c r="Q173" i="18"/>
  <c r="Q172" i="18"/>
  <c r="Q171" i="18"/>
  <c r="Q170" i="18"/>
  <c r="Q169" i="18"/>
  <c r="Q168" i="18"/>
  <c r="Q167" i="18"/>
  <c r="Q166" i="18"/>
  <c r="Q165" i="18"/>
  <c r="Q164" i="18"/>
  <c r="Q163" i="18"/>
  <c r="Q162" i="18"/>
  <c r="Q161" i="18"/>
  <c r="Q160" i="18"/>
  <c r="Q159" i="18"/>
  <c r="Q158" i="18"/>
  <c r="Q157" i="18"/>
  <c r="Q156" i="18"/>
  <c r="Q155" i="18"/>
  <c r="Q154" i="18"/>
  <c r="Q153" i="18"/>
  <c r="Q152" i="18"/>
  <c r="Q151" i="18"/>
  <c r="Q150" i="18"/>
  <c r="Q149" i="18"/>
  <c r="Q148" i="18"/>
  <c r="Q147" i="18"/>
  <c r="Q146" i="18"/>
  <c r="Q145" i="18"/>
  <c r="Q144" i="18"/>
  <c r="Q143" i="18"/>
  <c r="Q142" i="18"/>
  <c r="Q141" i="18"/>
  <c r="Q140" i="18"/>
  <c r="Q139" i="18"/>
  <c r="Q138" i="18"/>
  <c r="Q137" i="18"/>
  <c r="Q136" i="18"/>
  <c r="Q135" i="18"/>
  <c r="Q134" i="18"/>
  <c r="Q133" i="18"/>
  <c r="Q132" i="18"/>
  <c r="Q131" i="18"/>
  <c r="Q130" i="18"/>
  <c r="Q129" i="18"/>
  <c r="Q128" i="18"/>
  <c r="Q127" i="18"/>
  <c r="Q126" i="18"/>
  <c r="Q125" i="18"/>
  <c r="Q124" i="18"/>
  <c r="Q123" i="18"/>
  <c r="Q122" i="18"/>
  <c r="Q121" i="18"/>
  <c r="Q120" i="18"/>
  <c r="Q119" i="18"/>
  <c r="Q118" i="18"/>
  <c r="Q117" i="18"/>
  <c r="Q116" i="18"/>
  <c r="Q115" i="18"/>
  <c r="Q114" i="18"/>
  <c r="Q113" i="18"/>
  <c r="Q112" i="18"/>
  <c r="Q111" i="18"/>
  <c r="Q110" i="18"/>
  <c r="Q109" i="18"/>
  <c r="Q108" i="18"/>
  <c r="Q107" i="18"/>
  <c r="Q106" i="18"/>
  <c r="Q105" i="18"/>
  <c r="Q104" i="18"/>
  <c r="Q103" i="18"/>
  <c r="Q102" i="18"/>
  <c r="Q101" i="18"/>
  <c r="Q100" i="18"/>
  <c r="Q99" i="18"/>
  <c r="Q98" i="18"/>
  <c r="Q97" i="18"/>
  <c r="Q96" i="18"/>
  <c r="Q95" i="18"/>
  <c r="Q94" i="18"/>
  <c r="Q93" i="18"/>
  <c r="Q92" i="18"/>
  <c r="Q91" i="18"/>
  <c r="Q90" i="18"/>
  <c r="Q89" i="18"/>
  <c r="Q88" i="18"/>
  <c r="Q87" i="18"/>
  <c r="Q86" i="18"/>
  <c r="Q85" i="18"/>
  <c r="Q84" i="18"/>
  <c r="Q83" i="18"/>
  <c r="Q82" i="18"/>
  <c r="Q81" i="18"/>
  <c r="Q80" i="18"/>
  <c r="Q79" i="18"/>
  <c r="Q78" i="18"/>
  <c r="Q77" i="18"/>
  <c r="Q76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P502" i="18"/>
  <c r="Q502" i="18" s="1"/>
  <c r="P501" i="18"/>
  <c r="Q501" i="18" s="1"/>
  <c r="P500" i="18"/>
  <c r="Q500" i="18" s="1"/>
  <c r="P499" i="18"/>
  <c r="Q499" i="18" s="1"/>
  <c r="P498" i="18"/>
  <c r="Q498" i="18" s="1"/>
  <c r="P497" i="18"/>
  <c r="Q497" i="18" s="1"/>
  <c r="P496" i="18"/>
  <c r="Q496" i="18" s="1"/>
  <c r="P495" i="18"/>
  <c r="Q495" i="18" s="1"/>
  <c r="P494" i="18"/>
  <c r="Q494" i="18" s="1"/>
  <c r="P493" i="18"/>
  <c r="Q493" i="18" s="1"/>
  <c r="P492" i="18"/>
  <c r="Q492" i="18" s="1"/>
  <c r="P491" i="18"/>
  <c r="Q491" i="18" s="1"/>
  <c r="P490" i="18"/>
  <c r="Q490" i="18" s="1"/>
  <c r="P489" i="18"/>
  <c r="Q489" i="18" s="1"/>
  <c r="P488" i="18"/>
  <c r="Q488" i="18" s="1"/>
  <c r="P487" i="18"/>
  <c r="Q487" i="18" s="1"/>
  <c r="P486" i="18"/>
  <c r="Q486" i="18" s="1"/>
  <c r="P485" i="18"/>
  <c r="Q485" i="18" s="1"/>
  <c r="P484" i="18"/>
  <c r="Q484" i="18" s="1"/>
  <c r="P483" i="18"/>
  <c r="Q483" i="18" s="1"/>
  <c r="P482" i="18"/>
  <c r="Q482" i="18" s="1"/>
  <c r="P481" i="18"/>
  <c r="Q481" i="18" s="1"/>
  <c r="P480" i="18"/>
  <c r="Q480" i="18" s="1"/>
  <c r="P479" i="18"/>
  <c r="Q479" i="18" s="1"/>
  <c r="P478" i="18"/>
  <c r="Q478" i="18" s="1"/>
  <c r="P477" i="18"/>
  <c r="Q477" i="18" s="1"/>
  <c r="P476" i="18"/>
  <c r="Q476" i="18" s="1"/>
  <c r="P475" i="18"/>
  <c r="Q475" i="18" s="1"/>
  <c r="P474" i="18"/>
  <c r="Q474" i="18" s="1"/>
  <c r="P473" i="18"/>
  <c r="Q473" i="18" s="1"/>
  <c r="P472" i="18"/>
  <c r="Q472" i="18" s="1"/>
  <c r="P471" i="18"/>
  <c r="Q471" i="18" s="1"/>
  <c r="P470" i="18"/>
  <c r="Q470" i="18" s="1"/>
  <c r="P469" i="18"/>
  <c r="Q469" i="18" s="1"/>
  <c r="P468" i="18"/>
  <c r="Q468" i="18" s="1"/>
  <c r="P467" i="18"/>
  <c r="Q467" i="18" s="1"/>
  <c r="P466" i="18"/>
  <c r="Q466" i="18" s="1"/>
  <c r="P465" i="18"/>
  <c r="Q465" i="18" s="1"/>
  <c r="P464" i="18"/>
  <c r="Q464" i="18" s="1"/>
  <c r="P463" i="18"/>
  <c r="Q463" i="18" s="1"/>
  <c r="P462" i="18"/>
  <c r="Q462" i="18" s="1"/>
  <c r="P461" i="18"/>
  <c r="Q461" i="18" s="1"/>
  <c r="P460" i="18"/>
  <c r="Q460" i="18" s="1"/>
  <c r="P459" i="18"/>
  <c r="Q459" i="18" s="1"/>
  <c r="P458" i="18"/>
  <c r="Q458" i="18" s="1"/>
  <c r="P457" i="18"/>
  <c r="Q457" i="18" s="1"/>
  <c r="P456" i="18"/>
  <c r="Q456" i="18" s="1"/>
  <c r="P455" i="18"/>
  <c r="Q455" i="18" s="1"/>
  <c r="AO500" i="18"/>
  <c r="AN500" i="18"/>
  <c r="AK500" i="18"/>
  <c r="AJ500" i="18"/>
  <c r="AI500" i="18"/>
  <c r="AH500" i="18"/>
  <c r="AG500" i="18"/>
  <c r="AF500" i="18"/>
  <c r="AE500" i="18"/>
  <c r="AD500" i="18"/>
  <c r="AC500" i="18"/>
  <c r="AB500" i="18"/>
  <c r="AA500" i="18"/>
  <c r="Z500" i="18"/>
  <c r="Y500" i="18"/>
  <c r="BA500" i="18" s="1"/>
  <c r="X500" i="18"/>
  <c r="AW500" i="18" s="1"/>
  <c r="AO499" i="18"/>
  <c r="AN499" i="18"/>
  <c r="AK499" i="18"/>
  <c r="AJ499" i="18"/>
  <c r="AI499" i="18"/>
  <c r="AH499" i="18"/>
  <c r="AG499" i="18"/>
  <c r="AF499" i="18"/>
  <c r="AE499" i="18"/>
  <c r="AD499" i="18"/>
  <c r="AC499" i="18"/>
  <c r="AB499" i="18"/>
  <c r="AA499" i="18"/>
  <c r="Z499" i="18"/>
  <c r="Y499" i="18"/>
  <c r="BA499" i="18" s="1"/>
  <c r="X499" i="18"/>
  <c r="AY499" i="18" s="1"/>
  <c r="U500" i="18"/>
  <c r="U499" i="18"/>
  <c r="BC500" i="18" l="1"/>
  <c r="AU500" i="18"/>
  <c r="BB499" i="18"/>
  <c r="AY500" i="18"/>
  <c r="AX500" i="18"/>
  <c r="BC499" i="18"/>
  <c r="BB500" i="18"/>
  <c r="AR499" i="18"/>
  <c r="AQ499" i="18"/>
  <c r="AW499" i="18"/>
  <c r="AR500" i="18"/>
  <c r="AT500" i="18"/>
  <c r="AP499" i="18"/>
  <c r="BD499" i="18" s="1"/>
  <c r="AQ500" i="18"/>
  <c r="AS500" i="18"/>
  <c r="AV500" i="18"/>
  <c r="AS499" i="18"/>
  <c r="AT499" i="18"/>
  <c r="AU499" i="18"/>
  <c r="AV499" i="18"/>
  <c r="AX499" i="18"/>
  <c r="AP500" i="18"/>
  <c r="BE500" i="18" l="1"/>
  <c r="BG500" i="18"/>
  <c r="BE499" i="18"/>
  <c r="BI500" i="18"/>
  <c r="BM500" i="18"/>
  <c r="BH500" i="18"/>
  <c r="BK500" i="18"/>
  <c r="BL500" i="18"/>
  <c r="AZ500" i="18"/>
  <c r="BD500" i="18"/>
  <c r="BF500" i="18"/>
  <c r="AZ499" i="18"/>
  <c r="BM499" i="18"/>
  <c r="BL499" i="18"/>
  <c r="BK499" i="18"/>
  <c r="BJ499" i="18"/>
  <c r="BH499" i="18"/>
  <c r="BI499" i="18"/>
  <c r="BG499" i="18"/>
  <c r="BJ500" i="18"/>
  <c r="BF499" i="18"/>
  <c r="U502" i="18" l="1"/>
  <c r="U501" i="18"/>
  <c r="U498" i="18"/>
  <c r="U497" i="18"/>
  <c r="U496" i="18"/>
  <c r="U495" i="18"/>
  <c r="U494" i="18"/>
  <c r="U493" i="18"/>
  <c r="U492" i="18"/>
  <c r="U491" i="18"/>
  <c r="U490" i="18"/>
  <c r="U489" i="18"/>
  <c r="U488" i="18"/>
  <c r="U487" i="18"/>
  <c r="U486" i="18"/>
  <c r="U485" i="18"/>
  <c r="U484" i="18"/>
  <c r="U483" i="18"/>
  <c r="U482" i="18"/>
  <c r="U481" i="18"/>
  <c r="U480" i="18"/>
  <c r="U479" i="18"/>
  <c r="U478" i="18"/>
  <c r="U477" i="18"/>
  <c r="U476" i="18"/>
  <c r="U475" i="18"/>
  <c r="U474" i="18"/>
  <c r="U473" i="18"/>
  <c r="U472" i="18"/>
  <c r="U471" i="18"/>
  <c r="U470" i="18"/>
  <c r="U469" i="18"/>
  <c r="U468" i="18"/>
  <c r="U467" i="18"/>
  <c r="U466" i="18"/>
  <c r="U465" i="18"/>
  <c r="U464" i="18"/>
  <c r="U463" i="18"/>
  <c r="U462" i="18"/>
  <c r="U461" i="18"/>
  <c r="U460" i="18"/>
  <c r="U459" i="18"/>
  <c r="U458" i="18"/>
  <c r="U457" i="18"/>
  <c r="U456" i="18"/>
  <c r="U455" i="18"/>
  <c r="AD455" i="18"/>
  <c r="AO502" i="18"/>
  <c r="AN502" i="18"/>
  <c r="AK502" i="18"/>
  <c r="AJ502" i="18"/>
  <c r="AI502" i="18"/>
  <c r="AH502" i="18"/>
  <c r="AG502" i="18"/>
  <c r="AF502" i="18"/>
  <c r="AE502" i="18"/>
  <c r="AD502" i="18"/>
  <c r="AC502" i="18"/>
  <c r="AB502" i="18"/>
  <c r="AA502" i="18"/>
  <c r="Z502" i="18"/>
  <c r="Y502" i="18"/>
  <c r="BA502" i="18" s="1"/>
  <c r="AO501" i="18"/>
  <c r="AN501" i="18"/>
  <c r="AK501" i="18"/>
  <c r="AJ501" i="18"/>
  <c r="AI501" i="18"/>
  <c r="AH501" i="18"/>
  <c r="AG501" i="18"/>
  <c r="AF501" i="18"/>
  <c r="AE501" i="18"/>
  <c r="AD501" i="18"/>
  <c r="AC501" i="18"/>
  <c r="AB501" i="18"/>
  <c r="AA501" i="18"/>
  <c r="Z501" i="18"/>
  <c r="Y501" i="18"/>
  <c r="BA501" i="18" s="1"/>
  <c r="AO498" i="18"/>
  <c r="AN498" i="18"/>
  <c r="AK498" i="18"/>
  <c r="AJ498" i="18"/>
  <c r="AI498" i="18"/>
  <c r="AH498" i="18"/>
  <c r="AG498" i="18"/>
  <c r="AF498" i="18"/>
  <c r="AE498" i="18"/>
  <c r="AD498" i="18"/>
  <c r="AC498" i="18"/>
  <c r="AB498" i="18"/>
  <c r="AA498" i="18"/>
  <c r="Z498" i="18"/>
  <c r="Y498" i="18"/>
  <c r="BA498" i="18" s="1"/>
  <c r="AR497" i="18"/>
  <c r="AQ497" i="18"/>
  <c r="AP497" i="18"/>
  <c r="AO497" i="18"/>
  <c r="AN497" i="18"/>
  <c r="AK497" i="18"/>
  <c r="AJ497" i="18"/>
  <c r="AI497" i="18"/>
  <c r="AH497" i="18"/>
  <c r="AG497" i="18"/>
  <c r="AF497" i="18"/>
  <c r="AE497" i="18"/>
  <c r="AD497" i="18"/>
  <c r="AC497" i="18"/>
  <c r="AB497" i="18"/>
  <c r="AA497" i="18"/>
  <c r="Z497" i="18"/>
  <c r="Y497" i="18"/>
  <c r="BA497" i="18" s="1"/>
  <c r="AO496" i="18"/>
  <c r="AN496" i="18"/>
  <c r="AK496" i="18"/>
  <c r="AJ496" i="18"/>
  <c r="AI496" i="18"/>
  <c r="AH496" i="18"/>
  <c r="AG496" i="18"/>
  <c r="AF496" i="18"/>
  <c r="AE496" i="18"/>
  <c r="AD496" i="18"/>
  <c r="AC496" i="18"/>
  <c r="AB496" i="18"/>
  <c r="AA496" i="18"/>
  <c r="Z496" i="18"/>
  <c r="Y496" i="18"/>
  <c r="BA496" i="18" s="1"/>
  <c r="AP495" i="18"/>
  <c r="AO495" i="18"/>
  <c r="AN495" i="18"/>
  <c r="AK495" i="18"/>
  <c r="AJ495" i="18"/>
  <c r="AI495" i="18"/>
  <c r="AH495" i="18"/>
  <c r="AG495" i="18"/>
  <c r="AF495" i="18"/>
  <c r="AE495" i="18"/>
  <c r="AD495" i="18"/>
  <c r="AC495" i="18"/>
  <c r="AB495" i="18"/>
  <c r="AA495" i="18"/>
  <c r="Z495" i="18"/>
  <c r="Y495" i="18"/>
  <c r="BA495" i="18" s="1"/>
  <c r="AP494" i="18"/>
  <c r="AO494" i="18"/>
  <c r="AN494" i="18"/>
  <c r="AK494" i="18"/>
  <c r="AJ494" i="18"/>
  <c r="AI494" i="18"/>
  <c r="AH494" i="18"/>
  <c r="AG494" i="18"/>
  <c r="AF494" i="18"/>
  <c r="AE494" i="18"/>
  <c r="AD494" i="18"/>
  <c r="AC494" i="18"/>
  <c r="AB494" i="18"/>
  <c r="AA494" i="18"/>
  <c r="Z494" i="18"/>
  <c r="Y494" i="18"/>
  <c r="BA494" i="18" s="1"/>
  <c r="AO493" i="18"/>
  <c r="AN493" i="18"/>
  <c r="AK493" i="18"/>
  <c r="AJ493" i="18"/>
  <c r="AI493" i="18"/>
  <c r="AH493" i="18"/>
  <c r="AG493" i="18"/>
  <c r="AF493" i="18"/>
  <c r="AE493" i="18"/>
  <c r="AD493" i="18"/>
  <c r="AC493" i="18"/>
  <c r="AB493" i="18"/>
  <c r="AA493" i="18"/>
  <c r="Z493" i="18"/>
  <c r="Y493" i="18"/>
  <c r="BA493" i="18" s="1"/>
  <c r="AO492" i="18"/>
  <c r="AN492" i="18"/>
  <c r="AK492" i="18"/>
  <c r="AJ492" i="18"/>
  <c r="AI492" i="18"/>
  <c r="AH492" i="18"/>
  <c r="AG492" i="18"/>
  <c r="AF492" i="18"/>
  <c r="AE492" i="18"/>
  <c r="AD492" i="18"/>
  <c r="AC492" i="18"/>
  <c r="AB492" i="18"/>
  <c r="AA492" i="18"/>
  <c r="Z492" i="18"/>
  <c r="Y492" i="18"/>
  <c r="BA492" i="18" s="1"/>
  <c r="AN491" i="18"/>
  <c r="AK491" i="18"/>
  <c r="AJ491" i="18"/>
  <c r="AI491" i="18"/>
  <c r="AH491" i="18"/>
  <c r="AG491" i="18"/>
  <c r="AF491" i="18"/>
  <c r="AE491" i="18"/>
  <c r="AD491" i="18"/>
  <c r="AC491" i="18"/>
  <c r="AB491" i="18"/>
  <c r="AA491" i="18"/>
  <c r="Z491" i="18"/>
  <c r="Y491" i="18"/>
  <c r="BA491" i="18" s="1"/>
  <c r="AK490" i="18"/>
  <c r="AJ490" i="18"/>
  <c r="AI490" i="18"/>
  <c r="AH490" i="18"/>
  <c r="AG490" i="18"/>
  <c r="AF490" i="18"/>
  <c r="AE490" i="18"/>
  <c r="AD490" i="18"/>
  <c r="AC490" i="18"/>
  <c r="AB490" i="18"/>
  <c r="AA490" i="18"/>
  <c r="Z490" i="18"/>
  <c r="Y490" i="18"/>
  <c r="BA490" i="18" s="1"/>
  <c r="AN489" i="18"/>
  <c r="AK489" i="18"/>
  <c r="AJ489" i="18"/>
  <c r="AI489" i="18"/>
  <c r="AH489" i="18"/>
  <c r="AG489" i="18"/>
  <c r="AF489" i="18"/>
  <c r="AE489" i="18"/>
  <c r="AD489" i="18"/>
  <c r="AC489" i="18"/>
  <c r="AB489" i="18"/>
  <c r="AA489" i="18"/>
  <c r="Z489" i="18"/>
  <c r="Y489" i="18"/>
  <c r="BA489" i="18" s="1"/>
  <c r="AK488" i="18"/>
  <c r="AJ488" i="18"/>
  <c r="AI488" i="18"/>
  <c r="AH488" i="18"/>
  <c r="AG488" i="18"/>
  <c r="AF488" i="18"/>
  <c r="AE488" i="18"/>
  <c r="AD488" i="18"/>
  <c r="AC488" i="18"/>
  <c r="AB488" i="18"/>
  <c r="AA488" i="18"/>
  <c r="Z488" i="18"/>
  <c r="Y488" i="18"/>
  <c r="BA488" i="18" s="1"/>
  <c r="AN487" i="18"/>
  <c r="AK487" i="18"/>
  <c r="AJ487" i="18"/>
  <c r="AI487" i="18"/>
  <c r="AH487" i="18"/>
  <c r="AG487" i="18"/>
  <c r="AF487" i="18"/>
  <c r="AE487" i="18"/>
  <c r="AD487" i="18"/>
  <c r="AC487" i="18"/>
  <c r="AB487" i="18"/>
  <c r="AA487" i="18"/>
  <c r="Z487" i="18"/>
  <c r="Y487" i="18"/>
  <c r="BA487" i="18" s="1"/>
  <c r="AK486" i="18"/>
  <c r="AJ486" i="18"/>
  <c r="AI486" i="18"/>
  <c r="AH486" i="18"/>
  <c r="AG486" i="18"/>
  <c r="AF486" i="18"/>
  <c r="AE486" i="18"/>
  <c r="AD486" i="18"/>
  <c r="AC486" i="18"/>
  <c r="AB486" i="18"/>
  <c r="AA486" i="18"/>
  <c r="Z486" i="18"/>
  <c r="Y486" i="18"/>
  <c r="BA486" i="18" s="1"/>
  <c r="AN485" i="18"/>
  <c r="AK485" i="18"/>
  <c r="AJ485" i="18"/>
  <c r="AI485" i="18"/>
  <c r="AH485" i="18"/>
  <c r="AG485" i="18"/>
  <c r="AF485" i="18"/>
  <c r="AE485" i="18"/>
  <c r="AD485" i="18"/>
  <c r="AC485" i="18"/>
  <c r="AB485" i="18"/>
  <c r="AA485" i="18"/>
  <c r="Z485" i="18"/>
  <c r="Y485" i="18"/>
  <c r="BA485" i="18" s="1"/>
  <c r="AO484" i="18"/>
  <c r="AN484" i="18"/>
  <c r="AK484" i="18"/>
  <c r="AJ484" i="18"/>
  <c r="AI484" i="18"/>
  <c r="AH484" i="18"/>
  <c r="AG484" i="18"/>
  <c r="AF484" i="18"/>
  <c r="AE484" i="18"/>
  <c r="AD484" i="18"/>
  <c r="AC484" i="18"/>
  <c r="AB484" i="18"/>
  <c r="AA484" i="18"/>
  <c r="Z484" i="18"/>
  <c r="Y484" i="18"/>
  <c r="BA484" i="18" s="1"/>
  <c r="AP483" i="18"/>
  <c r="AO483" i="18"/>
  <c r="AN483" i="18"/>
  <c r="AK483" i="18"/>
  <c r="AJ483" i="18"/>
  <c r="AI483" i="18"/>
  <c r="AH483" i="18"/>
  <c r="AG483" i="18"/>
  <c r="AF483" i="18"/>
  <c r="AE483" i="18"/>
  <c r="AD483" i="18"/>
  <c r="AC483" i="18"/>
  <c r="AB483" i="18"/>
  <c r="AA483" i="18"/>
  <c r="Z483" i="18"/>
  <c r="Y483" i="18"/>
  <c r="BA483" i="18" s="1"/>
  <c r="AN482" i="18"/>
  <c r="AK482" i="18"/>
  <c r="AJ482" i="18"/>
  <c r="AI482" i="18"/>
  <c r="AH482" i="18"/>
  <c r="AG482" i="18"/>
  <c r="AF482" i="18"/>
  <c r="AE482" i="18"/>
  <c r="AD482" i="18"/>
  <c r="AC482" i="18"/>
  <c r="AB482" i="18"/>
  <c r="AA482" i="18"/>
  <c r="Z482" i="18"/>
  <c r="Y482" i="18"/>
  <c r="BA482" i="18" s="1"/>
  <c r="AN481" i="18"/>
  <c r="AK481" i="18"/>
  <c r="AJ481" i="18"/>
  <c r="AI481" i="18"/>
  <c r="AH481" i="18"/>
  <c r="AG481" i="18"/>
  <c r="AF481" i="18"/>
  <c r="AE481" i="18"/>
  <c r="AD481" i="18"/>
  <c r="AC481" i="18"/>
  <c r="AB481" i="18"/>
  <c r="AA481" i="18"/>
  <c r="Z481" i="18"/>
  <c r="Y481" i="18"/>
  <c r="BA481" i="18" s="1"/>
  <c r="AN480" i="18"/>
  <c r="AK480" i="18"/>
  <c r="AJ480" i="18"/>
  <c r="AI480" i="18"/>
  <c r="AH480" i="18"/>
  <c r="AG480" i="18"/>
  <c r="AF480" i="18"/>
  <c r="AE480" i="18"/>
  <c r="AD480" i="18"/>
  <c r="AC480" i="18"/>
  <c r="AB480" i="18"/>
  <c r="AA480" i="18"/>
  <c r="Z480" i="18"/>
  <c r="Y480" i="18"/>
  <c r="BA480" i="18" s="1"/>
  <c r="AO479" i="18"/>
  <c r="AN479" i="18"/>
  <c r="AK479" i="18"/>
  <c r="AJ479" i="18"/>
  <c r="AI479" i="18"/>
  <c r="AH479" i="18"/>
  <c r="AG479" i="18"/>
  <c r="AF479" i="18"/>
  <c r="AE479" i="18"/>
  <c r="AD479" i="18"/>
  <c r="AC479" i="18"/>
  <c r="AB479" i="18"/>
  <c r="AA479" i="18"/>
  <c r="Z479" i="18"/>
  <c r="Y479" i="18"/>
  <c r="BA479" i="18" s="1"/>
  <c r="AO478" i="18"/>
  <c r="AN478" i="18"/>
  <c r="AK478" i="18"/>
  <c r="AJ478" i="18"/>
  <c r="AI478" i="18"/>
  <c r="AH478" i="18"/>
  <c r="AG478" i="18"/>
  <c r="AF478" i="18"/>
  <c r="AE478" i="18"/>
  <c r="AD478" i="18"/>
  <c r="AC478" i="18"/>
  <c r="AB478" i="18"/>
  <c r="AA478" i="18"/>
  <c r="Z478" i="18"/>
  <c r="Y478" i="18"/>
  <c r="BA478" i="18" s="1"/>
  <c r="AO477" i="18"/>
  <c r="AN477" i="18"/>
  <c r="AK477" i="18"/>
  <c r="AJ477" i="18"/>
  <c r="AI477" i="18"/>
  <c r="AH477" i="18"/>
  <c r="AG477" i="18"/>
  <c r="AF477" i="18"/>
  <c r="AE477" i="18"/>
  <c r="AD477" i="18"/>
  <c r="AC477" i="18"/>
  <c r="AB477" i="18"/>
  <c r="AA477" i="18"/>
  <c r="Z477" i="18"/>
  <c r="Y477" i="18"/>
  <c r="BA477" i="18" s="1"/>
  <c r="AO476" i="18"/>
  <c r="AN476" i="18"/>
  <c r="AK476" i="18"/>
  <c r="AJ476" i="18"/>
  <c r="AI476" i="18"/>
  <c r="AH476" i="18"/>
  <c r="AG476" i="18"/>
  <c r="AF476" i="18"/>
  <c r="AE476" i="18"/>
  <c r="AD476" i="18"/>
  <c r="AC476" i="18"/>
  <c r="AB476" i="18"/>
  <c r="AA476" i="18"/>
  <c r="Z476" i="18"/>
  <c r="Y476" i="18"/>
  <c r="BA476" i="18" s="1"/>
  <c r="AO475" i="18"/>
  <c r="AN475" i="18"/>
  <c r="AK475" i="18"/>
  <c r="AJ475" i="18"/>
  <c r="AI475" i="18"/>
  <c r="AH475" i="18"/>
  <c r="AG475" i="18"/>
  <c r="AF475" i="18"/>
  <c r="AE475" i="18"/>
  <c r="AD475" i="18"/>
  <c r="AC475" i="18"/>
  <c r="AB475" i="18"/>
  <c r="AA475" i="18"/>
  <c r="Z475" i="18"/>
  <c r="Y475" i="18"/>
  <c r="BA475" i="18" s="1"/>
  <c r="AO474" i="18"/>
  <c r="AN474" i="18"/>
  <c r="AK474" i="18"/>
  <c r="AJ474" i="18"/>
  <c r="AI474" i="18"/>
  <c r="AH474" i="18"/>
  <c r="AG474" i="18"/>
  <c r="AF474" i="18"/>
  <c r="AE474" i="18"/>
  <c r="AD474" i="18"/>
  <c r="AC474" i="18"/>
  <c r="AB474" i="18"/>
  <c r="AA474" i="18"/>
  <c r="Z474" i="18"/>
  <c r="Y474" i="18"/>
  <c r="BA474" i="18" s="1"/>
  <c r="AO473" i="18"/>
  <c r="AN473" i="18"/>
  <c r="AK473" i="18"/>
  <c r="AJ473" i="18"/>
  <c r="AI473" i="18"/>
  <c r="AH473" i="18"/>
  <c r="AG473" i="18"/>
  <c r="AF473" i="18"/>
  <c r="AE473" i="18"/>
  <c r="AD473" i="18"/>
  <c r="AC473" i="18"/>
  <c r="AB473" i="18"/>
  <c r="AA473" i="18"/>
  <c r="Z473" i="18"/>
  <c r="Y473" i="18"/>
  <c r="BA473" i="18" s="1"/>
  <c r="AK472" i="18"/>
  <c r="AJ472" i="18"/>
  <c r="AI472" i="18"/>
  <c r="AH472" i="18"/>
  <c r="AG472" i="18"/>
  <c r="AF472" i="18"/>
  <c r="AE472" i="18"/>
  <c r="AD472" i="18"/>
  <c r="AC472" i="18"/>
  <c r="AB472" i="18"/>
  <c r="AA472" i="18"/>
  <c r="Z472" i="18"/>
  <c r="Y472" i="18"/>
  <c r="BA472" i="18" s="1"/>
  <c r="AK471" i="18"/>
  <c r="AJ471" i="18"/>
  <c r="AI471" i="18"/>
  <c r="AH471" i="18"/>
  <c r="AG471" i="18"/>
  <c r="AF471" i="18"/>
  <c r="AE471" i="18"/>
  <c r="AD471" i="18"/>
  <c r="AC471" i="18"/>
  <c r="AB471" i="18"/>
  <c r="AA471" i="18"/>
  <c r="Z471" i="18"/>
  <c r="Y471" i="18"/>
  <c r="BA471" i="18" s="1"/>
  <c r="AK470" i="18"/>
  <c r="AJ470" i="18"/>
  <c r="AI470" i="18"/>
  <c r="AH470" i="18"/>
  <c r="AG470" i="18"/>
  <c r="AF470" i="18"/>
  <c r="AE470" i="18"/>
  <c r="AD470" i="18"/>
  <c r="AC470" i="18"/>
  <c r="AB470" i="18"/>
  <c r="AA470" i="18"/>
  <c r="Z470" i="18"/>
  <c r="Y470" i="18"/>
  <c r="BA470" i="18" s="1"/>
  <c r="AK469" i="18"/>
  <c r="AJ469" i="18"/>
  <c r="AI469" i="18"/>
  <c r="AH469" i="18"/>
  <c r="AG469" i="18"/>
  <c r="AF469" i="18"/>
  <c r="AE469" i="18"/>
  <c r="AD469" i="18"/>
  <c r="AC469" i="18"/>
  <c r="AB469" i="18"/>
  <c r="AA469" i="18"/>
  <c r="Z469" i="18"/>
  <c r="Y469" i="18"/>
  <c r="BA469" i="18" s="1"/>
  <c r="AQ468" i="18"/>
  <c r="AP468" i="18"/>
  <c r="AO468" i="18"/>
  <c r="AN468" i="18"/>
  <c r="AK468" i="18"/>
  <c r="AJ468" i="18"/>
  <c r="AI468" i="18"/>
  <c r="AH468" i="18"/>
  <c r="AG468" i="18"/>
  <c r="AF468" i="18"/>
  <c r="AE468" i="18"/>
  <c r="AD468" i="18"/>
  <c r="AC468" i="18"/>
  <c r="AB468" i="18"/>
  <c r="AA468" i="18"/>
  <c r="Z468" i="18"/>
  <c r="Y468" i="18"/>
  <c r="BA468" i="18" s="1"/>
  <c r="AQ467" i="18"/>
  <c r="AP467" i="18"/>
  <c r="AO467" i="18"/>
  <c r="AN467" i="18"/>
  <c r="AK467" i="18"/>
  <c r="AJ467" i="18"/>
  <c r="AI467" i="18"/>
  <c r="AH467" i="18"/>
  <c r="AG467" i="18"/>
  <c r="AF467" i="18"/>
  <c r="AE467" i="18"/>
  <c r="AD467" i="18"/>
  <c r="AC467" i="18"/>
  <c r="AB467" i="18"/>
  <c r="AA467" i="18"/>
  <c r="Z467" i="18"/>
  <c r="Y467" i="18"/>
  <c r="BA467" i="18" s="1"/>
  <c r="AQ466" i="18"/>
  <c r="AP466" i="18"/>
  <c r="AO466" i="18"/>
  <c r="AN466" i="18"/>
  <c r="AK466" i="18"/>
  <c r="AJ466" i="18"/>
  <c r="AI466" i="18"/>
  <c r="AH466" i="18"/>
  <c r="AG466" i="18"/>
  <c r="AF466" i="18"/>
  <c r="AE466" i="18"/>
  <c r="AD466" i="18"/>
  <c r="AC466" i="18"/>
  <c r="AB466" i="18"/>
  <c r="AA466" i="18"/>
  <c r="Z466" i="18"/>
  <c r="Y466" i="18"/>
  <c r="BA466" i="18" s="1"/>
  <c r="AQ465" i="18"/>
  <c r="AP465" i="18"/>
  <c r="AO465" i="18"/>
  <c r="AN465" i="18"/>
  <c r="AK465" i="18"/>
  <c r="AJ465" i="18"/>
  <c r="AI465" i="18"/>
  <c r="AH465" i="18"/>
  <c r="AG465" i="18"/>
  <c r="AF465" i="18"/>
  <c r="AE465" i="18"/>
  <c r="AD465" i="18"/>
  <c r="AC465" i="18"/>
  <c r="AB465" i="18"/>
  <c r="AA465" i="18"/>
  <c r="Z465" i="18"/>
  <c r="Y465" i="18"/>
  <c r="BA465" i="18" s="1"/>
  <c r="AQ464" i="18"/>
  <c r="AP464" i="18"/>
  <c r="AO464" i="18"/>
  <c r="AN464" i="18"/>
  <c r="AK464" i="18"/>
  <c r="AJ464" i="18"/>
  <c r="AI464" i="18"/>
  <c r="AH464" i="18"/>
  <c r="AG464" i="18"/>
  <c r="AF464" i="18"/>
  <c r="AE464" i="18"/>
  <c r="AD464" i="18"/>
  <c r="AC464" i="18"/>
  <c r="AB464" i="18"/>
  <c r="AA464" i="18"/>
  <c r="Z464" i="18"/>
  <c r="Y464" i="18"/>
  <c r="BA464" i="18" s="1"/>
  <c r="AR463" i="18"/>
  <c r="AQ463" i="18"/>
  <c r="AP463" i="18"/>
  <c r="AO463" i="18"/>
  <c r="AN463" i="18"/>
  <c r="AK463" i="18"/>
  <c r="AJ463" i="18"/>
  <c r="AI463" i="18"/>
  <c r="AH463" i="18"/>
  <c r="AG463" i="18"/>
  <c r="AF463" i="18"/>
  <c r="AE463" i="18"/>
  <c r="AD463" i="18"/>
  <c r="AC463" i="18"/>
  <c r="AB463" i="18"/>
  <c r="AA463" i="18"/>
  <c r="Z463" i="18"/>
  <c r="Y463" i="18"/>
  <c r="BA463" i="18" s="1"/>
  <c r="AX462" i="18"/>
  <c r="AW462" i="18"/>
  <c r="AV462" i="18"/>
  <c r="AU462" i="18"/>
  <c r="AT462" i="18"/>
  <c r="AS462" i="18"/>
  <c r="AR462" i="18"/>
  <c r="AQ462" i="18"/>
  <c r="AP462" i="18"/>
  <c r="AO462" i="18"/>
  <c r="AN462" i="18"/>
  <c r="AK462" i="18"/>
  <c r="AJ462" i="18"/>
  <c r="AI462" i="18"/>
  <c r="AH462" i="18"/>
  <c r="AG462" i="18"/>
  <c r="AF462" i="18"/>
  <c r="AE462" i="18"/>
  <c r="AD462" i="18"/>
  <c r="AC462" i="18"/>
  <c r="AB462" i="18"/>
  <c r="AA462" i="18"/>
  <c r="Z462" i="18"/>
  <c r="Y462" i="18"/>
  <c r="BA462" i="18" s="1"/>
  <c r="AO461" i="18"/>
  <c r="AN461" i="18"/>
  <c r="AK461" i="18"/>
  <c r="AJ461" i="18"/>
  <c r="AI461" i="18"/>
  <c r="AH461" i="18"/>
  <c r="AG461" i="18"/>
  <c r="AF461" i="18"/>
  <c r="AE461" i="18"/>
  <c r="AD461" i="18"/>
  <c r="AC461" i="18"/>
  <c r="AB461" i="18"/>
  <c r="AA461" i="18"/>
  <c r="Z461" i="18"/>
  <c r="Y461" i="18"/>
  <c r="BA461" i="18" s="1"/>
  <c r="AR460" i="18"/>
  <c r="AQ460" i="18"/>
  <c r="AP460" i="18"/>
  <c r="AO460" i="18"/>
  <c r="AN460" i="18"/>
  <c r="AK460" i="18"/>
  <c r="AJ460" i="18"/>
  <c r="AI460" i="18"/>
  <c r="AH460" i="18"/>
  <c r="AG460" i="18"/>
  <c r="AF460" i="18"/>
  <c r="AE460" i="18"/>
  <c r="AD460" i="18"/>
  <c r="AC460" i="18"/>
  <c r="AB460" i="18"/>
  <c r="AA460" i="18"/>
  <c r="Z460" i="18"/>
  <c r="Y460" i="18"/>
  <c r="BA460" i="18" s="1"/>
  <c r="AO459" i="18"/>
  <c r="AN459" i="18"/>
  <c r="AK459" i="18"/>
  <c r="AJ459" i="18"/>
  <c r="AI459" i="18"/>
  <c r="AH459" i="18"/>
  <c r="AG459" i="18"/>
  <c r="AF459" i="18"/>
  <c r="AE459" i="18"/>
  <c r="AD459" i="18"/>
  <c r="AC459" i="18"/>
  <c r="AB459" i="18"/>
  <c r="AA459" i="18"/>
  <c r="Z459" i="18"/>
  <c r="Y459" i="18"/>
  <c r="BA459" i="18" s="1"/>
  <c r="AK458" i="18"/>
  <c r="AJ458" i="18"/>
  <c r="AI458" i="18"/>
  <c r="AH458" i="18"/>
  <c r="AG458" i="18"/>
  <c r="AF458" i="18"/>
  <c r="AE458" i="18"/>
  <c r="AD458" i="18"/>
  <c r="AC458" i="18"/>
  <c r="AB458" i="18"/>
  <c r="AA458" i="18"/>
  <c r="Z458" i="18"/>
  <c r="Y458" i="18"/>
  <c r="BA458" i="18" s="1"/>
  <c r="AV457" i="18"/>
  <c r="AU457" i="18"/>
  <c r="AT457" i="18"/>
  <c r="AS457" i="18"/>
  <c r="AR457" i="18"/>
  <c r="AQ457" i="18"/>
  <c r="AP457" i="18"/>
  <c r="AO457" i="18"/>
  <c r="AN457" i="18"/>
  <c r="AK457" i="18"/>
  <c r="AJ457" i="18"/>
  <c r="AI457" i="18"/>
  <c r="AH457" i="18"/>
  <c r="AG457" i="18"/>
  <c r="AF457" i="18"/>
  <c r="AE457" i="18"/>
  <c r="AD457" i="18"/>
  <c r="AC457" i="18"/>
  <c r="AB457" i="18"/>
  <c r="AA457" i="18"/>
  <c r="Z457" i="18"/>
  <c r="Y457" i="18"/>
  <c r="BA457" i="18" s="1"/>
  <c r="AP456" i="18"/>
  <c r="AO456" i="18"/>
  <c r="AN456" i="18"/>
  <c r="AK456" i="18"/>
  <c r="AJ456" i="18"/>
  <c r="AI456" i="18"/>
  <c r="AH456" i="18"/>
  <c r="AG456" i="18"/>
  <c r="AF456" i="18"/>
  <c r="AE456" i="18"/>
  <c r="AD456" i="18"/>
  <c r="AC456" i="18"/>
  <c r="AB456" i="18"/>
  <c r="AA456" i="18"/>
  <c r="Z456" i="18"/>
  <c r="Y456" i="18"/>
  <c r="BA456" i="18" s="1"/>
  <c r="X502" i="18"/>
  <c r="AU502" i="18" s="1"/>
  <c r="X501" i="18"/>
  <c r="AX501" i="18" s="1"/>
  <c r="X498" i="18"/>
  <c r="AP498" i="18" s="1"/>
  <c r="X497" i="18"/>
  <c r="X496" i="18"/>
  <c r="AR496" i="18" s="1"/>
  <c r="X495" i="18"/>
  <c r="AY495" i="18" s="1"/>
  <c r="X494" i="18"/>
  <c r="AT494" i="18" s="1"/>
  <c r="X493" i="18"/>
  <c r="AY493" i="18" s="1"/>
  <c r="X492" i="18"/>
  <c r="AV492" i="18" s="1"/>
  <c r="X491" i="18"/>
  <c r="AS491" i="18" s="1"/>
  <c r="X490" i="18"/>
  <c r="AX490" i="18" s="1"/>
  <c r="X489" i="18"/>
  <c r="AW489" i="18" s="1"/>
  <c r="X488" i="18"/>
  <c r="AQ488" i="18" s="1"/>
  <c r="X487" i="18"/>
  <c r="AS487" i="18" s="1"/>
  <c r="X486" i="18"/>
  <c r="X485" i="18"/>
  <c r="AY485" i="18" s="1"/>
  <c r="X484" i="18"/>
  <c r="AV484" i="18" s="1"/>
  <c r="X483" i="18"/>
  <c r="AX483" i="18" s="1"/>
  <c r="X482" i="18"/>
  <c r="AY482" i="18" s="1"/>
  <c r="X481" i="18"/>
  <c r="AR481" i="18" s="1"/>
  <c r="X480" i="18"/>
  <c r="AS480" i="18" s="1"/>
  <c r="X479" i="18"/>
  <c r="AY479" i="18" s="1"/>
  <c r="X478" i="18"/>
  <c r="AU478" i="18" s="1"/>
  <c r="X477" i="18"/>
  <c r="AY477" i="18" s="1"/>
  <c r="X476" i="18"/>
  <c r="AW476" i="18" s="1"/>
  <c r="X475" i="18"/>
  <c r="AP475" i="18" s="1"/>
  <c r="X474" i="18"/>
  <c r="AY474" i="18" s="1"/>
  <c r="X473" i="18"/>
  <c r="AX473" i="18" s="1"/>
  <c r="X472" i="18"/>
  <c r="AS472" i="18" s="1"/>
  <c r="X471" i="18"/>
  <c r="AW471" i="18" s="1"/>
  <c r="X470" i="18"/>
  <c r="X469" i="18"/>
  <c r="X468" i="18"/>
  <c r="AY468" i="18" s="1"/>
  <c r="X467" i="18"/>
  <c r="X466" i="18"/>
  <c r="AX466" i="18" s="1"/>
  <c r="X465" i="18"/>
  <c r="AR465" i="18" s="1"/>
  <c r="X464" i="18"/>
  <c r="AT464" i="18" s="1"/>
  <c r="X463" i="18"/>
  <c r="AY463" i="18" s="1"/>
  <c r="X462" i="18"/>
  <c r="AY462" i="18" s="1"/>
  <c r="X461" i="18"/>
  <c r="AY461" i="18" s="1"/>
  <c r="X460" i="18"/>
  <c r="AX460" i="18" s="1"/>
  <c r="X459" i="18"/>
  <c r="AQ459" i="18" s="1"/>
  <c r="X458" i="18"/>
  <c r="AY458" i="18" s="1"/>
  <c r="X457" i="18"/>
  <c r="AY457" i="18" s="1"/>
  <c r="X456" i="18"/>
  <c r="AT456" i="18" s="1"/>
  <c r="BB494" i="18" l="1"/>
  <c r="BB474" i="18"/>
  <c r="AT491" i="18"/>
  <c r="AV491" i="18"/>
  <c r="BC496" i="18"/>
  <c r="BD495" i="18"/>
  <c r="AW480" i="18"/>
  <c r="AX480" i="18"/>
  <c r="AR487" i="18"/>
  <c r="BB480" i="18"/>
  <c r="AV475" i="18"/>
  <c r="AX464" i="18"/>
  <c r="AU475" i="18"/>
  <c r="AY464" i="18"/>
  <c r="AR475" i="18"/>
  <c r="AW475" i="18"/>
  <c r="AV471" i="18"/>
  <c r="BB457" i="18"/>
  <c r="AY496" i="18"/>
  <c r="AY460" i="18"/>
  <c r="AX492" i="18"/>
  <c r="AO487" i="18"/>
  <c r="AY492" i="18"/>
  <c r="AS482" i="18"/>
  <c r="AW492" i="18"/>
  <c r="AX471" i="18"/>
  <c r="AP476" i="18"/>
  <c r="BD476" i="18" s="1"/>
  <c r="AO481" i="18"/>
  <c r="AP487" i="18"/>
  <c r="AR494" i="18"/>
  <c r="AQ498" i="18"/>
  <c r="AU460" i="18"/>
  <c r="AP461" i="18"/>
  <c r="AQ494" i="18"/>
  <c r="AS477" i="18"/>
  <c r="BC461" i="18"/>
  <c r="AT466" i="18"/>
  <c r="AT477" i="18"/>
  <c r="AV478" i="18"/>
  <c r="AY480" i="18"/>
  <c r="AP481" i="18"/>
  <c r="AQ487" i="18"/>
  <c r="BB489" i="18"/>
  <c r="BC494" i="18"/>
  <c r="AX494" i="18"/>
  <c r="AX496" i="18"/>
  <c r="AV466" i="18"/>
  <c r="BC467" i="18"/>
  <c r="AQ481" i="18"/>
  <c r="AR482" i="18"/>
  <c r="AY466" i="18"/>
  <c r="AT482" i="18"/>
  <c r="AS498" i="18"/>
  <c r="AV482" i="18"/>
  <c r="BB456" i="18"/>
  <c r="BB483" i="18"/>
  <c r="AV498" i="18"/>
  <c r="AP458" i="18"/>
  <c r="AY498" i="18"/>
  <c r="AP501" i="18"/>
  <c r="BD501" i="18" s="1"/>
  <c r="AQ458" i="18"/>
  <c r="BB464" i="18"/>
  <c r="AR464" i="18"/>
  <c r="BF464" i="18" s="1"/>
  <c r="BB473" i="18"/>
  <c r="AU491" i="18"/>
  <c r="AT498" i="18"/>
  <c r="AW466" i="18"/>
  <c r="AS481" i="18"/>
  <c r="AU482" i="18"/>
  <c r="AU498" i="18"/>
  <c r="BC464" i="18"/>
  <c r="AS464" i="18"/>
  <c r="AQ474" i="18"/>
  <c r="AS460" i="18"/>
  <c r="BG460" i="18" s="1"/>
  <c r="BD464" i="18"/>
  <c r="AW464" i="18"/>
  <c r="AR474" i="18"/>
  <c r="AQ475" i="18"/>
  <c r="BB491" i="18"/>
  <c r="AY491" i="18"/>
  <c r="AP492" i="18"/>
  <c r="BD492" i="18" s="1"/>
  <c r="AP472" i="18"/>
  <c r="AU477" i="18"/>
  <c r="AU494" i="18"/>
  <c r="AN458" i="18"/>
  <c r="BB458" i="18" s="1"/>
  <c r="AU464" i="18"/>
  <c r="AS475" i="18"/>
  <c r="AV477" i="18"/>
  <c r="AW491" i="18"/>
  <c r="AV494" i="18"/>
  <c r="AO458" i="18"/>
  <c r="AV460" i="18"/>
  <c r="AV464" i="18"/>
  <c r="BB467" i="18"/>
  <c r="AT475" i="18"/>
  <c r="AW477" i="18"/>
  <c r="AO482" i="18"/>
  <c r="BC482" i="18" s="1"/>
  <c r="AX491" i="18"/>
  <c r="AW494" i="18"/>
  <c r="AR498" i="18"/>
  <c r="AQ461" i="18"/>
  <c r="BE468" i="18"/>
  <c r="AY478" i="18"/>
  <c r="AN490" i="18"/>
  <c r="AR495" i="18"/>
  <c r="BB465" i="18"/>
  <c r="AQ479" i="18"/>
  <c r="BB487" i="18"/>
  <c r="AO490" i="18"/>
  <c r="AS495" i="18"/>
  <c r="BB459" i="18"/>
  <c r="AT459" i="18"/>
  <c r="AU461" i="18"/>
  <c r="BC463" i="18"/>
  <c r="AS463" i="18"/>
  <c r="BG463" i="18" s="1"/>
  <c r="AS465" i="18"/>
  <c r="AQ476" i="18"/>
  <c r="AR479" i="18"/>
  <c r="AW482" i="18"/>
  <c r="AV487" i="18"/>
  <c r="AN488" i="18"/>
  <c r="BB488" i="18" s="1"/>
  <c r="AP490" i="18"/>
  <c r="AR493" i="18"/>
  <c r="AT495" i="18"/>
  <c r="AX477" i="18"/>
  <c r="AW478" i="18"/>
  <c r="AR459" i="18"/>
  <c r="AS461" i="18"/>
  <c r="AP479" i="18"/>
  <c r="BD479" i="18" s="1"/>
  <c r="BB463" i="18"/>
  <c r="AQ493" i="18"/>
  <c r="BC495" i="18"/>
  <c r="BC459" i="18"/>
  <c r="AU459" i="18"/>
  <c r="AV461" i="18"/>
  <c r="BD463" i="18"/>
  <c r="AT463" i="18"/>
  <c r="AR476" i="18"/>
  <c r="AS479" i="18"/>
  <c r="AX482" i="18"/>
  <c r="AW487" i="18"/>
  <c r="AO488" i="18"/>
  <c r="AQ490" i="18"/>
  <c r="AO491" i="18"/>
  <c r="BC491" i="18" s="1"/>
  <c r="AS493" i="18"/>
  <c r="AU495" i="18"/>
  <c r="AS496" i="18"/>
  <c r="BB501" i="18"/>
  <c r="BB502" i="18"/>
  <c r="AR458" i="18"/>
  <c r="AX478" i="18"/>
  <c r="AQ495" i="18"/>
  <c r="AS458" i="18"/>
  <c r="AX475" i="18"/>
  <c r="AP493" i="18"/>
  <c r="BD493" i="18" s="1"/>
  <c r="AS459" i="18"/>
  <c r="AT461" i="18"/>
  <c r="AY475" i="18"/>
  <c r="AV459" i="18"/>
  <c r="AW461" i="18"/>
  <c r="BE463" i="18"/>
  <c r="AU463" i="18"/>
  <c r="BB466" i="18"/>
  <c r="AR466" i="18"/>
  <c r="AN471" i="18"/>
  <c r="BB471" i="18" s="1"/>
  <c r="AX476" i="18"/>
  <c r="AT479" i="18"/>
  <c r="AX487" i="18"/>
  <c r="AP488" i="18"/>
  <c r="AY490" i="18"/>
  <c r="AP491" i="18"/>
  <c r="AT493" i="18"/>
  <c r="AT496" i="18"/>
  <c r="BC502" i="18"/>
  <c r="AR461" i="18"/>
  <c r="AQ456" i="18"/>
  <c r="BC457" i="18"/>
  <c r="AW459" i="18"/>
  <c r="AX461" i="18"/>
  <c r="AV463" i="18"/>
  <c r="AS466" i="18"/>
  <c r="AO471" i="18"/>
  <c r="AY476" i="18"/>
  <c r="AP477" i="18"/>
  <c r="BD477" i="18" s="1"/>
  <c r="AU479" i="18"/>
  <c r="AT480" i="18"/>
  <c r="AY483" i="18"/>
  <c r="AQ491" i="18"/>
  <c r="AU493" i="18"/>
  <c r="BB496" i="18"/>
  <c r="AU496" i="18"/>
  <c r="AY494" i="18"/>
  <c r="AR456" i="18"/>
  <c r="AX459" i="18"/>
  <c r="AW463" i="18"/>
  <c r="BD466" i="18"/>
  <c r="AN472" i="18"/>
  <c r="AQ477" i="18"/>
  <c r="AV479" i="18"/>
  <c r="AU480" i="18"/>
  <c r="AR491" i="18"/>
  <c r="AV493" i="18"/>
  <c r="AV496" i="18"/>
  <c r="AS456" i="18"/>
  <c r="AY459" i="18"/>
  <c r="AX463" i="18"/>
  <c r="AU466" i="18"/>
  <c r="AO472" i="18"/>
  <c r="AP474" i="18"/>
  <c r="BD474" i="18" s="1"/>
  <c r="AR477" i="18"/>
  <c r="AV480" i="18"/>
  <c r="BB484" i="18"/>
  <c r="AW493" i="18"/>
  <c r="AW496" i="18"/>
  <c r="BD462" i="18"/>
  <c r="BC474" i="18"/>
  <c r="BF463" i="18"/>
  <c r="BC466" i="18"/>
  <c r="BD494" i="18"/>
  <c r="BB477" i="18"/>
  <c r="BE457" i="18"/>
  <c r="BE464" i="18"/>
  <c r="BC475" i="18"/>
  <c r="BB481" i="18"/>
  <c r="BD457" i="18"/>
  <c r="BF457" i="18"/>
  <c r="BB468" i="18"/>
  <c r="BD475" i="18"/>
  <c r="BB498" i="18"/>
  <c r="BC456" i="18"/>
  <c r="BE466" i="18"/>
  <c r="BC473" i="18"/>
  <c r="BG457" i="18"/>
  <c r="BD467" i="18"/>
  <c r="BC468" i="18"/>
  <c r="BC498" i="18"/>
  <c r="BC484" i="18"/>
  <c r="BB475" i="18"/>
  <c r="BB461" i="18"/>
  <c r="BI462" i="18"/>
  <c r="BM462" i="18"/>
  <c r="BE467" i="18"/>
  <c r="BD468" i="18"/>
  <c r="BB482" i="18"/>
  <c r="BD498" i="18"/>
  <c r="BC501" i="18"/>
  <c r="BJ462" i="18"/>
  <c r="BK462" i="18"/>
  <c r="BL462" i="18"/>
  <c r="BC483" i="18"/>
  <c r="BD465" i="18"/>
  <c r="AT502" i="18"/>
  <c r="AX484" i="18"/>
  <c r="AY484" i="18"/>
  <c r="AW484" i="18"/>
  <c r="AY488" i="18"/>
  <c r="AX488" i="18"/>
  <c r="AW488" i="18"/>
  <c r="AT488" i="18"/>
  <c r="AV488" i="18"/>
  <c r="AU488" i="18"/>
  <c r="AX502" i="18"/>
  <c r="AY502" i="18"/>
  <c r="AV486" i="18"/>
  <c r="AY486" i="18"/>
  <c r="AX486" i="18"/>
  <c r="AW486" i="18"/>
  <c r="AU484" i="18"/>
  <c r="AV485" i="18"/>
  <c r="AR502" i="18"/>
  <c r="AW470" i="18"/>
  <c r="AY470" i="18"/>
  <c r="AX470" i="18"/>
  <c r="BF465" i="18"/>
  <c r="AW485" i="18"/>
  <c r="AV468" i="18"/>
  <c r="AS489" i="18"/>
  <c r="AW502" i="18"/>
  <c r="AT472" i="18"/>
  <c r="AO470" i="18"/>
  <c r="BB476" i="18"/>
  <c r="AQ470" i="18"/>
  <c r="AV473" i="18"/>
  <c r="BC476" i="18"/>
  <c r="AT486" i="18"/>
  <c r="BC492" i="18"/>
  <c r="BB495" i="18"/>
  <c r="BE497" i="18"/>
  <c r="AV469" i="18"/>
  <c r="AU469" i="18"/>
  <c r="AT469" i="18"/>
  <c r="AP469" i="18"/>
  <c r="AS469" i="18"/>
  <c r="AR469" i="18"/>
  <c r="AQ469" i="18"/>
  <c r="BC478" i="18"/>
  <c r="AT471" i="18"/>
  <c r="AS471" i="18"/>
  <c r="AR471" i="18"/>
  <c r="AQ471" i="18"/>
  <c r="AP471" i="18"/>
  <c r="AY487" i="18"/>
  <c r="AY456" i="18"/>
  <c r="AV456" i="18"/>
  <c r="AX456" i="18"/>
  <c r="AW456" i="18"/>
  <c r="AN486" i="18"/>
  <c r="AQ489" i="18"/>
  <c r="AP489" i="18"/>
  <c r="AO489" i="18"/>
  <c r="AO486" i="18"/>
  <c r="AO469" i="18"/>
  <c r="AS488" i="18"/>
  <c r="AQ486" i="18"/>
  <c r="AT473" i="18"/>
  <c r="AU473" i="18"/>
  <c r="BB460" i="18"/>
  <c r="AW473" i="18"/>
  <c r="AU486" i="18"/>
  <c r="AX489" i="18"/>
  <c r="AW498" i="18"/>
  <c r="BF497" i="18"/>
  <c r="AQ502" i="18"/>
  <c r="AY472" i="18"/>
  <c r="AX472" i="18"/>
  <c r="AW472" i="18"/>
  <c r="AV472" i="18"/>
  <c r="AU472" i="18"/>
  <c r="AQ472" i="18"/>
  <c r="AN469" i="18"/>
  <c r="AR488" i="18"/>
  <c r="BC497" i="18"/>
  <c r="AW469" i="18"/>
  <c r="AS473" i="18"/>
  <c r="BB492" i="18"/>
  <c r="BC460" i="18"/>
  <c r="AR470" i="18"/>
  <c r="AW457" i="18"/>
  <c r="BK457" i="18" s="1"/>
  <c r="BD460" i="18"/>
  <c r="BE462" i="18"/>
  <c r="AS470" i="18"/>
  <c r="AY489" i="18"/>
  <c r="BB493" i="18"/>
  <c r="AX498" i="18"/>
  <c r="BE460" i="18"/>
  <c r="BB462" i="18"/>
  <c r="AT484" i="18"/>
  <c r="BE465" i="18"/>
  <c r="AR473" i="18"/>
  <c r="AQ473" i="18"/>
  <c r="AP473" i="18"/>
  <c r="AX468" i="18"/>
  <c r="BB479" i="18"/>
  <c r="AY469" i="18"/>
  <c r="AV489" i="18"/>
  <c r="AY481" i="18"/>
  <c r="AX481" i="18"/>
  <c r="AW481" i="18"/>
  <c r="AV481" i="18"/>
  <c r="AT481" i="18"/>
  <c r="AU481" i="18"/>
  <c r="AP484" i="18"/>
  <c r="BF460" i="18"/>
  <c r="BC462" i="18"/>
  <c r="AY471" i="18"/>
  <c r="BB497" i="18"/>
  <c r="AN470" i="18"/>
  <c r="AT489" i="18"/>
  <c r="AU489" i="18"/>
  <c r="AS486" i="18"/>
  <c r="AY465" i="18"/>
  <c r="AX465" i="18"/>
  <c r="AW465" i="18"/>
  <c r="AV465" i="18"/>
  <c r="AT465" i="18"/>
  <c r="AU465" i="18"/>
  <c r="AX457" i="18"/>
  <c r="AY473" i="18"/>
  <c r="AQ482" i="18"/>
  <c r="AP482" i="18"/>
  <c r="BI457" i="18"/>
  <c r="AU470" i="18"/>
  <c r="BC477" i="18"/>
  <c r="AQ484" i="18"/>
  <c r="AT487" i="18"/>
  <c r="BB485" i="18"/>
  <c r="AS484" i="18"/>
  <c r="AU485" i="18"/>
  <c r="AO485" i="18"/>
  <c r="AT485" i="18"/>
  <c r="AS485" i="18"/>
  <c r="AR485" i="18"/>
  <c r="AQ485" i="18"/>
  <c r="AP485" i="18"/>
  <c r="AR468" i="18"/>
  <c r="BB478" i="18"/>
  <c r="AS468" i="18"/>
  <c r="AS502" i="18"/>
  <c r="AT468" i="18"/>
  <c r="BD456" i="18"/>
  <c r="BC465" i="18"/>
  <c r="AU468" i="18"/>
  <c r="AU456" i="18"/>
  <c r="AR472" i="18"/>
  <c r="AX485" i="18"/>
  <c r="AR489" i="18"/>
  <c r="AV502" i="18"/>
  <c r="AW468" i="18"/>
  <c r="AP486" i="18"/>
  <c r="BC479" i="18"/>
  <c r="AX469" i="18"/>
  <c r="AR486" i="18"/>
  <c r="AP470" i="18"/>
  <c r="BD497" i="18"/>
  <c r="AY497" i="18"/>
  <c r="AX497" i="18"/>
  <c r="AW497" i="18"/>
  <c r="AV497" i="18"/>
  <c r="AU497" i="18"/>
  <c r="AS497" i="18"/>
  <c r="AT497" i="18"/>
  <c r="BH457" i="18"/>
  <c r="BF462" i="18"/>
  <c r="AT470" i="18"/>
  <c r="BC493" i="18"/>
  <c r="BG462" i="18"/>
  <c r="AX467" i="18"/>
  <c r="AW467" i="18"/>
  <c r="AR467" i="18"/>
  <c r="BF467" i="18" s="1"/>
  <c r="AV467" i="18"/>
  <c r="AU467" i="18"/>
  <c r="AT467" i="18"/>
  <c r="AS467" i="18"/>
  <c r="AW483" i="18"/>
  <c r="AV483" i="18"/>
  <c r="AU483" i="18"/>
  <c r="AT483" i="18"/>
  <c r="AQ483" i="18"/>
  <c r="AS483" i="18"/>
  <c r="AR483" i="18"/>
  <c r="AW501" i="18"/>
  <c r="AV501" i="18"/>
  <c r="AU501" i="18"/>
  <c r="AT501" i="18"/>
  <c r="AS501" i="18"/>
  <c r="AR501" i="18"/>
  <c r="AQ501" i="18"/>
  <c r="BJ457" i="18"/>
  <c r="BH462" i="18"/>
  <c r="AY467" i="18"/>
  <c r="AV470" i="18"/>
  <c r="AU471" i="18"/>
  <c r="BD483" i="18"/>
  <c r="AR484" i="18"/>
  <c r="AU487" i="18"/>
  <c r="AY501" i="18"/>
  <c r="AP502" i="18"/>
  <c r="AU458" i="18"/>
  <c r="AT474" i="18"/>
  <c r="AP478" i="18"/>
  <c r="AW479" i="18"/>
  <c r="AS490" i="18"/>
  <c r="AQ492" i="18"/>
  <c r="AX493" i="18"/>
  <c r="AV495" i="18"/>
  <c r="AV458" i="18"/>
  <c r="AT460" i="18"/>
  <c r="AZ462" i="18"/>
  <c r="AU474" i="18"/>
  <c r="AS476" i="18"/>
  <c r="AQ478" i="18"/>
  <c r="AX479" i="18"/>
  <c r="AO480" i="18"/>
  <c r="AT490" i="18"/>
  <c r="AR492" i="18"/>
  <c r="AW495" i="18"/>
  <c r="AW458" i="18"/>
  <c r="AV474" i="18"/>
  <c r="AT476" i="18"/>
  <c r="AR478" i="18"/>
  <c r="AP480" i="18"/>
  <c r="AU490" i="18"/>
  <c r="AS492" i="18"/>
  <c r="AX495" i="18"/>
  <c r="AT458" i="18"/>
  <c r="AR490" i="18"/>
  <c r="AX458" i="18"/>
  <c r="AW474" i="18"/>
  <c r="AU476" i="18"/>
  <c r="AS478" i="18"/>
  <c r="AQ480" i="18"/>
  <c r="AV490" i="18"/>
  <c r="AT492" i="18"/>
  <c r="AP496" i="18"/>
  <c r="AX474" i="18"/>
  <c r="AV476" i="18"/>
  <c r="AT478" i="18"/>
  <c r="AR480" i="18"/>
  <c r="AW490" i="18"/>
  <c r="AU492" i="18"/>
  <c r="AS494" i="18"/>
  <c r="AQ496" i="18"/>
  <c r="AS474" i="18"/>
  <c r="AP459" i="18"/>
  <c r="BD459" i="18" s="1"/>
  <c r="AW460" i="18"/>
  <c r="BJ466" i="18" l="1"/>
  <c r="BC490" i="18"/>
  <c r="BD489" i="18"/>
  <c r="BI463" i="18"/>
  <c r="BH497" i="18"/>
  <c r="BF475" i="18"/>
  <c r="BF498" i="18"/>
  <c r="BI477" i="18"/>
  <c r="BF494" i="18"/>
  <c r="BF456" i="18"/>
  <c r="BF481" i="18"/>
  <c r="BE475" i="18"/>
  <c r="BE501" i="18"/>
  <c r="BE476" i="18"/>
  <c r="BG461" i="18"/>
  <c r="BF487" i="18"/>
  <c r="BE493" i="18"/>
  <c r="AZ463" i="18"/>
  <c r="BH465" i="18"/>
  <c r="BG474" i="18"/>
  <c r="BG476" i="18"/>
  <c r="BK498" i="18"/>
  <c r="BH461" i="18"/>
  <c r="BI498" i="18"/>
  <c r="BD487" i="18"/>
  <c r="BF479" i="18"/>
  <c r="BE481" i="18"/>
  <c r="BJ482" i="18"/>
  <c r="BD481" i="18"/>
  <c r="BE487" i="18"/>
  <c r="BI456" i="18"/>
  <c r="BG465" i="18"/>
  <c r="BE494" i="18"/>
  <c r="BF477" i="18"/>
  <c r="BC471" i="18"/>
  <c r="BJ491" i="18"/>
  <c r="BE456" i="18"/>
  <c r="BG487" i="18"/>
  <c r="BL475" i="18"/>
  <c r="BD458" i="18"/>
  <c r="BG458" i="18"/>
  <c r="BH495" i="18"/>
  <c r="BJ475" i="18"/>
  <c r="BI501" i="18"/>
  <c r="BD482" i="18"/>
  <c r="BG489" i="18"/>
  <c r="BH477" i="18"/>
  <c r="BL463" i="18"/>
  <c r="BL494" i="18"/>
  <c r="AZ481" i="18"/>
  <c r="BK463" i="18"/>
  <c r="BJ459" i="18"/>
  <c r="BH458" i="18"/>
  <c r="BC488" i="18"/>
  <c r="BG498" i="18"/>
  <c r="AZ491" i="18"/>
  <c r="BK493" i="18"/>
  <c r="BF474" i="18"/>
  <c r="BM461" i="18"/>
  <c r="BG481" i="18"/>
  <c r="BK491" i="18"/>
  <c r="BE498" i="18"/>
  <c r="BC487" i="18"/>
  <c r="BE477" i="18"/>
  <c r="BL461" i="18"/>
  <c r="BD490" i="18"/>
  <c r="BK474" i="18"/>
  <c r="BK464" i="18"/>
  <c r="BH464" i="18"/>
  <c r="AZ477" i="18"/>
  <c r="BJ477" i="18"/>
  <c r="BH489" i="18"/>
  <c r="BI466" i="18"/>
  <c r="BC481" i="18"/>
  <c r="BE474" i="18"/>
  <c r="BM463" i="18"/>
  <c r="BG464" i="18"/>
  <c r="BH498" i="18"/>
  <c r="BG475" i="18"/>
  <c r="BD472" i="18"/>
  <c r="BI481" i="18"/>
  <c r="BI495" i="18"/>
  <c r="BL491" i="18"/>
  <c r="BE491" i="18"/>
  <c r="BH481" i="18"/>
  <c r="BM477" i="18"/>
  <c r="BG488" i="18"/>
  <c r="BM466" i="18"/>
  <c r="BG496" i="18"/>
  <c r="BE461" i="18"/>
  <c r="BD461" i="18"/>
  <c r="BH501" i="18"/>
  <c r="BJ468" i="18"/>
  <c r="BG495" i="18"/>
  <c r="BD491" i="18"/>
  <c r="BI461" i="18"/>
  <c r="BJ493" i="18"/>
  <c r="BI485" i="18"/>
  <c r="BF495" i="18"/>
  <c r="BJ498" i="18"/>
  <c r="BI464" i="18"/>
  <c r="BG467" i="18"/>
  <c r="BH491" i="18"/>
  <c r="BG491" i="18"/>
  <c r="BJ487" i="18"/>
  <c r="BI479" i="18"/>
  <c r="BI493" i="18"/>
  <c r="BJ472" i="18"/>
  <c r="BM492" i="18"/>
  <c r="BJ479" i="18"/>
  <c r="AZ483" i="18"/>
  <c r="AZ466" i="18"/>
  <c r="BF461" i="18"/>
  <c r="BE495" i="18"/>
  <c r="BD488" i="18"/>
  <c r="BE488" i="18"/>
  <c r="BF491" i="18"/>
  <c r="BH475" i="18"/>
  <c r="BJ461" i="18"/>
  <c r="BH493" i="18"/>
  <c r="BJ463" i="18"/>
  <c r="BM479" i="18"/>
  <c r="BM498" i="18"/>
  <c r="BJ464" i="18"/>
  <c r="BE458" i="18"/>
  <c r="BM486" i="18"/>
  <c r="BH479" i="18"/>
  <c r="BE479" i="18"/>
  <c r="BG479" i="18"/>
  <c r="AZ464" i="18"/>
  <c r="BH456" i="18"/>
  <c r="BF466" i="18"/>
  <c r="BK475" i="18"/>
  <c r="BH466" i="18"/>
  <c r="BM460" i="18"/>
  <c r="BL477" i="18"/>
  <c r="BH463" i="18"/>
  <c r="AZ475" i="18"/>
  <c r="BB490" i="18"/>
  <c r="BC472" i="18"/>
  <c r="BL466" i="18"/>
  <c r="BK477" i="18"/>
  <c r="BM475" i="18"/>
  <c r="BI491" i="18"/>
  <c r="BF458" i="18"/>
  <c r="BG493" i="18"/>
  <c r="BF476" i="18"/>
  <c r="BB472" i="18"/>
  <c r="BG466" i="18"/>
  <c r="BF493" i="18"/>
  <c r="BL485" i="18"/>
  <c r="BC458" i="18"/>
  <c r="BE490" i="18"/>
  <c r="AZ461" i="18"/>
  <c r="BK461" i="18"/>
  <c r="BI467" i="18"/>
  <c r="BK466" i="18"/>
  <c r="BG477" i="18"/>
  <c r="BL464" i="18"/>
  <c r="AZ495" i="18"/>
  <c r="BM464" i="18"/>
  <c r="BL493" i="18"/>
  <c r="BI475" i="18"/>
  <c r="BI497" i="18"/>
  <c r="BG456" i="18"/>
  <c r="BJ456" i="18"/>
  <c r="BE502" i="18"/>
  <c r="BG502" i="18"/>
  <c r="BM491" i="18"/>
  <c r="BF472" i="18"/>
  <c r="BK496" i="18"/>
  <c r="BG472" i="18"/>
  <c r="BF484" i="18"/>
  <c r="BH473" i="18"/>
  <c r="BI490" i="18"/>
  <c r="BK478" i="18"/>
  <c r="BJ481" i="18"/>
  <c r="AZ456" i="18"/>
  <c r="BG478" i="18"/>
  <c r="BI492" i="18"/>
  <c r="AZ467" i="18"/>
  <c r="BM456" i="18"/>
  <c r="BK481" i="18"/>
  <c r="BK459" i="18"/>
  <c r="BK469" i="18"/>
  <c r="BM493" i="18"/>
  <c r="BF482" i="18"/>
  <c r="BJ485" i="18"/>
  <c r="BG497" i="18"/>
  <c r="BJ473" i="18"/>
  <c r="BM476" i="18"/>
  <c r="BE480" i="18"/>
  <c r="BK472" i="18"/>
  <c r="BH467" i="18"/>
  <c r="BE492" i="18"/>
  <c r="BH474" i="18"/>
  <c r="BH471" i="18"/>
  <c r="BE482" i="18"/>
  <c r="BD496" i="18"/>
  <c r="BL474" i="18"/>
  <c r="BL456" i="18"/>
  <c r="BI459" i="18"/>
  <c r="BJ458" i="18"/>
  <c r="BK480" i="18"/>
  <c r="BH478" i="18"/>
  <c r="AZ493" i="18"/>
  <c r="BJ496" i="18"/>
  <c r="BK458" i="18"/>
  <c r="BG501" i="18"/>
  <c r="AZ488" i="18"/>
  <c r="BJ483" i="18"/>
  <c r="BF489" i="18"/>
  <c r="BM495" i="18"/>
  <c r="AZ497" i="18"/>
  <c r="BH459" i="18"/>
  <c r="BC485" i="18"/>
  <c r="BJ478" i="18"/>
  <c r="AZ457" i="18"/>
  <c r="BJ495" i="18"/>
  <c r="AZ465" i="18"/>
  <c r="BH472" i="18"/>
  <c r="BL472" i="18"/>
  <c r="BH476" i="18"/>
  <c r="AZ501" i="18"/>
  <c r="BM465" i="18"/>
  <c r="BK502" i="18"/>
  <c r="AZ470" i="18"/>
  <c r="BL470" i="18"/>
  <c r="BF470" i="18"/>
  <c r="BD470" i="18"/>
  <c r="BG470" i="18"/>
  <c r="BK470" i="18"/>
  <c r="BH470" i="18"/>
  <c r="BJ470" i="18"/>
  <c r="BE470" i="18"/>
  <c r="BI470" i="18"/>
  <c r="BC470" i="18"/>
  <c r="BH483" i="18"/>
  <c r="BG483" i="18"/>
  <c r="BI488" i="18"/>
  <c r="BF496" i="18"/>
  <c r="BJ497" i="18"/>
  <c r="BL488" i="18"/>
  <c r="BM487" i="18"/>
  <c r="BL487" i="18"/>
  <c r="BK487" i="18"/>
  <c r="BI465" i="18"/>
  <c r="AZ458" i="18"/>
  <c r="BJ489" i="18"/>
  <c r="BL481" i="18"/>
  <c r="BH485" i="18"/>
  <c r="BD484" i="18"/>
  <c r="BM468" i="18"/>
  <c r="BD471" i="18"/>
  <c r="BF502" i="18"/>
  <c r="BI474" i="18"/>
  <c r="BI468" i="18"/>
  <c r="AZ459" i="18"/>
  <c r="BM474" i="18"/>
  <c r="BL479" i="18"/>
  <c r="BE483" i="18"/>
  <c r="BL501" i="18"/>
  <c r="BL457" i="18"/>
  <c r="BI472" i="18"/>
  <c r="BM484" i="18"/>
  <c r="BI484" i="18"/>
  <c r="BL476" i="18"/>
  <c r="BM494" i="18"/>
  <c r="BK494" i="18"/>
  <c r="BM490" i="18"/>
  <c r="BL473" i="18"/>
  <c r="BM473" i="18"/>
  <c r="BL468" i="18"/>
  <c r="BK465" i="18"/>
  <c r="BD485" i="18"/>
  <c r="BE478" i="18"/>
  <c r="AZ484" i="18"/>
  <c r="BK501" i="18"/>
  <c r="BD473" i="18"/>
  <c r="BM501" i="18"/>
  <c r="BK490" i="18"/>
  <c r="BG471" i="18"/>
  <c r="BI480" i="18"/>
  <c r="BH480" i="18"/>
  <c r="BC480" i="18"/>
  <c r="BG480" i="18"/>
  <c r="AZ485" i="18"/>
  <c r="BL502" i="18"/>
  <c r="BF490" i="18"/>
  <c r="BG490" i="18"/>
  <c r="AZ468" i="18"/>
  <c r="BM481" i="18"/>
  <c r="BF478" i="18"/>
  <c r="BJ474" i="18"/>
  <c r="BE485" i="18"/>
  <c r="BF485" i="18"/>
  <c r="BM489" i="18"/>
  <c r="BL489" i="18"/>
  <c r="BE496" i="18"/>
  <c r="AZ498" i="18"/>
  <c r="BD478" i="18"/>
  <c r="BF480" i="18"/>
  <c r="BH496" i="18"/>
  <c r="AZ471" i="18"/>
  <c r="BH487" i="18"/>
  <c r="BF473" i="18"/>
  <c r="BJ465" i="18"/>
  <c r="BI469" i="18"/>
  <c r="BG473" i="18"/>
  <c r="AZ478" i="18"/>
  <c r="BI478" i="18"/>
  <c r="BM458" i="18"/>
  <c r="BJ484" i="18"/>
  <c r="BL486" i="18"/>
  <c r="BG486" i="18"/>
  <c r="BH486" i="18"/>
  <c r="BE486" i="18"/>
  <c r="BD486" i="18"/>
  <c r="BI486" i="18"/>
  <c r="BF486" i="18"/>
  <c r="BK486" i="18"/>
  <c r="BJ486" i="18"/>
  <c r="BC486" i="18"/>
  <c r="BJ502" i="18"/>
  <c r="BK456" i="18"/>
  <c r="BL498" i="18"/>
  <c r="BF459" i="18"/>
  <c r="BI487" i="18"/>
  <c r="BL465" i="18"/>
  <c r="BM483" i="18"/>
  <c r="BL483" i="18"/>
  <c r="BK483" i="18"/>
  <c r="BB470" i="18"/>
  <c r="BH468" i="18"/>
  <c r="BI458" i="18"/>
  <c r="BM478" i="18"/>
  <c r="AZ474" i="18"/>
  <c r="BI494" i="18"/>
  <c r="BK460" i="18"/>
  <c r="BI460" i="18"/>
  <c r="BJ460" i="18"/>
  <c r="BH484" i="18"/>
  <c r="BG494" i="18"/>
  <c r="AZ487" i="18"/>
  <c r="BE473" i="18"/>
  <c r="BL496" i="18"/>
  <c r="AZ489" i="18"/>
  <c r="BF488" i="18"/>
  <c r="BI496" i="18"/>
  <c r="BM488" i="18"/>
  <c r="BL495" i="18"/>
  <c r="BF501" i="18"/>
  <c r="BL478" i="18"/>
  <c r="BH492" i="18"/>
  <c r="BI482" i="18"/>
  <c r="BJ476" i="18"/>
  <c r="BG484" i="18"/>
  <c r="BF471" i="18"/>
  <c r="BM496" i="18"/>
  <c r="BJ501" i="18"/>
  <c r="BM502" i="18"/>
  <c r="BI502" i="18"/>
  <c r="AZ502" i="18"/>
  <c r="BF492" i="18"/>
  <c r="AZ472" i="18"/>
  <c r="BM459" i="18"/>
  <c r="BL490" i="18"/>
  <c r="BE489" i="18"/>
  <c r="BJ488" i="18"/>
  <c r="AZ496" i="18"/>
  <c r="BM457" i="18"/>
  <c r="BH482" i="18"/>
  <c r="BM472" i="18"/>
  <c r="BD480" i="18"/>
  <c r="AZ473" i="18"/>
  <c r="BD469" i="18"/>
  <c r="BG469" i="18"/>
  <c r="BF469" i="18"/>
  <c r="BC469" i="18"/>
  <c r="BB469" i="18"/>
  <c r="BE469" i="18"/>
  <c r="BH469" i="18"/>
  <c r="BK468" i="18"/>
  <c r="BE471" i="18"/>
  <c r="BF483" i="18"/>
  <c r="BC489" i="18"/>
  <c r="BK488" i="18"/>
  <c r="AZ494" i="18"/>
  <c r="BK489" i="18"/>
  <c r="BL484" i="18"/>
  <c r="BH488" i="18"/>
  <c r="BL458" i="18"/>
  <c r="BM469" i="18"/>
  <c r="BK495" i="18"/>
  <c r="BE459" i="18"/>
  <c r="BH460" i="18"/>
  <c r="BK473" i="18"/>
  <c r="BE484" i="18"/>
  <c r="AZ469" i="18"/>
  <c r="BG459" i="18"/>
  <c r="AZ476" i="18"/>
  <c r="BK476" i="18"/>
  <c r="BI489" i="18"/>
  <c r="AZ486" i="18"/>
  <c r="AZ479" i="18"/>
  <c r="BK485" i="18"/>
  <c r="BL497" i="18"/>
  <c r="BK484" i="18"/>
  <c r="BF468" i="18"/>
  <c r="BM485" i="18"/>
  <c r="BK482" i="18"/>
  <c r="AZ482" i="18"/>
  <c r="BM482" i="18"/>
  <c r="BL482" i="18"/>
  <c r="BH502" i="18"/>
  <c r="BE472" i="18"/>
  <c r="BH490" i="18"/>
  <c r="BM470" i="18"/>
  <c r="BG485" i="18"/>
  <c r="BK497" i="18"/>
  <c r="BG482" i="18"/>
  <c r="BK471" i="18"/>
  <c r="BJ471" i="18"/>
  <c r="BI471" i="18"/>
  <c r="BM471" i="18"/>
  <c r="BL471" i="18"/>
  <c r="BG468" i="18"/>
  <c r="BJ469" i="18"/>
  <c r="BJ494" i="18"/>
  <c r="BH494" i="18"/>
  <c r="BD502" i="18"/>
  <c r="BL459" i="18"/>
  <c r="BM467" i="18"/>
  <c r="BJ467" i="18"/>
  <c r="BL467" i="18"/>
  <c r="BK467" i="18"/>
  <c r="BJ490" i="18"/>
  <c r="BB486" i="18"/>
  <c r="AZ490" i="18"/>
  <c r="AZ460" i="18"/>
  <c r="AZ492" i="18"/>
  <c r="BK492" i="18"/>
  <c r="BJ492" i="18"/>
  <c r="BL492" i="18"/>
  <c r="BL480" i="18"/>
  <c r="BJ480" i="18"/>
  <c r="BK479" i="18"/>
  <c r="BI473" i="18"/>
  <c r="AZ480" i="18"/>
  <c r="BM480" i="18"/>
  <c r="BM497" i="18"/>
  <c r="BL469" i="18"/>
  <c r="BI483" i="18"/>
  <c r="BI476" i="18"/>
  <c r="BG492" i="18"/>
  <c r="BL460" i="18"/>
  <c r="BM399" i="18"/>
  <c r="BL399" i="18"/>
  <c r="BK399" i="18"/>
  <c r="BJ399" i="18"/>
  <c r="BI399" i="18"/>
  <c r="BH399" i="18"/>
  <c r="BG399" i="18"/>
  <c r="BF399" i="18"/>
  <c r="BE399" i="18"/>
  <c r="BD399" i="18"/>
  <c r="BC399" i="18"/>
  <c r="BB399" i="18"/>
  <c r="BA399" i="18"/>
  <c r="AZ399" i="18"/>
  <c r="BM398" i="18" l="1"/>
  <c r="BL398" i="18"/>
  <c r="BK398" i="18"/>
  <c r="BJ398" i="18"/>
  <c r="BI398" i="18"/>
  <c r="BH398" i="18"/>
  <c r="BG398" i="18"/>
  <c r="BF398" i="18"/>
  <c r="BE398" i="18"/>
  <c r="BD398" i="18"/>
  <c r="BC398" i="18"/>
  <c r="BB398" i="18"/>
  <c r="BA398" i="18"/>
  <c r="BM397" i="18"/>
  <c r="BL397" i="18"/>
  <c r="BK397" i="18"/>
  <c r="BJ397" i="18"/>
  <c r="BI397" i="18"/>
  <c r="BH397" i="18"/>
  <c r="BG397" i="18"/>
  <c r="BF397" i="18"/>
  <c r="BE397" i="18"/>
  <c r="BD397" i="18"/>
  <c r="BC397" i="18"/>
  <c r="BB397" i="18"/>
  <c r="BA397" i="18"/>
  <c r="BM396" i="18"/>
  <c r="BL396" i="18"/>
  <c r="BK396" i="18"/>
  <c r="BJ396" i="18"/>
  <c r="BI396" i="18"/>
  <c r="BH396" i="18"/>
  <c r="BG396" i="18"/>
  <c r="BF396" i="18"/>
  <c r="BE396" i="18"/>
  <c r="BD396" i="18"/>
  <c r="BC396" i="18"/>
  <c r="BB396" i="18"/>
  <c r="BA396" i="18"/>
  <c r="BM395" i="18"/>
  <c r="BL395" i="18"/>
  <c r="BK395" i="18"/>
  <c r="BJ395" i="18"/>
  <c r="BI395" i="18"/>
  <c r="BH395" i="18"/>
  <c r="BG395" i="18"/>
  <c r="BF395" i="18"/>
  <c r="BE395" i="18"/>
  <c r="BD395" i="18"/>
  <c r="BC395" i="18"/>
  <c r="BB395" i="18"/>
  <c r="BA395" i="18"/>
  <c r="AZ398" i="18"/>
  <c r="AZ397" i="18"/>
  <c r="AZ396" i="18"/>
  <c r="AZ395" i="18"/>
  <c r="BM362" i="18" l="1"/>
  <c r="BL362" i="18"/>
  <c r="BK362" i="18"/>
  <c r="BJ362" i="18"/>
  <c r="BI362" i="18"/>
  <c r="BH362" i="18"/>
  <c r="BG362" i="18"/>
  <c r="BF362" i="18"/>
  <c r="BE362" i="18"/>
  <c r="BD362" i="18"/>
  <c r="BC362" i="18"/>
  <c r="BB362" i="18"/>
  <c r="BA362" i="18"/>
  <c r="BA384" i="18" l="1"/>
  <c r="BA383" i="18"/>
  <c r="AY384" i="18"/>
  <c r="AX384" i="18"/>
  <c r="AW384" i="18"/>
  <c r="AV384" i="18"/>
  <c r="AU384" i="18"/>
  <c r="AT384" i="18"/>
  <c r="AS384" i="18"/>
  <c r="AR384" i="18"/>
  <c r="AQ384" i="18"/>
  <c r="AP384" i="18"/>
  <c r="AO384" i="18"/>
  <c r="AN384" i="18"/>
  <c r="AY383" i="18"/>
  <c r="AX383" i="18"/>
  <c r="AW383" i="18"/>
  <c r="AV383" i="18"/>
  <c r="AU383" i="18"/>
  <c r="AT383" i="18"/>
  <c r="AS383" i="18"/>
  <c r="AR383" i="18"/>
  <c r="AQ383" i="18"/>
  <c r="AP383" i="18"/>
  <c r="AO383" i="18"/>
  <c r="AN383" i="18"/>
  <c r="AY382" i="18"/>
  <c r="AX382" i="18"/>
  <c r="AW382" i="18"/>
  <c r="AV382" i="18"/>
  <c r="AU382" i="18"/>
  <c r="AT382" i="18"/>
  <c r="AS382" i="18"/>
  <c r="AR382" i="18"/>
  <c r="AQ382" i="18"/>
  <c r="AP382" i="18"/>
  <c r="AO382" i="18"/>
  <c r="AN382" i="18"/>
  <c r="BC384" i="18" l="1"/>
  <c r="BD383" i="18"/>
  <c r="BC383" i="18"/>
  <c r="BE383" i="18"/>
  <c r="BB383" i="18"/>
  <c r="BF383" i="18"/>
  <c r="BD384" i="18"/>
  <c r="BE384" i="18"/>
  <c r="BJ383" i="18"/>
  <c r="BF384" i="18"/>
  <c r="BG384" i="18"/>
  <c r="BH383" i="18"/>
  <c r="BM383" i="18"/>
  <c r="BL383" i="18"/>
  <c r="BH384" i="18"/>
  <c r="BJ384" i="18"/>
  <c r="BL384" i="18"/>
  <c r="BM384" i="18"/>
  <c r="BK383" i="18"/>
  <c r="AZ383" i="18"/>
  <c r="BB384" i="18"/>
  <c r="BI384" i="18"/>
  <c r="BG383" i="18"/>
  <c r="BK384" i="18"/>
  <c r="BI383" i="18"/>
  <c r="AZ384" i="18"/>
  <c r="BM394" i="18" l="1"/>
  <c r="BL394" i="18"/>
  <c r="BK394" i="18"/>
  <c r="BJ394" i="18"/>
  <c r="BI394" i="18"/>
  <c r="BH394" i="18"/>
  <c r="BG394" i="18"/>
  <c r="BF394" i="18"/>
  <c r="BE394" i="18"/>
  <c r="BD394" i="18"/>
  <c r="BC394" i="18"/>
  <c r="BB394" i="18"/>
  <c r="BA394" i="18"/>
  <c r="BM393" i="18"/>
  <c r="BL393" i="18"/>
  <c r="BK393" i="18"/>
  <c r="BJ393" i="18"/>
  <c r="BI393" i="18"/>
  <c r="BH393" i="18"/>
  <c r="BG393" i="18"/>
  <c r="BF393" i="18"/>
  <c r="BE393" i="18"/>
  <c r="BD393" i="18"/>
  <c r="BC393" i="18"/>
  <c r="BB393" i="18"/>
  <c r="BA393" i="18"/>
  <c r="BM392" i="18"/>
  <c r="BL392" i="18"/>
  <c r="BK392" i="18"/>
  <c r="BJ392" i="18"/>
  <c r="BI392" i="18"/>
  <c r="BH392" i="18"/>
  <c r="BG392" i="18"/>
  <c r="BF392" i="18"/>
  <c r="BE392" i="18"/>
  <c r="BD392" i="18"/>
  <c r="BC392" i="18"/>
  <c r="BB392" i="18"/>
  <c r="BA392" i="18"/>
  <c r="BM391" i="18"/>
  <c r="BL391" i="18"/>
  <c r="BK391" i="18"/>
  <c r="BJ391" i="18"/>
  <c r="BI391" i="18"/>
  <c r="BH391" i="18"/>
  <c r="BG391" i="18"/>
  <c r="BF391" i="18"/>
  <c r="BE391" i="18"/>
  <c r="BD391" i="18"/>
  <c r="BC391" i="18"/>
  <c r="BB391" i="18"/>
  <c r="BA391" i="18"/>
  <c r="BM390" i="18"/>
  <c r="BL390" i="18"/>
  <c r="BK390" i="18"/>
  <c r="BJ390" i="18"/>
  <c r="BI390" i="18"/>
  <c r="BH390" i="18"/>
  <c r="BG390" i="18"/>
  <c r="BF390" i="18"/>
  <c r="BE390" i="18"/>
  <c r="BD390" i="18"/>
  <c r="BC390" i="18"/>
  <c r="BB390" i="18"/>
  <c r="BA390" i="18"/>
  <c r="BM389" i="18"/>
  <c r="BL389" i="18"/>
  <c r="BK389" i="18"/>
  <c r="BJ389" i="18"/>
  <c r="BI389" i="18"/>
  <c r="BH389" i="18"/>
  <c r="BG389" i="18"/>
  <c r="BF389" i="18"/>
  <c r="BE389" i="18"/>
  <c r="BD389" i="18"/>
  <c r="BC389" i="18"/>
  <c r="BB389" i="18"/>
  <c r="BA389" i="18"/>
  <c r="BM388" i="18"/>
  <c r="BL388" i="18"/>
  <c r="BK388" i="18"/>
  <c r="BJ388" i="18"/>
  <c r="BI388" i="18"/>
  <c r="BH388" i="18"/>
  <c r="BG388" i="18"/>
  <c r="BF388" i="18"/>
  <c r="BE388" i="18"/>
  <c r="BD388" i="18"/>
  <c r="BC388" i="18"/>
  <c r="BB388" i="18"/>
  <c r="BA388" i="18"/>
  <c r="BM387" i="18"/>
  <c r="BL387" i="18"/>
  <c r="BK387" i="18"/>
  <c r="BJ387" i="18"/>
  <c r="BI387" i="18"/>
  <c r="BH387" i="18"/>
  <c r="BG387" i="18"/>
  <c r="BF387" i="18"/>
  <c r="BE387" i="18"/>
  <c r="BD387" i="18"/>
  <c r="BC387" i="18"/>
  <c r="BB387" i="18"/>
  <c r="BA387" i="18"/>
  <c r="BM386" i="18"/>
  <c r="BL386" i="18"/>
  <c r="BK386" i="18"/>
  <c r="BJ386" i="18"/>
  <c r="BI386" i="18"/>
  <c r="BH386" i="18"/>
  <c r="BG386" i="18"/>
  <c r="BF386" i="18"/>
  <c r="BE386" i="18"/>
  <c r="BD386" i="18"/>
  <c r="BC386" i="18"/>
  <c r="BB386" i="18"/>
  <c r="BA386" i="18"/>
  <c r="BM385" i="18"/>
  <c r="BL385" i="18"/>
  <c r="BK385" i="18"/>
  <c r="BJ385" i="18"/>
  <c r="BI385" i="18"/>
  <c r="BH385" i="18"/>
  <c r="BG385" i="18"/>
  <c r="BF385" i="18"/>
  <c r="BE385" i="18"/>
  <c r="BD385" i="18"/>
  <c r="BC385" i="18"/>
  <c r="BB385" i="18"/>
  <c r="BA385" i="18"/>
  <c r="BM382" i="18"/>
  <c r="BL382" i="18"/>
  <c r="BK382" i="18"/>
  <c r="BJ382" i="18"/>
  <c r="BI382" i="18"/>
  <c r="BH382" i="18"/>
  <c r="BG382" i="18"/>
  <c r="BF382" i="18"/>
  <c r="BE382" i="18"/>
  <c r="BD382" i="18"/>
  <c r="BC382" i="18"/>
  <c r="BB382" i="18"/>
  <c r="BA382" i="18"/>
  <c r="BM381" i="18"/>
  <c r="BL381" i="18"/>
  <c r="BK381" i="18"/>
  <c r="BJ381" i="18"/>
  <c r="BI381" i="18"/>
  <c r="BH381" i="18"/>
  <c r="BG381" i="18"/>
  <c r="BF381" i="18"/>
  <c r="BE381" i="18"/>
  <c r="BD381" i="18"/>
  <c r="BC381" i="18"/>
  <c r="BB381" i="18"/>
  <c r="BA381" i="18"/>
  <c r="BM380" i="18"/>
  <c r="BL380" i="18"/>
  <c r="BK380" i="18"/>
  <c r="BJ380" i="18"/>
  <c r="BI380" i="18"/>
  <c r="BH380" i="18"/>
  <c r="BG380" i="18"/>
  <c r="BF380" i="18"/>
  <c r="BE380" i="18"/>
  <c r="BD380" i="18"/>
  <c r="BC380" i="18"/>
  <c r="BB380" i="18"/>
  <c r="BA380" i="18"/>
  <c r="BM379" i="18"/>
  <c r="BL379" i="18"/>
  <c r="BK379" i="18"/>
  <c r="BJ379" i="18"/>
  <c r="BI379" i="18"/>
  <c r="BH379" i="18"/>
  <c r="BG379" i="18"/>
  <c r="BF379" i="18"/>
  <c r="BE379" i="18"/>
  <c r="BD379" i="18"/>
  <c r="BC379" i="18"/>
  <c r="BB379" i="18"/>
  <c r="BA379" i="18"/>
  <c r="AZ394" i="18"/>
  <c r="AZ393" i="18"/>
  <c r="AZ392" i="18"/>
  <c r="AZ391" i="18"/>
  <c r="AZ390" i="18"/>
  <c r="AZ389" i="18"/>
  <c r="AZ388" i="18"/>
  <c r="AZ387" i="18"/>
  <c r="AZ386" i="18"/>
  <c r="AZ385" i="18"/>
  <c r="AZ382" i="18"/>
  <c r="AZ381" i="18"/>
  <c r="AZ5" i="18" s="1"/>
  <c r="AZ380" i="18"/>
  <c r="AZ379" i="18"/>
  <c r="BM378" i="18" l="1"/>
  <c r="BL378" i="18"/>
  <c r="BK378" i="18"/>
  <c r="BJ378" i="18"/>
  <c r="BI378" i="18"/>
  <c r="BH378" i="18"/>
  <c r="BG378" i="18"/>
  <c r="BF378" i="18"/>
  <c r="BE378" i="18"/>
  <c r="BD378" i="18"/>
  <c r="BC378" i="18"/>
  <c r="BB378" i="18"/>
  <c r="BA378" i="18"/>
  <c r="BM377" i="18"/>
  <c r="BL377" i="18"/>
  <c r="BK377" i="18"/>
  <c r="BJ377" i="18"/>
  <c r="BI377" i="18"/>
  <c r="BH377" i="18"/>
  <c r="BG377" i="18"/>
  <c r="BF377" i="18"/>
  <c r="BE377" i="18"/>
  <c r="BD377" i="18"/>
  <c r="BC377" i="18"/>
  <c r="BB377" i="18"/>
  <c r="BA377" i="18"/>
  <c r="BM376" i="18"/>
  <c r="BL376" i="18"/>
  <c r="BK376" i="18"/>
  <c r="BJ376" i="18"/>
  <c r="BI376" i="18"/>
  <c r="BH376" i="18"/>
  <c r="BG376" i="18"/>
  <c r="BF376" i="18"/>
  <c r="BE376" i="18"/>
  <c r="BD376" i="18"/>
  <c r="BC376" i="18"/>
  <c r="BB376" i="18"/>
  <c r="BA376" i="18"/>
  <c r="AZ378" i="18"/>
  <c r="AZ377" i="18"/>
  <c r="AZ376" i="18"/>
  <c r="AZ375" i="18"/>
  <c r="BM375" i="18" l="1"/>
  <c r="BL375" i="18"/>
  <c r="BK375" i="18"/>
  <c r="BJ375" i="18"/>
  <c r="BI375" i="18"/>
  <c r="BH375" i="18"/>
  <c r="BG375" i="18"/>
  <c r="BF375" i="18"/>
  <c r="BE375" i="18"/>
  <c r="BD375" i="18"/>
  <c r="BC375" i="18"/>
  <c r="BB375" i="18"/>
  <c r="BA375" i="18"/>
  <c r="BM374" i="18"/>
  <c r="BL374" i="18"/>
  <c r="BK374" i="18"/>
  <c r="BJ374" i="18"/>
  <c r="BI374" i="18"/>
  <c r="BH374" i="18"/>
  <c r="BG374" i="18"/>
  <c r="BF374" i="18"/>
  <c r="BE374" i="18"/>
  <c r="BD374" i="18"/>
  <c r="BC374" i="18"/>
  <c r="BB374" i="18"/>
  <c r="BA374" i="18"/>
  <c r="BM373" i="18"/>
  <c r="BL373" i="18"/>
  <c r="BK373" i="18"/>
  <c r="BJ373" i="18"/>
  <c r="BI373" i="18"/>
  <c r="BH373" i="18"/>
  <c r="BG373" i="18"/>
  <c r="BF373" i="18"/>
  <c r="BE373" i="18"/>
  <c r="BD373" i="18"/>
  <c r="BC373" i="18"/>
  <c r="BB373" i="18"/>
  <c r="BA373" i="18"/>
  <c r="BM372" i="18"/>
  <c r="BL372" i="18"/>
  <c r="BK372" i="18"/>
  <c r="BJ372" i="18"/>
  <c r="BI372" i="18"/>
  <c r="BH372" i="18"/>
  <c r="BG372" i="18"/>
  <c r="BF372" i="18"/>
  <c r="BE372" i="18"/>
  <c r="BD372" i="18"/>
  <c r="BC372" i="18"/>
  <c r="BB372" i="18"/>
  <c r="BA372" i="18"/>
  <c r="BM371" i="18"/>
  <c r="BL371" i="18"/>
  <c r="BK371" i="18"/>
  <c r="BJ371" i="18"/>
  <c r="BI371" i="18"/>
  <c r="BH371" i="18"/>
  <c r="BG371" i="18"/>
  <c r="BF371" i="18"/>
  <c r="BE371" i="18"/>
  <c r="BD371" i="18"/>
  <c r="BC371" i="18"/>
  <c r="BB371" i="18"/>
  <c r="BA371" i="18"/>
  <c r="BM370" i="18"/>
  <c r="BL370" i="18"/>
  <c r="BK370" i="18"/>
  <c r="BJ370" i="18"/>
  <c r="BI370" i="18"/>
  <c r="BH370" i="18"/>
  <c r="BG370" i="18"/>
  <c r="BF370" i="18"/>
  <c r="BE370" i="18"/>
  <c r="BD370" i="18"/>
  <c r="BC370" i="18"/>
  <c r="BB370" i="18"/>
  <c r="BA370" i="18"/>
  <c r="BM369" i="18"/>
  <c r="BL369" i="18"/>
  <c r="BK369" i="18"/>
  <c r="BJ369" i="18"/>
  <c r="BI369" i="18"/>
  <c r="BH369" i="18"/>
  <c r="BG369" i="18"/>
  <c r="BF369" i="18"/>
  <c r="BE369" i="18"/>
  <c r="BD369" i="18"/>
  <c r="BC369" i="18"/>
  <c r="BB369" i="18"/>
  <c r="BA369" i="18"/>
  <c r="BM368" i="18"/>
  <c r="BL368" i="18"/>
  <c r="BK368" i="18"/>
  <c r="BJ368" i="18"/>
  <c r="BI368" i="18"/>
  <c r="BH368" i="18"/>
  <c r="BG368" i="18"/>
  <c r="BF368" i="18"/>
  <c r="BE368" i="18"/>
  <c r="BD368" i="18"/>
  <c r="BC368" i="18"/>
  <c r="BB368" i="18"/>
  <c r="BA368" i="18"/>
  <c r="AZ374" i="18"/>
  <c r="AZ373" i="18"/>
  <c r="AZ372" i="18"/>
  <c r="AZ371" i="18"/>
  <c r="AZ370" i="18"/>
  <c r="AZ369" i="18"/>
  <c r="AZ368" i="18"/>
  <c r="BM361" i="18" l="1"/>
  <c r="BL361" i="18"/>
  <c r="BK361" i="18"/>
  <c r="BJ361" i="18"/>
  <c r="BI361" i="18"/>
  <c r="BH361" i="18"/>
  <c r="BG361" i="18"/>
  <c r="BF361" i="18"/>
  <c r="BE361" i="18"/>
  <c r="BD361" i="18"/>
  <c r="BC361" i="18"/>
  <c r="BB361" i="18"/>
  <c r="BA361" i="18"/>
  <c r="BM360" i="18"/>
  <c r="BL360" i="18"/>
  <c r="BK360" i="18"/>
  <c r="BJ360" i="18"/>
  <c r="BI360" i="18"/>
  <c r="BH360" i="18"/>
  <c r="BG360" i="18"/>
  <c r="BF360" i="18"/>
  <c r="BE360" i="18"/>
  <c r="BD360" i="18"/>
  <c r="BC360" i="18"/>
  <c r="BB360" i="18"/>
  <c r="BA360" i="18"/>
  <c r="AZ361" i="18"/>
  <c r="AZ360" i="18"/>
  <c r="L339" i="28" l="1"/>
  <c r="K339" i="28"/>
  <c r="J339" i="28"/>
  <c r="F339" i="28"/>
  <c r="A338" i="28"/>
  <c r="A337" i="28"/>
  <c r="A336" i="28"/>
  <c r="A335" i="28"/>
  <c r="A334" i="28"/>
  <c r="A333" i="28"/>
  <c r="A332" i="28"/>
  <c r="A331" i="28"/>
  <c r="A330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05" i="28"/>
  <c r="A304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BM367" i="18" l="1"/>
  <c r="BL367" i="18"/>
  <c r="BK367" i="18"/>
  <c r="BJ367" i="18"/>
  <c r="BI367" i="18"/>
  <c r="BH367" i="18"/>
  <c r="BG367" i="18"/>
  <c r="BF367" i="18"/>
  <c r="BE367" i="18"/>
  <c r="BD367" i="18"/>
  <c r="BC367" i="18"/>
  <c r="BB367" i="18"/>
  <c r="BA367" i="18"/>
  <c r="BM366" i="18"/>
  <c r="BL366" i="18"/>
  <c r="BK366" i="18"/>
  <c r="BJ366" i="18"/>
  <c r="BI366" i="18"/>
  <c r="BH366" i="18"/>
  <c r="BG366" i="18"/>
  <c r="BF366" i="18"/>
  <c r="BE366" i="18"/>
  <c r="BD366" i="18"/>
  <c r="BC366" i="18"/>
  <c r="BB366" i="18"/>
  <c r="BA366" i="18"/>
  <c r="BM365" i="18"/>
  <c r="BL365" i="18"/>
  <c r="BK365" i="18"/>
  <c r="BJ365" i="18"/>
  <c r="BI365" i="18"/>
  <c r="BH365" i="18"/>
  <c r="BG365" i="18"/>
  <c r="BF365" i="18"/>
  <c r="BE365" i="18"/>
  <c r="BD365" i="18"/>
  <c r="BC365" i="18"/>
  <c r="BB365" i="18"/>
  <c r="BA365" i="18"/>
  <c r="AZ367" i="18"/>
  <c r="AZ366" i="18"/>
  <c r="AZ365" i="18"/>
  <c r="AZ364" i="18"/>
  <c r="BA334" i="18" l="1"/>
  <c r="BM356" i="18"/>
  <c r="BL356" i="18"/>
  <c r="BK356" i="18"/>
  <c r="BJ356" i="18"/>
  <c r="BI356" i="18"/>
  <c r="BH356" i="18"/>
  <c r="BG356" i="18"/>
  <c r="BF356" i="18"/>
  <c r="BE356" i="18"/>
  <c r="BD356" i="18"/>
  <c r="BC356" i="18"/>
  <c r="BB356" i="18"/>
  <c r="BA356" i="18"/>
  <c r="BM355" i="18"/>
  <c r="BL355" i="18"/>
  <c r="BK355" i="18"/>
  <c r="BJ355" i="18"/>
  <c r="BI355" i="18"/>
  <c r="BH355" i="18"/>
  <c r="BG355" i="18"/>
  <c r="BF355" i="18"/>
  <c r="BE355" i="18"/>
  <c r="BD355" i="18"/>
  <c r="BC355" i="18"/>
  <c r="BB355" i="18"/>
  <c r="BA355" i="18"/>
  <c r="BM354" i="18"/>
  <c r="BL354" i="18"/>
  <c r="BK354" i="18"/>
  <c r="BJ354" i="18"/>
  <c r="BI354" i="18"/>
  <c r="BH354" i="18"/>
  <c r="BG354" i="18"/>
  <c r="BF354" i="18"/>
  <c r="BE354" i="18"/>
  <c r="BD354" i="18"/>
  <c r="BC354" i="18"/>
  <c r="BB354" i="18"/>
  <c r="BA354" i="18"/>
  <c r="BM353" i="18"/>
  <c r="BL353" i="18"/>
  <c r="BK353" i="18"/>
  <c r="BJ353" i="18"/>
  <c r="BI353" i="18"/>
  <c r="BH353" i="18"/>
  <c r="BG353" i="18"/>
  <c r="BF353" i="18"/>
  <c r="BE353" i="18"/>
  <c r="BD353" i="18"/>
  <c r="BC353" i="18"/>
  <c r="BB353" i="18"/>
  <c r="BA353" i="18"/>
  <c r="BM352" i="18"/>
  <c r="BL352" i="18"/>
  <c r="BK352" i="18"/>
  <c r="BJ352" i="18"/>
  <c r="BI352" i="18"/>
  <c r="BH352" i="18"/>
  <c r="BG352" i="18"/>
  <c r="BF352" i="18"/>
  <c r="BE352" i="18"/>
  <c r="BD352" i="18"/>
  <c r="BC352" i="18"/>
  <c r="BB352" i="18"/>
  <c r="BA352" i="18"/>
  <c r="BM351" i="18"/>
  <c r="BL351" i="18"/>
  <c r="BK351" i="18"/>
  <c r="BJ351" i="18"/>
  <c r="BI351" i="18"/>
  <c r="BH351" i="18"/>
  <c r="BG351" i="18"/>
  <c r="BF351" i="18"/>
  <c r="BE351" i="18"/>
  <c r="BD351" i="18"/>
  <c r="BC351" i="18"/>
  <c r="BB351" i="18"/>
  <c r="BA351" i="18"/>
  <c r="BM350" i="18"/>
  <c r="BL350" i="18"/>
  <c r="BK350" i="18"/>
  <c r="BJ350" i="18"/>
  <c r="BI350" i="18"/>
  <c r="BH350" i="18"/>
  <c r="BG350" i="18"/>
  <c r="BF350" i="18"/>
  <c r="BE350" i="18"/>
  <c r="BD350" i="18"/>
  <c r="BC350" i="18"/>
  <c r="BB350" i="18"/>
  <c r="BA350" i="18"/>
  <c r="BM349" i="18"/>
  <c r="BL349" i="18"/>
  <c r="BK349" i="18"/>
  <c r="BJ349" i="18"/>
  <c r="BI349" i="18"/>
  <c r="BH349" i="18"/>
  <c r="BG349" i="18"/>
  <c r="BF349" i="18"/>
  <c r="BE349" i="18"/>
  <c r="BD349" i="18"/>
  <c r="BC349" i="18"/>
  <c r="BB349" i="18"/>
  <c r="BA349" i="18"/>
  <c r="BM348" i="18"/>
  <c r="BL348" i="18"/>
  <c r="BK348" i="18"/>
  <c r="BJ348" i="18"/>
  <c r="BI348" i="18"/>
  <c r="BH348" i="18"/>
  <c r="BG348" i="18"/>
  <c r="BF348" i="18"/>
  <c r="BE348" i="18"/>
  <c r="BD348" i="18"/>
  <c r="BC348" i="18"/>
  <c r="BB348" i="18"/>
  <c r="BA348" i="18"/>
  <c r="BM347" i="18"/>
  <c r="BL347" i="18"/>
  <c r="BK347" i="18"/>
  <c r="BJ347" i="18"/>
  <c r="BI347" i="18"/>
  <c r="BH347" i="18"/>
  <c r="BG347" i="18"/>
  <c r="BF347" i="18"/>
  <c r="BE347" i="18"/>
  <c r="BD347" i="18"/>
  <c r="BC347" i="18"/>
  <c r="BB347" i="18"/>
  <c r="BA347" i="18"/>
  <c r="BM346" i="18"/>
  <c r="BL346" i="18"/>
  <c r="BK346" i="18"/>
  <c r="BJ346" i="18"/>
  <c r="BI346" i="18"/>
  <c r="BH346" i="18"/>
  <c r="BG346" i="18"/>
  <c r="BF346" i="18"/>
  <c r="BE346" i="18"/>
  <c r="BD346" i="18"/>
  <c r="BC346" i="18"/>
  <c r="BB346" i="18"/>
  <c r="BA346" i="18"/>
  <c r="BM345" i="18"/>
  <c r="BL345" i="18"/>
  <c r="BK345" i="18"/>
  <c r="BJ345" i="18"/>
  <c r="BI345" i="18"/>
  <c r="BH345" i="18"/>
  <c r="BG345" i="18"/>
  <c r="BF345" i="18"/>
  <c r="BE345" i="18"/>
  <c r="BD345" i="18"/>
  <c r="BC345" i="18"/>
  <c r="BB345" i="18"/>
  <c r="BA345" i="18"/>
  <c r="BM344" i="18"/>
  <c r="BL344" i="18"/>
  <c r="BK344" i="18"/>
  <c r="BJ344" i="18"/>
  <c r="BI344" i="18"/>
  <c r="BH344" i="18"/>
  <c r="BG344" i="18"/>
  <c r="BF344" i="18"/>
  <c r="BE344" i="18"/>
  <c r="BD344" i="18"/>
  <c r="BC344" i="18"/>
  <c r="BB344" i="18"/>
  <c r="BA344" i="18"/>
  <c r="BM343" i="18"/>
  <c r="BL343" i="18"/>
  <c r="BK343" i="18"/>
  <c r="BJ343" i="18"/>
  <c r="BI343" i="18"/>
  <c r="BH343" i="18"/>
  <c r="BG343" i="18"/>
  <c r="BF343" i="18"/>
  <c r="BE343" i="18"/>
  <c r="BD343" i="18"/>
  <c r="BC343" i="18"/>
  <c r="BB343" i="18"/>
  <c r="BA343" i="18"/>
  <c r="BM342" i="18"/>
  <c r="BL342" i="18"/>
  <c r="BK342" i="18"/>
  <c r="BJ342" i="18"/>
  <c r="BI342" i="18"/>
  <c r="BH342" i="18"/>
  <c r="BG342" i="18"/>
  <c r="BF342" i="18"/>
  <c r="BE342" i="18"/>
  <c r="BD342" i="18"/>
  <c r="BC342" i="18"/>
  <c r="BB342" i="18"/>
  <c r="BA342" i="18"/>
  <c r="BM341" i="18"/>
  <c r="BL341" i="18"/>
  <c r="BK341" i="18"/>
  <c r="BJ341" i="18"/>
  <c r="BI341" i="18"/>
  <c r="BH341" i="18"/>
  <c r="BG341" i="18"/>
  <c r="BF341" i="18"/>
  <c r="BE341" i="18"/>
  <c r="BD341" i="18"/>
  <c r="BC341" i="18"/>
  <c r="BB341" i="18"/>
  <c r="BA341" i="18"/>
  <c r="BM340" i="18"/>
  <c r="BL340" i="18"/>
  <c r="BK340" i="18"/>
  <c r="BJ340" i="18"/>
  <c r="BI340" i="18"/>
  <c r="BH340" i="18"/>
  <c r="BG340" i="18"/>
  <c r="BF340" i="18"/>
  <c r="BE340" i="18"/>
  <c r="BD340" i="18"/>
  <c r="BC340" i="18"/>
  <c r="BB340" i="18"/>
  <c r="BA340" i="18"/>
  <c r="BM339" i="18"/>
  <c r="BL339" i="18"/>
  <c r="BK339" i="18"/>
  <c r="BJ339" i="18"/>
  <c r="BI339" i="18"/>
  <c r="BH339" i="18"/>
  <c r="BG339" i="18"/>
  <c r="BF339" i="18"/>
  <c r="BE339" i="18"/>
  <c r="BD339" i="18"/>
  <c r="BC339" i="18"/>
  <c r="BB339" i="18"/>
  <c r="BA339" i="18"/>
  <c r="BM338" i="18"/>
  <c r="BL338" i="18"/>
  <c r="BK338" i="18"/>
  <c r="BJ338" i="18"/>
  <c r="BI338" i="18"/>
  <c r="BH338" i="18"/>
  <c r="BG338" i="18"/>
  <c r="BF338" i="18"/>
  <c r="BE338" i="18"/>
  <c r="BD338" i="18"/>
  <c r="BC338" i="18"/>
  <c r="BB338" i="18"/>
  <c r="BA338" i="18"/>
  <c r="BM337" i="18"/>
  <c r="BL337" i="18"/>
  <c r="BK337" i="18"/>
  <c r="BJ337" i="18"/>
  <c r="BI337" i="18"/>
  <c r="BH337" i="18"/>
  <c r="BG337" i="18"/>
  <c r="BF337" i="18"/>
  <c r="BE337" i="18"/>
  <c r="BD337" i="18"/>
  <c r="BC337" i="18"/>
  <c r="BB337" i="18"/>
  <c r="BA337" i="18"/>
  <c r="BM336" i="18"/>
  <c r="BL336" i="18"/>
  <c r="BK336" i="18"/>
  <c r="BJ336" i="18"/>
  <c r="BI336" i="18"/>
  <c r="BH336" i="18"/>
  <c r="BG336" i="18"/>
  <c r="BF336" i="18"/>
  <c r="BE336" i="18"/>
  <c r="BD336" i="18"/>
  <c r="BC336" i="18"/>
  <c r="BB336" i="18"/>
  <c r="BA336" i="18"/>
  <c r="BM335" i="18"/>
  <c r="BL335" i="18"/>
  <c r="BK335" i="18"/>
  <c r="BJ335" i="18"/>
  <c r="BI335" i="18"/>
  <c r="BH335" i="18"/>
  <c r="BG335" i="18"/>
  <c r="BF335" i="18"/>
  <c r="BE335" i="18"/>
  <c r="BD335" i="18"/>
  <c r="BC335" i="18"/>
  <c r="BB335" i="18"/>
  <c r="BA335" i="18"/>
  <c r="BM334" i="18"/>
  <c r="BL334" i="18"/>
  <c r="BK334" i="18"/>
  <c r="BJ334" i="18"/>
  <c r="BI334" i="18"/>
  <c r="BH334" i="18"/>
  <c r="BG334" i="18"/>
  <c r="BF334" i="18"/>
  <c r="BE334" i="18"/>
  <c r="BD334" i="18"/>
  <c r="BC334" i="18"/>
  <c r="BB334" i="18"/>
  <c r="BM333" i="18"/>
  <c r="BL333" i="18"/>
  <c r="BK333" i="18"/>
  <c r="BJ333" i="18"/>
  <c r="BI333" i="18"/>
  <c r="BH333" i="18"/>
  <c r="BG333" i="18"/>
  <c r="BF333" i="18"/>
  <c r="BE333" i="18"/>
  <c r="BD333" i="18"/>
  <c r="BC333" i="18"/>
  <c r="BB333" i="18"/>
  <c r="BA333" i="18"/>
  <c r="BM332" i="18"/>
  <c r="BL332" i="18"/>
  <c r="BK332" i="18"/>
  <c r="BJ332" i="18"/>
  <c r="BI332" i="18"/>
  <c r="BH332" i="18"/>
  <c r="BG332" i="18"/>
  <c r="BF332" i="18"/>
  <c r="BE332" i="18"/>
  <c r="BD332" i="18"/>
  <c r="BC332" i="18"/>
  <c r="BB332" i="18"/>
  <c r="BA332" i="18"/>
  <c r="BM331" i="18"/>
  <c r="BL331" i="18"/>
  <c r="BK331" i="18"/>
  <c r="BJ331" i="18"/>
  <c r="BI331" i="18"/>
  <c r="BH331" i="18"/>
  <c r="BG331" i="18"/>
  <c r="BF331" i="18"/>
  <c r="BE331" i="18"/>
  <c r="BD331" i="18"/>
  <c r="BC331" i="18"/>
  <c r="BB331" i="18"/>
  <c r="BA331" i="18"/>
  <c r="AK455" i="18" l="1"/>
  <c r="AJ455" i="18"/>
  <c r="AI455" i="18"/>
  <c r="AH455" i="18"/>
  <c r="AG455" i="18"/>
  <c r="AF455" i="18"/>
  <c r="AE455" i="18"/>
  <c r="AC455" i="18"/>
  <c r="AB455" i="18"/>
  <c r="AA455" i="18"/>
  <c r="Z455" i="18"/>
  <c r="Y455" i="18"/>
  <c r="BA455" i="18" s="1"/>
  <c r="X455" i="18"/>
  <c r="AW455" i="18" s="1"/>
  <c r="BM364" i="18"/>
  <c r="BL364" i="18"/>
  <c r="BK364" i="18"/>
  <c r="BJ364" i="18"/>
  <c r="BI364" i="18"/>
  <c r="BH364" i="18"/>
  <c r="BG364" i="18"/>
  <c r="BF364" i="18"/>
  <c r="BE364" i="18"/>
  <c r="BD364" i="18"/>
  <c r="BC364" i="18"/>
  <c r="BB364" i="18"/>
  <c r="BA364" i="18"/>
  <c r="BM363" i="18"/>
  <c r="BL363" i="18"/>
  <c r="BK363" i="18"/>
  <c r="BJ363" i="18"/>
  <c r="BI363" i="18"/>
  <c r="BH363" i="18"/>
  <c r="BG363" i="18"/>
  <c r="BF363" i="18"/>
  <c r="BE363" i="18"/>
  <c r="BD363" i="18"/>
  <c r="BC363" i="18"/>
  <c r="BB363" i="18"/>
  <c r="BA363" i="18"/>
  <c r="BM359" i="18"/>
  <c r="BL359" i="18"/>
  <c r="BK359" i="18"/>
  <c r="BJ359" i="18"/>
  <c r="BI359" i="18"/>
  <c r="BH359" i="18"/>
  <c r="BG359" i="18"/>
  <c r="BF359" i="18"/>
  <c r="BE359" i="18"/>
  <c r="BD359" i="18"/>
  <c r="BC359" i="18"/>
  <c r="BB359" i="18"/>
  <c r="BA359" i="18"/>
  <c r="BM358" i="18"/>
  <c r="BL358" i="18"/>
  <c r="BK358" i="18"/>
  <c r="BJ358" i="18"/>
  <c r="BI358" i="18"/>
  <c r="BH358" i="18"/>
  <c r="BG358" i="18"/>
  <c r="BF358" i="18"/>
  <c r="BE358" i="18"/>
  <c r="BD358" i="18"/>
  <c r="BC358" i="18"/>
  <c r="BB358" i="18"/>
  <c r="BA358" i="18"/>
  <c r="BM357" i="18"/>
  <c r="BL357" i="18"/>
  <c r="BK357" i="18"/>
  <c r="BJ357" i="18"/>
  <c r="BI357" i="18"/>
  <c r="BH357" i="18"/>
  <c r="BG357" i="18"/>
  <c r="BF357" i="18"/>
  <c r="BE357" i="18"/>
  <c r="BD357" i="18"/>
  <c r="BC357" i="18"/>
  <c r="BB357" i="18"/>
  <c r="BA357" i="18"/>
  <c r="BM330" i="18"/>
  <c r="BL330" i="18"/>
  <c r="BK330" i="18"/>
  <c r="BJ330" i="18"/>
  <c r="BI330" i="18"/>
  <c r="BH330" i="18"/>
  <c r="BG330" i="18"/>
  <c r="BF330" i="18"/>
  <c r="BE330" i="18"/>
  <c r="BD330" i="18"/>
  <c r="BC330" i="18"/>
  <c r="BB330" i="18"/>
  <c r="BA330" i="18"/>
  <c r="BM329" i="18"/>
  <c r="BL329" i="18"/>
  <c r="BK329" i="18"/>
  <c r="BJ329" i="18"/>
  <c r="BI329" i="18"/>
  <c r="BH329" i="18"/>
  <c r="BG329" i="18"/>
  <c r="BF329" i="18"/>
  <c r="BE329" i="18"/>
  <c r="BD329" i="18"/>
  <c r="BC329" i="18"/>
  <c r="BB329" i="18"/>
  <c r="BA329" i="18"/>
  <c r="BM328" i="18"/>
  <c r="BL328" i="18"/>
  <c r="BK328" i="18"/>
  <c r="BJ328" i="18"/>
  <c r="BI328" i="18"/>
  <c r="BH328" i="18"/>
  <c r="BG328" i="18"/>
  <c r="BF328" i="18"/>
  <c r="BE328" i="18"/>
  <c r="BD328" i="18"/>
  <c r="BC328" i="18"/>
  <c r="BB328" i="18"/>
  <c r="BA328" i="18"/>
  <c r="BM327" i="18"/>
  <c r="BL327" i="18"/>
  <c r="BK327" i="18"/>
  <c r="BJ327" i="18"/>
  <c r="BI327" i="18"/>
  <c r="BH327" i="18"/>
  <c r="BG327" i="18"/>
  <c r="BF327" i="18"/>
  <c r="BE327" i="18"/>
  <c r="BD327" i="18"/>
  <c r="BC327" i="18"/>
  <c r="BB327" i="18"/>
  <c r="BA327" i="18"/>
  <c r="BM326" i="18"/>
  <c r="BL326" i="18"/>
  <c r="BK326" i="18"/>
  <c r="BJ326" i="18"/>
  <c r="BI326" i="18"/>
  <c r="BH326" i="18"/>
  <c r="BG326" i="18"/>
  <c r="BF326" i="18"/>
  <c r="BE326" i="18"/>
  <c r="BD326" i="18"/>
  <c r="BC326" i="18"/>
  <c r="BB326" i="18"/>
  <c r="BA326" i="18"/>
  <c r="BM325" i="18"/>
  <c r="BL325" i="18"/>
  <c r="BK325" i="18"/>
  <c r="BJ325" i="18"/>
  <c r="BI325" i="18"/>
  <c r="BH325" i="18"/>
  <c r="BG325" i="18"/>
  <c r="BF325" i="18"/>
  <c r="BE325" i="18"/>
  <c r="BD325" i="18"/>
  <c r="BC325" i="18"/>
  <c r="BB325" i="18"/>
  <c r="BA325" i="18"/>
  <c r="BM324" i="18"/>
  <c r="BL324" i="18"/>
  <c r="BK324" i="18"/>
  <c r="BJ324" i="18"/>
  <c r="BI324" i="18"/>
  <c r="BH324" i="18"/>
  <c r="BG324" i="18"/>
  <c r="BF324" i="18"/>
  <c r="BE324" i="18"/>
  <c r="BD324" i="18"/>
  <c r="BC324" i="18"/>
  <c r="BB324" i="18"/>
  <c r="BA324" i="18"/>
  <c r="BM323" i="18"/>
  <c r="BL323" i="18"/>
  <c r="BK323" i="18"/>
  <c r="BJ323" i="18"/>
  <c r="BI323" i="18"/>
  <c r="BH323" i="18"/>
  <c r="BG323" i="18"/>
  <c r="BF323" i="18"/>
  <c r="BE323" i="18"/>
  <c r="BD323" i="18"/>
  <c r="BC323" i="18"/>
  <c r="BB323" i="18"/>
  <c r="BA323" i="18"/>
  <c r="BM322" i="18"/>
  <c r="BL322" i="18"/>
  <c r="BK322" i="18"/>
  <c r="BJ322" i="18"/>
  <c r="BI322" i="18"/>
  <c r="BH322" i="18"/>
  <c r="BG322" i="18"/>
  <c r="BF322" i="18"/>
  <c r="BE322" i="18"/>
  <c r="BD322" i="18"/>
  <c r="BC322" i="18"/>
  <c r="BB322" i="18"/>
  <c r="BA322" i="18"/>
  <c r="BM321" i="18"/>
  <c r="BL321" i="18"/>
  <c r="BK321" i="18"/>
  <c r="BJ321" i="18"/>
  <c r="BI321" i="18"/>
  <c r="BH321" i="18"/>
  <c r="BG321" i="18"/>
  <c r="BF321" i="18"/>
  <c r="BE321" i="18"/>
  <c r="BD321" i="18"/>
  <c r="BC321" i="18"/>
  <c r="BB321" i="18"/>
  <c r="BA321" i="18"/>
  <c r="BM320" i="18"/>
  <c r="BL320" i="18"/>
  <c r="BK320" i="18"/>
  <c r="BJ320" i="18"/>
  <c r="BI320" i="18"/>
  <c r="BH320" i="18"/>
  <c r="BG320" i="18"/>
  <c r="BF320" i="18"/>
  <c r="BE320" i="18"/>
  <c r="BD320" i="18"/>
  <c r="BC320" i="18"/>
  <c r="BB320" i="18"/>
  <c r="BA320" i="18"/>
  <c r="BM319" i="18"/>
  <c r="BL319" i="18"/>
  <c r="BK319" i="18"/>
  <c r="BJ319" i="18"/>
  <c r="BI319" i="18"/>
  <c r="BH319" i="18"/>
  <c r="BG319" i="18"/>
  <c r="BF319" i="18"/>
  <c r="BE319" i="18"/>
  <c r="BD319" i="18"/>
  <c r="BC319" i="18"/>
  <c r="BB319" i="18"/>
  <c r="BA319" i="18"/>
  <c r="BM318" i="18"/>
  <c r="BL318" i="18"/>
  <c r="BK318" i="18"/>
  <c r="BJ318" i="18"/>
  <c r="BI318" i="18"/>
  <c r="BH318" i="18"/>
  <c r="BG318" i="18"/>
  <c r="BF318" i="18"/>
  <c r="BE318" i="18"/>
  <c r="BD318" i="18"/>
  <c r="BC318" i="18"/>
  <c r="BB318" i="18"/>
  <c r="BA318" i="18"/>
  <c r="BM317" i="18"/>
  <c r="BL317" i="18"/>
  <c r="BK317" i="18"/>
  <c r="BJ317" i="18"/>
  <c r="BI317" i="18"/>
  <c r="BH317" i="18"/>
  <c r="BG317" i="18"/>
  <c r="BF317" i="18"/>
  <c r="BE317" i="18"/>
  <c r="BD317" i="18"/>
  <c r="BC317" i="18"/>
  <c r="BB317" i="18"/>
  <c r="BA317" i="18"/>
  <c r="BM316" i="18"/>
  <c r="BL316" i="18"/>
  <c r="BK316" i="18"/>
  <c r="BJ316" i="18"/>
  <c r="BI316" i="18"/>
  <c r="BH316" i="18"/>
  <c r="BG316" i="18"/>
  <c r="BF316" i="18"/>
  <c r="BE316" i="18"/>
  <c r="BD316" i="18"/>
  <c r="BC316" i="18"/>
  <c r="BB316" i="18"/>
  <c r="BA316" i="18"/>
  <c r="BM315" i="18"/>
  <c r="BL315" i="18"/>
  <c r="BK315" i="18"/>
  <c r="BJ315" i="18"/>
  <c r="BI315" i="18"/>
  <c r="BH315" i="18"/>
  <c r="BG315" i="18"/>
  <c r="BF315" i="18"/>
  <c r="BE315" i="18"/>
  <c r="BD315" i="18"/>
  <c r="BC315" i="18"/>
  <c r="BB315" i="18"/>
  <c r="BA315" i="18"/>
  <c r="BM314" i="18"/>
  <c r="BL314" i="18"/>
  <c r="BK314" i="18"/>
  <c r="BJ314" i="18"/>
  <c r="BI314" i="18"/>
  <c r="BH314" i="18"/>
  <c r="BG314" i="18"/>
  <c r="BF314" i="18"/>
  <c r="BE314" i="18"/>
  <c r="BD314" i="18"/>
  <c r="BC314" i="18"/>
  <c r="BB314" i="18"/>
  <c r="BA314" i="18"/>
  <c r="BM313" i="18"/>
  <c r="BL313" i="18"/>
  <c r="BK313" i="18"/>
  <c r="BJ313" i="18"/>
  <c r="BI313" i="18"/>
  <c r="BH313" i="18"/>
  <c r="BG313" i="18"/>
  <c r="BF313" i="18"/>
  <c r="BE313" i="18"/>
  <c r="BD313" i="18"/>
  <c r="BC313" i="18"/>
  <c r="BB313" i="18"/>
  <c r="BA313" i="18"/>
  <c r="BM312" i="18"/>
  <c r="BL312" i="18"/>
  <c r="BK312" i="18"/>
  <c r="BJ312" i="18"/>
  <c r="BI312" i="18"/>
  <c r="BH312" i="18"/>
  <c r="BG312" i="18"/>
  <c r="BF312" i="18"/>
  <c r="BE312" i="18"/>
  <c r="BD312" i="18"/>
  <c r="BC312" i="18"/>
  <c r="BB312" i="18"/>
  <c r="BA312" i="18"/>
  <c r="BM311" i="18"/>
  <c r="BL311" i="18"/>
  <c r="BK311" i="18"/>
  <c r="BJ311" i="18"/>
  <c r="BI311" i="18"/>
  <c r="BH311" i="18"/>
  <c r="BG311" i="18"/>
  <c r="BF311" i="18"/>
  <c r="BE311" i="18"/>
  <c r="BD311" i="18"/>
  <c r="BC311" i="18"/>
  <c r="BB311" i="18"/>
  <c r="BA311" i="18"/>
  <c r="BM310" i="18"/>
  <c r="BL310" i="18"/>
  <c r="BK310" i="18"/>
  <c r="BJ310" i="18"/>
  <c r="BI310" i="18"/>
  <c r="BH310" i="18"/>
  <c r="BG310" i="18"/>
  <c r="BF310" i="18"/>
  <c r="BE310" i="18"/>
  <c r="BD310" i="18"/>
  <c r="BC310" i="18"/>
  <c r="BB310" i="18"/>
  <c r="BA310" i="18"/>
  <c r="BM309" i="18"/>
  <c r="BL309" i="18"/>
  <c r="BK309" i="18"/>
  <c r="BJ309" i="18"/>
  <c r="BI309" i="18"/>
  <c r="BH309" i="18"/>
  <c r="BG309" i="18"/>
  <c r="BF309" i="18"/>
  <c r="BE309" i="18"/>
  <c r="BD309" i="18"/>
  <c r="BC309" i="18"/>
  <c r="BB309" i="18"/>
  <c r="BA309" i="18"/>
  <c r="BM308" i="18"/>
  <c r="BL308" i="18"/>
  <c r="BK308" i="18"/>
  <c r="BJ308" i="18"/>
  <c r="BI308" i="18"/>
  <c r="BH308" i="18"/>
  <c r="BG308" i="18"/>
  <c r="BF308" i="18"/>
  <c r="BE308" i="18"/>
  <c r="BD308" i="18"/>
  <c r="BC308" i="18"/>
  <c r="BB308" i="18"/>
  <c r="BA308" i="18"/>
  <c r="BM307" i="18"/>
  <c r="BL307" i="18"/>
  <c r="BK307" i="18"/>
  <c r="BJ307" i="18"/>
  <c r="BI307" i="18"/>
  <c r="BH307" i="18"/>
  <c r="BG307" i="18"/>
  <c r="BF307" i="18"/>
  <c r="BE307" i="18"/>
  <c r="BD307" i="18"/>
  <c r="BC307" i="18"/>
  <c r="BB307" i="18"/>
  <c r="BA307" i="18"/>
  <c r="BM306" i="18"/>
  <c r="BL306" i="18"/>
  <c r="BK306" i="18"/>
  <c r="BJ306" i="18"/>
  <c r="BI306" i="18"/>
  <c r="BH306" i="18"/>
  <c r="BG306" i="18"/>
  <c r="BF306" i="18"/>
  <c r="BE306" i="18"/>
  <c r="BD306" i="18"/>
  <c r="BC306" i="18"/>
  <c r="BB306" i="18"/>
  <c r="BA306" i="18"/>
  <c r="BM305" i="18"/>
  <c r="BL305" i="18"/>
  <c r="BK305" i="18"/>
  <c r="BJ305" i="18"/>
  <c r="BI305" i="18"/>
  <c r="BH305" i="18"/>
  <c r="BG305" i="18"/>
  <c r="BF305" i="18"/>
  <c r="BE305" i="18"/>
  <c r="BD305" i="18"/>
  <c r="BC305" i="18"/>
  <c r="BB305" i="18"/>
  <c r="BA305" i="18"/>
  <c r="BM304" i="18"/>
  <c r="BL304" i="18"/>
  <c r="BK304" i="18"/>
  <c r="BJ304" i="18"/>
  <c r="BI304" i="18"/>
  <c r="BH304" i="18"/>
  <c r="BG304" i="18"/>
  <c r="BF304" i="18"/>
  <c r="BE304" i="18"/>
  <c r="BD304" i="18"/>
  <c r="BC304" i="18"/>
  <c r="BB304" i="18"/>
  <c r="BA304" i="18"/>
  <c r="BM303" i="18"/>
  <c r="BL303" i="18"/>
  <c r="BK303" i="18"/>
  <c r="BJ303" i="18"/>
  <c r="BI303" i="18"/>
  <c r="BH303" i="18"/>
  <c r="BG303" i="18"/>
  <c r="BF303" i="18"/>
  <c r="BE303" i="18"/>
  <c r="BD303" i="18"/>
  <c r="BC303" i="18"/>
  <c r="BB303" i="18"/>
  <c r="BA303" i="18"/>
  <c r="BM302" i="18"/>
  <c r="BL302" i="18"/>
  <c r="BK302" i="18"/>
  <c r="BJ302" i="18"/>
  <c r="BI302" i="18"/>
  <c r="BH302" i="18"/>
  <c r="BG302" i="18"/>
  <c r="BF302" i="18"/>
  <c r="BE302" i="18"/>
  <c r="BD302" i="18"/>
  <c r="BC302" i="18"/>
  <c r="BB302" i="18"/>
  <c r="BA302" i="18"/>
  <c r="BM301" i="18"/>
  <c r="BL301" i="18"/>
  <c r="BK301" i="18"/>
  <c r="BJ301" i="18"/>
  <c r="BI301" i="18"/>
  <c r="BH301" i="18"/>
  <c r="BG301" i="18"/>
  <c r="BF301" i="18"/>
  <c r="BE301" i="18"/>
  <c r="BD301" i="18"/>
  <c r="BC301" i="18"/>
  <c r="BB301" i="18"/>
  <c r="BA301" i="18"/>
  <c r="BM300" i="18"/>
  <c r="BL300" i="18"/>
  <c r="BK300" i="18"/>
  <c r="BJ300" i="18"/>
  <c r="BI300" i="18"/>
  <c r="BH300" i="18"/>
  <c r="BG300" i="18"/>
  <c r="BF300" i="18"/>
  <c r="BE300" i="18"/>
  <c r="BD300" i="18"/>
  <c r="BC300" i="18"/>
  <c r="BB300" i="18"/>
  <c r="BA300" i="18"/>
  <c r="BM299" i="18"/>
  <c r="BL299" i="18"/>
  <c r="BK299" i="18"/>
  <c r="BJ299" i="18"/>
  <c r="BI299" i="18"/>
  <c r="BH299" i="18"/>
  <c r="BG299" i="18"/>
  <c r="BF299" i="18"/>
  <c r="BE299" i="18"/>
  <c r="BD299" i="18"/>
  <c r="BC299" i="18"/>
  <c r="BB299" i="18"/>
  <c r="BA299" i="18"/>
  <c r="BM298" i="18"/>
  <c r="BL298" i="18"/>
  <c r="BK298" i="18"/>
  <c r="BJ298" i="18"/>
  <c r="BI298" i="18"/>
  <c r="BH298" i="18"/>
  <c r="BG298" i="18"/>
  <c r="BF298" i="18"/>
  <c r="BE298" i="18"/>
  <c r="BD298" i="18"/>
  <c r="BC298" i="18"/>
  <c r="BB298" i="18"/>
  <c r="BA298" i="18"/>
  <c r="BM297" i="18"/>
  <c r="BL297" i="18"/>
  <c r="BK297" i="18"/>
  <c r="BJ297" i="18"/>
  <c r="BI297" i="18"/>
  <c r="BH297" i="18"/>
  <c r="BG297" i="18"/>
  <c r="BF297" i="18"/>
  <c r="BE297" i="18"/>
  <c r="BD297" i="18"/>
  <c r="BC297" i="18"/>
  <c r="BB297" i="18"/>
  <c r="BA297" i="18"/>
  <c r="BM296" i="18"/>
  <c r="BL296" i="18"/>
  <c r="BK296" i="18"/>
  <c r="BJ296" i="18"/>
  <c r="BI296" i="18"/>
  <c r="BH296" i="18"/>
  <c r="BG296" i="18"/>
  <c r="BF296" i="18"/>
  <c r="BE296" i="18"/>
  <c r="BD296" i="18"/>
  <c r="BC296" i="18"/>
  <c r="BB296" i="18"/>
  <c r="BA296" i="18"/>
  <c r="BM295" i="18"/>
  <c r="BL295" i="18"/>
  <c r="BK295" i="18"/>
  <c r="BJ295" i="18"/>
  <c r="BI295" i="18"/>
  <c r="BH295" i="18"/>
  <c r="BG295" i="18"/>
  <c r="BF295" i="18"/>
  <c r="BE295" i="18"/>
  <c r="BD295" i="18"/>
  <c r="BC295" i="18"/>
  <c r="BB295" i="18"/>
  <c r="BA295" i="18"/>
  <c r="BM294" i="18"/>
  <c r="BL294" i="18"/>
  <c r="BK294" i="18"/>
  <c r="BJ294" i="18"/>
  <c r="BI294" i="18"/>
  <c r="BH294" i="18"/>
  <c r="BG294" i="18"/>
  <c r="BF294" i="18"/>
  <c r="BE294" i="18"/>
  <c r="BD294" i="18"/>
  <c r="BC294" i="18"/>
  <c r="BB294" i="18"/>
  <c r="BA294" i="18"/>
  <c r="BM293" i="18"/>
  <c r="BL293" i="18"/>
  <c r="BK293" i="18"/>
  <c r="BJ293" i="18"/>
  <c r="BI293" i="18"/>
  <c r="BH293" i="18"/>
  <c r="BG293" i="18"/>
  <c r="BF293" i="18"/>
  <c r="BE293" i="18"/>
  <c r="BD293" i="18"/>
  <c r="BC293" i="18"/>
  <c r="BB293" i="18"/>
  <c r="BA293" i="18"/>
  <c r="BM292" i="18"/>
  <c r="BL292" i="18"/>
  <c r="BK292" i="18"/>
  <c r="BJ292" i="18"/>
  <c r="BI292" i="18"/>
  <c r="BH292" i="18"/>
  <c r="BG292" i="18"/>
  <c r="BF292" i="18"/>
  <c r="BE292" i="18"/>
  <c r="BD292" i="18"/>
  <c r="BC292" i="18"/>
  <c r="BB292" i="18"/>
  <c r="BA292" i="18"/>
  <c r="BM291" i="18"/>
  <c r="BL291" i="18"/>
  <c r="BK291" i="18"/>
  <c r="BJ291" i="18"/>
  <c r="BI291" i="18"/>
  <c r="BH291" i="18"/>
  <c r="BG291" i="18"/>
  <c r="BF291" i="18"/>
  <c r="BE291" i="18"/>
  <c r="BD291" i="18"/>
  <c r="BC291" i="18"/>
  <c r="BB291" i="18"/>
  <c r="BA291" i="18"/>
  <c r="BM290" i="18"/>
  <c r="BL290" i="18"/>
  <c r="BK290" i="18"/>
  <c r="BJ290" i="18"/>
  <c r="BI290" i="18"/>
  <c r="BH290" i="18"/>
  <c r="BG290" i="18"/>
  <c r="BF290" i="18"/>
  <c r="BE290" i="18"/>
  <c r="BD290" i="18"/>
  <c r="BC290" i="18"/>
  <c r="BB290" i="18"/>
  <c r="BA290" i="18"/>
  <c r="BM289" i="18"/>
  <c r="BL289" i="18"/>
  <c r="BK289" i="18"/>
  <c r="BJ289" i="18"/>
  <c r="BI289" i="18"/>
  <c r="BH289" i="18"/>
  <c r="BG289" i="18"/>
  <c r="BF289" i="18"/>
  <c r="BE289" i="18"/>
  <c r="BD289" i="18"/>
  <c r="BC289" i="18"/>
  <c r="BB289" i="18"/>
  <c r="BA289" i="18"/>
  <c r="BM288" i="18"/>
  <c r="BL288" i="18"/>
  <c r="BK288" i="18"/>
  <c r="BJ288" i="18"/>
  <c r="BI288" i="18"/>
  <c r="BH288" i="18"/>
  <c r="BG288" i="18"/>
  <c r="BF288" i="18"/>
  <c r="BE288" i="18"/>
  <c r="BD288" i="18"/>
  <c r="BC288" i="18"/>
  <c r="BB288" i="18"/>
  <c r="BA288" i="18"/>
  <c r="BM287" i="18"/>
  <c r="BL287" i="18"/>
  <c r="BK287" i="18"/>
  <c r="BJ287" i="18"/>
  <c r="BI287" i="18"/>
  <c r="BH287" i="18"/>
  <c r="BG287" i="18"/>
  <c r="BF287" i="18"/>
  <c r="BE287" i="18"/>
  <c r="BD287" i="18"/>
  <c r="BC287" i="18"/>
  <c r="BB287" i="18"/>
  <c r="BA287" i="18"/>
  <c r="BM286" i="18"/>
  <c r="BL286" i="18"/>
  <c r="BK286" i="18"/>
  <c r="BJ286" i="18"/>
  <c r="BI286" i="18"/>
  <c r="BH286" i="18"/>
  <c r="BG286" i="18"/>
  <c r="BF286" i="18"/>
  <c r="BE286" i="18"/>
  <c r="BD286" i="18"/>
  <c r="BC286" i="18"/>
  <c r="BB286" i="18"/>
  <c r="BA286" i="18"/>
  <c r="BM285" i="18"/>
  <c r="BL285" i="18"/>
  <c r="BK285" i="18"/>
  <c r="BJ285" i="18"/>
  <c r="BI285" i="18"/>
  <c r="BH285" i="18"/>
  <c r="BG285" i="18"/>
  <c r="BF285" i="18"/>
  <c r="BE285" i="18"/>
  <c r="BD285" i="18"/>
  <c r="BC285" i="18"/>
  <c r="BB285" i="18"/>
  <c r="BA285" i="18"/>
  <c r="BM284" i="18"/>
  <c r="BL284" i="18"/>
  <c r="BK284" i="18"/>
  <c r="BJ284" i="18"/>
  <c r="BI284" i="18"/>
  <c r="BH284" i="18"/>
  <c r="BG284" i="18"/>
  <c r="BF284" i="18"/>
  <c r="BE284" i="18"/>
  <c r="BD284" i="18"/>
  <c r="BC284" i="18"/>
  <c r="BB284" i="18"/>
  <c r="BA284" i="18"/>
  <c r="BM283" i="18"/>
  <c r="BL283" i="18"/>
  <c r="BK283" i="18"/>
  <c r="BJ283" i="18"/>
  <c r="BI283" i="18"/>
  <c r="BH283" i="18"/>
  <c r="BG283" i="18"/>
  <c r="BF283" i="18"/>
  <c r="BE283" i="18"/>
  <c r="BD283" i="18"/>
  <c r="BC283" i="18"/>
  <c r="BB283" i="18"/>
  <c r="BA283" i="18"/>
  <c r="BM282" i="18"/>
  <c r="BL282" i="18"/>
  <c r="BK282" i="18"/>
  <c r="BJ282" i="18"/>
  <c r="BI282" i="18"/>
  <c r="BH282" i="18"/>
  <c r="BG282" i="18"/>
  <c r="BF282" i="18"/>
  <c r="BE282" i="18"/>
  <c r="BD282" i="18"/>
  <c r="BC282" i="18"/>
  <c r="BB282" i="18"/>
  <c r="BA282" i="18"/>
  <c r="BM281" i="18"/>
  <c r="BL281" i="18"/>
  <c r="BK281" i="18"/>
  <c r="BJ281" i="18"/>
  <c r="BI281" i="18"/>
  <c r="BH281" i="18"/>
  <c r="BG281" i="18"/>
  <c r="BF281" i="18"/>
  <c r="BE281" i="18"/>
  <c r="BD281" i="18"/>
  <c r="BC281" i="18"/>
  <c r="BB281" i="18"/>
  <c r="BA281" i="18"/>
  <c r="BM280" i="18"/>
  <c r="BL280" i="18"/>
  <c r="BK280" i="18"/>
  <c r="BJ280" i="18"/>
  <c r="BI280" i="18"/>
  <c r="BH280" i="18"/>
  <c r="BG280" i="18"/>
  <c r="BF280" i="18"/>
  <c r="BE280" i="18"/>
  <c r="BD280" i="18"/>
  <c r="BC280" i="18"/>
  <c r="BB280" i="18"/>
  <c r="BA280" i="18"/>
  <c r="BM279" i="18"/>
  <c r="BL279" i="18"/>
  <c r="BK279" i="18"/>
  <c r="BJ279" i="18"/>
  <c r="BI279" i="18"/>
  <c r="BH279" i="18"/>
  <c r="BG279" i="18"/>
  <c r="BF279" i="18"/>
  <c r="BE279" i="18"/>
  <c r="BD279" i="18"/>
  <c r="BC279" i="18"/>
  <c r="BB279" i="18"/>
  <c r="BA279" i="18"/>
  <c r="BM278" i="18"/>
  <c r="BL278" i="18"/>
  <c r="BK278" i="18"/>
  <c r="BJ278" i="18"/>
  <c r="BI278" i="18"/>
  <c r="BH278" i="18"/>
  <c r="BG278" i="18"/>
  <c r="BF278" i="18"/>
  <c r="BE278" i="18"/>
  <c r="BD278" i="18"/>
  <c r="BC278" i="18"/>
  <c r="BB278" i="18"/>
  <c r="BA278" i="18"/>
  <c r="BM277" i="18"/>
  <c r="BL277" i="18"/>
  <c r="BK277" i="18"/>
  <c r="BJ277" i="18"/>
  <c r="BI277" i="18"/>
  <c r="BH277" i="18"/>
  <c r="BG277" i="18"/>
  <c r="BF277" i="18"/>
  <c r="BE277" i="18"/>
  <c r="BD277" i="18"/>
  <c r="BC277" i="18"/>
  <c r="BB277" i="18"/>
  <c r="BA277" i="18"/>
  <c r="BM276" i="18"/>
  <c r="BL276" i="18"/>
  <c r="BK276" i="18"/>
  <c r="BJ276" i="18"/>
  <c r="BI276" i="18"/>
  <c r="BH276" i="18"/>
  <c r="BG276" i="18"/>
  <c r="BF276" i="18"/>
  <c r="BE276" i="18"/>
  <c r="BD276" i="18"/>
  <c r="BC276" i="18"/>
  <c r="BB276" i="18"/>
  <c r="BA276" i="18"/>
  <c r="BM275" i="18"/>
  <c r="BL275" i="18"/>
  <c r="BK275" i="18"/>
  <c r="BJ275" i="18"/>
  <c r="BI275" i="18"/>
  <c r="BH275" i="18"/>
  <c r="BG275" i="18"/>
  <c r="BF275" i="18"/>
  <c r="BE275" i="18"/>
  <c r="BD275" i="18"/>
  <c r="BC275" i="18"/>
  <c r="BB275" i="18"/>
  <c r="BA275" i="18"/>
  <c r="BM274" i="18"/>
  <c r="BL274" i="18"/>
  <c r="BK274" i="18"/>
  <c r="BJ274" i="18"/>
  <c r="BI274" i="18"/>
  <c r="BH274" i="18"/>
  <c r="BG274" i="18"/>
  <c r="BF274" i="18"/>
  <c r="BE274" i="18"/>
  <c r="BD274" i="18"/>
  <c r="BC274" i="18"/>
  <c r="BB274" i="18"/>
  <c r="BA274" i="18"/>
  <c r="BM273" i="18"/>
  <c r="BL273" i="18"/>
  <c r="BK273" i="18"/>
  <c r="BJ273" i="18"/>
  <c r="BI273" i="18"/>
  <c r="BH273" i="18"/>
  <c r="BG273" i="18"/>
  <c r="BF273" i="18"/>
  <c r="BE273" i="18"/>
  <c r="BD273" i="18"/>
  <c r="BC273" i="18"/>
  <c r="BB273" i="18"/>
  <c r="BA273" i="18"/>
  <c r="BM272" i="18"/>
  <c r="BL272" i="18"/>
  <c r="BK272" i="18"/>
  <c r="BJ272" i="18"/>
  <c r="BI272" i="18"/>
  <c r="BH272" i="18"/>
  <c r="BG272" i="18"/>
  <c r="BF272" i="18"/>
  <c r="BE272" i="18"/>
  <c r="BD272" i="18"/>
  <c r="BC272" i="18"/>
  <c r="BB272" i="18"/>
  <c r="BA272" i="18"/>
  <c r="BM271" i="18"/>
  <c r="BL271" i="18"/>
  <c r="BK271" i="18"/>
  <c r="BJ271" i="18"/>
  <c r="BI271" i="18"/>
  <c r="BH271" i="18"/>
  <c r="BG271" i="18"/>
  <c r="BF271" i="18"/>
  <c r="BE271" i="18"/>
  <c r="BD271" i="18"/>
  <c r="BC271" i="18"/>
  <c r="BB271" i="18"/>
  <c r="BA271" i="18"/>
  <c r="BM270" i="18"/>
  <c r="BL270" i="18"/>
  <c r="BK270" i="18"/>
  <c r="BJ270" i="18"/>
  <c r="BI270" i="18"/>
  <c r="BH270" i="18"/>
  <c r="BG270" i="18"/>
  <c r="BF270" i="18"/>
  <c r="BE270" i="18"/>
  <c r="BD270" i="18"/>
  <c r="BC270" i="18"/>
  <c r="BB270" i="18"/>
  <c r="BA270" i="18"/>
  <c r="BM269" i="18"/>
  <c r="BL269" i="18"/>
  <c r="BK269" i="18"/>
  <c r="BJ269" i="18"/>
  <c r="BI269" i="18"/>
  <c r="BH269" i="18"/>
  <c r="BG269" i="18"/>
  <c r="BF269" i="18"/>
  <c r="BE269" i="18"/>
  <c r="BD269" i="18"/>
  <c r="BC269" i="18"/>
  <c r="BB269" i="18"/>
  <c r="BA269" i="18"/>
  <c r="BM268" i="18"/>
  <c r="BL268" i="18"/>
  <c r="BK268" i="18"/>
  <c r="BJ268" i="18"/>
  <c r="BI268" i="18"/>
  <c r="BH268" i="18"/>
  <c r="BG268" i="18"/>
  <c r="BF268" i="18"/>
  <c r="BE268" i="18"/>
  <c r="BD268" i="18"/>
  <c r="BC268" i="18"/>
  <c r="BB268" i="18"/>
  <c r="BA268" i="18"/>
  <c r="BM267" i="18"/>
  <c r="BL267" i="18"/>
  <c r="BK267" i="18"/>
  <c r="BJ267" i="18"/>
  <c r="BI267" i="18"/>
  <c r="BH267" i="18"/>
  <c r="BG267" i="18"/>
  <c r="BF267" i="18"/>
  <c r="BE267" i="18"/>
  <c r="BD267" i="18"/>
  <c r="BC267" i="18"/>
  <c r="BB267" i="18"/>
  <c r="BA267" i="18"/>
  <c r="BM266" i="18"/>
  <c r="BL266" i="18"/>
  <c r="BK266" i="18"/>
  <c r="BJ266" i="18"/>
  <c r="BI266" i="18"/>
  <c r="BH266" i="18"/>
  <c r="BG266" i="18"/>
  <c r="BF266" i="18"/>
  <c r="BE266" i="18"/>
  <c r="BD266" i="18"/>
  <c r="BC266" i="18"/>
  <c r="BB266" i="18"/>
  <c r="BA266" i="18"/>
  <c r="BM265" i="18"/>
  <c r="BL265" i="18"/>
  <c r="BK265" i="18"/>
  <c r="BJ265" i="18"/>
  <c r="BI265" i="18"/>
  <c r="BH265" i="18"/>
  <c r="BG265" i="18"/>
  <c r="BF265" i="18"/>
  <c r="BE265" i="18"/>
  <c r="BD265" i="18"/>
  <c r="BC265" i="18"/>
  <c r="BB265" i="18"/>
  <c r="BA265" i="18"/>
  <c r="BM264" i="18"/>
  <c r="BL264" i="18"/>
  <c r="BK264" i="18"/>
  <c r="BJ264" i="18"/>
  <c r="BI264" i="18"/>
  <c r="BH264" i="18"/>
  <c r="BG264" i="18"/>
  <c r="BF264" i="18"/>
  <c r="BE264" i="18"/>
  <c r="BD264" i="18"/>
  <c r="BC264" i="18"/>
  <c r="BB264" i="18"/>
  <c r="BA264" i="18"/>
  <c r="BM263" i="18"/>
  <c r="BL263" i="18"/>
  <c r="BK263" i="18"/>
  <c r="BJ263" i="18"/>
  <c r="BI263" i="18"/>
  <c r="BH263" i="18"/>
  <c r="BG263" i="18"/>
  <c r="BF263" i="18"/>
  <c r="BE263" i="18"/>
  <c r="BD263" i="18"/>
  <c r="BC263" i="18"/>
  <c r="BB263" i="18"/>
  <c r="BA263" i="18"/>
  <c r="BM262" i="18"/>
  <c r="BL262" i="18"/>
  <c r="BK262" i="18"/>
  <c r="BJ262" i="18"/>
  <c r="BI262" i="18"/>
  <c r="BH262" i="18"/>
  <c r="BG262" i="18"/>
  <c r="BF262" i="18"/>
  <c r="BE262" i="18"/>
  <c r="BD262" i="18"/>
  <c r="BC262" i="18"/>
  <c r="BB262" i="18"/>
  <c r="BA262" i="18"/>
  <c r="BM261" i="18"/>
  <c r="BL261" i="18"/>
  <c r="BK261" i="18"/>
  <c r="BJ261" i="18"/>
  <c r="BI261" i="18"/>
  <c r="BH261" i="18"/>
  <c r="BG261" i="18"/>
  <c r="BF261" i="18"/>
  <c r="BE261" i="18"/>
  <c r="BD261" i="18"/>
  <c r="BC261" i="18"/>
  <c r="BB261" i="18"/>
  <c r="BA261" i="18"/>
  <c r="BM260" i="18"/>
  <c r="BL260" i="18"/>
  <c r="BK260" i="18"/>
  <c r="BJ260" i="18"/>
  <c r="BI260" i="18"/>
  <c r="BH260" i="18"/>
  <c r="BG260" i="18"/>
  <c r="BF260" i="18"/>
  <c r="BE260" i="18"/>
  <c r="BD260" i="18"/>
  <c r="BC260" i="18"/>
  <c r="BB260" i="18"/>
  <c r="BA260" i="18"/>
  <c r="BM259" i="18"/>
  <c r="BL259" i="18"/>
  <c r="BK259" i="18"/>
  <c r="BJ259" i="18"/>
  <c r="BI259" i="18"/>
  <c r="BH259" i="18"/>
  <c r="BG259" i="18"/>
  <c r="BF259" i="18"/>
  <c r="BE259" i="18"/>
  <c r="BD259" i="18"/>
  <c r="BC259" i="18"/>
  <c r="BB259" i="18"/>
  <c r="BA259" i="18"/>
  <c r="BM258" i="18"/>
  <c r="BL258" i="18"/>
  <c r="BK258" i="18"/>
  <c r="BJ258" i="18"/>
  <c r="BI258" i="18"/>
  <c r="BH258" i="18"/>
  <c r="BG258" i="18"/>
  <c r="BF258" i="18"/>
  <c r="BE258" i="18"/>
  <c r="BD258" i="18"/>
  <c r="BC258" i="18"/>
  <c r="BB258" i="18"/>
  <c r="BA258" i="18"/>
  <c r="BM257" i="18"/>
  <c r="BL257" i="18"/>
  <c r="BK257" i="18"/>
  <c r="BJ257" i="18"/>
  <c r="BI257" i="18"/>
  <c r="BH257" i="18"/>
  <c r="BG257" i="18"/>
  <c r="BF257" i="18"/>
  <c r="BE257" i="18"/>
  <c r="BD257" i="18"/>
  <c r="BC257" i="18"/>
  <c r="BB257" i="18"/>
  <c r="BA257" i="18"/>
  <c r="BM256" i="18"/>
  <c r="BL256" i="18"/>
  <c r="BK256" i="18"/>
  <c r="BJ256" i="18"/>
  <c r="BI256" i="18"/>
  <c r="BH256" i="18"/>
  <c r="BG256" i="18"/>
  <c r="BF256" i="18"/>
  <c r="BE256" i="18"/>
  <c r="BD256" i="18"/>
  <c r="BC256" i="18"/>
  <c r="BB256" i="18"/>
  <c r="BA256" i="18"/>
  <c r="BM255" i="18"/>
  <c r="BL255" i="18"/>
  <c r="BK255" i="18"/>
  <c r="BJ255" i="18"/>
  <c r="BI255" i="18"/>
  <c r="BH255" i="18"/>
  <c r="BG255" i="18"/>
  <c r="BF255" i="18"/>
  <c r="BE255" i="18"/>
  <c r="BD255" i="18"/>
  <c r="BC255" i="18"/>
  <c r="BB255" i="18"/>
  <c r="BA255" i="18"/>
  <c r="BM254" i="18"/>
  <c r="BL254" i="18"/>
  <c r="BK254" i="18"/>
  <c r="BJ254" i="18"/>
  <c r="BI254" i="18"/>
  <c r="BH254" i="18"/>
  <c r="BG254" i="18"/>
  <c r="BF254" i="18"/>
  <c r="BE254" i="18"/>
  <c r="BD254" i="18"/>
  <c r="BC254" i="18"/>
  <c r="BB254" i="18"/>
  <c r="BA254" i="18"/>
  <c r="BM253" i="18"/>
  <c r="BL253" i="18"/>
  <c r="BK253" i="18"/>
  <c r="BJ253" i="18"/>
  <c r="BI253" i="18"/>
  <c r="BH253" i="18"/>
  <c r="BG253" i="18"/>
  <c r="BF253" i="18"/>
  <c r="BE253" i="18"/>
  <c r="BD253" i="18"/>
  <c r="BC253" i="18"/>
  <c r="BB253" i="18"/>
  <c r="BA253" i="18"/>
  <c r="BM252" i="18"/>
  <c r="BL252" i="18"/>
  <c r="BK252" i="18"/>
  <c r="BJ252" i="18"/>
  <c r="BI252" i="18"/>
  <c r="BH252" i="18"/>
  <c r="BG252" i="18"/>
  <c r="BF252" i="18"/>
  <c r="BE252" i="18"/>
  <c r="BD252" i="18"/>
  <c r="BC252" i="18"/>
  <c r="BB252" i="18"/>
  <c r="BA252" i="18"/>
  <c r="BM251" i="18"/>
  <c r="BL251" i="18"/>
  <c r="BK251" i="18"/>
  <c r="BJ251" i="18"/>
  <c r="BI251" i="18"/>
  <c r="BH251" i="18"/>
  <c r="BG251" i="18"/>
  <c r="BF251" i="18"/>
  <c r="BE251" i="18"/>
  <c r="BD251" i="18"/>
  <c r="BC251" i="18"/>
  <c r="BB251" i="18"/>
  <c r="BA251" i="18"/>
  <c r="BM250" i="18"/>
  <c r="BL250" i="18"/>
  <c r="BK250" i="18"/>
  <c r="BJ250" i="18"/>
  <c r="BI250" i="18"/>
  <c r="BH250" i="18"/>
  <c r="BG250" i="18"/>
  <c r="BF250" i="18"/>
  <c r="BE250" i="18"/>
  <c r="BD250" i="18"/>
  <c r="BC250" i="18"/>
  <c r="BB250" i="18"/>
  <c r="BA250" i="18"/>
  <c r="BM249" i="18"/>
  <c r="BL249" i="18"/>
  <c r="BK249" i="18"/>
  <c r="BJ249" i="18"/>
  <c r="BI249" i="18"/>
  <c r="BH249" i="18"/>
  <c r="BG249" i="18"/>
  <c r="BF249" i="18"/>
  <c r="BE249" i="18"/>
  <c r="BD249" i="18"/>
  <c r="BC249" i="18"/>
  <c r="BB249" i="18"/>
  <c r="BA249" i="18"/>
  <c r="BM248" i="18"/>
  <c r="BL248" i="18"/>
  <c r="BK248" i="18"/>
  <c r="BJ248" i="18"/>
  <c r="BI248" i="18"/>
  <c r="BH248" i="18"/>
  <c r="BG248" i="18"/>
  <c r="BF248" i="18"/>
  <c r="BE248" i="18"/>
  <c r="BD248" i="18"/>
  <c r="BC248" i="18"/>
  <c r="BB248" i="18"/>
  <c r="BA248" i="18"/>
  <c r="BM247" i="18"/>
  <c r="BL247" i="18"/>
  <c r="BK247" i="18"/>
  <c r="BJ247" i="18"/>
  <c r="BI247" i="18"/>
  <c r="BH247" i="18"/>
  <c r="BG247" i="18"/>
  <c r="BF247" i="18"/>
  <c r="BE247" i="18"/>
  <c r="BD247" i="18"/>
  <c r="BC247" i="18"/>
  <c r="BB247" i="18"/>
  <c r="BA247" i="18"/>
  <c r="BM246" i="18"/>
  <c r="BL246" i="18"/>
  <c r="BK246" i="18"/>
  <c r="BJ246" i="18"/>
  <c r="BI246" i="18"/>
  <c r="BH246" i="18"/>
  <c r="BG246" i="18"/>
  <c r="BF246" i="18"/>
  <c r="BE246" i="18"/>
  <c r="BD246" i="18"/>
  <c r="BC246" i="18"/>
  <c r="BB246" i="18"/>
  <c r="BA246" i="18"/>
  <c r="BM245" i="18"/>
  <c r="BL245" i="18"/>
  <c r="BK245" i="18"/>
  <c r="BJ245" i="18"/>
  <c r="BI245" i="18"/>
  <c r="BH245" i="18"/>
  <c r="BG245" i="18"/>
  <c r="BF245" i="18"/>
  <c r="BE245" i="18"/>
  <c r="BD245" i="18"/>
  <c r="BC245" i="18"/>
  <c r="BB245" i="18"/>
  <c r="BA245" i="18"/>
  <c r="BM244" i="18"/>
  <c r="BL244" i="18"/>
  <c r="BK244" i="18"/>
  <c r="BJ244" i="18"/>
  <c r="BI244" i="18"/>
  <c r="BH244" i="18"/>
  <c r="BG244" i="18"/>
  <c r="BF244" i="18"/>
  <c r="BE244" i="18"/>
  <c r="BD244" i="18"/>
  <c r="BC244" i="18"/>
  <c r="BB244" i="18"/>
  <c r="BA244" i="18"/>
  <c r="BM243" i="18"/>
  <c r="BL243" i="18"/>
  <c r="BK243" i="18"/>
  <c r="BJ243" i="18"/>
  <c r="BI243" i="18"/>
  <c r="BH243" i="18"/>
  <c r="BG243" i="18"/>
  <c r="BF243" i="18"/>
  <c r="BE243" i="18"/>
  <c r="BD243" i="18"/>
  <c r="BC243" i="18"/>
  <c r="BB243" i="18"/>
  <c r="BA243" i="18"/>
  <c r="BM242" i="18"/>
  <c r="BL242" i="18"/>
  <c r="BK242" i="18"/>
  <c r="BJ242" i="18"/>
  <c r="BI242" i="18"/>
  <c r="BH242" i="18"/>
  <c r="BG242" i="18"/>
  <c r="BF242" i="18"/>
  <c r="BE242" i="18"/>
  <c r="BD242" i="18"/>
  <c r="BC242" i="18"/>
  <c r="BB242" i="18"/>
  <c r="BA242" i="18"/>
  <c r="BM241" i="18"/>
  <c r="BL241" i="18"/>
  <c r="BK241" i="18"/>
  <c r="BJ241" i="18"/>
  <c r="BI241" i="18"/>
  <c r="BH241" i="18"/>
  <c r="BG241" i="18"/>
  <c r="BF241" i="18"/>
  <c r="BE241" i="18"/>
  <c r="BD241" i="18"/>
  <c r="BC241" i="18"/>
  <c r="BB241" i="18"/>
  <c r="BA241" i="18"/>
  <c r="BM240" i="18"/>
  <c r="BL240" i="18"/>
  <c r="BK240" i="18"/>
  <c r="BJ240" i="18"/>
  <c r="BI240" i="18"/>
  <c r="BH240" i="18"/>
  <c r="BG240" i="18"/>
  <c r="BF240" i="18"/>
  <c r="BE240" i="18"/>
  <c r="BD240" i="18"/>
  <c r="BC240" i="18"/>
  <c r="BB240" i="18"/>
  <c r="BA240" i="18"/>
  <c r="BM239" i="18"/>
  <c r="BL239" i="18"/>
  <c r="BK239" i="18"/>
  <c r="BJ239" i="18"/>
  <c r="BI239" i="18"/>
  <c r="BH239" i="18"/>
  <c r="BG239" i="18"/>
  <c r="BF239" i="18"/>
  <c r="BE239" i="18"/>
  <c r="BD239" i="18"/>
  <c r="BC239" i="18"/>
  <c r="BB239" i="18"/>
  <c r="BA239" i="18"/>
  <c r="BM238" i="18"/>
  <c r="BL238" i="18"/>
  <c r="BK238" i="18"/>
  <c r="BJ238" i="18"/>
  <c r="BI238" i="18"/>
  <c r="BH238" i="18"/>
  <c r="BG238" i="18"/>
  <c r="BF238" i="18"/>
  <c r="BE238" i="18"/>
  <c r="BD238" i="18"/>
  <c r="BC238" i="18"/>
  <c r="BB238" i="18"/>
  <c r="BA238" i="18"/>
  <c r="BM237" i="18"/>
  <c r="BL237" i="18"/>
  <c r="BK237" i="18"/>
  <c r="BJ237" i="18"/>
  <c r="BI237" i="18"/>
  <c r="BH237" i="18"/>
  <c r="BG237" i="18"/>
  <c r="BF237" i="18"/>
  <c r="BE237" i="18"/>
  <c r="BD237" i="18"/>
  <c r="BC237" i="18"/>
  <c r="BB237" i="18"/>
  <c r="BA237" i="18"/>
  <c r="BM236" i="18"/>
  <c r="BL236" i="18"/>
  <c r="BK236" i="18"/>
  <c r="BJ236" i="18"/>
  <c r="BI236" i="18"/>
  <c r="BH236" i="18"/>
  <c r="BG236" i="18"/>
  <c r="BF236" i="18"/>
  <c r="BE236" i="18"/>
  <c r="BD236" i="18"/>
  <c r="BC236" i="18"/>
  <c r="BB236" i="18"/>
  <c r="BA236" i="18"/>
  <c r="BM235" i="18"/>
  <c r="BL235" i="18"/>
  <c r="BK235" i="18"/>
  <c r="BJ235" i="18"/>
  <c r="BI235" i="18"/>
  <c r="BH235" i="18"/>
  <c r="BG235" i="18"/>
  <c r="BF235" i="18"/>
  <c r="BE235" i="18"/>
  <c r="BD235" i="18"/>
  <c r="BC235" i="18"/>
  <c r="BB235" i="18"/>
  <c r="BA235" i="18"/>
  <c r="BM234" i="18"/>
  <c r="BL234" i="18"/>
  <c r="BK234" i="18"/>
  <c r="BJ234" i="18"/>
  <c r="BI234" i="18"/>
  <c r="BH234" i="18"/>
  <c r="BG234" i="18"/>
  <c r="BF234" i="18"/>
  <c r="BE234" i="18"/>
  <c r="BD234" i="18"/>
  <c r="BC234" i="18"/>
  <c r="BB234" i="18"/>
  <c r="BA234" i="18"/>
  <c r="BM233" i="18"/>
  <c r="BL233" i="18"/>
  <c r="BK233" i="18"/>
  <c r="BJ233" i="18"/>
  <c r="BI233" i="18"/>
  <c r="BH233" i="18"/>
  <c r="BG233" i="18"/>
  <c r="BF233" i="18"/>
  <c r="BE233" i="18"/>
  <c r="BD233" i="18"/>
  <c r="BC233" i="18"/>
  <c r="BB233" i="18"/>
  <c r="BA233" i="18"/>
  <c r="BM232" i="18"/>
  <c r="BL232" i="18"/>
  <c r="BK232" i="18"/>
  <c r="BJ232" i="18"/>
  <c r="BI232" i="18"/>
  <c r="BH232" i="18"/>
  <c r="BG232" i="18"/>
  <c r="BF232" i="18"/>
  <c r="BE232" i="18"/>
  <c r="BD232" i="18"/>
  <c r="BC232" i="18"/>
  <c r="BB232" i="18"/>
  <c r="BA232" i="18"/>
  <c r="BM231" i="18"/>
  <c r="BL231" i="18"/>
  <c r="BK231" i="18"/>
  <c r="BJ231" i="18"/>
  <c r="BI231" i="18"/>
  <c r="BH231" i="18"/>
  <c r="BG231" i="18"/>
  <c r="BF231" i="18"/>
  <c r="BE231" i="18"/>
  <c r="BD231" i="18"/>
  <c r="BC231" i="18"/>
  <c r="BB231" i="18"/>
  <c r="BA231" i="18"/>
  <c r="BM230" i="18"/>
  <c r="BL230" i="18"/>
  <c r="BK230" i="18"/>
  <c r="BJ230" i="18"/>
  <c r="BI230" i="18"/>
  <c r="BH230" i="18"/>
  <c r="BG230" i="18"/>
  <c r="BF230" i="18"/>
  <c r="BE230" i="18"/>
  <c r="BD230" i="18"/>
  <c r="BC230" i="18"/>
  <c r="BB230" i="18"/>
  <c r="BA230" i="18"/>
  <c r="BM229" i="18"/>
  <c r="BL229" i="18"/>
  <c r="BK229" i="18"/>
  <c r="BJ229" i="18"/>
  <c r="BI229" i="18"/>
  <c r="BH229" i="18"/>
  <c r="BG229" i="18"/>
  <c r="BF229" i="18"/>
  <c r="BE229" i="18"/>
  <c r="BD229" i="18"/>
  <c r="BC229" i="18"/>
  <c r="BB229" i="18"/>
  <c r="BA229" i="18"/>
  <c r="BM228" i="18"/>
  <c r="BL228" i="18"/>
  <c r="BK228" i="18"/>
  <c r="BJ228" i="18"/>
  <c r="BI228" i="18"/>
  <c r="BH228" i="18"/>
  <c r="BG228" i="18"/>
  <c r="BF228" i="18"/>
  <c r="BE228" i="18"/>
  <c r="BD228" i="18"/>
  <c r="BC228" i="18"/>
  <c r="BB228" i="18"/>
  <c r="BA228" i="18"/>
  <c r="BM227" i="18"/>
  <c r="BL227" i="18"/>
  <c r="BK227" i="18"/>
  <c r="BJ227" i="18"/>
  <c r="BI227" i="18"/>
  <c r="BH227" i="18"/>
  <c r="BG227" i="18"/>
  <c r="BF227" i="18"/>
  <c r="BE227" i="18"/>
  <c r="BD227" i="18"/>
  <c r="BC227" i="18"/>
  <c r="BB227" i="18"/>
  <c r="BA227" i="18"/>
  <c r="BM226" i="18"/>
  <c r="BL226" i="18"/>
  <c r="BK226" i="18"/>
  <c r="BJ226" i="18"/>
  <c r="BI226" i="18"/>
  <c r="BH226" i="18"/>
  <c r="BG226" i="18"/>
  <c r="BF226" i="18"/>
  <c r="BE226" i="18"/>
  <c r="BD226" i="18"/>
  <c r="BC226" i="18"/>
  <c r="BB226" i="18"/>
  <c r="BA226" i="18"/>
  <c r="BM225" i="18"/>
  <c r="BL225" i="18"/>
  <c r="BK225" i="18"/>
  <c r="BJ225" i="18"/>
  <c r="BI225" i="18"/>
  <c r="BH225" i="18"/>
  <c r="BG225" i="18"/>
  <c r="BF225" i="18"/>
  <c r="BE225" i="18"/>
  <c r="BD225" i="18"/>
  <c r="BC225" i="18"/>
  <c r="BB225" i="18"/>
  <c r="BA225" i="18"/>
  <c r="BM224" i="18"/>
  <c r="BL224" i="18"/>
  <c r="BK224" i="18"/>
  <c r="BJ224" i="18"/>
  <c r="BI224" i="18"/>
  <c r="BH224" i="18"/>
  <c r="BG224" i="18"/>
  <c r="BF224" i="18"/>
  <c r="BE224" i="18"/>
  <c r="BD224" i="18"/>
  <c r="BC224" i="18"/>
  <c r="BB224" i="18"/>
  <c r="BA224" i="18"/>
  <c r="BM223" i="18"/>
  <c r="BL223" i="18"/>
  <c r="BK223" i="18"/>
  <c r="BJ223" i="18"/>
  <c r="BI223" i="18"/>
  <c r="BH223" i="18"/>
  <c r="BG223" i="18"/>
  <c r="BF223" i="18"/>
  <c r="BE223" i="18"/>
  <c r="BD223" i="18"/>
  <c r="BC223" i="18"/>
  <c r="BB223" i="18"/>
  <c r="BA223" i="18"/>
  <c r="BM222" i="18"/>
  <c r="BL222" i="18"/>
  <c r="BK222" i="18"/>
  <c r="BJ222" i="18"/>
  <c r="BI222" i="18"/>
  <c r="BH222" i="18"/>
  <c r="BG222" i="18"/>
  <c r="BF222" i="18"/>
  <c r="BE222" i="18"/>
  <c r="BD222" i="18"/>
  <c r="BC222" i="18"/>
  <c r="BB222" i="18"/>
  <c r="BA222" i="18"/>
  <c r="BM221" i="18"/>
  <c r="BL221" i="18"/>
  <c r="BK221" i="18"/>
  <c r="BJ221" i="18"/>
  <c r="BI221" i="18"/>
  <c r="BH221" i="18"/>
  <c r="BG221" i="18"/>
  <c r="BF221" i="18"/>
  <c r="BE221" i="18"/>
  <c r="BD221" i="18"/>
  <c r="BC221" i="18"/>
  <c r="BB221" i="18"/>
  <c r="BA221" i="18"/>
  <c r="BM220" i="18"/>
  <c r="BL220" i="18"/>
  <c r="BK220" i="18"/>
  <c r="BJ220" i="18"/>
  <c r="BI220" i="18"/>
  <c r="BH220" i="18"/>
  <c r="BG220" i="18"/>
  <c r="BF220" i="18"/>
  <c r="BE220" i="18"/>
  <c r="BD220" i="18"/>
  <c r="BC220" i="18"/>
  <c r="BB220" i="18"/>
  <c r="BA220" i="18"/>
  <c r="BM219" i="18"/>
  <c r="BL219" i="18"/>
  <c r="BK219" i="18"/>
  <c r="BJ219" i="18"/>
  <c r="BI219" i="18"/>
  <c r="BH219" i="18"/>
  <c r="BG219" i="18"/>
  <c r="BF219" i="18"/>
  <c r="BE219" i="18"/>
  <c r="BD219" i="18"/>
  <c r="BC219" i="18"/>
  <c r="BB219" i="18"/>
  <c r="BA219" i="18"/>
  <c r="BM218" i="18"/>
  <c r="BL218" i="18"/>
  <c r="BK218" i="18"/>
  <c r="BJ218" i="18"/>
  <c r="BI218" i="18"/>
  <c r="BH218" i="18"/>
  <c r="BG218" i="18"/>
  <c r="BF218" i="18"/>
  <c r="BE218" i="18"/>
  <c r="BD218" i="18"/>
  <c r="BC218" i="18"/>
  <c r="BB218" i="18"/>
  <c r="BA218" i="18"/>
  <c r="BM217" i="18"/>
  <c r="BL217" i="18"/>
  <c r="BK217" i="18"/>
  <c r="BJ217" i="18"/>
  <c r="BI217" i="18"/>
  <c r="BH217" i="18"/>
  <c r="BG217" i="18"/>
  <c r="BF217" i="18"/>
  <c r="BE217" i="18"/>
  <c r="BD217" i="18"/>
  <c r="BC217" i="18"/>
  <c r="BB217" i="18"/>
  <c r="BA217" i="18"/>
  <c r="BM216" i="18"/>
  <c r="BL216" i="18"/>
  <c r="BK216" i="18"/>
  <c r="BJ216" i="18"/>
  <c r="BI216" i="18"/>
  <c r="BH216" i="18"/>
  <c r="BG216" i="18"/>
  <c r="BF216" i="18"/>
  <c r="BE216" i="18"/>
  <c r="BD216" i="18"/>
  <c r="BC216" i="18"/>
  <c r="BB216" i="18"/>
  <c r="BA216" i="18"/>
  <c r="BM215" i="18"/>
  <c r="BL215" i="18"/>
  <c r="BK215" i="18"/>
  <c r="BJ215" i="18"/>
  <c r="BI215" i="18"/>
  <c r="BH215" i="18"/>
  <c r="BG215" i="18"/>
  <c r="BF215" i="18"/>
  <c r="BE215" i="18"/>
  <c r="BD215" i="18"/>
  <c r="BC215" i="18"/>
  <c r="BB215" i="18"/>
  <c r="BA215" i="18"/>
  <c r="BM214" i="18"/>
  <c r="BL214" i="18"/>
  <c r="BK214" i="18"/>
  <c r="BJ214" i="18"/>
  <c r="BI214" i="18"/>
  <c r="BH214" i="18"/>
  <c r="BG214" i="18"/>
  <c r="BF214" i="18"/>
  <c r="BE214" i="18"/>
  <c r="BD214" i="18"/>
  <c r="BC214" i="18"/>
  <c r="BB214" i="18"/>
  <c r="BA214" i="18"/>
  <c r="BM213" i="18"/>
  <c r="BL213" i="18"/>
  <c r="BK213" i="18"/>
  <c r="BJ213" i="18"/>
  <c r="BI213" i="18"/>
  <c r="BH213" i="18"/>
  <c r="BG213" i="18"/>
  <c r="BF213" i="18"/>
  <c r="BE213" i="18"/>
  <c r="BD213" i="18"/>
  <c r="BC213" i="18"/>
  <c r="BB213" i="18"/>
  <c r="BA213" i="18"/>
  <c r="BM212" i="18"/>
  <c r="BL212" i="18"/>
  <c r="BK212" i="18"/>
  <c r="BJ212" i="18"/>
  <c r="BI212" i="18"/>
  <c r="BH212" i="18"/>
  <c r="BG212" i="18"/>
  <c r="BF212" i="18"/>
  <c r="BE212" i="18"/>
  <c r="BD212" i="18"/>
  <c r="BC212" i="18"/>
  <c r="BB212" i="18"/>
  <c r="BA212" i="18"/>
  <c r="BM211" i="18"/>
  <c r="BL211" i="18"/>
  <c r="BK211" i="18"/>
  <c r="BJ211" i="18"/>
  <c r="BI211" i="18"/>
  <c r="BH211" i="18"/>
  <c r="BG211" i="18"/>
  <c r="BF211" i="18"/>
  <c r="BE211" i="18"/>
  <c r="BD211" i="18"/>
  <c r="BC211" i="18"/>
  <c r="BB211" i="18"/>
  <c r="BA211" i="18"/>
  <c r="BM210" i="18"/>
  <c r="BL210" i="18"/>
  <c r="BK210" i="18"/>
  <c r="BJ210" i="18"/>
  <c r="BI210" i="18"/>
  <c r="BH210" i="18"/>
  <c r="BG210" i="18"/>
  <c r="BF210" i="18"/>
  <c r="BE210" i="18"/>
  <c r="BD210" i="18"/>
  <c r="BC210" i="18"/>
  <c r="BB210" i="18"/>
  <c r="BA210" i="18"/>
  <c r="BM209" i="18"/>
  <c r="BL209" i="18"/>
  <c r="BK209" i="18"/>
  <c r="BJ209" i="18"/>
  <c r="BI209" i="18"/>
  <c r="BH209" i="18"/>
  <c r="BG209" i="18"/>
  <c r="BF209" i="18"/>
  <c r="BE209" i="18"/>
  <c r="BD209" i="18"/>
  <c r="BC209" i="18"/>
  <c r="BB209" i="18"/>
  <c r="BA209" i="18"/>
  <c r="BM208" i="18"/>
  <c r="BL208" i="18"/>
  <c r="BK208" i="18"/>
  <c r="BJ208" i="18"/>
  <c r="BI208" i="18"/>
  <c r="BH208" i="18"/>
  <c r="BG208" i="18"/>
  <c r="BF208" i="18"/>
  <c r="BE208" i="18"/>
  <c r="BD208" i="18"/>
  <c r="BC208" i="18"/>
  <c r="BB208" i="18"/>
  <c r="BA208" i="18"/>
  <c r="BM207" i="18"/>
  <c r="BL207" i="18"/>
  <c r="BK207" i="18"/>
  <c r="BJ207" i="18"/>
  <c r="BI207" i="18"/>
  <c r="BH207" i="18"/>
  <c r="BG207" i="18"/>
  <c r="BF207" i="18"/>
  <c r="BE207" i="18"/>
  <c r="BD207" i="18"/>
  <c r="BC207" i="18"/>
  <c r="BB207" i="18"/>
  <c r="BA207" i="18"/>
  <c r="BM206" i="18"/>
  <c r="BL206" i="18"/>
  <c r="BK206" i="18"/>
  <c r="BJ206" i="18"/>
  <c r="BI206" i="18"/>
  <c r="BH206" i="18"/>
  <c r="BG206" i="18"/>
  <c r="BF206" i="18"/>
  <c r="BE206" i="18"/>
  <c r="BD206" i="18"/>
  <c r="BC206" i="18"/>
  <c r="BB206" i="18"/>
  <c r="BA206" i="18"/>
  <c r="BM205" i="18"/>
  <c r="BL205" i="18"/>
  <c r="BK205" i="18"/>
  <c r="BJ205" i="18"/>
  <c r="BI205" i="18"/>
  <c r="BH205" i="18"/>
  <c r="BG205" i="18"/>
  <c r="BF205" i="18"/>
  <c r="BE205" i="18"/>
  <c r="BD205" i="18"/>
  <c r="BC205" i="18"/>
  <c r="BB205" i="18"/>
  <c r="BA205" i="18"/>
  <c r="BM204" i="18"/>
  <c r="BL204" i="18"/>
  <c r="BK204" i="18"/>
  <c r="BJ204" i="18"/>
  <c r="BI204" i="18"/>
  <c r="BH204" i="18"/>
  <c r="BG204" i="18"/>
  <c r="BF204" i="18"/>
  <c r="BE204" i="18"/>
  <c r="BD204" i="18"/>
  <c r="BC204" i="18"/>
  <c r="BB204" i="18"/>
  <c r="BA204" i="18"/>
  <c r="BM203" i="18"/>
  <c r="BL203" i="18"/>
  <c r="BK203" i="18"/>
  <c r="BJ203" i="18"/>
  <c r="BI203" i="18"/>
  <c r="BH203" i="18"/>
  <c r="BG203" i="18"/>
  <c r="BF203" i="18"/>
  <c r="BE203" i="18"/>
  <c r="BD203" i="18"/>
  <c r="BC203" i="18"/>
  <c r="BB203" i="18"/>
  <c r="BA203" i="18"/>
  <c r="BM202" i="18"/>
  <c r="BL202" i="18"/>
  <c r="BK202" i="18"/>
  <c r="BJ202" i="18"/>
  <c r="BI202" i="18"/>
  <c r="BH202" i="18"/>
  <c r="BG202" i="18"/>
  <c r="BF202" i="18"/>
  <c r="BE202" i="18"/>
  <c r="BD202" i="18"/>
  <c r="BC202" i="18"/>
  <c r="BB202" i="18"/>
  <c r="BA202" i="18"/>
  <c r="BM201" i="18"/>
  <c r="BL201" i="18"/>
  <c r="BK201" i="18"/>
  <c r="BJ201" i="18"/>
  <c r="BI201" i="18"/>
  <c r="BH201" i="18"/>
  <c r="BG201" i="18"/>
  <c r="BF201" i="18"/>
  <c r="BE201" i="18"/>
  <c r="BD201" i="18"/>
  <c r="BC201" i="18"/>
  <c r="BB201" i="18"/>
  <c r="BA201" i="18"/>
  <c r="BM200" i="18"/>
  <c r="BL200" i="18"/>
  <c r="BK200" i="18"/>
  <c r="BJ200" i="18"/>
  <c r="BI200" i="18"/>
  <c r="BH200" i="18"/>
  <c r="BG200" i="18"/>
  <c r="BF200" i="18"/>
  <c r="BE200" i="18"/>
  <c r="BD200" i="18"/>
  <c r="BC200" i="18"/>
  <c r="BB200" i="18"/>
  <c r="BA200" i="18"/>
  <c r="BM199" i="18"/>
  <c r="BL199" i="18"/>
  <c r="BK199" i="18"/>
  <c r="BJ199" i="18"/>
  <c r="BI199" i="18"/>
  <c r="BH199" i="18"/>
  <c r="BG199" i="18"/>
  <c r="BF199" i="18"/>
  <c r="BE199" i="18"/>
  <c r="BD199" i="18"/>
  <c r="BC199" i="18"/>
  <c r="BB199" i="18"/>
  <c r="BA199" i="18"/>
  <c r="BM198" i="18"/>
  <c r="BL198" i="18"/>
  <c r="BK198" i="18"/>
  <c r="BJ198" i="18"/>
  <c r="BI198" i="18"/>
  <c r="BH198" i="18"/>
  <c r="BG198" i="18"/>
  <c r="BF198" i="18"/>
  <c r="BE198" i="18"/>
  <c r="BD198" i="18"/>
  <c r="BC198" i="18"/>
  <c r="BB198" i="18"/>
  <c r="BA198" i="18"/>
  <c r="BM197" i="18"/>
  <c r="BL197" i="18"/>
  <c r="BK197" i="18"/>
  <c r="BJ197" i="18"/>
  <c r="BI197" i="18"/>
  <c r="BH197" i="18"/>
  <c r="BG197" i="18"/>
  <c r="BF197" i="18"/>
  <c r="BE197" i="18"/>
  <c r="BD197" i="18"/>
  <c r="BC197" i="18"/>
  <c r="BB197" i="18"/>
  <c r="BA197" i="18"/>
  <c r="BM196" i="18"/>
  <c r="BL196" i="18"/>
  <c r="BK196" i="18"/>
  <c r="BJ196" i="18"/>
  <c r="BI196" i="18"/>
  <c r="BH196" i="18"/>
  <c r="BG196" i="18"/>
  <c r="BF196" i="18"/>
  <c r="BE196" i="18"/>
  <c r="BD196" i="18"/>
  <c r="BC196" i="18"/>
  <c r="BB196" i="18"/>
  <c r="BA196" i="18"/>
  <c r="BM195" i="18"/>
  <c r="BL195" i="18"/>
  <c r="BK195" i="18"/>
  <c r="BJ195" i="18"/>
  <c r="BI195" i="18"/>
  <c r="BH195" i="18"/>
  <c r="BG195" i="18"/>
  <c r="BF195" i="18"/>
  <c r="BE195" i="18"/>
  <c r="BD195" i="18"/>
  <c r="BC195" i="18"/>
  <c r="BB195" i="18"/>
  <c r="BA195" i="18"/>
  <c r="BM194" i="18"/>
  <c r="BL194" i="18"/>
  <c r="BK194" i="18"/>
  <c r="BJ194" i="18"/>
  <c r="BI194" i="18"/>
  <c r="BH194" i="18"/>
  <c r="BG194" i="18"/>
  <c r="BF194" i="18"/>
  <c r="BE194" i="18"/>
  <c r="BD194" i="18"/>
  <c r="BC194" i="18"/>
  <c r="BB194" i="18"/>
  <c r="BA194" i="18"/>
  <c r="BM193" i="18"/>
  <c r="BL193" i="18"/>
  <c r="BK193" i="18"/>
  <c r="BJ193" i="18"/>
  <c r="BI193" i="18"/>
  <c r="BH193" i="18"/>
  <c r="BG193" i="18"/>
  <c r="BF193" i="18"/>
  <c r="BE193" i="18"/>
  <c r="BD193" i="18"/>
  <c r="BC193" i="18"/>
  <c r="BB193" i="18"/>
  <c r="BA193" i="18"/>
  <c r="BM192" i="18"/>
  <c r="BL192" i="18"/>
  <c r="BK192" i="18"/>
  <c r="BJ192" i="18"/>
  <c r="BI192" i="18"/>
  <c r="BH192" i="18"/>
  <c r="BG192" i="18"/>
  <c r="BF192" i="18"/>
  <c r="BE192" i="18"/>
  <c r="BD192" i="18"/>
  <c r="BC192" i="18"/>
  <c r="BB192" i="18"/>
  <c r="BA192" i="18"/>
  <c r="BM191" i="18"/>
  <c r="BL191" i="18"/>
  <c r="BK191" i="18"/>
  <c r="BJ191" i="18"/>
  <c r="BI191" i="18"/>
  <c r="BH191" i="18"/>
  <c r="BG191" i="18"/>
  <c r="BF191" i="18"/>
  <c r="BE191" i="18"/>
  <c r="BD191" i="18"/>
  <c r="BC191" i="18"/>
  <c r="BB191" i="18"/>
  <c r="BA191" i="18"/>
  <c r="BM190" i="18"/>
  <c r="BL190" i="18"/>
  <c r="BK190" i="18"/>
  <c r="BJ190" i="18"/>
  <c r="BI190" i="18"/>
  <c r="BH190" i="18"/>
  <c r="BG190" i="18"/>
  <c r="BF190" i="18"/>
  <c r="BE190" i="18"/>
  <c r="BD190" i="18"/>
  <c r="BC190" i="18"/>
  <c r="BB190" i="18"/>
  <c r="BA190" i="18"/>
  <c r="BM189" i="18"/>
  <c r="BL189" i="18"/>
  <c r="BK189" i="18"/>
  <c r="BJ189" i="18"/>
  <c r="BI189" i="18"/>
  <c r="BH189" i="18"/>
  <c r="BG189" i="18"/>
  <c r="BF189" i="18"/>
  <c r="BE189" i="18"/>
  <c r="BD189" i="18"/>
  <c r="BC189" i="18"/>
  <c r="BB189" i="18"/>
  <c r="BA189" i="18"/>
  <c r="BM188" i="18"/>
  <c r="BL188" i="18"/>
  <c r="BK188" i="18"/>
  <c r="BJ188" i="18"/>
  <c r="BI188" i="18"/>
  <c r="BH188" i="18"/>
  <c r="BG188" i="18"/>
  <c r="BF188" i="18"/>
  <c r="BE188" i="18"/>
  <c r="BD188" i="18"/>
  <c r="BC188" i="18"/>
  <c r="BB188" i="18"/>
  <c r="BA188" i="18"/>
  <c r="BM187" i="18"/>
  <c r="BL187" i="18"/>
  <c r="BK187" i="18"/>
  <c r="BJ187" i="18"/>
  <c r="BI187" i="18"/>
  <c r="BH187" i="18"/>
  <c r="BG187" i="18"/>
  <c r="BF187" i="18"/>
  <c r="BE187" i="18"/>
  <c r="BD187" i="18"/>
  <c r="BC187" i="18"/>
  <c r="BB187" i="18"/>
  <c r="BA187" i="18"/>
  <c r="BM186" i="18"/>
  <c r="BL186" i="18"/>
  <c r="BK186" i="18"/>
  <c r="BJ186" i="18"/>
  <c r="BI186" i="18"/>
  <c r="BH186" i="18"/>
  <c r="BG186" i="18"/>
  <c r="BF186" i="18"/>
  <c r="BE186" i="18"/>
  <c r="BD186" i="18"/>
  <c r="BC186" i="18"/>
  <c r="BB186" i="18"/>
  <c r="BA186" i="18"/>
  <c r="BM185" i="18"/>
  <c r="BL185" i="18"/>
  <c r="BK185" i="18"/>
  <c r="BJ185" i="18"/>
  <c r="BI185" i="18"/>
  <c r="BH185" i="18"/>
  <c r="BG185" i="18"/>
  <c r="BF185" i="18"/>
  <c r="BE185" i="18"/>
  <c r="BD185" i="18"/>
  <c r="BC185" i="18"/>
  <c r="BB185" i="18"/>
  <c r="BA185" i="18"/>
  <c r="BM184" i="18"/>
  <c r="BL184" i="18"/>
  <c r="BK184" i="18"/>
  <c r="BJ184" i="18"/>
  <c r="BI184" i="18"/>
  <c r="BH184" i="18"/>
  <c r="BG184" i="18"/>
  <c r="BF184" i="18"/>
  <c r="BE184" i="18"/>
  <c r="BD184" i="18"/>
  <c r="BC184" i="18"/>
  <c r="BB184" i="18"/>
  <c r="BA184" i="18"/>
  <c r="BM183" i="18"/>
  <c r="BL183" i="18"/>
  <c r="BK183" i="18"/>
  <c r="BJ183" i="18"/>
  <c r="BI183" i="18"/>
  <c r="BH183" i="18"/>
  <c r="BG183" i="18"/>
  <c r="BF183" i="18"/>
  <c r="BE183" i="18"/>
  <c r="BD183" i="18"/>
  <c r="BC183" i="18"/>
  <c r="BB183" i="18"/>
  <c r="BA183" i="18"/>
  <c r="BM182" i="18"/>
  <c r="BL182" i="18"/>
  <c r="BK182" i="18"/>
  <c r="BJ182" i="18"/>
  <c r="BI182" i="18"/>
  <c r="BH182" i="18"/>
  <c r="BG182" i="18"/>
  <c r="BF182" i="18"/>
  <c r="BE182" i="18"/>
  <c r="BD182" i="18"/>
  <c r="BC182" i="18"/>
  <c r="BB182" i="18"/>
  <c r="BA182" i="18"/>
  <c r="BM181" i="18"/>
  <c r="BL181" i="18"/>
  <c r="BK181" i="18"/>
  <c r="BJ181" i="18"/>
  <c r="BI181" i="18"/>
  <c r="BH181" i="18"/>
  <c r="BG181" i="18"/>
  <c r="BF181" i="18"/>
  <c r="BE181" i="18"/>
  <c r="BD181" i="18"/>
  <c r="BC181" i="18"/>
  <c r="BB181" i="18"/>
  <c r="BA181" i="18"/>
  <c r="BM180" i="18"/>
  <c r="BL180" i="18"/>
  <c r="BK180" i="18"/>
  <c r="BJ180" i="18"/>
  <c r="BI180" i="18"/>
  <c r="BH180" i="18"/>
  <c r="BG180" i="18"/>
  <c r="BF180" i="18"/>
  <c r="BE180" i="18"/>
  <c r="BD180" i="18"/>
  <c r="BC180" i="18"/>
  <c r="BB180" i="18"/>
  <c r="BA180" i="18"/>
  <c r="BM179" i="18"/>
  <c r="BL179" i="18"/>
  <c r="BK179" i="18"/>
  <c r="BJ179" i="18"/>
  <c r="BI179" i="18"/>
  <c r="BH179" i="18"/>
  <c r="BG179" i="18"/>
  <c r="BF179" i="18"/>
  <c r="BE179" i="18"/>
  <c r="BD179" i="18"/>
  <c r="BC179" i="18"/>
  <c r="BB179" i="18"/>
  <c r="BA179" i="18"/>
  <c r="BM178" i="18"/>
  <c r="BL178" i="18"/>
  <c r="BK178" i="18"/>
  <c r="BJ178" i="18"/>
  <c r="BI178" i="18"/>
  <c r="BH178" i="18"/>
  <c r="BG178" i="18"/>
  <c r="BF178" i="18"/>
  <c r="BE178" i="18"/>
  <c r="BD178" i="18"/>
  <c r="BC178" i="18"/>
  <c r="BB178" i="18"/>
  <c r="BA178" i="18"/>
  <c r="BM177" i="18"/>
  <c r="BL177" i="18"/>
  <c r="BK177" i="18"/>
  <c r="BJ177" i="18"/>
  <c r="BI177" i="18"/>
  <c r="BH177" i="18"/>
  <c r="BG177" i="18"/>
  <c r="BF177" i="18"/>
  <c r="BE177" i="18"/>
  <c r="BD177" i="18"/>
  <c r="BC177" i="18"/>
  <c r="BB177" i="18"/>
  <c r="BA177" i="18"/>
  <c r="BM176" i="18"/>
  <c r="BL176" i="18"/>
  <c r="BK176" i="18"/>
  <c r="BJ176" i="18"/>
  <c r="BI176" i="18"/>
  <c r="BH176" i="18"/>
  <c r="BG176" i="18"/>
  <c r="BF176" i="18"/>
  <c r="BE176" i="18"/>
  <c r="BD176" i="18"/>
  <c r="BC176" i="18"/>
  <c r="BB176" i="18"/>
  <c r="BA176" i="18"/>
  <c r="BM175" i="18"/>
  <c r="BL175" i="18"/>
  <c r="BK175" i="18"/>
  <c r="BJ175" i="18"/>
  <c r="BI175" i="18"/>
  <c r="BH175" i="18"/>
  <c r="BG175" i="18"/>
  <c r="BF175" i="18"/>
  <c r="BE175" i="18"/>
  <c r="BD175" i="18"/>
  <c r="BC175" i="18"/>
  <c r="BB175" i="18"/>
  <c r="BA175" i="18"/>
  <c r="BM174" i="18"/>
  <c r="BL174" i="18"/>
  <c r="BK174" i="18"/>
  <c r="BJ174" i="18"/>
  <c r="BI174" i="18"/>
  <c r="BH174" i="18"/>
  <c r="BG174" i="18"/>
  <c r="BF174" i="18"/>
  <c r="BE174" i="18"/>
  <c r="BD174" i="18"/>
  <c r="BC174" i="18"/>
  <c r="BB174" i="18"/>
  <c r="BA174" i="18"/>
  <c r="BM173" i="18"/>
  <c r="BL173" i="18"/>
  <c r="BK173" i="18"/>
  <c r="BJ173" i="18"/>
  <c r="BI173" i="18"/>
  <c r="BH173" i="18"/>
  <c r="BG173" i="18"/>
  <c r="BF173" i="18"/>
  <c r="BE173" i="18"/>
  <c r="BD173" i="18"/>
  <c r="BC173" i="18"/>
  <c r="BB173" i="18"/>
  <c r="BA173" i="18"/>
  <c r="BM172" i="18"/>
  <c r="BL172" i="18"/>
  <c r="BK172" i="18"/>
  <c r="BJ172" i="18"/>
  <c r="BI172" i="18"/>
  <c r="BH172" i="18"/>
  <c r="BG172" i="18"/>
  <c r="BF172" i="18"/>
  <c r="BE172" i="18"/>
  <c r="BD172" i="18"/>
  <c r="BC172" i="18"/>
  <c r="BB172" i="18"/>
  <c r="BA172" i="18"/>
  <c r="BM171" i="18"/>
  <c r="BL171" i="18"/>
  <c r="BK171" i="18"/>
  <c r="BJ171" i="18"/>
  <c r="BI171" i="18"/>
  <c r="BH171" i="18"/>
  <c r="BG171" i="18"/>
  <c r="BF171" i="18"/>
  <c r="BE171" i="18"/>
  <c r="BD171" i="18"/>
  <c r="BC171" i="18"/>
  <c r="BB171" i="18"/>
  <c r="BA171" i="18"/>
  <c r="BM170" i="18"/>
  <c r="BL170" i="18"/>
  <c r="BK170" i="18"/>
  <c r="BJ170" i="18"/>
  <c r="BI170" i="18"/>
  <c r="BH170" i="18"/>
  <c r="BG170" i="18"/>
  <c r="BF170" i="18"/>
  <c r="BE170" i="18"/>
  <c r="BD170" i="18"/>
  <c r="BC170" i="18"/>
  <c r="BB170" i="18"/>
  <c r="BA170" i="18"/>
  <c r="BM169" i="18"/>
  <c r="BL169" i="18"/>
  <c r="BK169" i="18"/>
  <c r="BJ169" i="18"/>
  <c r="BI169" i="18"/>
  <c r="BH169" i="18"/>
  <c r="BG169" i="18"/>
  <c r="BF169" i="18"/>
  <c r="BE169" i="18"/>
  <c r="BD169" i="18"/>
  <c r="BC169" i="18"/>
  <c r="BB169" i="18"/>
  <c r="BA169" i="18"/>
  <c r="BM168" i="18"/>
  <c r="BL168" i="18"/>
  <c r="BK168" i="18"/>
  <c r="BJ168" i="18"/>
  <c r="BI168" i="18"/>
  <c r="BH168" i="18"/>
  <c r="BG168" i="18"/>
  <c r="BF168" i="18"/>
  <c r="BE168" i="18"/>
  <c r="BD168" i="18"/>
  <c r="BC168" i="18"/>
  <c r="BB168" i="18"/>
  <c r="BA168" i="18"/>
  <c r="BM167" i="18"/>
  <c r="BL167" i="18"/>
  <c r="BK167" i="18"/>
  <c r="BJ167" i="18"/>
  <c r="BI167" i="18"/>
  <c r="BH167" i="18"/>
  <c r="BG167" i="18"/>
  <c r="BF167" i="18"/>
  <c r="BE167" i="18"/>
  <c r="BD167" i="18"/>
  <c r="BC167" i="18"/>
  <c r="BB167" i="18"/>
  <c r="BA167" i="18"/>
  <c r="BM166" i="18"/>
  <c r="BL166" i="18"/>
  <c r="BK166" i="18"/>
  <c r="BJ166" i="18"/>
  <c r="BI166" i="18"/>
  <c r="BH166" i="18"/>
  <c r="BG166" i="18"/>
  <c r="BF166" i="18"/>
  <c r="BE166" i="18"/>
  <c r="BD166" i="18"/>
  <c r="BC166" i="18"/>
  <c r="BB166" i="18"/>
  <c r="BA166" i="18"/>
  <c r="BM165" i="18"/>
  <c r="BL165" i="18"/>
  <c r="BK165" i="18"/>
  <c r="BJ165" i="18"/>
  <c r="BI165" i="18"/>
  <c r="BH165" i="18"/>
  <c r="BG165" i="18"/>
  <c r="BF165" i="18"/>
  <c r="BE165" i="18"/>
  <c r="BD165" i="18"/>
  <c r="BC165" i="18"/>
  <c r="BB165" i="18"/>
  <c r="BA165" i="18"/>
  <c r="BM164" i="18"/>
  <c r="BL164" i="18"/>
  <c r="BK164" i="18"/>
  <c r="BJ164" i="18"/>
  <c r="BI164" i="18"/>
  <c r="BH164" i="18"/>
  <c r="BG164" i="18"/>
  <c r="BF164" i="18"/>
  <c r="BE164" i="18"/>
  <c r="BD164" i="18"/>
  <c r="BC164" i="18"/>
  <c r="BB164" i="18"/>
  <c r="BA164" i="18"/>
  <c r="BM163" i="18"/>
  <c r="BL163" i="18"/>
  <c r="BK163" i="18"/>
  <c r="BJ163" i="18"/>
  <c r="BI163" i="18"/>
  <c r="BH163" i="18"/>
  <c r="BG163" i="18"/>
  <c r="BF163" i="18"/>
  <c r="BE163" i="18"/>
  <c r="BD163" i="18"/>
  <c r="BC163" i="18"/>
  <c r="BB163" i="18"/>
  <c r="BA163" i="18"/>
  <c r="BM162" i="18"/>
  <c r="BL162" i="18"/>
  <c r="BK162" i="18"/>
  <c r="BJ162" i="18"/>
  <c r="BI162" i="18"/>
  <c r="BH162" i="18"/>
  <c r="BG162" i="18"/>
  <c r="BF162" i="18"/>
  <c r="BE162" i="18"/>
  <c r="BD162" i="18"/>
  <c r="BC162" i="18"/>
  <c r="BB162" i="18"/>
  <c r="BA162" i="18"/>
  <c r="BM161" i="18"/>
  <c r="BL161" i="18"/>
  <c r="BK161" i="18"/>
  <c r="BJ161" i="18"/>
  <c r="BI161" i="18"/>
  <c r="BH161" i="18"/>
  <c r="BG161" i="18"/>
  <c r="BF161" i="18"/>
  <c r="BE161" i="18"/>
  <c r="BD161" i="18"/>
  <c r="BC161" i="18"/>
  <c r="BB161" i="18"/>
  <c r="BA161" i="18"/>
  <c r="BM160" i="18"/>
  <c r="BL160" i="18"/>
  <c r="BK160" i="18"/>
  <c r="BJ160" i="18"/>
  <c r="BI160" i="18"/>
  <c r="BH160" i="18"/>
  <c r="BG160" i="18"/>
  <c r="BF160" i="18"/>
  <c r="BE160" i="18"/>
  <c r="BD160" i="18"/>
  <c r="BC160" i="18"/>
  <c r="BB160" i="18"/>
  <c r="BA160" i="18"/>
  <c r="BM159" i="18"/>
  <c r="BL159" i="18"/>
  <c r="BK159" i="18"/>
  <c r="BJ159" i="18"/>
  <c r="BI159" i="18"/>
  <c r="BH159" i="18"/>
  <c r="BG159" i="18"/>
  <c r="BF159" i="18"/>
  <c r="BE159" i="18"/>
  <c r="BD159" i="18"/>
  <c r="BC159" i="18"/>
  <c r="BB159" i="18"/>
  <c r="BA159" i="18"/>
  <c r="BM158" i="18"/>
  <c r="BL158" i="18"/>
  <c r="BK158" i="18"/>
  <c r="BJ158" i="18"/>
  <c r="BI158" i="18"/>
  <c r="BH158" i="18"/>
  <c r="BG158" i="18"/>
  <c r="BF158" i="18"/>
  <c r="BE158" i="18"/>
  <c r="BD158" i="18"/>
  <c r="BC158" i="18"/>
  <c r="BB158" i="18"/>
  <c r="BA158" i="18"/>
  <c r="BM157" i="18"/>
  <c r="BL157" i="18"/>
  <c r="BK157" i="18"/>
  <c r="BJ157" i="18"/>
  <c r="BI157" i="18"/>
  <c r="BH157" i="18"/>
  <c r="BG157" i="18"/>
  <c r="BF157" i="18"/>
  <c r="BE157" i="18"/>
  <c r="BD157" i="18"/>
  <c r="BC157" i="18"/>
  <c r="BB157" i="18"/>
  <c r="BA157" i="18"/>
  <c r="BM156" i="18"/>
  <c r="BL156" i="18"/>
  <c r="BK156" i="18"/>
  <c r="BJ156" i="18"/>
  <c r="BI156" i="18"/>
  <c r="BH156" i="18"/>
  <c r="BG156" i="18"/>
  <c r="BF156" i="18"/>
  <c r="BE156" i="18"/>
  <c r="BD156" i="18"/>
  <c r="BC156" i="18"/>
  <c r="BB156" i="18"/>
  <c r="BA156" i="18"/>
  <c r="BM155" i="18"/>
  <c r="BL155" i="18"/>
  <c r="BK155" i="18"/>
  <c r="BJ155" i="18"/>
  <c r="BI155" i="18"/>
  <c r="BH155" i="18"/>
  <c r="BG155" i="18"/>
  <c r="BF155" i="18"/>
  <c r="BE155" i="18"/>
  <c r="BD155" i="18"/>
  <c r="BC155" i="18"/>
  <c r="BB155" i="18"/>
  <c r="BA155" i="18"/>
  <c r="BM154" i="18"/>
  <c r="BL154" i="18"/>
  <c r="BK154" i="18"/>
  <c r="BJ154" i="18"/>
  <c r="BI154" i="18"/>
  <c r="BH154" i="18"/>
  <c r="BG154" i="18"/>
  <c r="BF154" i="18"/>
  <c r="BE154" i="18"/>
  <c r="BD154" i="18"/>
  <c r="BC154" i="18"/>
  <c r="BB154" i="18"/>
  <c r="BA154" i="18"/>
  <c r="BM153" i="18"/>
  <c r="BL153" i="18"/>
  <c r="BK153" i="18"/>
  <c r="BJ153" i="18"/>
  <c r="BI153" i="18"/>
  <c r="BH153" i="18"/>
  <c r="BG153" i="18"/>
  <c r="BF153" i="18"/>
  <c r="BE153" i="18"/>
  <c r="BD153" i="18"/>
  <c r="BC153" i="18"/>
  <c r="BB153" i="18"/>
  <c r="BA153" i="18"/>
  <c r="BM152" i="18"/>
  <c r="BL152" i="18"/>
  <c r="BK152" i="18"/>
  <c r="BJ152" i="18"/>
  <c r="BI152" i="18"/>
  <c r="BH152" i="18"/>
  <c r="BG152" i="18"/>
  <c r="BF152" i="18"/>
  <c r="BE152" i="18"/>
  <c r="BD152" i="18"/>
  <c r="BC152" i="18"/>
  <c r="BB152" i="18"/>
  <c r="BA152" i="18"/>
  <c r="BM151" i="18"/>
  <c r="BL151" i="18"/>
  <c r="BK151" i="18"/>
  <c r="BJ151" i="18"/>
  <c r="BI151" i="18"/>
  <c r="BH151" i="18"/>
  <c r="BG151" i="18"/>
  <c r="BF151" i="18"/>
  <c r="BE151" i="18"/>
  <c r="BD151" i="18"/>
  <c r="BC151" i="18"/>
  <c r="BB151" i="18"/>
  <c r="BA151" i="18"/>
  <c r="BM150" i="18"/>
  <c r="BL150" i="18"/>
  <c r="BK150" i="18"/>
  <c r="BJ150" i="18"/>
  <c r="BI150" i="18"/>
  <c r="BH150" i="18"/>
  <c r="BG150" i="18"/>
  <c r="BF150" i="18"/>
  <c r="BE150" i="18"/>
  <c r="BD150" i="18"/>
  <c r="BC150" i="18"/>
  <c r="BB150" i="18"/>
  <c r="BA150" i="18"/>
  <c r="BM149" i="18"/>
  <c r="BL149" i="18"/>
  <c r="BK149" i="18"/>
  <c r="BJ149" i="18"/>
  <c r="BI149" i="18"/>
  <c r="BH149" i="18"/>
  <c r="BG149" i="18"/>
  <c r="BF149" i="18"/>
  <c r="BE149" i="18"/>
  <c r="BD149" i="18"/>
  <c r="BC149" i="18"/>
  <c r="BB149" i="18"/>
  <c r="BA149" i="18"/>
  <c r="BM148" i="18"/>
  <c r="BL148" i="18"/>
  <c r="BK148" i="18"/>
  <c r="BJ148" i="18"/>
  <c r="BI148" i="18"/>
  <c r="BH148" i="18"/>
  <c r="BG148" i="18"/>
  <c r="BF148" i="18"/>
  <c r="BE148" i="18"/>
  <c r="BD148" i="18"/>
  <c r="BC148" i="18"/>
  <c r="BB148" i="18"/>
  <c r="BA148" i="18"/>
  <c r="BM147" i="18"/>
  <c r="BL147" i="18"/>
  <c r="BK147" i="18"/>
  <c r="BJ147" i="18"/>
  <c r="BI147" i="18"/>
  <c r="BH147" i="18"/>
  <c r="BG147" i="18"/>
  <c r="BF147" i="18"/>
  <c r="BE147" i="18"/>
  <c r="BD147" i="18"/>
  <c r="BC147" i="18"/>
  <c r="BB147" i="18"/>
  <c r="BA147" i="18"/>
  <c r="BM146" i="18"/>
  <c r="BL146" i="18"/>
  <c r="BK146" i="18"/>
  <c r="BJ146" i="18"/>
  <c r="BI146" i="18"/>
  <c r="BH146" i="18"/>
  <c r="BG146" i="18"/>
  <c r="BF146" i="18"/>
  <c r="BE146" i="18"/>
  <c r="BD146" i="18"/>
  <c r="BC146" i="18"/>
  <c r="BB146" i="18"/>
  <c r="BA146" i="18"/>
  <c r="BM145" i="18"/>
  <c r="BL145" i="18"/>
  <c r="BK145" i="18"/>
  <c r="BJ145" i="18"/>
  <c r="BI145" i="18"/>
  <c r="BH145" i="18"/>
  <c r="BG145" i="18"/>
  <c r="BF145" i="18"/>
  <c r="BE145" i="18"/>
  <c r="BD145" i="18"/>
  <c r="BC145" i="18"/>
  <c r="BB145" i="18"/>
  <c r="BA145" i="18"/>
  <c r="BM144" i="18"/>
  <c r="BL144" i="18"/>
  <c r="BK144" i="18"/>
  <c r="BJ144" i="18"/>
  <c r="BI144" i="18"/>
  <c r="BH144" i="18"/>
  <c r="BG144" i="18"/>
  <c r="BF144" i="18"/>
  <c r="BE144" i="18"/>
  <c r="BD144" i="18"/>
  <c r="BC144" i="18"/>
  <c r="BB144" i="18"/>
  <c r="BA144" i="18"/>
  <c r="BM143" i="18"/>
  <c r="BL143" i="18"/>
  <c r="BK143" i="18"/>
  <c r="BJ143" i="18"/>
  <c r="BI143" i="18"/>
  <c r="BH143" i="18"/>
  <c r="BG143" i="18"/>
  <c r="BF143" i="18"/>
  <c r="BE143" i="18"/>
  <c r="BD143" i="18"/>
  <c r="BC143" i="18"/>
  <c r="BB143" i="18"/>
  <c r="BA143" i="18"/>
  <c r="BM142" i="18"/>
  <c r="BL142" i="18"/>
  <c r="BK142" i="18"/>
  <c r="BJ142" i="18"/>
  <c r="BI142" i="18"/>
  <c r="BH142" i="18"/>
  <c r="BG142" i="18"/>
  <c r="BF142" i="18"/>
  <c r="BE142" i="18"/>
  <c r="BD142" i="18"/>
  <c r="BC142" i="18"/>
  <c r="BB142" i="18"/>
  <c r="BA142" i="18"/>
  <c r="BM141" i="18"/>
  <c r="BL141" i="18"/>
  <c r="BK141" i="18"/>
  <c r="BJ141" i="18"/>
  <c r="BI141" i="18"/>
  <c r="BH141" i="18"/>
  <c r="BG141" i="18"/>
  <c r="BF141" i="18"/>
  <c r="BE141" i="18"/>
  <c r="BD141" i="18"/>
  <c r="BC141" i="18"/>
  <c r="BB141" i="18"/>
  <c r="BA141" i="18"/>
  <c r="BM140" i="18"/>
  <c r="BL140" i="18"/>
  <c r="BK140" i="18"/>
  <c r="BJ140" i="18"/>
  <c r="BI140" i="18"/>
  <c r="BH140" i="18"/>
  <c r="BG140" i="18"/>
  <c r="BF140" i="18"/>
  <c r="BE140" i="18"/>
  <c r="BD140" i="18"/>
  <c r="BC140" i="18"/>
  <c r="BB140" i="18"/>
  <c r="BA140" i="18"/>
  <c r="BM139" i="18"/>
  <c r="BL139" i="18"/>
  <c r="BK139" i="18"/>
  <c r="BJ139" i="18"/>
  <c r="BI139" i="18"/>
  <c r="BH139" i="18"/>
  <c r="BG139" i="18"/>
  <c r="BF139" i="18"/>
  <c r="BE139" i="18"/>
  <c r="BD139" i="18"/>
  <c r="BC139" i="18"/>
  <c r="BB139" i="18"/>
  <c r="BA139" i="18"/>
  <c r="BM138" i="18"/>
  <c r="BL138" i="18"/>
  <c r="BK138" i="18"/>
  <c r="BJ138" i="18"/>
  <c r="BI138" i="18"/>
  <c r="BH138" i="18"/>
  <c r="BG138" i="18"/>
  <c r="BF138" i="18"/>
  <c r="BE138" i="18"/>
  <c r="BD138" i="18"/>
  <c r="BC138" i="18"/>
  <c r="BB138" i="18"/>
  <c r="BA138" i="18"/>
  <c r="BM137" i="18"/>
  <c r="BL137" i="18"/>
  <c r="BK137" i="18"/>
  <c r="BJ137" i="18"/>
  <c r="BI137" i="18"/>
  <c r="BH137" i="18"/>
  <c r="BG137" i="18"/>
  <c r="BF137" i="18"/>
  <c r="BE137" i="18"/>
  <c r="BD137" i="18"/>
  <c r="BC137" i="18"/>
  <c r="BB137" i="18"/>
  <c r="BA137" i="18"/>
  <c r="BM136" i="18"/>
  <c r="BL136" i="18"/>
  <c r="BK136" i="18"/>
  <c r="BJ136" i="18"/>
  <c r="BI136" i="18"/>
  <c r="BH136" i="18"/>
  <c r="BG136" i="18"/>
  <c r="BF136" i="18"/>
  <c r="BE136" i="18"/>
  <c r="BD136" i="18"/>
  <c r="BC136" i="18"/>
  <c r="BB136" i="18"/>
  <c r="BA136" i="18"/>
  <c r="BM135" i="18"/>
  <c r="BL135" i="18"/>
  <c r="BK135" i="18"/>
  <c r="BJ135" i="18"/>
  <c r="BI135" i="18"/>
  <c r="BH135" i="18"/>
  <c r="BG135" i="18"/>
  <c r="BF135" i="18"/>
  <c r="BE135" i="18"/>
  <c r="BD135" i="18"/>
  <c r="BC135" i="18"/>
  <c r="BB135" i="18"/>
  <c r="BA135" i="18"/>
  <c r="BM134" i="18"/>
  <c r="BL134" i="18"/>
  <c r="BK134" i="18"/>
  <c r="BJ134" i="18"/>
  <c r="BI134" i="18"/>
  <c r="BH134" i="18"/>
  <c r="BG134" i="18"/>
  <c r="BF134" i="18"/>
  <c r="BE134" i="18"/>
  <c r="BD134" i="18"/>
  <c r="BC134" i="18"/>
  <c r="BB134" i="18"/>
  <c r="BA134" i="18"/>
  <c r="BM133" i="18"/>
  <c r="BL133" i="18"/>
  <c r="BK133" i="18"/>
  <c r="BJ133" i="18"/>
  <c r="BI133" i="18"/>
  <c r="BH133" i="18"/>
  <c r="BG133" i="18"/>
  <c r="BF133" i="18"/>
  <c r="BE133" i="18"/>
  <c r="BD133" i="18"/>
  <c r="BC133" i="18"/>
  <c r="BB133" i="18"/>
  <c r="BA133" i="18"/>
  <c r="BM132" i="18"/>
  <c r="BL132" i="18"/>
  <c r="BK132" i="18"/>
  <c r="BJ132" i="18"/>
  <c r="BI132" i="18"/>
  <c r="BH132" i="18"/>
  <c r="BG132" i="18"/>
  <c r="BF132" i="18"/>
  <c r="BE132" i="18"/>
  <c r="BD132" i="18"/>
  <c r="BC132" i="18"/>
  <c r="BB132" i="18"/>
  <c r="BA132" i="18"/>
  <c r="BM131" i="18"/>
  <c r="BL131" i="18"/>
  <c r="BK131" i="18"/>
  <c r="BJ131" i="18"/>
  <c r="BI131" i="18"/>
  <c r="BH131" i="18"/>
  <c r="BG131" i="18"/>
  <c r="BF131" i="18"/>
  <c r="BE131" i="18"/>
  <c r="BD131" i="18"/>
  <c r="BC131" i="18"/>
  <c r="BB131" i="18"/>
  <c r="BA131" i="18"/>
  <c r="BM130" i="18"/>
  <c r="BL130" i="18"/>
  <c r="BK130" i="18"/>
  <c r="BJ130" i="18"/>
  <c r="BI130" i="18"/>
  <c r="BH130" i="18"/>
  <c r="BG130" i="18"/>
  <c r="BF130" i="18"/>
  <c r="BE130" i="18"/>
  <c r="BD130" i="18"/>
  <c r="BC130" i="18"/>
  <c r="BB130" i="18"/>
  <c r="BA130" i="18"/>
  <c r="BM129" i="18"/>
  <c r="BL129" i="18"/>
  <c r="BK129" i="18"/>
  <c r="BJ129" i="18"/>
  <c r="BI129" i="18"/>
  <c r="BH129" i="18"/>
  <c r="BG129" i="18"/>
  <c r="BF129" i="18"/>
  <c r="BE129" i="18"/>
  <c r="BD129" i="18"/>
  <c r="BC129" i="18"/>
  <c r="BB129" i="18"/>
  <c r="BA129" i="18"/>
  <c r="BM128" i="18"/>
  <c r="BL128" i="18"/>
  <c r="BK128" i="18"/>
  <c r="BJ128" i="18"/>
  <c r="BI128" i="18"/>
  <c r="BH128" i="18"/>
  <c r="BG128" i="18"/>
  <c r="BF128" i="18"/>
  <c r="BE128" i="18"/>
  <c r="BD128" i="18"/>
  <c r="BC128" i="18"/>
  <c r="BB128" i="18"/>
  <c r="BA128" i="18"/>
  <c r="BM127" i="18"/>
  <c r="BL127" i="18"/>
  <c r="BK127" i="18"/>
  <c r="BJ127" i="18"/>
  <c r="BI127" i="18"/>
  <c r="BH127" i="18"/>
  <c r="BG127" i="18"/>
  <c r="BF127" i="18"/>
  <c r="BE127" i="18"/>
  <c r="BD127" i="18"/>
  <c r="BC127" i="18"/>
  <c r="BB127" i="18"/>
  <c r="BA127" i="18"/>
  <c r="BM126" i="18"/>
  <c r="BL126" i="18"/>
  <c r="BK126" i="18"/>
  <c r="BJ126" i="18"/>
  <c r="BI126" i="18"/>
  <c r="BH126" i="18"/>
  <c r="BG126" i="18"/>
  <c r="BF126" i="18"/>
  <c r="BE126" i="18"/>
  <c r="BD126" i="18"/>
  <c r="BC126" i="18"/>
  <c r="BB126" i="18"/>
  <c r="BA126" i="18"/>
  <c r="BM125" i="18"/>
  <c r="BL125" i="18"/>
  <c r="BK125" i="18"/>
  <c r="BJ125" i="18"/>
  <c r="BI125" i="18"/>
  <c r="BH125" i="18"/>
  <c r="BG125" i="18"/>
  <c r="BF125" i="18"/>
  <c r="BE125" i="18"/>
  <c r="BD125" i="18"/>
  <c r="BC125" i="18"/>
  <c r="BB125" i="18"/>
  <c r="BA125" i="18"/>
  <c r="BM124" i="18"/>
  <c r="BL124" i="18"/>
  <c r="BK124" i="18"/>
  <c r="BJ124" i="18"/>
  <c r="BI124" i="18"/>
  <c r="BH124" i="18"/>
  <c r="BG124" i="18"/>
  <c r="BF124" i="18"/>
  <c r="BE124" i="18"/>
  <c r="BD124" i="18"/>
  <c r="BC124" i="18"/>
  <c r="BB124" i="18"/>
  <c r="BA124" i="18"/>
  <c r="BM123" i="18"/>
  <c r="BL123" i="18"/>
  <c r="BK123" i="18"/>
  <c r="BJ123" i="18"/>
  <c r="BI123" i="18"/>
  <c r="BH123" i="18"/>
  <c r="BG123" i="18"/>
  <c r="BF123" i="18"/>
  <c r="BE123" i="18"/>
  <c r="BD123" i="18"/>
  <c r="BC123" i="18"/>
  <c r="BB123" i="18"/>
  <c r="BA123" i="18"/>
  <c r="BM122" i="18"/>
  <c r="BL122" i="18"/>
  <c r="BK122" i="18"/>
  <c r="BJ122" i="18"/>
  <c r="BI122" i="18"/>
  <c r="BH122" i="18"/>
  <c r="BG122" i="18"/>
  <c r="BF122" i="18"/>
  <c r="BE122" i="18"/>
  <c r="BD122" i="18"/>
  <c r="BC122" i="18"/>
  <c r="BB122" i="18"/>
  <c r="BA122" i="18"/>
  <c r="BM121" i="18"/>
  <c r="BL121" i="18"/>
  <c r="BK121" i="18"/>
  <c r="BJ121" i="18"/>
  <c r="BI121" i="18"/>
  <c r="BH121" i="18"/>
  <c r="BG121" i="18"/>
  <c r="BF121" i="18"/>
  <c r="BE121" i="18"/>
  <c r="BD121" i="18"/>
  <c r="BC121" i="18"/>
  <c r="BB121" i="18"/>
  <c r="BA121" i="18"/>
  <c r="BM120" i="18"/>
  <c r="BL120" i="18"/>
  <c r="BK120" i="18"/>
  <c r="BJ120" i="18"/>
  <c r="BI120" i="18"/>
  <c r="BH120" i="18"/>
  <c r="BG120" i="18"/>
  <c r="BF120" i="18"/>
  <c r="BE120" i="18"/>
  <c r="BD120" i="18"/>
  <c r="BC120" i="18"/>
  <c r="BB120" i="18"/>
  <c r="BA120" i="18"/>
  <c r="BM119" i="18"/>
  <c r="BL119" i="18"/>
  <c r="BK119" i="18"/>
  <c r="BJ119" i="18"/>
  <c r="BI119" i="18"/>
  <c r="BH119" i="18"/>
  <c r="BG119" i="18"/>
  <c r="BF119" i="18"/>
  <c r="BE119" i="18"/>
  <c r="BD119" i="18"/>
  <c r="BC119" i="18"/>
  <c r="BB119" i="18"/>
  <c r="BA119" i="18"/>
  <c r="BM118" i="18"/>
  <c r="BL118" i="18"/>
  <c r="BK118" i="18"/>
  <c r="BJ118" i="18"/>
  <c r="BI118" i="18"/>
  <c r="BH118" i="18"/>
  <c r="BG118" i="18"/>
  <c r="BF118" i="18"/>
  <c r="BE118" i="18"/>
  <c r="BD118" i="18"/>
  <c r="BC118" i="18"/>
  <c r="BB118" i="18"/>
  <c r="BA118" i="18"/>
  <c r="BM117" i="18"/>
  <c r="BL117" i="18"/>
  <c r="BK117" i="18"/>
  <c r="BJ117" i="18"/>
  <c r="BI117" i="18"/>
  <c r="BH117" i="18"/>
  <c r="BG117" i="18"/>
  <c r="BF117" i="18"/>
  <c r="BE117" i="18"/>
  <c r="BD117" i="18"/>
  <c r="BC117" i="18"/>
  <c r="BB117" i="18"/>
  <c r="BA117" i="18"/>
  <c r="BM116" i="18"/>
  <c r="BL116" i="18"/>
  <c r="BK116" i="18"/>
  <c r="BJ116" i="18"/>
  <c r="BI116" i="18"/>
  <c r="BH116" i="18"/>
  <c r="BG116" i="18"/>
  <c r="BF116" i="18"/>
  <c r="BE116" i="18"/>
  <c r="BD116" i="18"/>
  <c r="BC116" i="18"/>
  <c r="BB116" i="18"/>
  <c r="BA116" i="18"/>
  <c r="BM115" i="18"/>
  <c r="BL115" i="18"/>
  <c r="BK115" i="18"/>
  <c r="BJ115" i="18"/>
  <c r="BI115" i="18"/>
  <c r="BH115" i="18"/>
  <c r="BG115" i="18"/>
  <c r="BF115" i="18"/>
  <c r="BE115" i="18"/>
  <c r="BD115" i="18"/>
  <c r="BC115" i="18"/>
  <c r="BB115" i="18"/>
  <c r="BA115" i="18"/>
  <c r="BM114" i="18"/>
  <c r="BL114" i="18"/>
  <c r="BK114" i="18"/>
  <c r="BJ114" i="18"/>
  <c r="BI114" i="18"/>
  <c r="BH114" i="18"/>
  <c r="BG114" i="18"/>
  <c r="BF114" i="18"/>
  <c r="BE114" i="18"/>
  <c r="BD114" i="18"/>
  <c r="BC114" i="18"/>
  <c r="BB114" i="18"/>
  <c r="BA114" i="18"/>
  <c r="BM113" i="18"/>
  <c r="BL113" i="18"/>
  <c r="BK113" i="18"/>
  <c r="BJ113" i="18"/>
  <c r="BI113" i="18"/>
  <c r="BH113" i="18"/>
  <c r="BG113" i="18"/>
  <c r="BF113" i="18"/>
  <c r="BE113" i="18"/>
  <c r="BD113" i="18"/>
  <c r="BC113" i="18"/>
  <c r="BB113" i="18"/>
  <c r="BA113" i="18"/>
  <c r="BM112" i="18"/>
  <c r="BL112" i="18"/>
  <c r="BK112" i="18"/>
  <c r="BJ112" i="18"/>
  <c r="BI112" i="18"/>
  <c r="BH112" i="18"/>
  <c r="BG112" i="18"/>
  <c r="BF112" i="18"/>
  <c r="BE112" i="18"/>
  <c r="BD112" i="18"/>
  <c r="BC112" i="18"/>
  <c r="BB112" i="18"/>
  <c r="BA112" i="18"/>
  <c r="BM111" i="18"/>
  <c r="BL111" i="18"/>
  <c r="BK111" i="18"/>
  <c r="BJ111" i="18"/>
  <c r="BI111" i="18"/>
  <c r="BH111" i="18"/>
  <c r="BG111" i="18"/>
  <c r="BF111" i="18"/>
  <c r="BE111" i="18"/>
  <c r="BD111" i="18"/>
  <c r="BC111" i="18"/>
  <c r="BB111" i="18"/>
  <c r="BA111" i="18"/>
  <c r="BM110" i="18"/>
  <c r="BL110" i="18"/>
  <c r="BK110" i="18"/>
  <c r="BJ110" i="18"/>
  <c r="BI110" i="18"/>
  <c r="BH110" i="18"/>
  <c r="BG110" i="18"/>
  <c r="BF110" i="18"/>
  <c r="BE110" i="18"/>
  <c r="BD110" i="18"/>
  <c r="BC110" i="18"/>
  <c r="BB110" i="18"/>
  <c r="BA110" i="18"/>
  <c r="BM109" i="18"/>
  <c r="BL109" i="18"/>
  <c r="BK109" i="18"/>
  <c r="BJ109" i="18"/>
  <c r="BI109" i="18"/>
  <c r="BH109" i="18"/>
  <c r="BG109" i="18"/>
  <c r="BF109" i="18"/>
  <c r="BE109" i="18"/>
  <c r="BD109" i="18"/>
  <c r="BC109" i="18"/>
  <c r="BB109" i="18"/>
  <c r="BA109" i="18"/>
  <c r="BM108" i="18"/>
  <c r="BL108" i="18"/>
  <c r="BK108" i="18"/>
  <c r="BJ108" i="18"/>
  <c r="BI108" i="18"/>
  <c r="BH108" i="18"/>
  <c r="BG108" i="18"/>
  <c r="BF108" i="18"/>
  <c r="BE108" i="18"/>
  <c r="BD108" i="18"/>
  <c r="BC108" i="18"/>
  <c r="BB108" i="18"/>
  <c r="BA108" i="18"/>
  <c r="BM107" i="18"/>
  <c r="BL107" i="18"/>
  <c r="BK107" i="18"/>
  <c r="BJ107" i="18"/>
  <c r="BI107" i="18"/>
  <c r="BH107" i="18"/>
  <c r="BG107" i="18"/>
  <c r="BF107" i="18"/>
  <c r="BE107" i="18"/>
  <c r="BD107" i="18"/>
  <c r="BC107" i="18"/>
  <c r="BB107" i="18"/>
  <c r="BA107" i="18"/>
  <c r="BM106" i="18"/>
  <c r="BL106" i="18"/>
  <c r="BK106" i="18"/>
  <c r="BJ106" i="18"/>
  <c r="BI106" i="18"/>
  <c r="BH106" i="18"/>
  <c r="BG106" i="18"/>
  <c r="BF106" i="18"/>
  <c r="BE106" i="18"/>
  <c r="BD106" i="18"/>
  <c r="BC106" i="18"/>
  <c r="BB106" i="18"/>
  <c r="BA106" i="18"/>
  <c r="BM105" i="18"/>
  <c r="BL105" i="18"/>
  <c r="BK105" i="18"/>
  <c r="BJ105" i="18"/>
  <c r="BI105" i="18"/>
  <c r="BH105" i="18"/>
  <c r="BG105" i="18"/>
  <c r="BF105" i="18"/>
  <c r="BE105" i="18"/>
  <c r="BD105" i="18"/>
  <c r="BC105" i="18"/>
  <c r="BB105" i="18"/>
  <c r="BA105" i="18"/>
  <c r="BM104" i="18"/>
  <c r="BL104" i="18"/>
  <c r="BK104" i="18"/>
  <c r="BJ104" i="18"/>
  <c r="BI104" i="18"/>
  <c r="BH104" i="18"/>
  <c r="BG104" i="18"/>
  <c r="BF104" i="18"/>
  <c r="BE104" i="18"/>
  <c r="BD104" i="18"/>
  <c r="BC104" i="18"/>
  <c r="BB104" i="18"/>
  <c r="BA104" i="18"/>
  <c r="BM103" i="18"/>
  <c r="BL103" i="18"/>
  <c r="BK103" i="18"/>
  <c r="BJ103" i="18"/>
  <c r="BI103" i="18"/>
  <c r="BH103" i="18"/>
  <c r="BG103" i="18"/>
  <c r="BF103" i="18"/>
  <c r="BE103" i="18"/>
  <c r="BD103" i="18"/>
  <c r="BC103" i="18"/>
  <c r="BB103" i="18"/>
  <c r="BA103" i="18"/>
  <c r="BM102" i="18"/>
  <c r="BL102" i="18"/>
  <c r="BK102" i="18"/>
  <c r="BJ102" i="18"/>
  <c r="BI102" i="18"/>
  <c r="BH102" i="18"/>
  <c r="BG102" i="18"/>
  <c r="BF102" i="18"/>
  <c r="BE102" i="18"/>
  <c r="BD102" i="18"/>
  <c r="BC102" i="18"/>
  <c r="BB102" i="18"/>
  <c r="BA102" i="18"/>
  <c r="BM101" i="18"/>
  <c r="BL101" i="18"/>
  <c r="BK101" i="18"/>
  <c r="BJ101" i="18"/>
  <c r="BI101" i="18"/>
  <c r="BH101" i="18"/>
  <c r="BG101" i="18"/>
  <c r="BF101" i="18"/>
  <c r="BE101" i="18"/>
  <c r="BD101" i="18"/>
  <c r="BC101" i="18"/>
  <c r="BB101" i="18"/>
  <c r="BA101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BM99" i="18"/>
  <c r="BL99" i="18"/>
  <c r="BK99" i="18"/>
  <c r="BJ99" i="18"/>
  <c r="BI99" i="18"/>
  <c r="BH99" i="18"/>
  <c r="BG99" i="18"/>
  <c r="BF99" i="18"/>
  <c r="BE99" i="18"/>
  <c r="BD99" i="18"/>
  <c r="BC99" i="18"/>
  <c r="BB99" i="18"/>
  <c r="BA99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BM97" i="18"/>
  <c r="BL97" i="18"/>
  <c r="BK97" i="18"/>
  <c r="BJ97" i="18"/>
  <c r="BI97" i="18"/>
  <c r="BH97" i="18"/>
  <c r="BG97" i="18"/>
  <c r="BF97" i="18"/>
  <c r="BE97" i="18"/>
  <c r="BD97" i="18"/>
  <c r="BC97" i="18"/>
  <c r="BB97" i="18"/>
  <c r="BA97" i="18"/>
  <c r="BM96" i="18"/>
  <c r="BL96" i="18"/>
  <c r="BK96" i="18"/>
  <c r="BJ96" i="18"/>
  <c r="BI96" i="18"/>
  <c r="BH96" i="18"/>
  <c r="BG96" i="18"/>
  <c r="BF96" i="18"/>
  <c r="BE96" i="18"/>
  <c r="BD96" i="18"/>
  <c r="BC96" i="18"/>
  <c r="BB96" i="18"/>
  <c r="BA96" i="18"/>
  <c r="BM95" i="18"/>
  <c r="BL95" i="18"/>
  <c r="BK95" i="18"/>
  <c r="BJ95" i="18"/>
  <c r="BI95" i="18"/>
  <c r="BH95" i="18"/>
  <c r="BG95" i="18"/>
  <c r="BF95" i="18"/>
  <c r="BE95" i="18"/>
  <c r="BD95" i="18"/>
  <c r="BC95" i="18"/>
  <c r="BB95" i="18"/>
  <c r="BA95" i="18"/>
  <c r="BM94" i="18"/>
  <c r="BL94" i="18"/>
  <c r="BK94" i="18"/>
  <c r="BJ94" i="18"/>
  <c r="BI94" i="18"/>
  <c r="BH94" i="18"/>
  <c r="BG94" i="18"/>
  <c r="BF94" i="18"/>
  <c r="BE94" i="18"/>
  <c r="BD94" i="18"/>
  <c r="BC94" i="18"/>
  <c r="BB94" i="18"/>
  <c r="BA94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BM91" i="18"/>
  <c r="BL91" i="18"/>
  <c r="BK91" i="18"/>
  <c r="BJ91" i="18"/>
  <c r="BI91" i="18"/>
  <c r="BH91" i="18"/>
  <c r="BG91" i="18"/>
  <c r="BF91" i="18"/>
  <c r="BE91" i="18"/>
  <c r="BD91" i="18"/>
  <c r="BC91" i="18"/>
  <c r="BB91" i="18"/>
  <c r="BA91" i="18"/>
  <c r="BM90" i="18"/>
  <c r="BL90" i="18"/>
  <c r="BK90" i="18"/>
  <c r="BJ90" i="18"/>
  <c r="BI90" i="18"/>
  <c r="BH90" i="18"/>
  <c r="BG90" i="18"/>
  <c r="BF90" i="18"/>
  <c r="BE90" i="18"/>
  <c r="BD90" i="18"/>
  <c r="BC90" i="18"/>
  <c r="BB90" i="18"/>
  <c r="BA90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BM88" i="18"/>
  <c r="BL88" i="18"/>
  <c r="BK88" i="18"/>
  <c r="BJ88" i="18"/>
  <c r="BI88" i="18"/>
  <c r="BH88" i="18"/>
  <c r="BG88" i="18"/>
  <c r="BF88" i="18"/>
  <c r="BE88" i="18"/>
  <c r="BD88" i="18"/>
  <c r="BC88" i="18"/>
  <c r="BB88" i="18"/>
  <c r="BA88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BM85" i="18"/>
  <c r="BL85" i="18"/>
  <c r="BK85" i="18"/>
  <c r="BJ85" i="18"/>
  <c r="BI85" i="18"/>
  <c r="BH85" i="18"/>
  <c r="BG85" i="18"/>
  <c r="BF85" i="18"/>
  <c r="BE85" i="18"/>
  <c r="BD85" i="18"/>
  <c r="BC85" i="18"/>
  <c r="BB85" i="18"/>
  <c r="BA85" i="18"/>
  <c r="BM84" i="18"/>
  <c r="BL84" i="18"/>
  <c r="BK84" i="18"/>
  <c r="BJ84" i="18"/>
  <c r="BI84" i="18"/>
  <c r="BH84" i="18"/>
  <c r="BG84" i="18"/>
  <c r="BF84" i="18"/>
  <c r="BE84" i="18"/>
  <c r="BD84" i="18"/>
  <c r="BC84" i="18"/>
  <c r="BB84" i="18"/>
  <c r="BA84" i="18"/>
  <c r="BM83" i="18"/>
  <c r="BL83" i="18"/>
  <c r="BK83" i="18"/>
  <c r="BJ83" i="18"/>
  <c r="BI83" i="18"/>
  <c r="BH83" i="18"/>
  <c r="BG83" i="18"/>
  <c r="BF83" i="18"/>
  <c r="BE83" i="18"/>
  <c r="BD83" i="18"/>
  <c r="BC83" i="18"/>
  <c r="BB83" i="18"/>
  <c r="BA83" i="18"/>
  <c r="BM82" i="18"/>
  <c r="BL82" i="18"/>
  <c r="BK82" i="18"/>
  <c r="BJ82" i="18"/>
  <c r="BI82" i="18"/>
  <c r="BH82" i="18"/>
  <c r="BG82" i="18"/>
  <c r="BF82" i="18"/>
  <c r="BE82" i="18"/>
  <c r="BD82" i="18"/>
  <c r="BC82" i="18"/>
  <c r="BB82" i="18"/>
  <c r="BA82" i="18"/>
  <c r="BM81" i="18"/>
  <c r="BL81" i="18"/>
  <c r="BK81" i="18"/>
  <c r="BJ81" i="18"/>
  <c r="BI81" i="18"/>
  <c r="BH81" i="18"/>
  <c r="BG81" i="18"/>
  <c r="BF81" i="18"/>
  <c r="BE81" i="18"/>
  <c r="BD81" i="18"/>
  <c r="BC81" i="18"/>
  <c r="BB81" i="18"/>
  <c r="BA81" i="18"/>
  <c r="BM80" i="18"/>
  <c r="BL80" i="18"/>
  <c r="BK80" i="18"/>
  <c r="BJ80" i="18"/>
  <c r="BI80" i="18"/>
  <c r="BH80" i="18"/>
  <c r="BG80" i="18"/>
  <c r="BF80" i="18"/>
  <c r="BE80" i="18"/>
  <c r="BD80" i="18"/>
  <c r="BC80" i="18"/>
  <c r="BB80" i="18"/>
  <c r="BA80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BM77" i="18"/>
  <c r="BL77" i="18"/>
  <c r="BK77" i="18"/>
  <c r="BJ77" i="18"/>
  <c r="BI77" i="18"/>
  <c r="BH77" i="18"/>
  <c r="BG77" i="18"/>
  <c r="BF77" i="18"/>
  <c r="BE77" i="18"/>
  <c r="BD77" i="18"/>
  <c r="BC77" i="18"/>
  <c r="BB77" i="18"/>
  <c r="BA77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BM74" i="18"/>
  <c r="BL74" i="18"/>
  <c r="BK74" i="18"/>
  <c r="BJ74" i="18"/>
  <c r="BI74" i="18"/>
  <c r="BH74" i="18"/>
  <c r="BG74" i="18"/>
  <c r="BF74" i="18"/>
  <c r="BE74" i="18"/>
  <c r="BD74" i="18"/>
  <c r="BC74" i="18"/>
  <c r="BB74" i="18"/>
  <c r="BA74" i="18"/>
  <c r="BM73" i="18"/>
  <c r="BL73" i="18"/>
  <c r="BK73" i="18"/>
  <c r="BJ73" i="18"/>
  <c r="BI73" i="18"/>
  <c r="BH73" i="18"/>
  <c r="BG73" i="18"/>
  <c r="BF73" i="18"/>
  <c r="BE73" i="18"/>
  <c r="BD73" i="18"/>
  <c r="BC73" i="18"/>
  <c r="BB73" i="18"/>
  <c r="BA73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BM67" i="18"/>
  <c r="BL67" i="18"/>
  <c r="BK67" i="18"/>
  <c r="BJ67" i="18"/>
  <c r="BI67" i="18"/>
  <c r="BH67" i="18"/>
  <c r="BG67" i="18"/>
  <c r="BF67" i="18"/>
  <c r="BE67" i="18"/>
  <c r="BD67" i="18"/>
  <c r="BC67" i="18"/>
  <c r="BB67" i="18"/>
  <c r="BA67" i="18"/>
  <c r="BM66" i="18"/>
  <c r="BL66" i="18"/>
  <c r="BK66" i="18"/>
  <c r="BJ66" i="18"/>
  <c r="BI66" i="18"/>
  <c r="BH66" i="18"/>
  <c r="BG66" i="18"/>
  <c r="BF66" i="18"/>
  <c r="BE66" i="18"/>
  <c r="BD66" i="18"/>
  <c r="BC66" i="18"/>
  <c r="BB66" i="18"/>
  <c r="BA66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BM64" i="18"/>
  <c r="BL64" i="18"/>
  <c r="BK64" i="18"/>
  <c r="BJ64" i="18"/>
  <c r="BI64" i="18"/>
  <c r="BH64" i="18"/>
  <c r="BG64" i="18"/>
  <c r="BF64" i="18"/>
  <c r="BE64" i="18"/>
  <c r="BD64" i="18"/>
  <c r="BC64" i="18"/>
  <c r="BB64" i="18"/>
  <c r="BA64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BM62" i="18"/>
  <c r="BL62" i="18"/>
  <c r="BK62" i="18"/>
  <c r="BJ62" i="18"/>
  <c r="BI62" i="18"/>
  <c r="BH62" i="18"/>
  <c r="BG62" i="18"/>
  <c r="BF62" i="18"/>
  <c r="BE62" i="18"/>
  <c r="BD62" i="18"/>
  <c r="BC62" i="18"/>
  <c r="BB62" i="18"/>
  <c r="BA62" i="18"/>
  <c r="BM61" i="18"/>
  <c r="BL61" i="18"/>
  <c r="BK61" i="18"/>
  <c r="BJ61" i="18"/>
  <c r="BI61" i="18"/>
  <c r="BH61" i="18"/>
  <c r="BG61" i="18"/>
  <c r="BF61" i="18"/>
  <c r="BE61" i="18"/>
  <c r="BD61" i="18"/>
  <c r="BC61" i="18"/>
  <c r="BB61" i="18"/>
  <c r="BA61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BM57" i="18"/>
  <c r="BL57" i="18"/>
  <c r="BK57" i="18"/>
  <c r="BJ57" i="18"/>
  <c r="BI57" i="18"/>
  <c r="BH57" i="18"/>
  <c r="BG57" i="18"/>
  <c r="BF57" i="18"/>
  <c r="BE57" i="18"/>
  <c r="BD57" i="18"/>
  <c r="BC57" i="18"/>
  <c r="BB57" i="18"/>
  <c r="BA57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BM50" i="18"/>
  <c r="BL50" i="18"/>
  <c r="BK50" i="18"/>
  <c r="BJ50" i="18"/>
  <c r="BI50" i="18"/>
  <c r="BH50" i="18"/>
  <c r="BG50" i="18"/>
  <c r="BF50" i="18"/>
  <c r="BE50" i="18"/>
  <c r="BD50" i="18"/>
  <c r="BC50" i="18"/>
  <c r="BB50" i="18"/>
  <c r="BA50" i="18"/>
  <c r="BM49" i="18"/>
  <c r="BL49" i="18"/>
  <c r="BK49" i="18"/>
  <c r="BJ49" i="18"/>
  <c r="BI49" i="18"/>
  <c r="BH49" i="18"/>
  <c r="BG49" i="18"/>
  <c r="BF49" i="18"/>
  <c r="BE49" i="18"/>
  <c r="BD49" i="18"/>
  <c r="BC49" i="18"/>
  <c r="BB49" i="18"/>
  <c r="BA49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BM47" i="18"/>
  <c r="BL47" i="18"/>
  <c r="BK47" i="18"/>
  <c r="BJ47" i="18"/>
  <c r="BI47" i="18"/>
  <c r="BH47" i="18"/>
  <c r="BG47" i="18"/>
  <c r="BF47" i="18"/>
  <c r="BE47" i="18"/>
  <c r="BD47" i="18"/>
  <c r="BC47" i="18"/>
  <c r="BB47" i="18"/>
  <c r="BA47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BM42" i="18"/>
  <c r="BL42" i="18"/>
  <c r="BK42" i="18"/>
  <c r="BJ42" i="18"/>
  <c r="BI42" i="18"/>
  <c r="BH42" i="18"/>
  <c r="BG42" i="18"/>
  <c r="BF42" i="18"/>
  <c r="BE42" i="18"/>
  <c r="BD42" i="18"/>
  <c r="BC42" i="18"/>
  <c r="BB42" i="18"/>
  <c r="BA42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BM38" i="18"/>
  <c r="BL38" i="18"/>
  <c r="BK38" i="18"/>
  <c r="BJ38" i="18"/>
  <c r="BI38" i="18"/>
  <c r="BH38" i="18"/>
  <c r="BG38" i="18"/>
  <c r="BF38" i="18"/>
  <c r="BE38" i="18"/>
  <c r="BD38" i="18"/>
  <c r="BC38" i="18"/>
  <c r="BB38" i="18"/>
  <c r="BA38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BM31" i="18"/>
  <c r="BL31" i="18"/>
  <c r="BK31" i="18"/>
  <c r="BJ31" i="18"/>
  <c r="BI31" i="18"/>
  <c r="BH31" i="18"/>
  <c r="BG31" i="18"/>
  <c r="BF31" i="18"/>
  <c r="BE31" i="18"/>
  <c r="BD31" i="18"/>
  <c r="BC31" i="18"/>
  <c r="BB31" i="18"/>
  <c r="BA31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BM29" i="18"/>
  <c r="BL29" i="18"/>
  <c r="BK29" i="18"/>
  <c r="BJ29" i="18"/>
  <c r="BI29" i="18"/>
  <c r="BH29" i="18"/>
  <c r="BG29" i="18"/>
  <c r="BF29" i="18"/>
  <c r="BE29" i="18"/>
  <c r="BD29" i="18"/>
  <c r="BC29" i="18"/>
  <c r="BB29" i="18"/>
  <c r="BA29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BA28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BA21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AN455" i="18" l="1"/>
  <c r="BB455" i="18" s="1"/>
  <c r="AO455" i="18"/>
  <c r="AX455" i="18"/>
  <c r="AY455" i="18"/>
  <c r="AP455" i="18"/>
  <c r="AQ455" i="18"/>
  <c r="AR455" i="18"/>
  <c r="AS455" i="18"/>
  <c r="AT455" i="18"/>
  <c r="AU455" i="18"/>
  <c r="AV455" i="18"/>
  <c r="BF455" i="18" l="1"/>
  <c r="BH455" i="18"/>
  <c r="BM455" i="18"/>
  <c r="BL455" i="18"/>
  <c r="BK455" i="18"/>
  <c r="BJ455" i="18"/>
  <c r="BI455" i="18"/>
  <c r="BG455" i="18"/>
  <c r="BE455" i="18"/>
  <c r="BD455" i="18"/>
  <c r="BC455" i="18"/>
  <c r="AZ455" i="18"/>
  <c r="AK454" i="18" l="1"/>
  <c r="AJ454" i="18"/>
  <c r="AI454" i="18"/>
  <c r="AH454" i="18"/>
  <c r="AG454" i="18"/>
  <c r="AF454" i="18"/>
  <c r="AE454" i="18"/>
  <c r="AD454" i="18"/>
  <c r="AC454" i="18"/>
  <c r="AB454" i="18"/>
  <c r="AA454" i="18"/>
  <c r="Z454" i="18"/>
  <c r="Y454" i="18"/>
  <c r="BA454" i="18" s="1"/>
  <c r="AK453" i="18"/>
  <c r="AJ453" i="18"/>
  <c r="AI453" i="18"/>
  <c r="AH453" i="18"/>
  <c r="AG453" i="18"/>
  <c r="AF453" i="18"/>
  <c r="AE453" i="18"/>
  <c r="AD453" i="18"/>
  <c r="AC453" i="18"/>
  <c r="AB453" i="18"/>
  <c r="AA453" i="18"/>
  <c r="Z453" i="18"/>
  <c r="Y453" i="18"/>
  <c r="BA453" i="18" s="1"/>
  <c r="AK452" i="18"/>
  <c r="AJ452" i="18"/>
  <c r="AI452" i="18"/>
  <c r="AH452" i="18"/>
  <c r="AG452" i="18"/>
  <c r="AF452" i="18"/>
  <c r="AE452" i="18"/>
  <c r="AD452" i="18"/>
  <c r="AC452" i="18"/>
  <c r="AB452" i="18"/>
  <c r="AA452" i="18"/>
  <c r="Z452" i="18"/>
  <c r="Y452" i="18"/>
  <c r="BA452" i="18" s="1"/>
  <c r="AK451" i="18"/>
  <c r="AJ451" i="18"/>
  <c r="AI451" i="18"/>
  <c r="AH451" i="18"/>
  <c r="AG451" i="18"/>
  <c r="AF451" i="18"/>
  <c r="AE451" i="18"/>
  <c r="AD451" i="18"/>
  <c r="AC451" i="18"/>
  <c r="AB451" i="18"/>
  <c r="AA451" i="18"/>
  <c r="Z451" i="18"/>
  <c r="Y451" i="18"/>
  <c r="BA451" i="18" s="1"/>
  <c r="AK450" i="18"/>
  <c r="AJ450" i="18"/>
  <c r="AI450" i="18"/>
  <c r="AH450" i="18"/>
  <c r="AG450" i="18"/>
  <c r="AF450" i="18"/>
  <c r="AE450" i="18"/>
  <c r="AD450" i="18"/>
  <c r="AC450" i="18"/>
  <c r="AB450" i="18"/>
  <c r="AA450" i="18"/>
  <c r="Z450" i="18"/>
  <c r="Y450" i="18"/>
  <c r="BA450" i="18" s="1"/>
  <c r="AK449" i="18"/>
  <c r="AJ449" i="18"/>
  <c r="AI449" i="18"/>
  <c r="AH449" i="18"/>
  <c r="AG449" i="18"/>
  <c r="AF449" i="18"/>
  <c r="AE449" i="18"/>
  <c r="AD449" i="18"/>
  <c r="AC449" i="18"/>
  <c r="AB449" i="18"/>
  <c r="AA449" i="18"/>
  <c r="Z449" i="18"/>
  <c r="Y449" i="18"/>
  <c r="BA449" i="18" s="1"/>
  <c r="AK448" i="18"/>
  <c r="AJ448" i="18"/>
  <c r="AI448" i="18"/>
  <c r="AH448" i="18"/>
  <c r="AG448" i="18"/>
  <c r="AF448" i="18"/>
  <c r="AE448" i="18"/>
  <c r="AD448" i="18"/>
  <c r="AC448" i="18"/>
  <c r="AB448" i="18"/>
  <c r="AA448" i="18"/>
  <c r="Z448" i="18"/>
  <c r="Y448" i="18"/>
  <c r="BA448" i="18" s="1"/>
  <c r="AK447" i="18"/>
  <c r="AJ447" i="18"/>
  <c r="AI447" i="18"/>
  <c r="AH447" i="18"/>
  <c r="AG447" i="18"/>
  <c r="AF447" i="18"/>
  <c r="AE447" i="18"/>
  <c r="AD447" i="18"/>
  <c r="AC447" i="18"/>
  <c r="AB447" i="18"/>
  <c r="AA447" i="18"/>
  <c r="Z447" i="18"/>
  <c r="Y447" i="18"/>
  <c r="BA447" i="18" s="1"/>
  <c r="AK446" i="18"/>
  <c r="AJ446" i="18"/>
  <c r="AI446" i="18"/>
  <c r="AH446" i="18"/>
  <c r="AG446" i="18"/>
  <c r="AF446" i="18"/>
  <c r="AE446" i="18"/>
  <c r="AD446" i="18"/>
  <c r="AC446" i="18"/>
  <c r="AB446" i="18"/>
  <c r="AA446" i="18"/>
  <c r="Z446" i="18"/>
  <c r="Y446" i="18"/>
  <c r="BA446" i="18" s="1"/>
  <c r="AK445" i="18"/>
  <c r="AJ445" i="18"/>
  <c r="AI445" i="18"/>
  <c r="AH445" i="18"/>
  <c r="AG445" i="18"/>
  <c r="AF445" i="18"/>
  <c r="AE445" i="18"/>
  <c r="AD445" i="18"/>
  <c r="AC445" i="18"/>
  <c r="AB445" i="18"/>
  <c r="AA445" i="18"/>
  <c r="Z445" i="18"/>
  <c r="Y445" i="18"/>
  <c r="BA445" i="18" s="1"/>
  <c r="AK444" i="18"/>
  <c r="AJ444" i="18"/>
  <c r="AI444" i="18"/>
  <c r="AH444" i="18"/>
  <c r="AG444" i="18"/>
  <c r="AF444" i="18"/>
  <c r="AE444" i="18"/>
  <c r="AD444" i="18"/>
  <c r="AC444" i="18"/>
  <c r="AB444" i="18"/>
  <c r="AA444" i="18"/>
  <c r="Z444" i="18"/>
  <c r="Y444" i="18"/>
  <c r="BA444" i="18" s="1"/>
  <c r="AK443" i="18"/>
  <c r="AJ443" i="18"/>
  <c r="AI443" i="18"/>
  <c r="AH443" i="18"/>
  <c r="AG443" i="18"/>
  <c r="AF443" i="18"/>
  <c r="AE443" i="18"/>
  <c r="AD443" i="18"/>
  <c r="AC443" i="18"/>
  <c r="AB443" i="18"/>
  <c r="AA443" i="18"/>
  <c r="Z443" i="18"/>
  <c r="Y443" i="18"/>
  <c r="BA443" i="18" s="1"/>
  <c r="AK442" i="18"/>
  <c r="AJ442" i="18"/>
  <c r="AI442" i="18"/>
  <c r="AH442" i="18"/>
  <c r="AG442" i="18"/>
  <c r="AF442" i="18"/>
  <c r="AE442" i="18"/>
  <c r="AD442" i="18"/>
  <c r="AC442" i="18"/>
  <c r="AB442" i="18"/>
  <c r="AA442" i="18"/>
  <c r="Z442" i="18"/>
  <c r="Y442" i="18"/>
  <c r="BA442" i="18" s="1"/>
  <c r="AK441" i="18"/>
  <c r="AJ441" i="18"/>
  <c r="AI441" i="18"/>
  <c r="AH441" i="18"/>
  <c r="AG441" i="18"/>
  <c r="AF441" i="18"/>
  <c r="AE441" i="18"/>
  <c r="AD441" i="18"/>
  <c r="AC441" i="18"/>
  <c r="AB441" i="18"/>
  <c r="AA441" i="18"/>
  <c r="Z441" i="18"/>
  <c r="Y441" i="18"/>
  <c r="BA441" i="18" s="1"/>
  <c r="AK440" i="18"/>
  <c r="AJ440" i="18"/>
  <c r="AI440" i="18"/>
  <c r="AH440" i="18"/>
  <c r="AG440" i="18"/>
  <c r="AF440" i="18"/>
  <c r="AE440" i="18"/>
  <c r="AD440" i="18"/>
  <c r="AC440" i="18"/>
  <c r="AB440" i="18"/>
  <c r="AA440" i="18"/>
  <c r="Z440" i="18"/>
  <c r="Y440" i="18"/>
  <c r="BA440" i="18" s="1"/>
  <c r="AZ363" i="18"/>
  <c r="AZ359" i="18"/>
  <c r="AZ358" i="18"/>
  <c r="AZ357" i="18"/>
  <c r="F363" i="22" l="1"/>
  <c r="K362" i="22"/>
  <c r="J362" i="22"/>
  <c r="L362" i="22" s="1"/>
  <c r="A362" i="22"/>
  <c r="K361" i="22"/>
  <c r="L361" i="22" s="1"/>
  <c r="J361" i="22"/>
  <c r="A361" i="22"/>
  <c r="K360" i="22"/>
  <c r="L360" i="22" s="1"/>
  <c r="J360" i="22"/>
  <c r="A360" i="22"/>
  <c r="K359" i="22"/>
  <c r="J359" i="22"/>
  <c r="L359" i="22" s="1"/>
  <c r="A359" i="22"/>
  <c r="K358" i="22"/>
  <c r="J358" i="22"/>
  <c r="L358" i="22" s="1"/>
  <c r="A358" i="22"/>
  <c r="K357" i="22"/>
  <c r="L357" i="22" s="1"/>
  <c r="J357" i="22"/>
  <c r="A357" i="22"/>
  <c r="K356" i="22"/>
  <c r="L356" i="22" s="1"/>
  <c r="J356" i="22"/>
  <c r="A356" i="22"/>
  <c r="K353" i="22"/>
  <c r="J353" i="22"/>
  <c r="L353" i="22" s="1"/>
  <c r="K352" i="22"/>
  <c r="J352" i="22"/>
  <c r="L352" i="22" s="1"/>
  <c r="K351" i="22"/>
  <c r="J351" i="22"/>
  <c r="L351" i="22" s="1"/>
  <c r="L350" i="22"/>
  <c r="K350" i="22"/>
  <c r="J350" i="22"/>
  <c r="K349" i="22"/>
  <c r="L349" i="22" s="1"/>
  <c r="J349" i="22"/>
  <c r="K348" i="22"/>
  <c r="J348" i="22"/>
  <c r="L348" i="22" s="1"/>
  <c r="K347" i="22"/>
  <c r="J347" i="22"/>
  <c r="L347" i="22" s="1"/>
  <c r="K346" i="22"/>
  <c r="J346" i="22"/>
  <c r="L346" i="22" s="1"/>
  <c r="K345" i="22"/>
  <c r="L345" i="22" s="1"/>
  <c r="J345" i="22"/>
  <c r="K344" i="22"/>
  <c r="J344" i="22"/>
  <c r="L344" i="22" s="1"/>
  <c r="K343" i="22"/>
  <c r="J343" i="22"/>
  <c r="L343" i="22" s="1"/>
  <c r="K342" i="22"/>
  <c r="J342" i="22"/>
  <c r="L342" i="22" s="1"/>
  <c r="K341" i="22"/>
  <c r="J341" i="22"/>
  <c r="L341" i="22" s="1"/>
  <c r="K340" i="22"/>
  <c r="J340" i="22"/>
  <c r="L340" i="22" s="1"/>
  <c r="K339" i="22"/>
  <c r="L339" i="22" s="1"/>
  <c r="J339" i="22"/>
  <c r="L338" i="22"/>
  <c r="K338" i="22"/>
  <c r="J338" i="22"/>
  <c r="K337" i="22"/>
  <c r="J337" i="22"/>
  <c r="L337" i="22" s="1"/>
  <c r="K336" i="22"/>
  <c r="J336" i="22"/>
  <c r="L336" i="22" s="1"/>
  <c r="K330" i="22"/>
  <c r="J330" i="22"/>
  <c r="L330" i="22" s="1"/>
  <c r="L327" i="22"/>
  <c r="K327" i="22"/>
  <c r="J327" i="22"/>
  <c r="K326" i="22"/>
  <c r="L326" i="22" s="1"/>
  <c r="J326" i="22"/>
  <c r="K325" i="22"/>
  <c r="J325" i="22"/>
  <c r="L325" i="22" s="1"/>
  <c r="K324" i="22"/>
  <c r="J324" i="22"/>
  <c r="L324" i="22" s="1"/>
  <c r="K323" i="22"/>
  <c r="J323" i="22"/>
  <c r="L323" i="22" s="1"/>
  <c r="K322" i="22"/>
  <c r="L322" i="22" s="1"/>
  <c r="J322" i="22"/>
  <c r="K321" i="22"/>
  <c r="J321" i="22"/>
  <c r="L321" i="22" s="1"/>
  <c r="K320" i="22"/>
  <c r="J320" i="22"/>
  <c r="L320" i="22" s="1"/>
  <c r="K319" i="22"/>
  <c r="J319" i="22"/>
  <c r="L319" i="22" s="1"/>
  <c r="K318" i="22"/>
  <c r="J318" i="22"/>
  <c r="L318" i="22" s="1"/>
  <c r="K317" i="22"/>
  <c r="J317" i="22"/>
  <c r="L317" i="22" s="1"/>
  <c r="K316" i="22"/>
  <c r="J316" i="22"/>
  <c r="L316" i="22" s="1"/>
  <c r="L315" i="22"/>
  <c r="K315" i="22"/>
  <c r="J315" i="22"/>
  <c r="K314" i="22"/>
  <c r="J314" i="22"/>
  <c r="L314" i="22" s="1"/>
  <c r="K313" i="22"/>
  <c r="J313" i="22"/>
  <c r="L313" i="22" s="1"/>
  <c r="K312" i="22"/>
  <c r="J312" i="22"/>
  <c r="L312" i="22" s="1"/>
  <c r="L311" i="22"/>
  <c r="K311" i="22"/>
  <c r="J311" i="22"/>
  <c r="K310" i="22"/>
  <c r="L310" i="22" s="1"/>
  <c r="J310" i="22"/>
  <c r="K309" i="22"/>
  <c r="J309" i="22"/>
  <c r="L309" i="22" s="1"/>
  <c r="K308" i="22"/>
  <c r="J308" i="22"/>
  <c r="L308" i="22" s="1"/>
  <c r="K307" i="22"/>
  <c r="J307" i="22"/>
  <c r="L307" i="22" s="1"/>
  <c r="K306" i="22"/>
  <c r="L306" i="22" s="1"/>
  <c r="J306" i="22"/>
  <c r="K305" i="22"/>
  <c r="J305" i="22"/>
  <c r="L305" i="22" s="1"/>
  <c r="K304" i="22"/>
  <c r="J304" i="22"/>
  <c r="L304" i="22" s="1"/>
  <c r="K303" i="22"/>
  <c r="J303" i="22"/>
  <c r="L303" i="22" s="1"/>
  <c r="K302" i="22"/>
  <c r="J302" i="22"/>
  <c r="L302" i="22" s="1"/>
  <c r="K301" i="22"/>
  <c r="J301" i="22"/>
  <c r="L301" i="22" s="1"/>
  <c r="K300" i="22"/>
  <c r="J300" i="22"/>
  <c r="L300" i="22" s="1"/>
  <c r="L299" i="22"/>
  <c r="K299" i="22"/>
  <c r="J299" i="22"/>
  <c r="K298" i="22"/>
  <c r="J298" i="22"/>
  <c r="L298" i="22" s="1"/>
  <c r="K297" i="22"/>
  <c r="J297" i="22"/>
  <c r="L297" i="22" s="1"/>
  <c r="K294" i="22"/>
  <c r="J294" i="22"/>
  <c r="L294" i="22" s="1"/>
  <c r="L293" i="22"/>
  <c r="K293" i="22"/>
  <c r="J293" i="22"/>
  <c r="K292" i="22"/>
  <c r="L292" i="22" s="1"/>
  <c r="J292" i="22"/>
  <c r="K291" i="22"/>
  <c r="J291" i="22"/>
  <c r="L291" i="22" s="1"/>
  <c r="K290" i="22"/>
  <c r="J290" i="22"/>
  <c r="L290" i="22" s="1"/>
  <c r="K289" i="22"/>
  <c r="J289" i="22"/>
  <c r="L289" i="22" s="1"/>
  <c r="K288" i="22"/>
  <c r="L288" i="22" s="1"/>
  <c r="J288" i="22"/>
  <c r="K287" i="22"/>
  <c r="J287" i="22"/>
  <c r="L287" i="22" s="1"/>
  <c r="K286" i="22"/>
  <c r="J286" i="22"/>
  <c r="L286" i="22" s="1"/>
  <c r="K285" i="22"/>
  <c r="J285" i="22"/>
  <c r="L285" i="22" s="1"/>
  <c r="K284" i="22"/>
  <c r="J284" i="22"/>
  <c r="L284" i="22" s="1"/>
  <c r="K283" i="22"/>
  <c r="J283" i="22"/>
  <c r="L283" i="22" s="1"/>
  <c r="K282" i="22"/>
  <c r="J282" i="22"/>
  <c r="L282" i="22" s="1"/>
  <c r="L281" i="22"/>
  <c r="K281" i="22"/>
  <c r="J281" i="22"/>
  <c r="K280" i="22"/>
  <c r="J280" i="22"/>
  <c r="L280" i="22" s="1"/>
  <c r="K279" i="22"/>
  <c r="J279" i="22"/>
  <c r="L279" i="22" s="1"/>
  <c r="K278" i="22"/>
  <c r="J278" i="22"/>
  <c r="L278" i="22" s="1"/>
  <c r="L277" i="22"/>
  <c r="K277" i="22"/>
  <c r="J277" i="22"/>
  <c r="K276" i="22"/>
  <c r="L276" i="22" s="1"/>
  <c r="J276" i="22"/>
  <c r="K275" i="22"/>
  <c r="J275" i="22"/>
  <c r="L275" i="22" s="1"/>
  <c r="K274" i="22"/>
  <c r="J274" i="22"/>
  <c r="L274" i="22" s="1"/>
  <c r="K273" i="22"/>
  <c r="J273" i="22"/>
  <c r="L273" i="22" s="1"/>
  <c r="K272" i="22"/>
  <c r="L272" i="22" s="1"/>
  <c r="J272" i="22"/>
  <c r="K271" i="22"/>
  <c r="J271" i="22"/>
  <c r="L271" i="22" s="1"/>
  <c r="K270" i="22"/>
  <c r="J270" i="22"/>
  <c r="L270" i="22" s="1"/>
  <c r="K269" i="22"/>
  <c r="J269" i="22"/>
  <c r="L269" i="22" s="1"/>
  <c r="K268" i="22"/>
  <c r="J268" i="22"/>
  <c r="L268" i="22" s="1"/>
  <c r="K267" i="22"/>
  <c r="J267" i="22"/>
  <c r="L267" i="22" s="1"/>
  <c r="K266" i="22"/>
  <c r="J266" i="22"/>
  <c r="L266" i="22" s="1"/>
  <c r="L265" i="22"/>
  <c r="K265" i="22"/>
  <c r="J265" i="22"/>
  <c r="K264" i="22"/>
  <c r="J264" i="22"/>
  <c r="L264" i="22" s="1"/>
  <c r="K263" i="22"/>
  <c r="J263" i="22"/>
  <c r="L263" i="22" s="1"/>
  <c r="K262" i="22"/>
  <c r="J262" i="22"/>
  <c r="L262" i="22" s="1"/>
  <c r="L261" i="22"/>
  <c r="K261" i="22"/>
  <c r="J261" i="22"/>
  <c r="K260" i="22"/>
  <c r="L260" i="22" s="1"/>
  <c r="J260" i="22"/>
  <c r="K259" i="22"/>
  <c r="J259" i="22"/>
  <c r="L259" i="22" s="1"/>
  <c r="K258" i="22"/>
  <c r="J258" i="22"/>
  <c r="L258" i="22" s="1"/>
  <c r="K257" i="22"/>
  <c r="J257" i="22"/>
  <c r="L257" i="22" s="1"/>
  <c r="K256" i="22"/>
  <c r="L256" i="22" s="1"/>
  <c r="J256" i="22"/>
  <c r="K255" i="22"/>
  <c r="J255" i="22"/>
  <c r="L255" i="22" s="1"/>
  <c r="K254" i="22"/>
  <c r="J254" i="22"/>
  <c r="L254" i="22" s="1"/>
  <c r="K253" i="22"/>
  <c r="J253" i="22"/>
  <c r="L253" i="22" s="1"/>
  <c r="K252" i="22"/>
  <c r="J252" i="22"/>
  <c r="L252" i="22" s="1"/>
  <c r="K251" i="22"/>
  <c r="J251" i="22"/>
  <c r="L251" i="22" s="1"/>
  <c r="K250" i="22"/>
  <c r="J250" i="22"/>
  <c r="L250" i="22" s="1"/>
  <c r="L249" i="22"/>
  <c r="K249" i="22"/>
  <c r="J249" i="22"/>
  <c r="K243" i="22"/>
  <c r="J243" i="22"/>
  <c r="L243" i="22" s="1"/>
  <c r="A243" i="22"/>
  <c r="K242" i="22"/>
  <c r="J242" i="22"/>
  <c r="L242" i="22" s="1"/>
  <c r="A242" i="22"/>
  <c r="K241" i="22"/>
  <c r="L241" i="22" s="1"/>
  <c r="J241" i="22"/>
  <c r="A241" i="22"/>
  <c r="K240" i="22"/>
  <c r="L240" i="22" s="1"/>
  <c r="J240" i="22"/>
  <c r="A240" i="22"/>
  <c r="K239" i="22"/>
  <c r="J239" i="22"/>
  <c r="L239" i="22" s="1"/>
  <c r="A239" i="22"/>
  <c r="K238" i="22"/>
  <c r="J238" i="22"/>
  <c r="L238" i="22" s="1"/>
  <c r="A238" i="22"/>
  <c r="K237" i="22"/>
  <c r="L237" i="22" s="1"/>
  <c r="J237" i="22"/>
  <c r="A237" i="22"/>
  <c r="K236" i="22"/>
  <c r="L236" i="22" s="1"/>
  <c r="J236" i="22"/>
  <c r="A236" i="22"/>
  <c r="K235" i="22"/>
  <c r="J235" i="22"/>
  <c r="L235" i="22" s="1"/>
  <c r="A235" i="22"/>
  <c r="K234" i="22"/>
  <c r="J234" i="22"/>
  <c r="L234" i="22" s="1"/>
  <c r="A234" i="22"/>
  <c r="K233" i="22"/>
  <c r="L233" i="22" s="1"/>
  <c r="J233" i="22"/>
  <c r="A233" i="22"/>
  <c r="K232" i="22"/>
  <c r="L232" i="22" s="1"/>
  <c r="J232" i="22"/>
  <c r="A232" i="22"/>
  <c r="K231" i="22"/>
  <c r="J231" i="22"/>
  <c r="L231" i="22" s="1"/>
  <c r="A231" i="22"/>
  <c r="K230" i="22"/>
  <c r="J230" i="22"/>
  <c r="L230" i="22" s="1"/>
  <c r="A230" i="22"/>
  <c r="K229" i="22"/>
  <c r="L229" i="22" s="1"/>
  <c r="J229" i="22"/>
  <c r="A229" i="22"/>
  <c r="K228" i="22"/>
  <c r="L228" i="22" s="1"/>
  <c r="J228" i="22"/>
  <c r="A228" i="22"/>
  <c r="K227" i="22"/>
  <c r="J227" i="22"/>
  <c r="L227" i="22" s="1"/>
  <c r="A227" i="22"/>
  <c r="K226" i="22"/>
  <c r="J226" i="22"/>
  <c r="L226" i="22" s="1"/>
  <c r="A226" i="22"/>
  <c r="K225" i="22"/>
  <c r="L225" i="22" s="1"/>
  <c r="J225" i="22"/>
  <c r="A225" i="22"/>
  <c r="K224" i="22"/>
  <c r="L224" i="22" s="1"/>
  <c r="J224" i="22"/>
  <c r="A224" i="22"/>
  <c r="K223" i="22"/>
  <c r="J223" i="22"/>
  <c r="L223" i="22" s="1"/>
  <c r="A223" i="22"/>
  <c r="K222" i="22"/>
  <c r="J222" i="22"/>
  <c r="L222" i="22" s="1"/>
  <c r="A222" i="22"/>
  <c r="K221" i="22"/>
  <c r="L221" i="22" s="1"/>
  <c r="J221" i="22"/>
  <c r="A221" i="22"/>
  <c r="K220" i="22"/>
  <c r="L220" i="22" s="1"/>
  <c r="J220" i="22"/>
  <c r="A220" i="22"/>
  <c r="K219" i="22"/>
  <c r="J219" i="22"/>
  <c r="L219" i="22" s="1"/>
  <c r="A219" i="22"/>
  <c r="K218" i="22"/>
  <c r="J218" i="22"/>
  <c r="L218" i="22" s="1"/>
  <c r="A218" i="22"/>
  <c r="K217" i="22"/>
  <c r="L217" i="22" s="1"/>
  <c r="J217" i="22"/>
  <c r="A217" i="22"/>
  <c r="K216" i="22"/>
  <c r="L216" i="22" s="1"/>
  <c r="J216" i="22"/>
  <c r="A216" i="22"/>
  <c r="K215" i="22"/>
  <c r="J215" i="22"/>
  <c r="L215" i="22" s="1"/>
  <c r="A215" i="22"/>
  <c r="K214" i="22"/>
  <c r="J214" i="22"/>
  <c r="L214" i="22" s="1"/>
  <c r="A214" i="22"/>
  <c r="K213" i="22"/>
  <c r="L213" i="22" s="1"/>
  <c r="J213" i="22"/>
  <c r="A213" i="22"/>
  <c r="K212" i="22"/>
  <c r="L212" i="22" s="1"/>
  <c r="J212" i="22"/>
  <c r="A212" i="22"/>
  <c r="K211" i="22"/>
  <c r="J211" i="22"/>
  <c r="L211" i="22" s="1"/>
  <c r="A211" i="22"/>
  <c r="K210" i="22"/>
  <c r="J210" i="22"/>
  <c r="L210" i="22" s="1"/>
  <c r="A210" i="22"/>
  <c r="K209" i="22"/>
  <c r="L209" i="22" s="1"/>
  <c r="J209" i="22"/>
  <c r="A209" i="22"/>
  <c r="K208" i="22"/>
  <c r="L208" i="22" s="1"/>
  <c r="J208" i="22"/>
  <c r="A208" i="22"/>
  <c r="K207" i="22"/>
  <c r="J207" i="22"/>
  <c r="L207" i="22" s="1"/>
  <c r="A207" i="22"/>
  <c r="K206" i="22"/>
  <c r="J206" i="22"/>
  <c r="L206" i="22" s="1"/>
  <c r="A206" i="22"/>
  <c r="K205" i="22"/>
  <c r="L205" i="22" s="1"/>
  <c r="J205" i="22"/>
  <c r="A205" i="22"/>
  <c r="K204" i="22"/>
  <c r="L204" i="22" s="1"/>
  <c r="J204" i="22"/>
  <c r="A204" i="22"/>
  <c r="K203" i="22"/>
  <c r="J203" i="22"/>
  <c r="L203" i="22" s="1"/>
  <c r="A203" i="22"/>
  <c r="K202" i="22"/>
  <c r="J202" i="22"/>
  <c r="L202" i="22" s="1"/>
  <c r="A202" i="22"/>
  <c r="K201" i="22"/>
  <c r="L201" i="22" s="1"/>
  <c r="J201" i="22"/>
  <c r="A201" i="22"/>
  <c r="K200" i="22"/>
  <c r="L200" i="22" s="1"/>
  <c r="J200" i="22"/>
  <c r="A200" i="22"/>
  <c r="K199" i="22"/>
  <c r="J199" i="22"/>
  <c r="L199" i="22" s="1"/>
  <c r="A199" i="22"/>
  <c r="K198" i="22"/>
  <c r="J198" i="22"/>
  <c r="L198" i="22" s="1"/>
  <c r="A198" i="22"/>
  <c r="K197" i="22"/>
  <c r="L197" i="22" s="1"/>
  <c r="J197" i="22"/>
  <c r="A197" i="22"/>
  <c r="K196" i="22"/>
  <c r="L196" i="22" s="1"/>
  <c r="J196" i="22"/>
  <c r="A196" i="22"/>
  <c r="K195" i="22"/>
  <c r="J195" i="22"/>
  <c r="L195" i="22" s="1"/>
  <c r="A195" i="22"/>
  <c r="K194" i="22"/>
  <c r="J194" i="22"/>
  <c r="L194" i="22" s="1"/>
  <c r="A194" i="22"/>
  <c r="K193" i="22"/>
  <c r="L193" i="22" s="1"/>
  <c r="J193" i="22"/>
  <c r="A193" i="22"/>
  <c r="K192" i="22"/>
  <c r="L192" i="22" s="1"/>
  <c r="J192" i="22"/>
  <c r="A192" i="22"/>
  <c r="K191" i="22"/>
  <c r="J191" i="22"/>
  <c r="L191" i="22" s="1"/>
  <c r="A191" i="22"/>
  <c r="K190" i="22"/>
  <c r="J190" i="22"/>
  <c r="L190" i="22" s="1"/>
  <c r="A190" i="22"/>
  <c r="K189" i="22"/>
  <c r="L189" i="22" s="1"/>
  <c r="J189" i="22"/>
  <c r="A189" i="22"/>
  <c r="K188" i="22"/>
  <c r="L188" i="22" s="1"/>
  <c r="J188" i="22"/>
  <c r="A188" i="22"/>
  <c r="K187" i="22"/>
  <c r="J187" i="22"/>
  <c r="L187" i="22" s="1"/>
  <c r="A187" i="22"/>
  <c r="K186" i="22"/>
  <c r="J186" i="22"/>
  <c r="L186" i="22" s="1"/>
  <c r="A186" i="22"/>
  <c r="K185" i="22"/>
  <c r="L185" i="22" s="1"/>
  <c r="J185" i="22"/>
  <c r="A185" i="22"/>
  <c r="K184" i="22"/>
  <c r="L184" i="22" s="1"/>
  <c r="J184" i="22"/>
  <c r="A184" i="22"/>
  <c r="K183" i="22"/>
  <c r="J183" i="22"/>
  <c r="L183" i="22" s="1"/>
  <c r="A183" i="22"/>
  <c r="K182" i="22"/>
  <c r="J182" i="22"/>
  <c r="L182" i="22" s="1"/>
  <c r="A182" i="22"/>
  <c r="K181" i="22"/>
  <c r="L181" i="22" s="1"/>
  <c r="J181" i="22"/>
  <c r="A181" i="22"/>
  <c r="K180" i="22"/>
  <c r="L180" i="22" s="1"/>
  <c r="J180" i="22"/>
  <c r="A180" i="22"/>
  <c r="K179" i="22"/>
  <c r="J179" i="22"/>
  <c r="L179" i="22" s="1"/>
  <c r="A179" i="22"/>
  <c r="K178" i="22"/>
  <c r="J178" i="22"/>
  <c r="L178" i="22" s="1"/>
  <c r="A178" i="22"/>
  <c r="K177" i="22"/>
  <c r="L177" i="22" s="1"/>
  <c r="J177" i="22"/>
  <c r="A177" i="22"/>
  <c r="K176" i="22"/>
  <c r="L176" i="22" s="1"/>
  <c r="J176" i="22"/>
  <c r="A176" i="22"/>
  <c r="K175" i="22"/>
  <c r="J175" i="22"/>
  <c r="L175" i="22" s="1"/>
  <c r="A175" i="22"/>
  <c r="K174" i="22"/>
  <c r="J174" i="22"/>
  <c r="L174" i="22" s="1"/>
  <c r="A174" i="22"/>
  <c r="K173" i="22"/>
  <c r="L173" i="22" s="1"/>
  <c r="J173" i="22"/>
  <c r="A173" i="22"/>
  <c r="K172" i="22"/>
  <c r="L172" i="22" s="1"/>
  <c r="J172" i="22"/>
  <c r="A172" i="22"/>
  <c r="K171" i="22"/>
  <c r="J171" i="22"/>
  <c r="L171" i="22" s="1"/>
  <c r="A171" i="22"/>
  <c r="K170" i="22"/>
  <c r="J170" i="22"/>
  <c r="L170" i="22" s="1"/>
  <c r="A170" i="22"/>
  <c r="K169" i="22"/>
  <c r="L169" i="22" s="1"/>
  <c r="J169" i="22"/>
  <c r="A169" i="22"/>
  <c r="K168" i="22"/>
  <c r="L168" i="22" s="1"/>
  <c r="J168" i="22"/>
  <c r="A168" i="22"/>
  <c r="K167" i="22"/>
  <c r="J167" i="22"/>
  <c r="L167" i="22" s="1"/>
  <c r="A167" i="22"/>
  <c r="K166" i="22"/>
  <c r="J166" i="22"/>
  <c r="L166" i="22" s="1"/>
  <c r="A166" i="22"/>
  <c r="K165" i="22"/>
  <c r="L165" i="22" s="1"/>
  <c r="J165" i="22"/>
  <c r="A165" i="22"/>
  <c r="K164" i="22"/>
  <c r="L164" i="22" s="1"/>
  <c r="J164" i="22"/>
  <c r="A164" i="22"/>
  <c r="K163" i="22"/>
  <c r="J163" i="22"/>
  <c r="L163" i="22" s="1"/>
  <c r="A163" i="22"/>
  <c r="K162" i="22"/>
  <c r="J162" i="22"/>
  <c r="L162" i="22" s="1"/>
  <c r="A162" i="22"/>
  <c r="K161" i="22"/>
  <c r="L161" i="22" s="1"/>
  <c r="J161" i="22"/>
  <c r="A161" i="22"/>
  <c r="K160" i="22"/>
  <c r="L160" i="22" s="1"/>
  <c r="J160" i="22"/>
  <c r="A160" i="22"/>
  <c r="K159" i="22"/>
  <c r="J159" i="22"/>
  <c r="L159" i="22" s="1"/>
  <c r="A159" i="22"/>
  <c r="K158" i="22"/>
  <c r="J158" i="22"/>
  <c r="L158" i="22" s="1"/>
  <c r="A158" i="22"/>
  <c r="K157" i="22"/>
  <c r="L157" i="22" s="1"/>
  <c r="J157" i="22"/>
  <c r="A157" i="22"/>
  <c r="K156" i="22"/>
  <c r="L156" i="22" s="1"/>
  <c r="J156" i="22"/>
  <c r="A156" i="22"/>
  <c r="K155" i="22"/>
  <c r="J155" i="22"/>
  <c r="L155" i="22" s="1"/>
  <c r="A155" i="22"/>
  <c r="K154" i="22"/>
  <c r="J154" i="22"/>
  <c r="L154" i="22" s="1"/>
  <c r="A154" i="22"/>
  <c r="K153" i="22"/>
  <c r="L153" i="22" s="1"/>
  <c r="J153" i="22"/>
  <c r="A153" i="22"/>
  <c r="K152" i="22"/>
  <c r="L152" i="22" s="1"/>
  <c r="J152" i="22"/>
  <c r="A152" i="22"/>
  <c r="K151" i="22"/>
  <c r="J151" i="22"/>
  <c r="L151" i="22" s="1"/>
  <c r="A151" i="22"/>
  <c r="K150" i="22"/>
  <c r="J150" i="22"/>
  <c r="L150" i="22" s="1"/>
  <c r="A150" i="22"/>
  <c r="K149" i="22"/>
  <c r="L149" i="22" s="1"/>
  <c r="J149" i="22"/>
  <c r="A149" i="22"/>
  <c r="K148" i="22"/>
  <c r="L148" i="22" s="1"/>
  <c r="J148" i="22"/>
  <c r="A148" i="22"/>
  <c r="K147" i="22"/>
  <c r="J147" i="22"/>
  <c r="L147" i="22" s="1"/>
  <c r="A147" i="22"/>
  <c r="K146" i="22"/>
  <c r="J146" i="22"/>
  <c r="L146" i="22" s="1"/>
  <c r="A146" i="22"/>
  <c r="K145" i="22"/>
  <c r="L145" i="22" s="1"/>
  <c r="J145" i="22"/>
  <c r="A145" i="22"/>
  <c r="K144" i="22"/>
  <c r="L144" i="22" s="1"/>
  <c r="J144" i="22"/>
  <c r="A144" i="22"/>
  <c r="K143" i="22"/>
  <c r="J143" i="22"/>
  <c r="L143" i="22" s="1"/>
  <c r="A143" i="22"/>
  <c r="K142" i="22"/>
  <c r="J142" i="22"/>
  <c r="L142" i="22" s="1"/>
  <c r="A142" i="22"/>
  <c r="K141" i="22"/>
  <c r="L141" i="22" s="1"/>
  <c r="J141" i="22"/>
  <c r="A141" i="22"/>
  <c r="K140" i="22"/>
  <c r="L140" i="22" s="1"/>
  <c r="J140" i="22"/>
  <c r="A140" i="22"/>
  <c r="K139" i="22"/>
  <c r="J139" i="22"/>
  <c r="L139" i="22" s="1"/>
  <c r="A139" i="22"/>
  <c r="K138" i="22"/>
  <c r="J138" i="22"/>
  <c r="L138" i="22" s="1"/>
  <c r="A138" i="22"/>
  <c r="K137" i="22"/>
  <c r="L137" i="22" s="1"/>
  <c r="J137" i="22"/>
  <c r="A137" i="22"/>
  <c r="K136" i="22"/>
  <c r="L136" i="22" s="1"/>
  <c r="J136" i="22"/>
  <c r="A136" i="22"/>
  <c r="K135" i="22"/>
  <c r="J135" i="22"/>
  <c r="L135" i="22" s="1"/>
  <c r="A135" i="22"/>
  <c r="K134" i="22"/>
  <c r="J134" i="22"/>
  <c r="L134" i="22" s="1"/>
  <c r="A134" i="22"/>
  <c r="K133" i="22"/>
  <c r="L133" i="22" s="1"/>
  <c r="J133" i="22"/>
  <c r="A133" i="22"/>
  <c r="K132" i="22"/>
  <c r="L132" i="22" s="1"/>
  <c r="J132" i="22"/>
  <c r="A132" i="22"/>
  <c r="K131" i="22"/>
  <c r="J131" i="22"/>
  <c r="L131" i="22" s="1"/>
  <c r="A131" i="22"/>
  <c r="K130" i="22"/>
  <c r="J130" i="22"/>
  <c r="L130" i="22" s="1"/>
  <c r="A130" i="22"/>
  <c r="K129" i="22"/>
  <c r="L129" i="22" s="1"/>
  <c r="J129" i="22"/>
  <c r="A129" i="22"/>
  <c r="K128" i="22"/>
  <c r="L128" i="22" s="1"/>
  <c r="J128" i="22"/>
  <c r="A128" i="22"/>
  <c r="K127" i="22"/>
  <c r="J127" i="22"/>
  <c r="L127" i="22" s="1"/>
  <c r="A127" i="22"/>
  <c r="K126" i="22"/>
  <c r="J126" i="22"/>
  <c r="L126" i="22" s="1"/>
  <c r="A126" i="22"/>
  <c r="K125" i="22"/>
  <c r="L125" i="22" s="1"/>
  <c r="J125" i="22"/>
  <c r="A125" i="22"/>
  <c r="K124" i="22"/>
  <c r="L124" i="22" s="1"/>
  <c r="J124" i="22"/>
  <c r="A124" i="22"/>
  <c r="K123" i="22"/>
  <c r="J123" i="22"/>
  <c r="L123" i="22" s="1"/>
  <c r="A123" i="22"/>
  <c r="K122" i="22"/>
  <c r="J122" i="22"/>
  <c r="L122" i="22" s="1"/>
  <c r="A122" i="22"/>
  <c r="K121" i="22"/>
  <c r="L121" i="22" s="1"/>
  <c r="J121" i="22"/>
  <c r="A121" i="22"/>
  <c r="K120" i="22"/>
  <c r="L120" i="22" s="1"/>
  <c r="J120" i="22"/>
  <c r="A120" i="22"/>
  <c r="K119" i="22"/>
  <c r="J119" i="22"/>
  <c r="L119" i="22" s="1"/>
  <c r="A119" i="22"/>
  <c r="K118" i="22"/>
  <c r="J118" i="22"/>
  <c r="L118" i="22" s="1"/>
  <c r="A118" i="22"/>
  <c r="K117" i="22"/>
  <c r="L117" i="22" s="1"/>
  <c r="J117" i="22"/>
  <c r="A117" i="22"/>
  <c r="K116" i="22"/>
  <c r="L116" i="22" s="1"/>
  <c r="J116" i="22"/>
  <c r="A116" i="22"/>
  <c r="K115" i="22"/>
  <c r="J115" i="22"/>
  <c r="L115" i="22" s="1"/>
  <c r="A115" i="22"/>
  <c r="K114" i="22"/>
  <c r="J114" i="22"/>
  <c r="L114" i="22" s="1"/>
  <c r="A114" i="22"/>
  <c r="K113" i="22"/>
  <c r="L113" i="22" s="1"/>
  <c r="J113" i="22"/>
  <c r="A113" i="22"/>
  <c r="K112" i="22"/>
  <c r="L112" i="22" s="1"/>
  <c r="J112" i="22"/>
  <c r="A112" i="22"/>
  <c r="K111" i="22"/>
  <c r="J111" i="22"/>
  <c r="L111" i="22" s="1"/>
  <c r="A111" i="22"/>
  <c r="K110" i="22"/>
  <c r="J110" i="22"/>
  <c r="L110" i="22" s="1"/>
  <c r="A110" i="22"/>
  <c r="K109" i="22"/>
  <c r="L109" i="22" s="1"/>
  <c r="J109" i="22"/>
  <c r="A109" i="22"/>
  <c r="K108" i="22"/>
  <c r="L108" i="22" s="1"/>
  <c r="J108" i="22"/>
  <c r="A108" i="22"/>
  <c r="K107" i="22"/>
  <c r="J107" i="22"/>
  <c r="L107" i="22" s="1"/>
  <c r="A107" i="22"/>
  <c r="K106" i="22"/>
  <c r="J106" i="22"/>
  <c r="L106" i="22" s="1"/>
  <c r="A106" i="22"/>
  <c r="K105" i="22"/>
  <c r="L105" i="22" s="1"/>
  <c r="J105" i="22"/>
  <c r="A105" i="22"/>
  <c r="K104" i="22"/>
  <c r="L104" i="22" s="1"/>
  <c r="J104" i="22"/>
  <c r="A104" i="22"/>
  <c r="K103" i="22"/>
  <c r="J103" i="22"/>
  <c r="L103" i="22" s="1"/>
  <c r="A103" i="22"/>
  <c r="K102" i="22"/>
  <c r="J102" i="22"/>
  <c r="L102" i="22" s="1"/>
  <c r="A102" i="22"/>
  <c r="K101" i="22"/>
  <c r="L101" i="22" s="1"/>
  <c r="J101" i="22"/>
  <c r="A101" i="22"/>
  <c r="K100" i="22"/>
  <c r="L100" i="22" s="1"/>
  <c r="J100" i="22"/>
  <c r="A100" i="22"/>
  <c r="K99" i="22"/>
  <c r="J99" i="22"/>
  <c r="L99" i="22" s="1"/>
  <c r="A99" i="22"/>
  <c r="K98" i="22"/>
  <c r="J98" i="22"/>
  <c r="L98" i="22" s="1"/>
  <c r="A98" i="22"/>
  <c r="K97" i="22"/>
  <c r="L97" i="22" s="1"/>
  <c r="J97" i="22"/>
  <c r="A97" i="22"/>
  <c r="K96" i="22"/>
  <c r="L96" i="22" s="1"/>
  <c r="J96" i="22"/>
  <c r="A96" i="22"/>
  <c r="K95" i="22"/>
  <c r="J95" i="22"/>
  <c r="L95" i="22" s="1"/>
  <c r="A95" i="22"/>
  <c r="K94" i="22"/>
  <c r="J94" i="22"/>
  <c r="L94" i="22" s="1"/>
  <c r="A94" i="22"/>
  <c r="K93" i="22"/>
  <c r="L93" i="22" s="1"/>
  <c r="J93" i="22"/>
  <c r="A93" i="22"/>
  <c r="K92" i="22"/>
  <c r="L92" i="22" s="1"/>
  <c r="J92" i="22"/>
  <c r="A92" i="22"/>
  <c r="K91" i="22"/>
  <c r="J91" i="22"/>
  <c r="L91" i="22" s="1"/>
  <c r="A91" i="22"/>
  <c r="K90" i="22"/>
  <c r="J90" i="22"/>
  <c r="L90" i="22" s="1"/>
  <c r="A90" i="22"/>
  <c r="L89" i="22"/>
  <c r="K89" i="22"/>
  <c r="J89" i="22"/>
  <c r="A89" i="22"/>
  <c r="K88" i="22"/>
  <c r="L88" i="22" s="1"/>
  <c r="J88" i="22"/>
  <c r="A88" i="22"/>
  <c r="K87" i="22"/>
  <c r="J87" i="22"/>
  <c r="L87" i="22" s="1"/>
  <c r="A87" i="22"/>
  <c r="K86" i="22"/>
  <c r="J86" i="22"/>
  <c r="L86" i="22" s="1"/>
  <c r="A86" i="22"/>
  <c r="L85" i="22"/>
  <c r="K85" i="22"/>
  <c r="J85" i="22"/>
  <c r="A85" i="22"/>
  <c r="K84" i="22"/>
  <c r="L84" i="22" s="1"/>
  <c r="J84" i="22"/>
  <c r="A84" i="22"/>
  <c r="K83" i="22"/>
  <c r="J83" i="22"/>
  <c r="L83" i="22" s="1"/>
  <c r="A83" i="22"/>
  <c r="K82" i="22"/>
  <c r="J82" i="22"/>
  <c r="L82" i="22" s="1"/>
  <c r="A82" i="22"/>
  <c r="K81" i="22"/>
  <c r="L81" i="22" s="1"/>
  <c r="J81" i="22"/>
  <c r="A81" i="22"/>
  <c r="K80" i="22"/>
  <c r="L80" i="22" s="1"/>
  <c r="J80" i="22"/>
  <c r="A80" i="22"/>
  <c r="K79" i="22"/>
  <c r="J79" i="22"/>
  <c r="L79" i="22" s="1"/>
  <c r="A79" i="22"/>
  <c r="K78" i="22"/>
  <c r="J78" i="22"/>
  <c r="L78" i="22" s="1"/>
  <c r="A78" i="22"/>
  <c r="K77" i="22"/>
  <c r="L77" i="22" s="1"/>
  <c r="J77" i="22"/>
  <c r="A77" i="22"/>
  <c r="K76" i="22"/>
  <c r="L76" i="22" s="1"/>
  <c r="J76" i="22"/>
  <c r="A76" i="22"/>
  <c r="K75" i="22"/>
  <c r="J75" i="22"/>
  <c r="L75" i="22" s="1"/>
  <c r="A75" i="22"/>
  <c r="K74" i="22"/>
  <c r="J74" i="22"/>
  <c r="L74" i="22" s="1"/>
  <c r="A74" i="22"/>
  <c r="K73" i="22"/>
  <c r="L73" i="22" s="1"/>
  <c r="J73" i="22"/>
  <c r="A73" i="22"/>
  <c r="K72" i="22"/>
  <c r="L72" i="22" s="1"/>
  <c r="J72" i="22"/>
  <c r="A72" i="22"/>
  <c r="K71" i="22"/>
  <c r="J71" i="22"/>
  <c r="L71" i="22" s="1"/>
  <c r="A71" i="22"/>
  <c r="K70" i="22"/>
  <c r="J70" i="22"/>
  <c r="L70" i="22" s="1"/>
  <c r="A70" i="22"/>
  <c r="L69" i="22"/>
  <c r="K69" i="22"/>
  <c r="J69" i="22"/>
  <c r="A69" i="22"/>
  <c r="K68" i="22"/>
  <c r="L68" i="22" s="1"/>
  <c r="J68" i="22"/>
  <c r="A68" i="22"/>
  <c r="K67" i="22"/>
  <c r="J67" i="22"/>
  <c r="L67" i="22" s="1"/>
  <c r="A67" i="22"/>
  <c r="K66" i="22"/>
  <c r="J66" i="22"/>
  <c r="L66" i="22" s="1"/>
  <c r="A66" i="22"/>
  <c r="L65" i="22"/>
  <c r="K65" i="22"/>
  <c r="J65" i="22"/>
  <c r="A65" i="22"/>
  <c r="K64" i="22"/>
  <c r="L64" i="22" s="1"/>
  <c r="J64" i="22"/>
  <c r="A64" i="22"/>
  <c r="K63" i="22"/>
  <c r="J63" i="22"/>
  <c r="L63" i="22" s="1"/>
  <c r="A63" i="22"/>
  <c r="K62" i="22"/>
  <c r="J62" i="22"/>
  <c r="L62" i="22" s="1"/>
  <c r="A62" i="22"/>
  <c r="K61" i="22"/>
  <c r="L61" i="22" s="1"/>
  <c r="J61" i="22"/>
  <c r="A61" i="22"/>
  <c r="K60" i="22"/>
  <c r="L60" i="22" s="1"/>
  <c r="J60" i="22"/>
  <c r="A60" i="22"/>
  <c r="K59" i="22"/>
  <c r="J59" i="22"/>
  <c r="L59" i="22" s="1"/>
  <c r="A59" i="22"/>
  <c r="K58" i="22"/>
  <c r="J58" i="22"/>
  <c r="L58" i="22" s="1"/>
  <c r="A58" i="22"/>
  <c r="K57" i="22"/>
  <c r="L57" i="22" s="1"/>
  <c r="J57" i="22"/>
  <c r="A57" i="22"/>
  <c r="K56" i="22"/>
  <c r="L56" i="22" s="1"/>
  <c r="J56" i="22"/>
  <c r="A56" i="22"/>
  <c r="K55" i="22"/>
  <c r="J55" i="22"/>
  <c r="L55" i="22" s="1"/>
  <c r="A55" i="22"/>
  <c r="K54" i="22"/>
  <c r="J54" i="22"/>
  <c r="L54" i="22" s="1"/>
  <c r="A54" i="22"/>
  <c r="K53" i="22"/>
  <c r="L53" i="22" s="1"/>
  <c r="J53" i="22"/>
  <c r="A53" i="22"/>
  <c r="K52" i="22"/>
  <c r="L52" i="22" s="1"/>
  <c r="J52" i="22"/>
  <c r="A52" i="22"/>
  <c r="K51" i="22"/>
  <c r="J51" i="22"/>
  <c r="L51" i="22" s="1"/>
  <c r="A51" i="22"/>
  <c r="K50" i="22"/>
  <c r="J50" i="22"/>
  <c r="L50" i="22" s="1"/>
  <c r="A50" i="22"/>
  <c r="K49" i="22"/>
  <c r="L49" i="22" s="1"/>
  <c r="J49" i="22"/>
  <c r="A49" i="22"/>
  <c r="K48" i="22"/>
  <c r="L48" i="22" s="1"/>
  <c r="J48" i="22"/>
  <c r="A48" i="22"/>
  <c r="K47" i="22"/>
  <c r="J47" i="22"/>
  <c r="L47" i="22" s="1"/>
  <c r="A47" i="22"/>
  <c r="K46" i="22"/>
  <c r="J46" i="22"/>
  <c r="L46" i="22" s="1"/>
  <c r="A46" i="22"/>
  <c r="L45" i="22"/>
  <c r="K45" i="22"/>
  <c r="J45" i="22"/>
  <c r="A45" i="22"/>
  <c r="K44" i="22"/>
  <c r="L44" i="22" s="1"/>
  <c r="J44" i="22"/>
  <c r="A44" i="22"/>
  <c r="K43" i="22"/>
  <c r="J43" i="22"/>
  <c r="L43" i="22" s="1"/>
  <c r="A43" i="22"/>
  <c r="K42" i="22"/>
  <c r="J42" i="22"/>
  <c r="L42" i="22" s="1"/>
  <c r="A42" i="22"/>
  <c r="K41" i="22"/>
  <c r="L41" i="22" s="1"/>
  <c r="J41" i="22"/>
  <c r="A41" i="22"/>
  <c r="K40" i="22"/>
  <c r="L40" i="22" s="1"/>
  <c r="J40" i="22"/>
  <c r="A40" i="22"/>
  <c r="K39" i="22"/>
  <c r="J39" i="22"/>
  <c r="L39" i="22" s="1"/>
  <c r="A39" i="22"/>
  <c r="K38" i="22"/>
  <c r="J38" i="22"/>
  <c r="L38" i="22" s="1"/>
  <c r="A38" i="22"/>
  <c r="K37" i="22"/>
  <c r="L37" i="22" s="1"/>
  <c r="J37" i="22"/>
  <c r="A37" i="22"/>
  <c r="K36" i="22"/>
  <c r="L36" i="22" s="1"/>
  <c r="J36" i="22"/>
  <c r="A36" i="22"/>
  <c r="K35" i="22"/>
  <c r="J35" i="22"/>
  <c r="L35" i="22" s="1"/>
  <c r="A35" i="22"/>
  <c r="K34" i="22"/>
  <c r="J34" i="22"/>
  <c r="L34" i="22" s="1"/>
  <c r="A34" i="22"/>
  <c r="L23" i="22"/>
  <c r="K23" i="22"/>
  <c r="J23" i="22"/>
  <c r="A23" i="22"/>
  <c r="K22" i="22"/>
  <c r="L22" i="22" s="1"/>
  <c r="J22" i="22"/>
  <c r="A22" i="22"/>
  <c r="K21" i="22"/>
  <c r="J21" i="22"/>
  <c r="L21" i="22" s="1"/>
  <c r="A21" i="22"/>
  <c r="K20" i="22"/>
  <c r="J20" i="22"/>
  <c r="L20" i="22" s="1"/>
  <c r="A20" i="22"/>
  <c r="K19" i="22"/>
  <c r="L19" i="22" s="1"/>
  <c r="J19" i="22"/>
  <c r="A19" i="22"/>
  <c r="K18" i="22"/>
  <c r="L18" i="22" s="1"/>
  <c r="J18" i="22"/>
  <c r="A18" i="22"/>
  <c r="K17" i="22"/>
  <c r="J17" i="22"/>
  <c r="L17" i="22" s="1"/>
  <c r="A17" i="22"/>
  <c r="K16" i="22"/>
  <c r="J16" i="22"/>
  <c r="L16" i="22" s="1"/>
  <c r="A16" i="22"/>
  <c r="K15" i="22"/>
  <c r="L15" i="22" s="1"/>
  <c r="J15" i="22"/>
  <c r="A15" i="22"/>
  <c r="K14" i="22"/>
  <c r="L14" i="22" s="1"/>
  <c r="J14" i="22"/>
  <c r="A14" i="22"/>
  <c r="K13" i="22"/>
  <c r="J13" i="22"/>
  <c r="L13" i="22" s="1"/>
  <c r="A13" i="22"/>
  <c r="K12" i="22"/>
  <c r="J12" i="22"/>
  <c r="L12" i="22" s="1"/>
  <c r="A12" i="22"/>
  <c r="K11" i="22"/>
  <c r="L11" i="22" s="1"/>
  <c r="J11" i="22"/>
  <c r="A11" i="22"/>
  <c r="K10" i="22"/>
  <c r="L10" i="22" s="1"/>
  <c r="J10" i="22"/>
  <c r="A10" i="22"/>
  <c r="K9" i="22"/>
  <c r="J9" i="22"/>
  <c r="L9" i="22" s="1"/>
  <c r="A9" i="22"/>
  <c r="K8" i="22"/>
  <c r="J8" i="22"/>
  <c r="A8" i="22"/>
  <c r="K7" i="22"/>
  <c r="L7" i="22" s="1"/>
  <c r="J7" i="22"/>
  <c r="A7" i="22"/>
  <c r="L363" i="22" l="1"/>
  <c r="J363" i="22"/>
  <c r="K363" i="22"/>
  <c r="L8" i="22"/>
  <c r="X454" i="18" l="1"/>
  <c r="X453" i="18"/>
  <c r="X452" i="18"/>
  <c r="X451" i="18"/>
  <c r="X450" i="18"/>
  <c r="X449" i="18"/>
  <c r="X448" i="18"/>
  <c r="X447" i="18"/>
  <c r="X446" i="18"/>
  <c r="X445" i="18"/>
  <c r="X444" i="18"/>
  <c r="X443" i="18"/>
  <c r="X442" i="18"/>
  <c r="X441" i="18"/>
  <c r="X440" i="18"/>
  <c r="AT448" i="18" l="1"/>
  <c r="AS448" i="18"/>
  <c r="AR448" i="18"/>
  <c r="AQ448" i="18"/>
  <c r="AP448" i="18"/>
  <c r="AO448" i="18"/>
  <c r="AN448" i="18"/>
  <c r="BB448" i="18" s="1"/>
  <c r="AY448" i="18"/>
  <c r="AU448" i="18"/>
  <c r="AW448" i="18"/>
  <c r="AV448" i="18"/>
  <c r="AX448" i="18"/>
  <c r="AP451" i="18"/>
  <c r="AO451" i="18"/>
  <c r="AN451" i="18"/>
  <c r="BB451" i="18" s="1"/>
  <c r="AU451" i="18"/>
  <c r="AY451" i="18"/>
  <c r="AX451" i="18"/>
  <c r="AW451" i="18"/>
  <c r="AV451" i="18"/>
  <c r="AR451" i="18"/>
  <c r="AQ451" i="18"/>
  <c r="AT451" i="18"/>
  <c r="AS451" i="18"/>
  <c r="AX453" i="18"/>
  <c r="AW453" i="18"/>
  <c r="AV453" i="18"/>
  <c r="AU453" i="18"/>
  <c r="AT453" i="18"/>
  <c r="AQ453" i="18"/>
  <c r="AO453" i="18"/>
  <c r="AS453" i="18"/>
  <c r="AR453" i="18"/>
  <c r="AP453" i="18"/>
  <c r="AN453" i="18"/>
  <c r="BB453" i="18" s="1"/>
  <c r="AY453" i="18"/>
  <c r="AP447" i="18"/>
  <c r="AO447" i="18"/>
  <c r="AN447" i="18"/>
  <c r="BB447" i="18" s="1"/>
  <c r="AY447" i="18"/>
  <c r="AX447" i="18"/>
  <c r="AW447" i="18"/>
  <c r="AV447" i="18"/>
  <c r="AU447" i="18"/>
  <c r="AS447" i="18"/>
  <c r="AR447" i="18"/>
  <c r="AQ447" i="18"/>
  <c r="AT447" i="18"/>
  <c r="AY441" i="18"/>
  <c r="AX441" i="18"/>
  <c r="AW441" i="18"/>
  <c r="AV441" i="18"/>
  <c r="AT441" i="18"/>
  <c r="AR441" i="18"/>
  <c r="AU441" i="18"/>
  <c r="AS441" i="18"/>
  <c r="AP441" i="18"/>
  <c r="AO441" i="18"/>
  <c r="AQ441" i="18"/>
  <c r="AN441" i="18"/>
  <c r="BB441" i="18" s="1"/>
  <c r="AY442" i="18"/>
  <c r="AW442" i="18"/>
  <c r="AV442" i="18"/>
  <c r="AU442" i="18"/>
  <c r="AT442" i="18"/>
  <c r="AX442" i="18"/>
  <c r="AS442" i="18"/>
  <c r="AN442" i="18"/>
  <c r="BB442" i="18" s="1"/>
  <c r="AR442" i="18"/>
  <c r="AQ442" i="18"/>
  <c r="AP442" i="18"/>
  <c r="AO442" i="18"/>
  <c r="AX449" i="18"/>
  <c r="AW449" i="18"/>
  <c r="AV449" i="18"/>
  <c r="AU449" i="18"/>
  <c r="AT449" i="18"/>
  <c r="AP449" i="18"/>
  <c r="AS449" i="18"/>
  <c r="AR449" i="18"/>
  <c r="AQ449" i="18"/>
  <c r="AO449" i="18"/>
  <c r="AN449" i="18"/>
  <c r="AY449" i="18"/>
  <c r="AY450" i="18"/>
  <c r="AX450" i="18"/>
  <c r="AU450" i="18"/>
  <c r="AS450" i="18"/>
  <c r="AW450" i="18"/>
  <c r="AV450" i="18"/>
  <c r="AT450" i="18"/>
  <c r="AQ450" i="18"/>
  <c r="AR450" i="18"/>
  <c r="AP450" i="18"/>
  <c r="AO450" i="18"/>
  <c r="AN450" i="18"/>
  <c r="BB450" i="18" s="1"/>
  <c r="AT452" i="18"/>
  <c r="AS452" i="18"/>
  <c r="AR452" i="18"/>
  <c r="AQ452" i="18"/>
  <c r="AP452" i="18"/>
  <c r="AO452" i="18"/>
  <c r="AN452" i="18"/>
  <c r="BB452" i="18" s="1"/>
  <c r="AY452" i="18"/>
  <c r="AX452" i="18"/>
  <c r="AU452" i="18"/>
  <c r="AW452" i="18"/>
  <c r="AV452" i="18"/>
  <c r="AW454" i="18"/>
  <c r="AU454" i="18"/>
  <c r="AY454" i="18"/>
  <c r="AX454" i="18"/>
  <c r="AV454" i="18"/>
  <c r="AS454" i="18"/>
  <c r="AR454" i="18"/>
  <c r="AQ454" i="18"/>
  <c r="AT454" i="18"/>
  <c r="AP454" i="18"/>
  <c r="AO454" i="18"/>
  <c r="AN454" i="18"/>
  <c r="AU440" i="18"/>
  <c r="AT440" i="18"/>
  <c r="AS440" i="18"/>
  <c r="AR440" i="18"/>
  <c r="AQ440" i="18"/>
  <c r="AN440" i="18"/>
  <c r="BB440" i="18" s="1"/>
  <c r="AP440" i="18"/>
  <c r="AO440" i="18"/>
  <c r="AY440" i="18"/>
  <c r="AX440" i="18"/>
  <c r="AW440" i="18"/>
  <c r="AV440" i="18"/>
  <c r="AQ443" i="18"/>
  <c r="AP443" i="18"/>
  <c r="AO443" i="18"/>
  <c r="AW443" i="18"/>
  <c r="AN443" i="18"/>
  <c r="AY443" i="18"/>
  <c r="AV443" i="18"/>
  <c r="AX443" i="18"/>
  <c r="AS443" i="18"/>
  <c r="AR443" i="18"/>
  <c r="AU443" i="18"/>
  <c r="AT443" i="18"/>
  <c r="AT444" i="18"/>
  <c r="AS444" i="18"/>
  <c r="AR444" i="18"/>
  <c r="AQ444" i="18"/>
  <c r="AP444" i="18"/>
  <c r="AO444" i="18"/>
  <c r="AN444" i="18"/>
  <c r="AY444" i="18"/>
  <c r="AV444" i="18"/>
  <c r="AU444" i="18"/>
  <c r="AX444" i="18"/>
  <c r="AW444" i="18"/>
  <c r="AX445" i="18"/>
  <c r="AW445" i="18"/>
  <c r="AV445" i="18"/>
  <c r="AU445" i="18"/>
  <c r="AQ445" i="18"/>
  <c r="AP445" i="18"/>
  <c r="AT445" i="18"/>
  <c r="AS445" i="18"/>
  <c r="AR445" i="18"/>
  <c r="AO445" i="18"/>
  <c r="AN445" i="18"/>
  <c r="BB445" i="18" s="1"/>
  <c r="AY445" i="18"/>
  <c r="AY446" i="18"/>
  <c r="AX446" i="18"/>
  <c r="AW446" i="18"/>
  <c r="AV446" i="18"/>
  <c r="AS446" i="18"/>
  <c r="AU446" i="18"/>
  <c r="AR446" i="18"/>
  <c r="AQ446" i="18"/>
  <c r="AT446" i="18"/>
  <c r="AO446" i="18"/>
  <c r="AN446" i="18"/>
  <c r="BB446" i="18" s="1"/>
  <c r="AP446" i="18"/>
  <c r="BC451" i="18" l="1"/>
  <c r="BD451" i="18" s="1"/>
  <c r="BE451" i="18" s="1"/>
  <c r="BF451" i="18" s="1"/>
  <c r="BG451" i="18" s="1"/>
  <c r="BH451" i="18" s="1"/>
  <c r="BI451" i="18" s="1"/>
  <c r="BJ451" i="18" s="1"/>
  <c r="BK451" i="18" s="1"/>
  <c r="BL451" i="18" s="1"/>
  <c r="BM451" i="18" s="1"/>
  <c r="BC450" i="18"/>
  <c r="BD450" i="18" s="1"/>
  <c r="BE450" i="18" s="1"/>
  <c r="BF450" i="18" s="1"/>
  <c r="BG450" i="18" s="1"/>
  <c r="BH450" i="18" s="1"/>
  <c r="BI450" i="18" s="1"/>
  <c r="BJ450" i="18" s="1"/>
  <c r="BK450" i="18" s="1"/>
  <c r="BL450" i="18" s="1"/>
  <c r="BM450" i="18" s="1"/>
  <c r="BC441" i="18"/>
  <c r="BD441" i="18" s="1"/>
  <c r="BE441" i="18" s="1"/>
  <c r="BF441" i="18" s="1"/>
  <c r="BG441" i="18" s="1"/>
  <c r="BH441" i="18" s="1"/>
  <c r="BI441" i="18" s="1"/>
  <c r="BJ441" i="18" s="1"/>
  <c r="BK441" i="18" s="1"/>
  <c r="BL441" i="18" s="1"/>
  <c r="BM441" i="18" s="1"/>
  <c r="BC445" i="18"/>
  <c r="BD445" i="18" s="1"/>
  <c r="BE445" i="18" s="1"/>
  <c r="BF445" i="18" s="1"/>
  <c r="BG445" i="18" s="1"/>
  <c r="BH445" i="18" s="1"/>
  <c r="BI445" i="18" s="1"/>
  <c r="BJ445" i="18" s="1"/>
  <c r="BK445" i="18" s="1"/>
  <c r="BL445" i="18" s="1"/>
  <c r="BM445" i="18" s="1"/>
  <c r="BC452" i="18"/>
  <c r="BD452" i="18" s="1"/>
  <c r="BE452" i="18" s="1"/>
  <c r="BF452" i="18" s="1"/>
  <c r="BG452" i="18" s="1"/>
  <c r="BH452" i="18" s="1"/>
  <c r="BI452" i="18" s="1"/>
  <c r="BJ452" i="18" s="1"/>
  <c r="BK452" i="18" s="1"/>
  <c r="BL452" i="18" s="1"/>
  <c r="BM452" i="18" s="1"/>
  <c r="BC447" i="18"/>
  <c r="BD447" i="18" s="1"/>
  <c r="BE447" i="18" s="1"/>
  <c r="BF447" i="18" s="1"/>
  <c r="BG447" i="18" s="1"/>
  <c r="BH447" i="18" s="1"/>
  <c r="BI447" i="18" s="1"/>
  <c r="BJ447" i="18" s="1"/>
  <c r="BK447" i="18" s="1"/>
  <c r="BL447" i="18" s="1"/>
  <c r="BM447" i="18" s="1"/>
  <c r="BC446" i="18"/>
  <c r="BD446" i="18" s="1"/>
  <c r="BE446" i="18" s="1"/>
  <c r="BF446" i="18" s="1"/>
  <c r="BG446" i="18" s="1"/>
  <c r="BH446" i="18" s="1"/>
  <c r="BI446" i="18" s="1"/>
  <c r="BJ446" i="18" s="1"/>
  <c r="BK446" i="18" s="1"/>
  <c r="BL446" i="18" s="1"/>
  <c r="BM446" i="18" s="1"/>
  <c r="BC448" i="18"/>
  <c r="BD448" i="18" s="1"/>
  <c r="BE448" i="18" s="1"/>
  <c r="BF448" i="18" s="1"/>
  <c r="BG448" i="18" s="1"/>
  <c r="BH448" i="18" s="1"/>
  <c r="BI448" i="18" s="1"/>
  <c r="BJ448" i="18" s="1"/>
  <c r="BK448" i="18" s="1"/>
  <c r="BL448" i="18" s="1"/>
  <c r="BM448" i="18" s="1"/>
  <c r="AZ450" i="18"/>
  <c r="BC440" i="18"/>
  <c r="BD440" i="18" s="1"/>
  <c r="BE440" i="18" s="1"/>
  <c r="BF440" i="18" s="1"/>
  <c r="BG440" i="18" s="1"/>
  <c r="BH440" i="18" s="1"/>
  <c r="BI440" i="18" s="1"/>
  <c r="BJ440" i="18" s="1"/>
  <c r="BK440" i="18" s="1"/>
  <c r="BL440" i="18" s="1"/>
  <c r="BM440" i="18" s="1"/>
  <c r="AZ442" i="18"/>
  <c r="AZ446" i="18"/>
  <c r="AZ440" i="18"/>
  <c r="AZ447" i="18"/>
  <c r="AZ443" i="18"/>
  <c r="BB443" i="18"/>
  <c r="BC443" i="18" s="1"/>
  <c r="BD443" i="18" s="1"/>
  <c r="BE443" i="18" s="1"/>
  <c r="BF443" i="18" s="1"/>
  <c r="BG443" i="18" s="1"/>
  <c r="BH443" i="18" s="1"/>
  <c r="BI443" i="18" s="1"/>
  <c r="BJ443" i="18" s="1"/>
  <c r="BK443" i="18" s="1"/>
  <c r="BL443" i="18" s="1"/>
  <c r="BM443" i="18" s="1"/>
  <c r="AZ454" i="18"/>
  <c r="BB454" i="18"/>
  <c r="BC454" i="18" s="1"/>
  <c r="BD454" i="18" s="1"/>
  <c r="BE454" i="18" s="1"/>
  <c r="BF454" i="18" s="1"/>
  <c r="BG454" i="18" s="1"/>
  <c r="BH454" i="18" s="1"/>
  <c r="BI454" i="18" s="1"/>
  <c r="BJ454" i="18" s="1"/>
  <c r="BK454" i="18" s="1"/>
  <c r="BL454" i="18" s="1"/>
  <c r="BM454" i="18" s="1"/>
  <c r="AZ448" i="18"/>
  <c r="AZ444" i="18"/>
  <c r="BB444" i="18"/>
  <c r="BC444" i="18" s="1"/>
  <c r="BD444" i="18" s="1"/>
  <c r="BE444" i="18" s="1"/>
  <c r="BF444" i="18" s="1"/>
  <c r="BG444" i="18" s="1"/>
  <c r="BH444" i="18" s="1"/>
  <c r="BI444" i="18" s="1"/>
  <c r="BJ444" i="18" s="1"/>
  <c r="BK444" i="18" s="1"/>
  <c r="BL444" i="18" s="1"/>
  <c r="BM444" i="18" s="1"/>
  <c r="AZ441" i="18"/>
  <c r="AZ449" i="18"/>
  <c r="BB449" i="18"/>
  <c r="BC449" i="18" s="1"/>
  <c r="BD449" i="18" s="1"/>
  <c r="BE449" i="18" s="1"/>
  <c r="BF449" i="18" s="1"/>
  <c r="BG449" i="18" s="1"/>
  <c r="BH449" i="18" s="1"/>
  <c r="BI449" i="18" s="1"/>
  <c r="BJ449" i="18" s="1"/>
  <c r="BK449" i="18" s="1"/>
  <c r="BL449" i="18" s="1"/>
  <c r="BM449" i="18" s="1"/>
  <c r="AZ445" i="18"/>
  <c r="AZ452" i="18"/>
  <c r="AZ453" i="18"/>
  <c r="AZ451" i="18"/>
  <c r="BC442" i="18"/>
  <c r="BD442" i="18" s="1"/>
  <c r="BE442" i="18" s="1"/>
  <c r="BF442" i="18" s="1"/>
  <c r="BG442" i="18" s="1"/>
  <c r="BH442" i="18" s="1"/>
  <c r="BI442" i="18" s="1"/>
  <c r="BJ442" i="18" s="1"/>
  <c r="BK442" i="18" s="1"/>
  <c r="BL442" i="18" s="1"/>
  <c r="BM442" i="18" s="1"/>
  <c r="BC453" i="18"/>
  <c r="BD453" i="18" s="1"/>
  <c r="BE453" i="18" s="1"/>
  <c r="BF453" i="18" s="1"/>
  <c r="BG453" i="18" s="1"/>
  <c r="BH453" i="18" s="1"/>
  <c r="BI453" i="18" s="1"/>
  <c r="BJ453" i="18" s="1"/>
  <c r="BK453" i="18" s="1"/>
  <c r="BL453" i="18" s="1"/>
  <c r="BM453" i="18" s="1"/>
  <c r="AZ330" i="18"/>
  <c r="AZ329" i="18"/>
  <c r="AZ328" i="18"/>
  <c r="AZ327" i="18"/>
  <c r="AZ326" i="18"/>
  <c r="AZ325" i="18"/>
  <c r="AZ324" i="18"/>
  <c r="AZ323" i="18"/>
  <c r="AZ322" i="18"/>
  <c r="AZ321" i="18"/>
  <c r="AZ320" i="18"/>
  <c r="AZ319" i="18"/>
  <c r="AZ318" i="18"/>
  <c r="AZ317" i="18"/>
  <c r="AZ316" i="18"/>
  <c r="AZ315" i="18"/>
  <c r="AZ314" i="18"/>
  <c r="AZ313" i="18"/>
  <c r="AZ312" i="18"/>
  <c r="AZ311" i="18"/>
  <c r="AZ310" i="18"/>
  <c r="AZ309" i="18"/>
  <c r="AZ308" i="18"/>
  <c r="AZ307" i="18"/>
  <c r="AZ306" i="18"/>
  <c r="AZ305" i="18"/>
  <c r="AZ304" i="18"/>
  <c r="AZ303" i="18"/>
  <c r="AZ302" i="18"/>
  <c r="AZ301" i="18"/>
  <c r="AZ300" i="18"/>
  <c r="AZ299" i="18"/>
  <c r="AZ298" i="18"/>
  <c r="AZ297" i="18"/>
  <c r="AZ296" i="18"/>
  <c r="AZ295" i="18"/>
  <c r="AZ294" i="18"/>
  <c r="AZ293" i="18"/>
  <c r="AZ292" i="18"/>
  <c r="AZ291" i="18"/>
  <c r="AZ290" i="18"/>
  <c r="AZ289" i="18"/>
  <c r="AZ288" i="18"/>
  <c r="AZ287" i="18"/>
  <c r="AZ286" i="18"/>
  <c r="AZ285" i="18"/>
  <c r="AZ284" i="18"/>
  <c r="AZ283" i="18"/>
  <c r="AZ282" i="18"/>
  <c r="AZ281" i="18"/>
  <c r="AZ280" i="18"/>
  <c r="AZ279" i="18"/>
  <c r="AZ278" i="18"/>
  <c r="AZ277" i="18"/>
  <c r="AZ276" i="18"/>
  <c r="AZ275" i="18"/>
  <c r="AZ274" i="18"/>
  <c r="AZ273" i="18"/>
  <c r="AZ272" i="18"/>
  <c r="AZ271" i="18"/>
  <c r="AZ270" i="18"/>
  <c r="AZ269" i="18"/>
  <c r="AZ268" i="18"/>
  <c r="AZ267" i="18"/>
  <c r="AZ266" i="18"/>
  <c r="AZ265" i="18"/>
  <c r="AZ264" i="18"/>
  <c r="AZ263" i="18"/>
  <c r="AZ262" i="18"/>
  <c r="AZ261" i="18"/>
  <c r="AZ260" i="18"/>
  <c r="AZ259" i="18"/>
  <c r="AZ258" i="18"/>
  <c r="AZ257" i="18"/>
  <c r="AZ256" i="18"/>
  <c r="AZ255" i="18"/>
  <c r="AZ254" i="18"/>
  <c r="AZ253" i="18"/>
  <c r="AZ252" i="18"/>
  <c r="AZ251" i="18"/>
  <c r="AZ250" i="18"/>
  <c r="AZ249" i="18"/>
  <c r="AZ248" i="18"/>
  <c r="AZ247" i="18"/>
  <c r="AZ246" i="18"/>
  <c r="AZ245" i="18"/>
  <c r="AZ244" i="18"/>
  <c r="AZ243" i="18"/>
  <c r="AZ242" i="18"/>
  <c r="AZ241" i="18"/>
  <c r="AZ240" i="18"/>
  <c r="AZ239" i="18"/>
  <c r="AZ238" i="18"/>
  <c r="AZ237" i="18"/>
  <c r="AZ236" i="18"/>
  <c r="AZ235" i="18"/>
  <c r="AZ234" i="18"/>
  <c r="AZ233" i="18"/>
  <c r="AZ232" i="18"/>
  <c r="AZ231" i="18"/>
  <c r="AZ230" i="18"/>
  <c r="AZ229" i="18"/>
  <c r="AZ228" i="18"/>
  <c r="AZ227" i="18"/>
  <c r="AZ226" i="18"/>
  <c r="AZ225" i="18"/>
  <c r="AZ224" i="18"/>
  <c r="AZ223" i="18"/>
  <c r="AZ222" i="18"/>
  <c r="AZ221" i="18"/>
  <c r="AZ220" i="18"/>
  <c r="AZ219" i="18"/>
  <c r="AZ218" i="18"/>
  <c r="AZ217" i="18"/>
  <c r="AZ216" i="18"/>
  <c r="AZ215" i="18"/>
  <c r="AZ214" i="18"/>
  <c r="AZ213" i="18"/>
  <c r="AZ212" i="18"/>
  <c r="AZ211" i="18"/>
  <c r="AZ210" i="18"/>
  <c r="AZ209" i="18"/>
  <c r="AZ208" i="18"/>
  <c r="AZ207" i="18"/>
  <c r="AZ206" i="18"/>
  <c r="AZ205" i="18"/>
  <c r="AZ204" i="18"/>
  <c r="AZ203" i="18"/>
  <c r="AZ202" i="18"/>
  <c r="AZ201" i="18"/>
  <c r="AZ200" i="18"/>
  <c r="AZ199" i="18"/>
  <c r="AZ198" i="18"/>
  <c r="AZ197" i="18"/>
  <c r="AZ196" i="18"/>
  <c r="AZ195" i="18"/>
  <c r="AZ194" i="18"/>
  <c r="AZ193" i="18"/>
  <c r="AZ192" i="18"/>
  <c r="AZ191" i="18"/>
  <c r="AZ190" i="18"/>
  <c r="AZ189" i="18"/>
  <c r="AZ188" i="18"/>
  <c r="AZ187" i="18"/>
  <c r="AZ186" i="18"/>
  <c r="AZ185" i="18"/>
  <c r="AZ184" i="18"/>
  <c r="AZ183" i="18"/>
  <c r="AZ182" i="18"/>
  <c r="AZ181" i="18"/>
  <c r="AZ180" i="18"/>
  <c r="AZ179" i="18"/>
  <c r="AZ178" i="18"/>
  <c r="AZ177" i="18"/>
  <c r="AZ176" i="18"/>
  <c r="AZ175" i="18"/>
  <c r="AZ174" i="18"/>
  <c r="AZ173" i="18"/>
  <c r="AZ172" i="18"/>
  <c r="AZ171" i="18"/>
  <c r="AZ170" i="18"/>
  <c r="AZ169" i="18"/>
  <c r="AZ168" i="18"/>
  <c r="AZ167" i="18"/>
  <c r="AZ166" i="18"/>
  <c r="AZ165" i="18"/>
  <c r="AZ164" i="18"/>
  <c r="AZ163" i="18"/>
  <c r="AZ162" i="18"/>
  <c r="AZ161" i="18"/>
  <c r="AZ160" i="18"/>
  <c r="AZ159" i="18"/>
  <c r="AZ158" i="18"/>
  <c r="AZ157" i="18"/>
  <c r="AZ156" i="18"/>
  <c r="AZ155" i="18"/>
  <c r="AZ154" i="18"/>
  <c r="AZ153" i="18"/>
  <c r="AZ152" i="18"/>
  <c r="AZ151" i="18"/>
  <c r="AZ150" i="18"/>
  <c r="AZ149" i="18"/>
  <c r="AZ148" i="18"/>
  <c r="AZ147" i="18"/>
  <c r="AZ146" i="18"/>
  <c r="AZ145" i="18"/>
  <c r="AZ144" i="18"/>
  <c r="AZ143" i="18"/>
  <c r="AZ142" i="18"/>
  <c r="AZ141" i="18"/>
  <c r="AZ140" i="18"/>
  <c r="AZ139" i="18"/>
  <c r="AZ138" i="18"/>
  <c r="AZ137" i="18"/>
  <c r="AZ136" i="18"/>
  <c r="AZ135" i="18"/>
  <c r="AZ134" i="18"/>
  <c r="AZ133" i="18"/>
  <c r="AZ132" i="18"/>
  <c r="AZ131" i="18"/>
  <c r="AZ130" i="18"/>
  <c r="AZ129" i="18"/>
  <c r="AZ128" i="18"/>
  <c r="AZ127" i="18"/>
  <c r="AZ126" i="18"/>
  <c r="AZ125" i="18"/>
  <c r="AZ124" i="18"/>
  <c r="AZ123" i="18"/>
  <c r="AZ122" i="18"/>
  <c r="AZ121" i="18"/>
  <c r="AZ120" i="18"/>
  <c r="AZ119" i="18"/>
  <c r="AZ118" i="18"/>
  <c r="AZ117" i="18"/>
  <c r="AZ116" i="18"/>
  <c r="AZ115" i="18"/>
  <c r="AZ114" i="18"/>
  <c r="AZ113" i="18"/>
  <c r="AZ112" i="18"/>
  <c r="AZ111" i="18"/>
  <c r="AZ110" i="18"/>
  <c r="AZ109" i="18"/>
  <c r="AZ108" i="18"/>
  <c r="AZ107" i="18"/>
  <c r="AZ106" i="18"/>
  <c r="AZ105" i="18"/>
  <c r="AZ104" i="18"/>
  <c r="AZ103" i="18"/>
  <c r="AZ102" i="18"/>
  <c r="AZ101" i="18"/>
  <c r="AZ100" i="18"/>
  <c r="AZ99" i="18"/>
  <c r="AZ98" i="18"/>
  <c r="AZ97" i="18"/>
  <c r="AZ96" i="18"/>
  <c r="AZ95" i="18"/>
  <c r="AZ94" i="18"/>
  <c r="AZ93" i="18"/>
  <c r="AZ92" i="18"/>
  <c r="AZ91" i="18"/>
  <c r="AZ90" i="18"/>
  <c r="AZ89" i="18"/>
  <c r="AZ88" i="18"/>
  <c r="AZ87" i="18"/>
  <c r="AZ86" i="18"/>
  <c r="AZ85" i="18"/>
  <c r="AZ84" i="18"/>
  <c r="AZ83" i="18"/>
  <c r="AZ82" i="18"/>
  <c r="AZ81" i="18"/>
  <c r="AZ80" i="18"/>
  <c r="AZ79" i="18"/>
  <c r="AZ78" i="18"/>
  <c r="AZ77" i="18"/>
  <c r="AZ76" i="18"/>
  <c r="AZ75" i="18"/>
  <c r="AZ74" i="18"/>
  <c r="AZ73" i="18"/>
  <c r="AZ72" i="18"/>
  <c r="AZ71" i="18"/>
  <c r="AZ70" i="18"/>
  <c r="AZ69" i="18"/>
  <c r="AZ68" i="18"/>
  <c r="AZ67" i="18"/>
  <c r="AZ66" i="18"/>
  <c r="AZ65" i="18"/>
  <c r="AZ64" i="18"/>
  <c r="AZ63" i="18"/>
  <c r="AZ62" i="18"/>
  <c r="AZ61" i="18"/>
  <c r="AZ60" i="18"/>
  <c r="AZ59" i="18"/>
  <c r="AZ58" i="18"/>
  <c r="AZ57" i="18"/>
  <c r="AZ56" i="18"/>
  <c r="AZ55" i="18"/>
  <c r="AZ54" i="18"/>
  <c r="AZ53" i="18"/>
  <c r="AZ52" i="18"/>
  <c r="AZ51" i="18"/>
  <c r="AZ50" i="18"/>
  <c r="AZ49" i="18"/>
  <c r="AZ48" i="18"/>
  <c r="AZ47" i="18"/>
  <c r="AZ46" i="18"/>
  <c r="AZ45" i="18"/>
  <c r="AZ44" i="18"/>
  <c r="AZ43" i="18"/>
  <c r="AZ42" i="18"/>
  <c r="AZ41" i="18"/>
  <c r="AZ40" i="18"/>
  <c r="AZ39" i="18"/>
  <c r="AZ38" i="18"/>
  <c r="AZ37" i="18"/>
  <c r="AZ36" i="18"/>
  <c r="AZ35" i="18"/>
  <c r="AZ34" i="18"/>
  <c r="AZ33" i="18"/>
  <c r="AZ32" i="18"/>
  <c r="AZ31" i="18"/>
  <c r="AZ30" i="18"/>
  <c r="AZ29" i="18"/>
  <c r="AZ28" i="18"/>
  <c r="AZ27" i="18"/>
  <c r="AZ26" i="18"/>
  <c r="AZ25" i="18"/>
  <c r="AZ24" i="18"/>
  <c r="AZ23" i="18"/>
  <c r="AZ22" i="18"/>
  <c r="AZ21" i="18"/>
  <c r="AZ20" i="18"/>
  <c r="AZ19" i="18"/>
  <c r="AZ18" i="18"/>
  <c r="AZ17" i="18"/>
  <c r="AZ16" i="18"/>
  <c r="AZ15" i="18"/>
  <c r="AZ14" i="18"/>
  <c r="AZ13" i="18"/>
  <c r="AZ12" i="18"/>
  <c r="AZ11" i="18"/>
  <c r="AZ10" i="18"/>
  <c r="AZ9" i="18"/>
  <c r="X439" i="18"/>
  <c r="AW439" i="18" s="1"/>
  <c r="X438" i="18"/>
  <c r="AS438" i="18" s="1"/>
  <c r="X437" i="18"/>
  <c r="AO437" i="18" s="1"/>
  <c r="X436" i="18"/>
  <c r="AX436" i="18" s="1"/>
  <c r="X435" i="18"/>
  <c r="AW435" i="18" s="1"/>
  <c r="X434" i="18"/>
  <c r="AS434" i="18" s="1"/>
  <c r="X433" i="18"/>
  <c r="AO433" i="18" s="1"/>
  <c r="X432" i="18"/>
  <c r="AX432" i="18" s="1"/>
  <c r="X431" i="18"/>
  <c r="AW431" i="18" s="1"/>
  <c r="X430" i="18"/>
  <c r="AS430" i="18" s="1"/>
  <c r="X429" i="18"/>
  <c r="AO429" i="18" s="1"/>
  <c r="X428" i="18"/>
  <c r="AY428" i="18" s="1"/>
  <c r="X427" i="18"/>
  <c r="AX427" i="18" s="1"/>
  <c r="X426" i="18"/>
  <c r="AT426" i="18" s="1"/>
  <c r="X425" i="18"/>
  <c r="AO425" i="18" s="1"/>
  <c r="X424" i="18"/>
  <c r="AY424" i="18" s="1"/>
  <c r="X423" i="18"/>
  <c r="AW423" i="18" s="1"/>
  <c r="X422" i="18"/>
  <c r="AP422" i="18" s="1"/>
  <c r="X421" i="18"/>
  <c r="AO421" i="18" s="1"/>
  <c r="X420" i="18"/>
  <c r="AX420" i="18" s="1"/>
  <c r="X419" i="18"/>
  <c r="AT419" i="18" s="1"/>
  <c r="X418" i="18"/>
  <c r="AP418" i="18" s="1"/>
  <c r="X417" i="18"/>
  <c r="AY417" i="18" s="1"/>
  <c r="X416" i="18"/>
  <c r="AX416" i="18" s="1"/>
  <c r="X415" i="18"/>
  <c r="AW415" i="18" s="1"/>
  <c r="X414" i="18"/>
  <c r="AS414" i="18" s="1"/>
  <c r="X413" i="18"/>
  <c r="AO413" i="18" s="1"/>
  <c r="X412" i="18"/>
  <c r="AY412" i="18" s="1"/>
  <c r="X411" i="18"/>
  <c r="AX411" i="18" s="1"/>
  <c r="X410" i="18"/>
  <c r="AT410" i="18" s="1"/>
  <c r="X409" i="18"/>
  <c r="AO409" i="18" s="1"/>
  <c r="X408" i="18"/>
  <c r="AY408" i="18" s="1"/>
  <c r="X407" i="18"/>
  <c r="AW407" i="18" s="1"/>
  <c r="X406" i="18"/>
  <c r="AP406" i="18" s="1"/>
  <c r="X405" i="18"/>
  <c r="AO405" i="18" s="1"/>
  <c r="X404" i="18"/>
  <c r="AX404" i="18" s="1"/>
  <c r="X403" i="18"/>
  <c r="AT403" i="18" s="1"/>
  <c r="X402" i="18"/>
  <c r="AP402" i="18" s="1"/>
  <c r="X401" i="18"/>
  <c r="AK439" i="18"/>
  <c r="AJ439" i="18"/>
  <c r="AI439" i="18"/>
  <c r="AH439" i="18"/>
  <c r="AG439" i="18"/>
  <c r="AF439" i="18"/>
  <c r="AE439" i="18"/>
  <c r="AD439" i="18"/>
  <c r="AC439" i="18"/>
  <c r="AB439" i="18"/>
  <c r="AA439" i="18"/>
  <c r="Z439" i="18"/>
  <c r="Y439" i="18"/>
  <c r="BA439" i="18" s="1"/>
  <c r="AK438" i="18"/>
  <c r="AJ438" i="18"/>
  <c r="AI438" i="18"/>
  <c r="AH438" i="18"/>
  <c r="AG438" i="18"/>
  <c r="AF438" i="18"/>
  <c r="AE438" i="18"/>
  <c r="AD438" i="18"/>
  <c r="AC438" i="18"/>
  <c r="AB438" i="18"/>
  <c r="AA438" i="18"/>
  <c r="Z438" i="18"/>
  <c r="Y438" i="18"/>
  <c r="BA438" i="18" s="1"/>
  <c r="AK437" i="18"/>
  <c r="AJ437" i="18"/>
  <c r="AI437" i="18"/>
  <c r="AH437" i="18"/>
  <c r="AG437" i="18"/>
  <c r="AF437" i="18"/>
  <c r="AE437" i="18"/>
  <c r="AD437" i="18"/>
  <c r="AC437" i="18"/>
  <c r="AB437" i="18"/>
  <c r="AA437" i="18"/>
  <c r="Z437" i="18"/>
  <c r="Y437" i="18"/>
  <c r="BA437" i="18" s="1"/>
  <c r="AK436" i="18"/>
  <c r="AJ436" i="18"/>
  <c r="AI436" i="18"/>
  <c r="AH436" i="18"/>
  <c r="AG436" i="18"/>
  <c r="AF436" i="18"/>
  <c r="AE436" i="18"/>
  <c r="AD436" i="18"/>
  <c r="AC436" i="18"/>
  <c r="AB436" i="18"/>
  <c r="AA436" i="18"/>
  <c r="Z436" i="18"/>
  <c r="Y436" i="18"/>
  <c r="BA436" i="18" s="1"/>
  <c r="AK435" i="18"/>
  <c r="AJ435" i="18"/>
  <c r="AI435" i="18"/>
  <c r="AH435" i="18"/>
  <c r="AG435" i="18"/>
  <c r="AF435" i="18"/>
  <c r="AE435" i="18"/>
  <c r="AD435" i="18"/>
  <c r="AC435" i="18"/>
  <c r="AB435" i="18"/>
  <c r="AA435" i="18"/>
  <c r="Z435" i="18"/>
  <c r="Y435" i="18"/>
  <c r="BA435" i="18" s="1"/>
  <c r="AK434" i="18"/>
  <c r="AJ434" i="18"/>
  <c r="AI434" i="18"/>
  <c r="AH434" i="18"/>
  <c r="AG434" i="18"/>
  <c r="AF434" i="18"/>
  <c r="AE434" i="18"/>
  <c r="AD434" i="18"/>
  <c r="AC434" i="18"/>
  <c r="AB434" i="18"/>
  <c r="AA434" i="18"/>
  <c r="Z434" i="18"/>
  <c r="Y434" i="18"/>
  <c r="BA434" i="18" s="1"/>
  <c r="AK433" i="18"/>
  <c r="AJ433" i="18"/>
  <c r="AI433" i="18"/>
  <c r="AH433" i="18"/>
  <c r="AG433" i="18"/>
  <c r="AF433" i="18"/>
  <c r="AE433" i="18"/>
  <c r="AD433" i="18"/>
  <c r="AC433" i="18"/>
  <c r="AB433" i="18"/>
  <c r="AA433" i="18"/>
  <c r="Z433" i="18"/>
  <c r="Y433" i="18"/>
  <c r="BA433" i="18" s="1"/>
  <c r="AK432" i="18"/>
  <c r="AJ432" i="18"/>
  <c r="AI432" i="18"/>
  <c r="AH432" i="18"/>
  <c r="AG432" i="18"/>
  <c r="AF432" i="18"/>
  <c r="AE432" i="18"/>
  <c r="AD432" i="18"/>
  <c r="AC432" i="18"/>
  <c r="AB432" i="18"/>
  <c r="AA432" i="18"/>
  <c r="Z432" i="18"/>
  <c r="Y432" i="18"/>
  <c r="BA432" i="18" s="1"/>
  <c r="AK431" i="18"/>
  <c r="AJ431" i="18"/>
  <c r="AI431" i="18"/>
  <c r="AH431" i="18"/>
  <c r="AG431" i="18"/>
  <c r="AF431" i="18"/>
  <c r="AE431" i="18"/>
  <c r="AD431" i="18"/>
  <c r="AC431" i="18"/>
  <c r="AB431" i="18"/>
  <c r="AA431" i="18"/>
  <c r="Z431" i="18"/>
  <c r="Y431" i="18"/>
  <c r="BA431" i="18" s="1"/>
  <c r="AK430" i="18"/>
  <c r="AJ430" i="18"/>
  <c r="AI430" i="18"/>
  <c r="AH430" i="18"/>
  <c r="AG430" i="18"/>
  <c r="AF430" i="18"/>
  <c r="AE430" i="18"/>
  <c r="AD430" i="18"/>
  <c r="AC430" i="18"/>
  <c r="AB430" i="18"/>
  <c r="AA430" i="18"/>
  <c r="Z430" i="18"/>
  <c r="Y430" i="18"/>
  <c r="BA430" i="18" s="1"/>
  <c r="AK429" i="18"/>
  <c r="AJ429" i="18"/>
  <c r="AI429" i="18"/>
  <c r="AH429" i="18"/>
  <c r="AG429" i="18"/>
  <c r="AF429" i="18"/>
  <c r="AE429" i="18"/>
  <c r="AD429" i="18"/>
  <c r="AC429" i="18"/>
  <c r="AB429" i="18"/>
  <c r="AA429" i="18"/>
  <c r="Z429" i="18"/>
  <c r="Y429" i="18"/>
  <c r="BA429" i="18" s="1"/>
  <c r="AK428" i="18"/>
  <c r="AJ428" i="18"/>
  <c r="AI428" i="18"/>
  <c r="AH428" i="18"/>
  <c r="AG428" i="18"/>
  <c r="AF428" i="18"/>
  <c r="AE428" i="18"/>
  <c r="AD428" i="18"/>
  <c r="AC428" i="18"/>
  <c r="AB428" i="18"/>
  <c r="AA428" i="18"/>
  <c r="Z428" i="18"/>
  <c r="Y428" i="18"/>
  <c r="BA428" i="18" s="1"/>
  <c r="AK427" i="18"/>
  <c r="AJ427" i="18"/>
  <c r="AI427" i="18"/>
  <c r="AH427" i="18"/>
  <c r="AG427" i="18"/>
  <c r="AF427" i="18"/>
  <c r="AE427" i="18"/>
  <c r="AD427" i="18"/>
  <c r="AC427" i="18"/>
  <c r="AB427" i="18"/>
  <c r="AA427" i="18"/>
  <c r="Z427" i="18"/>
  <c r="Y427" i="18"/>
  <c r="BA427" i="18" s="1"/>
  <c r="AK426" i="18"/>
  <c r="AJ426" i="18"/>
  <c r="AI426" i="18"/>
  <c r="AH426" i="18"/>
  <c r="AG426" i="18"/>
  <c r="AF426" i="18"/>
  <c r="AE426" i="18"/>
  <c r="AD426" i="18"/>
  <c r="AC426" i="18"/>
  <c r="AB426" i="18"/>
  <c r="AA426" i="18"/>
  <c r="Z426" i="18"/>
  <c r="Y426" i="18"/>
  <c r="BA426" i="18" s="1"/>
  <c r="AK425" i="18"/>
  <c r="AJ425" i="18"/>
  <c r="AI425" i="18"/>
  <c r="AH425" i="18"/>
  <c r="AG425" i="18"/>
  <c r="AF425" i="18"/>
  <c r="AE425" i="18"/>
  <c r="AD425" i="18"/>
  <c r="AC425" i="18"/>
  <c r="AB425" i="18"/>
  <c r="AA425" i="18"/>
  <c r="Z425" i="18"/>
  <c r="Y425" i="18"/>
  <c r="BA425" i="18" s="1"/>
  <c r="AK424" i="18"/>
  <c r="AJ424" i="18"/>
  <c r="AI424" i="18"/>
  <c r="AH424" i="18"/>
  <c r="AG424" i="18"/>
  <c r="AF424" i="18"/>
  <c r="AE424" i="18"/>
  <c r="AD424" i="18"/>
  <c r="AC424" i="18"/>
  <c r="AB424" i="18"/>
  <c r="AA424" i="18"/>
  <c r="Z424" i="18"/>
  <c r="Y424" i="18"/>
  <c r="BA424" i="18" s="1"/>
  <c r="AK423" i="18"/>
  <c r="AJ423" i="18"/>
  <c r="AI423" i="18"/>
  <c r="AH423" i="18"/>
  <c r="AG423" i="18"/>
  <c r="AF423" i="18"/>
  <c r="AE423" i="18"/>
  <c r="AD423" i="18"/>
  <c r="AC423" i="18"/>
  <c r="AB423" i="18"/>
  <c r="AA423" i="18"/>
  <c r="Z423" i="18"/>
  <c r="Y423" i="18"/>
  <c r="BA423" i="18" s="1"/>
  <c r="AK422" i="18"/>
  <c r="AJ422" i="18"/>
  <c r="AI422" i="18"/>
  <c r="AH422" i="18"/>
  <c r="AG422" i="18"/>
  <c r="AF422" i="18"/>
  <c r="AE422" i="18"/>
  <c r="AD422" i="18"/>
  <c r="AC422" i="18"/>
  <c r="AB422" i="18"/>
  <c r="AA422" i="18"/>
  <c r="Z422" i="18"/>
  <c r="Y422" i="18"/>
  <c r="BA422" i="18" s="1"/>
  <c r="AK421" i="18"/>
  <c r="AJ421" i="18"/>
  <c r="AI421" i="18"/>
  <c r="AH421" i="18"/>
  <c r="AG421" i="18"/>
  <c r="AF421" i="18"/>
  <c r="AE421" i="18"/>
  <c r="AD421" i="18"/>
  <c r="AC421" i="18"/>
  <c r="AB421" i="18"/>
  <c r="AA421" i="18"/>
  <c r="Z421" i="18"/>
  <c r="Y421" i="18"/>
  <c r="BA421" i="18" s="1"/>
  <c r="AK420" i="18"/>
  <c r="AJ420" i="18"/>
  <c r="AI420" i="18"/>
  <c r="AH420" i="18"/>
  <c r="AG420" i="18"/>
  <c r="AF420" i="18"/>
  <c r="AE420" i="18"/>
  <c r="AD420" i="18"/>
  <c r="AC420" i="18"/>
  <c r="AB420" i="18"/>
  <c r="AA420" i="18"/>
  <c r="Z420" i="18"/>
  <c r="Y420" i="18"/>
  <c r="BA420" i="18" s="1"/>
  <c r="AK419" i="18"/>
  <c r="AJ419" i="18"/>
  <c r="AI419" i="18"/>
  <c r="AH419" i="18"/>
  <c r="AG419" i="18"/>
  <c r="AF419" i="18"/>
  <c r="AE419" i="18"/>
  <c r="AD419" i="18"/>
  <c r="AC419" i="18"/>
  <c r="AB419" i="18"/>
  <c r="AA419" i="18"/>
  <c r="Z419" i="18"/>
  <c r="Y419" i="18"/>
  <c r="BA419" i="18" s="1"/>
  <c r="AK418" i="18"/>
  <c r="AJ418" i="18"/>
  <c r="AI418" i="18"/>
  <c r="AH418" i="18"/>
  <c r="AG418" i="18"/>
  <c r="AF418" i="18"/>
  <c r="AE418" i="18"/>
  <c r="AD418" i="18"/>
  <c r="AC418" i="18"/>
  <c r="AB418" i="18"/>
  <c r="AA418" i="18"/>
  <c r="Z418" i="18"/>
  <c r="Y418" i="18"/>
  <c r="BA418" i="18" s="1"/>
  <c r="AK417" i="18"/>
  <c r="AJ417" i="18"/>
  <c r="AI417" i="18"/>
  <c r="AH417" i="18"/>
  <c r="AG417" i="18"/>
  <c r="AF417" i="18"/>
  <c r="AE417" i="18"/>
  <c r="AD417" i="18"/>
  <c r="AC417" i="18"/>
  <c r="AB417" i="18"/>
  <c r="AA417" i="18"/>
  <c r="Z417" i="18"/>
  <c r="Y417" i="18"/>
  <c r="BA417" i="18" s="1"/>
  <c r="AK416" i="18"/>
  <c r="AJ416" i="18"/>
  <c r="AI416" i="18"/>
  <c r="AH416" i="18"/>
  <c r="AG416" i="18"/>
  <c r="AF416" i="18"/>
  <c r="AE416" i="18"/>
  <c r="AD416" i="18"/>
  <c r="AC416" i="18"/>
  <c r="AB416" i="18"/>
  <c r="AA416" i="18"/>
  <c r="Z416" i="18"/>
  <c r="Y416" i="18"/>
  <c r="BA416" i="18" s="1"/>
  <c r="AK415" i="18"/>
  <c r="AJ415" i="18"/>
  <c r="AI415" i="18"/>
  <c r="AH415" i="18"/>
  <c r="AG415" i="18"/>
  <c r="AF415" i="18"/>
  <c r="AE415" i="18"/>
  <c r="AD415" i="18"/>
  <c r="AC415" i="18"/>
  <c r="AB415" i="18"/>
  <c r="AA415" i="18"/>
  <c r="Z415" i="18"/>
  <c r="Y415" i="18"/>
  <c r="BA415" i="18" s="1"/>
  <c r="AK414" i="18"/>
  <c r="AJ414" i="18"/>
  <c r="AI414" i="18"/>
  <c r="AH414" i="18"/>
  <c r="AG414" i="18"/>
  <c r="AF414" i="18"/>
  <c r="AE414" i="18"/>
  <c r="AD414" i="18"/>
  <c r="AC414" i="18"/>
  <c r="AB414" i="18"/>
  <c r="AA414" i="18"/>
  <c r="Z414" i="18"/>
  <c r="Y414" i="18"/>
  <c r="BA414" i="18" s="1"/>
  <c r="AK413" i="18"/>
  <c r="AJ413" i="18"/>
  <c r="AI413" i="18"/>
  <c r="AH413" i="18"/>
  <c r="AG413" i="18"/>
  <c r="AF413" i="18"/>
  <c r="AE413" i="18"/>
  <c r="AD413" i="18"/>
  <c r="AC413" i="18"/>
  <c r="AB413" i="18"/>
  <c r="AA413" i="18"/>
  <c r="Z413" i="18"/>
  <c r="Y413" i="18"/>
  <c r="BA413" i="18" s="1"/>
  <c r="AK412" i="18"/>
  <c r="AJ412" i="18"/>
  <c r="AI412" i="18"/>
  <c r="AH412" i="18"/>
  <c r="AG412" i="18"/>
  <c r="AF412" i="18"/>
  <c r="AE412" i="18"/>
  <c r="AD412" i="18"/>
  <c r="AC412" i="18"/>
  <c r="AB412" i="18"/>
  <c r="AA412" i="18"/>
  <c r="Z412" i="18"/>
  <c r="Y412" i="18"/>
  <c r="BA412" i="18" s="1"/>
  <c r="AK411" i="18"/>
  <c r="AJ411" i="18"/>
  <c r="AI411" i="18"/>
  <c r="AH411" i="18"/>
  <c r="AG411" i="18"/>
  <c r="AF411" i="18"/>
  <c r="AE411" i="18"/>
  <c r="AD411" i="18"/>
  <c r="AC411" i="18"/>
  <c r="AB411" i="18"/>
  <c r="AA411" i="18"/>
  <c r="Z411" i="18"/>
  <c r="Y411" i="18"/>
  <c r="BA411" i="18" s="1"/>
  <c r="AK410" i="18"/>
  <c r="AJ410" i="18"/>
  <c r="AI410" i="18"/>
  <c r="AH410" i="18"/>
  <c r="AG410" i="18"/>
  <c r="AF410" i="18"/>
  <c r="AE410" i="18"/>
  <c r="AD410" i="18"/>
  <c r="AC410" i="18"/>
  <c r="AB410" i="18"/>
  <c r="AA410" i="18"/>
  <c r="Z410" i="18"/>
  <c r="Y410" i="18"/>
  <c r="BA410" i="18" s="1"/>
  <c r="AK409" i="18"/>
  <c r="AJ409" i="18"/>
  <c r="AI409" i="18"/>
  <c r="AH409" i="18"/>
  <c r="AG409" i="18"/>
  <c r="AF409" i="18"/>
  <c r="AE409" i="18"/>
  <c r="AD409" i="18"/>
  <c r="AC409" i="18"/>
  <c r="AB409" i="18"/>
  <c r="AA409" i="18"/>
  <c r="Z409" i="18"/>
  <c r="Y409" i="18"/>
  <c r="BA409" i="18" s="1"/>
  <c r="AK408" i="18"/>
  <c r="AJ408" i="18"/>
  <c r="AI408" i="18"/>
  <c r="AH408" i="18"/>
  <c r="AG408" i="18"/>
  <c r="AF408" i="18"/>
  <c r="AE408" i="18"/>
  <c r="AD408" i="18"/>
  <c r="AC408" i="18"/>
  <c r="AB408" i="18"/>
  <c r="AA408" i="18"/>
  <c r="Z408" i="18"/>
  <c r="Y408" i="18"/>
  <c r="BA408" i="18" s="1"/>
  <c r="AK407" i="18"/>
  <c r="AJ407" i="18"/>
  <c r="AI407" i="18"/>
  <c r="AH407" i="18"/>
  <c r="AG407" i="18"/>
  <c r="AF407" i="18"/>
  <c r="AE407" i="18"/>
  <c r="AD407" i="18"/>
  <c r="AC407" i="18"/>
  <c r="AB407" i="18"/>
  <c r="AA407" i="18"/>
  <c r="Z407" i="18"/>
  <c r="Y407" i="18"/>
  <c r="BA407" i="18" s="1"/>
  <c r="AK406" i="18"/>
  <c r="AJ406" i="18"/>
  <c r="AI406" i="18"/>
  <c r="AH406" i="18"/>
  <c r="AG406" i="18"/>
  <c r="AF406" i="18"/>
  <c r="AE406" i="18"/>
  <c r="AD406" i="18"/>
  <c r="AC406" i="18"/>
  <c r="AB406" i="18"/>
  <c r="AA406" i="18"/>
  <c r="Z406" i="18"/>
  <c r="Y406" i="18"/>
  <c r="BA406" i="18" s="1"/>
  <c r="AK405" i="18"/>
  <c r="AJ405" i="18"/>
  <c r="AI405" i="18"/>
  <c r="AH405" i="18"/>
  <c r="AG405" i="18"/>
  <c r="AF405" i="18"/>
  <c r="AE405" i="18"/>
  <c r="AD405" i="18"/>
  <c r="AC405" i="18"/>
  <c r="AB405" i="18"/>
  <c r="AA405" i="18"/>
  <c r="Z405" i="18"/>
  <c r="Y405" i="18"/>
  <c r="BA405" i="18" s="1"/>
  <c r="AK404" i="18"/>
  <c r="AJ404" i="18"/>
  <c r="AI404" i="18"/>
  <c r="AH404" i="18"/>
  <c r="AG404" i="18"/>
  <c r="AF404" i="18"/>
  <c r="AE404" i="18"/>
  <c r="AD404" i="18"/>
  <c r="AC404" i="18"/>
  <c r="AB404" i="18"/>
  <c r="AA404" i="18"/>
  <c r="Z404" i="18"/>
  <c r="Y404" i="18"/>
  <c r="BA404" i="18" s="1"/>
  <c r="AK403" i="18"/>
  <c r="AJ403" i="18"/>
  <c r="AI403" i="18"/>
  <c r="AH403" i="18"/>
  <c r="AG403" i="18"/>
  <c r="AF403" i="18"/>
  <c r="AE403" i="18"/>
  <c r="AD403" i="18"/>
  <c r="AC403" i="18"/>
  <c r="AB403" i="18"/>
  <c r="AA403" i="18"/>
  <c r="Z403" i="18"/>
  <c r="Y403" i="18"/>
  <c r="BA403" i="18" s="1"/>
  <c r="AK402" i="18"/>
  <c r="AJ402" i="18"/>
  <c r="AI402" i="18"/>
  <c r="AH402" i="18"/>
  <c r="AG402" i="18"/>
  <c r="AF402" i="18"/>
  <c r="AE402" i="18"/>
  <c r="AD402" i="18"/>
  <c r="AC402" i="18"/>
  <c r="AB402" i="18"/>
  <c r="AA402" i="18"/>
  <c r="Z402" i="18"/>
  <c r="Y402" i="18"/>
  <c r="BA402" i="18" s="1"/>
  <c r="AK401" i="18"/>
  <c r="AJ401" i="18"/>
  <c r="AI401" i="18"/>
  <c r="AH401" i="18"/>
  <c r="AG401" i="18"/>
  <c r="AF401" i="18"/>
  <c r="AE401" i="18"/>
  <c r="AD401" i="18"/>
  <c r="AC401" i="18"/>
  <c r="AB401" i="18"/>
  <c r="AA401" i="18"/>
  <c r="Z401" i="18"/>
  <c r="Y401" i="18"/>
  <c r="BA401" i="18" s="1"/>
  <c r="AY401" i="18" l="1"/>
  <c r="AN401" i="18"/>
  <c r="BB401" i="18" s="1"/>
  <c r="AN435" i="18"/>
  <c r="BB435" i="18" s="1"/>
  <c r="AS402" i="18"/>
  <c r="AT401" i="18"/>
  <c r="AU401" i="18"/>
  <c r="AT402" i="18"/>
  <c r="AU402" i="18"/>
  <c r="AY402" i="18"/>
  <c r="AQ417" i="18"/>
  <c r="AS417" i="18"/>
  <c r="AP417" i="18"/>
  <c r="AT417" i="18"/>
  <c r="AU417" i="18"/>
  <c r="AU414" i="18"/>
  <c r="AS418" i="18"/>
  <c r="AP401" i="18"/>
  <c r="AT418" i="18"/>
  <c r="AQ401" i="18"/>
  <c r="AU419" i="18"/>
  <c r="AS401" i="18"/>
  <c r="AW419" i="18"/>
  <c r="AP436" i="18"/>
  <c r="AY432" i="18"/>
  <c r="AQ409" i="18"/>
  <c r="AN433" i="18"/>
  <c r="BB433" i="18" s="1"/>
  <c r="BC433" i="18" s="1"/>
  <c r="AR409" i="18"/>
  <c r="AQ429" i="18"/>
  <c r="AU430" i="18"/>
  <c r="AT414" i="18"/>
  <c r="AY435" i="18"/>
  <c r="AO424" i="18"/>
  <c r="AP425" i="18"/>
  <c r="AN424" i="18"/>
  <c r="BB424" i="18" s="1"/>
  <c r="AR425" i="18"/>
  <c r="AN403" i="18"/>
  <c r="BB403" i="18" s="1"/>
  <c r="AU418" i="18"/>
  <c r="AQ434" i="18"/>
  <c r="AW422" i="18"/>
  <c r="AV430" i="18"/>
  <c r="AQ404" i="18"/>
  <c r="AY418" i="18"/>
  <c r="AX434" i="18"/>
  <c r="AR404" i="18"/>
  <c r="AN419" i="18"/>
  <c r="BB419" i="18" s="1"/>
  <c r="AY434" i="18"/>
  <c r="AO408" i="18"/>
  <c r="AP409" i="18"/>
  <c r="AV419" i="18"/>
  <c r="AX435" i="18"/>
  <c r="AW406" i="18"/>
  <c r="AQ405" i="18"/>
  <c r="AN408" i="18"/>
  <c r="BB408" i="18" s="1"/>
  <c r="AQ425" i="18"/>
  <c r="AP413" i="18"/>
  <c r="AV431" i="18"/>
  <c r="AR438" i="18"/>
  <c r="AU415" i="18"/>
  <c r="AP433" i="18"/>
  <c r="AU403" i="18"/>
  <c r="AP416" i="18"/>
  <c r="AQ420" i="18"/>
  <c r="AT433" i="18"/>
  <c r="AV403" i="18"/>
  <c r="AQ416" i="18"/>
  <c r="AR420" i="18"/>
  <c r="AU433" i="18"/>
  <c r="AT438" i="18"/>
  <c r="AW403" i="18"/>
  <c r="AW416" i="18"/>
  <c r="AQ421" i="18"/>
  <c r="AR401" i="18"/>
  <c r="AS403" i="18"/>
  <c r="AR405" i="18"/>
  <c r="AN409" i="18"/>
  <c r="BB409" i="18" s="1"/>
  <c r="BC409" i="18" s="1"/>
  <c r="AV414" i="18"/>
  <c r="AR417" i="18"/>
  <c r="AS419" i="18"/>
  <c r="AR421" i="18"/>
  <c r="AN425" i="18"/>
  <c r="BB425" i="18" s="1"/>
  <c r="BC425" i="18" s="1"/>
  <c r="AW430" i="18"/>
  <c r="AV433" i="18"/>
  <c r="AN436" i="18"/>
  <c r="BB436" i="18" s="1"/>
  <c r="AU438" i="18"/>
  <c r="AS405" i="18"/>
  <c r="AW414" i="18"/>
  <c r="AS421" i="18"/>
  <c r="AU431" i="18"/>
  <c r="AO434" i="18"/>
  <c r="AO436" i="18"/>
  <c r="AV438" i="18"/>
  <c r="AO406" i="18"/>
  <c r="AO422" i="18"/>
  <c r="AW438" i="18"/>
  <c r="AQ406" i="18"/>
  <c r="AV415" i="18"/>
  <c r="AQ422" i="18"/>
  <c r="AX431" i="18"/>
  <c r="AR434" i="18"/>
  <c r="AQ436" i="18"/>
  <c r="AX438" i="18"/>
  <c r="AV401" i="18"/>
  <c r="AX403" i="18"/>
  <c r="AR406" i="18"/>
  <c r="AS409" i="18"/>
  <c r="AX415" i="18"/>
  <c r="AV417" i="18"/>
  <c r="AX419" i="18"/>
  <c r="AR422" i="18"/>
  <c r="AS425" i="18"/>
  <c r="AY431" i="18"/>
  <c r="AT434" i="18"/>
  <c r="AR436" i="18"/>
  <c r="AY438" i="18"/>
  <c r="AO402" i="18"/>
  <c r="AY403" i="18"/>
  <c r="AS406" i="18"/>
  <c r="AT409" i="18"/>
  <c r="AY415" i="18"/>
  <c r="AO418" i="18"/>
  <c r="AY419" i="18"/>
  <c r="AS422" i="18"/>
  <c r="AT425" i="18"/>
  <c r="AN432" i="18"/>
  <c r="BB432" i="18" s="1"/>
  <c r="AU434" i="18"/>
  <c r="AW436" i="18"/>
  <c r="AX439" i="18"/>
  <c r="AQ402" i="18"/>
  <c r="AN404" i="18"/>
  <c r="BB404" i="18" s="1"/>
  <c r="AT406" i="18"/>
  <c r="AU409" i="18"/>
  <c r="AN416" i="18"/>
  <c r="BB416" i="18" s="1"/>
  <c r="AQ418" i="18"/>
  <c r="AN420" i="18"/>
  <c r="BB420" i="18" s="1"/>
  <c r="AT422" i="18"/>
  <c r="AU425" i="18"/>
  <c r="AO432" i="18"/>
  <c r="AV434" i="18"/>
  <c r="AY436" i="18"/>
  <c r="AY439" i="18"/>
  <c r="AR402" i="18"/>
  <c r="AO404" i="18"/>
  <c r="AU406" i="18"/>
  <c r="AV409" i="18"/>
  <c r="AO416" i="18"/>
  <c r="AR418" i="18"/>
  <c r="AO420" i="18"/>
  <c r="AU422" i="18"/>
  <c r="AU426" i="18"/>
  <c r="AP432" i="18"/>
  <c r="AW434" i="18"/>
  <c r="AN437" i="18"/>
  <c r="BB437" i="18" s="1"/>
  <c r="BC437" i="18" s="1"/>
  <c r="AP404" i="18"/>
  <c r="AV406" i="18"/>
  <c r="AU410" i="18"/>
  <c r="AP420" i="18"/>
  <c r="AV422" i="18"/>
  <c r="AP429" i="18"/>
  <c r="AP437" i="18"/>
  <c r="AQ437" i="18"/>
  <c r="AX406" i="18"/>
  <c r="AQ413" i="18"/>
  <c r="AX422" i="18"/>
  <c r="AR429" i="18"/>
  <c r="AR437" i="18"/>
  <c r="AV402" i="18"/>
  <c r="AW404" i="18"/>
  <c r="AY406" i="18"/>
  <c r="AR413" i="18"/>
  <c r="AY416" i="18"/>
  <c r="AV418" i="18"/>
  <c r="AW420" i="18"/>
  <c r="AY422" i="18"/>
  <c r="AQ430" i="18"/>
  <c r="AQ433" i="18"/>
  <c r="AS435" i="18"/>
  <c r="AS437" i="18"/>
  <c r="AW402" i="18"/>
  <c r="AY404" i="18"/>
  <c r="AX407" i="18"/>
  <c r="AQ414" i="18"/>
  <c r="AN417" i="18"/>
  <c r="BB417" i="18" s="1"/>
  <c r="AW418" i="18"/>
  <c r="AY420" i="18"/>
  <c r="AX423" i="18"/>
  <c r="AR430" i="18"/>
  <c r="AR433" i="18"/>
  <c r="AU435" i="18"/>
  <c r="AO438" i="18"/>
  <c r="AO401" i="18"/>
  <c r="AX402" i="18"/>
  <c r="AN405" i="18"/>
  <c r="BB405" i="18" s="1"/>
  <c r="BC405" i="18" s="1"/>
  <c r="AY407" i="18"/>
  <c r="AR414" i="18"/>
  <c r="AO417" i="18"/>
  <c r="AX418" i="18"/>
  <c r="AN421" i="18"/>
  <c r="BB421" i="18" s="1"/>
  <c r="BC421" i="18" s="1"/>
  <c r="AY423" i="18"/>
  <c r="AT430" i="18"/>
  <c r="AS433" i="18"/>
  <c r="AV435" i="18"/>
  <c r="AQ438" i="18"/>
  <c r="AP405" i="18"/>
  <c r="AP421" i="18"/>
  <c r="AV410" i="18"/>
  <c r="AN412" i="18"/>
  <c r="BB412" i="18" s="1"/>
  <c r="AN428" i="18"/>
  <c r="BB428" i="18" s="1"/>
  <c r="AT405" i="18"/>
  <c r="AP408" i="18"/>
  <c r="AX410" i="18"/>
  <c r="AP412" i="18"/>
  <c r="AT413" i="18"/>
  <c r="AX414" i="18"/>
  <c r="AT421" i="18"/>
  <c r="AP424" i="18"/>
  <c r="AX426" i="18"/>
  <c r="AP428" i="18"/>
  <c r="AT429" i="18"/>
  <c r="AX430" i="18"/>
  <c r="AT437" i="18"/>
  <c r="AU405" i="18"/>
  <c r="AQ408" i="18"/>
  <c r="AY410" i="18"/>
  <c r="AQ412" i="18"/>
  <c r="AU413" i="18"/>
  <c r="AY414" i="18"/>
  <c r="AU421" i="18"/>
  <c r="AQ424" i="18"/>
  <c r="AY426" i="18"/>
  <c r="AQ428" i="18"/>
  <c r="AU429" i="18"/>
  <c r="AY430" i="18"/>
  <c r="AQ432" i="18"/>
  <c r="AU437" i="18"/>
  <c r="AV405" i="18"/>
  <c r="AN407" i="18"/>
  <c r="BB407" i="18" s="1"/>
  <c r="AR408" i="18"/>
  <c r="AN411" i="18"/>
  <c r="BB411" i="18" s="1"/>
  <c r="AR412" i="18"/>
  <c r="AV413" i="18"/>
  <c r="AN415" i="18"/>
  <c r="BB415" i="18" s="1"/>
  <c r="AR416" i="18"/>
  <c r="AV421" i="18"/>
  <c r="AN423" i="18"/>
  <c r="AR424" i="18"/>
  <c r="AV425" i="18"/>
  <c r="AN427" i="18"/>
  <c r="BB427" i="18" s="1"/>
  <c r="AR428" i="18"/>
  <c r="AV429" i="18"/>
  <c r="AN431" i="18"/>
  <c r="AR432" i="18"/>
  <c r="AV437" i="18"/>
  <c r="AN439" i="18"/>
  <c r="BB439" i="18" s="1"/>
  <c r="AO412" i="18"/>
  <c r="AW426" i="18"/>
  <c r="AW401" i="18"/>
  <c r="AO403" i="18"/>
  <c r="AS404" i="18"/>
  <c r="AW405" i="18"/>
  <c r="AO407" i="18"/>
  <c r="AS408" i="18"/>
  <c r="AW409" i="18"/>
  <c r="AO411" i="18"/>
  <c r="AS412" i="18"/>
  <c r="AW413" i="18"/>
  <c r="AO415" i="18"/>
  <c r="AS416" i="18"/>
  <c r="AW417" i="18"/>
  <c r="AO419" i="18"/>
  <c r="AS420" i="18"/>
  <c r="AW421" i="18"/>
  <c r="AO423" i="18"/>
  <c r="AS424" i="18"/>
  <c r="AW425" i="18"/>
  <c r="AO427" i="18"/>
  <c r="AS428" i="18"/>
  <c r="AW429" i="18"/>
  <c r="AO431" i="18"/>
  <c r="AS432" i="18"/>
  <c r="AW433" i="18"/>
  <c r="AO435" i="18"/>
  <c r="AS436" i="18"/>
  <c r="AW437" i="18"/>
  <c r="AO439" i="18"/>
  <c r="AX401" i="18"/>
  <c r="AP403" i="18"/>
  <c r="AT404" i="18"/>
  <c r="AX405" i="18"/>
  <c r="AP407" i="18"/>
  <c r="AT408" i="18"/>
  <c r="AX409" i="18"/>
  <c r="AP411" i="18"/>
  <c r="AT412" i="18"/>
  <c r="AX413" i="18"/>
  <c r="AP415" i="18"/>
  <c r="AT416" i="18"/>
  <c r="AX417" i="18"/>
  <c r="AP419" i="18"/>
  <c r="AT420" i="18"/>
  <c r="AX421" i="18"/>
  <c r="AP423" i="18"/>
  <c r="AT424" i="18"/>
  <c r="AX425" i="18"/>
  <c r="AP427" i="18"/>
  <c r="AT428" i="18"/>
  <c r="AX429" i="18"/>
  <c r="AP431" i="18"/>
  <c r="AT432" i="18"/>
  <c r="AX433" i="18"/>
  <c r="AP435" i="18"/>
  <c r="AT436" i="18"/>
  <c r="AX437" i="18"/>
  <c r="AP439" i="18"/>
  <c r="AS413" i="18"/>
  <c r="AO428" i="18"/>
  <c r="AQ403" i="18"/>
  <c r="AU404" i="18"/>
  <c r="AY405" i="18"/>
  <c r="AQ407" i="18"/>
  <c r="AU408" i="18"/>
  <c r="AY409" i="18"/>
  <c r="AQ411" i="18"/>
  <c r="AU412" i="18"/>
  <c r="AY413" i="18"/>
  <c r="AQ415" i="18"/>
  <c r="AU416" i="18"/>
  <c r="AQ419" i="18"/>
  <c r="AU420" i="18"/>
  <c r="AY421" i="18"/>
  <c r="AQ423" i="18"/>
  <c r="AU424" i="18"/>
  <c r="AY425" i="18"/>
  <c r="AQ427" i="18"/>
  <c r="AU428" i="18"/>
  <c r="AY429" i="18"/>
  <c r="AQ431" i="18"/>
  <c r="AU432" i="18"/>
  <c r="AY433" i="18"/>
  <c r="AQ435" i="18"/>
  <c r="AU436" i="18"/>
  <c r="AY437" i="18"/>
  <c r="AQ439" i="18"/>
  <c r="AY427" i="18"/>
  <c r="AV426" i="18"/>
  <c r="AW410" i="18"/>
  <c r="AN402" i="18"/>
  <c r="BB402" i="18" s="1"/>
  <c r="AR403" i="18"/>
  <c r="AV404" i="18"/>
  <c r="AN406" i="18"/>
  <c r="BB406" i="18" s="1"/>
  <c r="AR407" i="18"/>
  <c r="AV408" i="18"/>
  <c r="AN410" i="18"/>
  <c r="BB410" i="18" s="1"/>
  <c r="AR411" i="18"/>
  <c r="AV412" i="18"/>
  <c r="AN414" i="18"/>
  <c r="BB414" i="18" s="1"/>
  <c r="AR415" i="18"/>
  <c r="AV416" i="18"/>
  <c r="AN418" i="18"/>
  <c r="AR419" i="18"/>
  <c r="AV420" i="18"/>
  <c r="AN422" i="18"/>
  <c r="AR423" i="18"/>
  <c r="AV424" i="18"/>
  <c r="AN426" i="18"/>
  <c r="AR427" i="18"/>
  <c r="AV428" i="18"/>
  <c r="AN430" i="18"/>
  <c r="AR431" i="18"/>
  <c r="AV432" i="18"/>
  <c r="AN434" i="18"/>
  <c r="BB434" i="18" s="1"/>
  <c r="AR435" i="18"/>
  <c r="AV436" i="18"/>
  <c r="AN438" i="18"/>
  <c r="AR439" i="18"/>
  <c r="AS407" i="18"/>
  <c r="AW408" i="18"/>
  <c r="AO410" i="18"/>
  <c r="AS411" i="18"/>
  <c r="AW412" i="18"/>
  <c r="AO414" i="18"/>
  <c r="AS415" i="18"/>
  <c r="AS423" i="18"/>
  <c r="AW424" i="18"/>
  <c r="AO426" i="18"/>
  <c r="AS427" i="18"/>
  <c r="AW428" i="18"/>
  <c r="AO430" i="18"/>
  <c r="AS431" i="18"/>
  <c r="AW432" i="18"/>
  <c r="AS439" i="18"/>
  <c r="AY411" i="18"/>
  <c r="AS429" i="18"/>
  <c r="AT407" i="18"/>
  <c r="AX408" i="18"/>
  <c r="AP410" i="18"/>
  <c r="AT411" i="18"/>
  <c r="AX412" i="18"/>
  <c r="AP414" i="18"/>
  <c r="AT415" i="18"/>
  <c r="AT423" i="18"/>
  <c r="AX424" i="18"/>
  <c r="AP426" i="18"/>
  <c r="AT427" i="18"/>
  <c r="AX428" i="18"/>
  <c r="AP430" i="18"/>
  <c r="AT431" i="18"/>
  <c r="AP434" i="18"/>
  <c r="AT435" i="18"/>
  <c r="AP438" i="18"/>
  <c r="AT439" i="18"/>
  <c r="AU407" i="18"/>
  <c r="AQ410" i="18"/>
  <c r="AU411" i="18"/>
  <c r="AU423" i="18"/>
  <c r="AQ426" i="18"/>
  <c r="AU427" i="18"/>
  <c r="AU439" i="18"/>
  <c r="AV407" i="18"/>
  <c r="AR410" i="18"/>
  <c r="AV411" i="18"/>
  <c r="AN413" i="18"/>
  <c r="BB413" i="18" s="1"/>
  <c r="BC413" i="18" s="1"/>
  <c r="AV423" i="18"/>
  <c r="AR426" i="18"/>
  <c r="AV427" i="18"/>
  <c r="AN429" i="18"/>
  <c r="BB429" i="18" s="1"/>
  <c r="BC429" i="18" s="1"/>
  <c r="AV439" i="18"/>
  <c r="AS410" i="18"/>
  <c r="AW411" i="18"/>
  <c r="AS426" i="18"/>
  <c r="AW427" i="18"/>
  <c r="BD425" i="18" l="1"/>
  <c r="BE425" i="18" s="1"/>
  <c r="BF425" i="18" s="1"/>
  <c r="BG425" i="18" s="1"/>
  <c r="BH425" i="18" s="1"/>
  <c r="BI425" i="18" s="1"/>
  <c r="BJ425" i="18" s="1"/>
  <c r="BK425" i="18" s="1"/>
  <c r="BL425" i="18" s="1"/>
  <c r="BM425" i="18" s="1"/>
  <c r="BC411" i="18"/>
  <c r="BD411" i="18" s="1"/>
  <c r="BE411" i="18" s="1"/>
  <c r="BF411" i="18" s="1"/>
  <c r="BG411" i="18" s="1"/>
  <c r="BH411" i="18" s="1"/>
  <c r="BI411" i="18" s="1"/>
  <c r="BJ411" i="18" s="1"/>
  <c r="BK411" i="18" s="1"/>
  <c r="BL411" i="18" s="1"/>
  <c r="BM411" i="18" s="1"/>
  <c r="BC432" i="18"/>
  <c r="BD432" i="18" s="1"/>
  <c r="BE432" i="18" s="1"/>
  <c r="BF432" i="18" s="1"/>
  <c r="BG432" i="18" s="1"/>
  <c r="BH432" i="18" s="1"/>
  <c r="BI432" i="18" s="1"/>
  <c r="BJ432" i="18" s="1"/>
  <c r="BK432" i="18" s="1"/>
  <c r="BL432" i="18" s="1"/>
  <c r="BM432" i="18" s="1"/>
  <c r="BD413" i="18"/>
  <c r="BE413" i="18" s="1"/>
  <c r="BF413" i="18" s="1"/>
  <c r="BG413" i="18" s="1"/>
  <c r="BH413" i="18" s="1"/>
  <c r="BI413" i="18" s="1"/>
  <c r="BJ413" i="18" s="1"/>
  <c r="BK413" i="18" s="1"/>
  <c r="BL413" i="18" s="1"/>
  <c r="BM413" i="18" s="1"/>
  <c r="BC416" i="18"/>
  <c r="BD416" i="18" s="1"/>
  <c r="BE416" i="18" s="1"/>
  <c r="BF416" i="18" s="1"/>
  <c r="BG416" i="18" s="1"/>
  <c r="BH416" i="18" s="1"/>
  <c r="BI416" i="18" s="1"/>
  <c r="BJ416" i="18" s="1"/>
  <c r="BK416" i="18" s="1"/>
  <c r="BL416" i="18" s="1"/>
  <c r="BM416" i="18" s="1"/>
  <c r="BD433" i="18"/>
  <c r="BE433" i="18" s="1"/>
  <c r="BF433" i="18" s="1"/>
  <c r="BG433" i="18" s="1"/>
  <c r="BH433" i="18" s="1"/>
  <c r="BI433" i="18" s="1"/>
  <c r="BJ433" i="18" s="1"/>
  <c r="BK433" i="18" s="1"/>
  <c r="BL433" i="18" s="1"/>
  <c r="BM433" i="18" s="1"/>
  <c r="AZ419" i="18"/>
  <c r="BC427" i="18"/>
  <c r="BD427" i="18" s="1"/>
  <c r="BE427" i="18" s="1"/>
  <c r="BF427" i="18" s="1"/>
  <c r="BG427" i="18" s="1"/>
  <c r="BH427" i="18" s="1"/>
  <c r="BI427" i="18" s="1"/>
  <c r="BJ427" i="18" s="1"/>
  <c r="BK427" i="18" s="1"/>
  <c r="BL427" i="18" s="1"/>
  <c r="BM427" i="18" s="1"/>
  <c r="BC401" i="18"/>
  <c r="BD401" i="18" s="1"/>
  <c r="BE401" i="18" s="1"/>
  <c r="BF401" i="18" s="1"/>
  <c r="BG401" i="18" s="1"/>
  <c r="BH401" i="18" s="1"/>
  <c r="BI401" i="18" s="1"/>
  <c r="BJ401" i="18" s="1"/>
  <c r="BK401" i="18" s="1"/>
  <c r="BL401" i="18" s="1"/>
  <c r="BM401" i="18" s="1"/>
  <c r="BD409" i="18"/>
  <c r="BE409" i="18" s="1"/>
  <c r="BF409" i="18" s="1"/>
  <c r="BG409" i="18" s="1"/>
  <c r="BH409" i="18" s="1"/>
  <c r="BI409" i="18" s="1"/>
  <c r="BJ409" i="18" s="1"/>
  <c r="BK409" i="18" s="1"/>
  <c r="BL409" i="18" s="1"/>
  <c r="BM409" i="18" s="1"/>
  <c r="BC436" i="18"/>
  <c r="BD436" i="18" s="1"/>
  <c r="BE436" i="18" s="1"/>
  <c r="BF436" i="18" s="1"/>
  <c r="BG436" i="18" s="1"/>
  <c r="BH436" i="18" s="1"/>
  <c r="BI436" i="18" s="1"/>
  <c r="BJ436" i="18" s="1"/>
  <c r="BK436" i="18" s="1"/>
  <c r="BL436" i="18" s="1"/>
  <c r="BM436" i="18" s="1"/>
  <c r="BD429" i="18"/>
  <c r="BE429" i="18" s="1"/>
  <c r="BF429" i="18" s="1"/>
  <c r="BG429" i="18" s="1"/>
  <c r="BH429" i="18" s="1"/>
  <c r="BI429" i="18" s="1"/>
  <c r="BJ429" i="18" s="1"/>
  <c r="BK429" i="18" s="1"/>
  <c r="BL429" i="18" s="1"/>
  <c r="BM429" i="18" s="1"/>
  <c r="BC424" i="18"/>
  <c r="BD424" i="18" s="1"/>
  <c r="BE424" i="18" s="1"/>
  <c r="BF424" i="18" s="1"/>
  <c r="BG424" i="18" s="1"/>
  <c r="BH424" i="18" s="1"/>
  <c r="BI424" i="18" s="1"/>
  <c r="BJ424" i="18" s="1"/>
  <c r="BK424" i="18" s="1"/>
  <c r="BL424" i="18" s="1"/>
  <c r="BM424" i="18" s="1"/>
  <c r="BC408" i="18"/>
  <c r="BD408" i="18" s="1"/>
  <c r="BE408" i="18" s="1"/>
  <c r="BF408" i="18" s="1"/>
  <c r="BG408" i="18" s="1"/>
  <c r="BH408" i="18" s="1"/>
  <c r="BI408" i="18" s="1"/>
  <c r="BJ408" i="18" s="1"/>
  <c r="BK408" i="18" s="1"/>
  <c r="BL408" i="18" s="1"/>
  <c r="BM408" i="18" s="1"/>
  <c r="BC415" i="18"/>
  <c r="BD415" i="18" s="1"/>
  <c r="BE415" i="18" s="1"/>
  <c r="BF415" i="18" s="1"/>
  <c r="BG415" i="18" s="1"/>
  <c r="BH415" i="18" s="1"/>
  <c r="BI415" i="18" s="1"/>
  <c r="BJ415" i="18" s="1"/>
  <c r="BK415" i="18" s="1"/>
  <c r="BL415" i="18" s="1"/>
  <c r="BM415" i="18" s="1"/>
  <c r="BD405" i="18"/>
  <c r="BE405" i="18" s="1"/>
  <c r="BF405" i="18" s="1"/>
  <c r="BG405" i="18" s="1"/>
  <c r="BH405" i="18" s="1"/>
  <c r="BI405" i="18" s="1"/>
  <c r="BJ405" i="18" s="1"/>
  <c r="BK405" i="18" s="1"/>
  <c r="BL405" i="18" s="1"/>
  <c r="BM405" i="18" s="1"/>
  <c r="BC404" i="18"/>
  <c r="BD404" i="18" s="1"/>
  <c r="BE404" i="18" s="1"/>
  <c r="BF404" i="18" s="1"/>
  <c r="BG404" i="18" s="1"/>
  <c r="BH404" i="18" s="1"/>
  <c r="BI404" i="18" s="1"/>
  <c r="BJ404" i="18" s="1"/>
  <c r="BK404" i="18" s="1"/>
  <c r="BL404" i="18" s="1"/>
  <c r="BM404" i="18" s="1"/>
  <c r="BC406" i="18"/>
  <c r="BD406" i="18" s="1"/>
  <c r="BE406" i="18" s="1"/>
  <c r="BF406" i="18" s="1"/>
  <c r="BG406" i="18" s="1"/>
  <c r="BH406" i="18" s="1"/>
  <c r="BI406" i="18" s="1"/>
  <c r="BJ406" i="18" s="1"/>
  <c r="BK406" i="18" s="1"/>
  <c r="BL406" i="18" s="1"/>
  <c r="BM406" i="18" s="1"/>
  <c r="BC428" i="18"/>
  <c r="BD428" i="18" s="1"/>
  <c r="BE428" i="18" s="1"/>
  <c r="BF428" i="18" s="1"/>
  <c r="BG428" i="18" s="1"/>
  <c r="BH428" i="18" s="1"/>
  <c r="BI428" i="18" s="1"/>
  <c r="BJ428" i="18" s="1"/>
  <c r="BK428" i="18" s="1"/>
  <c r="BL428" i="18" s="1"/>
  <c r="BM428" i="18" s="1"/>
  <c r="BC402" i="18"/>
  <c r="BD402" i="18" s="1"/>
  <c r="BE402" i="18" s="1"/>
  <c r="BF402" i="18" s="1"/>
  <c r="BG402" i="18" s="1"/>
  <c r="BH402" i="18" s="1"/>
  <c r="BI402" i="18" s="1"/>
  <c r="BJ402" i="18" s="1"/>
  <c r="BK402" i="18" s="1"/>
  <c r="BL402" i="18" s="1"/>
  <c r="BM402" i="18" s="1"/>
  <c r="AZ435" i="18"/>
  <c r="BD437" i="18"/>
  <c r="BE437" i="18" s="1"/>
  <c r="BF437" i="18" s="1"/>
  <c r="BG437" i="18" s="1"/>
  <c r="BH437" i="18" s="1"/>
  <c r="BI437" i="18" s="1"/>
  <c r="BJ437" i="18" s="1"/>
  <c r="BK437" i="18" s="1"/>
  <c r="BL437" i="18" s="1"/>
  <c r="BM437" i="18" s="1"/>
  <c r="BC412" i="18"/>
  <c r="BD412" i="18" s="1"/>
  <c r="BE412" i="18" s="1"/>
  <c r="BF412" i="18" s="1"/>
  <c r="BG412" i="18" s="1"/>
  <c r="BH412" i="18" s="1"/>
  <c r="BI412" i="18" s="1"/>
  <c r="BJ412" i="18" s="1"/>
  <c r="BK412" i="18" s="1"/>
  <c r="BL412" i="18" s="1"/>
  <c r="BM412" i="18" s="1"/>
  <c r="AZ418" i="18"/>
  <c r="AZ401" i="18"/>
  <c r="BC417" i="18"/>
  <c r="BD417" i="18" s="1"/>
  <c r="BE417" i="18" s="1"/>
  <c r="BF417" i="18" s="1"/>
  <c r="BG417" i="18" s="1"/>
  <c r="BH417" i="18" s="1"/>
  <c r="BI417" i="18" s="1"/>
  <c r="BJ417" i="18" s="1"/>
  <c r="BK417" i="18" s="1"/>
  <c r="BL417" i="18" s="1"/>
  <c r="BM417" i="18" s="1"/>
  <c r="BD421" i="18"/>
  <c r="BE421" i="18" s="1"/>
  <c r="BF421" i="18" s="1"/>
  <c r="BG421" i="18" s="1"/>
  <c r="BH421" i="18" s="1"/>
  <c r="BI421" i="18" s="1"/>
  <c r="BJ421" i="18" s="1"/>
  <c r="BK421" i="18" s="1"/>
  <c r="BL421" i="18" s="1"/>
  <c r="BM421" i="18" s="1"/>
  <c r="BC420" i="18"/>
  <c r="BD420" i="18" s="1"/>
  <c r="BE420" i="18" s="1"/>
  <c r="BF420" i="18" s="1"/>
  <c r="BG420" i="18" s="1"/>
  <c r="BH420" i="18" s="1"/>
  <c r="BI420" i="18" s="1"/>
  <c r="BJ420" i="18" s="1"/>
  <c r="BK420" i="18" s="1"/>
  <c r="BL420" i="18" s="1"/>
  <c r="BM420" i="18" s="1"/>
  <c r="AZ416" i="18"/>
  <c r="AZ433" i="18"/>
  <c r="AZ432" i="18"/>
  <c r="BB418" i="18"/>
  <c r="BC418" i="18" s="1"/>
  <c r="BD418" i="18" s="1"/>
  <c r="BE418" i="18" s="1"/>
  <c r="BF418" i="18" s="1"/>
  <c r="BG418" i="18" s="1"/>
  <c r="BH418" i="18" s="1"/>
  <c r="BI418" i="18" s="1"/>
  <c r="BJ418" i="18" s="1"/>
  <c r="BK418" i="18" s="1"/>
  <c r="BL418" i="18" s="1"/>
  <c r="BM418" i="18" s="1"/>
  <c r="AZ417" i="18"/>
  <c r="AZ431" i="18"/>
  <c r="AZ409" i="18"/>
  <c r="AZ405" i="18"/>
  <c r="AZ430" i="18"/>
  <c r="BC419" i="18"/>
  <c r="BD419" i="18" s="1"/>
  <c r="BE419" i="18" s="1"/>
  <c r="BF419" i="18" s="1"/>
  <c r="BG419" i="18" s="1"/>
  <c r="BH419" i="18" s="1"/>
  <c r="BI419" i="18" s="1"/>
  <c r="BJ419" i="18" s="1"/>
  <c r="BK419" i="18" s="1"/>
  <c r="BL419" i="18" s="1"/>
  <c r="BM419" i="18" s="1"/>
  <c r="AZ404" i="18"/>
  <c r="BC439" i="18"/>
  <c r="BD439" i="18" s="1"/>
  <c r="BE439" i="18" s="1"/>
  <c r="BF439" i="18" s="1"/>
  <c r="BG439" i="18" s="1"/>
  <c r="BH439" i="18" s="1"/>
  <c r="BI439" i="18" s="1"/>
  <c r="BJ439" i="18" s="1"/>
  <c r="BK439" i="18" s="1"/>
  <c r="BL439" i="18" s="1"/>
  <c r="BM439" i="18" s="1"/>
  <c r="AZ436" i="18"/>
  <c r="AZ437" i="18"/>
  <c r="AZ425" i="18"/>
  <c r="AZ406" i="18"/>
  <c r="AZ421" i="18"/>
  <c r="AZ426" i="18"/>
  <c r="AZ403" i="18"/>
  <c r="AZ402" i="18"/>
  <c r="BC434" i="18"/>
  <c r="BD434" i="18" s="1"/>
  <c r="BE434" i="18" s="1"/>
  <c r="BF434" i="18" s="1"/>
  <c r="BG434" i="18" s="1"/>
  <c r="BH434" i="18" s="1"/>
  <c r="BI434" i="18" s="1"/>
  <c r="BJ434" i="18" s="1"/>
  <c r="BK434" i="18" s="1"/>
  <c r="BL434" i="18" s="1"/>
  <c r="BM434" i="18" s="1"/>
  <c r="AZ422" i="18"/>
  <c r="AZ420" i="18"/>
  <c r="AZ424" i="18"/>
  <c r="BB431" i="18"/>
  <c r="BC431" i="18" s="1"/>
  <c r="BD431" i="18" s="1"/>
  <c r="BE431" i="18" s="1"/>
  <c r="BF431" i="18" s="1"/>
  <c r="BG431" i="18" s="1"/>
  <c r="BH431" i="18" s="1"/>
  <c r="BI431" i="18" s="1"/>
  <c r="BJ431" i="18" s="1"/>
  <c r="BK431" i="18" s="1"/>
  <c r="BL431" i="18" s="1"/>
  <c r="BM431" i="18" s="1"/>
  <c r="BB422" i="18"/>
  <c r="BC422" i="18" s="1"/>
  <c r="BD422" i="18" s="1"/>
  <c r="BE422" i="18" s="1"/>
  <c r="BF422" i="18" s="1"/>
  <c r="BG422" i="18" s="1"/>
  <c r="BH422" i="18" s="1"/>
  <c r="BI422" i="18" s="1"/>
  <c r="BJ422" i="18" s="1"/>
  <c r="BK422" i="18" s="1"/>
  <c r="BL422" i="18" s="1"/>
  <c r="BM422" i="18" s="1"/>
  <c r="AZ429" i="18"/>
  <c r="BC435" i="18"/>
  <c r="BD435" i="18" s="1"/>
  <c r="BE435" i="18" s="1"/>
  <c r="BF435" i="18" s="1"/>
  <c r="BG435" i="18" s="1"/>
  <c r="BH435" i="18" s="1"/>
  <c r="BI435" i="18" s="1"/>
  <c r="BJ435" i="18" s="1"/>
  <c r="BK435" i="18" s="1"/>
  <c r="BL435" i="18" s="1"/>
  <c r="BM435" i="18" s="1"/>
  <c r="AZ413" i="18"/>
  <c r="AZ423" i="18"/>
  <c r="BC403" i="18"/>
  <c r="BD403" i="18" s="1"/>
  <c r="BE403" i="18" s="1"/>
  <c r="BF403" i="18" s="1"/>
  <c r="BG403" i="18" s="1"/>
  <c r="BH403" i="18" s="1"/>
  <c r="BI403" i="18" s="1"/>
  <c r="BJ403" i="18" s="1"/>
  <c r="BK403" i="18" s="1"/>
  <c r="BL403" i="18" s="1"/>
  <c r="BM403" i="18" s="1"/>
  <c r="BC410" i="18"/>
  <c r="BD410" i="18" s="1"/>
  <c r="BE410" i="18" s="1"/>
  <c r="BF410" i="18" s="1"/>
  <c r="BG410" i="18" s="1"/>
  <c r="BH410" i="18" s="1"/>
  <c r="BI410" i="18" s="1"/>
  <c r="BJ410" i="18" s="1"/>
  <c r="BK410" i="18" s="1"/>
  <c r="BL410" i="18" s="1"/>
  <c r="BM410" i="18" s="1"/>
  <c r="AZ438" i="18"/>
  <c r="BB426" i="18"/>
  <c r="BC426" i="18" s="1"/>
  <c r="BD426" i="18" s="1"/>
  <c r="BE426" i="18" s="1"/>
  <c r="BF426" i="18" s="1"/>
  <c r="BG426" i="18" s="1"/>
  <c r="BH426" i="18" s="1"/>
  <c r="BI426" i="18" s="1"/>
  <c r="BJ426" i="18" s="1"/>
  <c r="BK426" i="18" s="1"/>
  <c r="BL426" i="18" s="1"/>
  <c r="BM426" i="18" s="1"/>
  <c r="BC414" i="18"/>
  <c r="BD414" i="18" s="1"/>
  <c r="BE414" i="18" s="1"/>
  <c r="BF414" i="18" s="1"/>
  <c r="BG414" i="18" s="1"/>
  <c r="BH414" i="18" s="1"/>
  <c r="BI414" i="18" s="1"/>
  <c r="BJ414" i="18" s="1"/>
  <c r="BK414" i="18" s="1"/>
  <c r="BL414" i="18" s="1"/>
  <c r="BM414" i="18" s="1"/>
  <c r="AZ415" i="18"/>
  <c r="AZ408" i="18"/>
  <c r="AZ414" i="18"/>
  <c r="BB423" i="18"/>
  <c r="BC423" i="18" s="1"/>
  <c r="BD423" i="18" s="1"/>
  <c r="BE423" i="18" s="1"/>
  <c r="BF423" i="18" s="1"/>
  <c r="BG423" i="18" s="1"/>
  <c r="BH423" i="18" s="1"/>
  <c r="BI423" i="18" s="1"/>
  <c r="BJ423" i="18" s="1"/>
  <c r="BK423" i="18" s="1"/>
  <c r="BL423" i="18" s="1"/>
  <c r="BM423" i="18" s="1"/>
  <c r="AZ427" i="18"/>
  <c r="AZ434" i="18"/>
  <c r="BC407" i="18"/>
  <c r="BD407" i="18" s="1"/>
  <c r="BE407" i="18" s="1"/>
  <c r="BF407" i="18" s="1"/>
  <c r="BG407" i="18" s="1"/>
  <c r="BH407" i="18" s="1"/>
  <c r="BI407" i="18" s="1"/>
  <c r="BJ407" i="18" s="1"/>
  <c r="BK407" i="18" s="1"/>
  <c r="BL407" i="18" s="1"/>
  <c r="BM407" i="18" s="1"/>
  <c r="AZ411" i="18"/>
  <c r="BB438" i="18"/>
  <c r="BC438" i="18" s="1"/>
  <c r="BD438" i="18" s="1"/>
  <c r="BE438" i="18" s="1"/>
  <c r="BF438" i="18" s="1"/>
  <c r="BG438" i="18" s="1"/>
  <c r="BH438" i="18" s="1"/>
  <c r="BI438" i="18" s="1"/>
  <c r="BJ438" i="18" s="1"/>
  <c r="BK438" i="18" s="1"/>
  <c r="BL438" i="18" s="1"/>
  <c r="BM438" i="18" s="1"/>
  <c r="AZ439" i="18"/>
  <c r="AZ428" i="18"/>
  <c r="BB430" i="18"/>
  <c r="BC430" i="18" s="1"/>
  <c r="BD430" i="18" s="1"/>
  <c r="BE430" i="18" s="1"/>
  <c r="BF430" i="18" s="1"/>
  <c r="BG430" i="18" s="1"/>
  <c r="BH430" i="18" s="1"/>
  <c r="BI430" i="18" s="1"/>
  <c r="BJ430" i="18" s="1"/>
  <c r="BK430" i="18" s="1"/>
  <c r="BL430" i="18" s="1"/>
  <c r="BM430" i="18" s="1"/>
  <c r="AZ410" i="18"/>
  <c r="AZ407" i="18"/>
  <c r="AZ412" i="18"/>
  <c r="K68" i="11" l="1"/>
  <c r="K67" i="11"/>
  <c r="K66" i="11"/>
  <c r="K65" i="11"/>
  <c r="K64" i="11"/>
  <c r="K63" i="11"/>
  <c r="K62" i="11"/>
  <c r="K61" i="11"/>
  <c r="K60" i="11"/>
  <c r="K5" i="11"/>
  <c r="K4" i="11"/>
  <c r="K3" i="11"/>
  <c r="K2" i="11"/>
  <c r="K59" i="11"/>
  <c r="K58" i="11"/>
  <c r="K51" i="11"/>
  <c r="K47" i="11"/>
  <c r="K57" i="11"/>
  <c r="K50" i="11"/>
  <c r="K56" i="11"/>
  <c r="K46" i="11"/>
  <c r="K55" i="11"/>
  <c r="K49" i="11"/>
  <c r="K54" i="11"/>
  <c r="K53" i="11"/>
  <c r="K52" i="11"/>
  <c r="K48" i="11"/>
  <c r="K45" i="11"/>
  <c r="K43" i="11"/>
  <c r="K42" i="11"/>
  <c r="K44" i="11"/>
  <c r="K41" i="11"/>
  <c r="K40" i="11"/>
  <c r="K39" i="11"/>
  <c r="K31" i="11"/>
  <c r="K38" i="11"/>
  <c r="K37" i="11"/>
  <c r="K36" i="11"/>
  <c r="K35" i="11"/>
  <c r="K34" i="11"/>
  <c r="K33" i="11"/>
  <c r="K32" i="11"/>
  <c r="K30" i="11"/>
  <c r="K29" i="11"/>
  <c r="K28" i="11"/>
  <c r="K27" i="11"/>
  <c r="K26" i="11"/>
  <c r="K25" i="11"/>
  <c r="K24" i="11"/>
  <c r="K23" i="11"/>
  <c r="K17" i="11"/>
  <c r="K12" i="11"/>
  <c r="K11" i="11"/>
  <c r="K22" i="11"/>
  <c r="K21" i="11"/>
  <c r="K16" i="11"/>
  <c r="K10" i="11"/>
  <c r="K20" i="11"/>
  <c r="K15" i="11"/>
  <c r="K9" i="11"/>
  <c r="K19" i="11"/>
  <c r="K14" i="11"/>
  <c r="K8" i="11"/>
  <c r="K7" i="11"/>
  <c r="K18" i="11"/>
  <c r="K13" i="11"/>
  <c r="K6" i="11"/>
  <c r="J68" i="11"/>
  <c r="J67" i="11"/>
  <c r="J66" i="11"/>
  <c r="J65" i="11"/>
  <c r="J64" i="11"/>
  <c r="J63" i="11"/>
  <c r="J62" i="11"/>
  <c r="J61" i="11"/>
  <c r="J60" i="11"/>
  <c r="J5" i="11"/>
  <c r="J4" i="11"/>
  <c r="J3" i="11"/>
  <c r="J2" i="11"/>
  <c r="J59" i="11"/>
  <c r="J58" i="11"/>
  <c r="J51" i="11"/>
  <c r="J47" i="11"/>
  <c r="J57" i="11"/>
  <c r="J50" i="11"/>
  <c r="J56" i="11"/>
  <c r="J46" i="11"/>
  <c r="J55" i="11"/>
  <c r="J49" i="11"/>
  <c r="J54" i="11"/>
  <c r="J53" i="11"/>
  <c r="J52" i="11"/>
  <c r="J48" i="11"/>
  <c r="J45" i="11"/>
  <c r="J43" i="11"/>
  <c r="J42" i="11"/>
  <c r="J44" i="11"/>
  <c r="J41" i="11"/>
  <c r="J40" i="11"/>
  <c r="J39" i="11"/>
  <c r="J31" i="11"/>
  <c r="J38" i="11"/>
  <c r="J37" i="11"/>
  <c r="J36" i="11"/>
  <c r="J35" i="11"/>
  <c r="J34" i="11"/>
  <c r="J33" i="11"/>
  <c r="J32" i="11"/>
  <c r="J30" i="11"/>
  <c r="J29" i="11"/>
  <c r="J28" i="11"/>
  <c r="J27" i="11"/>
  <c r="J26" i="11"/>
  <c r="J25" i="11"/>
  <c r="J24" i="11"/>
  <c r="J23" i="11"/>
  <c r="J17" i="11"/>
  <c r="J12" i="11"/>
  <c r="J11" i="11"/>
  <c r="J22" i="11"/>
  <c r="J21" i="11"/>
  <c r="J16" i="11"/>
  <c r="J10" i="11"/>
  <c r="J20" i="11"/>
  <c r="J15" i="11"/>
  <c r="J9" i="11"/>
  <c r="J19" i="11"/>
  <c r="J14" i="11"/>
  <c r="J8" i="11"/>
  <c r="J7" i="11"/>
  <c r="J18" i="11"/>
  <c r="J13" i="11"/>
  <c r="J6" i="11"/>
</calcChain>
</file>

<file path=xl/sharedStrings.xml><?xml version="1.0" encoding="utf-8"?>
<sst xmlns="http://schemas.openxmlformats.org/spreadsheetml/2006/main" count="9385" uniqueCount="1708">
  <si>
    <t>Tên Cost Center</t>
  </si>
  <si>
    <t>Mã Cost Center</t>
  </si>
  <si>
    <t>Working condition</t>
  </si>
  <si>
    <t>Quality improvement</t>
  </si>
  <si>
    <t>Main machine and Anciliary Equipment</t>
  </si>
  <si>
    <t>Maintenance equipment</t>
  </si>
  <si>
    <t>Productivity improvement</t>
  </si>
  <si>
    <t>Mold for New product</t>
  </si>
  <si>
    <t>Mold for Replacing, overhaul…</t>
  </si>
  <si>
    <t>System IT</t>
  </si>
  <si>
    <t>Safety/Environment</t>
  </si>
  <si>
    <t>Cost Improvement</t>
  </si>
  <si>
    <t>Others</t>
  </si>
  <si>
    <t>Loại tài sản</t>
  </si>
  <si>
    <t>Điều kiện làm việc</t>
  </si>
  <si>
    <t>Khác</t>
  </si>
  <si>
    <t>Cải tiến chất lượng</t>
  </si>
  <si>
    <t>Máy chính và thiết bị phụ trợ</t>
  </si>
  <si>
    <t>Thiết bị bảo trì</t>
  </si>
  <si>
    <t>Cải tiến năng suất</t>
  </si>
  <si>
    <t>Khuôn cho sản phẩm mới</t>
  </si>
  <si>
    <t>Khuôn thay thế, đại tu…</t>
  </si>
  <si>
    <t>Hệ thống CNTT</t>
  </si>
  <si>
    <t>An toàn/Môi trường</t>
  </si>
  <si>
    <t>Nâng cao hiệu quả chi phí</t>
  </si>
  <si>
    <t>Add</t>
  </si>
  <si>
    <t>Replace</t>
  </si>
  <si>
    <t>Overhaul</t>
  </si>
  <si>
    <t>Purpose</t>
  </si>
  <si>
    <t>Mục đích</t>
  </si>
  <si>
    <t>Mới</t>
  </si>
  <si>
    <t>Thay thế</t>
  </si>
  <si>
    <t>Đại tu</t>
  </si>
  <si>
    <t>1001101000</t>
  </si>
  <si>
    <t>1001102000</t>
  </si>
  <si>
    <t>1001201000</t>
  </si>
  <si>
    <t>1001202000</t>
  </si>
  <si>
    <t>1001202001</t>
  </si>
  <si>
    <t>1001203000</t>
  </si>
  <si>
    <t>1001300000</t>
  </si>
  <si>
    <t>1001400000</t>
  </si>
  <si>
    <t>1001404000</t>
  </si>
  <si>
    <t>1001405000</t>
  </si>
  <si>
    <t>1001601100</t>
  </si>
  <si>
    <t>1001601200</t>
  </si>
  <si>
    <t>1001601300</t>
  </si>
  <si>
    <t>1001601400</t>
  </si>
  <si>
    <t>1001601500</t>
  </si>
  <si>
    <t>1001602000</t>
  </si>
  <si>
    <t>1001602018</t>
  </si>
  <si>
    <t>1001602019</t>
  </si>
  <si>
    <t>1001602101</t>
  </si>
  <si>
    <t>1001602102</t>
  </si>
  <si>
    <t>1001602103</t>
  </si>
  <si>
    <t>1001602104</t>
  </si>
  <si>
    <t>1001602105</t>
  </si>
  <si>
    <t>1001602106</t>
  </si>
  <si>
    <t>1001602107</t>
  </si>
  <si>
    <t>1001602108</t>
  </si>
  <si>
    <t>1001602109</t>
  </si>
  <si>
    <t>1001602110</t>
  </si>
  <si>
    <t>1001602111</t>
  </si>
  <si>
    <t>1001602112</t>
  </si>
  <si>
    <t>1001602113</t>
  </si>
  <si>
    <t>1001602114</t>
  </si>
  <si>
    <t>1001602115</t>
  </si>
  <si>
    <t>1001602116</t>
  </si>
  <si>
    <t>1001602117</t>
  </si>
  <si>
    <t>1001602118</t>
  </si>
  <si>
    <t>1001602119</t>
  </si>
  <si>
    <t>1001602120</t>
  </si>
  <si>
    <t>1001602121</t>
  </si>
  <si>
    <t>1001602122</t>
  </si>
  <si>
    <t>1001602123</t>
  </si>
  <si>
    <t>1001602124</t>
  </si>
  <si>
    <t>1001602125</t>
  </si>
  <si>
    <t>1001602126</t>
  </si>
  <si>
    <t>1001602127</t>
  </si>
  <si>
    <t>1001602128</t>
  </si>
  <si>
    <t>1001602129</t>
  </si>
  <si>
    <t>1001602130</t>
  </si>
  <si>
    <t>1001602131</t>
  </si>
  <si>
    <t>1001602132</t>
  </si>
  <si>
    <t>1001602133</t>
  </si>
  <si>
    <t>1001602134</t>
  </si>
  <si>
    <t>1001602135</t>
  </si>
  <si>
    <t>1001602136</t>
  </si>
  <si>
    <t>1001602137</t>
  </si>
  <si>
    <t>1001603000</t>
  </si>
  <si>
    <t>1001604000</t>
  </si>
  <si>
    <t>1001605000</t>
  </si>
  <si>
    <t>1001606000</t>
  </si>
  <si>
    <t>1001607000</t>
  </si>
  <si>
    <t>1001608000</t>
  </si>
  <si>
    <t>1001602138</t>
  </si>
  <si>
    <t>1001602139</t>
  </si>
  <si>
    <t>1001602140</t>
  </si>
  <si>
    <t>1001602141</t>
  </si>
  <si>
    <t>1001602142</t>
  </si>
  <si>
    <t>1001602143</t>
  </si>
  <si>
    <t>1001602144</t>
  </si>
  <si>
    <t>1001602145</t>
  </si>
  <si>
    <t>1001103000</t>
  </si>
  <si>
    <t>1001204000</t>
  </si>
  <si>
    <t>1001205000</t>
  </si>
  <si>
    <t>1001602146</t>
  </si>
  <si>
    <t>1001602147</t>
  </si>
  <si>
    <t>1001609000</t>
  </si>
  <si>
    <t>Ban giám đốc</t>
  </si>
  <si>
    <t>Ban dự án XDCB</t>
  </si>
  <si>
    <t>Văn phòng giám đốc</t>
  </si>
  <si>
    <t>Hành chánh nhân sự</t>
  </si>
  <si>
    <t>Đội xe đưa rước CNV</t>
  </si>
  <si>
    <t>Kế toán</t>
  </si>
  <si>
    <t>Marketing</t>
  </si>
  <si>
    <t>Kinh doanh</t>
  </si>
  <si>
    <t>Cung ứng</t>
  </si>
  <si>
    <t>Phòng mua XNK</t>
  </si>
  <si>
    <t>Khối SX - Ban Quản đốc</t>
  </si>
  <si>
    <t>Khối SX - Kế hoạch</t>
  </si>
  <si>
    <t>Kỹ thuật</t>
  </si>
  <si>
    <t>Kiểm soát chất lượng</t>
  </si>
  <si>
    <t>Nghiên Cứu &amp; Phát Triển</t>
  </si>
  <si>
    <t>Xưởng sản xuất PET</t>
  </si>
  <si>
    <t>máy tách màu taiho 3</t>
  </si>
  <si>
    <t>Máy trộn hạt nhựa rPET 2</t>
  </si>
  <si>
    <t>Chuyền máy tạo vảy PET CW+Tomra</t>
  </si>
  <si>
    <t>Máy tạo hạt PET HTL+máy kết tinh TKN</t>
  </si>
  <si>
    <t>Máy tạo hạt HDPE - YE I + tách màu Taiho</t>
  </si>
  <si>
    <t>Máy tạo hạt PET Starlinger</t>
  </si>
  <si>
    <t>Chuyền nâng IV hạt rPET -SSP01</t>
  </si>
  <si>
    <t>Máy tạo vảy - Carno</t>
  </si>
  <si>
    <t>Máy Tách màu Taiho + máy trộn MI</t>
  </si>
  <si>
    <t>Máy trộn hạt nhựa rPET</t>
  </si>
  <si>
    <t>Máy NGR - HD02</t>
  </si>
  <si>
    <t>Máy Polistar - HD03</t>
  </si>
  <si>
    <t>Chuyền băm chai PET</t>
  </si>
  <si>
    <t>Máy tạo hạt PET 03 Starlinger 2</t>
  </si>
  <si>
    <t>Chuyền băm chai PET Active</t>
  </si>
  <si>
    <t>Chuyền rửa vảy PET  số 2</t>
  </si>
  <si>
    <t>Chuyền băm chai PET số 2</t>
  </si>
  <si>
    <t>Máy trộn hạt nhựa rHDPE</t>
  </si>
  <si>
    <t>Máy Tách màu Taiho + chuyền rửa lạnh F4</t>
  </si>
  <si>
    <t>máy tách màu taiho</t>
  </si>
  <si>
    <t>Máy trộn hạt nhựa rPET 3</t>
  </si>
  <si>
    <t>Chuyền băm chai PET số 3 (Boretech)</t>
  </si>
  <si>
    <t>Chuyền rửa vảy PET số 3 ( Boretech)</t>
  </si>
  <si>
    <t>Chuyền băm rửa PP Moogetech</t>
  </si>
  <si>
    <t>Chuyền tạo hạt rPP hiệu YE I</t>
  </si>
  <si>
    <t>Chuyền tạo sơ sợi rPET YE I</t>
  </si>
  <si>
    <t>Nhân công xử lý hàng</t>
  </si>
  <si>
    <t>Máy trộn hạt nhựa rPP</t>
  </si>
  <si>
    <t>Máy Tách màu Taiho 3</t>
  </si>
  <si>
    <t>Băng tải kiểm vảy đầu vào</t>
  </si>
  <si>
    <t>Chuyền tạo hạt rPET starlinger 330</t>
  </si>
  <si>
    <t>Chuyền nâng IV hạt rPET -SSP02</t>
  </si>
  <si>
    <t>Chuyền tách nhãn Lavie LABR-01</t>
  </si>
  <si>
    <t>Bồn trộn 500K PP - MIX05</t>
  </si>
  <si>
    <t>Máy tạo hạt JWELL</t>
  </si>
  <si>
    <t>Máy Tách màu Taiho Moogetech F4</t>
  </si>
  <si>
    <t>Máy Vắt bụi cám</t>
  </si>
  <si>
    <t>Máy Sàn rung</t>
  </si>
  <si>
    <t>Máy tách hạt Meyer - MEYE-01</t>
  </si>
  <si>
    <t>Khối SX - Xưởng 1</t>
  </si>
  <si>
    <t>Khối SX - Xưởng 2</t>
  </si>
  <si>
    <t>Khối SX - Xưởng 4</t>
  </si>
  <si>
    <t>Xưởng sản xuất HDPE</t>
  </si>
  <si>
    <t>Kho</t>
  </si>
  <si>
    <t>Xưởng sản xuất PP</t>
  </si>
  <si>
    <t>Chuyền SX rPET Full Line 2 - rPET-2</t>
  </si>
  <si>
    <t>Máy Trộn PET 10 Tấn MIX-06</t>
  </si>
  <si>
    <t>Máy Trộn PET 10 Tấn MIX-07</t>
  </si>
  <si>
    <t>Máy Tách Nhãn Chai LABR-02</t>
  </si>
  <si>
    <t>Máy Tách Kim Loại Fushon 01 FUSH-01</t>
  </si>
  <si>
    <t>Máy Trộn PP/HD 15 Tấn MIX-08</t>
  </si>
  <si>
    <t>Chuyền Rửa Vảy PET BORE-R02</t>
  </si>
  <si>
    <t>Máy Sàn rung PP</t>
  </si>
  <si>
    <t>Ban tổng giám đốc</t>
  </si>
  <si>
    <t>Tổ 5S &amp; an toàn</t>
  </si>
  <si>
    <t>Tổ Quản Trị Hệ Thống</t>
  </si>
  <si>
    <t>Máy Sấy Khử Mùi HDPE PIOV-01</t>
  </si>
  <si>
    <t>Máy Trộn PET Piovan 22 Tấn MIX-09</t>
  </si>
  <si>
    <t>Tư Vấn Dịch Vụ</t>
  </si>
  <si>
    <t>Phòng ban</t>
  </si>
  <si>
    <t>Mua hàng-XNK</t>
  </si>
  <si>
    <t>Kế hoạch</t>
  </si>
  <si>
    <t>Sản xuất</t>
  </si>
  <si>
    <t>R&amp;D</t>
  </si>
  <si>
    <t>QLCL</t>
  </si>
  <si>
    <t>Văn phòng GĐ</t>
  </si>
  <si>
    <t>Kế toán tài chính</t>
  </si>
  <si>
    <t>Kế toán quản trị</t>
  </si>
  <si>
    <t>Xuất khẩu</t>
  </si>
  <si>
    <t>Nội địa</t>
  </si>
  <si>
    <t>XK/NĐ</t>
  </si>
  <si>
    <t>Khả năng đầu tư</t>
  </si>
  <si>
    <t>Tổng giám đốc</t>
  </si>
  <si>
    <t>Nhà cửa, vật kiến trúc - SX 627</t>
  </si>
  <si>
    <t>Nhà cửa, vật kiến trúc - BH 641</t>
  </si>
  <si>
    <t>Nhà cửa, vật kiến trúc - QL 642</t>
  </si>
  <si>
    <t>Máy móc, thiết bị phụ - SX 627</t>
  </si>
  <si>
    <t>Máy móc, thiết bị - SX 627</t>
  </si>
  <si>
    <t>Máy móc, thiết bị - BH 641</t>
  </si>
  <si>
    <t>Máy móc, thiết bị - QL 642</t>
  </si>
  <si>
    <t>Phương tiện vận tải , truyền dẫn - SX 627</t>
  </si>
  <si>
    <t>Phương tiện vận tải , truyền dẫn - BH 641</t>
  </si>
  <si>
    <t>Phương tiện vận tải , truyền dẫn - QL 642</t>
  </si>
  <si>
    <t>Thiết bị, dụng cụ quản lý - SX 627</t>
  </si>
  <si>
    <t>Thiết bị, dụng cụ quản lý - BH 641</t>
  </si>
  <si>
    <t>Thiết bị, dụng cụ quản lý - QL 642</t>
  </si>
  <si>
    <t>Cây lâu năm, súc vật làm việc và cho sản phẩm - QL 642</t>
  </si>
  <si>
    <t>Khuôn các loại - SX 627</t>
  </si>
  <si>
    <t>TSCĐ khác - SX 627</t>
  </si>
  <si>
    <t>TSCĐ khác - BH 641</t>
  </si>
  <si>
    <t>TSCĐ khác - QL 642</t>
  </si>
  <si>
    <t>Quyền sử dụng đất - SX 627</t>
  </si>
  <si>
    <t>Quyền sử dụng đất - BH 641</t>
  </si>
  <si>
    <t>Quyền sử dụng đất - QL 642</t>
  </si>
  <si>
    <t>Quyền phát hành - QL 642</t>
  </si>
  <si>
    <t>Bản quyền, bằng sáng chế - QL 642</t>
  </si>
  <si>
    <t>Nhãn hiệu hàng hóa - BH 641</t>
  </si>
  <si>
    <t>Nhãn hiệu hàng hóa - QL 642</t>
  </si>
  <si>
    <t>Phần mềm máy vi tính - SX 627</t>
  </si>
  <si>
    <t>Phần mềm máy vi tính - BH 641</t>
  </si>
  <si>
    <t>Phần mềm máy vi tính - QL 642</t>
  </si>
  <si>
    <t>Giấy phép và giấy phép nhượng quyền - QL 642</t>
  </si>
  <si>
    <t>TSCĐ vô hình khác - SX 627</t>
  </si>
  <si>
    <t>TSCĐ vô hình khác - BH 641</t>
  </si>
  <si>
    <t>TSCĐ vô hình khác - QL 642</t>
  </si>
  <si>
    <t>Nhóm tài sản</t>
  </si>
  <si>
    <t>Tư vấn dịch vụ</t>
  </si>
  <si>
    <t>Asset Type</t>
  </si>
  <si>
    <t xml:space="preserve">&lt;&lt;Thêm dòng mới trên dòng này&gt;&gt;  </t>
  </si>
  <si>
    <t>TSCĐHH/TSCĐVH</t>
  </si>
  <si>
    <t>Tài sản cố định vô hình</t>
  </si>
  <si>
    <t>Công ty CP Nhựa Tái Chế Duy Tân</t>
  </si>
  <si>
    <t>KẾ HOẠCH NGÂN SÁCH 2026</t>
  </si>
  <si>
    <t>Phòng ban:</t>
  </si>
  <si>
    <t>…</t>
  </si>
  <si>
    <t>Đại Lộc</t>
  </si>
  <si>
    <t>Đồng Lâm</t>
  </si>
  <si>
    <t>Khánh Nga</t>
  </si>
  <si>
    <t>Tân Đại Phát</t>
  </si>
  <si>
    <t>Work center</t>
  </si>
  <si>
    <t>CHWO-R01</t>
  </si>
  <si>
    <t>OSAK-01</t>
  </si>
  <si>
    <t>YEHD-01</t>
  </si>
  <si>
    <t>STAR-01</t>
  </si>
  <si>
    <t>SSP-01</t>
  </si>
  <si>
    <t>CARN-01 | CARN-02 | CARN-03 | CARN-04</t>
  </si>
  <si>
    <t>TAIH-01</t>
  </si>
  <si>
    <t>MIX-01</t>
  </si>
  <si>
    <t>NGR-01</t>
  </si>
  <si>
    <t>POLY-01</t>
  </si>
  <si>
    <t>CHWO-B01</t>
  </si>
  <si>
    <t>PET04 | STAR-02</t>
  </si>
  <si>
    <t>ACTI-B01</t>
  </si>
  <si>
    <t>CHWO-R02</t>
  </si>
  <si>
    <t>CHWO-B02</t>
  </si>
  <si>
    <t>MIX-02</t>
  </si>
  <si>
    <t>ACTI-R01</t>
  </si>
  <si>
    <t>TAIH-02</t>
  </si>
  <si>
    <t>MIX-03</t>
  </si>
  <si>
    <t>BORE-B01</t>
  </si>
  <si>
    <t>BORE-R01</t>
  </si>
  <si>
    <t>MOOG-B01 | MOOG-R01</t>
  </si>
  <si>
    <t>YEPP-01 | YEPP-02</t>
  </si>
  <si>
    <t>YPET-01</t>
  </si>
  <si>
    <t>NC-TC</t>
  </si>
  <si>
    <t>MIX-04</t>
  </si>
  <si>
    <t>TAIH-03</t>
  </si>
  <si>
    <t>BTQC 01 | BTQC 02 | BTQC 03 | BTQC 04</t>
  </si>
  <si>
    <t>STAR-03</t>
  </si>
  <si>
    <t>SSP-02</t>
  </si>
  <si>
    <t>MIX-05</t>
  </si>
  <si>
    <t>JWELL</t>
  </si>
  <si>
    <t>TAIH-04</t>
  </si>
  <si>
    <t>VATC-01</t>
  </si>
  <si>
    <t>SANV-01</t>
  </si>
  <si>
    <t>MEYE-01</t>
  </si>
  <si>
    <t>RPET-2</t>
  </si>
  <si>
    <t>MIX-06</t>
  </si>
  <si>
    <t>MIX-07</t>
  </si>
  <si>
    <t>LABR-02</t>
  </si>
  <si>
    <t>FUSH-01</t>
  </si>
  <si>
    <t>MIX-08</t>
  </si>
  <si>
    <t>BORE-R02</t>
  </si>
  <si>
    <t>SANV-02</t>
  </si>
  <si>
    <t>PIOV-01</t>
  </si>
  <si>
    <t>MIX-09</t>
  </si>
  <si>
    <t>Mã tài sản</t>
  </si>
  <si>
    <t>Tên tài sản</t>
  </si>
  <si>
    <t>Cost center</t>
  </si>
  <si>
    <t>cthuc</t>
  </si>
  <si>
    <t>Thời gian kết thúc khấu hao</t>
  </si>
  <si>
    <t>Nguyên giá</t>
  </si>
  <si>
    <t>KH lũy kế</t>
  </si>
  <si>
    <t>Giá trị còn lại 30/09/25</t>
  </si>
  <si>
    <t>KH_2510</t>
  </si>
  <si>
    <t>KH_2511</t>
  </si>
  <si>
    <t>KH_2512</t>
  </si>
  <si>
    <t>Giá trị còn lại 31/12/25</t>
  </si>
  <si>
    <t>KH_2612</t>
  </si>
  <si>
    <t>KH_2601</t>
  </si>
  <si>
    <t>KH_2602</t>
  </si>
  <si>
    <t>KH_2603</t>
  </si>
  <si>
    <t>KH_2604</t>
  </si>
  <si>
    <t>KH_2605</t>
  </si>
  <si>
    <t>KH_2606</t>
  </si>
  <si>
    <t>KH_2607</t>
  </si>
  <si>
    <t>KH_2608</t>
  </si>
  <si>
    <t>KH_2609</t>
  </si>
  <si>
    <t>KH_2610</t>
  </si>
  <si>
    <t>KH_2611</t>
  </si>
  <si>
    <t>KH LK 2026</t>
  </si>
  <si>
    <t>Giá trị còn lại 31/12/26</t>
  </si>
  <si>
    <t>X</t>
  </si>
  <si>
    <t>Tên Nhóm tài sản</t>
  </si>
  <si>
    <t>Ngày bắt đầu KH</t>
  </si>
  <si>
    <t>Z21110P</t>
  </si>
  <si>
    <t>101000018</t>
  </si>
  <si>
    <t>TC Lắp vít tải phân loại vảy đầu vào</t>
  </si>
  <si>
    <t>TT sở hữu</t>
  </si>
  <si>
    <t>T/G Khấu hao</t>
  </si>
  <si>
    <t>Tài khoản KH</t>
  </si>
  <si>
    <t>Asset Class/ Loại tài sản</t>
  </si>
  <si>
    <t>Description EN/ Mô tả EN</t>
  </si>
  <si>
    <t>Accnt. Determination/ Tài khoản xác định</t>
  </si>
  <si>
    <t>Asset acquisition/ Tăng tài sản</t>
  </si>
  <si>
    <t>Accumulated/ Lũy kế</t>
  </si>
  <si>
    <t>Depreciation Expense/ Chi phí khấu hao</t>
  </si>
  <si>
    <t xml:space="preserve">Gain on Disposal/ Lãi từ việc bán tài sản </t>
  </si>
  <si>
    <t>Loss on Disposal/ Lỗ từ việc bán tài sản.</t>
  </si>
  <si>
    <t>Kiểm tra</t>
  </si>
  <si>
    <t>ok</t>
  </si>
  <si>
    <t>Z21110S</t>
  </si>
  <si>
    <t>Z21110A</t>
  </si>
  <si>
    <t>Z211201P</t>
  </si>
  <si>
    <t>Z21120P</t>
  </si>
  <si>
    <t>Ok</t>
  </si>
  <si>
    <t>Z21120S</t>
  </si>
  <si>
    <t>Z21120A</t>
  </si>
  <si>
    <t>Z21130P</t>
  </si>
  <si>
    <t>Z21130S</t>
  </si>
  <si>
    <t>Z21130A</t>
  </si>
  <si>
    <t>Z21140P</t>
  </si>
  <si>
    <t>Z21140S</t>
  </si>
  <si>
    <t>Z21140A</t>
  </si>
  <si>
    <t>Z21150A</t>
  </si>
  <si>
    <t>Z21170P</t>
  </si>
  <si>
    <t>Z21180P</t>
  </si>
  <si>
    <t>Z21180S</t>
  </si>
  <si>
    <t>Z21180A</t>
  </si>
  <si>
    <t>Z21211P</t>
  </si>
  <si>
    <t>TSCĐ thuê TC: Nhà cửa, vật kiến trúc - SX 627</t>
  </si>
  <si>
    <t>Z21212P</t>
  </si>
  <si>
    <t>TSCĐ thuê TC: Máy móc, thiết bị - SX 627</t>
  </si>
  <si>
    <t>Z21213P</t>
  </si>
  <si>
    <t>TSCĐ thuê TC: Phương tiện vận tải, truyền dẫn - SX 627</t>
  </si>
  <si>
    <t>Z21214P</t>
  </si>
  <si>
    <t>TSCĐ thuê TC: Thiết bị, dụng cụ quản lý - SX 627</t>
  </si>
  <si>
    <t>Z21216P</t>
  </si>
  <si>
    <t>TSCĐ thuê TC: Khuôn các loại - SX 627</t>
  </si>
  <si>
    <t>Z21217P</t>
  </si>
  <si>
    <t>TSCĐ thuê TC: TSCĐ khác - SX 627</t>
  </si>
  <si>
    <t>Z21220P</t>
  </si>
  <si>
    <t>TSCĐ vô hình thuê tài chính - SX 627</t>
  </si>
  <si>
    <t>Z21211S</t>
  </si>
  <si>
    <t>TSCĐ thuê TC: Nhà cửa, vật kiến trúc - BH 641</t>
  </si>
  <si>
    <t>Z21212S</t>
  </si>
  <si>
    <t>TSCĐ thuê TC: Máy móc, thiết bị - BH 641</t>
  </si>
  <si>
    <t>Z21213S</t>
  </si>
  <si>
    <t>TSCĐ thuê TC: Phương tiện vận tải, truyền dẫn - BH 641</t>
  </si>
  <si>
    <t>Z21214S</t>
  </si>
  <si>
    <t>TSCĐ thuê TC: Thiết bị, dụng cụ quản lý - BH 641</t>
  </si>
  <si>
    <t>Z21217S</t>
  </si>
  <si>
    <t>TSCĐ thuê TC: TSCĐ khác - BH 641</t>
  </si>
  <si>
    <t>Z21220S</t>
  </si>
  <si>
    <t>TSCĐ vô hình thuê tài chính - BH 641</t>
  </si>
  <si>
    <t>Z21211A</t>
  </si>
  <si>
    <t>TSCĐ thuê TC: Nhà cửa, vật kiến trúc - QL 642</t>
  </si>
  <si>
    <t>Z212121P</t>
  </si>
  <si>
    <t>TSCĐ thuê TC: Máy móc, thiết bị phụ- SX 627</t>
  </si>
  <si>
    <t>Z21212A</t>
  </si>
  <si>
    <t>TSCĐ thuê TC: Máy móc, thiết bị - QL 642</t>
  </si>
  <si>
    <t>Z21213A</t>
  </si>
  <si>
    <t>TSCĐ thuê TC: Phương tiện vận tải, truyền dẫn - QL 642</t>
  </si>
  <si>
    <t>Z21214A</t>
  </si>
  <si>
    <t>TSCĐ thuê TC: Thiết bị, dụng cụ quản lý - QL 642</t>
  </si>
  <si>
    <t>Z21215A</t>
  </si>
  <si>
    <t>TSCĐ thuê TC: Cây lâu năm, súc vật làm việc&amp;cho SP - QL 642</t>
  </si>
  <si>
    <t>N/A</t>
  </si>
  <si>
    <t>Z21217A</t>
  </si>
  <si>
    <t>TSCĐ thuê TC: TSCĐ khác - QL 642</t>
  </si>
  <si>
    <t>Z21220A</t>
  </si>
  <si>
    <t>TSCĐ vô hình thuê tài chính - QL 642</t>
  </si>
  <si>
    <t>Z21310P</t>
  </si>
  <si>
    <t>Z21310S</t>
  </si>
  <si>
    <t>OK</t>
  </si>
  <si>
    <t>Z21310A</t>
  </si>
  <si>
    <t>Z21320A</t>
  </si>
  <si>
    <t>Z21330A</t>
  </si>
  <si>
    <t>Z21340S</t>
  </si>
  <si>
    <t>Z21340A</t>
  </si>
  <si>
    <t>Z21350P</t>
  </si>
  <si>
    <t>Z21350A</t>
  </si>
  <si>
    <t>Z21350S</t>
  </si>
  <si>
    <t>Z21360A</t>
  </si>
  <si>
    <t>Z21380P</t>
  </si>
  <si>
    <t>Z21380A</t>
  </si>
  <si>
    <t>Z21380S</t>
  </si>
  <si>
    <t>Z21700A</t>
  </si>
  <si>
    <t>Bất động sản đầu tư - QL 642</t>
  </si>
  <si>
    <t>Z15319P</t>
  </si>
  <si>
    <t>Công cụ, dụng cụ cho SX</t>
  </si>
  <si>
    <t>Z15300P</t>
  </si>
  <si>
    <t>Z15319S</t>
  </si>
  <si>
    <t>Công cụ, dụng cụ cho BH</t>
  </si>
  <si>
    <t>Z15300A</t>
  </si>
  <si>
    <t>Z15319A</t>
  </si>
  <si>
    <t>Công cụ, dụng cụ cho QL</t>
  </si>
  <si>
    <t>Z15300S</t>
  </si>
  <si>
    <t>Z15420</t>
  </si>
  <si>
    <t>CPSX Khuôn dở dang</t>
  </si>
  <si>
    <t>Z24110</t>
  </si>
  <si>
    <t>XDCB dở dang: Đầu tư chế tạo TCSĐ</t>
  </si>
  <si>
    <t>Z24120</t>
  </si>
  <si>
    <t>XDCB dở dang: Xây dựng cơ bản</t>
  </si>
  <si>
    <t>Z24130</t>
  </si>
  <si>
    <t>XDCB dở dang: Sửa chữa lớn TSCĐ</t>
  </si>
  <si>
    <t>Z24211P</t>
  </si>
  <si>
    <t>Chi phí trả trước ngắn hạn cho sản xuất - SX 627</t>
  </si>
  <si>
    <t>Chưa dùng</t>
  </si>
  <si>
    <t>Z24212P</t>
  </si>
  <si>
    <t>Chi phí trả trước ngắn hạn cho BP gián tiếp - SX 627</t>
  </si>
  <si>
    <t>Chưa dung</t>
  </si>
  <si>
    <t>Z24212S</t>
  </si>
  <si>
    <t>Chi phí trả trước ngắn hạn cho BP gián tiếp - BH 641</t>
  </si>
  <si>
    <t>Z24212A</t>
  </si>
  <si>
    <t>Chi phí trả trước ngắn hạn cho BP gián tiếp - QL 642</t>
  </si>
  <si>
    <t>Z24213P</t>
  </si>
  <si>
    <t>Chi phí phân bổ CCDC ngắn hạn - SX 627</t>
  </si>
  <si>
    <t>Z24213S</t>
  </si>
  <si>
    <t>Chi phí phân bổ CCDC ngắn hạn - BH 641</t>
  </si>
  <si>
    <t>Z24213A</t>
  </si>
  <si>
    <t>Chi phí phân bổ CCDC ngắn hạn - QL 642</t>
  </si>
  <si>
    <t>Z24221P</t>
  </si>
  <si>
    <t>Chi phí trả trước dài hạn cho sản xuất - SX 627</t>
  </si>
  <si>
    <t>Z24222P</t>
  </si>
  <si>
    <t>Chi phí trả trước dài hạn cho BP gián tiếp - SX 627</t>
  </si>
  <si>
    <t>Z24222S</t>
  </si>
  <si>
    <t>Chi phí trả trước dài hạn cho BP gián tiếp - BH 641</t>
  </si>
  <si>
    <t>Z24222A</t>
  </si>
  <si>
    <t>Chi phí trả trước dài hạn cho BP gián tiếp - QL 642</t>
  </si>
  <si>
    <t>Asset acquisition/ Tăng tài sản_C1</t>
  </si>
  <si>
    <t>Depreciation Expense/ Chi phí khấu hao_C1</t>
  </si>
  <si>
    <t>6273001908</t>
  </si>
  <si>
    <t>6413001908</t>
  </si>
  <si>
    <t>6423001908</t>
  </si>
  <si>
    <t>6424001903</t>
  </si>
  <si>
    <t>6274001901</t>
  </si>
  <si>
    <t>6274001906</t>
  </si>
  <si>
    <t>6274001903</t>
  </si>
  <si>
    <t>6274001905</t>
  </si>
  <si>
    <t>6274001904</t>
  </si>
  <si>
    <t>6274001902</t>
  </si>
  <si>
    <t>6274001909</t>
  </si>
  <si>
    <t>6414001901</t>
  </si>
  <si>
    <t>6414001903</t>
  </si>
  <si>
    <t>6414001905</t>
  </si>
  <si>
    <t>6414001904</t>
  </si>
  <si>
    <t>6414001909</t>
  </si>
  <si>
    <t>6424001901</t>
  </si>
  <si>
    <t>6424001905</t>
  </si>
  <si>
    <t>6424001904</t>
  </si>
  <si>
    <t>6427003702</t>
  </si>
  <si>
    <t>6424001909</t>
  </si>
  <si>
    <t>6274001915</t>
  </si>
  <si>
    <t>6414001915</t>
  </si>
  <si>
    <t>6424001915</t>
  </si>
  <si>
    <t>6274001910</t>
  </si>
  <si>
    <t>6274001907</t>
  </si>
  <si>
    <t>6414001910</t>
  </si>
  <si>
    <t>6414001913</t>
  </si>
  <si>
    <t>6414001907</t>
  </si>
  <si>
    <t>6424001910</t>
  </si>
  <si>
    <t>6424001911</t>
  </si>
  <si>
    <t>6424001912</t>
  </si>
  <si>
    <t>6424001913</t>
  </si>
  <si>
    <t>6424001907</t>
  </si>
  <si>
    <t>6424001914</t>
  </si>
  <si>
    <t>6424001916</t>
  </si>
  <si>
    <t>Công cụ, dụng cụ</t>
  </si>
  <si>
    <t>CPSX dở dang</t>
  </si>
  <si>
    <t>Tài sản cố định</t>
  </si>
  <si>
    <t>TSCĐ thuê tài chính</t>
  </si>
  <si>
    <t>Bất động sản đầu tư</t>
  </si>
  <si>
    <t>XDCB dở dang</t>
  </si>
  <si>
    <t>KHẤU HAO TÀI SẢN CỐ ĐỊNH</t>
  </si>
  <si>
    <t>Điền</t>
  </si>
  <si>
    <t>Cthuc</t>
  </si>
  <si>
    <t>Cthuc (Format âm)</t>
  </si>
  <si>
    <t/>
  </si>
  <si>
    <t>Cửa cổng chính số 02 và 03</t>
  </si>
  <si>
    <t>Đường nước tưới cây xung quanh nhà máy</t>
  </si>
  <si>
    <t>Ốp gạch và trồng cỏ nhà xưởng</t>
  </si>
  <si>
    <t>Thi công các hạng mục xây dựng nhà xưởng</t>
  </si>
  <si>
    <t>Nhà chứa bùn F05</t>
  </si>
  <si>
    <t>Hệ thống giữ xe</t>
  </si>
  <si>
    <t>Khu dock F01</t>
  </si>
  <si>
    <t>Trồng cỏ, cây xung quanh nhà máy</t>
  </si>
  <si>
    <t>Phòng Kế toán kho TĐH</t>
  </si>
  <si>
    <t>Hạ tầng mạng cho 5 chốt chặn</t>
  </si>
  <si>
    <t>Nhà chờ cổng 1</t>
  </si>
  <si>
    <t>Chốt chặn F5</t>
  </si>
  <si>
    <t>Hệ thống làm mát nhà xưởng</t>
  </si>
  <si>
    <t>Phòng thử nghiệm F03</t>
  </si>
  <si>
    <t>Lắp đặt mái bạt xếp giữa F2 và E3</t>
  </si>
  <si>
    <t>Lắp đặt nhôm kính phòng Kỹ Thuật (103000006)</t>
  </si>
  <si>
    <t>Bộ hút AV-3, AV-2, bồn làm mát (PET 01)</t>
  </si>
  <si>
    <t>Bộ hút AV-2 1to2, thùng chứa 200+150L, máy sấy dây</t>
  </si>
  <si>
    <t>Bộ lọc bụi SHINI ACF 8</t>
  </si>
  <si>
    <t>Máy đo cường lực vạn năng, AI-7000M</t>
  </si>
  <si>
    <t>Máy đo bền va đập, GT-7045HMH</t>
  </si>
  <si>
    <t>Máy cắt góc, GT-7016-A3</t>
  </si>
  <si>
    <t>Máy đo HDT/VICAT, HV-3000-P3C</t>
  </si>
  <si>
    <t>Máy đo độ cứng, GS-702N</t>
  </si>
  <si>
    <t>Máy tách kim loại Sesotec</t>
  </si>
  <si>
    <t>Vít tải liệu AF-4600</t>
  </si>
  <si>
    <t>Silo 1000L, Quạt thổi, Phễu chứa liệu, Đường ống</t>
  </si>
  <si>
    <t>Bồn chứa Inox 0,3m3 cân tự động + Thiết bị tủ điện</t>
  </si>
  <si>
    <t>Thiết bị phòng LAB</t>
  </si>
  <si>
    <t>Bồn SILO</t>
  </si>
  <si>
    <t>Máy lựa vảy Tomra (FOS)</t>
  </si>
  <si>
    <t>Tủ điện động lực MSB-1 (3200A)</t>
  </si>
  <si>
    <t>Máy ép kiện (BLR)</t>
  </si>
  <si>
    <t>Lò nước nóng Martech</t>
  </si>
  <si>
    <t>Tháp giải nhiệt LRC-N-200</t>
  </si>
  <si>
    <t>Bàn cân điện tử FWS (1EA1.5m) &amp;(2EA1.2m)</t>
  </si>
  <si>
    <t>Bình nén khí 8000L</t>
  </si>
  <si>
    <t>Máy quấn màng Pallet tự động (Model: MQ1650-B)</t>
  </si>
  <si>
    <t>X-rite Meta Vue VS3200 + Color iQC Basic</t>
  </si>
  <si>
    <t>Tủ hút khí Inox 304 + Bộ xử lý bằng phin lọc + Máy</t>
  </si>
  <si>
    <t>Vít tải liệu cho máy băm Carno</t>
  </si>
  <si>
    <t>Bơm màng 1-1/2 Inch ARO-Inox316. Model:66617B-244-</t>
  </si>
  <si>
    <t>Chiller Cooling Capacity 10 tons 075W</t>
  </si>
  <si>
    <t>Khuôn thẻ nhựa PET</t>
  </si>
  <si>
    <t>Máy đo độ dày chai nhựa</t>
  </si>
  <si>
    <t>Máy đo momen xoắn Nidec Shimpo TNP-10</t>
  </si>
  <si>
    <t>Thiết bị cân xe Mettler Toledo</t>
  </si>
  <si>
    <t>Khuôn đĩa 70mm 4cav k1</t>
  </si>
  <si>
    <t>Khuôn HDPE Labtest 9 chi tiết</t>
  </si>
  <si>
    <t>Máy tách kim loại Sesotec - 2</t>
  </si>
  <si>
    <t>Máy tách kim loại Sesotec - 3</t>
  </si>
  <si>
    <t>Máy tách kim loại Sesotec - 4</t>
  </si>
  <si>
    <t>Hệ thống Silo vảy PET</t>
  </si>
  <si>
    <t>Máy quang phổ cầm tay Trinamix</t>
  </si>
  <si>
    <t>Máy đo độ bền kháng áp chai nhựa Pet</t>
  </si>
  <si>
    <t>Máy kiểm tra nồng độ khí CO2 trong đồ uống</t>
  </si>
  <si>
    <t>Máy phân tích màu quang phổ CM-36DG</t>
  </si>
  <si>
    <t>Khuôn can chiếc lá Akei</t>
  </si>
  <si>
    <t>Mâm chứa nước băng chuyền</t>
  </si>
  <si>
    <t>Máy tách siêu mịn Mice Fine Arc</t>
  </si>
  <si>
    <t>Máy đo chỉ số chảy hạt nhựa model 5000</t>
  </si>
  <si>
    <t>Khuôn Pilot Phôi ren D29/25 P9.5 1cav K1</t>
  </si>
  <si>
    <t>Thiết bị phụ Máy ép JAD 100</t>
  </si>
  <si>
    <t>Máy nén khí Ingersoll Rand (phụ trợ hệ thống cũ)</t>
  </si>
  <si>
    <t>Khuôn Pilot Phôi ren D28 P18 1cav K1</t>
  </si>
  <si>
    <t>Băng tải thay đổi chiều dài</t>
  </si>
  <si>
    <t>MÁY ĐO ĐỘ NHỚT ALPHA L</t>
  </si>
  <si>
    <t>Thiết bị kiểm tra phôi PET- Model: PL-P, AT2E-Pháp</t>
  </si>
  <si>
    <t>Thi công Chuyền máy rửa PP MOOGETECH</t>
  </si>
  <si>
    <t>Máy phát hiện kim loại 25.0000Ltr/hr (F3)</t>
  </si>
  <si>
    <t>TC Trục vít đôi Máy tạo hạt rPP dùng cho phòng Lab</t>
  </si>
  <si>
    <t>Vít tải nhấn liệu bể tuyền nổi chuyền Moogetech</t>
  </si>
  <si>
    <t>Vít tải nhấn liệu cho bể tuyển nổi chuyền Active 1</t>
  </si>
  <si>
    <t>Vít tải nhấn liệu cho bể tuyển nổi chuyền Active 2</t>
  </si>
  <si>
    <t>Vít tải lấy phế máy Meyer trên chuyền Moogetech</t>
  </si>
  <si>
    <t>Băng tải cấp bình Lavie cho máy băm Carno 01</t>
  </si>
  <si>
    <t>Băng tải+Vít tải phân loại vảy đầu vào W800 (TC)</t>
  </si>
  <si>
    <t>Máy tiện trục di động LZD-150</t>
  </si>
  <si>
    <t>Camera AI phân loại chai cho QC line1 (F6)</t>
  </si>
  <si>
    <t>Sàng rung 2000x800 công suất 2000kg/h (F2)</t>
  </si>
  <si>
    <t>Sàng rung 2000x800 công suất 2000kg/h (F4)</t>
  </si>
  <si>
    <t>Cân sấy ẩm Mettle Toledo (số 2)(106000013)</t>
  </si>
  <si>
    <t>Hệ cân đóng bao tự động (106000014)</t>
  </si>
  <si>
    <t>Máy móc tăng cường CHWO-R01</t>
  </si>
  <si>
    <t>HTxả bao Jumbo1 tấn tự động-Rửa nóng R01</t>
  </si>
  <si>
    <t>HTxả bao Jumbo1 tấn tự động-Rửa lạnh R01</t>
  </si>
  <si>
    <t>HTcấp kiện chai PET bán tự động-CHWO-B01</t>
  </si>
  <si>
    <t>HTcấp kiện chai PET bán tự động-CHWO-B02</t>
  </si>
  <si>
    <t>Máy móc tăng cường BORE-R02</t>
  </si>
  <si>
    <t>HTcấp kiện chai PET bán tự động-BORE-B01</t>
  </si>
  <si>
    <t>Nhà chống côn trùng Meyer F2</t>
  </si>
  <si>
    <t>HT xả bao JB 1 tấn tự động 02 (F3)</t>
  </si>
  <si>
    <t>HT xả bao JB 1 tấn tự động 03 (F4)</t>
  </si>
  <si>
    <t>HT xả bao JB 1 tấn tự động 04 (F2)</t>
  </si>
  <si>
    <t>HT xả bao JB 1 tấn tự động 05 (F2)</t>
  </si>
  <si>
    <t>HT xả bao JB 1 tấn tự động 06 (F2)</t>
  </si>
  <si>
    <t>Tủ hút H.chất Bestlab PhượngHải BL.H-2(104000163)</t>
  </si>
  <si>
    <t>HT xả bao JB 1 tấn tự động 01 (F4)</t>
  </si>
  <si>
    <t>HT xả bao JB 1 tấn tự động 07 ACTI-B01 (F4)</t>
  </si>
  <si>
    <t>HT xả bao JB 1 tấn tự động 07 ACTI-R01 (F4)</t>
  </si>
  <si>
    <t>HT xả bao JB 1 tấn tự động 08 CHWO-R02 (F4)</t>
  </si>
  <si>
    <t>Sàn rung lựa vảy cho chuyền Bore1 (F3)</t>
  </si>
  <si>
    <t>Băng tải chuyển chai CHWO-B02 (F5)</t>
  </si>
  <si>
    <t>Băng tải chuyển chai CHWO-B01 (F3)</t>
  </si>
  <si>
    <t>HT Khử mùi hạt nhựa rHDPE - rPP - Piovan</t>
  </si>
  <si>
    <t>TB phụ trợ chuyền tạo hạt Starlinger 330+ SSP (1)</t>
  </si>
  <si>
    <t>TB phụ trợ chuyền tạo hạt Starlinger 330+ SSP (2)</t>
  </si>
  <si>
    <t>Cải tạo máy tách nhãn ChangWoen (F5)</t>
  </si>
  <si>
    <t>Hệ cân bao Jumbo rPet 1100kg tự động1 F3</t>
  </si>
  <si>
    <t>Hệ cân bao Jumbo rPet 1100kg tự động2 F3 (1)</t>
  </si>
  <si>
    <t>Hệ cân bao Jumbo rPet 1100kg tự động2 F3 (2)</t>
  </si>
  <si>
    <t>Bộ trao đổi nhiệt làm mát hạt nhựa -PAU F3</t>
  </si>
  <si>
    <t>Hệ thống IT</t>
  </si>
  <si>
    <t>Máy lạnh tủ đứng 5HP</t>
  </si>
  <si>
    <t>Hệ lọc RO và hệ đóng nước bình</t>
  </si>
  <si>
    <t>Mobility Cotroller - 1</t>
  </si>
  <si>
    <t>Mobility Cotroller - 2</t>
  </si>
  <si>
    <t>Máy làm đá Manitowoc IDT1500W-251</t>
  </si>
  <si>
    <t>Máy nghiền nhựa HGP-800</t>
  </si>
  <si>
    <t>Máy trộn hạt nhựa 2 tấn</t>
  </si>
  <si>
    <t>Chuyền tạo vảy rPET - ChengWoen</t>
  </si>
  <si>
    <t>Máy tạo hạt Starlinger 1 (PET02)</t>
  </si>
  <si>
    <t>Máy nâng IV Starlinger (SSP)</t>
  </si>
  <si>
    <t>Máy tạo hạt rHDPE - 01</t>
  </si>
  <si>
    <t>Máy ép kiện đứng bán tự động (Model: LĐ 11)</t>
  </si>
  <si>
    <t>Tủ Sấy chân không ADP301</t>
  </si>
  <si>
    <t>Máy sấy khử ẩm Model: SCD 120U/80H dung tích 120L</t>
  </si>
  <si>
    <t>Phòng tiêu âm máy nghiền nhựa</t>
  </si>
  <si>
    <t>Thi công lắp vít tải chuyền rửa CW1</t>
  </si>
  <si>
    <t>Tủ sấy vảy</t>
  </si>
  <si>
    <t>Cân sấy ẩm</t>
  </si>
  <si>
    <t>Tủ sấy đối lưu cưỡng bức BINDER FD56-230V</t>
  </si>
  <si>
    <t>Mác tách nhãn Zig-Zag - 1</t>
  </si>
  <si>
    <t>Mác tách nhãn Zig-Zag - 2</t>
  </si>
  <si>
    <t>Thiết bị phụ chuyền máy Starlinger 2</t>
  </si>
  <si>
    <t>Máy tách màu Taiho 6SXM-10008FS - 2</t>
  </si>
  <si>
    <t>Khung sàn máy phá kiện CW1</t>
  </si>
  <si>
    <t>Máy tách màu Taiho 6SXM-10008FS</t>
  </si>
  <si>
    <t>Cân 4 chữ số Sartorius</t>
  </si>
  <si>
    <t>Tủ biến tần máy nén khí 160kw</t>
  </si>
  <si>
    <t>Thiết bị thu gom bụi cho hệ quạt Silo</t>
  </si>
  <si>
    <t>Máy tách màu Taiho số 3</t>
  </si>
  <si>
    <t>Hệ thống cân, may bao bán tự động</t>
  </si>
  <si>
    <t>CP lắp đặt ống thoát khí thải F2, F3</t>
  </si>
  <si>
    <t>TC Máy băm rửa Changwoen</t>
  </si>
  <si>
    <t>Hệ thống phối trộn tự động WSB - 3000T</t>
  </si>
  <si>
    <t>Tủ điện bên trong xưởng F04</t>
  </si>
  <si>
    <t>Máy trộn nhựa KLN 500kg</t>
  </si>
  <si>
    <t>Máy nghiền nhựa HPG 800 (số 1-F04)</t>
  </si>
  <si>
    <t>Máy nghiền nhựa HPG 800 (số 2-F04)</t>
  </si>
  <si>
    <t>Băng tải máy ép kiện ngang</t>
  </si>
  <si>
    <t>Máy thổi Chumpower</t>
  </si>
  <si>
    <t>Máy tách nhãn chai PET PVN -800 (số 2)</t>
  </si>
  <si>
    <t>Tủ điện 1600A (Yei)</t>
  </si>
  <si>
    <t>Băng tải máy băm Carno 1</t>
  </si>
  <si>
    <t>Băng tải máy băm Carno 2</t>
  </si>
  <si>
    <t>Máy lựa vảy UV Meyer</t>
  </si>
  <si>
    <t>Chuyền băm PET số 02</t>
  </si>
  <si>
    <t>Chuyền rửa vảy CW2</t>
  </si>
  <si>
    <t>Máy Tomra</t>
  </si>
  <si>
    <t>TC Máy nghiền nhựa HGP-800-30HP-22.5KW</t>
  </si>
  <si>
    <t>TC Máy nghiền nhựa HPG 1000</t>
  </si>
  <si>
    <t>Máy đo chỉ số chảy MI nhựa HDPE</t>
  </si>
  <si>
    <t>Máy đo chỉ số chảy MI nhựa PP</t>
  </si>
  <si>
    <t>Trạm điện 4x3000kVA-22V/0,4kV</t>
  </si>
  <si>
    <t>Máy vắt ly tâm đứng chuyền CW2</t>
  </si>
  <si>
    <t>Máy nén khí Piston tăng áp</t>
  </si>
  <si>
    <t>TC Hệ thống đường ống nước rửa nóng Active</t>
  </si>
  <si>
    <t>Cấp nguồn xưởng F2</t>
  </si>
  <si>
    <t>Chuyền tạo hạt  rPP số 2 (Yei)</t>
  </si>
  <si>
    <t>Máy tạo hạt trục vít đôi CJWH25-42D-11Kw</t>
  </si>
  <si>
    <t>TC Đường ống nén khí xưởng 2</t>
  </si>
  <si>
    <t>Máy đo mùi OMX - ADM Shinyei</t>
  </si>
  <si>
    <t>Máy chà sàn liên hợp PULLMAN (SỐ 3 HD)</t>
  </si>
  <si>
    <t>Trạm điện SX xưởng F03, 05</t>
  </si>
  <si>
    <t>Máy Zig-Zag Mooge</t>
  </si>
  <si>
    <t>Lắp hệ thống điện Máy thổi Akei</t>
  </si>
  <si>
    <t>Máy(TB)vệ sinh khuôn, lưới Starlingers(k.trợ)</t>
  </si>
  <si>
    <t>Khuôn phôi D28 P19.5 (F03)</t>
  </si>
  <si>
    <t>Chuyền băm rửa PET 03 (Lê Trần)</t>
  </si>
  <si>
    <t>HT Máy tách vảy Taiho Phó sản HD 5 máy (Taiho 3)</t>
  </si>
  <si>
    <t>Máy tách nhãn bình 5G (Lavie–LABR-01)</t>
  </si>
  <si>
    <t>Máy lọc bụi Cartridge CDC -PL-6 (QLCL)</t>
  </si>
  <si>
    <t>Máy Tạo Hạt Xơ Sợi YPET-01</t>
  </si>
  <si>
    <t>Máy Tạo Hạt rPP YEI PP-01</t>
  </si>
  <si>
    <t>Máy trộn nhựa KN L10000KG+</t>
  </si>
  <si>
    <t>Máy lựa chai Tomra (F4)</t>
  </si>
  <si>
    <t>Máy trộn nhựa MIX-08 15000 Kg (F2)</t>
  </si>
  <si>
    <t>Hệ vít tải cấp liệu cho máy Meyer (F3)</t>
  </si>
  <si>
    <t>Cổng trục Pallang di động(máy JD cũ) F3</t>
  </si>
  <si>
    <t>Vít tải cấp liệu bồn trộn 15 tấn MIX-08 (F2)</t>
  </si>
  <si>
    <t>Vít tải chuyển liệu ra từ bồn trộn 15tấn MIX-08 F2</t>
  </si>
  <si>
    <t>TB phụ trợ chuyền rửa BORE-R01 (F3)</t>
  </si>
  <si>
    <t>TB phụ trợ chuyền Băm BORE-R01 (F3)</t>
  </si>
  <si>
    <t>Sàn Rung lựa vảy PPKN -2000kg/h</t>
  </si>
  <si>
    <t>lắp chuyền rửa lạnh mới F03</t>
  </si>
  <si>
    <t>TC máy tách liệu chuyền rửa lạnh F3 BRT</t>
  </si>
  <si>
    <t>Hệ khung sàn cho chuyền rửa lạnh mới F03</t>
  </si>
  <si>
    <t>TỦ ĐIỆN HỆ RỬA NÓNG CHWO-R02</t>
  </si>
  <si>
    <t>Máy tạo hạt nhựa Gran (HD02)(TLP) F2</t>
  </si>
  <si>
    <t>Xe ôtô tải hiệu HINO (62C-131.00)</t>
  </si>
  <si>
    <t>Xe chở khách LVTONG model: LT-S14</t>
  </si>
  <si>
    <t>Xe chở khách LVTONG model: LT-S08</t>
  </si>
  <si>
    <t>Cầu xe nâng</t>
  </si>
  <si>
    <t>Thang máng cáp</t>
  </si>
  <si>
    <t>Hệ thống băng tải cân &amp; may bao cho chuyền HDPE</t>
  </si>
  <si>
    <t>Vỏ vít 220, L=5M (công suất 3 tấn/h) tải liệu</t>
  </si>
  <si>
    <t>Băng tải W1.000 x L6000 x H900(mm) tăng đơ 300(mm)</t>
  </si>
  <si>
    <t>Băng tải nghiêng cấp chai vào máy 21108</t>
  </si>
  <si>
    <t>Băng tải ngang lấy chai sau máy 21108</t>
  </si>
  <si>
    <t>Xe ôtô tải hiệu Chenglong LZ1250M5DBT</t>
  </si>
  <si>
    <t>Băng tải nối tiếp chuyền lựa chai CW (Plenma)</t>
  </si>
  <si>
    <t>Xe ô tô tải ISUZU FVR34UE4 - 62C-179.12</t>
  </si>
  <si>
    <t>Xe ô tô tải ISUZU FVR34UE4 - 62C-179.36</t>
  </si>
  <si>
    <t>Xe nâng dầu 2.5 tấn Komatsu - 17</t>
  </si>
  <si>
    <t>Xe nâng dầu 2,5 tấn Komatsu - 21</t>
  </si>
  <si>
    <t>Xe nâng dầu 2,5 tấn Komatsu - 22</t>
  </si>
  <si>
    <t>Xe nâng dầu 2,5 tấn Komatsu - 23</t>
  </si>
  <si>
    <t>Xe nâng dầu 2,5 tấn Komatsu - 19</t>
  </si>
  <si>
    <t>Xe nâng tay điện Heli CBD20-AliH (SỐ 3)</t>
  </si>
  <si>
    <t>Xe nâng tay điện Heli CBD20-AliH (SỐ 4)</t>
  </si>
  <si>
    <t>XE KÉO NỘI BỘ</t>
  </si>
  <si>
    <t>Xe nâng người GTJZ-10 (BYD) (PET)</t>
  </si>
  <si>
    <t>Xe AGV Chở hàng mẫu</t>
  </si>
  <si>
    <t>Xe nâng tay điện HeliCBD20-ALH số 8 vị trí BORE-02</t>
  </si>
  <si>
    <t>Xe nâng tay điện Heli CBD20-ALH (F2-HD) (1)</t>
  </si>
  <si>
    <t>Xe nâng tay điện Heli CBD20-ALH (F4-HD) (2)</t>
  </si>
  <si>
    <t>Xe nâng tay điện Heli CBD20-ALH (MIX-09 -F3)</t>
  </si>
  <si>
    <t>Xe nâng tay điện Heli CBD20-ALH (F5)</t>
  </si>
  <si>
    <t>Xe nâng tay điện PTE20Q-A Noblelift (F5)</t>
  </si>
  <si>
    <t>Thiết bị Logitech Group video,loa,mic,cáp+lắp đặt</t>
  </si>
  <si>
    <t>Hệ thống bảng hiệu, logo nhà máy</t>
  </si>
  <si>
    <t>Máy lạnh Daikin FTKY60WVMV/RKY60WVMV (HCNS)</t>
  </si>
  <si>
    <t>Hệ thống camera xưởng Kho TĐH</t>
  </si>
  <si>
    <t>Hệ thống camera DTR (49 cái)</t>
  </si>
  <si>
    <t>Máy tính bàn HP EliteOne 870 G9 AIO i7-1470/32G</t>
  </si>
  <si>
    <t>Máy đo bụi c.tay Kanomax 3888(106000015- 112000025</t>
  </si>
  <si>
    <t>Lắp đặt thêm 4 camera xưởng F02</t>
  </si>
  <si>
    <t>Cân phân tích + Cốc đo tỉ trọng (Mettler Toledo)</t>
  </si>
  <si>
    <t>Cây sấy ẩm 1 (phòng TN)</t>
  </si>
  <si>
    <t>CAMERA NHIỆT FLUKE-TiS20+ (kỹ thuật)</t>
  </si>
  <si>
    <t>Màn hình Led P4 200 inch (4,48x2,4m)</t>
  </si>
  <si>
    <t>Máy lạnh FTKY60WVMV/RKY60WVMV (112000018)</t>
  </si>
  <si>
    <t>Lắp đặt 18 camera xưởng F03</t>
  </si>
  <si>
    <t>Thi công hồ cá</t>
  </si>
  <si>
    <t>Nguồn bơm giếng và tưới cỏ</t>
  </si>
  <si>
    <t>Hạng mục phụ nhà xưởng (VP F02, bó vĩa, điện, sơn)</t>
  </si>
  <si>
    <t>Thi công phim cách nhiệt cho vách kính F02</t>
  </si>
  <si>
    <t>Giếng nước ngầm số 2</t>
  </si>
  <si>
    <t>Lắp đặt cáp thoại nhà bảo vệ 1 và 3</t>
  </si>
  <si>
    <t>Khuôn Đầu bút &amp; Thân bút (MIDA)</t>
  </si>
  <si>
    <t>Khuôn đầu ren</t>
  </si>
  <si>
    <t>Khuôn lõi bấm &amp; lõi xoay (MIDA)</t>
  </si>
  <si>
    <t>Pallet D4-0896-Đỏ- Mega Market</t>
  </si>
  <si>
    <t>Pallet D4-0896-Dương</t>
  </si>
  <si>
    <t>Pallet D4-0896-Đỏ-Mega Market</t>
  </si>
  <si>
    <t>Pallet D4-0896-Dương-Mega Market</t>
  </si>
  <si>
    <t>Bãi tập kết rác F6</t>
  </si>
  <si>
    <t>TC các hạng mục linh tinh chuyền CW1,CW2</t>
  </si>
  <si>
    <t>Thi công nhà bạt F6</t>
  </si>
  <si>
    <t>Kho chứa vật  tư KT (F5)</t>
  </si>
  <si>
    <t>Hệ thống XLNT 400m3/ngày đêm</t>
  </si>
  <si>
    <t>Khuôn chai nước sưới 350ml(F03)</t>
  </si>
  <si>
    <t>Khuôn chai nhớt(F02)</t>
  </si>
  <si>
    <t>Khuôn miếng lót ly(F03)</t>
  </si>
  <si>
    <t>Khuôn chai coca(F03)</t>
  </si>
  <si>
    <t>Hệ thống XLNT 500 m3/ngày đêm</t>
  </si>
  <si>
    <t>Hệ thống làm mát nhà xưởng (Đợt 3)</t>
  </si>
  <si>
    <t>Cung cấp lắp đặt chiller mở rộng</t>
  </si>
  <si>
    <t>Bơm chân không Vacuubrand MZ 2C NT+AK+EK</t>
  </si>
  <si>
    <t>Máy ghi điện 3P FLUKE 1730 iFlex6000-36</t>
  </si>
  <si>
    <t>Vít tải nhồi liệu 220*1000 MOOG (F4)</t>
  </si>
  <si>
    <t>Vít tải nhồi liệu 220*1000 R-ACTIVE (F4)</t>
  </si>
  <si>
    <t>Vít tải nhồi liệu 220*1000 R-CW02 (F3)</t>
  </si>
  <si>
    <t>Máy phun thuốc Makita PM001G (sd toàn xưởng)</t>
  </si>
  <si>
    <t>Lắp đặt Vách bạt cuốn di động F2 và F3</t>
  </si>
  <si>
    <t>Máy nén khí Ingersol Rand</t>
  </si>
  <si>
    <t>Máy nghiền mẫu thí nghiệm Model CryoMill - Đức</t>
  </si>
  <si>
    <t>Hệ thống sắc ký khí ghép nối khối phổ GC/MS - USA</t>
  </si>
  <si>
    <t>Tủ điện động lực MSB-2</t>
  </si>
  <si>
    <t>Trạm điện 3.000 KVA</t>
  </si>
  <si>
    <t>Hệ thống Chiller nước lạnh</t>
  </si>
  <si>
    <t>Máy đo độ nhớt IV LOVIS 2000 M/ME(Model:LOVIS 2000</t>
  </si>
  <si>
    <t>Máy so màu</t>
  </si>
  <si>
    <t>Máy sấy kết tinh PCR-800</t>
  </si>
  <si>
    <t>TC Máy làm lạnh nước- nước giải nhiệt</t>
  </si>
  <si>
    <t>Máy kiểm tra độ kín nắp chai tự động</t>
  </si>
  <si>
    <t>Máy kiểm tra oxy hòa tan</t>
  </si>
  <si>
    <t>Máy đo độ nhớt nội hạt nhựa - 1</t>
  </si>
  <si>
    <t>Máy đo độ nhớt nội hạt nhựa - 2</t>
  </si>
  <si>
    <t>Máy tạo hạt rPET HTL 1</t>
  </si>
  <si>
    <t>Bộ dao cắt hạt và máy thổi khô (YE I)</t>
  </si>
  <si>
    <t>Máy Tách màu Taiho</t>
  </si>
  <si>
    <t>Bồn trộn hạt nhựa 5 tấn (rPET)</t>
  </si>
  <si>
    <t>Thiết bị xử lý mẫu bằng vi sóng Monowave 200</t>
  </si>
  <si>
    <t>Máy đo tốc độ chảy của nhựa GT-7100-MIBH Gotech</t>
  </si>
  <si>
    <t>Kính hiển vi Keyence</t>
  </si>
  <si>
    <t>Máy tạo hạt rHDPE 03 (Polystar)</t>
  </si>
  <si>
    <t>Máy ép kiện XTY-600WB10080, seri 22203835</t>
  </si>
  <si>
    <t>Chuyền băm rửa chai HDPE</t>
  </si>
  <si>
    <t>Xe nâng dầu 2,5 tấn (Xe số 4)</t>
  </si>
  <si>
    <t>Xe nâng hiệu Komatsu,Model:FD30T-17(Nhật Bản)(Xe5)</t>
  </si>
  <si>
    <t>Xe nâng hiệu Komatsu FD25T-17khungM228-307295 Xe 7</t>
  </si>
  <si>
    <t>Xe nâng điện Komatsu Model : FB18RL-15 (Xe số 11)</t>
  </si>
  <si>
    <t>Xe nâng dầu Komatsu FD30C-17,M229-319893,Xe số 12</t>
  </si>
  <si>
    <t>Xe nâng hiệu KomatsuFD25C-16 M228-742540 Xe số 8</t>
  </si>
  <si>
    <t>Xe nâng dầu Komatsu 3 tấn - xe 13</t>
  </si>
  <si>
    <t>Xe nâng dầu Komatsu 3 tấn - xe 14</t>
  </si>
  <si>
    <t>Xe nâng dầu 2.5 tấn Komatsu - 15</t>
  </si>
  <si>
    <t>Xe nâng dầu 2.5 tấn Komatsu - 16</t>
  </si>
  <si>
    <t>Xe nâng người SJ4726</t>
  </si>
  <si>
    <t>Xe nâng điện PSE12N36</t>
  </si>
  <si>
    <t>Xe nâng tay điện Heli CBD20-AliH (SỐ 2)</t>
  </si>
  <si>
    <t>Xe nâng tay điện Heli CBD20-AliH (SỐ 6)</t>
  </si>
  <si>
    <t>Xe nâng tay điện Heli CBD20-AliH (SỐ 5)</t>
  </si>
  <si>
    <t>Xe nâng  hiệu Komatsu đã qua sử dụng FD xe 9</t>
  </si>
  <si>
    <t>Dự án VMS Giai đoạn 1 (16 tablet) (Cung ứng)</t>
  </si>
  <si>
    <t>Nâng cấp DataBridge SS lên MS</t>
  </si>
  <si>
    <t>Dự án CRM</t>
  </si>
  <si>
    <t>Tư vấn, lập hồ sơ dự án</t>
  </si>
  <si>
    <t>Phần mềm SAP</t>
  </si>
  <si>
    <t>Phần mềm SQL Server và Backup Commvault</t>
  </si>
  <si>
    <t>Hệ thống Server ERP SAP và Network SDWAN</t>
  </si>
  <si>
    <t>Gói phần mềm DELFICOM CUSTOMIZE</t>
  </si>
  <si>
    <t>License SAP 2024</t>
  </si>
  <si>
    <t>Chứng nhận chất lượng ISO</t>
  </si>
  <si>
    <t>chạy thêm tcode #</t>
  </si>
  <si>
    <t>DH01</t>
  </si>
  <si>
    <t>101000019</t>
  </si>
  <si>
    <t>101000022</t>
  </si>
  <si>
    <t>101000023</t>
  </si>
  <si>
    <t>101000024</t>
  </si>
  <si>
    <t>103000005</t>
  </si>
  <si>
    <t>103000007</t>
  </si>
  <si>
    <t>103000008</t>
  </si>
  <si>
    <t>103000009</t>
  </si>
  <si>
    <t>103000010</t>
  </si>
  <si>
    <t>103000011</t>
  </si>
  <si>
    <t>103000012</t>
  </si>
  <si>
    <t>103000014</t>
  </si>
  <si>
    <t>103000015</t>
  </si>
  <si>
    <t>103000016</t>
  </si>
  <si>
    <t>103000017</t>
  </si>
  <si>
    <t>103000018</t>
  </si>
  <si>
    <t>104000064</t>
  </si>
  <si>
    <t>104000066</t>
  </si>
  <si>
    <t>104000067</t>
  </si>
  <si>
    <t>ACB1</t>
  </si>
  <si>
    <t>104000069</t>
  </si>
  <si>
    <t>104000070</t>
  </si>
  <si>
    <t>104000071</t>
  </si>
  <si>
    <t>104000073</t>
  </si>
  <si>
    <t>104000074</t>
  </si>
  <si>
    <t>Máy khuấy đũa (cơ)</t>
  </si>
  <si>
    <t>104000075</t>
  </si>
  <si>
    <t>104000077</t>
  </si>
  <si>
    <t>104000078</t>
  </si>
  <si>
    <t>Tú ấm IN260 MEMMERT</t>
  </si>
  <si>
    <t>104000081</t>
  </si>
  <si>
    <t>104000082</t>
  </si>
  <si>
    <t>Máy mài kim loại AKOMOTO</t>
  </si>
  <si>
    <t>104000083</t>
  </si>
  <si>
    <t>104000086</t>
  </si>
  <si>
    <t>104000087</t>
  </si>
  <si>
    <t>104000089</t>
  </si>
  <si>
    <t>104000095</t>
  </si>
  <si>
    <t>104000096</t>
  </si>
  <si>
    <t>104000097</t>
  </si>
  <si>
    <t>104000098</t>
  </si>
  <si>
    <t>104000099</t>
  </si>
  <si>
    <t>Hệ thống camera toàn nhà máy</t>
  </si>
  <si>
    <t>104000100</t>
  </si>
  <si>
    <t>104000102</t>
  </si>
  <si>
    <t>104000103</t>
  </si>
  <si>
    <t>104000104</t>
  </si>
  <si>
    <t>104000105</t>
  </si>
  <si>
    <t>Cân 2 chữ số</t>
  </si>
  <si>
    <t>104000107</t>
  </si>
  <si>
    <t>104000108</t>
  </si>
  <si>
    <t>104000109</t>
  </si>
  <si>
    <t>104000110</t>
  </si>
  <si>
    <t>104000111</t>
  </si>
  <si>
    <t>104000112</t>
  </si>
  <si>
    <t>104000113</t>
  </si>
  <si>
    <t>104000114</t>
  </si>
  <si>
    <t>104000115</t>
  </si>
  <si>
    <t>104000116</t>
  </si>
  <si>
    <t>104000117</t>
  </si>
  <si>
    <t>104000118</t>
  </si>
  <si>
    <t>104000119</t>
  </si>
  <si>
    <t>104000120</t>
  </si>
  <si>
    <t>104000121</t>
  </si>
  <si>
    <t>104000122</t>
  </si>
  <si>
    <t>104000123</t>
  </si>
  <si>
    <t>104000124</t>
  </si>
  <si>
    <t>104000125</t>
  </si>
  <si>
    <t>104000126</t>
  </si>
  <si>
    <t>104000127</t>
  </si>
  <si>
    <t>104000128</t>
  </si>
  <si>
    <t>104000129</t>
  </si>
  <si>
    <t>104000130</t>
  </si>
  <si>
    <t>104000132</t>
  </si>
  <si>
    <t>104000135</t>
  </si>
  <si>
    <t>104000136</t>
  </si>
  <si>
    <t>104000137</t>
  </si>
  <si>
    <t>104000138</t>
  </si>
  <si>
    <t>104000139</t>
  </si>
  <si>
    <t>104000140</t>
  </si>
  <si>
    <t>104000141</t>
  </si>
  <si>
    <t>104000142</t>
  </si>
  <si>
    <t>104000143</t>
  </si>
  <si>
    <t>104000145</t>
  </si>
  <si>
    <t>104000149</t>
  </si>
  <si>
    <t>104000150</t>
  </si>
  <si>
    <t>104000151</t>
  </si>
  <si>
    <t>104000152</t>
  </si>
  <si>
    <t>104000153</t>
  </si>
  <si>
    <t>104000154</t>
  </si>
  <si>
    <t>104000156</t>
  </si>
  <si>
    <t>104000157</t>
  </si>
  <si>
    <t>104000158</t>
  </si>
  <si>
    <t>104000159</t>
  </si>
  <si>
    <t>104000160</t>
  </si>
  <si>
    <t>104000161</t>
  </si>
  <si>
    <t>104000162</t>
  </si>
  <si>
    <t>104000164</t>
  </si>
  <si>
    <t>104000165</t>
  </si>
  <si>
    <t>104000167</t>
  </si>
  <si>
    <t>104000168</t>
  </si>
  <si>
    <t>104000169</t>
  </si>
  <si>
    <t>104000170</t>
  </si>
  <si>
    <t>104000171</t>
  </si>
  <si>
    <t>104000172</t>
  </si>
  <si>
    <t>104000173</t>
  </si>
  <si>
    <t>104000176</t>
  </si>
  <si>
    <t>104000179</t>
  </si>
  <si>
    <t>104000183</t>
  </si>
  <si>
    <t>104000184</t>
  </si>
  <si>
    <t>104600000</t>
  </si>
  <si>
    <t>104600001</t>
  </si>
  <si>
    <t>104600002</t>
  </si>
  <si>
    <t>104600003</t>
  </si>
  <si>
    <t>104600004</t>
  </si>
  <si>
    <t>104600005</t>
  </si>
  <si>
    <t>104600006</t>
  </si>
  <si>
    <t>104600007</t>
  </si>
  <si>
    <t>104600008</t>
  </si>
  <si>
    <t>104600009</t>
  </si>
  <si>
    <t>104600010</t>
  </si>
  <si>
    <t>104600011</t>
  </si>
  <si>
    <t>104600014</t>
  </si>
  <si>
    <t>Van xoay định lượng DN150-SUS304</t>
  </si>
  <si>
    <t>104600017</t>
  </si>
  <si>
    <t>104600018</t>
  </si>
  <si>
    <t>104600019</t>
  </si>
  <si>
    <t>104600025</t>
  </si>
  <si>
    <t>104600027</t>
  </si>
  <si>
    <t>104600028</t>
  </si>
  <si>
    <t>104600029</t>
  </si>
  <si>
    <t>104600030</t>
  </si>
  <si>
    <t>104600032</t>
  </si>
  <si>
    <t>104600033</t>
  </si>
  <si>
    <t>Bơm màng 1 Inch ARO-Polypropylene (PD10P-YPS-PTT1)</t>
  </si>
  <si>
    <t>104600034</t>
  </si>
  <si>
    <t>104600035</t>
  </si>
  <si>
    <t>Bộ thiết bị tai nghe HMT-1 (Mã hiệu 171131G) 9LK</t>
  </si>
  <si>
    <t>104600036</t>
  </si>
  <si>
    <t>Nam châm lọc sắt dạng phẳng L1050x400x30 mm</t>
  </si>
  <si>
    <t>104600039</t>
  </si>
  <si>
    <t>104600040</t>
  </si>
  <si>
    <t>104600041</t>
  </si>
  <si>
    <t>104600042</t>
  </si>
  <si>
    <t>104600043</t>
  </si>
  <si>
    <t>104600044</t>
  </si>
  <si>
    <t>Dao máy nghiền HGP-800 (dao băm chai La Vie)</t>
  </si>
  <si>
    <t>104600045</t>
  </si>
  <si>
    <t>104600049</t>
  </si>
  <si>
    <t>104600050</t>
  </si>
  <si>
    <t>Máy test thả rơi</t>
  </si>
  <si>
    <t>104600053</t>
  </si>
  <si>
    <t>104600055</t>
  </si>
  <si>
    <t>104600059</t>
  </si>
  <si>
    <t>104600060</t>
  </si>
  <si>
    <t>104600061</t>
  </si>
  <si>
    <t>104600064</t>
  </si>
  <si>
    <t>104600065</t>
  </si>
  <si>
    <t>104600066</t>
  </si>
  <si>
    <t>104600067</t>
  </si>
  <si>
    <t>104600068</t>
  </si>
  <si>
    <t>104600070</t>
  </si>
  <si>
    <t>104600072</t>
  </si>
  <si>
    <t>104600074</t>
  </si>
  <si>
    <t>104600075</t>
  </si>
  <si>
    <t>104600076</t>
  </si>
  <si>
    <t>104600077</t>
  </si>
  <si>
    <t>104600078</t>
  </si>
  <si>
    <t>104600081</t>
  </si>
  <si>
    <t>104600082</t>
  </si>
  <si>
    <t>Chi phí vận chuyển lắp đặt máy</t>
  </si>
  <si>
    <t>104600083</t>
  </si>
  <si>
    <t>104600084</t>
  </si>
  <si>
    <t>104600085</t>
  </si>
  <si>
    <t>104600087</t>
  </si>
  <si>
    <t>104600089</t>
  </si>
  <si>
    <t>104600090</t>
  </si>
  <si>
    <t>104600091</t>
  </si>
  <si>
    <t>104600093</t>
  </si>
  <si>
    <t>104600094</t>
  </si>
  <si>
    <t>104600097</t>
  </si>
  <si>
    <t>104600098</t>
  </si>
  <si>
    <t>104600099</t>
  </si>
  <si>
    <t>104600100</t>
  </si>
  <si>
    <t>104600101</t>
  </si>
  <si>
    <t>104600103</t>
  </si>
  <si>
    <t>104600104</t>
  </si>
  <si>
    <t>104600105</t>
  </si>
  <si>
    <t>104600106</t>
  </si>
  <si>
    <t>104600107</t>
  </si>
  <si>
    <t>104600108</t>
  </si>
  <si>
    <t>104600109</t>
  </si>
  <si>
    <t>104600110</t>
  </si>
  <si>
    <t>104600111</t>
  </si>
  <si>
    <t>104600112</t>
  </si>
  <si>
    <t>104600113</t>
  </si>
  <si>
    <t>104600114</t>
  </si>
  <si>
    <t>104600115</t>
  </si>
  <si>
    <t>104600116</t>
  </si>
  <si>
    <t>104600117</t>
  </si>
  <si>
    <t>104600118</t>
  </si>
  <si>
    <t>104600119</t>
  </si>
  <si>
    <t>104600120</t>
  </si>
  <si>
    <t>104600121</t>
  </si>
  <si>
    <t>104600122</t>
  </si>
  <si>
    <t>104600123</t>
  </si>
  <si>
    <t>104600124</t>
  </si>
  <si>
    <t>104600125</t>
  </si>
  <si>
    <t>104600126</t>
  </si>
  <si>
    <t>104600127</t>
  </si>
  <si>
    <t>104600128</t>
  </si>
  <si>
    <t>104600130</t>
  </si>
  <si>
    <t>104600131</t>
  </si>
  <si>
    <t>104600132</t>
  </si>
  <si>
    <t>Máy quấn màng pallet Yupack T1650F- F3</t>
  </si>
  <si>
    <t>104600133</t>
  </si>
  <si>
    <t>104600134</t>
  </si>
  <si>
    <t>Máy CLF120 (Nghiên Cứu &amp; PT) F2</t>
  </si>
  <si>
    <t>104600136</t>
  </si>
  <si>
    <t>104600137</t>
  </si>
  <si>
    <t>104600138</t>
  </si>
  <si>
    <t>104600139</t>
  </si>
  <si>
    <t>104600140</t>
  </si>
  <si>
    <t>104600141</t>
  </si>
  <si>
    <t>104600142</t>
  </si>
  <si>
    <t>106000001</t>
  </si>
  <si>
    <t>Máy chà sàn công nghiệp Pullman, ắc quy (Số 1)</t>
  </si>
  <si>
    <t>106000002</t>
  </si>
  <si>
    <t>Bộ lưu điện UPS 10KVA</t>
  </si>
  <si>
    <t>106000004</t>
  </si>
  <si>
    <t>106000007</t>
  </si>
  <si>
    <t>106000008</t>
  </si>
  <si>
    <t>106000010</t>
  </si>
  <si>
    <t>106000011</t>
  </si>
  <si>
    <t>106000012</t>
  </si>
  <si>
    <t>107000001</t>
  </si>
  <si>
    <t>Xe nâng dầu Komatsu 2500kg (Xe số 3)</t>
  </si>
  <si>
    <t>107000005</t>
  </si>
  <si>
    <t>107000006</t>
  </si>
  <si>
    <t>107000007</t>
  </si>
  <si>
    <t>107000009</t>
  </si>
  <si>
    <t>107000012</t>
  </si>
  <si>
    <t>107000018</t>
  </si>
  <si>
    <t>107000019</t>
  </si>
  <si>
    <t>107000020</t>
  </si>
  <si>
    <t>107000021</t>
  </si>
  <si>
    <t>107000027</t>
  </si>
  <si>
    <t>107000028</t>
  </si>
  <si>
    <t>107000030</t>
  </si>
  <si>
    <t>107000033</t>
  </si>
  <si>
    <t>107000034</t>
  </si>
  <si>
    <t>107000035</t>
  </si>
  <si>
    <t>107000036</t>
  </si>
  <si>
    <t>107000042</t>
  </si>
  <si>
    <t>107000043</t>
  </si>
  <si>
    <t>107000046</t>
  </si>
  <si>
    <t>107000047</t>
  </si>
  <si>
    <t>107000048</t>
  </si>
  <si>
    <t>107000049</t>
  </si>
  <si>
    <t>107000050</t>
  </si>
  <si>
    <t>107000051</t>
  </si>
  <si>
    <t>107000052</t>
  </si>
  <si>
    <t>107000053</t>
  </si>
  <si>
    <t>107000054</t>
  </si>
  <si>
    <t>109000000</t>
  </si>
  <si>
    <t>109000001</t>
  </si>
  <si>
    <t>109000002</t>
  </si>
  <si>
    <t>110000002</t>
  </si>
  <si>
    <t>110000003</t>
  </si>
  <si>
    <t>Đèn diệt côn trùng ZE-122 (20 cái)</t>
  </si>
  <si>
    <t>110000006</t>
  </si>
  <si>
    <t>110000007</t>
  </si>
  <si>
    <t>110000008</t>
  </si>
  <si>
    <t>110000009</t>
  </si>
  <si>
    <t>110000010</t>
  </si>
  <si>
    <t>112000001</t>
  </si>
  <si>
    <t>Bộ máy tính Dell Presicion 3640 Tower</t>
  </si>
  <si>
    <t>112000002</t>
  </si>
  <si>
    <t>Máy in đa chức năng HP LaserJet Pro MFP M428FDW</t>
  </si>
  <si>
    <t>112000003</t>
  </si>
  <si>
    <t>Tivi Sony 4K 85 inch KD-85X86J+vật tư - số 1</t>
  </si>
  <si>
    <t>112000004</t>
  </si>
  <si>
    <t>Tivi Sony 4K 85 inch KD-85X86J+vật tư - số 2</t>
  </si>
  <si>
    <t>112000005</t>
  </si>
  <si>
    <t>112000006</t>
  </si>
  <si>
    <t>iPad Pro 12.9 2021+phím+bút - GĐNM</t>
  </si>
  <si>
    <t>112000012</t>
  </si>
  <si>
    <t>Máy tính Dell XPS 15 9520</t>
  </si>
  <si>
    <t>112000013</t>
  </si>
  <si>
    <t>112000019</t>
  </si>
  <si>
    <t>112000020</t>
  </si>
  <si>
    <t>112000021</t>
  </si>
  <si>
    <t>112000024</t>
  </si>
  <si>
    <t>112000025</t>
  </si>
  <si>
    <t>112000026</t>
  </si>
  <si>
    <t>113000001</t>
  </si>
  <si>
    <t>115000000</t>
  </si>
  <si>
    <t>115000001</t>
  </si>
  <si>
    <t>115000002</t>
  </si>
  <si>
    <t>115000003</t>
  </si>
  <si>
    <t>115000004</t>
  </si>
  <si>
    <t>Mái che xếp di động (Nam Trần)</t>
  </si>
  <si>
    <t>115000006</t>
  </si>
  <si>
    <t>115000007</t>
  </si>
  <si>
    <t>115000008</t>
  </si>
  <si>
    <t>115000009</t>
  </si>
  <si>
    <t>115000010</t>
  </si>
  <si>
    <t>115000011</t>
  </si>
  <si>
    <t>115000012</t>
  </si>
  <si>
    <t>115000013</t>
  </si>
  <si>
    <t>115000014</t>
  </si>
  <si>
    <t>115000016</t>
  </si>
  <si>
    <t>115000017</t>
  </si>
  <si>
    <t>115000018</t>
  </si>
  <si>
    <t>115000022</t>
  </si>
  <si>
    <t>115000024</t>
  </si>
  <si>
    <t>115000025</t>
  </si>
  <si>
    <t>115000026</t>
  </si>
  <si>
    <t>115000027</t>
  </si>
  <si>
    <t>115000028</t>
  </si>
  <si>
    <t>115000029</t>
  </si>
  <si>
    <t>117000001</t>
  </si>
  <si>
    <t>117000002</t>
  </si>
  <si>
    <t>117000005</t>
  </si>
  <si>
    <t>117000006</t>
  </si>
  <si>
    <t>117000007</t>
  </si>
  <si>
    <t>117000008</t>
  </si>
  <si>
    <t>117000009</t>
  </si>
  <si>
    <t>117000010</t>
  </si>
  <si>
    <t>121000000</t>
  </si>
  <si>
    <t>VILC</t>
  </si>
  <si>
    <t>121000001</t>
  </si>
  <si>
    <t>121000002</t>
  </si>
  <si>
    <t>121000003</t>
  </si>
  <si>
    <t>121000004</t>
  </si>
  <si>
    <t>121000005</t>
  </si>
  <si>
    <t>121000007</t>
  </si>
  <si>
    <t>121000008</t>
  </si>
  <si>
    <t>121000009</t>
  </si>
  <si>
    <t>121000010</t>
  </si>
  <si>
    <t>121600000</t>
  </si>
  <si>
    <t>121600001</t>
  </si>
  <si>
    <t>121600002</t>
  </si>
  <si>
    <t>121600003</t>
  </si>
  <si>
    <t>121600004</t>
  </si>
  <si>
    <t>121600005</t>
  </si>
  <si>
    <t>121600006</t>
  </si>
  <si>
    <t>121600007</t>
  </si>
  <si>
    <t>121600008</t>
  </si>
  <si>
    <t>121600009</t>
  </si>
  <si>
    <t>121600010</t>
  </si>
  <si>
    <t>121600011</t>
  </si>
  <si>
    <t>121600012</t>
  </si>
  <si>
    <t>121600013</t>
  </si>
  <si>
    <t>124000000</t>
  </si>
  <si>
    <t>124000001</t>
  </si>
  <si>
    <t>124000002</t>
  </si>
  <si>
    <t>124000003</t>
  </si>
  <si>
    <t>124000004</t>
  </si>
  <si>
    <t>124000005</t>
  </si>
  <si>
    <t>124000006</t>
  </si>
  <si>
    <t>124000007</t>
  </si>
  <si>
    <t>124000008</t>
  </si>
  <si>
    <t>124000009</t>
  </si>
  <si>
    <t>124000010</t>
  </si>
  <si>
    <t>124000011</t>
  </si>
  <si>
    <t>124000012</t>
  </si>
  <si>
    <t>124000013</t>
  </si>
  <si>
    <t>124000014</t>
  </si>
  <si>
    <t>125000000</t>
  </si>
  <si>
    <t>145000000</t>
  </si>
  <si>
    <t>146000000</t>
  </si>
  <si>
    <t>Phần mềm kế toán Effect</t>
  </si>
  <si>
    <t>146000001</t>
  </si>
  <si>
    <t>Phần mềm Base Chuyên sâu</t>
  </si>
  <si>
    <t>146000002</t>
  </si>
  <si>
    <t>147000000</t>
  </si>
  <si>
    <t>149000000</t>
  </si>
  <si>
    <t>151000000</t>
  </si>
  <si>
    <t>151000001</t>
  </si>
  <si>
    <t>Phần mềm QL nhân sự &amp; tiền lương FPT.iHRP</t>
  </si>
  <si>
    <t>151000002</t>
  </si>
  <si>
    <t>151000003</t>
  </si>
  <si>
    <t>151000004</t>
  </si>
  <si>
    <t>151000005</t>
  </si>
  <si>
    <t>151000006</t>
  </si>
  <si>
    <t>Nối chuyền trực tiếp CHWO -R02 &amp; STAR 02</t>
  </si>
  <si>
    <t>Thu bụi toàn nhà máy DTR</t>
  </si>
  <si>
    <t>Chuyền rửa Boretech 3 tấn / giờ F05</t>
  </si>
  <si>
    <t>Lắp mái che di động trục giữa F1 và F2</t>
  </si>
  <si>
    <t>Máy tách nhãn chai Pet - Plenma</t>
  </si>
  <si>
    <t>Máy sấy bụi 1 tấn (F5)</t>
  </si>
  <si>
    <t>Chuyền tạo hạt Erema 2318T 1500M (F2)</t>
  </si>
  <si>
    <t>Máy ép phun riêng Thử nghiệm HD-PP F2</t>
  </si>
  <si>
    <t>Trạm sạc xe nâng- cuối F5, gần khu phế</t>
  </si>
  <si>
    <t>Máy Phân tách nhãn chai nhựa BT-800 và bộ dao</t>
  </si>
  <si>
    <t>Máy kết tinh PET Model SCR-900U</t>
  </si>
  <si>
    <t>Máy làm nguội h/nhựa PWC1200-1.6 tấn/h-chuyền số 1</t>
  </si>
  <si>
    <t>Máy phân loại Polymer Sorter 6SXZ-480CI-GY năm2022</t>
  </si>
  <si>
    <t>Máy thổi chai tự động 15KW-CPSB-TS1000H-2023</t>
  </si>
  <si>
    <t>Hệ thống lọc tự động tạp chất nhựa-ERF350-27KW</t>
  </si>
  <si>
    <t>Dây chuyền tái chế nhựa PP HDPE, Model MEB-1000</t>
  </si>
  <si>
    <t>Máy thổi chai nhựa tự động, model: AO-70SN-SS,</t>
  </si>
  <si>
    <t>Máy phân tích chất lượng vảy nhựa CMN256-220V-2023</t>
  </si>
  <si>
    <t>Máy nghiền nhựa HGP-1000</t>
  </si>
  <si>
    <t>Máy nghiền nhựa LZ-1000</t>
  </si>
  <si>
    <t>Máy phân loại màu sắc vảy nhựa-Model 6XZ-480KS4</t>
  </si>
  <si>
    <t>Máy đùn tạo hạt nhựa recoSTAR PET 330 HC iV+</t>
  </si>
  <si>
    <t>Máy đùn tạo hạt recoSTAR PET 330 HC iV+(LV+Phí NH)</t>
  </si>
  <si>
    <t>Máy nén khí Ingersoll Rand+thiết bị-Model RM160N-A</t>
  </si>
  <si>
    <t>Máy tách kim loại-Rapid Pro Sene 4-100-Go+Nam châm</t>
  </si>
  <si>
    <t>Chuyền tạo hạt Starlinger số 1</t>
  </si>
  <si>
    <t>Máy lựa vảy (NIR1-CRGB-EM3)(XUHR-1200</t>
  </si>
  <si>
    <t>Máy ép JSW J100ADS-180 U 13.4KW,380 vol</t>
  </si>
  <si>
    <t>Máy tách màu-Model 6SXM-756FZ+</t>
  </si>
  <si>
    <t>Máy tách màu-Model 6SXM-1008FZ+</t>
  </si>
  <si>
    <t>Hệ thống các thiết bị phụ trợ cho 5 máy tách màu</t>
  </si>
  <si>
    <t>Máy đùn tạo hạt nhựa PET-YDN-HPELB-135,cs 0.8tấn/g</t>
  </si>
  <si>
    <t>Máy đùn tạo hạt PET-YDN-HPELB-135,cs 0.8tấn (LV)</t>
  </si>
  <si>
    <t>Máy đùn tạo hạt nhựa PP-YDN-V-160-G-1,cs 0.9 tấn/g</t>
  </si>
  <si>
    <t>Máy đùn tạo hạt PP-YDN-V-160-G-1,cs 0.9 tấn (LV)</t>
  </si>
  <si>
    <t>Máy đùn tạo hạt PP-YDN-V-160-G-1,cs 0.9 tấn ( LV)</t>
  </si>
  <si>
    <t>TNHH-01</t>
  </si>
  <si>
    <t>TNHH-02</t>
  </si>
  <si>
    <t>TNHH-03</t>
  </si>
  <si>
    <t>TNHH-06</t>
  </si>
  <si>
    <t>TNHH-07</t>
  </si>
  <si>
    <t>TNHH-08</t>
  </si>
  <si>
    <t>TNHH-10</t>
  </si>
  <si>
    <t>TNHH-11</t>
  </si>
  <si>
    <t>TNHH-12</t>
  </si>
  <si>
    <t>TNHH-13</t>
  </si>
  <si>
    <t>TNHH-14</t>
  </si>
  <si>
    <t>TNHH-15</t>
  </si>
  <si>
    <t>TNHH-16</t>
  </si>
  <si>
    <t>TNHH-17</t>
  </si>
  <si>
    <t>TNHH-18</t>
  </si>
  <si>
    <t>TNHH-19</t>
  </si>
  <si>
    <t>TNHH-20</t>
  </si>
  <si>
    <t>TNHH-21</t>
  </si>
  <si>
    <t>TNHH-22</t>
  </si>
  <si>
    <t>TNHH-25</t>
  </si>
  <si>
    <t>TNHH-26</t>
  </si>
  <si>
    <t>TNHH-27</t>
  </si>
  <si>
    <t>TNHH-28</t>
  </si>
  <si>
    <t>TNHH-29</t>
  </si>
  <si>
    <t>TNHH-30</t>
  </si>
  <si>
    <t>TNHH-31</t>
  </si>
  <si>
    <t>TNHH-32</t>
  </si>
  <si>
    <t>TNHH-33</t>
  </si>
  <si>
    <t>TNHH-04-01</t>
  </si>
  <si>
    <t>TNHH-04-02</t>
  </si>
  <si>
    <t>Hệ thống Chuyền băm rửa số 2-02</t>
  </si>
  <si>
    <t>Hệ thống Chuyền băm rửa số 2-01</t>
  </si>
  <si>
    <t>TNHH-05-01</t>
  </si>
  <si>
    <t>TNHH-05-02</t>
  </si>
  <si>
    <t>Máy lựa vảy số 3-NIR1-CRGB-EM3 XUHR-1200-01</t>
  </si>
  <si>
    <t>Máy lựa vảy số 3-NIR1-CRGB-EM3 XUHR-1200-02</t>
  </si>
  <si>
    <t>TNHH-09-01</t>
  </si>
  <si>
    <t>TNHH-09-02</t>
  </si>
  <si>
    <t>TNHH-09-03</t>
  </si>
  <si>
    <t>Bồn trộn N/liệu nhựa(bằng thép)-HT SiloTT:15m3-3bộ-01</t>
  </si>
  <si>
    <t>Bồn trộn N/liệu nhựa(bằng thép)-HT SiloTT:15m3-3bộ-02</t>
  </si>
  <si>
    <t>Bồn trộn N/liệu nhựa(bằng thép)-HT SiloTT:15m3-3bộ-03</t>
  </si>
  <si>
    <t>TNHH-23-01</t>
  </si>
  <si>
    <t>TNHH-23-02</t>
  </si>
  <si>
    <t>Chuyền băm rửa vảy số 3 PET 3TPH - Boretech-01</t>
  </si>
  <si>
    <t>Chuyền băm rửa vảy số 3 PET 3TPH - Boretech-02</t>
  </si>
  <si>
    <t>TNHH-24-01</t>
  </si>
  <si>
    <t>TNHH-24-02</t>
  </si>
  <si>
    <t>Máy tách màu phân loại hạt nhựa,model: 6SXZ-480CI-01</t>
  </si>
  <si>
    <t>Máy tách màu phân loại hạt nhựa,model: 6SXZ-480CI-02</t>
  </si>
  <si>
    <t>Cost center name</t>
  </si>
  <si>
    <t>Máy phân loại Polymer Sorter 6SXZ-300CI-GY năm2023</t>
  </si>
  <si>
    <t>Máy tách kim loại, model: WL-180A-2024-Fushun,100%</t>
  </si>
  <si>
    <t>Máy phân loại vảy nhựa, model: 6SXZ-600CG2-GY-4KW</t>
  </si>
  <si>
    <t>Hệ truyền tải nạp ng/liệu nhựa Boretech-mới 100%</t>
  </si>
  <si>
    <t>Máy sấy ly tâm,model:TTS800B-S-00,CS:55kW,mới 100%</t>
  </si>
  <si>
    <t>Bể tuyển nổi để lọc tách vảy nhựa LFC1500-S-00</t>
  </si>
  <si>
    <t>Hệ thống khử mùi hạt rHDPE, rPP Piovan</t>
  </si>
  <si>
    <t xml:space="preserve">Chuyền rửa vảy EC3000 PET Flakes </t>
  </si>
  <si>
    <t>Hệ thống thiết bị IOT</t>
  </si>
  <si>
    <t>Thiết Bị đo độ nhớt tự động ( 1 bộ )</t>
  </si>
  <si>
    <t>Hệ xả và cân bao Jumbo hạt RPET 1100 kg</t>
  </si>
  <si>
    <t>TNHH-34</t>
  </si>
  <si>
    <t>TNHH-36</t>
  </si>
  <si>
    <t>TNHH-37</t>
  </si>
  <si>
    <t>TNHH-38</t>
  </si>
  <si>
    <t>TNHH-39</t>
  </si>
  <si>
    <t>TNHH-40</t>
  </si>
  <si>
    <t>TNHH-41</t>
  </si>
  <si>
    <t>TNHH-42</t>
  </si>
  <si>
    <t>TNHH-43</t>
  </si>
  <si>
    <t>TNHH-44</t>
  </si>
  <si>
    <t>TNHH-45</t>
  </si>
  <si>
    <t>TNHH-46</t>
  </si>
  <si>
    <t>Nguyên giá_2601</t>
  </si>
  <si>
    <t>Nguyên giá_2602</t>
  </si>
  <si>
    <t>Nguyên giá_2603</t>
  </si>
  <si>
    <t>Nguyên giá_2604</t>
  </si>
  <si>
    <t>Nguyên giá_2605</t>
  </si>
  <si>
    <t>Nguyên giá_2606</t>
  </si>
  <si>
    <t>Nguyên giá_2607</t>
  </si>
  <si>
    <t>Nguyên giá_2608</t>
  </si>
  <si>
    <t>Nguyên giá_2609</t>
  </si>
  <si>
    <t>Nguyên giá_2610</t>
  </si>
  <si>
    <t>Nguyên giá_2611</t>
  </si>
  <si>
    <t>Nguyên giá_2612</t>
  </si>
  <si>
    <t>Hiện hữu/Mới</t>
  </si>
  <si>
    <t>Hiện hữu</t>
  </si>
  <si>
    <t>Nguyên giá_2512</t>
  </si>
  <si>
    <t>KH LK_2512</t>
  </si>
  <si>
    <t>KH_Q4.25</t>
  </si>
  <si>
    <t>GTCL_2512</t>
  </si>
  <si>
    <t>GTCL_2601</t>
  </si>
  <si>
    <t>GTCL_2602</t>
  </si>
  <si>
    <t>GTCL_2603</t>
  </si>
  <si>
    <t>GTCL_2604</t>
  </si>
  <si>
    <t>GTCL_2605</t>
  </si>
  <si>
    <t>GTCL_2606</t>
  </si>
  <si>
    <t>GTCL_2607</t>
  </si>
  <si>
    <t>GTCL_2608</t>
  </si>
  <si>
    <t>GTCL_2609</t>
  </si>
  <si>
    <t>GTCL_2610</t>
  </si>
  <si>
    <t>GTCL_2611</t>
  </si>
  <si>
    <t>GTCL_2612</t>
  </si>
  <si>
    <t>DH01-TNHH</t>
  </si>
  <si>
    <t>Khấu hao/tháng</t>
  </si>
  <si>
    <t>TỔNG KHẤU HAO 2026</t>
  </si>
  <si>
    <t>TNHH-35-01</t>
  </si>
  <si>
    <t>TNHH-35-02</t>
  </si>
  <si>
    <t>Máy lựa vảy , model: 6SXZ-480CI-GY-01</t>
  </si>
  <si>
    <t>Máy lựa vảy , model: 6SXZ-480CI-GY-02</t>
  </si>
  <si>
    <t>BORE-R03</t>
  </si>
  <si>
    <t>1001602148</t>
  </si>
  <si>
    <t>Chuyền Rửa Vảy PET 5</t>
  </si>
  <si>
    <t>TNHH-47</t>
  </si>
  <si>
    <t>DH01-TNHH-Chưa ký</t>
  </si>
  <si>
    <t>KHẤU HAO TÀI SẢN CỐ ĐỊNH-HIỆN HỮU 30/09</t>
  </si>
  <si>
    <t>T/G điều chỉnh</t>
  </si>
  <si>
    <t>Điều chỉnh</t>
  </si>
  <si>
    <t>Đvt: triệu đồng</t>
  </si>
  <si>
    <t>STT</t>
  </si>
  <si>
    <t>MÃ TÀI SẢN</t>
  </si>
  <si>
    <t>NHÓM TÀI SẢN CỐ ĐỊNH</t>
  </si>
  <si>
    <t>THỜI GIAN BẮT ĐẦU KHẤU HAO</t>
  </si>
  <si>
    <t>SỐ LƯỢNG</t>
  </si>
  <si>
    <t>THỜI GIAN TRÍCH KHẤU HAO HIỆN TẠI CỦA DTR (NĂM)</t>
  </si>
  <si>
    <t>THỜI GIAN TRÍCH KHẤU HAO SAU THAY ĐỔI CỦA DTR (NĂM)</t>
  </si>
  <si>
    <t>THỜI GIAN KHẤU HAO THEO TT45/2013/TT-BTC</t>
  </si>
  <si>
    <t>GIÁ TRỊ KHẤU HAO TRƯỚC THAY ĐỔI/NĂM</t>
  </si>
  <si>
    <t>GIÁ TRỊ KHẤU HAO SAU THAY ĐỔI/NĂM</t>
  </si>
  <si>
    <t>GIÁ TRỊ KHẤU HAO GIẢM SAU ĐIỀU CHỈNH</t>
  </si>
  <si>
    <t>I</t>
  </si>
  <si>
    <r>
      <rPr>
        <b/>
        <i/>
        <sz val="7"/>
        <color rgb="FF000000"/>
        <rFont val="Times New Roman"/>
        <family val="1"/>
      </rPr>
      <t xml:space="preserve"> </t>
    </r>
    <r>
      <rPr>
        <b/>
        <i/>
        <sz val="12"/>
        <color rgb="FF000000"/>
        <rFont val="Times New Roman"/>
        <family val="1"/>
      </rPr>
      <t>Xây dựng cơ bản</t>
    </r>
  </si>
  <si>
    <t>I.1</t>
  </si>
  <si>
    <t>Nhà xưởng</t>
  </si>
  <si>
    <t xml:space="preserve">25 - 50 </t>
  </si>
  <si>
    <t>I.2</t>
  </si>
  <si>
    <t>Các vật kiến trúc khác</t>
  </si>
  <si>
    <t xml:space="preserve">3 - 8 </t>
  </si>
  <si>
    <t>5 - 10</t>
  </si>
  <si>
    <t>I.3</t>
  </si>
  <si>
    <t>Hệ thống xử lý nước thải</t>
  </si>
  <si>
    <t xml:space="preserve">6 - 25 </t>
  </si>
  <si>
    <t>I.4</t>
  </si>
  <si>
    <t>Nhà kho chứa hàng</t>
  </si>
  <si>
    <t xml:space="preserve">5 - 20 </t>
  </si>
  <si>
    <t>I.5</t>
  </si>
  <si>
    <t>Nhà để xe, nhà ăn, WC</t>
  </si>
  <si>
    <t>I.6</t>
  </si>
  <si>
    <r>
      <rPr>
        <b/>
        <sz val="7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Trạm điện, dây cáp, tủ động lực thiết bị điện bên ngoài nhà xưởng</t>
    </r>
  </si>
  <si>
    <t>6 - 15</t>
  </si>
  <si>
    <t>I.7</t>
  </si>
  <si>
    <t>Máy phát điện, tủ điện, thiết bị điện, thang cáp dây điện bên trong nhà xưởng</t>
  </si>
  <si>
    <t xml:space="preserve">6 - 15 </t>
  </si>
  <si>
    <t>I.8</t>
  </si>
  <si>
    <t>Hệ thống đường ống và máy nén khí, giải nhiệt</t>
  </si>
  <si>
    <t>I.9</t>
  </si>
  <si>
    <t>Hệ thống PCCC và thiết bị đi kèm</t>
  </si>
  <si>
    <t>II</t>
  </si>
  <si>
    <t>Máy móc thiết bị sản xuất kinh doanh</t>
  </si>
  <si>
    <t>II.1</t>
  </si>
  <si>
    <t>Máy móc thiết bị, máy móc sản xuất linh kiện, cơ khí chính xác</t>
  </si>
  <si>
    <t>5 – 15</t>
  </si>
  <si>
    <t>II.2</t>
  </si>
  <si>
    <t>Máy móc, thiết bị khác</t>
  </si>
  <si>
    <t xml:space="preserve">3-10 </t>
  </si>
  <si>
    <t xml:space="preserve">5 – 12 </t>
  </si>
  <si>
    <t>III.3</t>
  </si>
  <si>
    <r>
      <rPr>
        <b/>
        <sz val="7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Palang, cẩu trục</t>
    </r>
  </si>
  <si>
    <t>III.4</t>
  </si>
  <si>
    <r>
      <rPr>
        <b/>
        <sz val="7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 xml:space="preserve">Phương tiện và dụng cụ quản lý </t>
    </r>
  </si>
  <si>
    <t>III.5</t>
  </si>
  <si>
    <t xml:space="preserve">Các thiết bị đo lường, thí nghiệm </t>
  </si>
  <si>
    <t>III.6</t>
  </si>
  <si>
    <r>
      <rPr>
        <b/>
        <sz val="7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Kho chứa, bãi chứa, cầu đường</t>
    </r>
  </si>
  <si>
    <t>III.7</t>
  </si>
  <si>
    <t>Thiết bị và phương tiện vận tải khác</t>
  </si>
  <si>
    <t>III.8</t>
  </si>
  <si>
    <t>Khuôn mẫu</t>
  </si>
  <si>
    <t xml:space="preserve">2 - 5 </t>
  </si>
  <si>
    <t>III.9</t>
  </si>
  <si>
    <t>Các loại tài sản cố định hữu hình khác chưa quy định trong các nhóm trên</t>
  </si>
  <si>
    <t xml:space="preserve">3 - 15 </t>
  </si>
  <si>
    <t xml:space="preserve">4 - 25 </t>
  </si>
  <si>
    <t>IV</t>
  </si>
  <si>
    <t>Súc vật, vườn cây lâu năm</t>
  </si>
  <si>
    <t>IV.1</t>
  </si>
  <si>
    <t>Các loại súc vật</t>
  </si>
  <si>
    <t>2-8</t>
  </si>
  <si>
    <t xml:space="preserve">4 - 15 </t>
  </si>
  <si>
    <t>IV.2</t>
  </si>
  <si>
    <t>Các Vườn cây công nghiệp</t>
  </si>
  <si>
    <t>6 - 40</t>
  </si>
  <si>
    <t>IV.3</t>
  </si>
  <si>
    <t>Cây xanh, thảm cỏ</t>
  </si>
  <si>
    <t>2 - 8</t>
  </si>
  <si>
    <t>V</t>
  </si>
  <si>
    <t>Thiết bị quản lý</t>
  </si>
  <si>
    <t>V.1</t>
  </si>
  <si>
    <t>Thiết bị tính toán, đo lường</t>
  </si>
  <si>
    <t xml:space="preserve">5 - 8 </t>
  </si>
  <si>
    <t>V.2</t>
  </si>
  <si>
    <t>Phương tiện và dụng cụ quản lý khác</t>
  </si>
  <si>
    <t>V.3</t>
  </si>
  <si>
    <t>Máy móc, thiết bị thông tin, điện tử và phần mềm tin học phục vụ quản lý</t>
  </si>
  <si>
    <t>V.4</t>
  </si>
  <si>
    <t>Máy móc, thiết bị viễn thông, thông tin, điện tử, tin học và truyền hình</t>
  </si>
  <si>
    <t>V.5</t>
  </si>
  <si>
    <t>Tài sản cố định vô hình khác</t>
  </si>
  <si>
    <t>2 - 20</t>
  </si>
  <si>
    <t>TỔNG CỘNG</t>
  </si>
  <si>
    <t>Thời gian kết thúc khấu hao_điều chỉnh</t>
  </si>
  <si>
    <t>KH/Kỳ</t>
  </si>
  <si>
    <t>Số kỳ đã khấu hao</t>
  </si>
  <si>
    <t>104600143</t>
  </si>
  <si>
    <t>Thi công mới nhà vệ sinh VP F02</t>
  </si>
  <si>
    <t>CPSXDD-01</t>
  </si>
  <si>
    <t>Thời gian khấu hao còn lại</t>
  </si>
  <si>
    <t>CPSXDD-02</t>
  </si>
  <si>
    <t>Máy chi cơm nhà ăn</t>
  </si>
  <si>
    <t>CPSXDD-03</t>
  </si>
  <si>
    <t>CPSXDD</t>
  </si>
  <si>
    <t>Máy quấn màng pallet tự động</t>
  </si>
  <si>
    <t>Bạt che Navidock - cửa đóng dock cont số 2,3</t>
  </si>
  <si>
    <t>Máy quét rác</t>
  </si>
  <si>
    <t>CPSXDD-04</t>
  </si>
  <si>
    <t>CPSXDD-05</t>
  </si>
  <si>
    <t>CPSXDD-06</t>
  </si>
  <si>
    <t>Hiệu máy</t>
  </si>
  <si>
    <t>SENDAI</t>
  </si>
  <si>
    <t>Công ty TNHH Thương mại Dịch vụ Công nghiệp Quang Minh</t>
  </si>
  <si>
    <t>BẢNG SO SÁNH TRƯỚC &amp; SAU KHI THAY ĐỔI THỜI GIAN TRÍCH KHẤU HAO</t>
  </si>
  <si>
    <t>ĐVT: triệu đồng</t>
  </si>
  <si>
    <t>Stt</t>
  </si>
  <si>
    <t>Nhóm tài sản cố định</t>
  </si>
  <si>
    <t>Thời gian bắt đầu khấu hao</t>
  </si>
  <si>
    <t>Số lượng</t>
  </si>
  <si>
    <t xml:space="preserve">Số năm DTR đang trích khấu hao </t>
  </si>
  <si>
    <t xml:space="preserve"> DTR đề xuất thay đổi (năm)</t>
  </si>
  <si>
    <t>Thời gian khấu hao theo TT45/2013/TT-BTC</t>
  </si>
  <si>
    <t>Giá trị khấu hao trước thay đổi/năm</t>
  </si>
  <si>
    <t xml:space="preserve">Giá trị khấu hao sau thay đổi/năm </t>
  </si>
  <si>
    <t>Giá trị khấu hao giảm sau điều chỉnh</t>
  </si>
  <si>
    <t>Nhà cửa, vật kiến trúc</t>
  </si>
  <si>
    <t>Kho chứa, bể chứa</t>
  </si>
  <si>
    <t>5 - 20</t>
  </si>
  <si>
    <t>Nhà cửa khác</t>
  </si>
  <si>
    <t>6 - 25</t>
  </si>
  <si>
    <t>II.3</t>
  </si>
  <si>
    <t>II.4</t>
  </si>
  <si>
    <t>Máy biến áp và thiết bị nguồn điện</t>
  </si>
  <si>
    <t>7 - 15</t>
  </si>
  <si>
    <t>104600144</t>
  </si>
  <si>
    <t>Đầu tư bồn trộn hạt nhựa 22 tấn(MIX 9) F3</t>
  </si>
  <si>
    <t>104600145</t>
  </si>
  <si>
    <t>Thu bụi toàn nhà máy DTR (Giai đoạn 1+2)</t>
  </si>
  <si>
    <t>Máy tách kim loại CHWO-R01</t>
  </si>
  <si>
    <t>Máy tách kim loại CHWO-R02</t>
  </si>
  <si>
    <t>Máy tách kim loại BORE-R01</t>
  </si>
  <si>
    <t>Sàn rung lựa vảy CHWO-R01</t>
  </si>
  <si>
    <t>Sàn rung lựa vảy CHWO-R02</t>
  </si>
  <si>
    <t>Sàn rung lựa vảy BORE-R02</t>
  </si>
  <si>
    <t>Hệ lọc nước RO</t>
  </si>
  <si>
    <t>CPSXDD-07</t>
  </si>
  <si>
    <t>CPSXDD-08</t>
  </si>
  <si>
    <t>CPSXDD-09</t>
  </si>
  <si>
    <t>CPSXDD-10</t>
  </si>
  <si>
    <t>CPSXDD-11</t>
  </si>
  <si>
    <t>CPSXDD-12</t>
  </si>
  <si>
    <t>CPSXDD-13</t>
  </si>
  <si>
    <t>CPSXDD-14</t>
  </si>
  <si>
    <t>Ô TÔ sát xi tải ISUZU FVR FVR34VE5-01</t>
  </si>
  <si>
    <t>Ô TÔ sát xi tải ISUZU FVR FVR34VE5-02</t>
  </si>
  <si>
    <t>Ô TÔ sát xi tải ISUZU FVR FVR34VE5-03</t>
  </si>
  <si>
    <t>CPSXDD-15</t>
  </si>
  <si>
    <t>CPSXDD-16</t>
  </si>
  <si>
    <t>CPSXDD-17</t>
  </si>
  <si>
    <t>ĐẦU TƯ HỆ KHỬ MÙI</t>
  </si>
  <si>
    <t>Lắp hệ NLMT mái DTR</t>
  </si>
  <si>
    <t>Chế tạo và lắp đặt Thiết bị chuyền băm CHWO-B01 (chuyền băm 1)</t>
  </si>
  <si>
    <t>chế tạo và lắp đặt Thiết bị chuyền băm BORE-B01 (chuyền băm 3 )</t>
  </si>
  <si>
    <t>CP đầu tư sàn rung STAR-01 (1 cái)</t>
  </si>
  <si>
    <t>CP đầu tư sàn rung STAR-03 (2 cái)</t>
  </si>
  <si>
    <t>CP đầu tư sàn rung MIX-03 (1 cái)</t>
  </si>
  <si>
    <t>CP đầu tư sàn rung MEYER-01 (1 cái)</t>
  </si>
  <si>
    <t>CP đầu tư lắp HT làm mát F02</t>
  </si>
  <si>
    <t>CPSXDD-18</t>
  </si>
  <si>
    <t>CPSXDD-19</t>
  </si>
  <si>
    <t>CPSXDD-20</t>
  </si>
  <si>
    <t>CPSXDD-21</t>
  </si>
  <si>
    <t>CPSXDD-22</t>
  </si>
  <si>
    <t>CPSXDD-23</t>
  </si>
  <si>
    <t>CPSXDD-24</t>
  </si>
  <si>
    <t>CPSXDD-25</t>
  </si>
  <si>
    <t>CPSXDD-26</t>
  </si>
  <si>
    <t>CPSXDD-27</t>
  </si>
  <si>
    <t>CPSXDD-28</t>
  </si>
  <si>
    <t>CPSXDD-29</t>
  </si>
  <si>
    <t>CPSXDD-30</t>
  </si>
  <si>
    <t>CPSXDD-31</t>
  </si>
  <si>
    <t>EREMA-01</t>
  </si>
  <si>
    <t>Đầu tư hệ nạp masterbatch-01</t>
  </si>
  <si>
    <t>Đầu tư hệ nạp masterbatch-02</t>
  </si>
  <si>
    <t>Đầu tư hệ nạp masterbatch-03</t>
  </si>
  <si>
    <t>STAR-02</t>
  </si>
  <si>
    <t>CPSXDD-32</t>
  </si>
  <si>
    <t>Máy sort chai chuyền băm 1 - CHWO-B01 (1 máy)</t>
  </si>
  <si>
    <t>Máy sort chai chuyền băm 3 - BORE-B01 (2 máy)-01</t>
  </si>
  <si>
    <t>Máy sort chai chuyền băm 3 - BORE-B01 (2 máy)-02</t>
  </si>
  <si>
    <t>CPSXDD-33</t>
  </si>
  <si>
    <t>101000026</t>
  </si>
  <si>
    <t>CPSXDD-34</t>
  </si>
  <si>
    <t>CPSXDD-35</t>
  </si>
  <si>
    <t>CPSXDD-36</t>
  </si>
  <si>
    <t>Lắp đặt 26 camera DTR và TĐH</t>
  </si>
  <si>
    <t>CPSXDD-37</t>
  </si>
  <si>
    <t>Chuyền tạo màng rPET</t>
  </si>
  <si>
    <t>Thảm thêm 1 lớp bê tông nhựa nóng cho toàn bộ đường công ty</t>
  </si>
  <si>
    <t>Máy Quang phổ kế định danh vật liệu FT-IR</t>
  </si>
  <si>
    <t>Làm phòng cho giám sát, tổ trưởng</t>
  </si>
  <si>
    <t>Đầu tư Robot Delta hỗ trợ phân loại chai đầu vào cho QC F6</t>
  </si>
  <si>
    <t>Mã TK KH_C1</t>
  </si>
  <si>
    <t>627</t>
  </si>
  <si>
    <t>Mới-TNHH</t>
  </si>
  <si>
    <t>Hệ Thống cấp liệu và silo trộn 35m3</t>
  </si>
  <si>
    <t>Tên nhóm TS-Rút gọn</t>
  </si>
  <si>
    <t>TSCĐ thuê TC: Khuôn các loại</t>
  </si>
  <si>
    <t>TSCĐ thuê TC: TSCĐ khác</t>
  </si>
  <si>
    <t>TSCĐ vô hình thuê tài chính</t>
  </si>
  <si>
    <t>Quyền sử dụng đất</t>
  </si>
  <si>
    <t>TSCĐ vô hình khác</t>
  </si>
  <si>
    <t>Nhãn hiệu hàng hóa</t>
  </si>
  <si>
    <t>TSCĐ thuê TC: Cây lâu năm, súc vật làm việc&amp;cho SP</t>
  </si>
  <si>
    <t>Quyền phát hành</t>
  </si>
  <si>
    <t>Bản quyền, bằng sáng chế</t>
  </si>
  <si>
    <t>Giấy phép và giấy phép nhượng quyền</t>
  </si>
  <si>
    <t>Tên Nhóm tài sản-Rút gọn</t>
  </si>
  <si>
    <t>Nhóm tài sản-Rút gọn</t>
  </si>
  <si>
    <t>Phần mềm công nghệ thông tin</t>
  </si>
  <si>
    <t>Máy móc thiết bị</t>
  </si>
  <si>
    <t>Máy móc thiết bị thuê tài chính</t>
  </si>
  <si>
    <t>Phương tiện vận tải thuê tài chính</t>
  </si>
  <si>
    <t>Phương tiện vận tải</t>
  </si>
  <si>
    <t>Thiết bị quản lý thuê tài chính</t>
  </si>
  <si>
    <t>Nhà cửa, vật kiến trúc thuê tài chính</t>
  </si>
  <si>
    <t>104000186</t>
  </si>
  <si>
    <t>KH26-01</t>
  </si>
  <si>
    <t>KH26-02</t>
  </si>
  <si>
    <t>KH26-03</t>
  </si>
  <si>
    <t>KH26-08</t>
  </si>
  <si>
    <t>KH26-04</t>
  </si>
  <si>
    <t>KH26-05</t>
  </si>
  <si>
    <t>KH26-06</t>
  </si>
  <si>
    <t>KH26-07</t>
  </si>
  <si>
    <t>KH26-09</t>
  </si>
  <si>
    <t>KH26-10</t>
  </si>
  <si>
    <t>KH26-11</t>
  </si>
  <si>
    <t>KH26-12</t>
  </si>
  <si>
    <t>KH26-13</t>
  </si>
  <si>
    <t>KH26-14</t>
  </si>
  <si>
    <t>KH26-15</t>
  </si>
  <si>
    <t>KH26-16</t>
  </si>
  <si>
    <t>KH26-17</t>
  </si>
  <si>
    <t>KH26-18</t>
  </si>
  <si>
    <t>KH26-19</t>
  </si>
  <si>
    <t>KH26-20</t>
  </si>
  <si>
    <t>KH26-21</t>
  </si>
  <si>
    <t>KH26-22</t>
  </si>
  <si>
    <t>KH26-23</t>
  </si>
  <si>
    <t>KH26-24</t>
  </si>
  <si>
    <t>KH26-25</t>
  </si>
  <si>
    <t>KH26-26</t>
  </si>
  <si>
    <t>KH26-27</t>
  </si>
  <si>
    <t>KH26-28</t>
  </si>
  <si>
    <t>KH26-29</t>
  </si>
  <si>
    <t>KH26-30</t>
  </si>
  <si>
    <t>KH26-31</t>
  </si>
  <si>
    <t>KH26-32</t>
  </si>
  <si>
    <t>KH26-33</t>
  </si>
  <si>
    <t>KH26-34</t>
  </si>
  <si>
    <t>KH26-35</t>
  </si>
  <si>
    <t>KH26-36</t>
  </si>
  <si>
    <t>KH26-37</t>
  </si>
  <si>
    <t>KH26-38</t>
  </si>
  <si>
    <t>KH26-39</t>
  </si>
  <si>
    <t>KH26-40</t>
  </si>
  <si>
    <t>KH26-41</t>
  </si>
  <si>
    <t>KH26-42</t>
  </si>
  <si>
    <t>KH26-43</t>
  </si>
  <si>
    <t>KH26-44</t>
  </si>
  <si>
    <t>KH26-45</t>
  </si>
  <si>
    <t>KH26-46</t>
  </si>
  <si>
    <t>KH26-47</t>
  </si>
  <si>
    <t>KH26-48</t>
  </si>
  <si>
    <t>Máy băm nhựa rPET | Máy băm nhựa rPET chuyền CHWO-B01</t>
  </si>
  <si>
    <t>Bồn chứa điều tiết hóa chất dòng nóng trạm 500  | Lắp thêm 2 bồn ( 50m3/ bồn )  chứa nước thải hóa chất nóng để điều tiết xử lý cho trạm 500m3/ngày đêm</t>
  </si>
  <si>
    <t>Máy tách kim loại ECS | Máy tách kim loại cho chuyền xử lý phó sản</t>
  </si>
  <si>
    <t>Máy phân loại chai tự động chuyền Băm 2 | Máy sort chai tự động cho chuyền băm 2</t>
  </si>
  <si>
    <t>Hệ thống thông gió nhà xưởng | Hệ thống thông gió cho xưởng F01, F04 và F05</t>
  </si>
  <si>
    <t>Lắp Pallang lấy hàng thành phẩm Kho F1 | Phương án Pallang lấy hàng thành phẩm cho Kho F1</t>
  </si>
  <si>
    <t>Phần mềm quản lý bảo trì, quản lý tài sản thiết bị | Phần mềm quản lý bảo trì máy móc thiết bị CMMS (Computerized Maintenance Management System)</t>
  </si>
  <si>
    <t xml:space="preserve">Bổ sung thiết bị phòng lab | Máy đo IV Tester </t>
  </si>
  <si>
    <t xml:space="preserve">Bổ sung thiết bị phòng lab | Tủ sấy chân không </t>
  </si>
  <si>
    <t>Bổ sung thiết bị phòng lab | Máy đo mùi cầm tay</t>
  </si>
  <si>
    <t>Bổ sung thiết bị phòng lab | Tủ sấy vảy F6</t>
  </si>
  <si>
    <t>Hệ xử lý bụi, sợi tank hạt thành phẩm | Hệ thu bụi, sợi cho chuyền tạo hạt rPET</t>
  </si>
  <si>
    <t>Hệ thống IT | Hệ thống SMS-Trạm thu mua</t>
  </si>
  <si>
    <t>Hệ thống IT | Bổ sung và cải tiến GĐ 2 VMS</t>
  </si>
  <si>
    <t>Hệ thống IT | Triển khai AI Copilot</t>
  </si>
  <si>
    <t>Máy phát hiện kim loại | Máy phát hiện kim loại cho chuyền băm Changwoen01, 02</t>
  </si>
  <si>
    <t>Pallang nạp liệu | Pallang và vít nạp liệu bồn MIX-04</t>
  </si>
  <si>
    <t>Pallang nạp liệu | Pallang và vít nạp liệu máy TAIH-03</t>
  </si>
  <si>
    <t>Pallang nạp liệu | Pallang và vít nạp liệu máy tạo hạt YePP-01</t>
  </si>
  <si>
    <t>Pallang nạp liệu | Xe nâng tay điện Noblelift (3 chiếc sử dụng cho F2-F4)</t>
  </si>
  <si>
    <t>Máy tách kim loại Sesotec | Máy tách kim loại cho máy Mix09</t>
  </si>
  <si>
    <t>Sàn rung hạt nhựa | Sàn rung hạt nhựa cho máy Meyer tách hạt</t>
  </si>
  <si>
    <t>Cửa cuốn tự động | Ngăn chặn côn trung, bụi lây nhiễm vào sản phẩm xưởng F3</t>
  </si>
  <si>
    <t>Cửa cuốn tự động | Ngăn chặn côn trung, bụi lây nhiễm vào sản phẩm xưởng F2, F5, F4</t>
  </si>
  <si>
    <t>Đổ bê tông tận dụng khu vực bãi cỏ trước F7 để chứa hàng | Đổ bê tông</t>
  </si>
  <si>
    <t xml:space="preserve">Đổ bê tông tận dụng khu vực bãi cỏ trước F7 để chứa hàng | Làm mái che để hàng </t>
  </si>
  <si>
    <t>Nhà sạc xe nâng | Nới rộng nhà sạc xe nâng</t>
  </si>
  <si>
    <t>Thiết bị camera giám sát | Lắp đặt 26 camera mới DTR</t>
  </si>
  <si>
    <t>Máy hút hạt nhựa | Máy hút hạt nhựa, bột nhựa</t>
  </si>
  <si>
    <t>Càng kẹp xe nâng | Càng kẹp xe càng dao xuống hàng chai kho NVL - F6</t>
  </si>
  <si>
    <t>Máy chà sàn có người lái | Máy chà sàn kho thành phẩm</t>
  </si>
  <si>
    <t>Vít tải lấy liệu bồn mix - 02  | Mua mới lắp đặt vít lấy liệu cho bồn mix-02</t>
  </si>
  <si>
    <t>Văn phòng Kho F6 | Di dời và xây dựng VP Kho F6 ra cổng bảo vệ số 3</t>
  </si>
  <si>
    <t>Tách riêng Máy ép PET &amp; HD/PP | Khuôn thẻ chữ nhật để ép PET</t>
  </si>
  <si>
    <t>Pallang nâng hạ bao jumbo | Pallang nâng hạ bao jumbo cho chuyền chai PET (chuyền kiểm tra)</t>
  </si>
  <si>
    <t>Xe nâng tay điện | Sử dụng F4 ( F4 chưa có xe nào)</t>
  </si>
  <si>
    <t>Xe nâng tay điện | Sử dụng chuyền rửa 2</t>
  </si>
  <si>
    <t>Sàn rung xử lý phó sản | Sàn rung 2 lớp xử lý phó sản</t>
  </si>
  <si>
    <t>Cải tiến bể tuyển nổi | Cải tiến bể tuyển nổi chuyển băm rửa Changwoen 01, 02, Bore-02</t>
  </si>
  <si>
    <t>Máy tách kim loại Sesotec | Máy tách kim loại cho máy Mix03</t>
  </si>
  <si>
    <t>Sàn rung hạt nhựa | Sàn rung hạt nhựa cho máy Mix-03</t>
  </si>
  <si>
    <t>Máy mài dao băm | Máy mài dao băm cho các chuyền băm tại DTR</t>
  </si>
  <si>
    <t>Tên nhóm TS-Rút gọn-v2</t>
  </si>
  <si>
    <t>TSCĐHH-Khác</t>
  </si>
  <si>
    <t>Khuôn</t>
  </si>
  <si>
    <t>TSCĐVH-Khác</t>
  </si>
  <si>
    <t>Tên Nhóm tài sản-Rút gọn-v2</t>
  </si>
  <si>
    <t>KH 2025</t>
  </si>
  <si>
    <t>CPSXDD-38</t>
  </si>
  <si>
    <t>Giấy phép môi trường giai đoạn 2</t>
  </si>
  <si>
    <t>KH26-49</t>
  </si>
  <si>
    <t>Băng tải cân tự động kiện chai PET đầu vào tại kho F6 (cân từng kiện)</t>
  </si>
  <si>
    <t>Ngành</t>
  </si>
  <si>
    <t>Chung</t>
  </si>
  <si>
    <t>PET</t>
  </si>
  <si>
    <t>None</t>
  </si>
  <si>
    <t>HD/PP</t>
  </si>
  <si>
    <t>Chung-PET</t>
  </si>
  <si>
    <t>Xơ sợi</t>
  </si>
  <si>
    <t>x</t>
  </si>
  <si>
    <t>Ngành-Tách PET-Xơ sợi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</si>
</sst>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(* #,##0_);_(* \(#,##0\);;_(@_)"/>
    <numFmt numFmtId="167" formatCode="_-* #,##0_-;\-* #,##0_-;_-* &quot;-&quot;??_-;_-@_-"/>
    <numFmt numFmtId="168" formatCode="_(* #,##0.000_);_(* \(#,##0.000\);_(* &quot;-&quot;??_);_(@_)"/>
    <numFmt numFmtId="169" formatCode="_(* #,##0.0_);_(* \(#,##0.0\);_(* &quot;-&quot;??_);_(@_)"/>
  </numFmts>
  <fonts count="34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i/>
      <sz val="11"/>
      <color rgb="FFFF0000"/>
      <name val="Aptos Display"/>
      <family val="2"/>
      <scheme val="major"/>
    </font>
    <font>
      <b/>
      <sz val="11"/>
      <color theme="0" tint="-4.9989318521683403E-2"/>
      <name val="Aptos Display"/>
      <family val="2"/>
      <scheme val="major"/>
    </font>
    <font>
      <i/>
      <sz val="11"/>
      <color rgb="FFFF0000"/>
      <name val="Aptos Display"/>
      <family val="2"/>
      <scheme val="major"/>
    </font>
    <font>
      <sz val="8"/>
      <name val="Aptos Display"/>
      <family val="2"/>
      <scheme val="major"/>
    </font>
    <font>
      <sz val="10"/>
      <name val="Arial"/>
      <family val="2"/>
    </font>
    <font>
      <b/>
      <sz val="16"/>
      <color rgb="FF119303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color rgb="FF0066FF"/>
      <name val="Times New Roman"/>
      <family val="1"/>
    </font>
    <font>
      <b/>
      <sz val="16"/>
      <color rgb="FFFFC000"/>
      <name val="Times New Roman"/>
      <family val="1"/>
    </font>
    <font>
      <b/>
      <sz val="11"/>
      <color rgb="FFFF0000"/>
      <name val="Aptos Display"/>
      <family val="2"/>
      <scheme val="major"/>
    </font>
    <font>
      <sz val="10"/>
      <color rgb="FF002060"/>
      <name val="Arial"/>
      <family val="2"/>
    </font>
    <font>
      <sz val="10"/>
      <color rgb="FF9C0006"/>
      <name val="Arial"/>
      <family val="2"/>
    </font>
    <font>
      <sz val="10"/>
      <color rgb="FFFF0000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i/>
      <sz val="7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7"/>
      <color rgb="FF000000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Display"/>
      <family val="2"/>
      <scheme val="major"/>
    </font>
    <font>
      <b/>
      <sz val="14"/>
      <color theme="1"/>
      <name val="Times New Roman"/>
      <family val="1"/>
    </font>
    <font>
      <i/>
      <sz val="12"/>
      <color rgb="FF0000FF"/>
      <name val="Times New Roman"/>
      <family val="1"/>
    </font>
    <font>
      <sz val="11"/>
      <name val="Aptos Display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hair">
        <color theme="0" tint="-0.14993743705557422"/>
      </top>
      <bottom style="hair">
        <color theme="0" tint="-0.14990691854609822"/>
      </bottom>
      <diagonal/>
    </border>
    <border>
      <left style="thick">
        <color rgb="FFC00000"/>
      </left>
      <right style="thick">
        <color rgb="FFC00000"/>
      </right>
      <top style="hair">
        <color theme="0" tint="-0.14993743705557422"/>
      </top>
      <bottom style="hair">
        <color theme="0" tint="-0.14990691854609822"/>
      </bottom>
      <diagonal/>
    </border>
    <border>
      <left/>
      <right/>
      <top style="hair">
        <color theme="0" tint="-0.14990691854609822"/>
      </top>
      <bottom style="hair">
        <color theme="0" tint="-0.14990691854609822"/>
      </bottom>
      <diagonal/>
    </border>
    <border>
      <left style="thick">
        <color rgb="FFC00000"/>
      </left>
      <right style="thick">
        <color rgb="FFC00000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/>
      <top style="hair">
        <color theme="0" tint="-0.14990691854609822"/>
      </top>
      <bottom style="hair">
        <color theme="0" tint="-0.14996795556505021"/>
      </bottom>
      <diagonal/>
    </border>
    <border>
      <left/>
      <right/>
      <top style="hair">
        <color theme="0" tint="-0.14990691854609822"/>
      </top>
      <bottom/>
      <diagonal/>
    </border>
    <border>
      <left style="thick">
        <color rgb="FFC00000"/>
      </left>
      <right style="thick">
        <color rgb="FFC00000"/>
      </right>
      <top style="hair">
        <color theme="0" tint="-0.14990691854609822"/>
      </top>
      <bottom style="thick">
        <color rgb="FFC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0" fillId="0" borderId="0"/>
  </cellStyleXfs>
  <cellXfs count="2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4" borderId="0" xfId="0" applyFill="1"/>
    <xf numFmtId="0" fontId="5" fillId="3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/>
    </xf>
    <xf numFmtId="0" fontId="11" fillId="0" borderId="0" xfId="3" applyFont="1" applyAlignment="1">
      <alignment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0" fillId="0" borderId="1" xfId="0" applyBorder="1"/>
    <xf numFmtId="0" fontId="0" fillId="0" borderId="2" xfId="0" applyBorder="1"/>
    <xf numFmtId="9" fontId="0" fillId="0" borderId="1" xfId="0" applyNumberFormat="1" applyBorder="1"/>
    <xf numFmtId="9" fontId="0" fillId="0" borderId="2" xfId="0" applyNumberFormat="1" applyBorder="1"/>
    <xf numFmtId="0" fontId="6" fillId="0" borderId="0" xfId="0" applyFont="1" applyAlignment="1">
      <alignment horizontal="center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16" fillId="12" borderId="3" xfId="0" applyFont="1" applyFill="1" applyBorder="1" applyAlignment="1">
      <alignment horizontal="justify" vertical="center" wrapText="1"/>
    </xf>
    <xf numFmtId="0" fontId="16" fillId="12" borderId="4" xfId="0" applyFont="1" applyFill="1" applyBorder="1" applyAlignment="1">
      <alignment horizontal="justify" vertical="center"/>
    </xf>
    <xf numFmtId="0" fontId="16" fillId="12" borderId="4" xfId="0" applyFont="1" applyFill="1" applyBorder="1" applyAlignment="1">
      <alignment horizontal="justify" vertical="center" wrapText="1"/>
    </xf>
    <xf numFmtId="0" fontId="16" fillId="0" borderId="5" xfId="0" applyFont="1" applyBorder="1" applyAlignment="1">
      <alignment horizontal="justify" vertical="center"/>
    </xf>
    <xf numFmtId="0" fontId="16" fillId="0" borderId="6" xfId="0" applyFont="1" applyBorder="1" applyAlignment="1">
      <alignment horizontal="justify" vertical="center"/>
    </xf>
    <xf numFmtId="0" fontId="17" fillId="0" borderId="6" xfId="0" applyFont="1" applyBorder="1" applyAlignment="1">
      <alignment horizontal="justify" vertical="center"/>
    </xf>
    <xf numFmtId="0" fontId="16" fillId="0" borderId="6" xfId="0" applyFont="1" applyBorder="1" applyAlignment="1">
      <alignment horizontal="justify" vertical="center" wrapText="1"/>
    </xf>
    <xf numFmtId="0" fontId="18" fillId="0" borderId="6" xfId="0" applyFont="1" applyBorder="1" applyAlignment="1">
      <alignment horizontal="justify" vertical="center"/>
    </xf>
    <xf numFmtId="0" fontId="16" fillId="5" borderId="4" xfId="0" applyFont="1" applyFill="1" applyBorder="1" applyAlignment="1">
      <alignment horizontal="justify" vertical="center" wrapText="1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7" xfId="0" applyNumberFormat="1" applyBorder="1"/>
    <xf numFmtId="0" fontId="0" fillId="13" borderId="0" xfId="0" applyFill="1"/>
    <xf numFmtId="0" fontId="3" fillId="14" borderId="0" xfId="0" applyFont="1" applyFill="1" applyAlignment="1">
      <alignment horizontal="center" vertical="center" wrapText="1"/>
    </xf>
    <xf numFmtId="165" fontId="0" fillId="0" borderId="0" xfId="0" applyNumberFormat="1"/>
    <xf numFmtId="0" fontId="3" fillId="15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4" borderId="2" xfId="0" applyFill="1" applyBorder="1"/>
    <xf numFmtId="0" fontId="0" fillId="4" borderId="2" xfId="0" applyFill="1" applyBorder="1" applyAlignment="1">
      <alignment vertical="top"/>
    </xf>
    <xf numFmtId="49" fontId="0" fillId="4" borderId="2" xfId="0" applyNumberFormat="1" applyFill="1" applyBorder="1" applyAlignment="1">
      <alignment vertical="top"/>
    </xf>
    <xf numFmtId="166" fontId="0" fillId="4" borderId="2" xfId="0" applyNumberFormat="1" applyFill="1" applyBorder="1"/>
    <xf numFmtId="14" fontId="0" fillId="4" borderId="2" xfId="0" applyNumberFormat="1" applyFill="1" applyBorder="1" applyAlignment="1">
      <alignment horizontal="right" vertical="top"/>
    </xf>
    <xf numFmtId="14" fontId="0" fillId="4" borderId="2" xfId="0" applyNumberFormat="1" applyFill="1" applyBorder="1"/>
    <xf numFmtId="165" fontId="0" fillId="4" borderId="2" xfId="1" applyNumberFormat="1" applyFont="1" applyFill="1" applyBorder="1"/>
    <xf numFmtId="165" fontId="0" fillId="4" borderId="2" xfId="0" applyNumberFormat="1" applyFill="1" applyBorder="1"/>
    <xf numFmtId="0" fontId="0" fillId="14" borderId="2" xfId="0" applyFill="1" applyBorder="1"/>
    <xf numFmtId="0" fontId="0" fillId="14" borderId="2" xfId="0" applyFill="1" applyBorder="1" applyAlignment="1">
      <alignment vertical="top"/>
    </xf>
    <xf numFmtId="49" fontId="0" fillId="14" borderId="2" xfId="0" applyNumberFormat="1" applyFill="1" applyBorder="1" applyAlignment="1">
      <alignment vertical="top"/>
    </xf>
    <xf numFmtId="166" fontId="0" fillId="14" borderId="2" xfId="0" applyNumberFormat="1" applyFill="1" applyBorder="1"/>
    <xf numFmtId="14" fontId="0" fillId="14" borderId="2" xfId="0" applyNumberFormat="1" applyFill="1" applyBorder="1" applyAlignment="1">
      <alignment horizontal="right" vertical="top"/>
    </xf>
    <xf numFmtId="14" fontId="0" fillId="14" borderId="2" xfId="0" applyNumberFormat="1" applyFill="1" applyBorder="1"/>
    <xf numFmtId="165" fontId="0" fillId="14" borderId="2" xfId="1" applyNumberFormat="1" applyFont="1" applyFill="1" applyBorder="1"/>
    <xf numFmtId="165" fontId="0" fillId="14" borderId="2" xfId="0" applyNumberFormat="1" applyFill="1" applyBorder="1"/>
    <xf numFmtId="0" fontId="5" fillId="19" borderId="0" xfId="0" applyFont="1" applyFill="1" applyAlignment="1">
      <alignment horizontal="center" vertical="center" wrapText="1"/>
    </xf>
    <xf numFmtId="165" fontId="3" fillId="4" borderId="2" xfId="1" applyNumberFormat="1" applyFont="1" applyFill="1" applyBorder="1"/>
    <xf numFmtId="165" fontId="3" fillId="14" borderId="2" xfId="1" applyNumberFormat="1" applyFont="1" applyFill="1" applyBorder="1"/>
    <xf numFmtId="0" fontId="0" fillId="0" borderId="7" xfId="0" applyBorder="1"/>
    <xf numFmtId="165" fontId="0" fillId="0" borderId="0" xfId="1" applyNumberFormat="1" applyFont="1"/>
    <xf numFmtId="164" fontId="0" fillId="0" borderId="0" xfId="0" applyNumberFormat="1"/>
    <xf numFmtId="0" fontId="5" fillId="7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9" fillId="13" borderId="0" xfId="0" applyFont="1" applyFill="1"/>
    <xf numFmtId="167" fontId="0" fillId="0" borderId="0" xfId="1" applyNumberFormat="1" applyFont="1"/>
    <xf numFmtId="0" fontId="0" fillId="0" borderId="0" xfId="0" applyAlignment="1">
      <alignment wrapText="1"/>
    </xf>
    <xf numFmtId="0" fontId="20" fillId="17" borderId="8" xfId="0" applyFont="1" applyFill="1" applyBorder="1" applyAlignment="1">
      <alignment horizontal="center" vertical="center"/>
    </xf>
    <xf numFmtId="0" fontId="20" fillId="17" borderId="8" xfId="0" applyFont="1" applyFill="1" applyBorder="1" applyAlignment="1">
      <alignment horizontal="left" vertical="center" indent="2"/>
    </xf>
    <xf numFmtId="0" fontId="21" fillId="17" borderId="8" xfId="0" applyFont="1" applyFill="1" applyBorder="1" applyAlignment="1">
      <alignment horizontal="left" vertical="center"/>
    </xf>
    <xf numFmtId="0" fontId="20" fillId="17" borderId="8" xfId="0" applyFont="1" applyFill="1" applyBorder="1" applyAlignment="1">
      <alignment vertical="center" wrapText="1"/>
    </xf>
    <xf numFmtId="167" fontId="20" fillId="17" borderId="8" xfId="1" applyNumberFormat="1" applyFont="1" applyFill="1" applyBorder="1" applyAlignment="1">
      <alignment vertical="center" wrapText="1"/>
    </xf>
    <xf numFmtId="0" fontId="20" fillId="17" borderId="8" xfId="0" applyFont="1" applyFill="1" applyBorder="1" applyAlignment="1">
      <alignment vertical="center"/>
    </xf>
    <xf numFmtId="0" fontId="23" fillId="0" borderId="8" xfId="0" applyFont="1" applyBorder="1" applyAlignment="1">
      <alignment horizontal="center"/>
    </xf>
    <xf numFmtId="0" fontId="23" fillId="0" borderId="8" xfId="0" applyFont="1" applyBorder="1"/>
    <xf numFmtId="0" fontId="20" fillId="21" borderId="8" xfId="0" applyFont="1" applyFill="1" applyBorder="1" applyAlignment="1">
      <alignment vertical="center"/>
    </xf>
    <xf numFmtId="0" fontId="24" fillId="21" borderId="8" xfId="0" applyFont="1" applyFill="1" applyBorder="1" applyAlignment="1">
      <alignment vertical="center"/>
    </xf>
    <xf numFmtId="0" fontId="24" fillId="21" borderId="8" xfId="0" applyFont="1" applyFill="1" applyBorder="1" applyAlignment="1">
      <alignment horizontal="center" vertical="center" wrapText="1"/>
    </xf>
    <xf numFmtId="167" fontId="24" fillId="21" borderId="8" xfId="1" applyNumberFormat="1" applyFont="1" applyFill="1" applyBorder="1" applyAlignment="1">
      <alignment horizontal="center" vertical="center" wrapText="1"/>
    </xf>
    <xf numFmtId="0" fontId="24" fillId="21" borderId="8" xfId="0" applyFont="1" applyFill="1" applyBorder="1" applyAlignment="1">
      <alignment horizontal="center" vertical="center"/>
    </xf>
    <xf numFmtId="0" fontId="24" fillId="21" borderId="8" xfId="0" quotePrefix="1" applyFont="1" applyFill="1" applyBorder="1" applyAlignment="1">
      <alignment horizontal="center" vertical="center"/>
    </xf>
    <xf numFmtId="16" fontId="24" fillId="21" borderId="8" xfId="0" quotePrefix="1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/>
    <xf numFmtId="14" fontId="24" fillId="21" borderId="8" xfId="0" applyNumberFormat="1" applyFont="1" applyFill="1" applyBorder="1" applyAlignment="1">
      <alignment vertical="center"/>
    </xf>
    <xf numFmtId="167" fontId="24" fillId="21" borderId="8" xfId="1" applyNumberFormat="1" applyFont="1" applyFill="1" applyBorder="1" applyAlignment="1">
      <alignment horizontal="center" vertical="center"/>
    </xf>
    <xf numFmtId="167" fontId="24" fillId="21" borderId="8" xfId="0" applyNumberFormat="1" applyFont="1" applyFill="1" applyBorder="1" applyAlignment="1">
      <alignment horizontal="center" vertical="center"/>
    </xf>
    <xf numFmtId="0" fontId="24" fillId="21" borderId="8" xfId="0" applyFont="1" applyFill="1" applyBorder="1" applyAlignment="1">
      <alignment vertical="center" wrapText="1"/>
    </xf>
    <xf numFmtId="0" fontId="20" fillId="21" borderId="8" xfId="0" applyFont="1" applyFill="1" applyBorder="1" applyAlignment="1">
      <alignment vertical="center" wrapText="1"/>
    </xf>
    <xf numFmtId="0" fontId="26" fillId="17" borderId="8" xfId="0" applyFont="1" applyFill="1" applyBorder="1" applyAlignment="1">
      <alignment horizontal="center"/>
    </xf>
    <xf numFmtId="0" fontId="26" fillId="17" borderId="8" xfId="0" applyFont="1" applyFill="1" applyBorder="1"/>
    <xf numFmtId="0" fontId="21" fillId="17" borderId="8" xfId="0" applyFont="1" applyFill="1" applyBorder="1" applyAlignment="1">
      <alignment vertical="center"/>
    </xf>
    <xf numFmtId="0" fontId="24" fillId="17" borderId="8" xfId="0" applyFont="1" applyFill="1" applyBorder="1" applyAlignment="1">
      <alignment vertical="center"/>
    </xf>
    <xf numFmtId="0" fontId="20" fillId="17" borderId="8" xfId="0" applyFont="1" applyFill="1" applyBorder="1" applyAlignment="1">
      <alignment horizontal="center" vertical="center" wrapText="1"/>
    </xf>
    <xf numFmtId="167" fontId="20" fillId="17" borderId="8" xfId="1" applyNumberFormat="1" applyFont="1" applyFill="1" applyBorder="1" applyAlignment="1">
      <alignment horizontal="center" vertical="center" wrapText="1"/>
    </xf>
    <xf numFmtId="0" fontId="27" fillId="17" borderId="8" xfId="0" applyFont="1" applyFill="1" applyBorder="1" applyAlignment="1">
      <alignment vertical="center"/>
    </xf>
    <xf numFmtId="0" fontId="27" fillId="17" borderId="8" xfId="0" applyFont="1" applyFill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167" fontId="24" fillId="0" borderId="8" xfId="1" applyNumberFormat="1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49" fontId="11" fillId="0" borderId="8" xfId="0" applyNumberFormat="1" applyFont="1" applyBorder="1" applyAlignment="1">
      <alignment vertical="center"/>
    </xf>
    <xf numFmtId="0" fontId="20" fillId="21" borderId="8" xfId="0" applyFont="1" applyFill="1" applyBorder="1" applyAlignment="1">
      <alignment vertical="top"/>
    </xf>
    <xf numFmtId="0" fontId="11" fillId="0" borderId="8" xfId="0" applyFont="1" applyBorder="1"/>
    <xf numFmtId="0" fontId="21" fillId="21" borderId="8" xfId="0" applyFont="1" applyFill="1" applyBorder="1" applyAlignment="1">
      <alignment vertical="center"/>
    </xf>
    <xf numFmtId="0" fontId="21" fillId="21" borderId="8" xfId="0" applyFont="1" applyFill="1" applyBorder="1" applyAlignment="1">
      <alignment vertical="center" wrapText="1"/>
    </xf>
    <xf numFmtId="0" fontId="20" fillId="0" borderId="8" xfId="0" applyFont="1" applyBorder="1" applyAlignment="1">
      <alignment horizontal="center" vertical="center" wrapText="1"/>
    </xf>
    <xf numFmtId="167" fontId="20" fillId="0" borderId="8" xfId="1" applyNumberFormat="1" applyFont="1" applyBorder="1" applyAlignment="1">
      <alignment horizontal="center" vertical="center" wrapText="1"/>
    </xf>
    <xf numFmtId="0" fontId="28" fillId="0" borderId="8" xfId="0" quotePrefix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vertical="center"/>
    </xf>
    <xf numFmtId="0" fontId="21" fillId="21" borderId="8" xfId="0" applyFont="1" applyFill="1" applyBorder="1" applyAlignment="1">
      <alignment horizontal="justify" vertical="center"/>
    </xf>
    <xf numFmtId="0" fontId="11" fillId="0" borderId="8" xfId="0" applyFont="1" applyBorder="1" applyAlignment="1">
      <alignment horizontal="center" wrapText="1"/>
    </xf>
    <xf numFmtId="167" fontId="23" fillId="0" borderId="8" xfId="1" applyNumberFormat="1" applyFont="1" applyBorder="1"/>
    <xf numFmtId="0" fontId="23" fillId="0" borderId="8" xfId="0" applyFont="1" applyBorder="1" applyAlignment="1">
      <alignment wrapText="1"/>
    </xf>
    <xf numFmtId="0" fontId="29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 applyFill="1"/>
    <xf numFmtId="0" fontId="0" fillId="23" borderId="2" xfId="0" applyFill="1" applyBorder="1"/>
    <xf numFmtId="0" fontId="0" fillId="23" borderId="2" xfId="0" applyFill="1" applyBorder="1" applyAlignment="1">
      <alignment vertical="top"/>
    </xf>
    <xf numFmtId="49" fontId="0" fillId="23" borderId="2" xfId="0" applyNumberFormat="1" applyFill="1" applyBorder="1" applyAlignment="1">
      <alignment vertical="top"/>
    </xf>
    <xf numFmtId="166" fontId="0" fillId="23" borderId="2" xfId="0" applyNumberFormat="1" applyFill="1" applyBorder="1"/>
    <xf numFmtId="14" fontId="0" fillId="23" borderId="2" xfId="0" applyNumberFormat="1" applyFill="1" applyBorder="1" applyAlignment="1">
      <alignment horizontal="right" vertical="top"/>
    </xf>
    <xf numFmtId="14" fontId="0" fillId="23" borderId="2" xfId="0" applyNumberFormat="1" applyFill="1" applyBorder="1"/>
    <xf numFmtId="165" fontId="0" fillId="23" borderId="2" xfId="1" applyNumberFormat="1" applyFont="1" applyFill="1" applyBorder="1"/>
    <xf numFmtId="165" fontId="3" fillId="23" borderId="2" xfId="1" applyNumberFormat="1" applyFont="1" applyFill="1" applyBorder="1"/>
    <xf numFmtId="165" fontId="0" fillId="23" borderId="2" xfId="0" applyNumberFormat="1" applyFill="1" applyBorder="1"/>
    <xf numFmtId="0" fontId="0" fillId="5" borderId="2" xfId="0" applyFill="1" applyBorder="1"/>
    <xf numFmtId="0" fontId="0" fillId="5" borderId="2" xfId="0" applyFill="1" applyBorder="1" applyAlignment="1">
      <alignment vertical="top"/>
    </xf>
    <xf numFmtId="49" fontId="0" fillId="5" borderId="2" xfId="0" applyNumberFormat="1" applyFill="1" applyBorder="1" applyAlignment="1">
      <alignment vertical="top"/>
    </xf>
    <xf numFmtId="166" fontId="0" fillId="5" borderId="2" xfId="0" applyNumberFormat="1" applyFill="1" applyBorder="1"/>
    <xf numFmtId="14" fontId="0" fillId="5" borderId="2" xfId="0" applyNumberFormat="1" applyFill="1" applyBorder="1" applyAlignment="1">
      <alignment horizontal="right" vertical="top"/>
    </xf>
    <xf numFmtId="14" fontId="0" fillId="5" borderId="2" xfId="0" applyNumberFormat="1" applyFill="1" applyBorder="1"/>
    <xf numFmtId="165" fontId="0" fillId="5" borderId="2" xfId="1" applyNumberFormat="1" applyFont="1" applyFill="1" applyBorder="1"/>
    <xf numFmtId="165" fontId="3" fillId="5" borderId="2" xfId="1" applyNumberFormat="1" applyFont="1" applyFill="1" applyBorder="1"/>
    <xf numFmtId="0" fontId="31" fillId="0" borderId="0" xfId="0" applyFont="1"/>
    <xf numFmtId="167" fontId="32" fillId="0" borderId="0" xfId="1" applyNumberFormat="1" applyFont="1"/>
    <xf numFmtId="0" fontId="21" fillId="17" borderId="8" xfId="0" applyFont="1" applyFill="1" applyBorder="1" applyAlignment="1">
      <alignment horizontal="left" vertical="center" wrapText="1"/>
    </xf>
    <xf numFmtId="167" fontId="20" fillId="17" borderId="8" xfId="1" applyNumberFormat="1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 indent="2"/>
    </xf>
    <xf numFmtId="0" fontId="20" fillId="0" borderId="8" xfId="0" applyFont="1" applyBorder="1" applyAlignment="1">
      <alignment horizontal="left" vertical="center" wrapText="1"/>
    </xf>
    <xf numFmtId="167" fontId="20" fillId="0" borderId="8" xfId="1" applyNumberFormat="1" applyFont="1" applyFill="1" applyBorder="1" applyAlignment="1">
      <alignment vertical="center" wrapText="1"/>
    </xf>
    <xf numFmtId="167" fontId="20" fillId="0" borderId="8" xfId="1" applyNumberFormat="1" applyFont="1" applyFill="1" applyBorder="1" applyAlignment="1">
      <alignment vertical="center"/>
    </xf>
    <xf numFmtId="0" fontId="24" fillId="14" borderId="8" xfId="0" applyFont="1" applyFill="1" applyBorder="1" applyAlignment="1">
      <alignment vertical="center" wrapText="1"/>
    </xf>
    <xf numFmtId="0" fontId="28" fillId="14" borderId="8" xfId="0" applyFont="1" applyFill="1" applyBorder="1" applyAlignment="1">
      <alignment vertical="center" wrapText="1"/>
    </xf>
    <xf numFmtId="0" fontId="21" fillId="0" borderId="8" xfId="0" applyFont="1" applyBorder="1" applyAlignment="1">
      <alignment horizontal="left" vertical="center" wrapText="1"/>
    </xf>
    <xf numFmtId="167" fontId="24" fillId="0" borderId="8" xfId="1" applyNumberFormat="1" applyFont="1" applyBorder="1" applyAlignment="1">
      <alignment horizontal="center" vertical="center"/>
    </xf>
    <xf numFmtId="0" fontId="21" fillId="17" borderId="8" xfId="0" applyFont="1" applyFill="1" applyBorder="1" applyAlignment="1">
      <alignment vertical="center" wrapText="1"/>
    </xf>
    <xf numFmtId="167" fontId="27" fillId="17" borderId="8" xfId="1" applyNumberFormat="1" applyFont="1" applyFill="1" applyBorder="1" applyAlignment="1">
      <alignment vertical="center"/>
    </xf>
    <xf numFmtId="17" fontId="24" fillId="0" borderId="8" xfId="0" quotePrefix="1" applyNumberFormat="1" applyFont="1" applyBorder="1" applyAlignment="1">
      <alignment horizontal="center" vertical="center"/>
    </xf>
    <xf numFmtId="167" fontId="20" fillId="21" borderId="8" xfId="1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vertical="top"/>
    </xf>
    <xf numFmtId="49" fontId="0" fillId="0" borderId="10" xfId="0" applyNumberFormat="1" applyBorder="1" applyAlignment="1">
      <alignment vertical="top"/>
    </xf>
    <xf numFmtId="166" fontId="0" fillId="0" borderId="10" xfId="0" applyNumberFormat="1" applyBorder="1"/>
    <xf numFmtId="14" fontId="0" fillId="0" borderId="10" xfId="0" applyNumberFormat="1" applyBorder="1" applyAlignment="1">
      <alignment horizontal="right" vertical="top"/>
    </xf>
    <xf numFmtId="14" fontId="0" fillId="0" borderId="10" xfId="0" applyNumberFormat="1" applyBorder="1"/>
    <xf numFmtId="165" fontId="0" fillId="0" borderId="10" xfId="1" applyNumberFormat="1" applyFont="1" applyBorder="1"/>
    <xf numFmtId="165" fontId="0" fillId="0" borderId="10" xfId="0" applyNumberFormat="1" applyBorder="1"/>
    <xf numFmtId="165" fontId="0" fillId="0" borderId="10" xfId="1" applyNumberFormat="1" applyFont="1" applyBorder="1" applyAlignment="1">
      <alignment horizontal="right" vertical="top"/>
    </xf>
    <xf numFmtId="165" fontId="0" fillId="0" borderId="11" xfId="1" applyNumberFormat="1" applyFont="1" applyBorder="1"/>
    <xf numFmtId="14" fontId="0" fillId="0" borderId="10" xfId="1" applyNumberFormat="1" applyFont="1" applyBorder="1"/>
    <xf numFmtId="165" fontId="0" fillId="0" borderId="10" xfId="1" applyNumberFormat="1" applyFont="1" applyBorder="1" applyAlignment="1">
      <alignment vertical="top"/>
    </xf>
    <xf numFmtId="0" fontId="0" fillId="0" borderId="12" xfId="0" applyBorder="1"/>
    <xf numFmtId="0" fontId="0" fillId="0" borderId="12" xfId="0" applyBorder="1" applyAlignment="1">
      <alignment vertical="top"/>
    </xf>
    <xf numFmtId="49" fontId="0" fillId="0" borderId="12" xfId="0" applyNumberFormat="1" applyBorder="1" applyAlignment="1">
      <alignment vertical="top"/>
    </xf>
    <xf numFmtId="166" fontId="0" fillId="0" borderId="12" xfId="0" applyNumberFormat="1" applyBorder="1"/>
    <xf numFmtId="14" fontId="0" fillId="0" borderId="12" xfId="0" applyNumberFormat="1" applyBorder="1" applyAlignment="1">
      <alignment horizontal="right" vertical="top"/>
    </xf>
    <xf numFmtId="14" fontId="0" fillId="0" borderId="12" xfId="0" applyNumberFormat="1" applyBorder="1"/>
    <xf numFmtId="165" fontId="0" fillId="0" borderId="12" xfId="1" applyNumberFormat="1" applyFont="1" applyBorder="1"/>
    <xf numFmtId="165" fontId="0" fillId="0" borderId="12" xfId="0" applyNumberFormat="1" applyBorder="1"/>
    <xf numFmtId="165" fontId="0" fillId="0" borderId="12" xfId="1" applyNumberFormat="1" applyFont="1" applyBorder="1" applyAlignment="1">
      <alignment horizontal="right" vertical="top"/>
    </xf>
    <xf numFmtId="168" fontId="0" fillId="0" borderId="12" xfId="1" applyNumberFormat="1" applyFont="1" applyBorder="1"/>
    <xf numFmtId="165" fontId="0" fillId="0" borderId="13" xfId="1" applyNumberFormat="1" applyFont="1" applyBorder="1"/>
    <xf numFmtId="14" fontId="0" fillId="0" borderId="12" xfId="1" applyNumberFormat="1" applyFont="1" applyBorder="1"/>
    <xf numFmtId="165" fontId="0" fillId="0" borderId="12" xfId="1" applyNumberFormat="1" applyFont="1" applyBorder="1" applyAlignment="1">
      <alignment vertical="top"/>
    </xf>
    <xf numFmtId="0" fontId="0" fillId="13" borderId="12" xfId="0" applyFill="1" applyBorder="1" applyAlignment="1">
      <alignment vertical="top"/>
    </xf>
    <xf numFmtId="165" fontId="0" fillId="22" borderId="12" xfId="1" applyNumberFormat="1" applyFont="1" applyFill="1" applyBorder="1"/>
    <xf numFmtId="0" fontId="0" fillId="0" borderId="12" xfId="1" applyNumberFormat="1" applyFont="1" applyBorder="1"/>
    <xf numFmtId="0" fontId="4" fillId="4" borderId="14" xfId="0" applyFont="1" applyFill="1" applyBorder="1" applyAlignment="1">
      <alignment horizontal="left"/>
    </xf>
    <xf numFmtId="0" fontId="15" fillId="4" borderId="14" xfId="0" applyFont="1" applyFill="1" applyBorder="1"/>
    <xf numFmtId="166" fontId="15" fillId="4" borderId="14" xfId="0" applyNumberFormat="1" applyFont="1" applyFill="1" applyBorder="1"/>
    <xf numFmtId="14" fontId="15" fillId="4" borderId="14" xfId="0" applyNumberFormat="1" applyFont="1" applyFill="1" applyBorder="1"/>
    <xf numFmtId="165" fontId="15" fillId="4" borderId="14" xfId="1" applyNumberFormat="1" applyFont="1" applyFill="1" applyBorder="1"/>
    <xf numFmtId="165" fontId="15" fillId="4" borderId="15" xfId="1" applyNumberFormat="1" applyFont="1" applyFill="1" applyBorder="1"/>
    <xf numFmtId="165" fontId="15" fillId="4" borderId="16" xfId="1" applyNumberFormat="1" applyFont="1" applyFill="1" applyBorder="1"/>
    <xf numFmtId="14" fontId="15" fillId="4" borderId="14" xfId="1" applyNumberFormat="1" applyFont="1" applyFill="1" applyBorder="1"/>
    <xf numFmtId="165" fontId="33" fillId="0" borderId="12" xfId="1" applyNumberFormat="1" applyFont="1" applyFill="1" applyBorder="1"/>
    <xf numFmtId="165" fontId="33" fillId="22" borderId="12" xfId="1" applyNumberFormat="1" applyFont="1" applyFill="1" applyBorder="1"/>
    <xf numFmtId="168" fontId="0" fillId="13" borderId="10" xfId="1" applyNumberFormat="1" applyFont="1" applyFill="1" applyBorder="1"/>
    <xf numFmtId="165" fontId="0" fillId="13" borderId="10" xfId="1" applyNumberFormat="1" applyFont="1" applyFill="1" applyBorder="1"/>
    <xf numFmtId="165" fontId="0" fillId="23" borderId="10" xfId="1" applyNumberFormat="1" applyFont="1" applyFill="1" applyBorder="1"/>
    <xf numFmtId="165" fontId="30" fillId="22" borderId="12" xfId="1" applyNumberFormat="1" applyFont="1" applyFill="1" applyBorder="1"/>
    <xf numFmtId="11" fontId="0" fillId="0" borderId="0" xfId="0" applyNumberFormat="1"/>
    <xf numFmtId="0" fontId="0" fillId="24" borderId="2" xfId="0" applyFill="1" applyBorder="1"/>
    <xf numFmtId="0" fontId="0" fillId="24" borderId="2" xfId="0" applyFill="1" applyBorder="1" applyAlignment="1">
      <alignment vertical="top"/>
    </xf>
    <xf numFmtId="49" fontId="0" fillId="24" borderId="2" xfId="0" applyNumberFormat="1" applyFill="1" applyBorder="1" applyAlignment="1">
      <alignment vertical="top"/>
    </xf>
    <xf numFmtId="166" fontId="0" fillId="24" borderId="2" xfId="0" applyNumberFormat="1" applyFill="1" applyBorder="1"/>
    <xf numFmtId="14" fontId="0" fillId="24" borderId="2" xfId="0" applyNumberFormat="1" applyFill="1" applyBorder="1" applyAlignment="1">
      <alignment horizontal="right" vertical="top"/>
    </xf>
    <xf numFmtId="14" fontId="0" fillId="24" borderId="2" xfId="0" applyNumberFormat="1" applyFill="1" applyBorder="1"/>
    <xf numFmtId="165" fontId="0" fillId="24" borderId="2" xfId="1" applyNumberFormat="1" applyFont="1" applyFill="1" applyBorder="1"/>
    <xf numFmtId="165" fontId="3" fillId="24" borderId="2" xfId="1" applyNumberFormat="1" applyFont="1" applyFill="1" applyBorder="1"/>
    <xf numFmtId="165" fontId="0" fillId="24" borderId="2" xfId="0" applyNumberFormat="1" applyFill="1" applyBorder="1"/>
    <xf numFmtId="0" fontId="0" fillId="24" borderId="0" xfId="0" applyFill="1" applyAlignment="1">
      <alignment vertical="top"/>
    </xf>
    <xf numFmtId="0" fontId="0" fillId="24" borderId="0" xfId="0" applyFill="1"/>
    <xf numFmtId="166" fontId="0" fillId="24" borderId="0" xfId="0" applyNumberFormat="1" applyFill="1"/>
    <xf numFmtId="14" fontId="0" fillId="24" borderId="0" xfId="0" applyNumberFormat="1" applyFill="1" applyAlignment="1">
      <alignment horizontal="right" vertical="top"/>
    </xf>
    <xf numFmtId="14" fontId="0" fillId="24" borderId="0" xfId="0" applyNumberFormat="1" applyFill="1"/>
    <xf numFmtId="165" fontId="0" fillId="24" borderId="0" xfId="1" applyNumberFormat="1" applyFont="1" applyFill="1" applyBorder="1"/>
    <xf numFmtId="165" fontId="3" fillId="24" borderId="0" xfId="1" applyNumberFormat="1" applyFont="1" applyFill="1" applyBorder="1"/>
    <xf numFmtId="165" fontId="0" fillId="24" borderId="0" xfId="0" applyNumberFormat="1" applyFill="1"/>
    <xf numFmtId="165" fontId="0" fillId="24" borderId="0" xfId="1" applyNumberFormat="1" applyFont="1" applyFill="1"/>
    <xf numFmtId="169" fontId="0" fillId="0" borderId="0" xfId="1" applyNumberFormat="1" applyFont="1"/>
    <xf numFmtId="0" fontId="0" fillId="5" borderId="2" xfId="0" applyFill="1" applyBorder="1" applyAlignment="1">
      <alignment horizontal="center" vertical="top"/>
    </xf>
    <xf numFmtId="0" fontId="0" fillId="24" borderId="2" xfId="0" applyFill="1" applyBorder="1" applyAlignment="1">
      <alignment horizontal="center" vertical="top"/>
    </xf>
    <xf numFmtId="0" fontId="20" fillId="20" borderId="8" xfId="0" applyFont="1" applyFill="1" applyBorder="1" applyAlignment="1">
      <alignment horizontal="center" vertical="center" wrapText="1"/>
    </xf>
    <xf numFmtId="49" fontId="20" fillId="20" borderId="8" xfId="0" applyNumberFormat="1" applyFont="1" applyFill="1" applyBorder="1" applyAlignment="1">
      <alignment horizontal="center" vertical="center"/>
    </xf>
    <xf numFmtId="0" fontId="20" fillId="20" borderId="8" xfId="0" applyFont="1" applyFill="1" applyBorder="1" applyAlignment="1">
      <alignment horizontal="center" vertical="center"/>
    </xf>
    <xf numFmtId="167" fontId="20" fillId="13" borderId="8" xfId="1" applyNumberFormat="1" applyFont="1" applyFill="1" applyBorder="1" applyAlignment="1">
      <alignment horizontal="center" vertical="center" wrapText="1"/>
    </xf>
    <xf numFmtId="167" fontId="20" fillId="20" borderId="8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1E50F78A-6C16-4995-98EA-D4D7BC38E831}"/>
    <cellStyle name="Normal 2 3 6" xfId="3" xr:uid="{43F23905-1C0C-44DE-BAAE-F7E7EE23E64E}"/>
  </cellStyles>
  <dxfs count="77"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9" formatCode="dd/mm/yyyy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_(* #,##0_);_(* \(#,##0\);_(* &quot;-&quot;??_);_(@_)"/>
      <border diagonalUp="0" diagonalDown="0">
        <left style="thick">
          <color rgb="FFC00000"/>
        </left>
        <right style="thick">
          <color rgb="FFC00000"/>
        </right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_(* #,##0_);_(* \(#,##0\);_(* &quot;-&quot;??_);_(@_)"/>
      <alignment horizontal="right" vertical="top" textRotation="0" wrapText="0" indent="0" justifyLastLine="0" shrinkToFit="0" readingOrder="0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0" formatCode="General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65" formatCode="_(* #,##0_);_(* \(#,##0\);_(* &quot;-&quot;??_)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9" formatCode="dd/mm/yyyy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horizontal style="hair">
          <color theme="0" tint="-0.14990691854609822"/>
        </horizontal>
      </border>
    </dxf>
    <dxf>
      <numFmt numFmtId="19" formatCode="dd/mm/yyyy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numFmt numFmtId="166" formatCode="_(* #,##0_);_(* \(#,##0\);;_(@_)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numFmt numFmtId="0" formatCode="General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numFmt numFmtId="0" formatCode="General"/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border diagonalUp="0" diagonalDown="0">
        <left/>
        <right/>
        <top style="hair">
          <color theme="0" tint="-0.14990691854609822"/>
        </top>
        <bottom style="hair">
          <color theme="0" tint="-0.14990691854609822"/>
        </bottom>
        <vertical/>
        <horizontal style="hair">
          <color theme="0" tint="-0.1499069185460982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/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numFmt numFmtId="13" formatCode="0%"/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border diagonalUp="0" diagonalDown="0">
        <left/>
        <right/>
        <top style="hair">
          <color theme="0" tint="-0.14996795556505021"/>
        </top>
        <bottom style="hair">
          <color theme="0" tint="-0.14996795556505021"/>
        </bottom>
        <vertical/>
        <horizontal style="hair">
          <color theme="0" tint="-0.149967955565050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6350</xdr:rowOff>
    </xdr:from>
    <xdr:to>
      <xdr:col>4</xdr:col>
      <xdr:colOff>3087</xdr:colOff>
      <xdr:row>6</xdr:row>
      <xdr:rowOff>109363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06CCC-9617-49FA-AD40-FFC09DE04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0"/>
          <a:ext cx="1565187" cy="471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201706</xdr:rowOff>
    </xdr:from>
    <xdr:to>
      <xdr:col>2</xdr:col>
      <xdr:colOff>53887</xdr:colOff>
      <xdr:row>2</xdr:row>
      <xdr:rowOff>44823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45B3C-2E14-4707-A560-F34A42F1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706"/>
          <a:ext cx="1615987" cy="357467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CA965-7D28-4CD7-B151-6C19DB53F538}" name="MD_Type_Asset" displayName="MD_Type_Asset" ref="A1:B12" totalsRowShown="0" headerRowDxfId="76">
  <autoFilter ref="A1:B12" xr:uid="{6BFCA965-7D28-4CD7-B151-6C19DB53F538}"/>
  <tableColumns count="2">
    <tableColumn id="1" xr3:uid="{64CA9BBA-1A80-42F5-8DDA-25074ADE8C13}" name="Asset Type" dataDxfId="75"/>
    <tableColumn id="2" xr3:uid="{0245FC60-88CF-4975-A07D-45B2CF01760B}" name="Loại tài sản" dataDxfId="7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88287-2814-478B-82CD-F6599662F23D}" name="MD_Purpose" displayName="MD_Purpose" ref="D1:E4" totalsRowShown="0" headerRowDxfId="73">
  <autoFilter ref="D1:E4" xr:uid="{8B688287-2814-478B-82CD-F6599662F23D}"/>
  <tableColumns count="2">
    <tableColumn id="1" xr3:uid="{639BAD16-13D2-444E-BA8D-B49A29EF64A4}" name="Purpose" dataDxfId="72"/>
    <tableColumn id="2" xr3:uid="{09C7E369-A91C-4ADA-A696-107110A6C9EF}" name="Mục đích" dataDxfId="7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13F2E5-981A-4286-969A-BBBA3BCB5EC6}" name="MD_Cost_Center" displayName="MD_Cost_Center" ref="G1:K81" totalsRowShown="0" headerRowDxfId="70">
  <autoFilter ref="G1:K81" xr:uid="{F813F2E5-981A-4286-969A-BBBA3BCB5EC6}"/>
  <tableColumns count="5">
    <tableColumn id="1" xr3:uid="{3819CD6E-AA4B-4EA3-97B6-3AF8640904FF}" name="Mã Cost Center" dataDxfId="69"/>
    <tableColumn id="2" xr3:uid="{56139CA8-EDCF-4BFE-971E-8124367F6500}" name="Tên Cost Center" dataDxfId="68"/>
    <tableColumn id="3" xr3:uid="{75120548-BC1A-4D74-B750-8CCE20FF5F83}" name="Work center" dataDxfId="67"/>
    <tableColumn id="4" xr3:uid="{2C6D2612-93A4-4594-8649-F897A1E067AE}" name="Ngành" dataDxfId="66"/>
    <tableColumn id="5" xr3:uid="{0C9D0A7F-CA88-4DC7-85A8-3C65F848EE11}" name="Ngành-Tách PET-Xơ sợi" dataDxfId="6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87DF32-2CEE-49CB-AE32-4C0F555798C7}" name="MD_Export_Domestic" displayName="MD_Export_Domestic" ref="O1:O3" totalsRowShown="0" headerRowDxfId="64">
  <autoFilter ref="O1:O3" xr:uid="{0B87DF32-2CEE-49CB-AE32-4C0F555798C7}"/>
  <tableColumns count="1">
    <tableColumn id="1" xr3:uid="{4913115E-46C5-42F2-B40E-8241934202EB}" name="XK/NĐ" dataDxfId="6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D8FC43-4E78-4C8B-9205-6EBFA419A982}" name="MD_Possible_CAPEX" displayName="MD_Possible_CAPEX" ref="Q1:Q11" totalsRowShown="0" headerRowDxfId="62">
  <autoFilter ref="Q1:Q11" xr:uid="{74D8FC43-4E78-4C8B-9205-6EBFA419A982}"/>
  <tableColumns count="1">
    <tableColumn id="1" xr3:uid="{99A05972-13EA-4BC9-9611-DEAEFEFB4F92}" name="Khả năng đầu tư" dataDxfId="6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C0E4AE-8450-400D-AA1E-F9C432F0CD3A}" name="MD_Department" displayName="MD_Department" ref="M1:M23" totalsRowShown="0" headerRowDxfId="60">
  <autoFilter ref="M1:M23" xr:uid="{D6C0E4AE-8450-400D-AA1E-F9C432F0CD3A}"/>
  <sortState xmlns:xlrd2="http://schemas.microsoft.com/office/spreadsheetml/2017/richdata2" ref="M2:M19">
    <sortCondition ref="M1:M19"/>
  </sortState>
  <tableColumns count="1">
    <tableColumn id="1" xr3:uid="{BE4996EF-7CF7-4409-9C98-A47D1FFC8C9E}" name="Phòng ban" dataDxfId="5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689326-AAF3-4B54-8476-C4EE178DC289}" name="MD_Account_Asset_Type" displayName="MD_Account_Asset_Type" ref="S1:X62" totalsRowShown="0" headerRowDxfId="58">
  <autoFilter ref="S1:X62" xr:uid="{72689326-AAF3-4B54-8476-C4EE178DC289}">
    <filterColumn colId="3">
      <filters>
        <filter val="6273001908"/>
        <filter val="6274001901"/>
        <filter val="6274001902"/>
        <filter val="6274001903"/>
        <filter val="6274001904"/>
        <filter val="6274001905"/>
        <filter val="6274001906"/>
        <filter val="6274001907"/>
        <filter val="6274001909"/>
        <filter val="6274001910"/>
        <filter val="6274001915"/>
      </filters>
    </filterColumn>
  </autoFilter>
  <tableColumns count="6">
    <tableColumn id="1" xr3:uid="{8CBCF781-7F7D-4D51-B836-94F45F78DE12}" name="TSCĐHH/TSCĐVH" dataDxfId="57"/>
    <tableColumn id="4" xr3:uid="{95E4D2EE-7F82-4778-BC31-4FBAA6C8A91C}" name="Nhóm tài sản" dataDxfId="56"/>
    <tableColumn id="3" xr3:uid="{7FED65B7-7C28-4FCE-9F2F-D198E4A9D297}" name="Tên Nhóm tài sản" dataDxfId="55"/>
    <tableColumn id="5" xr3:uid="{8FAFA725-8E7E-4557-B79B-C7F16E3DE746}" name="Tài khoản KH" dataDxfId="54"/>
    <tableColumn id="2" xr3:uid="{7B1DBB10-7C5A-4443-B07A-FA57E4510981}" name="Tên nhóm TS-Rút gọn" dataDxfId="53"/>
    <tableColumn id="6" xr3:uid="{02AACB4B-C89A-4AC9-916F-179015A85627}" name="Tên nhóm TS-Rút gọn-v2" dataDxfId="5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6A95ED-0E08-4EF5-9645-698697E159BD}" name="Data_Dep.12" displayName="Data_Dep.12" ref="A8:AP400" totalsRowShown="0" headerRowDxfId="51">
  <autoFilter ref="A8:AP400" xr:uid="{C19590F8-E366-4000-AFF3-E6936BF0721C}"/>
  <tableColumns count="42">
    <tableColumn id="1" xr3:uid="{04AC6079-99D8-47A8-BB8C-E96131066973}" name="Loại tài sản" dataDxfId="50"/>
    <tableColumn id="2" xr3:uid="{743778B5-4D79-4126-8373-2844183E106C}" name="Mục đích" dataDxfId="49"/>
    <tableColumn id="3" xr3:uid="{E874294D-81BA-4EBD-A3AD-189580D41DC6}" name="Nhóm tài sản" dataDxfId="48"/>
    <tableColumn id="4" xr3:uid="{E7562512-411A-4B45-AE5C-EDF55B7AD0CC}" name="Tên Nhóm tài sản" dataDxfId="47">
      <calculatedColumnFormula>_xlfn.XLOOKUP(Data_Dep.12[[#This Row],[Nhóm tài sản]],MD_Account_Asset_Type[Nhóm tài sản],MD_Account_Asset_Type[Tên Nhóm tài sản])</calculatedColumnFormula>
    </tableColumn>
    <tableColumn id="5" xr3:uid="{44AF86DE-816F-417E-9924-8B8481EA0A86}" name="Mã tài sản" dataDxfId="46"/>
    <tableColumn id="6" xr3:uid="{EC024907-D15F-4F96-B9A3-DBF7283AD5A2}" name="Tên tài sản" dataDxfId="45"/>
    <tableColumn id="7" xr3:uid="{6E0F6D1D-020F-43BA-AAC4-26E30C7CE2B8}" name="TT sở hữu" dataDxfId="44"/>
    <tableColumn id="8" xr3:uid="{E76A3B6D-9EEB-48B8-BB86-D8A03718D740}" name="Cost center" dataDxfId="43"/>
    <tableColumn id="35" xr3:uid="{34FF4400-36CA-4FA1-B543-77FBA8809DAD}" name="Cost center name" dataDxfId="42">
      <calculatedColumnFormula>_xlfn.XLOOKUP(Data_Dep.12[[#This Row],[Cost center]],MD_Cost_Center[Mã Cost Center],MD_Cost_Center[Tên Cost Center])</calculatedColumnFormula>
    </tableColumn>
    <tableColumn id="9" xr3:uid="{D2EBA20B-E1AA-4F5F-ADF6-E2F754404778}" name="Work center" dataDxfId="41">
      <calculatedColumnFormula>_xlfn.XLOOKUP(Data_Dep.12[[#This Row],[Cost center]],MD_Cost_Center[Mã Cost Center],MD_Cost_Center[Work center],"Check")</calculatedColumnFormula>
    </tableColumn>
    <tableColumn id="10" xr3:uid="{9FBBE0A2-94C0-4F7E-9A9E-3B023EEAE7BA}" name="Tài khoản KH" dataDxfId="40">
      <calculatedColumnFormula>_xlfn.XLOOKUP(Data_Dep.12[[#This Row],[Nhóm tài sản]],MD_Account_Asset_Type[Nhóm tài sản],MD_Account_Asset_Type[Tài khoản KH],"Check")</calculatedColumnFormula>
    </tableColumn>
    <tableColumn id="11" xr3:uid="{082EF7EB-0914-41CF-B546-9655AFA5AC2F}" name="Ngày bắt đầu KH" dataDxfId="39"/>
    <tableColumn id="12" xr3:uid="{827EDD03-15E7-4E69-9163-A4665796137D}" name="Thời gian kết thúc khấu hao" dataDxfId="38">
      <calculatedColumnFormula>EDATE(Data_Dep.12[[#This Row],[Ngày bắt đầu KH]],Data_Dep.12[[#This Row],[T/G Khấu hao]])</calculatedColumnFormula>
    </tableColumn>
    <tableColumn id="13" xr3:uid="{0C30DFA2-AE77-4DE5-AB60-DA3EC5523A04}" name="T/G Khấu hao" dataDxfId="37" dataCellStyle="Comma"/>
    <tableColumn id="14" xr3:uid="{7BC34E21-446C-4D37-A93C-79211D7DF12C}" name="Nguyên giá" dataDxfId="36" dataCellStyle="Comma"/>
    <tableColumn id="15" xr3:uid="{3469D0EE-9425-4AA3-8739-FFA94DE05143}" name="KH lũy kế" dataDxfId="35" dataCellStyle="Comma"/>
    <tableColumn id="16" xr3:uid="{BCF75FD2-99FE-425C-9FFB-59F1E98AC7DC}" name="Giá trị còn lại 30/09/25" dataDxfId="34" dataCellStyle="Comma">
      <calculatedColumnFormula>Data_Dep.12[[#This Row],[Nguyên giá]]+Data_Dep.12[[#This Row],[KH lũy kế]]</calculatedColumnFormula>
    </tableColumn>
    <tableColumn id="17" xr3:uid="{D293908B-E5AF-4AAD-A6A6-FA42A9E7C258}" name="KH_2510" dataDxfId="33" dataCellStyle="Comma"/>
    <tableColumn id="18" xr3:uid="{A54718F8-6CF2-439D-A0A9-205EF43C6A3A}" name="KH_2511" dataDxfId="32" dataCellStyle="Comma"/>
    <tableColumn id="19" xr3:uid="{5A15E42D-4EEB-4B1E-BF81-02DB5199B0AD}" name="KH_2512" dataDxfId="31" dataCellStyle="Comma"/>
    <tableColumn id="48" xr3:uid="{3C30D96C-20A1-428D-BBFC-2FF2FF88385B}" name="KH_Q4.25" dataDxfId="30" dataCellStyle="Comma">
      <calculatedColumnFormula>SUM(Data_Dep.12[[#This Row],[KH_2510]:[KH_2512]])</calculatedColumnFormula>
    </tableColumn>
    <tableColumn id="20" xr3:uid="{7879DF58-F850-4B8A-90AE-2598F38D6FBE}" name="Giá trị còn lại 31/12/25" dataDxfId="29" dataCellStyle="Comma">
      <calculatedColumnFormula>Data_Dep.12[[#This Row],[Nguyên giá]]+Data_Dep.12[[#This Row],[KH lũy kế]]+Data_Dep.12[[#This Row],[KH_Q4.25]]</calculatedColumnFormula>
    </tableColumn>
    <tableColumn id="41" xr3:uid="{0D0D87CB-8B58-4EA6-A6D4-67206BC8E6CF}" name="Số kỳ đã khấu hao" dataDxfId="28" dataCellStyle="Comma">
      <calculatedColumnFormula>ROUND(Data_Dep.12[[#This Row],[T/G Khấu hao]]-Data_Dep.12[[#This Row],[Giá trị còn lại 31/12/25]]/Data_Dep.12[[#This Row],[Nguyên giá]]*Data_Dep.12[[#This Row],[T/G Khấu hao]],0)</calculatedColumnFormula>
    </tableColumn>
    <tableColumn id="37" xr3:uid="{FB015119-2FA0-45B3-88AF-2ACD51B3C829}" name="Điều chỉnh" dataDxfId="27" dataCellStyle="Comma"/>
    <tableColumn id="36" xr3:uid="{F1FBAB3B-688B-4257-A727-7EDB959D8EFA}" name="T/G điều chỉnh" dataDxfId="26" dataCellStyle="Comma">
      <calculatedColumnFormula>Data_Dep.12[[#This Row],[T/G Khấu hao]]+Data_Dep.12[[#This Row],[Điều chỉnh]]</calculatedColumnFormula>
    </tableColumn>
    <tableColumn id="38" xr3:uid="{20E70643-C25F-4588-AA79-0F1D382973E1}" name="Thời gian kết thúc khấu hao_điều chỉnh" dataDxfId="25" dataCellStyle="Comma">
      <calculatedColumnFormula>EDATE(Data_Dep.12[[#This Row],[Ngày bắt đầu KH]],Data_Dep.12[[#This Row],[T/G điều chỉnh]])</calculatedColumnFormula>
    </tableColumn>
    <tableColumn id="40" xr3:uid="{5395AA88-6BAF-49FA-83F1-FEB270B81E71}" name="Thời gian khấu hao còn lại" dataDxfId="24" dataCellStyle="Comma">
      <calculatedColumnFormula>Data_Dep.12[[#This Row],[T/G điều chỉnh]]-Data_Dep.12[[#This Row],[Số kỳ đã khấu hao]]</calculatedColumnFormula>
    </tableColumn>
    <tableColumn id="39" xr3:uid="{91FDFD53-0C78-42C5-AEB9-E043A6522CFC}" name="KH/Kỳ" dataDxfId="23" dataCellStyle="Comma">
      <calculatedColumnFormula>IFERROR(-Data_Dep.12[[#This Row],[Giá trị còn lại 31/12/25]]/(Data_Dep.12[[#This Row],[T/G điều chỉnh]]-Data_Dep.12[[#This Row],[Số kỳ đã khấu hao]]),0)</calculatedColumnFormula>
    </tableColumn>
    <tableColumn id="21" xr3:uid="{873A2E46-DE15-474F-8EAF-E27E1E63EEEF}" name="KH_2601" dataDxfId="22" dataCellStyle="Comma"/>
    <tableColumn id="22" xr3:uid="{22D15512-086B-4EA8-BECE-F9A3CC916CBA}" name="KH_2602" dataDxfId="21" dataCellStyle="Comma"/>
    <tableColumn id="23" xr3:uid="{5DAB8DF6-F439-4161-988E-4CF27EDF524D}" name="KH_2603" dataDxfId="20" dataCellStyle="Comma"/>
    <tableColumn id="24" xr3:uid="{D195FCBC-A645-497A-BD1C-A6D673C75DC2}" name="KH_2604" dataDxfId="19" dataCellStyle="Comma"/>
    <tableColumn id="25" xr3:uid="{6F9D5DE0-E299-424D-AEBA-89784CDB32A1}" name="KH_2605" dataDxfId="18" dataCellStyle="Comma"/>
    <tableColumn id="26" xr3:uid="{2D49A660-3CFA-438A-B4B3-9AABE3867C9D}" name="KH_2606" dataDxfId="17" dataCellStyle="Comma"/>
    <tableColumn id="27" xr3:uid="{DF1152C9-59C0-43CD-970E-86D70104B9BC}" name="KH_2607" dataDxfId="16" dataCellStyle="Comma"/>
    <tableColumn id="28" xr3:uid="{6E04085D-0225-4F5E-9498-8E33FD2184A1}" name="KH_2608" dataDxfId="15" dataCellStyle="Comma"/>
    <tableColumn id="29" xr3:uid="{D5D8AAEA-66E3-41C6-B852-8B463EB618A3}" name="KH_2609" dataDxfId="14" dataCellStyle="Comma"/>
    <tableColumn id="30" xr3:uid="{D3E215B2-8A37-43FB-B60D-87D790BFF182}" name="KH_2610" dataDxfId="13" dataCellStyle="Comma"/>
    <tableColumn id="31" xr3:uid="{119485E5-280C-42F3-BC39-0E6A561B6A50}" name="KH_2611" dataDxfId="12" dataCellStyle="Comma"/>
    <tableColumn id="32" xr3:uid="{3907848C-6B3E-41DD-BE40-A83A1120B1CB}" name="KH_2612" dataDxfId="11" dataCellStyle="Comma"/>
    <tableColumn id="33" xr3:uid="{984D8B01-ECDF-4194-9EB0-8E42A613D3AC}" name="KH LK 2026" dataDxfId="10" dataCellStyle="Comma">
      <calculatedColumnFormula>SUM(Data_Dep.12[[#This Row],[KH_2601]:[KH_2612]])</calculatedColumnFormula>
    </tableColumn>
    <tableColumn id="34" xr3:uid="{77DCF8FF-5F4D-4EF8-AD54-84ACD01069D3}" name="Giá trị còn lại 31/12/26" dataDxfId="9" dataCellStyle="Comma">
      <calculatedColumnFormula>Data_Dep.12[[#This Row],[Giá trị còn lại 31/12/25]]+Data_Dep.12[[#This Row],[KH LK 2026]]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D022-7E24-48B3-B825-AAB1473A0D88}">
  <sheetPr codeName="Sheet3" filterMode="1">
    <tabColor theme="7" tint="0.39997558519241921"/>
  </sheetPr>
  <dimension ref="A1:BO504"/>
  <sheetViews>
    <sheetView showGridLines="0" tabSelected="1" zoomScaleNormal="100" workbookViewId="0">
      <pane xSplit="10" ySplit="9" topLeftCell="K491" activePane="bottomRight" state="frozen"/>
      <selection pane="topRight" activeCell="H1" sqref="H1"/>
      <selection pane="bottomLeft" activeCell="A10" sqref="A10"/>
      <selection pane="bottomRight" activeCell="P365" sqref="P365"/>
    </sheetView>
  </sheetViews>
  <sheetFormatPr defaultRowHeight="14.4" outlineLevelRow="1" outlineLevelCol="1" x14ac:dyDescent="0.3"/>
  <cols>
    <col min="1" max="2" width="0" hidden="1" customWidth="1"/>
    <col min="3" max="3" width="10.44140625" customWidth="1"/>
    <col min="4" max="4" width="10.77734375" customWidth="1"/>
    <col min="5" max="5" width="9.77734375" style="121" customWidth="1"/>
    <col min="6" max="6" width="47.44140625" hidden="1" customWidth="1" outlineLevel="1"/>
    <col min="7" max="7" width="23.109375" hidden="1" customWidth="1" outlineLevel="1"/>
    <col min="8" max="8" width="18.109375" hidden="1" customWidth="1" outlineLevel="1"/>
    <col min="9" max="9" width="12.109375" bestFit="1" customWidth="1" collapsed="1"/>
    <col min="10" max="10" width="36.109375" customWidth="1"/>
    <col min="11" max="11" width="8.88671875" customWidth="1"/>
    <col min="12" max="12" width="11.21875" bestFit="1" customWidth="1"/>
    <col min="13" max="13" width="31.88671875" bestFit="1" customWidth="1"/>
    <col min="14" max="14" width="15" customWidth="1"/>
    <col min="15" max="15" width="17.44140625" customWidth="1"/>
    <col min="16" max="16" width="11.77734375" bestFit="1" customWidth="1"/>
    <col min="17" max="19" width="11.77734375" customWidth="1"/>
    <col min="20" max="21" width="10.77734375" bestFit="1" customWidth="1"/>
    <col min="22" max="22" width="8.21875" bestFit="1" customWidth="1"/>
    <col min="23" max="23" width="18.109375" bestFit="1" customWidth="1"/>
    <col min="24" max="24" width="16.44140625" customWidth="1"/>
    <col min="25" max="25" width="16.44140625" bestFit="1" customWidth="1"/>
    <col min="26" max="36" width="16.44140625" customWidth="1"/>
    <col min="37" max="37" width="16.44140625" bestFit="1" customWidth="1"/>
    <col min="38" max="38" width="16.44140625" customWidth="1"/>
    <col min="39" max="39" width="16" bestFit="1" customWidth="1"/>
    <col min="40" max="51" width="13.44140625" bestFit="1" customWidth="1"/>
    <col min="52" max="52" width="19.5546875" bestFit="1" customWidth="1"/>
    <col min="53" max="53" width="16.44140625" customWidth="1"/>
    <col min="54" max="65" width="17.109375" customWidth="1"/>
    <col min="67" max="67" width="18.77734375" bestFit="1" customWidth="1"/>
  </cols>
  <sheetData>
    <row r="1" spans="1:67" ht="20.399999999999999" hidden="1" outlineLevel="1" x14ac:dyDescent="0.3">
      <c r="D1" s="6"/>
      <c r="E1" s="6"/>
      <c r="F1" s="5" t="s">
        <v>235</v>
      </c>
      <c r="G1" s="5"/>
      <c r="H1" s="5"/>
      <c r="I1" s="6"/>
      <c r="AL1" s="61"/>
    </row>
    <row r="2" spans="1:67" ht="20.399999999999999" hidden="1" outlineLevel="1" x14ac:dyDescent="0.3">
      <c r="D2" s="6"/>
      <c r="E2" s="6"/>
      <c r="F2" s="7" t="s">
        <v>236</v>
      </c>
      <c r="G2" s="7"/>
      <c r="H2" s="7"/>
      <c r="I2" s="6"/>
      <c r="AL2" s="61"/>
    </row>
    <row r="3" spans="1:67" ht="20.399999999999999" hidden="1" outlineLevel="1" x14ac:dyDescent="0.3">
      <c r="D3" s="6"/>
      <c r="E3" s="6"/>
      <c r="F3" s="8" t="s">
        <v>498</v>
      </c>
      <c r="G3" s="8"/>
      <c r="H3" s="8"/>
      <c r="I3" s="6"/>
      <c r="AL3" s="61"/>
    </row>
    <row r="4" spans="1:67" ht="20.399999999999999" hidden="1" outlineLevel="1" x14ac:dyDescent="0.35">
      <c r="E4"/>
      <c r="F4" s="9" t="s">
        <v>237</v>
      </c>
      <c r="G4" s="9"/>
      <c r="H4" s="9"/>
      <c r="I4" s="9" t="s">
        <v>238</v>
      </c>
      <c r="AL4" s="61"/>
      <c r="BA4" t="s">
        <v>293</v>
      </c>
      <c r="BB4" t="s">
        <v>293</v>
      </c>
      <c r="BC4" t="s">
        <v>293</v>
      </c>
      <c r="BD4" t="s">
        <v>293</v>
      </c>
      <c r="BE4" t="s">
        <v>293</v>
      </c>
      <c r="BF4" t="s">
        <v>293</v>
      </c>
      <c r="BG4" t="s">
        <v>293</v>
      </c>
      <c r="BH4" t="s">
        <v>293</v>
      </c>
      <c r="BI4" t="s">
        <v>293</v>
      </c>
      <c r="BJ4" t="s">
        <v>293</v>
      </c>
      <c r="BK4" t="s">
        <v>293</v>
      </c>
      <c r="BL4" t="s">
        <v>293</v>
      </c>
      <c r="BM4" t="s">
        <v>293</v>
      </c>
    </row>
    <row r="5" spans="1:67" collapsed="1" x14ac:dyDescent="0.3">
      <c r="L5" t="s">
        <v>33</v>
      </c>
      <c r="M5" t="s">
        <v>108</v>
      </c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218"/>
      <c r="AL5" s="61"/>
      <c r="AZ5" s="35">
        <f>AZ381+AY381</f>
        <v>-4531220004</v>
      </c>
    </row>
    <row r="6" spans="1:67" x14ac:dyDescent="0.3">
      <c r="X6" s="61"/>
      <c r="Y6" s="40">
        <v>46022</v>
      </c>
      <c r="Z6" s="40">
        <v>46053</v>
      </c>
      <c r="AA6" s="40">
        <v>46081</v>
      </c>
      <c r="AB6" s="40">
        <v>46112</v>
      </c>
      <c r="AC6" s="40">
        <v>46142</v>
      </c>
      <c r="AD6" s="40">
        <v>46173</v>
      </c>
      <c r="AE6" s="40">
        <v>46203</v>
      </c>
      <c r="AF6" s="40">
        <v>46234</v>
      </c>
      <c r="AG6" s="40">
        <v>46265</v>
      </c>
      <c r="AH6" s="40">
        <v>46295</v>
      </c>
      <c r="AI6" s="40">
        <v>46326</v>
      </c>
      <c r="AJ6" s="40">
        <v>46356</v>
      </c>
      <c r="AK6" s="40">
        <v>46387</v>
      </c>
      <c r="AL6" s="40"/>
      <c r="AM6" s="40">
        <v>46022</v>
      </c>
      <c r="AN6" s="40">
        <v>46053</v>
      </c>
      <c r="AO6" s="40">
        <v>46081</v>
      </c>
      <c r="AP6" s="40">
        <v>46112</v>
      </c>
      <c r="AQ6" s="40">
        <v>46142</v>
      </c>
      <c r="AR6" s="40">
        <v>46173</v>
      </c>
      <c r="AS6" s="40">
        <v>46203</v>
      </c>
      <c r="AT6" s="40">
        <v>46234</v>
      </c>
      <c r="AU6" s="40">
        <v>46265</v>
      </c>
      <c r="AV6" s="40">
        <v>46295</v>
      </c>
      <c r="AW6" s="40">
        <v>46326</v>
      </c>
      <c r="AX6" s="40">
        <v>46356</v>
      </c>
      <c r="AY6" s="40">
        <v>46387</v>
      </c>
      <c r="AZ6" s="40"/>
      <c r="BA6" s="40">
        <v>46022</v>
      </c>
      <c r="BB6" s="40">
        <v>46053</v>
      </c>
      <c r="BC6" s="40">
        <v>46081</v>
      </c>
      <c r="BD6" s="40">
        <v>46112</v>
      </c>
      <c r="BE6" s="40">
        <v>46142</v>
      </c>
      <c r="BF6" s="40">
        <v>46173</v>
      </c>
      <c r="BG6" s="40">
        <v>46203</v>
      </c>
      <c r="BH6" s="40">
        <v>46234</v>
      </c>
      <c r="BI6" s="40">
        <v>46265</v>
      </c>
      <c r="BJ6" s="40">
        <v>46295</v>
      </c>
      <c r="BK6" s="40">
        <v>46326</v>
      </c>
      <c r="BL6" s="40">
        <v>46356</v>
      </c>
      <c r="BM6" s="40">
        <v>46387</v>
      </c>
    </row>
    <row r="7" spans="1:67" x14ac:dyDescent="0.3">
      <c r="E7" s="121" t="s">
        <v>293</v>
      </c>
      <c r="F7" t="s">
        <v>293</v>
      </c>
      <c r="G7" t="s">
        <v>293</v>
      </c>
      <c r="H7" t="s">
        <v>293</v>
      </c>
      <c r="P7" t="s">
        <v>293</v>
      </c>
      <c r="Q7" t="s">
        <v>293</v>
      </c>
      <c r="R7" t="s">
        <v>293</v>
      </c>
      <c r="W7" s="199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</row>
    <row r="8" spans="1:67" ht="43.2" x14ac:dyDescent="0.3">
      <c r="A8" s="1" t="s">
        <v>13</v>
      </c>
      <c r="B8" s="1" t="s">
        <v>29</v>
      </c>
      <c r="C8" s="37" t="s">
        <v>1339</v>
      </c>
      <c r="D8" s="4" t="s">
        <v>229</v>
      </c>
      <c r="E8" s="4" t="s">
        <v>1590</v>
      </c>
      <c r="F8" s="4" t="s">
        <v>317</v>
      </c>
      <c r="G8" s="4" t="s">
        <v>1589</v>
      </c>
      <c r="H8" s="4" t="s">
        <v>1693</v>
      </c>
      <c r="I8" s="4" t="s">
        <v>290</v>
      </c>
      <c r="J8" s="4" t="s">
        <v>291</v>
      </c>
      <c r="K8" s="4" t="s">
        <v>322</v>
      </c>
      <c r="L8" s="4" t="s">
        <v>292</v>
      </c>
      <c r="M8" s="4" t="s">
        <v>1303</v>
      </c>
      <c r="N8" s="4" t="s">
        <v>243</v>
      </c>
      <c r="O8" s="4" t="s">
        <v>1481</v>
      </c>
      <c r="P8" s="4" t="s">
        <v>324</v>
      </c>
      <c r="Q8" s="4" t="s">
        <v>1574</v>
      </c>
      <c r="R8" s="4" t="s">
        <v>1699</v>
      </c>
      <c r="S8" s="4" t="s">
        <v>1707</v>
      </c>
      <c r="T8" s="15" t="s">
        <v>318</v>
      </c>
      <c r="U8" s="15" t="s">
        <v>294</v>
      </c>
      <c r="V8" s="15" t="s">
        <v>323</v>
      </c>
      <c r="W8" s="20" t="s">
        <v>295</v>
      </c>
      <c r="X8" s="57" t="s">
        <v>1358</v>
      </c>
      <c r="Y8" s="36" t="s">
        <v>1341</v>
      </c>
      <c r="Z8" s="16" t="s">
        <v>1327</v>
      </c>
      <c r="AA8" s="16" t="s">
        <v>1328</v>
      </c>
      <c r="AB8" s="16" t="s">
        <v>1329</v>
      </c>
      <c r="AC8" s="16" t="s">
        <v>1330</v>
      </c>
      <c r="AD8" s="16" t="s">
        <v>1331</v>
      </c>
      <c r="AE8" s="16" t="s">
        <v>1332</v>
      </c>
      <c r="AF8" s="16" t="s">
        <v>1333</v>
      </c>
      <c r="AG8" s="16" t="s">
        <v>1334</v>
      </c>
      <c r="AH8" s="16" t="s">
        <v>1335</v>
      </c>
      <c r="AI8" s="16" t="s">
        <v>1336</v>
      </c>
      <c r="AJ8" s="16" t="s">
        <v>1337</v>
      </c>
      <c r="AK8" s="16" t="s">
        <v>1338</v>
      </c>
      <c r="AL8" s="38" t="s">
        <v>1694</v>
      </c>
      <c r="AM8" s="38" t="s">
        <v>1342</v>
      </c>
      <c r="AN8" s="18" t="s">
        <v>303</v>
      </c>
      <c r="AO8" s="18" t="s">
        <v>304</v>
      </c>
      <c r="AP8" s="18" t="s">
        <v>305</v>
      </c>
      <c r="AQ8" s="18" t="s">
        <v>306</v>
      </c>
      <c r="AR8" s="18" t="s">
        <v>307</v>
      </c>
      <c r="AS8" s="18" t="s">
        <v>308</v>
      </c>
      <c r="AT8" s="18" t="s">
        <v>309</v>
      </c>
      <c r="AU8" s="18" t="s">
        <v>310</v>
      </c>
      <c r="AV8" s="18" t="s">
        <v>311</v>
      </c>
      <c r="AW8" s="18" t="s">
        <v>312</v>
      </c>
      <c r="AX8" s="18" t="s">
        <v>313</v>
      </c>
      <c r="AY8" s="18" t="s">
        <v>302</v>
      </c>
      <c r="AZ8" s="18" t="s">
        <v>1359</v>
      </c>
      <c r="BA8" s="34" t="s">
        <v>1344</v>
      </c>
      <c r="BB8" s="39" t="s">
        <v>1345</v>
      </c>
      <c r="BC8" s="39" t="s">
        <v>1346</v>
      </c>
      <c r="BD8" s="39" t="s">
        <v>1347</v>
      </c>
      <c r="BE8" s="39" t="s">
        <v>1348</v>
      </c>
      <c r="BF8" s="39" t="s">
        <v>1349</v>
      </c>
      <c r="BG8" s="39" t="s">
        <v>1350</v>
      </c>
      <c r="BH8" s="39" t="s">
        <v>1351</v>
      </c>
      <c r="BI8" s="39" t="s">
        <v>1352</v>
      </c>
      <c r="BJ8" s="39" t="s">
        <v>1353</v>
      </c>
      <c r="BK8" s="39" t="s">
        <v>1354</v>
      </c>
      <c r="BL8" s="39" t="s">
        <v>1355</v>
      </c>
      <c r="BM8" s="39" t="s">
        <v>1356</v>
      </c>
    </row>
    <row r="9" spans="1:67" s="41" customFormat="1" hidden="1" x14ac:dyDescent="0.3">
      <c r="C9" s="41" t="s">
        <v>1340</v>
      </c>
      <c r="D9" s="42" t="s">
        <v>336</v>
      </c>
      <c r="E9" s="42" t="str">
        <f>MID($D9,2,3)</f>
        <v>211</v>
      </c>
      <c r="F9" s="41" t="str">
        <f>_xlfn.XLOOKUP($D9,MD_Account_Asset_Type[Nhóm tài sản],MD_Account_Asset_Type[Tên Nhóm tài sản])</f>
        <v>Nhà cửa, vật kiến trúc - QL 642</v>
      </c>
      <c r="G9" s="41" t="str">
        <f>_xlfn.XLOOKUP($D9,MD_Account_Asset_Type[Nhóm tài sản],MD_Account_Asset_Type[Tên nhóm TS-Rút gọn])</f>
        <v>Nhà cửa, vật kiến trúc</v>
      </c>
      <c r="H9" s="41" t="str">
        <f>_xlfn.XLOOKUP($D9,MD_Account_Asset_Type[Nhóm tài sản],MD_Account_Asset_Type[Tên nhóm TS-Rút gọn-v2])</f>
        <v>Nhà cửa, vật kiến trúc</v>
      </c>
      <c r="I9" s="43" t="s">
        <v>835</v>
      </c>
      <c r="J9" s="42" t="s">
        <v>503</v>
      </c>
      <c r="K9" s="41" t="s">
        <v>830</v>
      </c>
      <c r="L9" s="42" t="s">
        <v>36</v>
      </c>
      <c r="M9" s="42" t="s">
        <v>111</v>
      </c>
      <c r="N9" s="44">
        <v>0</v>
      </c>
      <c r="O9" s="44"/>
      <c r="P9" s="41" t="s">
        <v>472</v>
      </c>
      <c r="Q9" s="41" t="str">
        <f>LEFT($P9,3)</f>
        <v>642</v>
      </c>
      <c r="R9" s="41" t="str">
        <f>_xlfn.XLOOKUP($L9,MD_Cost_Center[Mã Cost Center],MD_Cost_Center[Ngành])</f>
        <v>Chung</v>
      </c>
      <c r="S9" s="41" t="str">
        <f>_xlfn.XLOOKUP($L9,MD_Cost_Center[Mã Cost Center],MD_Cost_Center[Ngành-Tách PET-Xơ sợi])</f>
        <v>Chung</v>
      </c>
      <c r="T9" s="45">
        <v>44986</v>
      </c>
      <c r="U9" s="46">
        <v>46082</v>
      </c>
      <c r="V9" s="47">
        <v>120</v>
      </c>
      <c r="W9" s="47">
        <v>184508875</v>
      </c>
      <c r="X9" s="47">
        <v>-119191.77906976744</v>
      </c>
      <c r="Y9" s="47">
        <v>184508875</v>
      </c>
      <c r="Z9" s="47">
        <v>184508875</v>
      </c>
      <c r="AA9" s="47">
        <v>184508875</v>
      </c>
      <c r="AB9" s="47">
        <v>184508875</v>
      </c>
      <c r="AC9" s="47">
        <v>184508875</v>
      </c>
      <c r="AD9" s="47">
        <v>184508875</v>
      </c>
      <c r="AE9" s="47">
        <v>184508875</v>
      </c>
      <c r="AF9" s="47">
        <v>184508875</v>
      </c>
      <c r="AG9" s="47">
        <v>184508875</v>
      </c>
      <c r="AH9" s="47">
        <v>184508875</v>
      </c>
      <c r="AI9" s="47">
        <v>184508875</v>
      </c>
      <c r="AJ9" s="47">
        <v>184508875</v>
      </c>
      <c r="AK9" s="47">
        <v>184508875</v>
      </c>
      <c r="AL9" s="47">
        <v>-61502959</v>
      </c>
      <c r="AM9" s="47">
        <v>-174258382</v>
      </c>
      <c r="AN9" s="47">
        <v>-119191.77906976744</v>
      </c>
      <c r="AO9" s="47">
        <v>-119191.77906976744</v>
      </c>
      <c r="AP9" s="47">
        <v>-119191.77906976744</v>
      </c>
      <c r="AQ9" s="47">
        <v>-119191.77906976744</v>
      </c>
      <c r="AR9" s="47">
        <v>-119191.77906976744</v>
      </c>
      <c r="AS9" s="47">
        <v>-119191.77906976744</v>
      </c>
      <c r="AT9" s="47">
        <v>-119191.77906976744</v>
      </c>
      <c r="AU9" s="47">
        <v>-119191.77906976744</v>
      </c>
      <c r="AV9" s="47">
        <v>-119191.77906976744</v>
      </c>
      <c r="AW9" s="47">
        <v>-119191.77906976744</v>
      </c>
      <c r="AX9" s="47">
        <v>-119191.77906976744</v>
      </c>
      <c r="AY9" s="47">
        <v>-119191.77906976744</v>
      </c>
      <c r="AZ9" s="58">
        <f t="shared" ref="AZ9:AZ26" si="0">SUM(AN9:AY9)</f>
        <v>-1430301.3488372089</v>
      </c>
      <c r="BA9" s="47">
        <f>Y9+SUM($AM9:AM9)</f>
        <v>10250493</v>
      </c>
      <c r="BB9" s="48">
        <f>Z9+SUM($AM9:AN9)</f>
        <v>10131301.220930219</v>
      </c>
      <c r="BC9" s="48">
        <f>AA9+SUM($AM9:AO9)</f>
        <v>10012109.441860437</v>
      </c>
      <c r="BD9" s="48">
        <f>AB9+SUM($AM9:AP9)</f>
        <v>9892917.6627906561</v>
      </c>
      <c r="BE9" s="48">
        <f>AC9+SUM($AM9:AQ9)</f>
        <v>9773725.8837208748</v>
      </c>
      <c r="BF9" s="48">
        <f>AD9+SUM($AM9:AR9)</f>
        <v>9654534.1046510935</v>
      </c>
      <c r="BG9" s="48">
        <f>AE9+SUM($AM9:AS9)</f>
        <v>9535342.3255813122</v>
      </c>
      <c r="BH9" s="48">
        <f>AF9+SUM($AM9:AT9)</f>
        <v>9416150.5465115309</v>
      </c>
      <c r="BI9" s="48">
        <f>AG9+SUM($AM9:AU9)</f>
        <v>9296958.7674417496</v>
      </c>
      <c r="BJ9" s="48">
        <f>AH9+SUM($AM9:AV9)</f>
        <v>9177766.9883719683</v>
      </c>
      <c r="BK9" s="48">
        <f>AI9+SUM($AM9:AW9)</f>
        <v>9058575.209302187</v>
      </c>
      <c r="BL9" s="48">
        <f>AJ9+SUM($AM9:AX9)</f>
        <v>8939383.4302324057</v>
      </c>
      <c r="BM9" s="48">
        <f>AK9+SUM($AM9:AY9)</f>
        <v>8820191.6511626244</v>
      </c>
      <c r="BO9" s="47"/>
    </row>
    <row r="10" spans="1:67" s="41" customFormat="1" hidden="1" x14ac:dyDescent="0.3">
      <c r="C10" s="41" t="s">
        <v>1340</v>
      </c>
      <c r="D10" s="42" t="s">
        <v>336</v>
      </c>
      <c r="E10" s="42" t="str">
        <f t="shared" ref="E10:E73" si="1">MID($D10,2,3)</f>
        <v>211</v>
      </c>
      <c r="F10" s="41" t="str">
        <f>_xlfn.XLOOKUP($D10,MD_Account_Asset_Type[Nhóm tài sản],MD_Account_Asset_Type[Tên Nhóm tài sản])</f>
        <v>Nhà cửa, vật kiến trúc - QL 642</v>
      </c>
      <c r="G10" s="41" t="str">
        <f>_xlfn.XLOOKUP($D10,MD_Account_Asset_Type[Nhóm tài sản],MD_Account_Asset_Type[Tên nhóm TS-Rút gọn])</f>
        <v>Nhà cửa, vật kiến trúc</v>
      </c>
      <c r="H10" s="41" t="str">
        <f>_xlfn.XLOOKUP($D10,MD_Account_Asset_Type[Nhóm tài sản],MD_Account_Asset_Type[Tên nhóm TS-Rút gọn-v2])</f>
        <v>Nhà cửa, vật kiến trúc</v>
      </c>
      <c r="I10" s="43" t="s">
        <v>836</v>
      </c>
      <c r="J10" s="42" t="s">
        <v>504</v>
      </c>
      <c r="K10" s="41" t="s">
        <v>830</v>
      </c>
      <c r="L10" s="42" t="s">
        <v>36</v>
      </c>
      <c r="M10" s="42" t="s">
        <v>111</v>
      </c>
      <c r="N10" s="44">
        <v>0</v>
      </c>
      <c r="O10" s="44"/>
      <c r="P10" s="41" t="s">
        <v>472</v>
      </c>
      <c r="Q10" s="41" t="str">
        <f t="shared" ref="Q10:Q73" si="2">LEFT($P10,3)</f>
        <v>642</v>
      </c>
      <c r="R10" s="41" t="str">
        <f>_xlfn.XLOOKUP($L10,MD_Cost_Center[Mã Cost Center],MD_Cost_Center[Ngành])</f>
        <v>Chung</v>
      </c>
      <c r="S10" s="41" t="str">
        <f>_xlfn.XLOOKUP($L10,MD_Cost_Center[Mã Cost Center],MD_Cost_Center[Ngành-Tách PET-Xơ sợi])</f>
        <v>Chung</v>
      </c>
      <c r="T10" s="45">
        <v>45261</v>
      </c>
      <c r="U10" s="46">
        <v>47453</v>
      </c>
      <c r="V10" s="47">
        <v>120</v>
      </c>
      <c r="W10" s="47">
        <v>267942150</v>
      </c>
      <c r="X10" s="47">
        <v>-1841122.9578947369</v>
      </c>
      <c r="Y10" s="47">
        <v>267942150</v>
      </c>
      <c r="Z10" s="47">
        <v>267942150</v>
      </c>
      <c r="AA10" s="47">
        <v>267942150</v>
      </c>
      <c r="AB10" s="47">
        <v>267942150</v>
      </c>
      <c r="AC10" s="47">
        <v>267942150</v>
      </c>
      <c r="AD10" s="47">
        <v>267942150</v>
      </c>
      <c r="AE10" s="47">
        <v>267942150</v>
      </c>
      <c r="AF10" s="47">
        <v>267942150</v>
      </c>
      <c r="AG10" s="47">
        <v>267942150</v>
      </c>
      <c r="AH10" s="47">
        <v>267942150</v>
      </c>
      <c r="AI10" s="47">
        <v>267942150</v>
      </c>
      <c r="AJ10" s="47">
        <v>267942150</v>
      </c>
      <c r="AK10" s="47">
        <v>267942150</v>
      </c>
      <c r="AL10" s="47">
        <v>-44657025</v>
      </c>
      <c r="AM10" s="47">
        <v>-93035469</v>
      </c>
      <c r="AN10" s="47">
        <v>-1841122.9578947369</v>
      </c>
      <c r="AO10" s="47">
        <v>-1841122.9578947369</v>
      </c>
      <c r="AP10" s="47">
        <v>-1841122.9578947369</v>
      </c>
      <c r="AQ10" s="47">
        <v>-1841122.9578947369</v>
      </c>
      <c r="AR10" s="47">
        <v>-1841122.9578947369</v>
      </c>
      <c r="AS10" s="47">
        <v>-1841122.9578947369</v>
      </c>
      <c r="AT10" s="47">
        <v>-1841122.9578947369</v>
      </c>
      <c r="AU10" s="47">
        <v>-1841122.9578947369</v>
      </c>
      <c r="AV10" s="47">
        <v>-1841122.9578947369</v>
      </c>
      <c r="AW10" s="47">
        <v>-1841122.9578947369</v>
      </c>
      <c r="AX10" s="47">
        <v>-1841122.9578947369</v>
      </c>
      <c r="AY10" s="47">
        <v>-1841122.9578947369</v>
      </c>
      <c r="AZ10" s="58">
        <f t="shared" si="0"/>
        <v>-22093475.494736843</v>
      </c>
      <c r="BA10" s="47">
        <f>Y10+SUM($AM10:AM10)</f>
        <v>174906681</v>
      </c>
      <c r="BB10" s="48">
        <f>Z10+SUM($AM10:AN10)</f>
        <v>173065558.04210526</v>
      </c>
      <c r="BC10" s="48">
        <f>AA10+SUM($AM10:AO10)</f>
        <v>171224435.08421052</v>
      </c>
      <c r="BD10" s="48">
        <f>AB10+SUM($AM10:AP10)</f>
        <v>169383312.12631577</v>
      </c>
      <c r="BE10" s="48">
        <f>AC10+SUM($AM10:AQ10)</f>
        <v>167542189.16842103</v>
      </c>
      <c r="BF10" s="48">
        <f>AD10+SUM($AM10:AR10)</f>
        <v>165701066.21052629</v>
      </c>
      <c r="BG10" s="48">
        <f>AE10+SUM($AM10:AS10)</f>
        <v>163859943.25263155</v>
      </c>
      <c r="BH10" s="48">
        <f>AF10+SUM($AM10:AT10)</f>
        <v>162018820.2947368</v>
      </c>
      <c r="BI10" s="48">
        <f>AG10+SUM($AM10:AU10)</f>
        <v>160177697.33684206</v>
      </c>
      <c r="BJ10" s="48">
        <f>AH10+SUM($AM10:AV10)</f>
        <v>158336574.37894732</v>
      </c>
      <c r="BK10" s="48">
        <f>AI10+SUM($AM10:AW10)</f>
        <v>156495451.42105258</v>
      </c>
      <c r="BL10" s="48">
        <f>AJ10+SUM($AM10:AX10)</f>
        <v>154654328.46315783</v>
      </c>
      <c r="BM10" s="48">
        <f>AK10+SUM($AM10:AY10)</f>
        <v>152813205.50526309</v>
      </c>
      <c r="BO10" s="47"/>
    </row>
    <row r="11" spans="1:67" s="41" customFormat="1" hidden="1" x14ac:dyDescent="0.3">
      <c r="C11" s="41" t="s">
        <v>1340</v>
      </c>
      <c r="D11" s="42" t="s">
        <v>336</v>
      </c>
      <c r="E11" s="42" t="str">
        <f t="shared" si="1"/>
        <v>211</v>
      </c>
      <c r="F11" s="41" t="str">
        <f>_xlfn.XLOOKUP($D11,MD_Account_Asset_Type[Nhóm tài sản],MD_Account_Asset_Type[Tên Nhóm tài sản])</f>
        <v>Nhà cửa, vật kiến trúc - QL 642</v>
      </c>
      <c r="G11" s="41" t="str">
        <f>_xlfn.XLOOKUP($D11,MD_Account_Asset_Type[Nhóm tài sản],MD_Account_Asset_Type[Tên nhóm TS-Rút gọn])</f>
        <v>Nhà cửa, vật kiến trúc</v>
      </c>
      <c r="H11" s="41" t="str">
        <f>_xlfn.XLOOKUP($D11,MD_Account_Asset_Type[Nhóm tài sản],MD_Account_Asset_Type[Tên nhóm TS-Rút gọn-v2])</f>
        <v>Nhà cửa, vật kiến trúc</v>
      </c>
      <c r="I11" s="43" t="s">
        <v>837</v>
      </c>
      <c r="J11" s="42" t="s">
        <v>505</v>
      </c>
      <c r="K11" s="41" t="s">
        <v>830</v>
      </c>
      <c r="L11" s="42" t="s">
        <v>34</v>
      </c>
      <c r="M11" s="42" t="s">
        <v>109</v>
      </c>
      <c r="N11" s="44">
        <v>0</v>
      </c>
      <c r="O11" s="44"/>
      <c r="P11" s="41" t="s">
        <v>472</v>
      </c>
      <c r="Q11" s="41" t="str">
        <f t="shared" si="2"/>
        <v>642</v>
      </c>
      <c r="R11" s="41" t="str">
        <f>_xlfn.XLOOKUP($L11,MD_Cost_Center[Mã Cost Center],MD_Cost_Center[Ngành])</f>
        <v>Chung</v>
      </c>
      <c r="S11" s="41" t="str">
        <f>_xlfn.XLOOKUP($L11,MD_Cost_Center[Mã Cost Center],MD_Cost_Center[Ngành-Tách PET-Xơ sợi])</f>
        <v>Chung</v>
      </c>
      <c r="T11" s="45">
        <v>45261</v>
      </c>
      <c r="U11" s="46">
        <v>46357</v>
      </c>
      <c r="V11" s="47">
        <v>120</v>
      </c>
      <c r="W11" s="47">
        <v>309657600</v>
      </c>
      <c r="X11" s="47">
        <v>-995974.73684210528</v>
      </c>
      <c r="Y11" s="47">
        <v>309657600</v>
      </c>
      <c r="Z11" s="47">
        <v>309657600</v>
      </c>
      <c r="AA11" s="47">
        <v>309657600</v>
      </c>
      <c r="AB11" s="47">
        <v>309657600</v>
      </c>
      <c r="AC11" s="47">
        <v>309657600</v>
      </c>
      <c r="AD11" s="47">
        <v>309657600</v>
      </c>
      <c r="AE11" s="47">
        <v>309657600</v>
      </c>
      <c r="AF11" s="47">
        <v>309657600</v>
      </c>
      <c r="AG11" s="47">
        <v>309657600</v>
      </c>
      <c r="AH11" s="47">
        <v>309657600</v>
      </c>
      <c r="AI11" s="47">
        <v>309657600</v>
      </c>
      <c r="AJ11" s="47">
        <v>309657600</v>
      </c>
      <c r="AK11" s="47">
        <v>309657600</v>
      </c>
      <c r="AL11" s="47">
        <v>-103219200</v>
      </c>
      <c r="AM11" s="47">
        <v>-215040000</v>
      </c>
      <c r="AN11" s="47">
        <v>-995974.73684210528</v>
      </c>
      <c r="AO11" s="47">
        <v>-995974.73684210528</v>
      </c>
      <c r="AP11" s="47">
        <v>-995974.73684210528</v>
      </c>
      <c r="AQ11" s="47">
        <v>-995974.73684210528</v>
      </c>
      <c r="AR11" s="47">
        <v>-995974.73684210528</v>
      </c>
      <c r="AS11" s="47">
        <v>-995974.73684210528</v>
      </c>
      <c r="AT11" s="47">
        <v>-995974.73684210528</v>
      </c>
      <c r="AU11" s="47">
        <v>-995974.73684210528</v>
      </c>
      <c r="AV11" s="47">
        <v>-995974.73684210528</v>
      </c>
      <c r="AW11" s="47">
        <v>-995974.73684210528</v>
      </c>
      <c r="AX11" s="47">
        <v>-995974.73684210528</v>
      </c>
      <c r="AY11" s="47">
        <v>-995974.73684210528</v>
      </c>
      <c r="AZ11" s="58">
        <f t="shared" si="0"/>
        <v>-11951696.842105264</v>
      </c>
      <c r="BA11" s="47">
        <f>Y11+SUM($AM11:AM11)</f>
        <v>94617600</v>
      </c>
      <c r="BB11" s="48">
        <f>Z11+SUM($AM11:AN11)</f>
        <v>93621625.263157904</v>
      </c>
      <c r="BC11" s="48">
        <f>AA11+SUM($AM11:AO11)</f>
        <v>92625650.526315808</v>
      </c>
      <c r="BD11" s="48">
        <f>AB11+SUM($AM11:AP11)</f>
        <v>91629675.789473712</v>
      </c>
      <c r="BE11" s="48">
        <f>AC11+SUM($AM11:AQ11)</f>
        <v>90633701.052631617</v>
      </c>
      <c r="BF11" s="48">
        <f>AD11+SUM($AM11:AR11)</f>
        <v>89637726.315789521</v>
      </c>
      <c r="BG11" s="48">
        <f>AE11+SUM($AM11:AS11)</f>
        <v>88641751.578947425</v>
      </c>
      <c r="BH11" s="48">
        <f>AF11+SUM($AM11:AT11)</f>
        <v>87645776.842105329</v>
      </c>
      <c r="BI11" s="48">
        <f>AG11+SUM($AM11:AU11)</f>
        <v>86649802.105263233</v>
      </c>
      <c r="BJ11" s="48">
        <f>AH11+SUM($AM11:AV11)</f>
        <v>85653827.368421137</v>
      </c>
      <c r="BK11" s="48">
        <f>AI11+SUM($AM11:AW11)</f>
        <v>84657852.631579041</v>
      </c>
      <c r="BL11" s="48">
        <f>AJ11+SUM($AM11:AX11)</f>
        <v>83661877.894736946</v>
      </c>
      <c r="BM11" s="48">
        <f>AK11+SUM($AM11:AY11)</f>
        <v>82665903.15789485</v>
      </c>
      <c r="BO11" s="47"/>
    </row>
    <row r="12" spans="1:67" s="41" customFormat="1" hidden="1" x14ac:dyDescent="0.3">
      <c r="C12" s="41" t="s">
        <v>1340</v>
      </c>
      <c r="D12" s="42" t="s">
        <v>336</v>
      </c>
      <c r="E12" s="42" t="str">
        <f t="shared" si="1"/>
        <v>211</v>
      </c>
      <c r="F12" s="41" t="str">
        <f>_xlfn.XLOOKUP($D12,MD_Account_Asset_Type[Nhóm tài sản],MD_Account_Asset_Type[Tên Nhóm tài sản])</f>
        <v>Nhà cửa, vật kiến trúc - QL 642</v>
      </c>
      <c r="G12" s="41" t="str">
        <f>_xlfn.XLOOKUP($D12,MD_Account_Asset_Type[Nhóm tài sản],MD_Account_Asset_Type[Tên nhóm TS-Rút gọn])</f>
        <v>Nhà cửa, vật kiến trúc</v>
      </c>
      <c r="H12" s="41" t="str">
        <f>_xlfn.XLOOKUP($D12,MD_Account_Asset_Type[Nhóm tài sản],MD_Account_Asset_Type[Tên nhóm TS-Rút gọn-v2])</f>
        <v>Nhà cửa, vật kiến trúc</v>
      </c>
      <c r="I12" s="43" t="s">
        <v>838</v>
      </c>
      <c r="J12" s="42" t="s">
        <v>506</v>
      </c>
      <c r="K12" s="41" t="s">
        <v>830</v>
      </c>
      <c r="L12" s="42" t="s">
        <v>36</v>
      </c>
      <c r="M12" s="42" t="s">
        <v>111</v>
      </c>
      <c r="N12" s="44">
        <v>0</v>
      </c>
      <c r="O12" s="44"/>
      <c r="P12" s="41" t="s">
        <v>472</v>
      </c>
      <c r="Q12" s="41" t="str">
        <f t="shared" si="2"/>
        <v>642</v>
      </c>
      <c r="R12" s="41" t="str">
        <f>_xlfn.XLOOKUP($L12,MD_Cost_Center[Mã Cost Center],MD_Cost_Center[Ngành])</f>
        <v>Chung</v>
      </c>
      <c r="S12" s="41" t="str">
        <f>_xlfn.XLOOKUP($L12,MD_Cost_Center[Mã Cost Center],MD_Cost_Center[Ngành-Tách PET-Xơ sợi])</f>
        <v>Chung</v>
      </c>
      <c r="T12" s="45">
        <v>45261</v>
      </c>
      <c r="U12" s="46">
        <v>47453</v>
      </c>
      <c r="V12" s="47">
        <v>120</v>
      </c>
      <c r="W12" s="47">
        <v>278150000</v>
      </c>
      <c r="X12" s="47">
        <v>-1911264.6315789474</v>
      </c>
      <c r="Y12" s="47">
        <v>278150000</v>
      </c>
      <c r="Z12" s="47">
        <v>278150000</v>
      </c>
      <c r="AA12" s="47">
        <v>278150000</v>
      </c>
      <c r="AB12" s="47">
        <v>278150000</v>
      </c>
      <c r="AC12" s="47">
        <v>278150000</v>
      </c>
      <c r="AD12" s="47">
        <v>278150000</v>
      </c>
      <c r="AE12" s="47">
        <v>278150000</v>
      </c>
      <c r="AF12" s="47">
        <v>278150000</v>
      </c>
      <c r="AG12" s="47">
        <v>278150000</v>
      </c>
      <c r="AH12" s="47">
        <v>278150000</v>
      </c>
      <c r="AI12" s="47">
        <v>278150000</v>
      </c>
      <c r="AJ12" s="47">
        <v>278150000</v>
      </c>
      <c r="AK12" s="47">
        <v>278150000</v>
      </c>
      <c r="AL12" s="47">
        <v>-46358333</v>
      </c>
      <c r="AM12" s="47">
        <v>-96579860</v>
      </c>
      <c r="AN12" s="47">
        <v>-1911264.6315789474</v>
      </c>
      <c r="AO12" s="47">
        <v>-1911264.6315789474</v>
      </c>
      <c r="AP12" s="47">
        <v>-1911264.6315789474</v>
      </c>
      <c r="AQ12" s="47">
        <v>-1911264.6315789474</v>
      </c>
      <c r="AR12" s="47">
        <v>-1911264.6315789474</v>
      </c>
      <c r="AS12" s="47">
        <v>-1911264.6315789474</v>
      </c>
      <c r="AT12" s="47">
        <v>-1911264.6315789474</v>
      </c>
      <c r="AU12" s="47">
        <v>-1911264.6315789474</v>
      </c>
      <c r="AV12" s="47">
        <v>-1911264.6315789474</v>
      </c>
      <c r="AW12" s="47">
        <v>-1911264.6315789474</v>
      </c>
      <c r="AX12" s="47">
        <v>-1911264.6315789474</v>
      </c>
      <c r="AY12" s="47">
        <v>-1911264.6315789474</v>
      </c>
      <c r="AZ12" s="58">
        <f t="shared" si="0"/>
        <v>-22935175.578947376</v>
      </c>
      <c r="BA12" s="47">
        <f>Y12+SUM($AM12:AM12)</f>
        <v>181570140</v>
      </c>
      <c r="BB12" s="48">
        <f>Z12+SUM($AM12:AN12)</f>
        <v>179658875.36842105</v>
      </c>
      <c r="BC12" s="48">
        <f>AA12+SUM($AM12:AO12)</f>
        <v>177747610.7368421</v>
      </c>
      <c r="BD12" s="48">
        <f>AB12+SUM($AM12:AP12)</f>
        <v>175836346.10526314</v>
      </c>
      <c r="BE12" s="48">
        <f>AC12+SUM($AM12:AQ12)</f>
        <v>173925081.47368419</v>
      </c>
      <c r="BF12" s="48">
        <f>AD12+SUM($AM12:AR12)</f>
        <v>172013816.84210524</v>
      </c>
      <c r="BG12" s="48">
        <f>AE12+SUM($AM12:AS12)</f>
        <v>170102552.21052629</v>
      </c>
      <c r="BH12" s="48">
        <f>AF12+SUM($AM12:AT12)</f>
        <v>168191287.57894734</v>
      </c>
      <c r="BI12" s="48">
        <f>AG12+SUM($AM12:AU12)</f>
        <v>166280022.94736838</v>
      </c>
      <c r="BJ12" s="48">
        <f>AH12+SUM($AM12:AV12)</f>
        <v>164368758.31578943</v>
      </c>
      <c r="BK12" s="48">
        <f>AI12+SUM($AM12:AW12)</f>
        <v>162457493.68421048</v>
      </c>
      <c r="BL12" s="48">
        <f>AJ12+SUM($AM12:AX12)</f>
        <v>160546229.05263153</v>
      </c>
      <c r="BM12" s="48">
        <f>AK12+SUM($AM12:AY12)</f>
        <v>158634964.42105258</v>
      </c>
      <c r="BO12" s="47"/>
    </row>
    <row r="13" spans="1:67" s="41" customFormat="1" hidden="1" x14ac:dyDescent="0.3">
      <c r="C13" s="41" t="s">
        <v>1340</v>
      </c>
      <c r="D13" s="42" t="s">
        <v>336</v>
      </c>
      <c r="E13" s="42" t="str">
        <f t="shared" si="1"/>
        <v>211</v>
      </c>
      <c r="F13" s="41" t="str">
        <f>_xlfn.XLOOKUP($D13,MD_Account_Asset_Type[Nhóm tài sản],MD_Account_Asset_Type[Tên Nhóm tài sản])</f>
        <v>Nhà cửa, vật kiến trúc - QL 642</v>
      </c>
      <c r="G13" s="41" t="str">
        <f>_xlfn.XLOOKUP($D13,MD_Account_Asset_Type[Nhóm tài sản],MD_Account_Asset_Type[Tên nhóm TS-Rút gọn])</f>
        <v>Nhà cửa, vật kiến trúc</v>
      </c>
      <c r="H13" s="41" t="str">
        <f>_xlfn.XLOOKUP($D13,MD_Account_Asset_Type[Nhóm tài sản],MD_Account_Asset_Type[Tên nhóm TS-Rút gọn-v2])</f>
        <v>Nhà cửa, vật kiến trúc</v>
      </c>
      <c r="I13" s="43" t="s">
        <v>839</v>
      </c>
      <c r="J13" s="42" t="s">
        <v>507</v>
      </c>
      <c r="K13" s="41" t="s">
        <v>830</v>
      </c>
      <c r="L13" s="42" t="s">
        <v>36</v>
      </c>
      <c r="M13" s="42" t="s">
        <v>111</v>
      </c>
      <c r="N13" s="44">
        <v>0</v>
      </c>
      <c r="O13" s="44"/>
      <c r="P13" s="41" t="s">
        <v>472</v>
      </c>
      <c r="Q13" s="41" t="str">
        <f t="shared" si="2"/>
        <v>642</v>
      </c>
      <c r="R13" s="41" t="str">
        <f>_xlfn.XLOOKUP($L13,MD_Cost_Center[Mã Cost Center],MD_Cost_Center[Ngành])</f>
        <v>Chung</v>
      </c>
      <c r="S13" s="41" t="str">
        <f>_xlfn.XLOOKUP($L13,MD_Cost_Center[Mã Cost Center],MD_Cost_Center[Ngành-Tách PET-Xơ sợi])</f>
        <v>Chung</v>
      </c>
      <c r="T13" s="45">
        <v>45261</v>
      </c>
      <c r="U13" s="46">
        <v>48183</v>
      </c>
      <c r="V13" s="47">
        <v>120</v>
      </c>
      <c r="W13" s="47">
        <v>118791283</v>
      </c>
      <c r="X13" s="47">
        <v>-924800.56842105265</v>
      </c>
      <c r="Y13" s="47">
        <v>118791283</v>
      </c>
      <c r="Z13" s="47">
        <v>118791283</v>
      </c>
      <c r="AA13" s="47">
        <v>118791283</v>
      </c>
      <c r="AB13" s="47">
        <v>118791283</v>
      </c>
      <c r="AC13" s="47">
        <v>118791283</v>
      </c>
      <c r="AD13" s="47">
        <v>118791283</v>
      </c>
      <c r="AE13" s="47">
        <v>118791283</v>
      </c>
      <c r="AF13" s="47">
        <v>118791283</v>
      </c>
      <c r="AG13" s="47">
        <v>118791283</v>
      </c>
      <c r="AH13" s="47">
        <v>118791283</v>
      </c>
      <c r="AI13" s="47">
        <v>118791283</v>
      </c>
      <c r="AJ13" s="47">
        <v>118791283</v>
      </c>
      <c r="AK13" s="47">
        <v>118791283</v>
      </c>
      <c r="AL13" s="47">
        <v>-14848910</v>
      </c>
      <c r="AM13" s="47">
        <v>-30935229</v>
      </c>
      <c r="AN13" s="47">
        <v>-924800.56842105265</v>
      </c>
      <c r="AO13" s="47">
        <v>-924800.56842105265</v>
      </c>
      <c r="AP13" s="47">
        <v>-924800.56842105265</v>
      </c>
      <c r="AQ13" s="47">
        <v>-924800.56842105265</v>
      </c>
      <c r="AR13" s="47">
        <v>-924800.56842105265</v>
      </c>
      <c r="AS13" s="47">
        <v>-924800.56842105265</v>
      </c>
      <c r="AT13" s="47">
        <v>-924800.56842105265</v>
      </c>
      <c r="AU13" s="47">
        <v>-924800.56842105265</v>
      </c>
      <c r="AV13" s="47">
        <v>-924800.56842105265</v>
      </c>
      <c r="AW13" s="47">
        <v>-924800.56842105265</v>
      </c>
      <c r="AX13" s="47">
        <v>-924800.56842105265</v>
      </c>
      <c r="AY13" s="47">
        <v>-924800.56842105265</v>
      </c>
      <c r="AZ13" s="58">
        <f t="shared" si="0"/>
        <v>-11097606.821052631</v>
      </c>
      <c r="BA13" s="47">
        <f>Y13+SUM($AM13:AM13)</f>
        <v>87856054</v>
      </c>
      <c r="BB13" s="48">
        <f>Z13+SUM($AM13:AN13)</f>
        <v>86931253.431578949</v>
      </c>
      <c r="BC13" s="48">
        <f>AA13+SUM($AM13:AO13)</f>
        <v>86006452.863157898</v>
      </c>
      <c r="BD13" s="48">
        <f>AB13+SUM($AM13:AP13)</f>
        <v>85081652.294736847</v>
      </c>
      <c r="BE13" s="48">
        <f>AC13+SUM($AM13:AQ13)</f>
        <v>84156851.726315796</v>
      </c>
      <c r="BF13" s="48">
        <f>AD13+SUM($AM13:AR13)</f>
        <v>83232051.157894745</v>
      </c>
      <c r="BG13" s="48">
        <f>AE13+SUM($AM13:AS13)</f>
        <v>82307250.589473695</v>
      </c>
      <c r="BH13" s="48">
        <f>AF13+SUM($AM13:AT13)</f>
        <v>81382450.021052644</v>
      </c>
      <c r="BI13" s="48">
        <f>AG13+SUM($AM13:AU13)</f>
        <v>80457649.452631593</v>
      </c>
      <c r="BJ13" s="48">
        <f>AH13+SUM($AM13:AV13)</f>
        <v>79532848.884210542</v>
      </c>
      <c r="BK13" s="48">
        <f>AI13+SUM($AM13:AW13)</f>
        <v>78608048.315789491</v>
      </c>
      <c r="BL13" s="48">
        <f>AJ13+SUM($AM13:AX13)</f>
        <v>77683247.74736844</v>
      </c>
      <c r="BM13" s="48">
        <f>AK13+SUM($AM13:AY13)</f>
        <v>76758447.178947389</v>
      </c>
      <c r="BO13" s="47"/>
    </row>
    <row r="14" spans="1:67" s="41" customFormat="1" hidden="1" x14ac:dyDescent="0.3">
      <c r="C14" s="41" t="s">
        <v>1340</v>
      </c>
      <c r="D14" s="42" t="s">
        <v>336</v>
      </c>
      <c r="E14" s="42" t="str">
        <f t="shared" si="1"/>
        <v>211</v>
      </c>
      <c r="F14" s="41" t="str">
        <f>_xlfn.XLOOKUP($D14,MD_Account_Asset_Type[Nhóm tài sản],MD_Account_Asset_Type[Tên Nhóm tài sản])</f>
        <v>Nhà cửa, vật kiến trúc - QL 642</v>
      </c>
      <c r="G14" s="41" t="str">
        <f>_xlfn.XLOOKUP($D14,MD_Account_Asset_Type[Nhóm tài sản],MD_Account_Asset_Type[Tên nhóm TS-Rút gọn])</f>
        <v>Nhà cửa, vật kiến trúc</v>
      </c>
      <c r="H14" s="41" t="str">
        <f>_xlfn.XLOOKUP($D14,MD_Account_Asset_Type[Nhóm tài sản],MD_Account_Asset_Type[Tên nhóm TS-Rút gọn-v2])</f>
        <v>Nhà cửa, vật kiến trúc</v>
      </c>
      <c r="I14" s="43" t="s">
        <v>840</v>
      </c>
      <c r="J14" s="42" t="s">
        <v>508</v>
      </c>
      <c r="K14" s="41" t="s">
        <v>830</v>
      </c>
      <c r="L14" s="42" t="s">
        <v>36</v>
      </c>
      <c r="M14" s="42" t="s">
        <v>111</v>
      </c>
      <c r="N14" s="44">
        <v>0</v>
      </c>
      <c r="O14" s="44"/>
      <c r="P14" s="41" t="s">
        <v>472</v>
      </c>
      <c r="Q14" s="41" t="str">
        <f t="shared" si="2"/>
        <v>642</v>
      </c>
      <c r="R14" s="41" t="str">
        <f>_xlfn.XLOOKUP($L14,MD_Cost_Center[Mã Cost Center],MD_Cost_Center[Ngành])</f>
        <v>Chung</v>
      </c>
      <c r="S14" s="41" t="str">
        <f>_xlfn.XLOOKUP($L14,MD_Cost_Center[Mã Cost Center],MD_Cost_Center[Ngành-Tách PET-Xơ sợi])</f>
        <v>Chung</v>
      </c>
      <c r="T14" s="45">
        <v>45261</v>
      </c>
      <c r="U14" s="46">
        <v>47453</v>
      </c>
      <c r="V14" s="47">
        <v>120</v>
      </c>
      <c r="W14" s="47">
        <v>117700000</v>
      </c>
      <c r="X14" s="47">
        <v>-808757.30526315793</v>
      </c>
      <c r="Y14" s="47">
        <v>117700000</v>
      </c>
      <c r="Z14" s="47">
        <v>117700000</v>
      </c>
      <c r="AA14" s="47">
        <v>117700000</v>
      </c>
      <c r="AB14" s="47">
        <v>117700000</v>
      </c>
      <c r="AC14" s="47">
        <v>117700000</v>
      </c>
      <c r="AD14" s="47">
        <v>117700000</v>
      </c>
      <c r="AE14" s="47">
        <v>117700000</v>
      </c>
      <c r="AF14" s="47">
        <v>117700000</v>
      </c>
      <c r="AG14" s="47">
        <v>117700000</v>
      </c>
      <c r="AH14" s="47">
        <v>117700000</v>
      </c>
      <c r="AI14" s="47">
        <v>117700000</v>
      </c>
      <c r="AJ14" s="47">
        <v>117700000</v>
      </c>
      <c r="AK14" s="47">
        <v>117700000</v>
      </c>
      <c r="AL14" s="47">
        <v>-19616667</v>
      </c>
      <c r="AM14" s="47">
        <v>-40868056</v>
      </c>
      <c r="AN14" s="47">
        <v>-808757.30526315793</v>
      </c>
      <c r="AO14" s="47">
        <v>-808757.30526315793</v>
      </c>
      <c r="AP14" s="47">
        <v>-808757.30526315793</v>
      </c>
      <c r="AQ14" s="47">
        <v>-808757.30526315793</v>
      </c>
      <c r="AR14" s="47">
        <v>-808757.30526315793</v>
      </c>
      <c r="AS14" s="47">
        <v>-808757.30526315793</v>
      </c>
      <c r="AT14" s="47">
        <v>-808757.30526315793</v>
      </c>
      <c r="AU14" s="47">
        <v>-808757.30526315793</v>
      </c>
      <c r="AV14" s="47">
        <v>-808757.30526315793</v>
      </c>
      <c r="AW14" s="47">
        <v>-808757.30526315793</v>
      </c>
      <c r="AX14" s="47">
        <v>-808757.30526315793</v>
      </c>
      <c r="AY14" s="47">
        <v>-808757.30526315793</v>
      </c>
      <c r="AZ14" s="58">
        <f t="shared" si="0"/>
        <v>-9705087.6631578952</v>
      </c>
      <c r="BA14" s="47">
        <f>Y14+SUM($AM14:AM14)</f>
        <v>76831944</v>
      </c>
      <c r="BB14" s="48">
        <f>Z14+SUM($AM14:AN14)</f>
        <v>76023186.694736838</v>
      </c>
      <c r="BC14" s="48">
        <f>AA14+SUM($AM14:AO14)</f>
        <v>75214429.389473677</v>
      </c>
      <c r="BD14" s="48">
        <f>AB14+SUM($AM14:AP14)</f>
        <v>74405672.084210515</v>
      </c>
      <c r="BE14" s="48">
        <f>AC14+SUM($AM14:AQ14)</f>
        <v>73596914.778947353</v>
      </c>
      <c r="BF14" s="48">
        <f>AD14+SUM($AM14:AR14)</f>
        <v>72788157.473684192</v>
      </c>
      <c r="BG14" s="48">
        <f>AE14+SUM($AM14:AS14)</f>
        <v>71979400.16842103</v>
      </c>
      <c r="BH14" s="48">
        <f>AF14+SUM($AM14:AT14)</f>
        <v>71170642.863157868</v>
      </c>
      <c r="BI14" s="48">
        <f>AG14+SUM($AM14:AU14)</f>
        <v>70361885.557894707</v>
      </c>
      <c r="BJ14" s="48">
        <f>AH14+SUM($AM14:AV14)</f>
        <v>69553128.252631545</v>
      </c>
      <c r="BK14" s="48">
        <f>AI14+SUM($AM14:AW14)</f>
        <v>68744370.947368383</v>
      </c>
      <c r="BL14" s="48">
        <f>AJ14+SUM($AM14:AX14)</f>
        <v>67935613.642105222</v>
      </c>
      <c r="BM14" s="48">
        <f>AK14+SUM($AM14:AY14)</f>
        <v>67126856.33684206</v>
      </c>
      <c r="BO14" s="47"/>
    </row>
    <row r="15" spans="1:67" s="41" customFormat="1" hidden="1" x14ac:dyDescent="0.3">
      <c r="C15" s="41" t="s">
        <v>1340</v>
      </c>
      <c r="D15" s="42" t="s">
        <v>336</v>
      </c>
      <c r="E15" s="42" t="str">
        <f t="shared" si="1"/>
        <v>211</v>
      </c>
      <c r="F15" s="41" t="str">
        <f>_xlfn.XLOOKUP($D15,MD_Account_Asset_Type[Nhóm tài sản],MD_Account_Asset_Type[Tên Nhóm tài sản])</f>
        <v>Nhà cửa, vật kiến trúc - QL 642</v>
      </c>
      <c r="G15" s="41" t="str">
        <f>_xlfn.XLOOKUP($D15,MD_Account_Asset_Type[Nhóm tài sản],MD_Account_Asset_Type[Tên nhóm TS-Rút gọn])</f>
        <v>Nhà cửa, vật kiến trúc</v>
      </c>
      <c r="H15" s="41" t="str">
        <f>_xlfn.XLOOKUP($D15,MD_Account_Asset_Type[Nhóm tài sản],MD_Account_Asset_Type[Tên nhóm TS-Rút gọn-v2])</f>
        <v>Nhà cửa, vật kiến trúc</v>
      </c>
      <c r="I15" s="43" t="s">
        <v>841</v>
      </c>
      <c r="J15" s="42" t="s">
        <v>509</v>
      </c>
      <c r="K15" s="41" t="s">
        <v>830</v>
      </c>
      <c r="L15" s="42" t="s">
        <v>36</v>
      </c>
      <c r="M15" s="42" t="s">
        <v>111</v>
      </c>
      <c r="N15" s="44">
        <v>0</v>
      </c>
      <c r="O15" s="44"/>
      <c r="P15" s="41" t="s">
        <v>472</v>
      </c>
      <c r="Q15" s="41" t="str">
        <f t="shared" si="2"/>
        <v>642</v>
      </c>
      <c r="R15" s="41" t="str">
        <f>_xlfn.XLOOKUP($L15,MD_Cost_Center[Mã Cost Center],MD_Cost_Center[Ngành])</f>
        <v>Chung</v>
      </c>
      <c r="S15" s="41" t="str">
        <f>_xlfn.XLOOKUP($L15,MD_Cost_Center[Mã Cost Center],MD_Cost_Center[Ngành-Tách PET-Xơ sợi])</f>
        <v>Chung</v>
      </c>
      <c r="T15" s="45">
        <v>45261</v>
      </c>
      <c r="U15" s="46">
        <v>46357</v>
      </c>
      <c r="V15" s="47">
        <v>120</v>
      </c>
      <c r="W15" s="47">
        <v>30548500</v>
      </c>
      <c r="X15" s="47">
        <v>-68726.835164835167</v>
      </c>
      <c r="Y15" s="47">
        <v>30548500</v>
      </c>
      <c r="Z15" s="47">
        <v>30548500</v>
      </c>
      <c r="AA15" s="47">
        <v>30548500</v>
      </c>
      <c r="AB15" s="47">
        <v>30548500</v>
      </c>
      <c r="AC15" s="47">
        <v>30548500</v>
      </c>
      <c r="AD15" s="47">
        <v>30548500</v>
      </c>
      <c r="AE15" s="47">
        <v>30548500</v>
      </c>
      <c r="AF15" s="47">
        <v>30548500</v>
      </c>
      <c r="AG15" s="47">
        <v>30548500</v>
      </c>
      <c r="AH15" s="47">
        <v>30548500</v>
      </c>
      <c r="AI15" s="47">
        <v>30548500</v>
      </c>
      <c r="AJ15" s="47">
        <v>30548500</v>
      </c>
      <c r="AK15" s="47">
        <v>30548500</v>
      </c>
      <c r="AL15" s="47">
        <v>-6822700</v>
      </c>
      <c r="AM15" s="47">
        <v>-24294358</v>
      </c>
      <c r="AN15" s="47">
        <v>-68726.835164835167</v>
      </c>
      <c r="AO15" s="47">
        <v>-68726.835164835167</v>
      </c>
      <c r="AP15" s="47">
        <v>-68726.835164835167</v>
      </c>
      <c r="AQ15" s="47">
        <v>-68726.835164835167</v>
      </c>
      <c r="AR15" s="47">
        <v>-68726.835164835167</v>
      </c>
      <c r="AS15" s="47">
        <v>-68726.835164835167</v>
      </c>
      <c r="AT15" s="47">
        <v>-68726.835164835167</v>
      </c>
      <c r="AU15" s="47">
        <v>-68726.835164835167</v>
      </c>
      <c r="AV15" s="47">
        <v>-68726.835164835167</v>
      </c>
      <c r="AW15" s="47">
        <v>-68726.835164835167</v>
      </c>
      <c r="AX15" s="47">
        <v>-68726.835164835167</v>
      </c>
      <c r="AY15" s="47">
        <v>-68726.835164835167</v>
      </c>
      <c r="AZ15" s="58">
        <f t="shared" si="0"/>
        <v>-824722.02197802218</v>
      </c>
      <c r="BA15" s="47">
        <f>Y15+SUM($AM15:AM15)</f>
        <v>6254142</v>
      </c>
      <c r="BB15" s="48">
        <f>Z15+SUM($AM15:AN15)</f>
        <v>6185415.1648351662</v>
      </c>
      <c r="BC15" s="48">
        <f>AA15+SUM($AM15:AO15)</f>
        <v>6116688.3296703324</v>
      </c>
      <c r="BD15" s="48">
        <f>AB15+SUM($AM15:AP15)</f>
        <v>6047961.4945054986</v>
      </c>
      <c r="BE15" s="48">
        <f>AC15+SUM($AM15:AQ15)</f>
        <v>5979234.6593406647</v>
      </c>
      <c r="BF15" s="48">
        <f>AD15+SUM($AM15:AR15)</f>
        <v>5910507.8241758309</v>
      </c>
      <c r="BG15" s="48">
        <f>AE15+SUM($AM15:AS15)</f>
        <v>5841780.9890109971</v>
      </c>
      <c r="BH15" s="48">
        <f>AF15+SUM($AM15:AT15)</f>
        <v>5773054.1538461633</v>
      </c>
      <c r="BI15" s="48">
        <f>AG15+SUM($AM15:AU15)</f>
        <v>5704327.3186813295</v>
      </c>
      <c r="BJ15" s="48">
        <f>AH15+SUM($AM15:AV15)</f>
        <v>5635600.4835164957</v>
      </c>
      <c r="BK15" s="48">
        <f>AI15+SUM($AM15:AW15)</f>
        <v>5566873.6483516619</v>
      </c>
      <c r="BL15" s="48">
        <f>AJ15+SUM($AM15:AX15)</f>
        <v>5498146.813186828</v>
      </c>
      <c r="BM15" s="48">
        <f>AK15+SUM($AM15:AY15)</f>
        <v>5429419.9780219942</v>
      </c>
      <c r="BO15" s="47"/>
    </row>
    <row r="16" spans="1:67" s="41" customFormat="1" hidden="1" x14ac:dyDescent="0.3">
      <c r="C16" s="41" t="s">
        <v>1340</v>
      </c>
      <c r="D16" s="42" t="s">
        <v>336</v>
      </c>
      <c r="E16" s="42" t="str">
        <f t="shared" si="1"/>
        <v>211</v>
      </c>
      <c r="F16" s="41" t="str">
        <f>_xlfn.XLOOKUP($D16,MD_Account_Asset_Type[Nhóm tài sản],MD_Account_Asset_Type[Tên Nhóm tài sản])</f>
        <v>Nhà cửa, vật kiến trúc - QL 642</v>
      </c>
      <c r="G16" s="41" t="str">
        <f>_xlfn.XLOOKUP($D16,MD_Account_Asset_Type[Nhóm tài sản],MD_Account_Asset_Type[Tên nhóm TS-Rút gọn])</f>
        <v>Nhà cửa, vật kiến trúc</v>
      </c>
      <c r="H16" s="41" t="str">
        <f>_xlfn.XLOOKUP($D16,MD_Account_Asset_Type[Nhóm tài sản],MD_Account_Asset_Type[Tên nhóm TS-Rút gọn-v2])</f>
        <v>Nhà cửa, vật kiến trúc</v>
      </c>
      <c r="I16" s="43" t="s">
        <v>842</v>
      </c>
      <c r="J16" s="42" t="s">
        <v>510</v>
      </c>
      <c r="K16" s="41" t="s">
        <v>502</v>
      </c>
      <c r="L16" s="42" t="s">
        <v>34</v>
      </c>
      <c r="M16" s="42" t="s">
        <v>109</v>
      </c>
      <c r="N16" s="44">
        <v>0</v>
      </c>
      <c r="O16" s="44"/>
      <c r="P16" s="41" t="s">
        <v>472</v>
      </c>
      <c r="Q16" s="41" t="str">
        <f t="shared" si="2"/>
        <v>642</v>
      </c>
      <c r="R16" s="41" t="str">
        <f>_xlfn.XLOOKUP($L16,MD_Cost_Center[Mã Cost Center],MD_Cost_Center[Ngành])</f>
        <v>Chung</v>
      </c>
      <c r="S16" s="41" t="str">
        <f>_xlfn.XLOOKUP($L16,MD_Cost_Center[Mã Cost Center],MD_Cost_Center[Ngành-Tách PET-Xơ sợi])</f>
        <v>Chung</v>
      </c>
      <c r="T16" s="45">
        <v>45413</v>
      </c>
      <c r="U16" s="46">
        <v>46508</v>
      </c>
      <c r="V16" s="47">
        <v>120</v>
      </c>
      <c r="W16" s="47">
        <v>160781500</v>
      </c>
      <c r="X16" s="47">
        <v>-714584.45</v>
      </c>
      <c r="Y16" s="47">
        <v>160781500</v>
      </c>
      <c r="Z16" s="47">
        <v>160781500</v>
      </c>
      <c r="AA16" s="47">
        <v>160781500</v>
      </c>
      <c r="AB16" s="47">
        <v>160781500</v>
      </c>
      <c r="AC16" s="47">
        <v>160781500</v>
      </c>
      <c r="AD16" s="47">
        <v>160781500</v>
      </c>
      <c r="AE16" s="47">
        <v>160781500</v>
      </c>
      <c r="AF16" s="47">
        <v>160781500</v>
      </c>
      <c r="AG16" s="47">
        <v>160781500</v>
      </c>
      <c r="AH16" s="47">
        <v>160781500</v>
      </c>
      <c r="AI16" s="47">
        <v>160781500</v>
      </c>
      <c r="AJ16" s="47">
        <v>160781500</v>
      </c>
      <c r="AK16" s="47">
        <v>160781500</v>
      </c>
      <c r="AL16" s="47">
        <v>-53593833</v>
      </c>
      <c r="AM16" s="47">
        <v>-89323055</v>
      </c>
      <c r="AN16" s="47">
        <v>-714584.45</v>
      </c>
      <c r="AO16" s="47">
        <v>-714584.45</v>
      </c>
      <c r="AP16" s="47">
        <v>-714584.45</v>
      </c>
      <c r="AQ16" s="47">
        <v>-714584.45</v>
      </c>
      <c r="AR16" s="47">
        <v>-714584.45</v>
      </c>
      <c r="AS16" s="47">
        <v>-714584.45</v>
      </c>
      <c r="AT16" s="47">
        <v>-714584.45</v>
      </c>
      <c r="AU16" s="47">
        <v>-714584.45</v>
      </c>
      <c r="AV16" s="47">
        <v>-714584.45</v>
      </c>
      <c r="AW16" s="47">
        <v>-714584.45</v>
      </c>
      <c r="AX16" s="47">
        <v>-714584.45</v>
      </c>
      <c r="AY16" s="47">
        <v>-714584.45</v>
      </c>
      <c r="AZ16" s="58">
        <f t="shared" si="0"/>
        <v>-8575013.4000000004</v>
      </c>
      <c r="BA16" s="47">
        <f>Y16+SUM($AM16:AM16)</f>
        <v>71458445</v>
      </c>
      <c r="BB16" s="48">
        <f>Z16+SUM($AM16:AN16)</f>
        <v>70743860.549999997</v>
      </c>
      <c r="BC16" s="48">
        <f>AA16+SUM($AM16:AO16)</f>
        <v>70029276.099999994</v>
      </c>
      <c r="BD16" s="48">
        <f>AB16+SUM($AM16:AP16)</f>
        <v>69314691.649999991</v>
      </c>
      <c r="BE16" s="48">
        <f>AC16+SUM($AM16:AQ16)</f>
        <v>68600107.199999988</v>
      </c>
      <c r="BF16" s="48">
        <f>AD16+SUM($AM16:AR16)</f>
        <v>67885522.749999985</v>
      </c>
      <c r="BG16" s="48">
        <f>AE16+SUM($AM16:AS16)</f>
        <v>67170938.299999982</v>
      </c>
      <c r="BH16" s="48">
        <f>AF16+SUM($AM16:AT16)</f>
        <v>66456353.849999979</v>
      </c>
      <c r="BI16" s="48">
        <f>AG16+SUM($AM16:AU16)</f>
        <v>65741769.399999976</v>
      </c>
      <c r="BJ16" s="48">
        <f>AH16+SUM($AM16:AV16)</f>
        <v>65027184.949999973</v>
      </c>
      <c r="BK16" s="48">
        <f>AI16+SUM($AM16:AW16)</f>
        <v>64312600.49999997</v>
      </c>
      <c r="BL16" s="48">
        <f>AJ16+SUM($AM16:AX16)</f>
        <v>63598016.049999967</v>
      </c>
      <c r="BM16" s="48">
        <f>AK16+SUM($AM16:AY16)</f>
        <v>62883431.599999964</v>
      </c>
      <c r="BO16" s="47"/>
    </row>
    <row r="17" spans="3:67" s="41" customFormat="1" hidden="1" x14ac:dyDescent="0.3">
      <c r="C17" s="41" t="s">
        <v>1340</v>
      </c>
      <c r="D17" s="42" t="s">
        <v>336</v>
      </c>
      <c r="E17" s="42" t="str">
        <f t="shared" si="1"/>
        <v>211</v>
      </c>
      <c r="F17" s="41" t="str">
        <f>_xlfn.XLOOKUP($D17,MD_Account_Asset_Type[Nhóm tài sản],MD_Account_Asset_Type[Tên Nhóm tài sản])</f>
        <v>Nhà cửa, vật kiến trúc - QL 642</v>
      </c>
      <c r="G17" s="41" t="str">
        <f>_xlfn.XLOOKUP($D17,MD_Account_Asset_Type[Nhóm tài sản],MD_Account_Asset_Type[Tên nhóm TS-Rút gọn])</f>
        <v>Nhà cửa, vật kiến trúc</v>
      </c>
      <c r="H17" s="41" t="str">
        <f>_xlfn.XLOOKUP($D17,MD_Account_Asset_Type[Nhóm tài sản],MD_Account_Asset_Type[Tên nhóm TS-Rút gọn-v2])</f>
        <v>Nhà cửa, vật kiến trúc</v>
      </c>
      <c r="I17" s="43" t="s">
        <v>843</v>
      </c>
      <c r="J17" s="42" t="s">
        <v>511</v>
      </c>
      <c r="K17" s="41" t="s">
        <v>830</v>
      </c>
      <c r="L17" s="42" t="s">
        <v>38</v>
      </c>
      <c r="M17" s="42" t="s">
        <v>113</v>
      </c>
      <c r="N17" s="44">
        <v>0</v>
      </c>
      <c r="O17" s="44"/>
      <c r="P17" s="41" t="s">
        <v>472</v>
      </c>
      <c r="Q17" s="41" t="str">
        <f t="shared" si="2"/>
        <v>642</v>
      </c>
      <c r="R17" s="41" t="str">
        <f>_xlfn.XLOOKUP($L17,MD_Cost_Center[Mã Cost Center],MD_Cost_Center[Ngành])</f>
        <v>Chung</v>
      </c>
      <c r="S17" s="41" t="str">
        <f>_xlfn.XLOOKUP($L17,MD_Cost_Center[Mã Cost Center],MD_Cost_Center[Ngành-Tách PET-Xơ sợi])</f>
        <v>Chung</v>
      </c>
      <c r="T17" s="45">
        <v>45627</v>
      </c>
      <c r="U17" s="46">
        <v>46722</v>
      </c>
      <c r="V17" s="47">
        <v>120</v>
      </c>
      <c r="W17" s="47">
        <v>71423600</v>
      </c>
      <c r="X17" s="47">
        <v>-426464.89719626168</v>
      </c>
      <c r="Y17" s="47">
        <v>71423600</v>
      </c>
      <c r="Z17" s="47">
        <v>71423600</v>
      </c>
      <c r="AA17" s="47">
        <v>71423600</v>
      </c>
      <c r="AB17" s="47">
        <v>71423600</v>
      </c>
      <c r="AC17" s="47">
        <v>71423600</v>
      </c>
      <c r="AD17" s="47">
        <v>71423600</v>
      </c>
      <c r="AE17" s="47">
        <v>71423600</v>
      </c>
      <c r="AF17" s="47">
        <v>71423600</v>
      </c>
      <c r="AG17" s="47">
        <v>71423600</v>
      </c>
      <c r="AH17" s="47">
        <v>71423600</v>
      </c>
      <c r="AI17" s="47">
        <v>71423600</v>
      </c>
      <c r="AJ17" s="47">
        <v>71423600</v>
      </c>
      <c r="AK17" s="47">
        <v>71423600</v>
      </c>
      <c r="AL17" s="47">
        <v>-23807867</v>
      </c>
      <c r="AM17" s="47">
        <v>-25791856</v>
      </c>
      <c r="AN17" s="47">
        <v>-426464.89719626168</v>
      </c>
      <c r="AO17" s="47">
        <v>-426464.89719626168</v>
      </c>
      <c r="AP17" s="47">
        <v>-426464.89719626168</v>
      </c>
      <c r="AQ17" s="47">
        <v>-426464.89719626168</v>
      </c>
      <c r="AR17" s="47">
        <v>-426464.89719626168</v>
      </c>
      <c r="AS17" s="47">
        <v>-426464.89719626168</v>
      </c>
      <c r="AT17" s="47">
        <v>-426464.89719626168</v>
      </c>
      <c r="AU17" s="47">
        <v>-426464.89719626168</v>
      </c>
      <c r="AV17" s="47">
        <v>-426464.89719626168</v>
      </c>
      <c r="AW17" s="47">
        <v>-426464.89719626168</v>
      </c>
      <c r="AX17" s="47">
        <v>-426464.89719626168</v>
      </c>
      <c r="AY17" s="47">
        <v>-426464.89719626168</v>
      </c>
      <c r="AZ17" s="58">
        <f t="shared" si="0"/>
        <v>-5117578.7663551401</v>
      </c>
      <c r="BA17" s="47">
        <f>Y17+SUM($AM17:AM17)</f>
        <v>45631744</v>
      </c>
      <c r="BB17" s="48">
        <f>Z17+SUM($AM17:AN17)</f>
        <v>45205279.102803737</v>
      </c>
      <c r="BC17" s="48">
        <f>AA17+SUM($AM17:AO17)</f>
        <v>44778814.205607474</v>
      </c>
      <c r="BD17" s="48">
        <f>AB17+SUM($AM17:AP17)</f>
        <v>44352349.308411211</v>
      </c>
      <c r="BE17" s="48">
        <f>AC17+SUM($AM17:AQ17)</f>
        <v>43925884.411214948</v>
      </c>
      <c r="BF17" s="48">
        <f>AD17+SUM($AM17:AR17)</f>
        <v>43499419.514018685</v>
      </c>
      <c r="BG17" s="48">
        <f>AE17+SUM($AM17:AS17)</f>
        <v>43072954.616822422</v>
      </c>
      <c r="BH17" s="48">
        <f>AF17+SUM($AM17:AT17)</f>
        <v>42646489.719626158</v>
      </c>
      <c r="BI17" s="48">
        <f>AG17+SUM($AM17:AU17)</f>
        <v>42220024.822429895</v>
      </c>
      <c r="BJ17" s="48">
        <f>AH17+SUM($AM17:AV17)</f>
        <v>41793559.925233632</v>
      </c>
      <c r="BK17" s="48">
        <f>AI17+SUM($AM17:AW17)</f>
        <v>41367095.028037369</v>
      </c>
      <c r="BL17" s="48">
        <f>AJ17+SUM($AM17:AX17)</f>
        <v>40940630.130841106</v>
      </c>
      <c r="BM17" s="48">
        <f>AK17+SUM($AM17:AY17)</f>
        <v>40514165.233644843</v>
      </c>
      <c r="BO17" s="47"/>
    </row>
    <row r="18" spans="3:67" s="41" customFormat="1" hidden="1" x14ac:dyDescent="0.3">
      <c r="C18" s="41" t="s">
        <v>1340</v>
      </c>
      <c r="D18" s="42" t="s">
        <v>336</v>
      </c>
      <c r="E18" s="42" t="str">
        <f t="shared" si="1"/>
        <v>211</v>
      </c>
      <c r="F18" s="41" t="str">
        <f>_xlfn.XLOOKUP($D18,MD_Account_Asset_Type[Nhóm tài sản],MD_Account_Asset_Type[Tên Nhóm tài sản])</f>
        <v>Nhà cửa, vật kiến trúc - QL 642</v>
      </c>
      <c r="G18" s="41" t="str">
        <f>_xlfn.XLOOKUP($D18,MD_Account_Asset_Type[Nhóm tài sản],MD_Account_Asset_Type[Tên nhóm TS-Rút gọn])</f>
        <v>Nhà cửa, vật kiến trúc</v>
      </c>
      <c r="H18" s="41" t="str">
        <f>_xlfn.XLOOKUP($D18,MD_Account_Asset_Type[Nhóm tài sản],MD_Account_Asset_Type[Tên nhóm TS-Rút gọn-v2])</f>
        <v>Nhà cửa, vật kiến trúc</v>
      </c>
      <c r="I18" s="43" t="s">
        <v>844</v>
      </c>
      <c r="J18" s="42" t="s">
        <v>512</v>
      </c>
      <c r="K18" s="41" t="s">
        <v>830</v>
      </c>
      <c r="L18" s="42" t="s">
        <v>38</v>
      </c>
      <c r="M18" s="42" t="s">
        <v>113</v>
      </c>
      <c r="N18" s="44">
        <v>0</v>
      </c>
      <c r="O18" s="44"/>
      <c r="P18" s="41" t="s">
        <v>472</v>
      </c>
      <c r="Q18" s="41" t="str">
        <f t="shared" si="2"/>
        <v>642</v>
      </c>
      <c r="R18" s="41" t="str">
        <f>_xlfn.XLOOKUP($L18,MD_Cost_Center[Mã Cost Center],MD_Cost_Center[Ngành])</f>
        <v>Chung</v>
      </c>
      <c r="S18" s="41" t="str">
        <f>_xlfn.XLOOKUP($L18,MD_Cost_Center[Mã Cost Center],MD_Cost_Center[Ngành-Tách PET-Xơ sợi])</f>
        <v>Chung</v>
      </c>
      <c r="T18" s="45">
        <v>45717</v>
      </c>
      <c r="U18" s="46">
        <v>46813</v>
      </c>
      <c r="V18" s="47">
        <v>120</v>
      </c>
      <c r="W18" s="47">
        <v>140570000</v>
      </c>
      <c r="X18" s="47">
        <v>-922934.34545454546</v>
      </c>
      <c r="Y18" s="47">
        <v>140570000</v>
      </c>
      <c r="Z18" s="47">
        <v>140570000</v>
      </c>
      <c r="AA18" s="47">
        <v>140570000</v>
      </c>
      <c r="AB18" s="47">
        <v>140570000</v>
      </c>
      <c r="AC18" s="47">
        <v>140570000</v>
      </c>
      <c r="AD18" s="47">
        <v>140570000</v>
      </c>
      <c r="AE18" s="47">
        <v>140570000</v>
      </c>
      <c r="AF18" s="47">
        <v>140570000</v>
      </c>
      <c r="AG18" s="47">
        <v>140570000</v>
      </c>
      <c r="AH18" s="47">
        <v>140570000</v>
      </c>
      <c r="AI18" s="47">
        <v>140570000</v>
      </c>
      <c r="AJ18" s="47">
        <v>140570000</v>
      </c>
      <c r="AK18" s="47">
        <v>140570000</v>
      </c>
      <c r="AL18" s="47">
        <v>-39047222</v>
      </c>
      <c r="AM18" s="47">
        <v>-39047222</v>
      </c>
      <c r="AN18" s="47">
        <v>-922934.34545454546</v>
      </c>
      <c r="AO18" s="47">
        <v>-922934.34545454546</v>
      </c>
      <c r="AP18" s="47">
        <v>-922934.34545454546</v>
      </c>
      <c r="AQ18" s="47">
        <v>-922934.34545454546</v>
      </c>
      <c r="AR18" s="47">
        <v>-922934.34545454546</v>
      </c>
      <c r="AS18" s="47">
        <v>-922934.34545454546</v>
      </c>
      <c r="AT18" s="47">
        <v>-922934.34545454546</v>
      </c>
      <c r="AU18" s="47">
        <v>-922934.34545454546</v>
      </c>
      <c r="AV18" s="47">
        <v>-922934.34545454546</v>
      </c>
      <c r="AW18" s="47">
        <v>-922934.34545454546</v>
      </c>
      <c r="AX18" s="47">
        <v>-922934.34545454546</v>
      </c>
      <c r="AY18" s="47">
        <v>-922934.34545454546</v>
      </c>
      <c r="AZ18" s="58">
        <f t="shared" si="0"/>
        <v>-11075212.145454546</v>
      </c>
      <c r="BA18" s="47">
        <f>Y18+SUM($AM18:AM18)</f>
        <v>101522778</v>
      </c>
      <c r="BB18" s="48">
        <f>Z18+SUM($AM18:AN18)</f>
        <v>100599843.65454546</v>
      </c>
      <c r="BC18" s="48">
        <f>AA18+SUM($AM18:AO18)</f>
        <v>99676909.309090912</v>
      </c>
      <c r="BD18" s="48">
        <f>AB18+SUM($AM18:AP18)</f>
        <v>98753974.963636369</v>
      </c>
      <c r="BE18" s="48">
        <f>AC18+SUM($AM18:AQ18)</f>
        <v>97831040.618181825</v>
      </c>
      <c r="BF18" s="48">
        <f>AD18+SUM($AM18:AR18)</f>
        <v>96908106.272727281</v>
      </c>
      <c r="BG18" s="48">
        <f>AE18+SUM($AM18:AS18)</f>
        <v>95985171.927272737</v>
      </c>
      <c r="BH18" s="48">
        <f>AF18+SUM($AM18:AT18)</f>
        <v>95062237.581818193</v>
      </c>
      <c r="BI18" s="48">
        <f>AG18+SUM($AM18:AU18)</f>
        <v>94139303.236363649</v>
      </c>
      <c r="BJ18" s="48">
        <f>AH18+SUM($AM18:AV18)</f>
        <v>93216368.890909106</v>
      </c>
      <c r="BK18" s="48">
        <f>AI18+SUM($AM18:AW18)</f>
        <v>92293434.545454562</v>
      </c>
      <c r="BL18" s="48">
        <f>AJ18+SUM($AM18:AX18)</f>
        <v>91370500.200000018</v>
      </c>
      <c r="BM18" s="48">
        <f>AK18+SUM($AM18:AY18)</f>
        <v>90447565.854545474</v>
      </c>
      <c r="BO18" s="47"/>
    </row>
    <row r="19" spans="3:67" s="41" customFormat="1" hidden="1" x14ac:dyDescent="0.3">
      <c r="C19" s="41" t="s">
        <v>1340</v>
      </c>
      <c r="D19" s="42" t="s">
        <v>336</v>
      </c>
      <c r="E19" s="42" t="str">
        <f t="shared" si="1"/>
        <v>211</v>
      </c>
      <c r="F19" s="41" t="str">
        <f>_xlfn.XLOOKUP($D19,MD_Account_Asset_Type[Nhóm tài sản],MD_Account_Asset_Type[Tên Nhóm tài sản])</f>
        <v>Nhà cửa, vật kiến trúc - QL 642</v>
      </c>
      <c r="G19" s="41" t="str">
        <f>_xlfn.XLOOKUP($D19,MD_Account_Asset_Type[Nhóm tài sản],MD_Account_Asset_Type[Tên nhóm TS-Rút gọn])</f>
        <v>Nhà cửa, vật kiến trúc</v>
      </c>
      <c r="H19" s="41" t="str">
        <f>_xlfn.XLOOKUP($D19,MD_Account_Asset_Type[Nhóm tài sản],MD_Account_Asset_Type[Tên nhóm TS-Rút gọn-v2])</f>
        <v>Nhà cửa, vật kiến trúc</v>
      </c>
      <c r="I19" s="43" t="s">
        <v>845</v>
      </c>
      <c r="J19" s="42" t="s">
        <v>513</v>
      </c>
      <c r="K19" s="41" t="s">
        <v>830</v>
      </c>
      <c r="L19" s="42" t="s">
        <v>36</v>
      </c>
      <c r="M19" s="42" t="s">
        <v>111</v>
      </c>
      <c r="N19" s="44">
        <v>0</v>
      </c>
      <c r="O19" s="44"/>
      <c r="P19" s="41" t="s">
        <v>472</v>
      </c>
      <c r="Q19" s="41" t="str">
        <f t="shared" si="2"/>
        <v>642</v>
      </c>
      <c r="R19" s="41" t="str">
        <f>_xlfn.XLOOKUP($L19,MD_Cost_Center[Mã Cost Center],MD_Cost_Center[Ngành])</f>
        <v>Chung</v>
      </c>
      <c r="S19" s="41" t="str">
        <f>_xlfn.XLOOKUP($L19,MD_Cost_Center[Mã Cost Center],MD_Cost_Center[Ngành-Tách PET-Xơ sợi])</f>
        <v>Chung</v>
      </c>
      <c r="T19" s="45">
        <v>45809</v>
      </c>
      <c r="U19" s="46">
        <v>48000</v>
      </c>
      <c r="V19" s="47">
        <v>120</v>
      </c>
      <c r="W19" s="47">
        <v>72217040</v>
      </c>
      <c r="X19" s="47">
        <v>-576955.21238938055</v>
      </c>
      <c r="Y19" s="47">
        <v>72217040</v>
      </c>
      <c r="Z19" s="47">
        <v>72217040</v>
      </c>
      <c r="AA19" s="47">
        <v>72217040</v>
      </c>
      <c r="AB19" s="47">
        <v>72217040</v>
      </c>
      <c r="AC19" s="47">
        <v>72217040</v>
      </c>
      <c r="AD19" s="47">
        <v>72217040</v>
      </c>
      <c r="AE19" s="47">
        <v>72217040</v>
      </c>
      <c r="AF19" s="47">
        <v>72217040</v>
      </c>
      <c r="AG19" s="47">
        <v>72217040</v>
      </c>
      <c r="AH19" s="47">
        <v>72217040</v>
      </c>
      <c r="AI19" s="47">
        <v>72217040</v>
      </c>
      <c r="AJ19" s="47">
        <v>72217040</v>
      </c>
      <c r="AK19" s="47">
        <v>72217040</v>
      </c>
      <c r="AL19" s="47">
        <v>-7021101</v>
      </c>
      <c r="AM19" s="47">
        <v>-7021101</v>
      </c>
      <c r="AN19" s="47">
        <v>-576955.21238938055</v>
      </c>
      <c r="AO19" s="47">
        <v>-576955.21238938055</v>
      </c>
      <c r="AP19" s="47">
        <v>-576955.21238938055</v>
      </c>
      <c r="AQ19" s="47">
        <v>-576955.21238938055</v>
      </c>
      <c r="AR19" s="47">
        <v>-576955.21238938055</v>
      </c>
      <c r="AS19" s="47">
        <v>-576955.21238938055</v>
      </c>
      <c r="AT19" s="47">
        <v>-576955.21238938055</v>
      </c>
      <c r="AU19" s="47">
        <v>-576955.21238938055</v>
      </c>
      <c r="AV19" s="47">
        <v>-576955.21238938055</v>
      </c>
      <c r="AW19" s="47">
        <v>-576955.21238938055</v>
      </c>
      <c r="AX19" s="47">
        <v>-576955.21238938055</v>
      </c>
      <c r="AY19" s="47">
        <v>-576955.21238938055</v>
      </c>
      <c r="AZ19" s="58">
        <f t="shared" si="0"/>
        <v>-6923462.5486725671</v>
      </c>
      <c r="BA19" s="47">
        <f>Y19+SUM($AM19:AM19)</f>
        <v>65195939</v>
      </c>
      <c r="BB19" s="48">
        <f>Z19+SUM($AM19:AN19)</f>
        <v>64618983.78761062</v>
      </c>
      <c r="BC19" s="48">
        <f>AA19+SUM($AM19:AO19)</f>
        <v>64042028.575221241</v>
      </c>
      <c r="BD19" s="48">
        <f>AB19+SUM($AM19:AP19)</f>
        <v>63465073.362831861</v>
      </c>
      <c r="BE19" s="48">
        <f>AC19+SUM($AM19:AQ19)</f>
        <v>62888118.150442481</v>
      </c>
      <c r="BF19" s="48">
        <f>AD19+SUM($AM19:AR19)</f>
        <v>62311162.938053101</v>
      </c>
      <c r="BG19" s="48">
        <f>AE19+SUM($AM19:AS19)</f>
        <v>61734207.725663722</v>
      </c>
      <c r="BH19" s="48">
        <f>AF19+SUM($AM19:AT19)</f>
        <v>61157252.513274342</v>
      </c>
      <c r="BI19" s="48">
        <f>AG19+SUM($AM19:AU19)</f>
        <v>60580297.300884962</v>
      </c>
      <c r="BJ19" s="48">
        <f>AH19+SUM($AM19:AV19)</f>
        <v>60003342.088495582</v>
      </c>
      <c r="BK19" s="48">
        <f>AI19+SUM($AM19:AW19)</f>
        <v>59426386.876106203</v>
      </c>
      <c r="BL19" s="48">
        <f>AJ19+SUM($AM19:AX19)</f>
        <v>58849431.663716823</v>
      </c>
      <c r="BM19" s="48">
        <f>AK19+SUM($AM19:AY19)</f>
        <v>58272476.451327443</v>
      </c>
      <c r="BO19" s="47"/>
    </row>
    <row r="20" spans="3:67" s="41" customFormat="1" hidden="1" x14ac:dyDescent="0.3">
      <c r="C20" s="41" t="s">
        <v>1340</v>
      </c>
      <c r="D20" s="42" t="s">
        <v>336</v>
      </c>
      <c r="E20" s="42" t="str">
        <f t="shared" si="1"/>
        <v>211</v>
      </c>
      <c r="F20" s="41" t="str">
        <f>_xlfn.XLOOKUP($D20,MD_Account_Asset_Type[Nhóm tài sản],MD_Account_Asset_Type[Tên Nhóm tài sản])</f>
        <v>Nhà cửa, vật kiến trúc - QL 642</v>
      </c>
      <c r="G20" s="41" t="str">
        <f>_xlfn.XLOOKUP($D20,MD_Account_Asset_Type[Nhóm tài sản],MD_Account_Asset_Type[Tên nhóm TS-Rút gọn])</f>
        <v>Nhà cửa, vật kiến trúc</v>
      </c>
      <c r="H20" s="41" t="str">
        <f>_xlfn.XLOOKUP($D20,MD_Account_Asset_Type[Nhóm tài sản],MD_Account_Asset_Type[Tên nhóm TS-Rút gọn-v2])</f>
        <v>Nhà cửa, vật kiến trúc</v>
      </c>
      <c r="I20" s="43" t="s">
        <v>846</v>
      </c>
      <c r="J20" s="42" t="s">
        <v>514</v>
      </c>
      <c r="K20" s="41" t="s">
        <v>830</v>
      </c>
      <c r="L20" s="42" t="s">
        <v>38</v>
      </c>
      <c r="M20" s="42" t="s">
        <v>113</v>
      </c>
      <c r="N20" s="44">
        <v>0</v>
      </c>
      <c r="O20" s="44"/>
      <c r="P20" s="41" t="s">
        <v>472</v>
      </c>
      <c r="Q20" s="41" t="str">
        <f t="shared" si="2"/>
        <v>642</v>
      </c>
      <c r="R20" s="41" t="str">
        <f>_xlfn.XLOOKUP($L20,MD_Cost_Center[Mã Cost Center],MD_Cost_Center[Ngành])</f>
        <v>Chung</v>
      </c>
      <c r="S20" s="41" t="str">
        <f>_xlfn.XLOOKUP($L20,MD_Cost_Center[Mã Cost Center],MD_Cost_Center[Ngành-Tách PET-Xơ sợi])</f>
        <v>Chung</v>
      </c>
      <c r="T20" s="45">
        <v>45931</v>
      </c>
      <c r="U20" s="46">
        <v>48122</v>
      </c>
      <c r="V20" s="47">
        <v>120</v>
      </c>
      <c r="W20" s="47">
        <v>108193230</v>
      </c>
      <c r="X20" s="47">
        <v>-886198.11111111112</v>
      </c>
      <c r="Y20" s="47">
        <v>108193230</v>
      </c>
      <c r="Z20" s="47">
        <v>108193230</v>
      </c>
      <c r="AA20" s="47">
        <v>108193230</v>
      </c>
      <c r="AB20" s="47">
        <v>108193230</v>
      </c>
      <c r="AC20" s="47">
        <v>108193230</v>
      </c>
      <c r="AD20" s="47">
        <v>108193230</v>
      </c>
      <c r="AE20" s="47">
        <v>108193230</v>
      </c>
      <c r="AF20" s="47">
        <v>108193230</v>
      </c>
      <c r="AG20" s="47">
        <v>108193230</v>
      </c>
      <c r="AH20" s="47">
        <v>108193230</v>
      </c>
      <c r="AI20" s="47">
        <v>108193230</v>
      </c>
      <c r="AJ20" s="47">
        <v>108193230</v>
      </c>
      <c r="AK20" s="47">
        <v>108193230</v>
      </c>
      <c r="AL20" s="47">
        <v>-4508051</v>
      </c>
      <c r="AM20" s="47">
        <v>-4508051</v>
      </c>
      <c r="AN20" s="47">
        <v>-886198.11111111112</v>
      </c>
      <c r="AO20" s="47">
        <v>-886198.11111111112</v>
      </c>
      <c r="AP20" s="47">
        <v>-886198.11111111112</v>
      </c>
      <c r="AQ20" s="47">
        <v>-886198.11111111112</v>
      </c>
      <c r="AR20" s="47">
        <v>-886198.11111111112</v>
      </c>
      <c r="AS20" s="47">
        <v>-886198.11111111112</v>
      </c>
      <c r="AT20" s="47">
        <v>-886198.11111111112</v>
      </c>
      <c r="AU20" s="47">
        <v>-886198.11111111112</v>
      </c>
      <c r="AV20" s="47">
        <v>-886198.11111111112</v>
      </c>
      <c r="AW20" s="47">
        <v>-886198.11111111112</v>
      </c>
      <c r="AX20" s="47">
        <v>-886198.11111111112</v>
      </c>
      <c r="AY20" s="47">
        <v>-886198.11111111112</v>
      </c>
      <c r="AZ20" s="58">
        <f t="shared" si="0"/>
        <v>-10634377.333333336</v>
      </c>
      <c r="BA20" s="47">
        <f>Y20+SUM($AM20:AM20)</f>
        <v>103685179</v>
      </c>
      <c r="BB20" s="48">
        <f>Z20+SUM($AM20:AN20)</f>
        <v>102798980.8888889</v>
      </c>
      <c r="BC20" s="48">
        <f>AA20+SUM($AM20:AO20)</f>
        <v>101912782.77777778</v>
      </c>
      <c r="BD20" s="48">
        <f>AB20+SUM($AM20:AP20)</f>
        <v>101026584.66666667</v>
      </c>
      <c r="BE20" s="48">
        <f>AC20+SUM($AM20:AQ20)</f>
        <v>100140386.55555555</v>
      </c>
      <c r="BF20" s="48">
        <f>AD20+SUM($AM20:AR20)</f>
        <v>99254188.444444448</v>
      </c>
      <c r="BG20" s="48">
        <f>AE20+SUM($AM20:AS20)</f>
        <v>98367990.333333328</v>
      </c>
      <c r="BH20" s="48">
        <f>AF20+SUM($AM20:AT20)</f>
        <v>97481792.222222224</v>
      </c>
      <c r="BI20" s="48">
        <f>AG20+SUM($AM20:AU20)</f>
        <v>96595594.111111104</v>
      </c>
      <c r="BJ20" s="48">
        <f>AH20+SUM($AM20:AV20)</f>
        <v>95709396</v>
      </c>
      <c r="BK20" s="48">
        <f>AI20+SUM($AM20:AW20)</f>
        <v>94823197.888888881</v>
      </c>
      <c r="BL20" s="48">
        <f>AJ20+SUM($AM20:AX20)</f>
        <v>93936999.777777776</v>
      </c>
      <c r="BM20" s="48">
        <f>AK20+SUM($AM20:AY20)</f>
        <v>93050801.666666657</v>
      </c>
      <c r="BO20" s="47"/>
    </row>
    <row r="21" spans="3:67" s="41" customFormat="1" hidden="1" x14ac:dyDescent="0.3">
      <c r="C21" s="41" t="s">
        <v>1340</v>
      </c>
      <c r="D21" s="42" t="s">
        <v>319</v>
      </c>
      <c r="E21" s="42" t="str">
        <f t="shared" si="1"/>
        <v>211</v>
      </c>
      <c r="F21" s="41" t="str">
        <f>_xlfn.XLOOKUP($D21,MD_Account_Asset_Type[Nhóm tài sản],MD_Account_Asset_Type[Tên Nhóm tài sản])</f>
        <v>Nhà cửa, vật kiến trúc - SX 627</v>
      </c>
      <c r="G21" s="41" t="str">
        <f>_xlfn.XLOOKUP($D21,MD_Account_Asset_Type[Nhóm tài sản],MD_Account_Asset_Type[Tên nhóm TS-Rút gọn])</f>
        <v>Nhà cửa, vật kiến trúc</v>
      </c>
      <c r="H21" s="41" t="str">
        <f>_xlfn.XLOOKUP($D21,MD_Account_Asset_Type[Nhóm tài sản],MD_Account_Asset_Type[Tên nhóm TS-Rút gọn-v2])</f>
        <v>Nhà cửa, vật kiến trúc</v>
      </c>
      <c r="I21" s="43" t="s">
        <v>320</v>
      </c>
      <c r="J21" s="42" t="s">
        <v>321</v>
      </c>
      <c r="K21" s="41" t="s">
        <v>830</v>
      </c>
      <c r="L21" s="42" t="s">
        <v>48</v>
      </c>
      <c r="M21" s="42" t="s">
        <v>123</v>
      </c>
      <c r="N21" s="44">
        <v>0</v>
      </c>
      <c r="O21" s="44"/>
      <c r="P21" s="41" t="s">
        <v>460</v>
      </c>
      <c r="Q21" s="41" t="str">
        <f t="shared" si="2"/>
        <v>627</v>
      </c>
      <c r="R21" s="41" t="str">
        <f>_xlfn.XLOOKUP($L21,MD_Cost_Center[Mã Cost Center],MD_Cost_Center[Ngành])</f>
        <v>PET</v>
      </c>
      <c r="S21" s="41" t="str">
        <f>_xlfn.XLOOKUP($L21,MD_Cost_Center[Mã Cost Center],MD_Cost_Center[Ngành-Tách PET-Xơ sợi])</f>
        <v>Chung-PET</v>
      </c>
      <c r="T21" s="45">
        <v>45261</v>
      </c>
      <c r="U21" s="46">
        <v>47088</v>
      </c>
      <c r="V21" s="47">
        <v>120</v>
      </c>
      <c r="W21" s="47">
        <v>304857717</v>
      </c>
      <c r="X21" s="47">
        <v>-1872161.1263157895</v>
      </c>
      <c r="Y21" s="47">
        <v>304857717</v>
      </c>
      <c r="Z21" s="47">
        <v>304857717</v>
      </c>
      <c r="AA21" s="47">
        <v>304857717</v>
      </c>
      <c r="AB21" s="47">
        <v>304857717</v>
      </c>
      <c r="AC21" s="47">
        <v>304857717</v>
      </c>
      <c r="AD21" s="47">
        <v>304857717</v>
      </c>
      <c r="AE21" s="47">
        <v>304857717</v>
      </c>
      <c r="AF21" s="47">
        <v>304857717</v>
      </c>
      <c r="AG21" s="47">
        <v>304857717</v>
      </c>
      <c r="AH21" s="47">
        <v>304857717</v>
      </c>
      <c r="AI21" s="47">
        <v>304857717</v>
      </c>
      <c r="AJ21" s="47">
        <v>304857717</v>
      </c>
      <c r="AK21" s="47">
        <v>304857717</v>
      </c>
      <c r="AL21" s="47">
        <v>-60978963</v>
      </c>
      <c r="AM21" s="47">
        <v>-127002410</v>
      </c>
      <c r="AN21" s="47">
        <v>-1872161.1263157895</v>
      </c>
      <c r="AO21" s="47">
        <v>-1872161.1263157895</v>
      </c>
      <c r="AP21" s="47">
        <v>-1872161.1263157895</v>
      </c>
      <c r="AQ21" s="47">
        <v>-1872161.1263157895</v>
      </c>
      <c r="AR21" s="47">
        <v>-1872161.1263157895</v>
      </c>
      <c r="AS21" s="47">
        <v>-1872161.1263157895</v>
      </c>
      <c r="AT21" s="47">
        <v>-1872161.1263157895</v>
      </c>
      <c r="AU21" s="47">
        <v>-1872161.1263157895</v>
      </c>
      <c r="AV21" s="47">
        <v>-1872161.1263157895</v>
      </c>
      <c r="AW21" s="47">
        <v>-1872161.1263157895</v>
      </c>
      <c r="AX21" s="47">
        <v>-1872161.1263157895</v>
      </c>
      <c r="AY21" s="47">
        <v>-1872161.1263157895</v>
      </c>
      <c r="AZ21" s="58">
        <f t="shared" si="0"/>
        <v>-22465933.515789479</v>
      </c>
      <c r="BA21" s="47">
        <f>Y21+SUM($AM21:AM21)</f>
        <v>177855307</v>
      </c>
      <c r="BB21" s="48">
        <f>Z21+SUM($AM21:AN21)</f>
        <v>175983145.87368423</v>
      </c>
      <c r="BC21" s="48">
        <f>AA21+SUM($AM21:AO21)</f>
        <v>174110984.74736843</v>
      </c>
      <c r="BD21" s="48">
        <f>AB21+SUM($AM21:AP21)</f>
        <v>172238823.62105262</v>
      </c>
      <c r="BE21" s="48">
        <f>AC21+SUM($AM21:AQ21)</f>
        <v>170366662.49473685</v>
      </c>
      <c r="BF21" s="48">
        <f>AD21+SUM($AM21:AR21)</f>
        <v>168494501.36842105</v>
      </c>
      <c r="BG21" s="48">
        <f>AE21+SUM($AM21:AS21)</f>
        <v>166622340.24210525</v>
      </c>
      <c r="BH21" s="48">
        <f>AF21+SUM($AM21:AT21)</f>
        <v>164750179.11578944</v>
      </c>
      <c r="BI21" s="48">
        <f>AG21+SUM($AM21:AU21)</f>
        <v>162878017.98947364</v>
      </c>
      <c r="BJ21" s="48">
        <f>AH21+SUM($AM21:AV21)</f>
        <v>161005856.86315784</v>
      </c>
      <c r="BK21" s="48">
        <f>AI21+SUM($AM21:AW21)</f>
        <v>159133695.73684204</v>
      </c>
      <c r="BL21" s="48">
        <f>AJ21+SUM($AM21:AX21)</f>
        <v>157261534.61052623</v>
      </c>
      <c r="BM21" s="48">
        <f>AK21+SUM($AM21:AY21)</f>
        <v>155389373.48421043</v>
      </c>
      <c r="BO21" s="47"/>
    </row>
    <row r="22" spans="3:67" s="41" customFormat="1" hidden="1" x14ac:dyDescent="0.3">
      <c r="C22" s="41" t="s">
        <v>1340</v>
      </c>
      <c r="D22" s="42" t="s">
        <v>319</v>
      </c>
      <c r="E22" s="42" t="str">
        <f t="shared" si="1"/>
        <v>211</v>
      </c>
      <c r="F22" s="41" t="str">
        <f>_xlfn.XLOOKUP($D22,MD_Account_Asset_Type[Nhóm tài sản],MD_Account_Asset_Type[Tên Nhóm tài sản])</f>
        <v>Nhà cửa, vật kiến trúc - SX 627</v>
      </c>
      <c r="G22" s="41" t="str">
        <f>_xlfn.XLOOKUP($D22,MD_Account_Asset_Type[Nhóm tài sản],MD_Account_Asset_Type[Tên nhóm TS-Rút gọn])</f>
        <v>Nhà cửa, vật kiến trúc</v>
      </c>
      <c r="H22" s="41" t="str">
        <f>_xlfn.XLOOKUP($D22,MD_Account_Asset_Type[Nhóm tài sản],MD_Account_Asset_Type[Tên nhóm TS-Rút gọn-v2])</f>
        <v>Nhà cửa, vật kiến trúc</v>
      </c>
      <c r="I22" s="43" t="s">
        <v>831</v>
      </c>
      <c r="J22" s="42" t="s">
        <v>515</v>
      </c>
      <c r="K22" s="41" t="s">
        <v>830</v>
      </c>
      <c r="L22" s="42" t="s">
        <v>45</v>
      </c>
      <c r="M22" s="42" t="s">
        <v>120</v>
      </c>
      <c r="N22" s="44">
        <v>0</v>
      </c>
      <c r="O22" s="44"/>
      <c r="P22" s="41" t="s">
        <v>460</v>
      </c>
      <c r="Q22" s="41" t="str">
        <f t="shared" si="2"/>
        <v>627</v>
      </c>
      <c r="R22" s="41" t="str">
        <f>_xlfn.XLOOKUP($L22,MD_Cost_Center[Mã Cost Center],MD_Cost_Center[Ngành])</f>
        <v>Chung</v>
      </c>
      <c r="S22" s="41" t="str">
        <f>_xlfn.XLOOKUP($L22,MD_Cost_Center[Mã Cost Center],MD_Cost_Center[Ngành-Tách PET-Xơ sợi])</f>
        <v>Chung</v>
      </c>
      <c r="T22" s="45">
        <v>45261</v>
      </c>
      <c r="U22" s="46">
        <v>47453</v>
      </c>
      <c r="V22" s="47">
        <v>120</v>
      </c>
      <c r="W22" s="47">
        <v>958076791</v>
      </c>
      <c r="X22" s="47">
        <v>-6583276.2000000002</v>
      </c>
      <c r="Y22" s="47">
        <v>958076791</v>
      </c>
      <c r="Z22" s="47">
        <v>958076791</v>
      </c>
      <c r="AA22" s="47">
        <v>958076791</v>
      </c>
      <c r="AB22" s="47">
        <v>958076791</v>
      </c>
      <c r="AC22" s="47">
        <v>958076791</v>
      </c>
      <c r="AD22" s="47">
        <v>958076791</v>
      </c>
      <c r="AE22" s="47">
        <v>958076791</v>
      </c>
      <c r="AF22" s="47">
        <v>958076791</v>
      </c>
      <c r="AG22" s="47">
        <v>958076791</v>
      </c>
      <c r="AH22" s="47">
        <v>958076791</v>
      </c>
      <c r="AI22" s="47">
        <v>958076791</v>
      </c>
      <c r="AJ22" s="47">
        <v>958076791</v>
      </c>
      <c r="AK22" s="47">
        <v>958076791</v>
      </c>
      <c r="AL22" s="47">
        <v>-159679465</v>
      </c>
      <c r="AM22" s="47">
        <v>-332665552</v>
      </c>
      <c r="AN22" s="47">
        <v>-6583276.2000000002</v>
      </c>
      <c r="AO22" s="47">
        <v>-6583276.2000000002</v>
      </c>
      <c r="AP22" s="47">
        <v>-6583276.2000000002</v>
      </c>
      <c r="AQ22" s="47">
        <v>-6583276.2000000002</v>
      </c>
      <c r="AR22" s="47">
        <v>-6583276.2000000002</v>
      </c>
      <c r="AS22" s="47">
        <v>-6583276.2000000002</v>
      </c>
      <c r="AT22" s="47">
        <v>-6583276.2000000002</v>
      </c>
      <c r="AU22" s="47">
        <v>-6583276.2000000002</v>
      </c>
      <c r="AV22" s="47">
        <v>-6583276.2000000002</v>
      </c>
      <c r="AW22" s="47">
        <v>-6583276.2000000002</v>
      </c>
      <c r="AX22" s="47">
        <v>-6583276.2000000002</v>
      </c>
      <c r="AY22" s="47">
        <v>-6583276.2000000002</v>
      </c>
      <c r="AZ22" s="58">
        <f t="shared" si="0"/>
        <v>-78999314.400000021</v>
      </c>
      <c r="BA22" s="47">
        <f>Y22+SUM($AM22:AM22)</f>
        <v>625411239</v>
      </c>
      <c r="BB22" s="48">
        <f>Z22+SUM($AM22:AN22)</f>
        <v>618827962.79999995</v>
      </c>
      <c r="BC22" s="48">
        <f>AA22+SUM($AM22:AO22)</f>
        <v>612244686.60000002</v>
      </c>
      <c r="BD22" s="48">
        <f>AB22+SUM($AM22:AP22)</f>
        <v>605661410.4000001</v>
      </c>
      <c r="BE22" s="48">
        <f>AC22+SUM($AM22:AQ22)</f>
        <v>599078134.20000005</v>
      </c>
      <c r="BF22" s="48">
        <f>AD22+SUM($AM22:AR22)</f>
        <v>592494858</v>
      </c>
      <c r="BG22" s="48">
        <f>AE22+SUM($AM22:AS22)</f>
        <v>585911581.80000007</v>
      </c>
      <c r="BH22" s="48">
        <f>AF22+SUM($AM22:AT22)</f>
        <v>579328305.60000014</v>
      </c>
      <c r="BI22" s="48">
        <f>AG22+SUM($AM22:AU22)</f>
        <v>572745029.4000001</v>
      </c>
      <c r="BJ22" s="48">
        <f>AH22+SUM($AM22:AV22)</f>
        <v>566161753.20000005</v>
      </c>
      <c r="BK22" s="48">
        <f>AI22+SUM($AM22:AW22)</f>
        <v>559578477.00000012</v>
      </c>
      <c r="BL22" s="48">
        <f>AJ22+SUM($AM22:AX22)</f>
        <v>552995200.80000019</v>
      </c>
      <c r="BM22" s="48">
        <f>AK22+SUM($AM22:AY22)</f>
        <v>546411924.60000014</v>
      </c>
      <c r="BO22" s="47"/>
    </row>
    <row r="23" spans="3:67" s="41" customFormat="1" hidden="1" x14ac:dyDescent="0.3">
      <c r="C23" s="41" t="s">
        <v>1340</v>
      </c>
      <c r="D23" s="42" t="s">
        <v>319</v>
      </c>
      <c r="E23" s="42" t="str">
        <f t="shared" si="1"/>
        <v>211</v>
      </c>
      <c r="F23" s="41" t="str">
        <f>_xlfn.XLOOKUP($D23,MD_Account_Asset_Type[Nhóm tài sản],MD_Account_Asset_Type[Tên Nhóm tài sản])</f>
        <v>Nhà cửa, vật kiến trúc - SX 627</v>
      </c>
      <c r="G23" s="41" t="str">
        <f>_xlfn.XLOOKUP($D23,MD_Account_Asset_Type[Nhóm tài sản],MD_Account_Asset_Type[Tên nhóm TS-Rút gọn])</f>
        <v>Nhà cửa, vật kiến trúc</v>
      </c>
      <c r="H23" s="41" t="str">
        <f>_xlfn.XLOOKUP($D23,MD_Account_Asset_Type[Nhóm tài sản],MD_Account_Asset_Type[Tên nhóm TS-Rút gọn-v2])</f>
        <v>Nhà cửa, vật kiến trúc</v>
      </c>
      <c r="I23" s="43" t="s">
        <v>832</v>
      </c>
      <c r="J23" s="42" t="s">
        <v>516</v>
      </c>
      <c r="K23" s="41" t="s">
        <v>502</v>
      </c>
      <c r="L23" s="42" t="s">
        <v>46</v>
      </c>
      <c r="M23" s="42" t="s">
        <v>121</v>
      </c>
      <c r="N23" s="44">
        <v>0</v>
      </c>
      <c r="O23" s="44"/>
      <c r="P23" s="41" t="s">
        <v>460</v>
      </c>
      <c r="Q23" s="41" t="str">
        <f t="shared" si="2"/>
        <v>627</v>
      </c>
      <c r="R23" s="41" t="str">
        <f>_xlfn.XLOOKUP($L23,MD_Cost_Center[Mã Cost Center],MD_Cost_Center[Ngành])</f>
        <v>Chung</v>
      </c>
      <c r="S23" s="41" t="str">
        <f>_xlfn.XLOOKUP($L23,MD_Cost_Center[Mã Cost Center],MD_Cost_Center[Ngành-Tách PET-Xơ sợi])</f>
        <v>Chung</v>
      </c>
      <c r="T23" s="45">
        <v>45383</v>
      </c>
      <c r="U23" s="46">
        <v>46478</v>
      </c>
      <c r="V23" s="47">
        <v>120</v>
      </c>
      <c r="W23" s="47">
        <v>33811200</v>
      </c>
      <c r="X23" s="47">
        <v>-142303.0303030303</v>
      </c>
      <c r="Y23" s="47">
        <v>33811200</v>
      </c>
      <c r="Z23" s="47">
        <v>33811200</v>
      </c>
      <c r="AA23" s="47">
        <v>33811200</v>
      </c>
      <c r="AB23" s="47">
        <v>33811200</v>
      </c>
      <c r="AC23" s="47">
        <v>33811200</v>
      </c>
      <c r="AD23" s="47">
        <v>33811200</v>
      </c>
      <c r="AE23" s="47">
        <v>33811200</v>
      </c>
      <c r="AF23" s="47">
        <v>33811200</v>
      </c>
      <c r="AG23" s="47">
        <v>33811200</v>
      </c>
      <c r="AH23" s="47">
        <v>33811200</v>
      </c>
      <c r="AI23" s="47">
        <v>33811200</v>
      </c>
      <c r="AJ23" s="47">
        <v>33811200</v>
      </c>
      <c r="AK23" s="47">
        <v>33811200</v>
      </c>
      <c r="AL23" s="47">
        <v>-11270400</v>
      </c>
      <c r="AM23" s="47">
        <v>-19723200</v>
      </c>
      <c r="AN23" s="47">
        <v>-142303.0303030303</v>
      </c>
      <c r="AO23" s="47">
        <v>-142303.0303030303</v>
      </c>
      <c r="AP23" s="47">
        <v>-142303.0303030303</v>
      </c>
      <c r="AQ23" s="47">
        <v>-142303.0303030303</v>
      </c>
      <c r="AR23" s="47">
        <v>-142303.0303030303</v>
      </c>
      <c r="AS23" s="47">
        <v>-142303.0303030303</v>
      </c>
      <c r="AT23" s="47">
        <v>-142303.0303030303</v>
      </c>
      <c r="AU23" s="47">
        <v>-142303.0303030303</v>
      </c>
      <c r="AV23" s="47">
        <v>-142303.0303030303</v>
      </c>
      <c r="AW23" s="47">
        <v>-142303.0303030303</v>
      </c>
      <c r="AX23" s="47">
        <v>-142303.0303030303</v>
      </c>
      <c r="AY23" s="47">
        <v>-142303.0303030303</v>
      </c>
      <c r="AZ23" s="58">
        <f t="shared" si="0"/>
        <v>-1707636.3636363635</v>
      </c>
      <c r="BA23" s="47">
        <f>Y23+SUM($AM23:AM23)</f>
        <v>14088000</v>
      </c>
      <c r="BB23" s="48">
        <f>Z23+SUM($AM23:AN23)</f>
        <v>13945696.969696969</v>
      </c>
      <c r="BC23" s="48">
        <f>AA23+SUM($AM23:AO23)</f>
        <v>13803393.939393938</v>
      </c>
      <c r="BD23" s="48">
        <f>AB23+SUM($AM23:AP23)</f>
        <v>13661090.909090906</v>
      </c>
      <c r="BE23" s="48">
        <f>AC23+SUM($AM23:AQ23)</f>
        <v>13518787.878787875</v>
      </c>
      <c r="BF23" s="48">
        <f>AD23+SUM($AM23:AR23)</f>
        <v>13376484.848484844</v>
      </c>
      <c r="BG23" s="48">
        <f>AE23+SUM($AM23:AS23)</f>
        <v>13234181.818181813</v>
      </c>
      <c r="BH23" s="48">
        <f>AF23+SUM($AM23:AT23)</f>
        <v>13091878.787878782</v>
      </c>
      <c r="BI23" s="48">
        <f>AG23+SUM($AM23:AU23)</f>
        <v>12949575.75757575</v>
      </c>
      <c r="BJ23" s="48">
        <f>AH23+SUM($AM23:AV23)</f>
        <v>12807272.727272719</v>
      </c>
      <c r="BK23" s="48">
        <f>AI23+SUM($AM23:AW23)</f>
        <v>12664969.696969688</v>
      </c>
      <c r="BL23" s="48">
        <f>AJ23+SUM($AM23:AX23)</f>
        <v>12522666.666666657</v>
      </c>
      <c r="BM23" s="48">
        <f>AK23+SUM($AM23:AY23)</f>
        <v>12380363.636363626</v>
      </c>
      <c r="BO23" s="47"/>
    </row>
    <row r="24" spans="3:67" s="41" customFormat="1" hidden="1" x14ac:dyDescent="0.3">
      <c r="C24" s="41" t="s">
        <v>1340</v>
      </c>
      <c r="D24" s="42" t="s">
        <v>319</v>
      </c>
      <c r="E24" s="42" t="str">
        <f t="shared" si="1"/>
        <v>211</v>
      </c>
      <c r="F24" s="41" t="str">
        <f>_xlfn.XLOOKUP($D24,MD_Account_Asset_Type[Nhóm tài sản],MD_Account_Asset_Type[Tên Nhóm tài sản])</f>
        <v>Nhà cửa, vật kiến trúc - SX 627</v>
      </c>
      <c r="G24" s="41" t="str">
        <f>_xlfn.XLOOKUP($D24,MD_Account_Asset_Type[Nhóm tài sản],MD_Account_Asset_Type[Tên nhóm TS-Rút gọn])</f>
        <v>Nhà cửa, vật kiến trúc</v>
      </c>
      <c r="H24" s="41" t="str">
        <f>_xlfn.XLOOKUP($D24,MD_Account_Asset_Type[Nhóm tài sản],MD_Account_Asset_Type[Tên nhóm TS-Rút gọn-v2])</f>
        <v>Nhà cửa, vật kiến trúc</v>
      </c>
      <c r="I24" s="43" t="s">
        <v>833</v>
      </c>
      <c r="J24" s="42" t="s">
        <v>517</v>
      </c>
      <c r="K24" s="41" t="s">
        <v>830</v>
      </c>
      <c r="L24" s="42" t="s">
        <v>48</v>
      </c>
      <c r="M24" s="42" t="s">
        <v>123</v>
      </c>
      <c r="N24" s="44">
        <v>0</v>
      </c>
      <c r="O24" s="44"/>
      <c r="P24" s="41" t="s">
        <v>460</v>
      </c>
      <c r="Q24" s="41" t="str">
        <f t="shared" si="2"/>
        <v>627</v>
      </c>
      <c r="R24" s="41" t="str">
        <f>_xlfn.XLOOKUP($L24,MD_Cost_Center[Mã Cost Center],MD_Cost_Center[Ngành])</f>
        <v>PET</v>
      </c>
      <c r="S24" s="41" t="str">
        <f>_xlfn.XLOOKUP($L24,MD_Cost_Center[Mã Cost Center],MD_Cost_Center[Ngành-Tách PET-Xơ sợi])</f>
        <v>Chung-PET</v>
      </c>
      <c r="T24" s="45">
        <v>45627</v>
      </c>
      <c r="U24" s="46">
        <v>46722</v>
      </c>
      <c r="V24" s="47">
        <v>120</v>
      </c>
      <c r="W24" s="47">
        <v>621093014</v>
      </c>
      <c r="X24" s="47">
        <v>-3708499.2990654204</v>
      </c>
      <c r="Y24" s="47">
        <v>621093014</v>
      </c>
      <c r="Z24" s="47">
        <v>621093014</v>
      </c>
      <c r="AA24" s="47">
        <v>621093014</v>
      </c>
      <c r="AB24" s="47">
        <v>621093014</v>
      </c>
      <c r="AC24" s="47">
        <v>621093014</v>
      </c>
      <c r="AD24" s="47">
        <v>621093014</v>
      </c>
      <c r="AE24" s="47">
        <v>621093014</v>
      </c>
      <c r="AF24" s="47">
        <v>621093014</v>
      </c>
      <c r="AG24" s="47">
        <v>621093014</v>
      </c>
      <c r="AH24" s="47">
        <v>621093014</v>
      </c>
      <c r="AI24" s="47">
        <v>621093014</v>
      </c>
      <c r="AJ24" s="47">
        <v>621093014</v>
      </c>
      <c r="AK24" s="47">
        <v>621093014</v>
      </c>
      <c r="AL24" s="47">
        <v>-207031005</v>
      </c>
      <c r="AM24" s="47">
        <v>-224283589</v>
      </c>
      <c r="AN24" s="47">
        <v>-3708499.2990654204</v>
      </c>
      <c r="AO24" s="47">
        <v>-3708499.2990654204</v>
      </c>
      <c r="AP24" s="47">
        <v>-3708499.2990654204</v>
      </c>
      <c r="AQ24" s="47">
        <v>-3708499.2990654204</v>
      </c>
      <c r="AR24" s="47">
        <v>-3708499.2990654204</v>
      </c>
      <c r="AS24" s="47">
        <v>-3708499.2990654204</v>
      </c>
      <c r="AT24" s="47">
        <v>-3708499.2990654204</v>
      </c>
      <c r="AU24" s="47">
        <v>-3708499.2990654204</v>
      </c>
      <c r="AV24" s="47">
        <v>-3708499.2990654204</v>
      </c>
      <c r="AW24" s="47">
        <v>-3708499.2990654204</v>
      </c>
      <c r="AX24" s="47">
        <v>-3708499.2990654204</v>
      </c>
      <c r="AY24" s="47">
        <v>-3708499.2990654204</v>
      </c>
      <c r="AZ24" s="58">
        <f t="shared" si="0"/>
        <v>-44501991.58878503</v>
      </c>
      <c r="BA24" s="47">
        <f>Y24+SUM($AM24:AM24)</f>
        <v>396809425</v>
      </c>
      <c r="BB24" s="48">
        <f>Z24+SUM($AM24:AN24)</f>
        <v>393100925.70093459</v>
      </c>
      <c r="BC24" s="48">
        <f>AA24+SUM($AM24:AO24)</f>
        <v>389392426.40186918</v>
      </c>
      <c r="BD24" s="48">
        <f>AB24+SUM($AM24:AP24)</f>
        <v>385683927.10280377</v>
      </c>
      <c r="BE24" s="48">
        <f>AC24+SUM($AM24:AQ24)</f>
        <v>381975427.80373836</v>
      </c>
      <c r="BF24" s="48">
        <f>AD24+SUM($AM24:AR24)</f>
        <v>378266928.50467294</v>
      </c>
      <c r="BG24" s="48">
        <f>AE24+SUM($AM24:AS24)</f>
        <v>374558429.20560753</v>
      </c>
      <c r="BH24" s="48">
        <f>AF24+SUM($AM24:AT24)</f>
        <v>370849929.90654212</v>
      </c>
      <c r="BI24" s="48">
        <f>AG24+SUM($AM24:AU24)</f>
        <v>367141430.60747671</v>
      </c>
      <c r="BJ24" s="48">
        <f>AH24+SUM($AM24:AV24)</f>
        <v>363432931.3084113</v>
      </c>
      <c r="BK24" s="48">
        <f>AI24+SUM($AM24:AW24)</f>
        <v>359724432.00934589</v>
      </c>
      <c r="BL24" s="48">
        <f>AJ24+SUM($AM24:AX24)</f>
        <v>356015932.71028048</v>
      </c>
      <c r="BM24" s="48">
        <f>AK24+SUM($AM24:AY24)</f>
        <v>352307433.41121507</v>
      </c>
      <c r="BO24" s="47"/>
    </row>
    <row r="25" spans="3:67" s="41" customFormat="1" hidden="1" x14ac:dyDescent="0.3">
      <c r="C25" s="41" t="s">
        <v>1340</v>
      </c>
      <c r="D25" s="42" t="s">
        <v>319</v>
      </c>
      <c r="E25" s="42" t="str">
        <f t="shared" si="1"/>
        <v>211</v>
      </c>
      <c r="F25" s="41" t="str">
        <f>_xlfn.XLOOKUP($D25,MD_Account_Asset_Type[Nhóm tài sản],MD_Account_Asset_Type[Tên Nhóm tài sản])</f>
        <v>Nhà cửa, vật kiến trúc - SX 627</v>
      </c>
      <c r="G25" s="41" t="str">
        <f>_xlfn.XLOOKUP($D25,MD_Account_Asset_Type[Nhóm tài sản],MD_Account_Asset_Type[Tên nhóm TS-Rút gọn])</f>
        <v>Nhà cửa, vật kiến trúc</v>
      </c>
      <c r="H25" s="41" t="str">
        <f>_xlfn.XLOOKUP($D25,MD_Account_Asset_Type[Nhóm tài sản],MD_Account_Asset_Type[Tên nhóm TS-Rút gọn-v2])</f>
        <v>Nhà cửa, vật kiến trúc</v>
      </c>
      <c r="I25" s="43" t="s">
        <v>834</v>
      </c>
      <c r="J25" s="42" t="s">
        <v>518</v>
      </c>
      <c r="K25" s="41" t="s">
        <v>830</v>
      </c>
      <c r="L25" s="42" t="s">
        <v>45</v>
      </c>
      <c r="M25" s="42" t="s">
        <v>120</v>
      </c>
      <c r="N25" s="44">
        <v>0</v>
      </c>
      <c r="O25" s="44"/>
      <c r="P25" s="41" t="s">
        <v>460</v>
      </c>
      <c r="Q25" s="41" t="str">
        <f t="shared" si="2"/>
        <v>627</v>
      </c>
      <c r="R25" s="41" t="str">
        <f>_xlfn.XLOOKUP($L25,MD_Cost_Center[Mã Cost Center],MD_Cost_Center[Ngành])</f>
        <v>Chung</v>
      </c>
      <c r="S25" s="41" t="str">
        <f>_xlfn.XLOOKUP($L25,MD_Cost_Center[Mã Cost Center],MD_Cost_Center[Ngành-Tách PET-Xơ sợi])</f>
        <v>Chung</v>
      </c>
      <c r="T25" s="45">
        <v>45689</v>
      </c>
      <c r="U25" s="46">
        <v>46327</v>
      </c>
      <c r="V25" s="47">
        <v>120</v>
      </c>
      <c r="W25" s="47">
        <v>174699000</v>
      </c>
      <c r="X25" s="47">
        <v>-1081936.2192982456</v>
      </c>
      <c r="Y25" s="47">
        <v>174699000</v>
      </c>
      <c r="Z25" s="47">
        <v>174699000</v>
      </c>
      <c r="AA25" s="47">
        <v>174699000</v>
      </c>
      <c r="AB25" s="47">
        <v>174699000</v>
      </c>
      <c r="AC25" s="47">
        <v>174699000</v>
      </c>
      <c r="AD25" s="47">
        <v>174699000</v>
      </c>
      <c r="AE25" s="47">
        <v>174699000</v>
      </c>
      <c r="AF25" s="47">
        <v>174699000</v>
      </c>
      <c r="AG25" s="47">
        <v>174699000</v>
      </c>
      <c r="AH25" s="47">
        <v>174699000</v>
      </c>
      <c r="AI25" s="47">
        <v>174699000</v>
      </c>
      <c r="AJ25" s="47">
        <v>174699000</v>
      </c>
      <c r="AK25" s="47">
        <v>174699000</v>
      </c>
      <c r="AL25" s="47">
        <v>-51358271</v>
      </c>
      <c r="AM25" s="47">
        <v>-51358271</v>
      </c>
      <c r="AN25" s="47">
        <v>-1081936.2192982456</v>
      </c>
      <c r="AO25" s="47">
        <v>-1081936.2192982456</v>
      </c>
      <c r="AP25" s="47">
        <v>-1081936.2192982456</v>
      </c>
      <c r="AQ25" s="47">
        <v>-1081936.2192982456</v>
      </c>
      <c r="AR25" s="47">
        <v>-1081936.2192982456</v>
      </c>
      <c r="AS25" s="47">
        <v>-1081936.2192982456</v>
      </c>
      <c r="AT25" s="47">
        <v>-1081936.2192982456</v>
      </c>
      <c r="AU25" s="47">
        <v>-1081936.2192982456</v>
      </c>
      <c r="AV25" s="47">
        <v>-1081936.2192982456</v>
      </c>
      <c r="AW25" s="47">
        <v>-1081936.2192982456</v>
      </c>
      <c r="AX25" s="47">
        <v>-1081936.2192982456</v>
      </c>
      <c r="AY25" s="47">
        <v>-1081936.2192982456</v>
      </c>
      <c r="AZ25" s="58">
        <f t="shared" si="0"/>
        <v>-12983234.631578946</v>
      </c>
      <c r="BA25" s="47">
        <f>Y25+SUM($AM25:AM25)</f>
        <v>123340729</v>
      </c>
      <c r="BB25" s="48">
        <f>Z25+SUM($AM25:AN25)</f>
        <v>122258792.78070176</v>
      </c>
      <c r="BC25" s="48">
        <f>AA25+SUM($AM25:AO25)</f>
        <v>121176856.56140351</v>
      </c>
      <c r="BD25" s="48">
        <f>AB25+SUM($AM25:AP25)</f>
        <v>120094920.34210527</v>
      </c>
      <c r="BE25" s="48">
        <f>AC25+SUM($AM25:AQ25)</f>
        <v>119012984.12280703</v>
      </c>
      <c r="BF25" s="48">
        <f>AD25+SUM($AM25:AR25)</f>
        <v>117931047.90350878</v>
      </c>
      <c r="BG25" s="48">
        <f>AE25+SUM($AM25:AS25)</f>
        <v>116849111.68421054</v>
      </c>
      <c r="BH25" s="48">
        <f>AF25+SUM($AM25:AT25)</f>
        <v>115767175.4649123</v>
      </c>
      <c r="BI25" s="48">
        <f>AG25+SUM($AM25:AU25)</f>
        <v>114685239.24561405</v>
      </c>
      <c r="BJ25" s="48">
        <f>AH25+SUM($AM25:AV25)</f>
        <v>113603303.02631581</v>
      </c>
      <c r="BK25" s="48">
        <f>AI25+SUM($AM25:AW25)</f>
        <v>112521366.80701756</v>
      </c>
      <c r="BL25" s="48">
        <f>AJ25+SUM($AM25:AX25)</f>
        <v>111439430.58771932</v>
      </c>
      <c r="BM25" s="48">
        <f>AK25+SUM($AM25:AY25)</f>
        <v>110357494.36842108</v>
      </c>
      <c r="BO25" s="47"/>
    </row>
    <row r="26" spans="3:67" s="41" customFormat="1" hidden="1" x14ac:dyDescent="0.3">
      <c r="C26" s="41" t="s">
        <v>1340</v>
      </c>
      <c r="D26" s="42" t="s">
        <v>337</v>
      </c>
      <c r="E26" s="42" t="str">
        <f t="shared" si="1"/>
        <v>211</v>
      </c>
      <c r="F26" s="41" t="str">
        <f>_xlfn.XLOOKUP($D26,MD_Account_Asset_Type[Nhóm tài sản],MD_Account_Asset_Type[Tên Nhóm tài sản])</f>
        <v>Máy móc, thiết bị phụ - SX 627</v>
      </c>
      <c r="G26" s="41" t="str">
        <f>_xlfn.XLOOKUP($D26,MD_Account_Asset_Type[Nhóm tài sản],MD_Account_Asset_Type[Tên nhóm TS-Rút gọn])</f>
        <v>Máy móc thiết bị</v>
      </c>
      <c r="H26" s="41" t="str">
        <f>_xlfn.XLOOKUP($D26,MD_Account_Asset_Type[Nhóm tài sản],MD_Account_Asset_Type[Tên nhóm TS-Rút gọn-v2])</f>
        <v>Máy móc thiết bị</v>
      </c>
      <c r="I26" s="43" t="s">
        <v>941</v>
      </c>
      <c r="J26" s="42" t="s">
        <v>519</v>
      </c>
      <c r="K26" s="41" t="s">
        <v>830</v>
      </c>
      <c r="L26" s="42" t="s">
        <v>52</v>
      </c>
      <c r="M26" s="42" t="s">
        <v>127</v>
      </c>
      <c r="N26" s="44" t="s">
        <v>245</v>
      </c>
      <c r="O26" s="44"/>
      <c r="P26" s="41" t="s">
        <v>461</v>
      </c>
      <c r="Q26" s="41" t="str">
        <f t="shared" si="2"/>
        <v>627</v>
      </c>
      <c r="R26" s="41" t="str">
        <f>_xlfn.XLOOKUP($L26,MD_Cost_Center[Mã Cost Center],MD_Cost_Center[Ngành])</f>
        <v>PET</v>
      </c>
      <c r="S26" s="41" t="str">
        <f>_xlfn.XLOOKUP($L26,MD_Cost_Center[Mã Cost Center],MD_Cost_Center[Ngành-Tách PET-Xơ sợi])</f>
        <v>Chung-PET</v>
      </c>
      <c r="T26" s="45">
        <v>44110</v>
      </c>
      <c r="U26" s="46">
        <v>46849</v>
      </c>
      <c r="V26" s="47">
        <v>144</v>
      </c>
      <c r="W26" s="47">
        <v>114480000</v>
      </c>
      <c r="X26" s="47">
        <v>-424000</v>
      </c>
      <c r="Y26" s="47">
        <v>114480000</v>
      </c>
      <c r="Z26" s="47">
        <v>114480000</v>
      </c>
      <c r="AA26" s="47">
        <v>114480000</v>
      </c>
      <c r="AB26" s="47">
        <v>114480000</v>
      </c>
      <c r="AC26" s="47">
        <v>114480000</v>
      </c>
      <c r="AD26" s="47">
        <v>114480000</v>
      </c>
      <c r="AE26" s="47">
        <v>114480000</v>
      </c>
      <c r="AF26" s="47">
        <v>114480000</v>
      </c>
      <c r="AG26" s="47">
        <v>114480000</v>
      </c>
      <c r="AH26" s="47">
        <v>114480000</v>
      </c>
      <c r="AI26" s="47">
        <v>114480000</v>
      </c>
      <c r="AJ26" s="47">
        <v>114480000</v>
      </c>
      <c r="AK26" s="47">
        <v>114480000</v>
      </c>
      <c r="AL26" s="47">
        <v>-15264000</v>
      </c>
      <c r="AM26" s="47">
        <v>-80136000</v>
      </c>
      <c r="AN26" s="47">
        <v>-424000</v>
      </c>
      <c r="AO26" s="47">
        <v>-424000</v>
      </c>
      <c r="AP26" s="47">
        <v>-424000</v>
      </c>
      <c r="AQ26" s="47">
        <v>-424000</v>
      </c>
      <c r="AR26" s="47">
        <v>-424000</v>
      </c>
      <c r="AS26" s="47">
        <v>-424000</v>
      </c>
      <c r="AT26" s="47">
        <v>-424000</v>
      </c>
      <c r="AU26" s="47">
        <v>-424000</v>
      </c>
      <c r="AV26" s="47">
        <v>-424000</v>
      </c>
      <c r="AW26" s="47">
        <v>-424000</v>
      </c>
      <c r="AX26" s="47">
        <v>-424000</v>
      </c>
      <c r="AY26" s="47">
        <v>-424000</v>
      </c>
      <c r="AZ26" s="58">
        <f t="shared" si="0"/>
        <v>-5088000</v>
      </c>
      <c r="BA26" s="47">
        <f>Y26+SUM($AM26:AM26)</f>
        <v>34344000</v>
      </c>
      <c r="BB26" s="48">
        <f>Z26+SUM($AM26:AN26)</f>
        <v>33920000</v>
      </c>
      <c r="BC26" s="48">
        <f>AA26+SUM($AM26:AO26)</f>
        <v>33496000</v>
      </c>
      <c r="BD26" s="48">
        <f>AB26+SUM($AM26:AP26)</f>
        <v>33072000</v>
      </c>
      <c r="BE26" s="48">
        <f>AC26+SUM($AM26:AQ26)</f>
        <v>32648000</v>
      </c>
      <c r="BF26" s="48">
        <f>AD26+SUM($AM26:AR26)</f>
        <v>32224000</v>
      </c>
      <c r="BG26" s="48">
        <f>AE26+SUM($AM26:AS26)</f>
        <v>31800000</v>
      </c>
      <c r="BH26" s="48">
        <f>AF26+SUM($AM26:AT26)</f>
        <v>31376000</v>
      </c>
      <c r="BI26" s="48">
        <f>AG26+SUM($AM26:AU26)</f>
        <v>30952000</v>
      </c>
      <c r="BJ26" s="48">
        <f>AH26+SUM($AM26:AV26)</f>
        <v>30528000</v>
      </c>
      <c r="BK26" s="48">
        <f>AI26+SUM($AM26:AW26)</f>
        <v>30104000</v>
      </c>
      <c r="BL26" s="48">
        <f>AJ26+SUM($AM26:AX26)</f>
        <v>29680000</v>
      </c>
      <c r="BM26" s="48">
        <f>AK26+SUM($AM26:AY26)</f>
        <v>29256000</v>
      </c>
      <c r="BO26" s="47"/>
    </row>
    <row r="27" spans="3:67" s="41" customFormat="1" hidden="1" x14ac:dyDescent="0.3">
      <c r="C27" s="41" t="s">
        <v>1340</v>
      </c>
      <c r="D27" s="42" t="s">
        <v>337</v>
      </c>
      <c r="E27" s="42" t="str">
        <f t="shared" si="1"/>
        <v>211</v>
      </c>
      <c r="F27" s="41" t="str">
        <f>_xlfn.XLOOKUP($D27,MD_Account_Asset_Type[Nhóm tài sản],MD_Account_Asset_Type[Tên Nhóm tài sản])</f>
        <v>Máy móc, thiết bị phụ - SX 627</v>
      </c>
      <c r="G27" s="41" t="str">
        <f>_xlfn.XLOOKUP($D27,MD_Account_Asset_Type[Nhóm tài sản],MD_Account_Asset_Type[Tên nhóm TS-Rút gọn])</f>
        <v>Máy móc thiết bị</v>
      </c>
      <c r="H27" s="41" t="str">
        <f>_xlfn.XLOOKUP($D27,MD_Account_Asset_Type[Nhóm tài sản],MD_Account_Asset_Type[Tên nhóm TS-Rút gọn-v2])</f>
        <v>Máy móc thiết bị</v>
      </c>
      <c r="I27" s="43" t="s">
        <v>942</v>
      </c>
      <c r="J27" s="42" t="s">
        <v>520</v>
      </c>
      <c r="K27" s="41" t="s">
        <v>830</v>
      </c>
      <c r="L27" s="42" t="s">
        <v>52</v>
      </c>
      <c r="M27" s="42" t="s">
        <v>127</v>
      </c>
      <c r="N27" s="44" t="s">
        <v>245</v>
      </c>
      <c r="O27" s="44"/>
      <c r="P27" s="41" t="s">
        <v>461</v>
      </c>
      <c r="Q27" s="41" t="str">
        <f t="shared" si="2"/>
        <v>627</v>
      </c>
      <c r="R27" s="41" t="str">
        <f>_xlfn.XLOOKUP($L27,MD_Cost_Center[Mã Cost Center],MD_Cost_Center[Ngành])</f>
        <v>PET</v>
      </c>
      <c r="S27" s="41" t="str">
        <f>_xlfn.XLOOKUP($L27,MD_Cost_Center[Mã Cost Center],MD_Cost_Center[Ngành-Tách PET-Xơ sợi])</f>
        <v>Chung-PET</v>
      </c>
      <c r="T27" s="45">
        <v>44110</v>
      </c>
      <c r="U27" s="46">
        <v>46849</v>
      </c>
      <c r="V27" s="47">
        <v>144</v>
      </c>
      <c r="W27" s="47">
        <v>144274000</v>
      </c>
      <c r="X27" s="47">
        <v>-534348.1481481482</v>
      </c>
      <c r="Y27" s="47">
        <v>144274000</v>
      </c>
      <c r="Z27" s="47">
        <v>144274000</v>
      </c>
      <c r="AA27" s="47">
        <v>144274000</v>
      </c>
      <c r="AB27" s="47">
        <v>144274000</v>
      </c>
      <c r="AC27" s="47">
        <v>144274000</v>
      </c>
      <c r="AD27" s="47">
        <v>144274000</v>
      </c>
      <c r="AE27" s="47">
        <v>144274000</v>
      </c>
      <c r="AF27" s="47">
        <v>144274000</v>
      </c>
      <c r="AG27" s="47">
        <v>144274000</v>
      </c>
      <c r="AH27" s="47">
        <v>144274000</v>
      </c>
      <c r="AI27" s="47">
        <v>144274000</v>
      </c>
      <c r="AJ27" s="47">
        <v>144274000</v>
      </c>
      <c r="AK27" s="47">
        <v>144274000</v>
      </c>
      <c r="AL27" s="47">
        <v>-19236534</v>
      </c>
      <c r="AM27" s="47">
        <v>-100991800</v>
      </c>
      <c r="AN27" s="47">
        <v>-534348.1481481482</v>
      </c>
      <c r="AO27" s="47">
        <v>-534348.1481481482</v>
      </c>
      <c r="AP27" s="47">
        <v>-534348.1481481482</v>
      </c>
      <c r="AQ27" s="47">
        <v>-534348.1481481482</v>
      </c>
      <c r="AR27" s="47">
        <v>-534348.1481481482</v>
      </c>
      <c r="AS27" s="47">
        <v>-534348.1481481482</v>
      </c>
      <c r="AT27" s="47">
        <v>-534348.1481481482</v>
      </c>
      <c r="AU27" s="47">
        <v>-534348.1481481482</v>
      </c>
      <c r="AV27" s="47">
        <v>-534348.1481481482</v>
      </c>
      <c r="AW27" s="47">
        <v>-534348.1481481482</v>
      </c>
      <c r="AX27" s="47">
        <v>-534348.1481481482</v>
      </c>
      <c r="AY27" s="47">
        <v>-534348.1481481482</v>
      </c>
      <c r="AZ27" s="58">
        <f t="shared" ref="AZ27:AZ90" si="3">SUM(AN27:AY27)</f>
        <v>-6412177.7777777789</v>
      </c>
      <c r="BA27" s="47">
        <f>Y27+SUM($AM27:AM27)</f>
        <v>43282200</v>
      </c>
      <c r="BB27" s="48">
        <f>Z27+SUM($AM27:AN27)</f>
        <v>42747851.851851851</v>
      </c>
      <c r="BC27" s="48">
        <f>AA27+SUM($AM27:AO27)</f>
        <v>42213503.703703701</v>
      </c>
      <c r="BD27" s="48">
        <f>AB27+SUM($AM27:AP27)</f>
        <v>41679155.555555552</v>
      </c>
      <c r="BE27" s="48">
        <f>AC27+SUM($AM27:AQ27)</f>
        <v>41144807.407407403</v>
      </c>
      <c r="BF27" s="48">
        <f>AD27+SUM($AM27:AR27)</f>
        <v>40610459.259259254</v>
      </c>
      <c r="BG27" s="48">
        <f>AE27+SUM($AM27:AS27)</f>
        <v>40076111.111111104</v>
      </c>
      <c r="BH27" s="48">
        <f>AF27+SUM($AM27:AT27)</f>
        <v>39541762.962962955</v>
      </c>
      <c r="BI27" s="48">
        <f>AG27+SUM($AM27:AU27)</f>
        <v>39007414.814814806</v>
      </c>
      <c r="BJ27" s="48">
        <f>AH27+SUM($AM27:AV27)</f>
        <v>38473066.666666657</v>
      </c>
      <c r="BK27" s="48">
        <f>AI27+SUM($AM27:AW27)</f>
        <v>37938718.518518507</v>
      </c>
      <c r="BL27" s="48">
        <f>AJ27+SUM($AM27:AX27)</f>
        <v>37404370.370370358</v>
      </c>
      <c r="BM27" s="48">
        <f>AK27+SUM($AM27:AY27)</f>
        <v>36870022.222222209</v>
      </c>
      <c r="BO27" s="47"/>
    </row>
    <row r="28" spans="3:67" s="41" customFormat="1" hidden="1" x14ac:dyDescent="0.3">
      <c r="C28" s="41" t="s">
        <v>1340</v>
      </c>
      <c r="D28" s="42" t="s">
        <v>337</v>
      </c>
      <c r="E28" s="42" t="str">
        <f t="shared" si="1"/>
        <v>211</v>
      </c>
      <c r="F28" s="41" t="str">
        <f>_xlfn.XLOOKUP($D28,MD_Account_Asset_Type[Nhóm tài sản],MD_Account_Asset_Type[Tên Nhóm tài sản])</f>
        <v>Máy móc, thiết bị phụ - SX 627</v>
      </c>
      <c r="G28" s="41" t="str">
        <f>_xlfn.XLOOKUP($D28,MD_Account_Asset_Type[Nhóm tài sản],MD_Account_Asset_Type[Tên nhóm TS-Rút gọn])</f>
        <v>Máy móc thiết bị</v>
      </c>
      <c r="H28" s="41" t="str">
        <f>_xlfn.XLOOKUP($D28,MD_Account_Asset_Type[Nhóm tài sản],MD_Account_Asset_Type[Tên nhóm TS-Rút gọn-v2])</f>
        <v>Máy móc thiết bị</v>
      </c>
      <c r="I28" s="43" t="s">
        <v>943</v>
      </c>
      <c r="J28" s="42" t="s">
        <v>521</v>
      </c>
      <c r="K28" s="41" t="s">
        <v>830</v>
      </c>
      <c r="L28" s="42" t="s">
        <v>48</v>
      </c>
      <c r="M28" s="42" t="s">
        <v>123</v>
      </c>
      <c r="N28" s="44">
        <v>0</v>
      </c>
      <c r="O28" s="44"/>
      <c r="P28" s="41" t="s">
        <v>461</v>
      </c>
      <c r="Q28" s="41" t="str">
        <f t="shared" si="2"/>
        <v>627</v>
      </c>
      <c r="R28" s="41" t="str">
        <f>_xlfn.XLOOKUP($L28,MD_Cost_Center[Mã Cost Center],MD_Cost_Center[Ngành])</f>
        <v>PET</v>
      </c>
      <c r="S28" s="41" t="str">
        <f>_xlfn.XLOOKUP($L28,MD_Cost_Center[Mã Cost Center],MD_Cost_Center[Ngành-Tách PET-Xơ sợi])</f>
        <v>Chung-PET</v>
      </c>
      <c r="T28" s="45">
        <v>44166</v>
      </c>
      <c r="U28" s="46">
        <v>46905</v>
      </c>
      <c r="V28" s="47">
        <v>144</v>
      </c>
      <c r="W28" s="47">
        <v>187612000</v>
      </c>
      <c r="X28" s="47">
        <v>-728346.45783132536</v>
      </c>
      <c r="Y28" s="47">
        <v>187612000</v>
      </c>
      <c r="Z28" s="47">
        <v>187612000</v>
      </c>
      <c r="AA28" s="47">
        <v>187612000</v>
      </c>
      <c r="AB28" s="47">
        <v>187612000</v>
      </c>
      <c r="AC28" s="47">
        <v>187612000</v>
      </c>
      <c r="AD28" s="47">
        <v>187612000</v>
      </c>
      <c r="AE28" s="47">
        <v>187612000</v>
      </c>
      <c r="AF28" s="47">
        <v>187612000</v>
      </c>
      <c r="AG28" s="47">
        <v>187612000</v>
      </c>
      <c r="AH28" s="47">
        <v>187612000</v>
      </c>
      <c r="AI28" s="47">
        <v>187612000</v>
      </c>
      <c r="AJ28" s="47">
        <v>187612000</v>
      </c>
      <c r="AK28" s="47">
        <v>187612000</v>
      </c>
      <c r="AL28" s="47">
        <v>-25014933</v>
      </c>
      <c r="AM28" s="47">
        <v>-127159244</v>
      </c>
      <c r="AN28" s="47">
        <v>-728346.45783132536</v>
      </c>
      <c r="AO28" s="47">
        <v>-728346.45783132536</v>
      </c>
      <c r="AP28" s="47">
        <v>-728346.45783132536</v>
      </c>
      <c r="AQ28" s="47">
        <v>-728346.45783132536</v>
      </c>
      <c r="AR28" s="47">
        <v>-728346.45783132536</v>
      </c>
      <c r="AS28" s="47">
        <v>-728346.45783132536</v>
      </c>
      <c r="AT28" s="47">
        <v>-728346.45783132536</v>
      </c>
      <c r="AU28" s="47">
        <v>-728346.45783132536</v>
      </c>
      <c r="AV28" s="47">
        <v>-728346.45783132536</v>
      </c>
      <c r="AW28" s="47">
        <v>-728346.45783132536</v>
      </c>
      <c r="AX28" s="47">
        <v>-728346.45783132536</v>
      </c>
      <c r="AY28" s="47">
        <v>-728346.45783132536</v>
      </c>
      <c r="AZ28" s="58">
        <f t="shared" si="3"/>
        <v>-8740157.493975902</v>
      </c>
      <c r="BA28" s="47">
        <f>Y28+SUM($AM28:AM28)</f>
        <v>60452756</v>
      </c>
      <c r="BB28" s="48">
        <f>Z28+SUM($AM28:AN28)</f>
        <v>59724409.542168677</v>
      </c>
      <c r="BC28" s="48">
        <f>AA28+SUM($AM28:AO28)</f>
        <v>58996063.084337354</v>
      </c>
      <c r="BD28" s="48">
        <f>AB28+SUM($AM28:AP28)</f>
        <v>58267716.626506031</v>
      </c>
      <c r="BE28" s="48">
        <f>AC28+SUM($AM28:AQ28)</f>
        <v>57539370.168674707</v>
      </c>
      <c r="BF28" s="48">
        <f>AD28+SUM($AM28:AR28)</f>
        <v>56811023.710843384</v>
      </c>
      <c r="BG28" s="48">
        <f>AE28+SUM($AM28:AS28)</f>
        <v>56082677.253012061</v>
      </c>
      <c r="BH28" s="48">
        <f>AF28+SUM($AM28:AT28)</f>
        <v>55354330.795180738</v>
      </c>
      <c r="BI28" s="48">
        <f>AG28+SUM($AM28:AU28)</f>
        <v>54625984.337349415</v>
      </c>
      <c r="BJ28" s="48">
        <f>AH28+SUM($AM28:AV28)</f>
        <v>53897637.879518092</v>
      </c>
      <c r="BK28" s="48">
        <f>AI28+SUM($AM28:AW28)</f>
        <v>53169291.421686769</v>
      </c>
      <c r="BL28" s="48">
        <f>AJ28+SUM($AM28:AX28)</f>
        <v>52440944.963855445</v>
      </c>
      <c r="BM28" s="48">
        <f>AK28+SUM($AM28:AY28)</f>
        <v>51712598.506024122</v>
      </c>
      <c r="BO28" s="47"/>
    </row>
    <row r="29" spans="3:67" s="41" customFormat="1" hidden="1" x14ac:dyDescent="0.3">
      <c r="C29" s="41" t="s">
        <v>1340</v>
      </c>
      <c r="D29" s="42" t="s">
        <v>337</v>
      </c>
      <c r="E29" s="42" t="str">
        <f t="shared" si="1"/>
        <v>211</v>
      </c>
      <c r="F29" s="41" t="str">
        <f>_xlfn.XLOOKUP($D29,MD_Account_Asset_Type[Nhóm tài sản],MD_Account_Asset_Type[Tên Nhóm tài sản])</f>
        <v>Máy móc, thiết bị phụ - SX 627</v>
      </c>
      <c r="G29" s="41" t="str">
        <f>_xlfn.XLOOKUP($D29,MD_Account_Asset_Type[Nhóm tài sản],MD_Account_Asset_Type[Tên nhóm TS-Rút gọn])</f>
        <v>Máy móc thiết bị</v>
      </c>
      <c r="H29" s="41" t="str">
        <f>_xlfn.XLOOKUP($D29,MD_Account_Asset_Type[Nhóm tài sản],MD_Account_Asset_Type[Tên nhóm TS-Rút gọn-v2])</f>
        <v>Máy móc thiết bị</v>
      </c>
      <c r="I29" s="43" t="s">
        <v>944</v>
      </c>
      <c r="J29" s="42" t="s">
        <v>522</v>
      </c>
      <c r="K29" s="41" t="s">
        <v>830</v>
      </c>
      <c r="L29" s="42" t="s">
        <v>48</v>
      </c>
      <c r="M29" s="42" t="s">
        <v>123</v>
      </c>
      <c r="N29" s="44">
        <v>0</v>
      </c>
      <c r="O29" s="44"/>
      <c r="P29" s="41" t="s">
        <v>461</v>
      </c>
      <c r="Q29" s="41" t="str">
        <f t="shared" si="2"/>
        <v>627</v>
      </c>
      <c r="R29" s="41" t="str">
        <f>_xlfn.XLOOKUP($L29,MD_Cost_Center[Mã Cost Center],MD_Cost_Center[Ngành])</f>
        <v>PET</v>
      </c>
      <c r="S29" s="41" t="str">
        <f>_xlfn.XLOOKUP($L29,MD_Cost_Center[Mã Cost Center],MD_Cost_Center[Ngành-Tách PET-Xơ sợi])</f>
        <v>Chung-PET</v>
      </c>
      <c r="T29" s="45">
        <v>44177</v>
      </c>
      <c r="U29" s="46">
        <v>46003</v>
      </c>
      <c r="V29" s="47">
        <v>144</v>
      </c>
      <c r="W29" s="47">
        <v>330000000</v>
      </c>
      <c r="X29" s="47">
        <v>0</v>
      </c>
      <c r="Y29" s="47">
        <v>330000000</v>
      </c>
      <c r="Z29" s="47">
        <v>330000000</v>
      </c>
      <c r="AA29" s="47">
        <v>330000000</v>
      </c>
      <c r="AB29" s="47">
        <v>330000000</v>
      </c>
      <c r="AC29" s="47">
        <v>330000000</v>
      </c>
      <c r="AD29" s="47">
        <v>330000000</v>
      </c>
      <c r="AE29" s="47">
        <v>330000000</v>
      </c>
      <c r="AF29" s="47">
        <v>330000000</v>
      </c>
      <c r="AG29" s="47">
        <v>330000000</v>
      </c>
      <c r="AH29" s="47">
        <v>330000000</v>
      </c>
      <c r="AI29" s="47">
        <v>330000000</v>
      </c>
      <c r="AJ29" s="47">
        <v>330000000</v>
      </c>
      <c r="AK29" s="47">
        <v>330000000</v>
      </c>
      <c r="AL29" s="47">
        <v>-60500000</v>
      </c>
      <c r="AM29" s="47">
        <v>-330000000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58">
        <f t="shared" si="3"/>
        <v>0</v>
      </c>
      <c r="BA29" s="47">
        <f>Y29+SUM($AM29:AM29)</f>
        <v>0</v>
      </c>
      <c r="BB29" s="48">
        <f>Z29+SUM($AM29:AN29)</f>
        <v>0</v>
      </c>
      <c r="BC29" s="48">
        <f>AA29+SUM($AM29:AO29)</f>
        <v>0</v>
      </c>
      <c r="BD29" s="48">
        <f>AB29+SUM($AM29:AP29)</f>
        <v>0</v>
      </c>
      <c r="BE29" s="48">
        <f>AC29+SUM($AM29:AQ29)</f>
        <v>0</v>
      </c>
      <c r="BF29" s="48">
        <f>AD29+SUM($AM29:AR29)</f>
        <v>0</v>
      </c>
      <c r="BG29" s="48">
        <f>AE29+SUM($AM29:AS29)</f>
        <v>0</v>
      </c>
      <c r="BH29" s="48">
        <f>AF29+SUM($AM29:AT29)</f>
        <v>0</v>
      </c>
      <c r="BI29" s="48">
        <f>AG29+SUM($AM29:AU29)</f>
        <v>0</v>
      </c>
      <c r="BJ29" s="48">
        <f>AH29+SUM($AM29:AV29)</f>
        <v>0</v>
      </c>
      <c r="BK29" s="48">
        <f>AI29+SUM($AM29:AW29)</f>
        <v>0</v>
      </c>
      <c r="BL29" s="48">
        <f>AJ29+SUM($AM29:AX29)</f>
        <v>0</v>
      </c>
      <c r="BM29" s="48">
        <f>AK29+SUM($AM29:AY29)</f>
        <v>0</v>
      </c>
      <c r="BO29" s="47"/>
    </row>
    <row r="30" spans="3:67" s="41" customFormat="1" hidden="1" x14ac:dyDescent="0.3">
      <c r="C30" s="41" t="s">
        <v>1340</v>
      </c>
      <c r="D30" s="42" t="s">
        <v>337</v>
      </c>
      <c r="E30" s="42" t="str">
        <f t="shared" si="1"/>
        <v>211</v>
      </c>
      <c r="F30" s="41" t="str">
        <f>_xlfn.XLOOKUP($D30,MD_Account_Asset_Type[Nhóm tài sản],MD_Account_Asset_Type[Tên Nhóm tài sản])</f>
        <v>Máy móc, thiết bị phụ - SX 627</v>
      </c>
      <c r="G30" s="41" t="str">
        <f>_xlfn.XLOOKUP($D30,MD_Account_Asset_Type[Nhóm tài sản],MD_Account_Asset_Type[Tên nhóm TS-Rút gọn])</f>
        <v>Máy móc thiết bị</v>
      </c>
      <c r="H30" s="41" t="str">
        <f>_xlfn.XLOOKUP($D30,MD_Account_Asset_Type[Nhóm tài sản],MD_Account_Asset_Type[Tên nhóm TS-Rút gọn-v2])</f>
        <v>Máy móc thiết bị</v>
      </c>
      <c r="I30" s="43" t="s">
        <v>945</v>
      </c>
      <c r="J30" s="42" t="s">
        <v>523</v>
      </c>
      <c r="K30" s="41" t="s">
        <v>830</v>
      </c>
      <c r="L30" s="42" t="s">
        <v>48</v>
      </c>
      <c r="M30" s="42" t="s">
        <v>123</v>
      </c>
      <c r="N30" s="44">
        <v>0</v>
      </c>
      <c r="O30" s="44"/>
      <c r="P30" s="41" t="s">
        <v>461</v>
      </c>
      <c r="Q30" s="41" t="str">
        <f t="shared" si="2"/>
        <v>627</v>
      </c>
      <c r="R30" s="41" t="str">
        <f>_xlfn.XLOOKUP($L30,MD_Cost_Center[Mã Cost Center],MD_Cost_Center[Ngành])</f>
        <v>PET</v>
      </c>
      <c r="S30" s="41" t="str">
        <f>_xlfn.XLOOKUP($L30,MD_Cost_Center[Mã Cost Center],MD_Cost_Center[Ngành-Tách PET-Xơ sợi])</f>
        <v>Chung-PET</v>
      </c>
      <c r="T30" s="45">
        <v>44177</v>
      </c>
      <c r="U30" s="46">
        <v>46003</v>
      </c>
      <c r="V30" s="47">
        <v>144</v>
      </c>
      <c r="W30" s="47">
        <v>199000000</v>
      </c>
      <c r="X30" s="47">
        <v>0</v>
      </c>
      <c r="Y30" s="47">
        <v>199000000</v>
      </c>
      <c r="Z30" s="47">
        <v>199000000</v>
      </c>
      <c r="AA30" s="47">
        <v>199000000</v>
      </c>
      <c r="AB30" s="47">
        <v>199000000</v>
      </c>
      <c r="AC30" s="47">
        <v>199000000</v>
      </c>
      <c r="AD30" s="47">
        <v>199000000</v>
      </c>
      <c r="AE30" s="47">
        <v>199000000</v>
      </c>
      <c r="AF30" s="47">
        <v>199000000</v>
      </c>
      <c r="AG30" s="47">
        <v>199000000</v>
      </c>
      <c r="AH30" s="47">
        <v>199000000</v>
      </c>
      <c r="AI30" s="47">
        <v>199000000</v>
      </c>
      <c r="AJ30" s="47">
        <v>199000000</v>
      </c>
      <c r="AK30" s="47">
        <v>199000000</v>
      </c>
      <c r="AL30" s="47">
        <v>-36483333</v>
      </c>
      <c r="AM30" s="47">
        <v>-199000000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58">
        <f t="shared" si="3"/>
        <v>0</v>
      </c>
      <c r="BA30" s="47">
        <f>Y30+SUM($AM30:AM30)</f>
        <v>0</v>
      </c>
      <c r="BB30" s="48">
        <f>Z30+SUM($AM30:AN30)</f>
        <v>0</v>
      </c>
      <c r="BC30" s="48">
        <f>AA30+SUM($AM30:AO30)</f>
        <v>0</v>
      </c>
      <c r="BD30" s="48">
        <f>AB30+SUM($AM30:AP30)</f>
        <v>0</v>
      </c>
      <c r="BE30" s="48">
        <f>AC30+SUM($AM30:AQ30)</f>
        <v>0</v>
      </c>
      <c r="BF30" s="48">
        <f>AD30+SUM($AM30:AR30)</f>
        <v>0</v>
      </c>
      <c r="BG30" s="48">
        <f>AE30+SUM($AM30:AS30)</f>
        <v>0</v>
      </c>
      <c r="BH30" s="48">
        <f>AF30+SUM($AM30:AT30)</f>
        <v>0</v>
      </c>
      <c r="BI30" s="48">
        <f>AG30+SUM($AM30:AU30)</f>
        <v>0</v>
      </c>
      <c r="BJ30" s="48">
        <f>AH30+SUM($AM30:AV30)</f>
        <v>0</v>
      </c>
      <c r="BK30" s="48">
        <f>AI30+SUM($AM30:AW30)</f>
        <v>0</v>
      </c>
      <c r="BL30" s="48">
        <f>AJ30+SUM($AM30:AX30)</f>
        <v>0</v>
      </c>
      <c r="BM30" s="48">
        <f>AK30+SUM($AM30:AY30)</f>
        <v>0</v>
      </c>
      <c r="BO30" s="47"/>
    </row>
    <row r="31" spans="3:67" s="41" customFormat="1" hidden="1" x14ac:dyDescent="0.3">
      <c r="C31" s="41" t="s">
        <v>1340</v>
      </c>
      <c r="D31" s="42" t="s">
        <v>337</v>
      </c>
      <c r="E31" s="42" t="str">
        <f t="shared" si="1"/>
        <v>211</v>
      </c>
      <c r="F31" s="41" t="str">
        <f>_xlfn.XLOOKUP($D31,MD_Account_Asset_Type[Nhóm tài sản],MD_Account_Asset_Type[Tên Nhóm tài sản])</f>
        <v>Máy móc, thiết bị phụ - SX 627</v>
      </c>
      <c r="G31" s="41" t="str">
        <f>_xlfn.XLOOKUP($D31,MD_Account_Asset_Type[Nhóm tài sản],MD_Account_Asset_Type[Tên nhóm TS-Rút gọn])</f>
        <v>Máy móc thiết bị</v>
      </c>
      <c r="H31" s="41" t="str">
        <f>_xlfn.XLOOKUP($D31,MD_Account_Asset_Type[Nhóm tài sản],MD_Account_Asset_Type[Tên nhóm TS-Rút gọn-v2])</f>
        <v>Máy móc thiết bị</v>
      </c>
      <c r="I31" s="43" t="s">
        <v>946</v>
      </c>
      <c r="J31" s="42" t="s">
        <v>524</v>
      </c>
      <c r="K31" s="41" t="s">
        <v>830</v>
      </c>
      <c r="L31" s="42" t="s">
        <v>48</v>
      </c>
      <c r="M31" s="42" t="s">
        <v>123</v>
      </c>
      <c r="N31" s="44">
        <v>0</v>
      </c>
      <c r="O31" s="44"/>
      <c r="P31" s="41" t="s">
        <v>461</v>
      </c>
      <c r="Q31" s="41" t="str">
        <f t="shared" si="2"/>
        <v>627</v>
      </c>
      <c r="R31" s="41" t="str">
        <f>_xlfn.XLOOKUP($L31,MD_Cost_Center[Mã Cost Center],MD_Cost_Center[Ngành])</f>
        <v>PET</v>
      </c>
      <c r="S31" s="41" t="str">
        <f>_xlfn.XLOOKUP($L31,MD_Cost_Center[Mã Cost Center],MD_Cost_Center[Ngành-Tách PET-Xơ sợi])</f>
        <v>Chung-PET</v>
      </c>
      <c r="T31" s="45">
        <v>44177</v>
      </c>
      <c r="U31" s="46">
        <v>46003</v>
      </c>
      <c r="V31" s="47">
        <v>144</v>
      </c>
      <c r="W31" s="47">
        <v>51000000</v>
      </c>
      <c r="X31" s="47">
        <v>0</v>
      </c>
      <c r="Y31" s="47">
        <v>51000000</v>
      </c>
      <c r="Z31" s="47">
        <v>51000000</v>
      </c>
      <c r="AA31" s="47">
        <v>51000000</v>
      </c>
      <c r="AB31" s="47">
        <v>51000000</v>
      </c>
      <c r="AC31" s="47">
        <v>51000000</v>
      </c>
      <c r="AD31" s="47">
        <v>51000000</v>
      </c>
      <c r="AE31" s="47">
        <v>51000000</v>
      </c>
      <c r="AF31" s="47">
        <v>51000000</v>
      </c>
      <c r="AG31" s="47">
        <v>51000000</v>
      </c>
      <c r="AH31" s="47">
        <v>51000000</v>
      </c>
      <c r="AI31" s="47">
        <v>51000000</v>
      </c>
      <c r="AJ31" s="47">
        <v>51000000</v>
      </c>
      <c r="AK31" s="47">
        <v>51000000</v>
      </c>
      <c r="AL31" s="47">
        <v>-9350000</v>
      </c>
      <c r="AM31" s="47">
        <v>-51000000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58">
        <f t="shared" si="3"/>
        <v>0</v>
      </c>
      <c r="BA31" s="47">
        <f>Y31+SUM($AM31:AM31)</f>
        <v>0</v>
      </c>
      <c r="BB31" s="48">
        <f>Z31+SUM($AM31:AN31)</f>
        <v>0</v>
      </c>
      <c r="BC31" s="48">
        <f>AA31+SUM($AM31:AO31)</f>
        <v>0</v>
      </c>
      <c r="BD31" s="48">
        <f>AB31+SUM($AM31:AP31)</f>
        <v>0</v>
      </c>
      <c r="BE31" s="48">
        <f>AC31+SUM($AM31:AQ31)</f>
        <v>0</v>
      </c>
      <c r="BF31" s="48">
        <f>AD31+SUM($AM31:AR31)</f>
        <v>0</v>
      </c>
      <c r="BG31" s="48">
        <f>AE31+SUM($AM31:AS31)</f>
        <v>0</v>
      </c>
      <c r="BH31" s="48">
        <f>AF31+SUM($AM31:AT31)</f>
        <v>0</v>
      </c>
      <c r="BI31" s="48">
        <f>AG31+SUM($AM31:AU31)</f>
        <v>0</v>
      </c>
      <c r="BJ31" s="48">
        <f>AH31+SUM($AM31:AV31)</f>
        <v>0</v>
      </c>
      <c r="BK31" s="48">
        <f>AI31+SUM($AM31:AW31)</f>
        <v>0</v>
      </c>
      <c r="BL31" s="48">
        <f>AJ31+SUM($AM31:AX31)</f>
        <v>0</v>
      </c>
      <c r="BM31" s="48">
        <f>AK31+SUM($AM31:AY31)</f>
        <v>0</v>
      </c>
      <c r="BO31" s="47"/>
    </row>
    <row r="32" spans="3:67" s="41" customFormat="1" hidden="1" x14ac:dyDescent="0.3">
      <c r="C32" s="41" t="s">
        <v>1340</v>
      </c>
      <c r="D32" s="42" t="s">
        <v>337</v>
      </c>
      <c r="E32" s="42" t="str">
        <f t="shared" si="1"/>
        <v>211</v>
      </c>
      <c r="F32" s="41" t="str">
        <f>_xlfn.XLOOKUP($D32,MD_Account_Asset_Type[Nhóm tài sản],MD_Account_Asset_Type[Tên Nhóm tài sản])</f>
        <v>Máy móc, thiết bị phụ - SX 627</v>
      </c>
      <c r="G32" s="41" t="str">
        <f>_xlfn.XLOOKUP($D32,MD_Account_Asset_Type[Nhóm tài sản],MD_Account_Asset_Type[Tên nhóm TS-Rút gọn])</f>
        <v>Máy móc thiết bị</v>
      </c>
      <c r="H32" s="41" t="str">
        <f>_xlfn.XLOOKUP($D32,MD_Account_Asset_Type[Nhóm tài sản],MD_Account_Asset_Type[Tên nhóm TS-Rút gọn-v2])</f>
        <v>Máy móc thiết bị</v>
      </c>
      <c r="I32" s="43" t="s">
        <v>947</v>
      </c>
      <c r="J32" s="42" t="s">
        <v>525</v>
      </c>
      <c r="K32" s="41" t="s">
        <v>830</v>
      </c>
      <c r="L32" s="42" t="s">
        <v>48</v>
      </c>
      <c r="M32" s="42" t="s">
        <v>123</v>
      </c>
      <c r="N32" s="44">
        <v>0</v>
      </c>
      <c r="O32" s="44"/>
      <c r="P32" s="41" t="s">
        <v>461</v>
      </c>
      <c r="Q32" s="41" t="str">
        <f t="shared" si="2"/>
        <v>627</v>
      </c>
      <c r="R32" s="41" t="str">
        <f>_xlfn.XLOOKUP($L32,MD_Cost_Center[Mã Cost Center],MD_Cost_Center[Ngành])</f>
        <v>PET</v>
      </c>
      <c r="S32" s="41" t="str">
        <f>_xlfn.XLOOKUP($L32,MD_Cost_Center[Mã Cost Center],MD_Cost_Center[Ngành-Tách PET-Xơ sợi])</f>
        <v>Chung-PET</v>
      </c>
      <c r="T32" s="45">
        <v>44177</v>
      </c>
      <c r="U32" s="46">
        <v>46003</v>
      </c>
      <c r="V32" s="47">
        <v>144</v>
      </c>
      <c r="W32" s="47">
        <v>250000000</v>
      </c>
      <c r="X32" s="47">
        <v>0</v>
      </c>
      <c r="Y32" s="47">
        <v>250000000</v>
      </c>
      <c r="Z32" s="47">
        <v>250000000</v>
      </c>
      <c r="AA32" s="47">
        <v>250000000</v>
      </c>
      <c r="AB32" s="47">
        <v>250000000</v>
      </c>
      <c r="AC32" s="47">
        <v>250000000</v>
      </c>
      <c r="AD32" s="47">
        <v>250000000</v>
      </c>
      <c r="AE32" s="47">
        <v>250000000</v>
      </c>
      <c r="AF32" s="47">
        <v>250000000</v>
      </c>
      <c r="AG32" s="47">
        <v>250000000</v>
      </c>
      <c r="AH32" s="47">
        <v>250000000</v>
      </c>
      <c r="AI32" s="47">
        <v>250000000</v>
      </c>
      <c r="AJ32" s="47">
        <v>250000000</v>
      </c>
      <c r="AK32" s="47">
        <v>250000000</v>
      </c>
      <c r="AL32" s="47">
        <v>-45833333</v>
      </c>
      <c r="AM32" s="47">
        <v>-250000000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58">
        <f t="shared" si="3"/>
        <v>0</v>
      </c>
      <c r="BA32" s="47">
        <f>Y32+SUM($AM32:AM32)</f>
        <v>0</v>
      </c>
      <c r="BB32" s="48">
        <f>Z32+SUM($AM32:AN32)</f>
        <v>0</v>
      </c>
      <c r="BC32" s="48">
        <f>AA32+SUM($AM32:AO32)</f>
        <v>0</v>
      </c>
      <c r="BD32" s="48">
        <f>AB32+SUM($AM32:AP32)</f>
        <v>0</v>
      </c>
      <c r="BE32" s="48">
        <f>AC32+SUM($AM32:AQ32)</f>
        <v>0</v>
      </c>
      <c r="BF32" s="48">
        <f>AD32+SUM($AM32:AR32)</f>
        <v>0</v>
      </c>
      <c r="BG32" s="48">
        <f>AE32+SUM($AM32:AS32)</f>
        <v>0</v>
      </c>
      <c r="BH32" s="48">
        <f>AF32+SUM($AM32:AT32)</f>
        <v>0</v>
      </c>
      <c r="BI32" s="48">
        <f>AG32+SUM($AM32:AU32)</f>
        <v>0</v>
      </c>
      <c r="BJ32" s="48">
        <f>AH32+SUM($AM32:AV32)</f>
        <v>0</v>
      </c>
      <c r="BK32" s="48">
        <f>AI32+SUM($AM32:AW32)</f>
        <v>0</v>
      </c>
      <c r="BL32" s="48">
        <f>AJ32+SUM($AM32:AX32)</f>
        <v>0</v>
      </c>
      <c r="BM32" s="48">
        <f>AK32+SUM($AM32:AY32)</f>
        <v>0</v>
      </c>
      <c r="BO32" s="47"/>
    </row>
    <row r="33" spans="3:67" s="41" customFormat="1" hidden="1" x14ac:dyDescent="0.3">
      <c r="C33" s="41" t="s">
        <v>1340</v>
      </c>
      <c r="D33" s="42" t="s">
        <v>337</v>
      </c>
      <c r="E33" s="42" t="str">
        <f t="shared" si="1"/>
        <v>211</v>
      </c>
      <c r="F33" s="41" t="str">
        <f>_xlfn.XLOOKUP($D33,MD_Account_Asset_Type[Nhóm tài sản],MD_Account_Asset_Type[Tên Nhóm tài sản])</f>
        <v>Máy móc, thiết bị phụ - SX 627</v>
      </c>
      <c r="G33" s="41" t="str">
        <f>_xlfn.XLOOKUP($D33,MD_Account_Asset_Type[Nhóm tài sản],MD_Account_Asset_Type[Tên nhóm TS-Rút gọn])</f>
        <v>Máy móc thiết bị</v>
      </c>
      <c r="H33" s="41" t="str">
        <f>_xlfn.XLOOKUP($D33,MD_Account_Asset_Type[Nhóm tài sản],MD_Account_Asset_Type[Tên nhóm TS-Rút gọn-v2])</f>
        <v>Máy móc thiết bị</v>
      </c>
      <c r="I33" s="43" t="s">
        <v>948</v>
      </c>
      <c r="J33" s="42" t="s">
        <v>526</v>
      </c>
      <c r="K33" s="41" t="s">
        <v>830</v>
      </c>
      <c r="L33" s="42" t="s">
        <v>48</v>
      </c>
      <c r="M33" s="42" t="s">
        <v>123</v>
      </c>
      <c r="N33" s="44">
        <v>0</v>
      </c>
      <c r="O33" s="44"/>
      <c r="P33" s="41" t="s">
        <v>461</v>
      </c>
      <c r="Q33" s="41" t="str">
        <f t="shared" si="2"/>
        <v>627</v>
      </c>
      <c r="R33" s="41" t="str">
        <f>_xlfn.XLOOKUP($L33,MD_Cost_Center[Mã Cost Center],MD_Cost_Center[Ngành])</f>
        <v>PET</v>
      </c>
      <c r="S33" s="41" t="str">
        <f>_xlfn.XLOOKUP($L33,MD_Cost_Center[Mã Cost Center],MD_Cost_Center[Ngành-Tách PET-Xơ sợi])</f>
        <v>Chung-PET</v>
      </c>
      <c r="T33" s="45">
        <v>44177</v>
      </c>
      <c r="U33" s="46">
        <v>46003</v>
      </c>
      <c r="V33" s="47">
        <v>144</v>
      </c>
      <c r="W33" s="47">
        <v>28000000</v>
      </c>
      <c r="X33" s="47">
        <v>0</v>
      </c>
      <c r="Y33" s="47">
        <v>28000000</v>
      </c>
      <c r="Z33" s="47">
        <v>28000000</v>
      </c>
      <c r="AA33" s="47">
        <v>28000000</v>
      </c>
      <c r="AB33" s="47">
        <v>28000000</v>
      </c>
      <c r="AC33" s="47">
        <v>28000000</v>
      </c>
      <c r="AD33" s="47">
        <v>28000000</v>
      </c>
      <c r="AE33" s="47">
        <v>28000000</v>
      </c>
      <c r="AF33" s="47">
        <v>28000000</v>
      </c>
      <c r="AG33" s="47">
        <v>28000000</v>
      </c>
      <c r="AH33" s="47">
        <v>28000000</v>
      </c>
      <c r="AI33" s="47">
        <v>28000000</v>
      </c>
      <c r="AJ33" s="47">
        <v>28000000</v>
      </c>
      <c r="AK33" s="47">
        <v>28000000</v>
      </c>
      <c r="AL33" s="47">
        <v>-5133333</v>
      </c>
      <c r="AM33" s="47">
        <v>-28000000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58">
        <f t="shared" si="3"/>
        <v>0</v>
      </c>
      <c r="BA33" s="47">
        <f>Y33+SUM($AM33:AM33)</f>
        <v>0</v>
      </c>
      <c r="BB33" s="48">
        <f>Z33+SUM($AM33:AN33)</f>
        <v>0</v>
      </c>
      <c r="BC33" s="48">
        <f>AA33+SUM($AM33:AO33)</f>
        <v>0</v>
      </c>
      <c r="BD33" s="48">
        <f>AB33+SUM($AM33:AP33)</f>
        <v>0</v>
      </c>
      <c r="BE33" s="48">
        <f>AC33+SUM($AM33:AQ33)</f>
        <v>0</v>
      </c>
      <c r="BF33" s="48">
        <f>AD33+SUM($AM33:AR33)</f>
        <v>0</v>
      </c>
      <c r="BG33" s="48">
        <f>AE33+SUM($AM33:AS33)</f>
        <v>0</v>
      </c>
      <c r="BH33" s="48">
        <f>AF33+SUM($AM33:AT33)</f>
        <v>0</v>
      </c>
      <c r="BI33" s="48">
        <f>AG33+SUM($AM33:AU33)</f>
        <v>0</v>
      </c>
      <c r="BJ33" s="48">
        <f>AH33+SUM($AM33:AV33)</f>
        <v>0</v>
      </c>
      <c r="BK33" s="48">
        <f>AI33+SUM($AM33:AW33)</f>
        <v>0</v>
      </c>
      <c r="BL33" s="48">
        <f>AJ33+SUM($AM33:AX33)</f>
        <v>0</v>
      </c>
      <c r="BM33" s="48">
        <f>AK33+SUM($AM33:AY33)</f>
        <v>0</v>
      </c>
      <c r="BO33" s="47"/>
    </row>
    <row r="34" spans="3:67" s="41" customFormat="1" hidden="1" x14ac:dyDescent="0.3">
      <c r="C34" s="41" t="s">
        <v>1340</v>
      </c>
      <c r="D34" s="42" t="s">
        <v>337</v>
      </c>
      <c r="E34" s="42" t="str">
        <f t="shared" si="1"/>
        <v>211</v>
      </c>
      <c r="F34" s="41" t="str">
        <f>_xlfn.XLOOKUP($D34,MD_Account_Asset_Type[Nhóm tài sản],MD_Account_Asset_Type[Tên Nhóm tài sản])</f>
        <v>Máy móc, thiết bị phụ - SX 627</v>
      </c>
      <c r="G34" s="41" t="str">
        <f>_xlfn.XLOOKUP($D34,MD_Account_Asset_Type[Nhóm tài sản],MD_Account_Asset_Type[Tên nhóm TS-Rút gọn])</f>
        <v>Máy móc thiết bị</v>
      </c>
      <c r="H34" s="41" t="str">
        <f>_xlfn.XLOOKUP($D34,MD_Account_Asset_Type[Nhóm tài sản],MD_Account_Asset_Type[Tên nhóm TS-Rút gọn-v2])</f>
        <v>Máy móc thiết bị</v>
      </c>
      <c r="I34" s="43" t="s">
        <v>949</v>
      </c>
      <c r="J34" s="42" t="s">
        <v>527</v>
      </c>
      <c r="K34" s="41" t="s">
        <v>830</v>
      </c>
      <c r="L34" s="42" t="s">
        <v>52</v>
      </c>
      <c r="M34" s="42" t="s">
        <v>127</v>
      </c>
      <c r="N34" s="44" t="s">
        <v>245</v>
      </c>
      <c r="O34" s="44"/>
      <c r="P34" s="41" t="s">
        <v>461</v>
      </c>
      <c r="Q34" s="41" t="str">
        <f t="shared" si="2"/>
        <v>627</v>
      </c>
      <c r="R34" s="41" t="str">
        <f>_xlfn.XLOOKUP($L34,MD_Cost_Center[Mã Cost Center],MD_Cost_Center[Ngành])</f>
        <v>PET</v>
      </c>
      <c r="S34" s="41" t="str">
        <f>_xlfn.XLOOKUP($L34,MD_Cost_Center[Mã Cost Center],MD_Cost_Center[Ngành-Tách PET-Xơ sợi])</f>
        <v>Chung-PET</v>
      </c>
      <c r="T34" s="45">
        <v>44189</v>
      </c>
      <c r="U34" s="46">
        <v>46015</v>
      </c>
      <c r="V34" s="47">
        <v>144</v>
      </c>
      <c r="W34" s="47">
        <v>365324800</v>
      </c>
      <c r="X34" s="47">
        <v>0</v>
      </c>
      <c r="Y34" s="47">
        <v>365324800</v>
      </c>
      <c r="Z34" s="47">
        <v>365324800</v>
      </c>
      <c r="AA34" s="47">
        <v>365324800</v>
      </c>
      <c r="AB34" s="47">
        <v>365324800</v>
      </c>
      <c r="AC34" s="47">
        <v>365324800</v>
      </c>
      <c r="AD34" s="47">
        <v>365324800</v>
      </c>
      <c r="AE34" s="47">
        <v>365324800</v>
      </c>
      <c r="AF34" s="47">
        <v>365324800</v>
      </c>
      <c r="AG34" s="47">
        <v>365324800</v>
      </c>
      <c r="AH34" s="47">
        <v>365324800</v>
      </c>
      <c r="AI34" s="47">
        <v>365324800</v>
      </c>
      <c r="AJ34" s="47">
        <v>365324800</v>
      </c>
      <c r="AK34" s="47">
        <v>365324800</v>
      </c>
      <c r="AL34" s="47">
        <v>-66976213</v>
      </c>
      <c r="AM34" s="47">
        <v>-365324800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58">
        <f t="shared" si="3"/>
        <v>0</v>
      </c>
      <c r="BA34" s="47">
        <f>Y34+SUM($AM34:AM34)</f>
        <v>0</v>
      </c>
      <c r="BB34" s="48">
        <f>Z34+SUM($AM34:AN34)</f>
        <v>0</v>
      </c>
      <c r="BC34" s="48">
        <f>AA34+SUM($AM34:AO34)</f>
        <v>0</v>
      </c>
      <c r="BD34" s="48">
        <f>AB34+SUM($AM34:AP34)</f>
        <v>0</v>
      </c>
      <c r="BE34" s="48">
        <f>AC34+SUM($AM34:AQ34)</f>
        <v>0</v>
      </c>
      <c r="BF34" s="48">
        <f>AD34+SUM($AM34:AR34)</f>
        <v>0</v>
      </c>
      <c r="BG34" s="48">
        <f>AE34+SUM($AM34:AS34)</f>
        <v>0</v>
      </c>
      <c r="BH34" s="48">
        <f>AF34+SUM($AM34:AT34)</f>
        <v>0</v>
      </c>
      <c r="BI34" s="48">
        <f>AG34+SUM($AM34:AU34)</f>
        <v>0</v>
      </c>
      <c r="BJ34" s="48">
        <f>AH34+SUM($AM34:AV34)</f>
        <v>0</v>
      </c>
      <c r="BK34" s="48">
        <f>AI34+SUM($AM34:AW34)</f>
        <v>0</v>
      </c>
      <c r="BL34" s="48">
        <f>AJ34+SUM($AM34:AX34)</f>
        <v>0</v>
      </c>
      <c r="BM34" s="48">
        <f>AK34+SUM($AM34:AY34)</f>
        <v>0</v>
      </c>
      <c r="BO34" s="47"/>
    </row>
    <row r="35" spans="3:67" s="41" customFormat="1" hidden="1" x14ac:dyDescent="0.3">
      <c r="C35" s="41" t="s">
        <v>1340</v>
      </c>
      <c r="D35" s="42" t="s">
        <v>337</v>
      </c>
      <c r="E35" s="42" t="str">
        <f t="shared" si="1"/>
        <v>211</v>
      </c>
      <c r="F35" s="41" t="str">
        <f>_xlfn.XLOOKUP($D35,MD_Account_Asset_Type[Nhóm tài sản],MD_Account_Asset_Type[Tên Nhóm tài sản])</f>
        <v>Máy móc, thiết bị phụ - SX 627</v>
      </c>
      <c r="G35" s="41" t="str">
        <f>_xlfn.XLOOKUP($D35,MD_Account_Asset_Type[Nhóm tài sản],MD_Account_Asset_Type[Tên nhóm TS-Rút gọn])</f>
        <v>Máy móc thiết bị</v>
      </c>
      <c r="H35" s="41" t="str">
        <f>_xlfn.XLOOKUP($D35,MD_Account_Asset_Type[Nhóm tài sản],MD_Account_Asset_Type[Tên nhóm TS-Rút gọn-v2])</f>
        <v>Máy móc thiết bị</v>
      </c>
      <c r="I35" s="43" t="s">
        <v>950</v>
      </c>
      <c r="J35" s="42" t="s">
        <v>528</v>
      </c>
      <c r="K35" s="41" t="s">
        <v>830</v>
      </c>
      <c r="L35" s="42" t="s">
        <v>52</v>
      </c>
      <c r="M35" s="42" t="s">
        <v>127</v>
      </c>
      <c r="N35" s="44" t="s">
        <v>245</v>
      </c>
      <c r="O35" s="44"/>
      <c r="P35" s="41" t="s">
        <v>461</v>
      </c>
      <c r="Q35" s="41" t="str">
        <f t="shared" si="2"/>
        <v>627</v>
      </c>
      <c r="R35" s="41" t="str">
        <f>_xlfn.XLOOKUP($L35,MD_Cost_Center[Mã Cost Center],MD_Cost_Center[Ngành])</f>
        <v>PET</v>
      </c>
      <c r="S35" s="41" t="str">
        <f>_xlfn.XLOOKUP($L35,MD_Cost_Center[Mã Cost Center],MD_Cost_Center[Ngành-Tách PET-Xơ sợi])</f>
        <v>Chung-PET</v>
      </c>
      <c r="T35" s="45">
        <v>44198</v>
      </c>
      <c r="U35" s="46">
        <v>46024</v>
      </c>
      <c r="V35" s="47">
        <v>144</v>
      </c>
      <c r="W35" s="47">
        <v>125658000</v>
      </c>
      <c r="X35" s="47">
        <v>0</v>
      </c>
      <c r="Y35" s="47">
        <v>125658000</v>
      </c>
      <c r="Z35" s="47">
        <v>125658000</v>
      </c>
      <c r="AA35" s="47">
        <v>125658000</v>
      </c>
      <c r="AB35" s="47">
        <v>125658000</v>
      </c>
      <c r="AC35" s="47">
        <v>125658000</v>
      </c>
      <c r="AD35" s="47">
        <v>125658000</v>
      </c>
      <c r="AE35" s="47">
        <v>125658000</v>
      </c>
      <c r="AF35" s="47">
        <v>125658000</v>
      </c>
      <c r="AG35" s="47">
        <v>125658000</v>
      </c>
      <c r="AH35" s="47">
        <v>125658000</v>
      </c>
      <c r="AI35" s="47">
        <v>125658000</v>
      </c>
      <c r="AJ35" s="47">
        <v>125658000</v>
      </c>
      <c r="AK35" s="47">
        <v>125658000</v>
      </c>
      <c r="AL35" s="47">
        <v>-25131600</v>
      </c>
      <c r="AM35" s="47">
        <v>-125658000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58">
        <f t="shared" si="3"/>
        <v>0</v>
      </c>
      <c r="BA35" s="47">
        <f>Y35+SUM($AM35:AM35)</f>
        <v>0</v>
      </c>
      <c r="BB35" s="48">
        <f>Z35+SUM($AM35:AN35)</f>
        <v>0</v>
      </c>
      <c r="BC35" s="48">
        <f>AA35+SUM($AM35:AO35)</f>
        <v>0</v>
      </c>
      <c r="BD35" s="48">
        <f>AB35+SUM($AM35:AP35)</f>
        <v>0</v>
      </c>
      <c r="BE35" s="48">
        <f>AC35+SUM($AM35:AQ35)</f>
        <v>0</v>
      </c>
      <c r="BF35" s="48">
        <f>AD35+SUM($AM35:AR35)</f>
        <v>0</v>
      </c>
      <c r="BG35" s="48">
        <f>AE35+SUM($AM35:AS35)</f>
        <v>0</v>
      </c>
      <c r="BH35" s="48">
        <f>AF35+SUM($AM35:AT35)</f>
        <v>0</v>
      </c>
      <c r="BI35" s="48">
        <f>AG35+SUM($AM35:AU35)</f>
        <v>0</v>
      </c>
      <c r="BJ35" s="48">
        <f>AH35+SUM($AM35:AV35)</f>
        <v>0</v>
      </c>
      <c r="BK35" s="48">
        <f>AI35+SUM($AM35:AW35)</f>
        <v>0</v>
      </c>
      <c r="BL35" s="48">
        <f>AJ35+SUM($AM35:AX35)</f>
        <v>0</v>
      </c>
      <c r="BM35" s="48">
        <f>AK35+SUM($AM35:AY35)</f>
        <v>0</v>
      </c>
      <c r="BO35" s="47"/>
    </row>
    <row r="36" spans="3:67" s="41" customFormat="1" hidden="1" x14ac:dyDescent="0.3">
      <c r="C36" s="41" t="s">
        <v>1340</v>
      </c>
      <c r="D36" s="42" t="s">
        <v>337</v>
      </c>
      <c r="E36" s="42" t="str">
        <f t="shared" si="1"/>
        <v>211</v>
      </c>
      <c r="F36" s="41" t="str">
        <f>_xlfn.XLOOKUP($D36,MD_Account_Asset_Type[Nhóm tài sản],MD_Account_Asset_Type[Tên Nhóm tài sản])</f>
        <v>Máy móc, thiết bị phụ - SX 627</v>
      </c>
      <c r="G36" s="41" t="str">
        <f>_xlfn.XLOOKUP($D36,MD_Account_Asset_Type[Nhóm tài sản],MD_Account_Asset_Type[Tên nhóm TS-Rút gọn])</f>
        <v>Máy móc thiết bị</v>
      </c>
      <c r="H36" s="41" t="str">
        <f>_xlfn.XLOOKUP($D36,MD_Account_Asset_Type[Nhóm tài sản],MD_Account_Asset_Type[Tên nhóm TS-Rút gọn-v2])</f>
        <v>Máy móc thiết bị</v>
      </c>
      <c r="I36" s="43" t="s">
        <v>951</v>
      </c>
      <c r="J36" s="42" t="s">
        <v>529</v>
      </c>
      <c r="K36" s="41" t="s">
        <v>830</v>
      </c>
      <c r="L36" s="42" t="s">
        <v>52</v>
      </c>
      <c r="M36" s="42" t="s">
        <v>127</v>
      </c>
      <c r="N36" s="44" t="s">
        <v>245</v>
      </c>
      <c r="O36" s="44"/>
      <c r="P36" s="41" t="s">
        <v>461</v>
      </c>
      <c r="Q36" s="41" t="str">
        <f t="shared" si="2"/>
        <v>627</v>
      </c>
      <c r="R36" s="41" t="str">
        <f>_xlfn.XLOOKUP($L36,MD_Cost_Center[Mã Cost Center],MD_Cost_Center[Ngành])</f>
        <v>PET</v>
      </c>
      <c r="S36" s="41" t="str">
        <f>_xlfn.XLOOKUP($L36,MD_Cost_Center[Mã Cost Center],MD_Cost_Center[Ngành-Tách PET-Xơ sợi])</f>
        <v>Chung-PET</v>
      </c>
      <c r="T36" s="45">
        <v>44198</v>
      </c>
      <c r="U36" s="46">
        <v>46024</v>
      </c>
      <c r="V36" s="47">
        <v>144</v>
      </c>
      <c r="W36" s="47">
        <v>130079300</v>
      </c>
      <c r="X36" s="47">
        <v>0</v>
      </c>
      <c r="Y36" s="47">
        <v>130079300</v>
      </c>
      <c r="Z36" s="47">
        <v>130079300</v>
      </c>
      <c r="AA36" s="47">
        <v>130079300</v>
      </c>
      <c r="AB36" s="47">
        <v>130079300</v>
      </c>
      <c r="AC36" s="47">
        <v>130079300</v>
      </c>
      <c r="AD36" s="47">
        <v>130079300</v>
      </c>
      <c r="AE36" s="47">
        <v>130079300</v>
      </c>
      <c r="AF36" s="47">
        <v>130079300</v>
      </c>
      <c r="AG36" s="47">
        <v>130079300</v>
      </c>
      <c r="AH36" s="47">
        <v>130079300</v>
      </c>
      <c r="AI36" s="47">
        <v>130079300</v>
      </c>
      <c r="AJ36" s="47">
        <v>130079300</v>
      </c>
      <c r="AK36" s="47">
        <v>130079300</v>
      </c>
      <c r="AL36" s="47">
        <v>-26015860</v>
      </c>
      <c r="AM36" s="47">
        <v>-130079300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58">
        <f t="shared" si="3"/>
        <v>0</v>
      </c>
      <c r="BA36" s="47">
        <f>Y36+SUM($AM36:AM36)</f>
        <v>0</v>
      </c>
      <c r="BB36" s="48">
        <f>Z36+SUM($AM36:AN36)</f>
        <v>0</v>
      </c>
      <c r="BC36" s="48">
        <f>AA36+SUM($AM36:AO36)</f>
        <v>0</v>
      </c>
      <c r="BD36" s="48">
        <f>AB36+SUM($AM36:AP36)</f>
        <v>0</v>
      </c>
      <c r="BE36" s="48">
        <f>AC36+SUM($AM36:AQ36)</f>
        <v>0</v>
      </c>
      <c r="BF36" s="48">
        <f>AD36+SUM($AM36:AR36)</f>
        <v>0</v>
      </c>
      <c r="BG36" s="48">
        <f>AE36+SUM($AM36:AS36)</f>
        <v>0</v>
      </c>
      <c r="BH36" s="48">
        <f>AF36+SUM($AM36:AT36)</f>
        <v>0</v>
      </c>
      <c r="BI36" s="48">
        <f>AG36+SUM($AM36:AU36)</f>
        <v>0</v>
      </c>
      <c r="BJ36" s="48">
        <f>AH36+SUM($AM36:AV36)</f>
        <v>0</v>
      </c>
      <c r="BK36" s="48">
        <f>AI36+SUM($AM36:AW36)</f>
        <v>0</v>
      </c>
      <c r="BL36" s="48">
        <f>AJ36+SUM($AM36:AX36)</f>
        <v>0</v>
      </c>
      <c r="BM36" s="48">
        <f>AK36+SUM($AM36:AY36)</f>
        <v>0</v>
      </c>
      <c r="BO36" s="47"/>
    </row>
    <row r="37" spans="3:67" s="41" customFormat="1" hidden="1" x14ac:dyDescent="0.3">
      <c r="C37" s="41" t="s">
        <v>1340</v>
      </c>
      <c r="D37" s="42" t="s">
        <v>337</v>
      </c>
      <c r="E37" s="42" t="str">
        <f t="shared" si="1"/>
        <v>211</v>
      </c>
      <c r="F37" s="41" t="str">
        <f>_xlfn.XLOOKUP($D37,MD_Account_Asset_Type[Nhóm tài sản],MD_Account_Asset_Type[Tên Nhóm tài sản])</f>
        <v>Máy móc, thiết bị phụ - SX 627</v>
      </c>
      <c r="G37" s="41" t="str">
        <f>_xlfn.XLOOKUP($D37,MD_Account_Asset_Type[Nhóm tài sản],MD_Account_Asset_Type[Tên nhóm TS-Rút gọn])</f>
        <v>Máy móc thiết bị</v>
      </c>
      <c r="H37" s="41" t="str">
        <f>_xlfn.XLOOKUP($D37,MD_Account_Asset_Type[Nhóm tài sản],MD_Account_Asset_Type[Tên nhóm TS-Rút gọn-v2])</f>
        <v>Máy móc thiết bị</v>
      </c>
      <c r="I37" s="43" t="s">
        <v>952</v>
      </c>
      <c r="J37" s="42" t="s">
        <v>530</v>
      </c>
      <c r="K37" s="41" t="s">
        <v>830</v>
      </c>
      <c r="L37" s="42" t="s">
        <v>52</v>
      </c>
      <c r="M37" s="42" t="s">
        <v>127</v>
      </c>
      <c r="N37" s="44" t="s">
        <v>245</v>
      </c>
      <c r="O37" s="44"/>
      <c r="P37" s="41" t="s">
        <v>461</v>
      </c>
      <c r="Q37" s="41" t="str">
        <f t="shared" si="2"/>
        <v>627</v>
      </c>
      <c r="R37" s="41" t="str">
        <f>_xlfn.XLOOKUP($L37,MD_Cost_Center[Mã Cost Center],MD_Cost_Center[Ngành])</f>
        <v>PET</v>
      </c>
      <c r="S37" s="41" t="str">
        <f>_xlfn.XLOOKUP($L37,MD_Cost_Center[Mã Cost Center],MD_Cost_Center[Ngành-Tách PET-Xơ sợi])</f>
        <v>Chung-PET</v>
      </c>
      <c r="T37" s="45">
        <v>44228</v>
      </c>
      <c r="U37" s="46">
        <v>46054</v>
      </c>
      <c r="V37" s="47">
        <v>144</v>
      </c>
      <c r="W37" s="47">
        <v>146100000</v>
      </c>
      <c r="X37" s="47">
        <v>-28647.058823529413</v>
      </c>
      <c r="Y37" s="47">
        <v>146100000</v>
      </c>
      <c r="Z37" s="47">
        <v>146100000</v>
      </c>
      <c r="AA37" s="47">
        <v>146100000</v>
      </c>
      <c r="AB37" s="47">
        <v>146100000</v>
      </c>
      <c r="AC37" s="47">
        <v>146100000</v>
      </c>
      <c r="AD37" s="47">
        <v>146100000</v>
      </c>
      <c r="AE37" s="47">
        <v>146100000</v>
      </c>
      <c r="AF37" s="47">
        <v>146100000</v>
      </c>
      <c r="AG37" s="47">
        <v>146100000</v>
      </c>
      <c r="AH37" s="47">
        <v>146100000</v>
      </c>
      <c r="AI37" s="47">
        <v>146100000</v>
      </c>
      <c r="AJ37" s="47">
        <v>146100000</v>
      </c>
      <c r="AK37" s="47">
        <v>146100000</v>
      </c>
      <c r="AL37" s="47">
        <v>-29220000</v>
      </c>
      <c r="AM37" s="47">
        <v>-143665000</v>
      </c>
      <c r="AN37" s="47">
        <v>-28647.058823529413</v>
      </c>
      <c r="AO37" s="47">
        <v>-28647.058823529413</v>
      </c>
      <c r="AP37" s="47">
        <v>-28647.058823529413</v>
      </c>
      <c r="AQ37" s="47">
        <v>-28647.058823529413</v>
      </c>
      <c r="AR37" s="47">
        <v>-28647.058823529413</v>
      </c>
      <c r="AS37" s="47">
        <v>-28647.058823529413</v>
      </c>
      <c r="AT37" s="47">
        <v>-28647.058823529413</v>
      </c>
      <c r="AU37" s="47">
        <v>-28647.058823529413</v>
      </c>
      <c r="AV37" s="47">
        <v>-28647.058823529413</v>
      </c>
      <c r="AW37" s="47">
        <v>-28647.058823529413</v>
      </c>
      <c r="AX37" s="47">
        <v>-28647.058823529413</v>
      </c>
      <c r="AY37" s="47">
        <v>-28647.058823529413</v>
      </c>
      <c r="AZ37" s="58">
        <f t="shared" si="3"/>
        <v>-343764.70588235284</v>
      </c>
      <c r="BA37" s="47">
        <f>Y37+SUM($AM37:AM37)</f>
        <v>2435000</v>
      </c>
      <c r="BB37" s="48">
        <f>Z37+SUM($AM37:AN37)</f>
        <v>2406352.9411764741</v>
      </c>
      <c r="BC37" s="48">
        <f>AA37+SUM($AM37:AO37)</f>
        <v>2377705.8823529482</v>
      </c>
      <c r="BD37" s="48">
        <f>AB37+SUM($AM37:AP37)</f>
        <v>2349058.8235294223</v>
      </c>
      <c r="BE37" s="48">
        <f>AC37+SUM($AM37:AQ37)</f>
        <v>2320411.7647058964</v>
      </c>
      <c r="BF37" s="48">
        <f>AD37+SUM($AM37:AR37)</f>
        <v>2291764.7058823705</v>
      </c>
      <c r="BG37" s="48">
        <f>AE37+SUM($AM37:AS37)</f>
        <v>2263117.6470588446</v>
      </c>
      <c r="BH37" s="48">
        <f>AF37+SUM($AM37:AT37)</f>
        <v>2234470.5882353187</v>
      </c>
      <c r="BI37" s="48">
        <f>AG37+SUM($AM37:AU37)</f>
        <v>2205823.5294117928</v>
      </c>
      <c r="BJ37" s="48">
        <f>AH37+SUM($AM37:AV37)</f>
        <v>2177176.4705882668</v>
      </c>
      <c r="BK37" s="48">
        <f>AI37+SUM($AM37:AW37)</f>
        <v>2148529.4117647409</v>
      </c>
      <c r="BL37" s="48">
        <f>AJ37+SUM($AM37:AX37)</f>
        <v>2119882.352941215</v>
      </c>
      <c r="BM37" s="48">
        <f>AK37+SUM($AM37:AY37)</f>
        <v>2091235.2941176891</v>
      </c>
      <c r="BO37" s="47"/>
    </row>
    <row r="38" spans="3:67" s="41" customFormat="1" hidden="1" x14ac:dyDescent="0.3">
      <c r="C38" s="41" t="s">
        <v>1340</v>
      </c>
      <c r="D38" s="42" t="s">
        <v>337</v>
      </c>
      <c r="E38" s="42" t="str">
        <f t="shared" si="1"/>
        <v>211</v>
      </c>
      <c r="F38" s="41" t="str">
        <f>_xlfn.XLOOKUP($D38,MD_Account_Asset_Type[Nhóm tài sản],MD_Account_Asset_Type[Tên Nhóm tài sản])</f>
        <v>Máy móc, thiết bị phụ - SX 627</v>
      </c>
      <c r="G38" s="41" t="str">
        <f>_xlfn.XLOOKUP($D38,MD_Account_Asset_Type[Nhóm tài sản],MD_Account_Asset_Type[Tên nhóm TS-Rút gọn])</f>
        <v>Máy móc thiết bị</v>
      </c>
      <c r="H38" s="41" t="str">
        <f>_xlfn.XLOOKUP($D38,MD_Account_Asset_Type[Nhóm tài sản],MD_Account_Asset_Type[Tên nhóm TS-Rút gọn-v2])</f>
        <v>Máy móc thiết bị</v>
      </c>
      <c r="I38" s="43" t="s">
        <v>955</v>
      </c>
      <c r="J38" s="42" t="s">
        <v>531</v>
      </c>
      <c r="K38" s="41" t="s">
        <v>830</v>
      </c>
      <c r="L38" s="42" t="s">
        <v>48</v>
      </c>
      <c r="M38" s="42" t="s">
        <v>123</v>
      </c>
      <c r="N38" s="44">
        <v>0</v>
      </c>
      <c r="O38" s="44"/>
      <c r="P38" s="41" t="s">
        <v>461</v>
      </c>
      <c r="Q38" s="41" t="str">
        <f t="shared" si="2"/>
        <v>627</v>
      </c>
      <c r="R38" s="41" t="str">
        <f>_xlfn.XLOOKUP($L38,MD_Cost_Center[Mã Cost Center],MD_Cost_Center[Ngành])</f>
        <v>PET</v>
      </c>
      <c r="S38" s="41" t="str">
        <f>_xlfn.XLOOKUP($L38,MD_Cost_Center[Mã Cost Center],MD_Cost_Center[Ngành-Tách PET-Xơ sợi])</f>
        <v>Chung-PET</v>
      </c>
      <c r="T38" s="45">
        <v>44378</v>
      </c>
      <c r="U38" s="46">
        <v>46204</v>
      </c>
      <c r="V38" s="47">
        <v>144</v>
      </c>
      <c r="W38" s="47">
        <v>433134526</v>
      </c>
      <c r="X38" s="47">
        <v>-481260.58888888889</v>
      </c>
      <c r="Y38" s="47">
        <v>433134526</v>
      </c>
      <c r="Z38" s="47">
        <v>433134526</v>
      </c>
      <c r="AA38" s="47">
        <v>433134526</v>
      </c>
      <c r="AB38" s="47">
        <v>433134526</v>
      </c>
      <c r="AC38" s="47">
        <v>433134526</v>
      </c>
      <c r="AD38" s="47">
        <v>433134526</v>
      </c>
      <c r="AE38" s="47">
        <v>433134526</v>
      </c>
      <c r="AF38" s="47">
        <v>433134526</v>
      </c>
      <c r="AG38" s="47">
        <v>433134526</v>
      </c>
      <c r="AH38" s="47">
        <v>433134526</v>
      </c>
      <c r="AI38" s="47">
        <v>433134526</v>
      </c>
      <c r="AJ38" s="47">
        <v>433134526</v>
      </c>
      <c r="AK38" s="47">
        <v>433134526</v>
      </c>
      <c r="AL38" s="47">
        <v>-86626905</v>
      </c>
      <c r="AM38" s="47">
        <v>-389821073</v>
      </c>
      <c r="AN38" s="47">
        <v>-481260.58888888889</v>
      </c>
      <c r="AO38" s="47">
        <v>-481260.58888888889</v>
      </c>
      <c r="AP38" s="47">
        <v>-481260.58888888889</v>
      </c>
      <c r="AQ38" s="47">
        <v>-481260.58888888889</v>
      </c>
      <c r="AR38" s="47">
        <v>-481260.58888888889</v>
      </c>
      <c r="AS38" s="47">
        <v>-481260.58888888889</v>
      </c>
      <c r="AT38" s="47">
        <v>-481260.58888888889</v>
      </c>
      <c r="AU38" s="47">
        <v>-481260.58888888889</v>
      </c>
      <c r="AV38" s="47">
        <v>-481260.58888888889</v>
      </c>
      <c r="AW38" s="47">
        <v>-481260.58888888889</v>
      </c>
      <c r="AX38" s="47">
        <v>-481260.58888888889</v>
      </c>
      <c r="AY38" s="47">
        <v>-481260.58888888889</v>
      </c>
      <c r="AZ38" s="58">
        <f t="shared" si="3"/>
        <v>-5775127.0666666673</v>
      </c>
      <c r="BA38" s="47">
        <f>Y38+SUM($AM38:AM38)</f>
        <v>43313453</v>
      </c>
      <c r="BB38" s="48">
        <f>Z38+SUM($AM38:AN38)</f>
        <v>42832192.411111116</v>
      </c>
      <c r="BC38" s="48">
        <f>AA38+SUM($AM38:AO38)</f>
        <v>42350931.822222233</v>
      </c>
      <c r="BD38" s="48">
        <f>AB38+SUM($AM38:AP38)</f>
        <v>41869671.233333349</v>
      </c>
      <c r="BE38" s="48">
        <f>AC38+SUM($AM38:AQ38)</f>
        <v>41388410.644444466</v>
      </c>
      <c r="BF38" s="48">
        <f>AD38+SUM($AM38:AR38)</f>
        <v>40907150.055555582</v>
      </c>
      <c r="BG38" s="48">
        <f>AE38+SUM($AM38:AS38)</f>
        <v>40425889.466666698</v>
      </c>
      <c r="BH38" s="48">
        <f>AF38+SUM($AM38:AT38)</f>
        <v>39944628.877777815</v>
      </c>
      <c r="BI38" s="48">
        <f>AG38+SUM($AM38:AU38)</f>
        <v>39463368.288888931</v>
      </c>
      <c r="BJ38" s="48">
        <f>AH38+SUM($AM38:AV38)</f>
        <v>38982107.700000048</v>
      </c>
      <c r="BK38" s="48">
        <f>AI38+SUM($AM38:AW38)</f>
        <v>38500847.111111164</v>
      </c>
      <c r="BL38" s="48">
        <f>AJ38+SUM($AM38:AX38)</f>
        <v>38019586.522222281</v>
      </c>
      <c r="BM38" s="48">
        <f>AK38+SUM($AM38:AY38)</f>
        <v>37538325.933333397</v>
      </c>
      <c r="BO38" s="47"/>
    </row>
    <row r="39" spans="3:67" s="41" customFormat="1" hidden="1" x14ac:dyDescent="0.3">
      <c r="C39" s="41" t="s">
        <v>1340</v>
      </c>
      <c r="D39" s="42" t="s">
        <v>337</v>
      </c>
      <c r="E39" s="42" t="str">
        <f t="shared" si="1"/>
        <v>211</v>
      </c>
      <c r="F39" s="41" t="str">
        <f>_xlfn.XLOOKUP($D39,MD_Account_Asset_Type[Nhóm tài sản],MD_Account_Asset_Type[Tên Nhóm tài sản])</f>
        <v>Máy móc, thiết bị phụ - SX 627</v>
      </c>
      <c r="G39" s="41" t="str">
        <f>_xlfn.XLOOKUP($D39,MD_Account_Asset_Type[Nhóm tài sản],MD_Account_Asset_Type[Tên nhóm TS-Rút gọn])</f>
        <v>Máy móc thiết bị</v>
      </c>
      <c r="H39" s="41" t="str">
        <f>_xlfn.XLOOKUP($D39,MD_Account_Asset_Type[Nhóm tài sản],MD_Account_Asset_Type[Tên nhóm TS-Rút gọn-v2])</f>
        <v>Máy móc thiết bị</v>
      </c>
      <c r="I39" s="43" t="s">
        <v>956</v>
      </c>
      <c r="J39" s="42" t="s">
        <v>532</v>
      </c>
      <c r="K39" s="41" t="s">
        <v>850</v>
      </c>
      <c r="L39" s="42" t="s">
        <v>51</v>
      </c>
      <c r="M39" s="42" t="s">
        <v>126</v>
      </c>
      <c r="N39" s="44" t="s">
        <v>244</v>
      </c>
      <c r="O39" s="44"/>
      <c r="P39" s="41" t="s">
        <v>461</v>
      </c>
      <c r="Q39" s="41" t="str">
        <f t="shared" si="2"/>
        <v>627</v>
      </c>
      <c r="R39" s="41" t="str">
        <f>_xlfn.XLOOKUP($L39,MD_Cost_Center[Mã Cost Center],MD_Cost_Center[Ngành])</f>
        <v>PET</v>
      </c>
      <c r="S39" s="41" t="str">
        <f>_xlfn.XLOOKUP($L39,MD_Cost_Center[Mã Cost Center],MD_Cost_Center[Ngành-Tách PET-Xơ sợi])</f>
        <v>Chung-PET</v>
      </c>
      <c r="T39" s="45">
        <v>44417</v>
      </c>
      <c r="U39" s="46">
        <v>48069</v>
      </c>
      <c r="V39" s="47">
        <v>144</v>
      </c>
      <c r="W39" s="47">
        <v>350000000</v>
      </c>
      <c r="X39" s="47">
        <v>-2147435.9010989009</v>
      </c>
      <c r="Y39" s="47">
        <v>350000000</v>
      </c>
      <c r="Z39" s="47">
        <v>350000000</v>
      </c>
      <c r="AA39" s="47">
        <v>350000000</v>
      </c>
      <c r="AB39" s="47">
        <v>350000000</v>
      </c>
      <c r="AC39" s="47">
        <v>350000000</v>
      </c>
      <c r="AD39" s="47">
        <v>350000000</v>
      </c>
      <c r="AE39" s="47">
        <v>350000000</v>
      </c>
      <c r="AF39" s="47">
        <v>350000000</v>
      </c>
      <c r="AG39" s="47">
        <v>350000000</v>
      </c>
      <c r="AH39" s="47">
        <v>350000000</v>
      </c>
      <c r="AI39" s="47">
        <v>350000000</v>
      </c>
      <c r="AJ39" s="47">
        <v>350000000</v>
      </c>
      <c r="AK39" s="47">
        <v>350000000</v>
      </c>
      <c r="AL39" s="47">
        <v>-35000000</v>
      </c>
      <c r="AM39" s="47">
        <v>-154583333</v>
      </c>
      <c r="AN39" s="47">
        <v>-2147435.9010989009</v>
      </c>
      <c r="AO39" s="47">
        <v>-2147435.9010989009</v>
      </c>
      <c r="AP39" s="47">
        <v>-2147435.9010989009</v>
      </c>
      <c r="AQ39" s="47">
        <v>-2147435.9010989009</v>
      </c>
      <c r="AR39" s="47">
        <v>-2147435.9010989009</v>
      </c>
      <c r="AS39" s="47">
        <v>-2147435.9010989009</v>
      </c>
      <c r="AT39" s="47">
        <v>-2147435.9010989009</v>
      </c>
      <c r="AU39" s="47">
        <v>-2147435.9010989009</v>
      </c>
      <c r="AV39" s="47">
        <v>-2147435.9010989009</v>
      </c>
      <c r="AW39" s="47">
        <v>-2147435.9010989009</v>
      </c>
      <c r="AX39" s="47">
        <v>-2147435.9010989009</v>
      </c>
      <c r="AY39" s="47">
        <v>-2147435.9010989009</v>
      </c>
      <c r="AZ39" s="58">
        <f t="shared" si="3"/>
        <v>-25769230.813186806</v>
      </c>
      <c r="BA39" s="47">
        <f>Y39+SUM($AM39:AM39)</f>
        <v>195416667</v>
      </c>
      <c r="BB39" s="48">
        <f>Z39+SUM($AM39:AN39)</f>
        <v>193269231.09890109</v>
      </c>
      <c r="BC39" s="48">
        <f>AA39+SUM($AM39:AO39)</f>
        <v>191121795.19780219</v>
      </c>
      <c r="BD39" s="48">
        <f>AB39+SUM($AM39:AP39)</f>
        <v>188974359.29670328</v>
      </c>
      <c r="BE39" s="48">
        <f>AC39+SUM($AM39:AQ39)</f>
        <v>186826923.39560437</v>
      </c>
      <c r="BF39" s="48">
        <f>AD39+SUM($AM39:AR39)</f>
        <v>184679487.49450547</v>
      </c>
      <c r="BG39" s="48">
        <f>AE39+SUM($AM39:AS39)</f>
        <v>182532051.59340656</v>
      </c>
      <c r="BH39" s="48">
        <f>AF39+SUM($AM39:AT39)</f>
        <v>180384615.69230765</v>
      </c>
      <c r="BI39" s="48">
        <f>AG39+SUM($AM39:AU39)</f>
        <v>178237179.79120874</v>
      </c>
      <c r="BJ39" s="48">
        <f>AH39+SUM($AM39:AV39)</f>
        <v>176089743.89010984</v>
      </c>
      <c r="BK39" s="48">
        <f>AI39+SUM($AM39:AW39)</f>
        <v>173942307.98901093</v>
      </c>
      <c r="BL39" s="48">
        <f>AJ39+SUM($AM39:AX39)</f>
        <v>171794872.08791202</v>
      </c>
      <c r="BM39" s="48">
        <f>AK39+SUM($AM39:AY39)</f>
        <v>169647436.18681312</v>
      </c>
      <c r="BO39" s="47"/>
    </row>
    <row r="40" spans="3:67" s="41" customFormat="1" hidden="1" x14ac:dyDescent="0.3">
      <c r="C40" s="41" t="s">
        <v>1340</v>
      </c>
      <c r="D40" s="42" t="s">
        <v>337</v>
      </c>
      <c r="E40" s="42" t="str">
        <f t="shared" si="1"/>
        <v>211</v>
      </c>
      <c r="F40" s="41" t="str">
        <f>_xlfn.XLOOKUP($D40,MD_Account_Asset_Type[Nhóm tài sản],MD_Account_Asset_Type[Tên Nhóm tài sản])</f>
        <v>Máy móc, thiết bị phụ - SX 627</v>
      </c>
      <c r="G40" s="41" t="str">
        <f>_xlfn.XLOOKUP($D40,MD_Account_Asset_Type[Nhóm tài sản],MD_Account_Asset_Type[Tên nhóm TS-Rút gọn])</f>
        <v>Máy móc thiết bị</v>
      </c>
      <c r="H40" s="41" t="str">
        <f>_xlfn.XLOOKUP($D40,MD_Account_Asset_Type[Nhóm tài sản],MD_Account_Asset_Type[Tên nhóm TS-Rút gọn-v2])</f>
        <v>Máy móc thiết bị</v>
      </c>
      <c r="I40" s="43" t="s">
        <v>957</v>
      </c>
      <c r="J40" s="42" t="s">
        <v>533</v>
      </c>
      <c r="K40" s="41" t="s">
        <v>850</v>
      </c>
      <c r="L40" s="42" t="s">
        <v>51</v>
      </c>
      <c r="M40" s="42" t="s">
        <v>126</v>
      </c>
      <c r="N40" s="44" t="s">
        <v>244</v>
      </c>
      <c r="O40" s="44"/>
      <c r="P40" s="41" t="s">
        <v>461</v>
      </c>
      <c r="Q40" s="41" t="str">
        <f t="shared" si="2"/>
        <v>627</v>
      </c>
      <c r="R40" s="41" t="str">
        <f>_xlfn.XLOOKUP($L40,MD_Cost_Center[Mã Cost Center],MD_Cost_Center[Ngành])</f>
        <v>PET</v>
      </c>
      <c r="S40" s="41" t="str">
        <f>_xlfn.XLOOKUP($L40,MD_Cost_Center[Mã Cost Center],MD_Cost_Center[Ngành-Tách PET-Xơ sợi])</f>
        <v>Chung-PET</v>
      </c>
      <c r="T40" s="45">
        <v>44417</v>
      </c>
      <c r="U40" s="46">
        <v>48069</v>
      </c>
      <c r="V40" s="47">
        <v>144</v>
      </c>
      <c r="W40" s="47">
        <v>7914354019</v>
      </c>
      <c r="X40" s="47">
        <v>-48687293.021978021</v>
      </c>
      <c r="Y40" s="47">
        <v>7914354019</v>
      </c>
      <c r="Z40" s="47">
        <v>7914354019</v>
      </c>
      <c r="AA40" s="47">
        <v>7914354019</v>
      </c>
      <c r="AB40" s="47">
        <v>7914354019</v>
      </c>
      <c r="AC40" s="47">
        <v>7914354019</v>
      </c>
      <c r="AD40" s="47">
        <v>7914354019</v>
      </c>
      <c r="AE40" s="47">
        <v>7914354019</v>
      </c>
      <c r="AF40" s="47">
        <v>7914354019</v>
      </c>
      <c r="AG40" s="47">
        <v>7914354019</v>
      </c>
      <c r="AH40" s="47">
        <v>7914354019</v>
      </c>
      <c r="AI40" s="47">
        <v>7914354019</v>
      </c>
      <c r="AJ40" s="47">
        <v>7914354019</v>
      </c>
      <c r="AK40" s="47">
        <v>7914354019</v>
      </c>
      <c r="AL40" s="47">
        <v>-793530209</v>
      </c>
      <c r="AM40" s="47">
        <v>-3483810354</v>
      </c>
      <c r="AN40" s="47">
        <v>-48687293.021978021</v>
      </c>
      <c r="AO40" s="47">
        <v>-48687293.021978021</v>
      </c>
      <c r="AP40" s="47">
        <v>-48687293.021978021</v>
      </c>
      <c r="AQ40" s="47">
        <v>-48687293.021978021</v>
      </c>
      <c r="AR40" s="47">
        <v>-48687293.021978021</v>
      </c>
      <c r="AS40" s="47">
        <v>-48687293.021978021</v>
      </c>
      <c r="AT40" s="47">
        <v>-48687293.021978021</v>
      </c>
      <c r="AU40" s="47">
        <v>-48687293.021978021</v>
      </c>
      <c r="AV40" s="47">
        <v>-48687293.021978021</v>
      </c>
      <c r="AW40" s="47">
        <v>-48687293.021978021</v>
      </c>
      <c r="AX40" s="47">
        <v>-48687293.021978021</v>
      </c>
      <c r="AY40" s="47">
        <v>-48687293.021978021</v>
      </c>
      <c r="AZ40" s="58">
        <f t="shared" si="3"/>
        <v>-584247516.26373625</v>
      </c>
      <c r="BA40" s="47">
        <f>Y40+SUM($AM40:AM40)</f>
        <v>4430543665</v>
      </c>
      <c r="BB40" s="48">
        <f>Z40+SUM($AM40:AN40)</f>
        <v>4381856371.9780216</v>
      </c>
      <c r="BC40" s="48">
        <f>AA40+SUM($AM40:AO40)</f>
        <v>4333169078.9560442</v>
      </c>
      <c r="BD40" s="48">
        <f>AB40+SUM($AM40:AP40)</f>
        <v>4284481785.9340663</v>
      </c>
      <c r="BE40" s="48">
        <f>AC40+SUM($AM40:AQ40)</f>
        <v>4235794492.9120884</v>
      </c>
      <c r="BF40" s="48">
        <f>AD40+SUM($AM40:AR40)</f>
        <v>4187107199.8901105</v>
      </c>
      <c r="BG40" s="48">
        <f>AE40+SUM($AM40:AS40)</f>
        <v>4138419906.8681326</v>
      </c>
      <c r="BH40" s="48">
        <f>AF40+SUM($AM40:AT40)</f>
        <v>4089732613.8461547</v>
      </c>
      <c r="BI40" s="48">
        <f>AG40+SUM($AM40:AU40)</f>
        <v>4041045320.8241768</v>
      </c>
      <c r="BJ40" s="48">
        <f>AH40+SUM($AM40:AV40)</f>
        <v>3992358027.8021989</v>
      </c>
      <c r="BK40" s="48">
        <f>AI40+SUM($AM40:AW40)</f>
        <v>3943670734.780221</v>
      </c>
      <c r="BL40" s="48">
        <f>AJ40+SUM($AM40:AX40)</f>
        <v>3894983441.7582431</v>
      </c>
      <c r="BM40" s="48">
        <f>AK40+SUM($AM40:AY40)</f>
        <v>3846296148.7362652</v>
      </c>
      <c r="BO40" s="47"/>
    </row>
    <row r="41" spans="3:67" s="41" customFormat="1" hidden="1" x14ac:dyDescent="0.3">
      <c r="C41" s="41" t="s">
        <v>1340</v>
      </c>
      <c r="D41" s="42" t="s">
        <v>337</v>
      </c>
      <c r="E41" s="42" t="str">
        <f t="shared" si="1"/>
        <v>211</v>
      </c>
      <c r="F41" s="41" t="str">
        <f>_xlfn.XLOOKUP($D41,MD_Account_Asset_Type[Nhóm tài sản],MD_Account_Asset_Type[Tên Nhóm tài sản])</f>
        <v>Máy móc, thiết bị phụ - SX 627</v>
      </c>
      <c r="G41" s="41" t="str">
        <f>_xlfn.XLOOKUP($D41,MD_Account_Asset_Type[Nhóm tài sản],MD_Account_Asset_Type[Tên nhóm TS-Rút gọn])</f>
        <v>Máy móc thiết bị</v>
      </c>
      <c r="H41" s="41" t="str">
        <f>_xlfn.XLOOKUP($D41,MD_Account_Asset_Type[Nhóm tài sản],MD_Account_Asset_Type[Tên nhóm TS-Rút gọn-v2])</f>
        <v>Máy móc thiết bị</v>
      </c>
      <c r="I41" s="43" t="s">
        <v>958</v>
      </c>
      <c r="J41" s="42" t="s">
        <v>534</v>
      </c>
      <c r="K41" s="41" t="s">
        <v>830</v>
      </c>
      <c r="L41" s="42" t="s">
        <v>48</v>
      </c>
      <c r="M41" s="42" t="s">
        <v>123</v>
      </c>
      <c r="N41" s="44">
        <v>0</v>
      </c>
      <c r="O41" s="44"/>
      <c r="P41" s="41" t="s">
        <v>461</v>
      </c>
      <c r="Q41" s="41" t="str">
        <f t="shared" si="2"/>
        <v>627</v>
      </c>
      <c r="R41" s="41" t="str">
        <f>_xlfn.XLOOKUP($L41,MD_Cost_Center[Mã Cost Center],MD_Cost_Center[Ngành])</f>
        <v>PET</v>
      </c>
      <c r="S41" s="41" t="str">
        <f>_xlfn.XLOOKUP($L41,MD_Cost_Center[Mã Cost Center],MD_Cost_Center[Ngành-Tách PET-Xơ sợi])</f>
        <v>Chung-PET</v>
      </c>
      <c r="T41" s="45">
        <v>44438</v>
      </c>
      <c r="U41" s="46">
        <v>48090</v>
      </c>
      <c r="V41" s="47">
        <v>144</v>
      </c>
      <c r="W41" s="47">
        <v>2414319168</v>
      </c>
      <c r="X41" s="47">
        <v>-14813130.417582417</v>
      </c>
      <c r="Y41" s="47">
        <v>2414319168</v>
      </c>
      <c r="Z41" s="47">
        <v>2414319168</v>
      </c>
      <c r="AA41" s="47">
        <v>2414319168</v>
      </c>
      <c r="AB41" s="47">
        <v>2414319168</v>
      </c>
      <c r="AC41" s="47">
        <v>2414319168</v>
      </c>
      <c r="AD41" s="47">
        <v>2414319168</v>
      </c>
      <c r="AE41" s="47">
        <v>2414319168</v>
      </c>
      <c r="AF41" s="47">
        <v>2414319168</v>
      </c>
      <c r="AG41" s="47">
        <v>2414319168</v>
      </c>
      <c r="AH41" s="47">
        <v>2414319168</v>
      </c>
      <c r="AI41" s="47">
        <v>2414319168</v>
      </c>
      <c r="AJ41" s="47">
        <v>2414319168</v>
      </c>
      <c r="AK41" s="47">
        <v>2414319168</v>
      </c>
      <c r="AL41" s="47">
        <v>-241431917</v>
      </c>
      <c r="AM41" s="47">
        <v>-1066324300</v>
      </c>
      <c r="AN41" s="47">
        <v>-14813130.417582417</v>
      </c>
      <c r="AO41" s="47">
        <v>-14813130.417582417</v>
      </c>
      <c r="AP41" s="47">
        <v>-14813130.417582417</v>
      </c>
      <c r="AQ41" s="47">
        <v>-14813130.417582417</v>
      </c>
      <c r="AR41" s="47">
        <v>-14813130.417582417</v>
      </c>
      <c r="AS41" s="47">
        <v>-14813130.417582417</v>
      </c>
      <c r="AT41" s="47">
        <v>-14813130.417582417</v>
      </c>
      <c r="AU41" s="47">
        <v>-14813130.417582417</v>
      </c>
      <c r="AV41" s="47">
        <v>-14813130.417582417</v>
      </c>
      <c r="AW41" s="47">
        <v>-14813130.417582417</v>
      </c>
      <c r="AX41" s="47">
        <v>-14813130.417582417</v>
      </c>
      <c r="AY41" s="47">
        <v>-14813130.417582417</v>
      </c>
      <c r="AZ41" s="58">
        <f t="shared" si="3"/>
        <v>-177757565.01098904</v>
      </c>
      <c r="BA41" s="47">
        <f>Y41+SUM($AM41:AM41)</f>
        <v>1347994868</v>
      </c>
      <c r="BB41" s="48">
        <f>Z41+SUM($AM41:AN41)</f>
        <v>1333181737.5824175</v>
      </c>
      <c r="BC41" s="48">
        <f>AA41+SUM($AM41:AO41)</f>
        <v>1318368607.164835</v>
      </c>
      <c r="BD41" s="48">
        <f>AB41+SUM($AM41:AP41)</f>
        <v>1303555476.7472525</v>
      </c>
      <c r="BE41" s="48">
        <f>AC41+SUM($AM41:AQ41)</f>
        <v>1288742346.32967</v>
      </c>
      <c r="BF41" s="48">
        <f>AD41+SUM($AM41:AR41)</f>
        <v>1273929215.9120874</v>
      </c>
      <c r="BG41" s="48">
        <f>AE41+SUM($AM41:AS41)</f>
        <v>1259116085.4945049</v>
      </c>
      <c r="BH41" s="48">
        <f>AF41+SUM($AM41:AT41)</f>
        <v>1244302955.0769224</v>
      </c>
      <c r="BI41" s="48">
        <f>AG41+SUM($AM41:AU41)</f>
        <v>1229489824.6593399</v>
      </c>
      <c r="BJ41" s="48">
        <f>AH41+SUM($AM41:AV41)</f>
        <v>1214676694.2417574</v>
      </c>
      <c r="BK41" s="48">
        <f>AI41+SUM($AM41:AW41)</f>
        <v>1199863563.8241749</v>
      </c>
      <c r="BL41" s="48">
        <f>AJ41+SUM($AM41:AX41)</f>
        <v>1185050433.4065924</v>
      </c>
      <c r="BM41" s="48">
        <f>AK41+SUM($AM41:AY41)</f>
        <v>1170237302.9890099</v>
      </c>
      <c r="BO41" s="47"/>
    </row>
    <row r="42" spans="3:67" s="41" customFormat="1" hidden="1" x14ac:dyDescent="0.3">
      <c r="C42" s="41" t="s">
        <v>1340</v>
      </c>
      <c r="D42" s="42" t="s">
        <v>337</v>
      </c>
      <c r="E42" s="42" t="str">
        <f t="shared" si="1"/>
        <v>211</v>
      </c>
      <c r="F42" s="41" t="str">
        <f>_xlfn.XLOOKUP($D42,MD_Account_Asset_Type[Nhóm tài sản],MD_Account_Asset_Type[Tên Nhóm tài sản])</f>
        <v>Máy móc, thiết bị phụ - SX 627</v>
      </c>
      <c r="G42" s="41" t="str">
        <f>_xlfn.XLOOKUP($D42,MD_Account_Asset_Type[Nhóm tài sản],MD_Account_Asset_Type[Tên nhóm TS-Rút gọn])</f>
        <v>Máy móc thiết bị</v>
      </c>
      <c r="H42" s="41" t="str">
        <f>_xlfn.XLOOKUP($D42,MD_Account_Asset_Type[Nhóm tài sản],MD_Account_Asset_Type[Tên nhóm TS-Rút gọn-v2])</f>
        <v>Máy móc thiết bị</v>
      </c>
      <c r="I42" s="43" t="s">
        <v>959</v>
      </c>
      <c r="J42" s="42" t="s">
        <v>535</v>
      </c>
      <c r="K42" s="41" t="s">
        <v>830</v>
      </c>
      <c r="L42" s="42" t="s">
        <v>48</v>
      </c>
      <c r="M42" s="42" t="s">
        <v>123</v>
      </c>
      <c r="N42" s="44">
        <v>0</v>
      </c>
      <c r="O42" s="44"/>
      <c r="P42" s="41" t="s">
        <v>461</v>
      </c>
      <c r="Q42" s="41" t="str">
        <f t="shared" si="2"/>
        <v>627</v>
      </c>
      <c r="R42" s="41" t="str">
        <f>_xlfn.XLOOKUP($L42,MD_Cost_Center[Mã Cost Center],MD_Cost_Center[Ngành])</f>
        <v>PET</v>
      </c>
      <c r="S42" s="41" t="str">
        <f>_xlfn.XLOOKUP($L42,MD_Cost_Center[Mã Cost Center],MD_Cost_Center[Ngành-Tách PET-Xơ sợi])</f>
        <v>Chung-PET</v>
      </c>
      <c r="T42" s="45">
        <v>44438</v>
      </c>
      <c r="U42" s="46">
        <v>46264</v>
      </c>
      <c r="V42" s="47">
        <v>144</v>
      </c>
      <c r="W42" s="47">
        <v>310000000</v>
      </c>
      <c r="X42" s="47">
        <v>-397435.90109890111</v>
      </c>
      <c r="Y42" s="47">
        <v>310000000</v>
      </c>
      <c r="Z42" s="47">
        <v>310000000</v>
      </c>
      <c r="AA42" s="47">
        <v>310000000</v>
      </c>
      <c r="AB42" s="47">
        <v>310000000</v>
      </c>
      <c r="AC42" s="47">
        <v>310000000</v>
      </c>
      <c r="AD42" s="47">
        <v>310000000</v>
      </c>
      <c r="AE42" s="47">
        <v>310000000</v>
      </c>
      <c r="AF42" s="47">
        <v>310000000</v>
      </c>
      <c r="AG42" s="47">
        <v>310000000</v>
      </c>
      <c r="AH42" s="47">
        <v>310000000</v>
      </c>
      <c r="AI42" s="47">
        <v>310000000</v>
      </c>
      <c r="AJ42" s="47">
        <v>310000000</v>
      </c>
      <c r="AK42" s="47">
        <v>310000000</v>
      </c>
      <c r="AL42" s="47">
        <v>-62000000</v>
      </c>
      <c r="AM42" s="47">
        <v>-273833333</v>
      </c>
      <c r="AN42" s="47">
        <v>-397435.90109890111</v>
      </c>
      <c r="AO42" s="47">
        <v>-397435.90109890111</v>
      </c>
      <c r="AP42" s="47">
        <v>-397435.90109890111</v>
      </c>
      <c r="AQ42" s="47">
        <v>-397435.90109890111</v>
      </c>
      <c r="AR42" s="47">
        <v>-397435.90109890111</v>
      </c>
      <c r="AS42" s="47">
        <v>-397435.90109890111</v>
      </c>
      <c r="AT42" s="47">
        <v>-397435.90109890111</v>
      </c>
      <c r="AU42" s="47">
        <v>-397435.90109890111</v>
      </c>
      <c r="AV42" s="47">
        <v>-397435.90109890111</v>
      </c>
      <c r="AW42" s="47">
        <v>-397435.90109890111</v>
      </c>
      <c r="AX42" s="47">
        <v>-397435.90109890111</v>
      </c>
      <c r="AY42" s="47">
        <v>-397435.90109890111</v>
      </c>
      <c r="AZ42" s="58">
        <f t="shared" si="3"/>
        <v>-4769230.8131868131</v>
      </c>
      <c r="BA42" s="47">
        <f>Y42+SUM($AM42:AM42)</f>
        <v>36166667</v>
      </c>
      <c r="BB42" s="48">
        <f>Z42+SUM($AM42:AN42)</f>
        <v>35769231.098901093</v>
      </c>
      <c r="BC42" s="48">
        <f>AA42+SUM($AM42:AO42)</f>
        <v>35371795.197802186</v>
      </c>
      <c r="BD42" s="48">
        <f>AB42+SUM($AM42:AP42)</f>
        <v>34974359.296703279</v>
      </c>
      <c r="BE42" s="48">
        <f>AC42+SUM($AM42:AQ42)</f>
        <v>34576923.395604372</v>
      </c>
      <c r="BF42" s="48">
        <f>AD42+SUM($AM42:AR42)</f>
        <v>34179487.494505465</v>
      </c>
      <c r="BG42" s="48">
        <f>AE42+SUM($AM42:AS42)</f>
        <v>33782051.593406558</v>
      </c>
      <c r="BH42" s="48">
        <f>AF42+SUM($AM42:AT42)</f>
        <v>33384615.692307651</v>
      </c>
      <c r="BI42" s="48">
        <f>AG42+SUM($AM42:AU42)</f>
        <v>32987179.791208744</v>
      </c>
      <c r="BJ42" s="48">
        <f>AH42+SUM($AM42:AV42)</f>
        <v>32589743.890109837</v>
      </c>
      <c r="BK42" s="48">
        <f>AI42+SUM($AM42:AW42)</f>
        <v>32192307.98901093</v>
      </c>
      <c r="BL42" s="48">
        <f>AJ42+SUM($AM42:AX42)</f>
        <v>31794872.087912023</v>
      </c>
      <c r="BM42" s="48">
        <f>AK42+SUM($AM42:AY42)</f>
        <v>31397436.186813116</v>
      </c>
      <c r="BO42" s="47"/>
    </row>
    <row r="43" spans="3:67" s="41" customFormat="1" hidden="1" x14ac:dyDescent="0.3">
      <c r="C43" s="41" t="s">
        <v>1340</v>
      </c>
      <c r="D43" s="42" t="s">
        <v>337</v>
      </c>
      <c r="E43" s="42" t="str">
        <f t="shared" si="1"/>
        <v>211</v>
      </c>
      <c r="F43" s="41" t="str">
        <f>_xlfn.XLOOKUP($D43,MD_Account_Asset_Type[Nhóm tài sản],MD_Account_Asset_Type[Tên Nhóm tài sản])</f>
        <v>Máy móc, thiết bị phụ - SX 627</v>
      </c>
      <c r="G43" s="41" t="str">
        <f>_xlfn.XLOOKUP($D43,MD_Account_Asset_Type[Nhóm tài sản],MD_Account_Asset_Type[Tên nhóm TS-Rút gọn])</f>
        <v>Máy móc thiết bị</v>
      </c>
      <c r="H43" s="41" t="str">
        <f>_xlfn.XLOOKUP($D43,MD_Account_Asset_Type[Nhóm tài sản],MD_Account_Asset_Type[Tên nhóm TS-Rút gọn-v2])</f>
        <v>Máy móc thiết bị</v>
      </c>
      <c r="I43" s="43" t="s">
        <v>960</v>
      </c>
      <c r="J43" s="42" t="s">
        <v>536</v>
      </c>
      <c r="K43" s="41" t="s">
        <v>830</v>
      </c>
      <c r="L43" s="42" t="s">
        <v>48</v>
      </c>
      <c r="M43" s="42" t="s">
        <v>123</v>
      </c>
      <c r="N43" s="44">
        <v>0</v>
      </c>
      <c r="O43" s="44"/>
      <c r="P43" s="41" t="s">
        <v>461</v>
      </c>
      <c r="Q43" s="41" t="str">
        <f t="shared" si="2"/>
        <v>627</v>
      </c>
      <c r="R43" s="41" t="str">
        <f>_xlfn.XLOOKUP($L43,MD_Cost_Center[Mã Cost Center],MD_Cost_Center[Ngành])</f>
        <v>PET</v>
      </c>
      <c r="S43" s="41" t="str">
        <f>_xlfn.XLOOKUP($L43,MD_Cost_Center[Mã Cost Center],MD_Cost_Center[Ngành-Tách PET-Xơ sợi])</f>
        <v>Chung-PET</v>
      </c>
      <c r="T43" s="45">
        <v>44438</v>
      </c>
      <c r="U43" s="46">
        <v>48090</v>
      </c>
      <c r="V43" s="47">
        <v>144</v>
      </c>
      <c r="W43" s="47">
        <v>1577222005</v>
      </c>
      <c r="X43" s="47">
        <v>-9677094.7142857146</v>
      </c>
      <c r="Y43" s="47">
        <v>1577222005</v>
      </c>
      <c r="Z43" s="47">
        <v>1577222005</v>
      </c>
      <c r="AA43" s="47">
        <v>1577222005</v>
      </c>
      <c r="AB43" s="47">
        <v>1577222005</v>
      </c>
      <c r="AC43" s="47">
        <v>1577222005</v>
      </c>
      <c r="AD43" s="47">
        <v>1577222005</v>
      </c>
      <c r="AE43" s="47">
        <v>1577222005</v>
      </c>
      <c r="AF43" s="47">
        <v>1577222005</v>
      </c>
      <c r="AG43" s="47">
        <v>1577222005</v>
      </c>
      <c r="AH43" s="47">
        <v>1577222005</v>
      </c>
      <c r="AI43" s="47">
        <v>1577222005</v>
      </c>
      <c r="AJ43" s="47">
        <v>1577222005</v>
      </c>
      <c r="AK43" s="47">
        <v>1577222005</v>
      </c>
      <c r="AL43" s="47">
        <v>-157722201</v>
      </c>
      <c r="AM43" s="47">
        <v>-696606386</v>
      </c>
      <c r="AN43" s="47">
        <v>-9677094.7142857146</v>
      </c>
      <c r="AO43" s="47">
        <v>-9677094.7142857146</v>
      </c>
      <c r="AP43" s="47">
        <v>-9677094.7142857146</v>
      </c>
      <c r="AQ43" s="47">
        <v>-9677094.7142857146</v>
      </c>
      <c r="AR43" s="47">
        <v>-9677094.7142857146</v>
      </c>
      <c r="AS43" s="47">
        <v>-9677094.7142857146</v>
      </c>
      <c r="AT43" s="47">
        <v>-9677094.7142857146</v>
      </c>
      <c r="AU43" s="47">
        <v>-9677094.7142857146</v>
      </c>
      <c r="AV43" s="47">
        <v>-9677094.7142857146</v>
      </c>
      <c r="AW43" s="47">
        <v>-9677094.7142857146</v>
      </c>
      <c r="AX43" s="47">
        <v>-9677094.7142857146</v>
      </c>
      <c r="AY43" s="47">
        <v>-9677094.7142857146</v>
      </c>
      <c r="AZ43" s="58">
        <f t="shared" si="3"/>
        <v>-116125136.57142858</v>
      </c>
      <c r="BA43" s="47">
        <f>Y43+SUM($AM43:AM43)</f>
        <v>880615619</v>
      </c>
      <c r="BB43" s="48">
        <f>Z43+SUM($AM43:AN43)</f>
        <v>870938524.28571427</v>
      </c>
      <c r="BC43" s="48">
        <f>AA43+SUM($AM43:AO43)</f>
        <v>861261429.57142854</v>
      </c>
      <c r="BD43" s="48">
        <f>AB43+SUM($AM43:AP43)</f>
        <v>851584334.85714281</v>
      </c>
      <c r="BE43" s="48">
        <f>AC43+SUM($AM43:AQ43)</f>
        <v>841907240.14285707</v>
      </c>
      <c r="BF43" s="48">
        <f>AD43+SUM($AM43:AR43)</f>
        <v>832230145.42857134</v>
      </c>
      <c r="BG43" s="48">
        <f>AE43+SUM($AM43:AS43)</f>
        <v>822553050.71428561</v>
      </c>
      <c r="BH43" s="48">
        <f>AF43+SUM($AM43:AT43)</f>
        <v>812875955.99999988</v>
      </c>
      <c r="BI43" s="48">
        <f>AG43+SUM($AM43:AU43)</f>
        <v>803198861.28571415</v>
      </c>
      <c r="BJ43" s="48">
        <f>AH43+SUM($AM43:AV43)</f>
        <v>793521766.57142842</v>
      </c>
      <c r="BK43" s="48">
        <f>AI43+SUM($AM43:AW43)</f>
        <v>783844671.85714269</v>
      </c>
      <c r="BL43" s="48">
        <f>AJ43+SUM($AM43:AX43)</f>
        <v>774167577.14285696</v>
      </c>
      <c r="BM43" s="48">
        <f>AK43+SUM($AM43:AY43)</f>
        <v>764490482.42857122</v>
      </c>
      <c r="BO43" s="47"/>
    </row>
    <row r="44" spans="3:67" s="41" customFormat="1" hidden="1" x14ac:dyDescent="0.3">
      <c r="C44" s="41" t="s">
        <v>1340</v>
      </c>
      <c r="D44" s="42" t="s">
        <v>337</v>
      </c>
      <c r="E44" s="42" t="str">
        <f t="shared" si="1"/>
        <v>211</v>
      </c>
      <c r="F44" s="41" t="str">
        <f>_xlfn.XLOOKUP($D44,MD_Account_Asset_Type[Nhóm tài sản],MD_Account_Asset_Type[Tên Nhóm tài sản])</f>
        <v>Máy móc, thiết bị phụ - SX 627</v>
      </c>
      <c r="G44" s="41" t="str">
        <f>_xlfn.XLOOKUP($D44,MD_Account_Asset_Type[Nhóm tài sản],MD_Account_Asset_Type[Tên nhóm TS-Rút gọn])</f>
        <v>Máy móc thiết bị</v>
      </c>
      <c r="H44" s="41" t="str">
        <f>_xlfn.XLOOKUP($D44,MD_Account_Asset_Type[Nhóm tài sản],MD_Account_Asset_Type[Tên nhóm TS-Rút gọn-v2])</f>
        <v>Máy móc thiết bị</v>
      </c>
      <c r="I44" s="43" t="s">
        <v>961</v>
      </c>
      <c r="J44" s="42" t="s">
        <v>537</v>
      </c>
      <c r="K44" s="41" t="s">
        <v>502</v>
      </c>
      <c r="L44" s="42" t="s">
        <v>48</v>
      </c>
      <c r="M44" s="42" t="s">
        <v>123</v>
      </c>
      <c r="N44" s="44">
        <v>0</v>
      </c>
      <c r="O44" s="44"/>
      <c r="P44" s="41" t="s">
        <v>461</v>
      </c>
      <c r="Q44" s="41" t="str">
        <f t="shared" si="2"/>
        <v>627</v>
      </c>
      <c r="R44" s="41" t="str">
        <f>_xlfn.XLOOKUP($L44,MD_Cost_Center[Mã Cost Center],MD_Cost_Center[Ngành])</f>
        <v>PET</v>
      </c>
      <c r="S44" s="41" t="str">
        <f>_xlfn.XLOOKUP($L44,MD_Cost_Center[Mã Cost Center],MD_Cost_Center[Ngành-Tách PET-Xơ sợi])</f>
        <v>Chung-PET</v>
      </c>
      <c r="T44" s="45">
        <v>44438</v>
      </c>
      <c r="U44" s="46">
        <v>48090</v>
      </c>
      <c r="V44" s="47">
        <v>144</v>
      </c>
      <c r="W44" s="47">
        <v>397073670</v>
      </c>
      <c r="X44" s="47">
        <v>-2436257.8681318681</v>
      </c>
      <c r="Y44" s="47">
        <v>397073670</v>
      </c>
      <c r="Z44" s="47">
        <v>397073670</v>
      </c>
      <c r="AA44" s="47">
        <v>397073670</v>
      </c>
      <c r="AB44" s="47">
        <v>397073670</v>
      </c>
      <c r="AC44" s="47">
        <v>397073670</v>
      </c>
      <c r="AD44" s="47">
        <v>397073670</v>
      </c>
      <c r="AE44" s="47">
        <v>397073670</v>
      </c>
      <c r="AF44" s="47">
        <v>397073670</v>
      </c>
      <c r="AG44" s="47">
        <v>397073670</v>
      </c>
      <c r="AH44" s="47">
        <v>397073670</v>
      </c>
      <c r="AI44" s="47">
        <v>397073670</v>
      </c>
      <c r="AJ44" s="47">
        <v>397073670</v>
      </c>
      <c r="AK44" s="47">
        <v>397073670</v>
      </c>
      <c r="AL44" s="47">
        <v>-39707367</v>
      </c>
      <c r="AM44" s="47">
        <v>-175374204</v>
      </c>
      <c r="AN44" s="47">
        <v>-2436257.8681318681</v>
      </c>
      <c r="AO44" s="47">
        <v>-2436257.8681318681</v>
      </c>
      <c r="AP44" s="47">
        <v>-2436257.8681318681</v>
      </c>
      <c r="AQ44" s="47">
        <v>-2436257.8681318681</v>
      </c>
      <c r="AR44" s="47">
        <v>-2436257.8681318681</v>
      </c>
      <c r="AS44" s="47">
        <v>-2436257.8681318681</v>
      </c>
      <c r="AT44" s="47">
        <v>-2436257.8681318681</v>
      </c>
      <c r="AU44" s="47">
        <v>-2436257.8681318681</v>
      </c>
      <c r="AV44" s="47">
        <v>-2436257.8681318681</v>
      </c>
      <c r="AW44" s="47">
        <v>-2436257.8681318681</v>
      </c>
      <c r="AX44" s="47">
        <v>-2436257.8681318681</v>
      </c>
      <c r="AY44" s="47">
        <v>-2436257.8681318681</v>
      </c>
      <c r="AZ44" s="58">
        <f t="shared" si="3"/>
        <v>-29235094.417582419</v>
      </c>
      <c r="BA44" s="47">
        <f>Y44+SUM($AM44:AM44)</f>
        <v>221699466</v>
      </c>
      <c r="BB44" s="48">
        <f>Z44+SUM($AM44:AN44)</f>
        <v>219263208.13186812</v>
      </c>
      <c r="BC44" s="48">
        <f>AA44+SUM($AM44:AO44)</f>
        <v>216826950.26373625</v>
      </c>
      <c r="BD44" s="48">
        <f>AB44+SUM($AM44:AP44)</f>
        <v>214390692.39560437</v>
      </c>
      <c r="BE44" s="48">
        <f>AC44+SUM($AM44:AQ44)</f>
        <v>211954434.5274725</v>
      </c>
      <c r="BF44" s="48">
        <f>AD44+SUM($AM44:AR44)</f>
        <v>209518176.65934062</v>
      </c>
      <c r="BG44" s="48">
        <f>AE44+SUM($AM44:AS44)</f>
        <v>207081918.79120874</v>
      </c>
      <c r="BH44" s="48">
        <f>AF44+SUM($AM44:AT44)</f>
        <v>204645660.92307687</v>
      </c>
      <c r="BI44" s="48">
        <f>AG44+SUM($AM44:AU44)</f>
        <v>202209403.05494499</v>
      </c>
      <c r="BJ44" s="48">
        <f>AH44+SUM($AM44:AV44)</f>
        <v>199773145.18681312</v>
      </c>
      <c r="BK44" s="48">
        <f>AI44+SUM($AM44:AW44)</f>
        <v>197336887.31868124</v>
      </c>
      <c r="BL44" s="48">
        <f>AJ44+SUM($AM44:AX44)</f>
        <v>194900629.45054936</v>
      </c>
      <c r="BM44" s="48">
        <f>AK44+SUM($AM44:AY44)</f>
        <v>192464371.58241749</v>
      </c>
      <c r="BO44" s="47"/>
    </row>
    <row r="45" spans="3:67" s="41" customFormat="1" hidden="1" x14ac:dyDescent="0.3">
      <c r="C45" s="41" t="s">
        <v>1340</v>
      </c>
      <c r="D45" s="42" t="s">
        <v>337</v>
      </c>
      <c r="E45" s="42" t="str">
        <f t="shared" si="1"/>
        <v>211</v>
      </c>
      <c r="F45" s="41" t="str">
        <f>_xlfn.XLOOKUP($D45,MD_Account_Asset_Type[Nhóm tài sản],MD_Account_Asset_Type[Tên Nhóm tài sản])</f>
        <v>Máy móc, thiết bị phụ - SX 627</v>
      </c>
      <c r="G45" s="41" t="str">
        <f>_xlfn.XLOOKUP($D45,MD_Account_Asset_Type[Nhóm tài sản],MD_Account_Asset_Type[Tên nhóm TS-Rút gọn])</f>
        <v>Máy móc thiết bị</v>
      </c>
      <c r="H45" s="41" t="str">
        <f>_xlfn.XLOOKUP($D45,MD_Account_Asset_Type[Nhóm tài sản],MD_Account_Asset_Type[Tên nhóm TS-Rút gọn-v2])</f>
        <v>Máy móc thiết bị</v>
      </c>
      <c r="I45" s="43" t="s">
        <v>962</v>
      </c>
      <c r="J45" s="42" t="s">
        <v>538</v>
      </c>
      <c r="K45" s="41" t="s">
        <v>830</v>
      </c>
      <c r="L45" s="42" t="s">
        <v>48</v>
      </c>
      <c r="M45" s="42" t="s">
        <v>123</v>
      </c>
      <c r="N45" s="44">
        <v>0</v>
      </c>
      <c r="O45" s="44"/>
      <c r="P45" s="41" t="s">
        <v>461</v>
      </c>
      <c r="Q45" s="41" t="str">
        <f t="shared" si="2"/>
        <v>627</v>
      </c>
      <c r="R45" s="41" t="str">
        <f>_xlfn.XLOOKUP($L45,MD_Cost_Center[Mã Cost Center],MD_Cost_Center[Ngành])</f>
        <v>PET</v>
      </c>
      <c r="S45" s="41" t="str">
        <f>_xlfn.XLOOKUP($L45,MD_Cost_Center[Mã Cost Center],MD_Cost_Center[Ngành-Tách PET-Xơ sợi])</f>
        <v>Chung-PET</v>
      </c>
      <c r="T45" s="45">
        <v>44438</v>
      </c>
      <c r="U45" s="46">
        <v>46264</v>
      </c>
      <c r="V45" s="47">
        <v>144</v>
      </c>
      <c r="W45" s="47">
        <v>73500000</v>
      </c>
      <c r="X45" s="47">
        <v>-94230.769230769234</v>
      </c>
      <c r="Y45" s="47">
        <v>73500000</v>
      </c>
      <c r="Z45" s="47">
        <v>73500000</v>
      </c>
      <c r="AA45" s="47">
        <v>73500000</v>
      </c>
      <c r="AB45" s="47">
        <v>73500000</v>
      </c>
      <c r="AC45" s="47">
        <v>73500000</v>
      </c>
      <c r="AD45" s="47">
        <v>73500000</v>
      </c>
      <c r="AE45" s="47">
        <v>73500000</v>
      </c>
      <c r="AF45" s="47">
        <v>73500000</v>
      </c>
      <c r="AG45" s="47">
        <v>73500000</v>
      </c>
      <c r="AH45" s="47">
        <v>73500000</v>
      </c>
      <c r="AI45" s="47">
        <v>73500000</v>
      </c>
      <c r="AJ45" s="47">
        <v>73500000</v>
      </c>
      <c r="AK45" s="47">
        <v>73500000</v>
      </c>
      <c r="AL45" s="47">
        <v>-14700000</v>
      </c>
      <c r="AM45" s="47">
        <v>-64925000</v>
      </c>
      <c r="AN45" s="47">
        <v>-94230.769230769234</v>
      </c>
      <c r="AO45" s="47">
        <v>-94230.769230769234</v>
      </c>
      <c r="AP45" s="47">
        <v>-94230.769230769234</v>
      </c>
      <c r="AQ45" s="47">
        <v>-94230.769230769234</v>
      </c>
      <c r="AR45" s="47">
        <v>-94230.769230769234</v>
      </c>
      <c r="AS45" s="47">
        <v>-94230.769230769234</v>
      </c>
      <c r="AT45" s="47">
        <v>-94230.769230769234</v>
      </c>
      <c r="AU45" s="47">
        <v>-94230.769230769234</v>
      </c>
      <c r="AV45" s="47">
        <v>-94230.769230769234</v>
      </c>
      <c r="AW45" s="47">
        <v>-94230.769230769234</v>
      </c>
      <c r="AX45" s="47">
        <v>-94230.769230769234</v>
      </c>
      <c r="AY45" s="47">
        <v>-94230.769230769234</v>
      </c>
      <c r="AZ45" s="58">
        <f t="shared" si="3"/>
        <v>-1130769.2307692308</v>
      </c>
      <c r="BA45" s="47">
        <f>Y45+SUM($AM45:AM45)</f>
        <v>8575000</v>
      </c>
      <c r="BB45" s="48">
        <f>Z45+SUM($AM45:AN45)</f>
        <v>8480769.2307692319</v>
      </c>
      <c r="BC45" s="48">
        <f>AA45+SUM($AM45:AO45)</f>
        <v>8386538.4615384638</v>
      </c>
      <c r="BD45" s="48">
        <f>AB45+SUM($AM45:AP45)</f>
        <v>8292307.6923076957</v>
      </c>
      <c r="BE45" s="48">
        <f>AC45+SUM($AM45:AQ45)</f>
        <v>8198076.9230769277</v>
      </c>
      <c r="BF45" s="48">
        <f>AD45+SUM($AM45:AR45)</f>
        <v>8103846.1538461596</v>
      </c>
      <c r="BG45" s="48">
        <f>AE45+SUM($AM45:AS45)</f>
        <v>8009615.3846153915</v>
      </c>
      <c r="BH45" s="48">
        <f>AF45+SUM($AM45:AT45)</f>
        <v>7915384.6153846234</v>
      </c>
      <c r="BI45" s="48">
        <f>AG45+SUM($AM45:AU45)</f>
        <v>7821153.8461538553</v>
      </c>
      <c r="BJ45" s="48">
        <f>AH45+SUM($AM45:AV45)</f>
        <v>7726923.0769230872</v>
      </c>
      <c r="BK45" s="48">
        <f>AI45+SUM($AM45:AW45)</f>
        <v>7632692.3076923192</v>
      </c>
      <c r="BL45" s="48">
        <f>AJ45+SUM($AM45:AX45)</f>
        <v>7538461.5384615511</v>
      </c>
      <c r="BM45" s="48">
        <f>AK45+SUM($AM45:AY45)</f>
        <v>7444230.769230783</v>
      </c>
      <c r="BO45" s="47"/>
    </row>
    <row r="46" spans="3:67" s="41" customFormat="1" hidden="1" x14ac:dyDescent="0.3">
      <c r="C46" s="41" t="s">
        <v>1340</v>
      </c>
      <c r="D46" s="42" t="s">
        <v>337</v>
      </c>
      <c r="E46" s="42" t="str">
        <f t="shared" si="1"/>
        <v>211</v>
      </c>
      <c r="F46" s="41" t="str">
        <f>_xlfn.XLOOKUP($D46,MD_Account_Asset_Type[Nhóm tài sản],MD_Account_Asset_Type[Tên Nhóm tài sản])</f>
        <v>Máy móc, thiết bị phụ - SX 627</v>
      </c>
      <c r="G46" s="41" t="str">
        <f>_xlfn.XLOOKUP($D46,MD_Account_Asset_Type[Nhóm tài sản],MD_Account_Asset_Type[Tên nhóm TS-Rút gọn])</f>
        <v>Máy móc thiết bị</v>
      </c>
      <c r="H46" s="41" t="str">
        <f>_xlfn.XLOOKUP($D46,MD_Account_Asset_Type[Nhóm tài sản],MD_Account_Asset_Type[Tên nhóm TS-Rút gọn-v2])</f>
        <v>Máy móc thiết bị</v>
      </c>
      <c r="I46" s="43" t="s">
        <v>963</v>
      </c>
      <c r="J46" s="42" t="s">
        <v>539</v>
      </c>
      <c r="K46" s="41" t="s">
        <v>830</v>
      </c>
      <c r="L46" s="42" t="s">
        <v>48</v>
      </c>
      <c r="M46" s="42" t="s">
        <v>123</v>
      </c>
      <c r="N46" s="44">
        <v>0</v>
      </c>
      <c r="O46" s="44"/>
      <c r="P46" s="41" t="s">
        <v>461</v>
      </c>
      <c r="Q46" s="41" t="str">
        <f t="shared" si="2"/>
        <v>627</v>
      </c>
      <c r="R46" s="41" t="str">
        <f>_xlfn.XLOOKUP($L46,MD_Cost_Center[Mã Cost Center],MD_Cost_Center[Ngành])</f>
        <v>PET</v>
      </c>
      <c r="S46" s="41" t="str">
        <f>_xlfn.XLOOKUP($L46,MD_Cost_Center[Mã Cost Center],MD_Cost_Center[Ngành-Tách PET-Xơ sợi])</f>
        <v>Chung-PET</v>
      </c>
      <c r="T46" s="45">
        <v>44438</v>
      </c>
      <c r="U46" s="46">
        <v>48090</v>
      </c>
      <c r="V46" s="47">
        <v>144</v>
      </c>
      <c r="W46" s="47">
        <v>81000000</v>
      </c>
      <c r="X46" s="47">
        <v>-496978.02197802201</v>
      </c>
      <c r="Y46" s="47">
        <v>81000000</v>
      </c>
      <c r="Z46" s="47">
        <v>81000000</v>
      </c>
      <c r="AA46" s="47">
        <v>81000000</v>
      </c>
      <c r="AB46" s="47">
        <v>81000000</v>
      </c>
      <c r="AC46" s="47">
        <v>81000000</v>
      </c>
      <c r="AD46" s="47">
        <v>81000000</v>
      </c>
      <c r="AE46" s="47">
        <v>81000000</v>
      </c>
      <c r="AF46" s="47">
        <v>81000000</v>
      </c>
      <c r="AG46" s="47">
        <v>81000000</v>
      </c>
      <c r="AH46" s="47">
        <v>81000000</v>
      </c>
      <c r="AI46" s="47">
        <v>81000000</v>
      </c>
      <c r="AJ46" s="47">
        <v>81000000</v>
      </c>
      <c r="AK46" s="47">
        <v>81000000</v>
      </c>
      <c r="AL46" s="47">
        <v>-8100000</v>
      </c>
      <c r="AM46" s="47">
        <v>-35775000</v>
      </c>
      <c r="AN46" s="47">
        <v>-496978.02197802201</v>
      </c>
      <c r="AO46" s="47">
        <v>-496978.02197802201</v>
      </c>
      <c r="AP46" s="47">
        <v>-496978.02197802201</v>
      </c>
      <c r="AQ46" s="47">
        <v>-496978.02197802201</v>
      </c>
      <c r="AR46" s="47">
        <v>-496978.02197802201</v>
      </c>
      <c r="AS46" s="47">
        <v>-496978.02197802201</v>
      </c>
      <c r="AT46" s="47">
        <v>-496978.02197802201</v>
      </c>
      <c r="AU46" s="47">
        <v>-496978.02197802201</v>
      </c>
      <c r="AV46" s="47">
        <v>-496978.02197802201</v>
      </c>
      <c r="AW46" s="47">
        <v>-496978.02197802201</v>
      </c>
      <c r="AX46" s="47">
        <v>-496978.02197802201</v>
      </c>
      <c r="AY46" s="47">
        <v>-496978.02197802201</v>
      </c>
      <c r="AZ46" s="58">
        <f t="shared" si="3"/>
        <v>-5963736.2637362629</v>
      </c>
      <c r="BA46" s="47">
        <f>Y46+SUM($AM46:AM46)</f>
        <v>45225000</v>
      </c>
      <c r="BB46" s="48">
        <f>Z46+SUM($AM46:AN46)</f>
        <v>44728021.978021979</v>
      </c>
      <c r="BC46" s="48">
        <f>AA46+SUM($AM46:AO46)</f>
        <v>44231043.956043959</v>
      </c>
      <c r="BD46" s="48">
        <f>AB46+SUM($AM46:AP46)</f>
        <v>43734065.934065938</v>
      </c>
      <c r="BE46" s="48">
        <f>AC46+SUM($AM46:AQ46)</f>
        <v>43237087.912087917</v>
      </c>
      <c r="BF46" s="48">
        <f>AD46+SUM($AM46:AR46)</f>
        <v>42740109.890109897</v>
      </c>
      <c r="BG46" s="48">
        <f>AE46+SUM($AM46:AS46)</f>
        <v>42243131.868131876</v>
      </c>
      <c r="BH46" s="48">
        <f>AF46+SUM($AM46:AT46)</f>
        <v>41746153.846153855</v>
      </c>
      <c r="BI46" s="48">
        <f>AG46+SUM($AM46:AU46)</f>
        <v>41249175.824175835</v>
      </c>
      <c r="BJ46" s="48">
        <f>AH46+SUM($AM46:AV46)</f>
        <v>40752197.802197814</v>
      </c>
      <c r="BK46" s="48">
        <f>AI46+SUM($AM46:AW46)</f>
        <v>40255219.780219793</v>
      </c>
      <c r="BL46" s="48">
        <f>AJ46+SUM($AM46:AX46)</f>
        <v>39758241.758241773</v>
      </c>
      <c r="BM46" s="48">
        <f>AK46+SUM($AM46:AY46)</f>
        <v>39261263.736263752</v>
      </c>
      <c r="BO46" s="47"/>
    </row>
    <row r="47" spans="3:67" s="41" customFormat="1" hidden="1" x14ac:dyDescent="0.3">
      <c r="C47" s="41" t="s">
        <v>1340</v>
      </c>
      <c r="D47" s="42" t="s">
        <v>337</v>
      </c>
      <c r="E47" s="42" t="str">
        <f t="shared" si="1"/>
        <v>211</v>
      </c>
      <c r="F47" s="41" t="str">
        <f>_xlfn.XLOOKUP($D47,MD_Account_Asset_Type[Nhóm tài sản],MD_Account_Asset_Type[Tên Nhóm tài sản])</f>
        <v>Máy móc, thiết bị phụ - SX 627</v>
      </c>
      <c r="G47" s="41" t="str">
        <f>_xlfn.XLOOKUP($D47,MD_Account_Asset_Type[Nhóm tài sản],MD_Account_Asset_Type[Tên nhóm TS-Rút gọn])</f>
        <v>Máy móc thiết bị</v>
      </c>
      <c r="H47" s="41" t="str">
        <f>_xlfn.XLOOKUP($D47,MD_Account_Asset_Type[Nhóm tài sản],MD_Account_Asset_Type[Tên nhóm TS-Rút gọn-v2])</f>
        <v>Máy móc thiết bị</v>
      </c>
      <c r="I47" s="43" t="s">
        <v>966</v>
      </c>
      <c r="J47" s="42" t="s">
        <v>540</v>
      </c>
      <c r="K47" s="41" t="s">
        <v>830</v>
      </c>
      <c r="L47" s="42" t="s">
        <v>48</v>
      </c>
      <c r="M47" s="42" t="s">
        <v>123</v>
      </c>
      <c r="N47" s="44">
        <v>0</v>
      </c>
      <c r="O47" s="44"/>
      <c r="P47" s="41" t="s">
        <v>461</v>
      </c>
      <c r="Q47" s="41" t="str">
        <f t="shared" si="2"/>
        <v>627</v>
      </c>
      <c r="R47" s="41" t="str">
        <f>_xlfn.XLOOKUP($L47,MD_Cost_Center[Mã Cost Center],MD_Cost_Center[Ngành])</f>
        <v>PET</v>
      </c>
      <c r="S47" s="41" t="str">
        <f>_xlfn.XLOOKUP($L47,MD_Cost_Center[Mã Cost Center],MD_Cost_Center[Ngành-Tách PET-Xơ sợi])</f>
        <v>Chung-PET</v>
      </c>
      <c r="T47" s="45">
        <v>44519</v>
      </c>
      <c r="U47" s="46">
        <v>46710</v>
      </c>
      <c r="V47" s="47">
        <v>144</v>
      </c>
      <c r="W47" s="47">
        <v>88000000</v>
      </c>
      <c r="X47" s="47">
        <v>-286052.01063829788</v>
      </c>
      <c r="Y47" s="47">
        <v>88000000</v>
      </c>
      <c r="Z47" s="47">
        <v>88000000</v>
      </c>
      <c r="AA47" s="47">
        <v>88000000</v>
      </c>
      <c r="AB47" s="47">
        <v>88000000</v>
      </c>
      <c r="AC47" s="47">
        <v>88000000</v>
      </c>
      <c r="AD47" s="47">
        <v>88000000</v>
      </c>
      <c r="AE47" s="47">
        <v>88000000</v>
      </c>
      <c r="AF47" s="47">
        <v>88000000</v>
      </c>
      <c r="AG47" s="47">
        <v>88000000</v>
      </c>
      <c r="AH47" s="47">
        <v>88000000</v>
      </c>
      <c r="AI47" s="47">
        <v>88000000</v>
      </c>
      <c r="AJ47" s="47">
        <v>88000000</v>
      </c>
      <c r="AK47" s="47">
        <v>88000000</v>
      </c>
      <c r="AL47" s="47">
        <v>-14666666</v>
      </c>
      <c r="AM47" s="47">
        <v>-61111111</v>
      </c>
      <c r="AN47" s="47">
        <v>-286052.01063829788</v>
      </c>
      <c r="AO47" s="47">
        <v>-286052.01063829788</v>
      </c>
      <c r="AP47" s="47">
        <v>-286052.01063829788</v>
      </c>
      <c r="AQ47" s="47">
        <v>-286052.01063829788</v>
      </c>
      <c r="AR47" s="47">
        <v>-286052.01063829788</v>
      </c>
      <c r="AS47" s="47">
        <v>-286052.01063829788</v>
      </c>
      <c r="AT47" s="47">
        <v>-286052.01063829788</v>
      </c>
      <c r="AU47" s="47">
        <v>-286052.01063829788</v>
      </c>
      <c r="AV47" s="47">
        <v>-286052.01063829788</v>
      </c>
      <c r="AW47" s="47">
        <v>-286052.01063829788</v>
      </c>
      <c r="AX47" s="47">
        <v>-286052.01063829788</v>
      </c>
      <c r="AY47" s="47">
        <v>-286052.01063829788</v>
      </c>
      <c r="AZ47" s="58">
        <f t="shared" si="3"/>
        <v>-3432624.1276595755</v>
      </c>
      <c r="BA47" s="47">
        <f>Y47+SUM($AM47:AM47)</f>
        <v>26888889</v>
      </c>
      <c r="BB47" s="48">
        <f>Z47+SUM($AM47:AN47)</f>
        <v>26602836.989361703</v>
      </c>
      <c r="BC47" s="48">
        <f>AA47+SUM($AM47:AO47)</f>
        <v>26316784.978723407</v>
      </c>
      <c r="BD47" s="48">
        <f>AB47+SUM($AM47:AP47)</f>
        <v>26030732.96808511</v>
      </c>
      <c r="BE47" s="48">
        <f>AC47+SUM($AM47:AQ47)</f>
        <v>25744680.957446814</v>
      </c>
      <c r="BF47" s="48">
        <f>AD47+SUM($AM47:AR47)</f>
        <v>25458628.946808517</v>
      </c>
      <c r="BG47" s="48">
        <f>AE47+SUM($AM47:AS47)</f>
        <v>25172576.93617022</v>
      </c>
      <c r="BH47" s="48">
        <f>AF47+SUM($AM47:AT47)</f>
        <v>24886524.925531924</v>
      </c>
      <c r="BI47" s="48">
        <f>AG47+SUM($AM47:AU47)</f>
        <v>24600472.914893627</v>
      </c>
      <c r="BJ47" s="48">
        <f>AH47+SUM($AM47:AV47)</f>
        <v>24314420.904255331</v>
      </c>
      <c r="BK47" s="48">
        <f>AI47+SUM($AM47:AW47)</f>
        <v>24028368.893617034</v>
      </c>
      <c r="BL47" s="48">
        <f>AJ47+SUM($AM47:AX47)</f>
        <v>23742316.882978737</v>
      </c>
      <c r="BM47" s="48">
        <f>AK47+SUM($AM47:AY47)</f>
        <v>23456264.872340441</v>
      </c>
      <c r="BO47" s="47"/>
    </row>
    <row r="48" spans="3:67" s="41" customFormat="1" hidden="1" x14ac:dyDescent="0.3">
      <c r="C48" s="41" t="s">
        <v>1340</v>
      </c>
      <c r="D48" s="42" t="s">
        <v>337</v>
      </c>
      <c r="E48" s="42" t="str">
        <f t="shared" si="1"/>
        <v>211</v>
      </c>
      <c r="F48" s="41" t="str">
        <f>_xlfn.XLOOKUP($D48,MD_Account_Asset_Type[Nhóm tài sản],MD_Account_Asset_Type[Tên Nhóm tài sản])</f>
        <v>Máy móc, thiết bị phụ - SX 627</v>
      </c>
      <c r="G48" s="41" t="str">
        <f>_xlfn.XLOOKUP($D48,MD_Account_Asset_Type[Nhóm tài sản],MD_Account_Asset_Type[Tên nhóm TS-Rút gọn])</f>
        <v>Máy móc thiết bị</v>
      </c>
      <c r="H48" s="41" t="str">
        <f>_xlfn.XLOOKUP($D48,MD_Account_Asset_Type[Nhóm tài sản],MD_Account_Asset_Type[Tên nhóm TS-Rút gọn-v2])</f>
        <v>Máy móc thiết bị</v>
      </c>
      <c r="I48" s="43" t="s">
        <v>971</v>
      </c>
      <c r="J48" s="42" t="s">
        <v>541</v>
      </c>
      <c r="K48" s="41" t="s">
        <v>830</v>
      </c>
      <c r="L48" s="42" t="s">
        <v>48</v>
      </c>
      <c r="M48" s="42" t="s">
        <v>123</v>
      </c>
      <c r="N48" s="44">
        <v>0</v>
      </c>
      <c r="O48" s="44"/>
      <c r="P48" s="41" t="s">
        <v>461</v>
      </c>
      <c r="Q48" s="41" t="str">
        <f t="shared" si="2"/>
        <v>627</v>
      </c>
      <c r="R48" s="41" t="str">
        <f>_xlfn.XLOOKUP($L48,MD_Cost_Center[Mã Cost Center],MD_Cost_Center[Ngành])</f>
        <v>PET</v>
      </c>
      <c r="S48" s="41" t="str">
        <f>_xlfn.XLOOKUP($L48,MD_Cost_Center[Mã Cost Center],MD_Cost_Center[Ngành-Tách PET-Xơ sợi])</f>
        <v>Chung-PET</v>
      </c>
      <c r="T48" s="45">
        <v>44589</v>
      </c>
      <c r="U48" s="46">
        <v>46780</v>
      </c>
      <c r="V48" s="47">
        <v>144</v>
      </c>
      <c r="W48" s="47">
        <v>399701250</v>
      </c>
      <c r="X48" s="47">
        <v>-1387851.5625</v>
      </c>
      <c r="Y48" s="47">
        <v>399701250</v>
      </c>
      <c r="Z48" s="47">
        <v>399701250</v>
      </c>
      <c r="AA48" s="47">
        <v>399701250</v>
      </c>
      <c r="AB48" s="47">
        <v>399701250</v>
      </c>
      <c r="AC48" s="47">
        <v>399701250</v>
      </c>
      <c r="AD48" s="47">
        <v>399701250</v>
      </c>
      <c r="AE48" s="47">
        <v>399701250</v>
      </c>
      <c r="AF48" s="47">
        <v>399701250</v>
      </c>
      <c r="AG48" s="47">
        <v>399701250</v>
      </c>
      <c r="AH48" s="47">
        <v>399701250</v>
      </c>
      <c r="AI48" s="47">
        <v>399701250</v>
      </c>
      <c r="AJ48" s="47">
        <v>399701250</v>
      </c>
      <c r="AK48" s="47">
        <v>399701250</v>
      </c>
      <c r="AL48" s="47">
        <v>-66616875</v>
      </c>
      <c r="AM48" s="47">
        <v>-266467500</v>
      </c>
      <c r="AN48" s="47">
        <v>-1387851.5625</v>
      </c>
      <c r="AO48" s="47">
        <v>-1387851.5625</v>
      </c>
      <c r="AP48" s="47">
        <v>-1387851.5625</v>
      </c>
      <c r="AQ48" s="47">
        <v>-1387851.5625</v>
      </c>
      <c r="AR48" s="47">
        <v>-1387851.5625</v>
      </c>
      <c r="AS48" s="47">
        <v>-1387851.5625</v>
      </c>
      <c r="AT48" s="47">
        <v>-1387851.5625</v>
      </c>
      <c r="AU48" s="47">
        <v>-1387851.5625</v>
      </c>
      <c r="AV48" s="47">
        <v>-1387851.5625</v>
      </c>
      <c r="AW48" s="47">
        <v>-1387851.5625</v>
      </c>
      <c r="AX48" s="47">
        <v>-1387851.5625</v>
      </c>
      <c r="AY48" s="47">
        <v>-1387851.5625</v>
      </c>
      <c r="AZ48" s="58">
        <f t="shared" si="3"/>
        <v>-16654218.75</v>
      </c>
      <c r="BA48" s="47">
        <f>Y48+SUM($AM48:AM48)</f>
        <v>133233750</v>
      </c>
      <c r="BB48" s="48">
        <f>Z48+SUM($AM48:AN48)</f>
        <v>131845898.4375</v>
      </c>
      <c r="BC48" s="48">
        <f>AA48+SUM($AM48:AO48)</f>
        <v>130458046.875</v>
      </c>
      <c r="BD48" s="48">
        <f>AB48+SUM($AM48:AP48)</f>
        <v>129070195.3125</v>
      </c>
      <c r="BE48" s="48">
        <f>AC48+SUM($AM48:AQ48)</f>
        <v>127682343.75</v>
      </c>
      <c r="BF48" s="48">
        <f>AD48+SUM($AM48:AR48)</f>
        <v>126294492.1875</v>
      </c>
      <c r="BG48" s="48">
        <f>AE48+SUM($AM48:AS48)</f>
        <v>124906640.625</v>
      </c>
      <c r="BH48" s="48">
        <f>AF48+SUM($AM48:AT48)</f>
        <v>123518789.0625</v>
      </c>
      <c r="BI48" s="48">
        <f>AG48+SUM($AM48:AU48)</f>
        <v>122130937.5</v>
      </c>
      <c r="BJ48" s="48">
        <f>AH48+SUM($AM48:AV48)</f>
        <v>120743085.9375</v>
      </c>
      <c r="BK48" s="48">
        <f>AI48+SUM($AM48:AW48)</f>
        <v>119355234.375</v>
      </c>
      <c r="BL48" s="48">
        <f>AJ48+SUM($AM48:AX48)</f>
        <v>117967382.8125</v>
      </c>
      <c r="BM48" s="48">
        <f>AK48+SUM($AM48:AY48)</f>
        <v>116579531.25</v>
      </c>
      <c r="BO48" s="47"/>
    </row>
    <row r="49" spans="3:67" s="41" customFormat="1" hidden="1" x14ac:dyDescent="0.3">
      <c r="C49" s="41" t="s">
        <v>1340</v>
      </c>
      <c r="D49" s="42" t="s">
        <v>337</v>
      </c>
      <c r="E49" s="42" t="str">
        <f t="shared" si="1"/>
        <v>211</v>
      </c>
      <c r="F49" s="41" t="str">
        <f>_xlfn.XLOOKUP($D49,MD_Account_Asset_Type[Nhóm tài sản],MD_Account_Asset_Type[Tên Nhóm tài sản])</f>
        <v>Máy móc, thiết bị phụ - SX 627</v>
      </c>
      <c r="G49" s="41" t="str">
        <f>_xlfn.XLOOKUP($D49,MD_Account_Asset_Type[Nhóm tài sản],MD_Account_Asset_Type[Tên nhóm TS-Rút gọn])</f>
        <v>Máy móc thiết bị</v>
      </c>
      <c r="H49" s="41" t="str">
        <f>_xlfn.XLOOKUP($D49,MD_Account_Asset_Type[Nhóm tài sản],MD_Account_Asset_Type[Tên nhóm TS-Rút gọn-v2])</f>
        <v>Máy móc thiết bị</v>
      </c>
      <c r="I49" s="43" t="s">
        <v>972</v>
      </c>
      <c r="J49" s="42" t="s">
        <v>542</v>
      </c>
      <c r="K49" s="41" t="s">
        <v>830</v>
      </c>
      <c r="L49" s="42" t="s">
        <v>46</v>
      </c>
      <c r="M49" s="42" t="s">
        <v>121</v>
      </c>
      <c r="N49" s="44">
        <v>0</v>
      </c>
      <c r="O49" s="44"/>
      <c r="P49" s="41" t="s">
        <v>461</v>
      </c>
      <c r="Q49" s="41" t="str">
        <f t="shared" si="2"/>
        <v>627</v>
      </c>
      <c r="R49" s="41" t="str">
        <f>_xlfn.XLOOKUP($L49,MD_Cost_Center[Mã Cost Center],MD_Cost_Center[Ngành])</f>
        <v>Chung</v>
      </c>
      <c r="S49" s="41" t="str">
        <f>_xlfn.XLOOKUP($L49,MD_Cost_Center[Mã Cost Center],MD_Cost_Center[Ngành-Tách PET-Xơ sợi])</f>
        <v>Chung</v>
      </c>
      <c r="T49" s="45">
        <v>44614</v>
      </c>
      <c r="U49" s="46">
        <v>46440</v>
      </c>
      <c r="V49" s="47">
        <v>144</v>
      </c>
      <c r="W49" s="47">
        <v>78409091</v>
      </c>
      <c r="X49" s="47">
        <v>-175140.58762886599</v>
      </c>
      <c r="Y49" s="47">
        <v>78409091</v>
      </c>
      <c r="Z49" s="47">
        <v>78409091</v>
      </c>
      <c r="AA49" s="47">
        <v>78409091</v>
      </c>
      <c r="AB49" s="47">
        <v>78409091</v>
      </c>
      <c r="AC49" s="47">
        <v>78409091</v>
      </c>
      <c r="AD49" s="47">
        <v>78409091</v>
      </c>
      <c r="AE49" s="47">
        <v>78409091</v>
      </c>
      <c r="AF49" s="47">
        <v>78409091</v>
      </c>
      <c r="AG49" s="47">
        <v>78409091</v>
      </c>
      <c r="AH49" s="47">
        <v>78409091</v>
      </c>
      <c r="AI49" s="47">
        <v>78409091</v>
      </c>
      <c r="AJ49" s="47">
        <v>78409091</v>
      </c>
      <c r="AK49" s="47">
        <v>78409091</v>
      </c>
      <c r="AL49" s="47">
        <v>-15681818</v>
      </c>
      <c r="AM49" s="47">
        <v>-61420454</v>
      </c>
      <c r="AN49" s="47">
        <v>-175140.58762886599</v>
      </c>
      <c r="AO49" s="47">
        <v>-175140.58762886599</v>
      </c>
      <c r="AP49" s="47">
        <v>-175140.58762886599</v>
      </c>
      <c r="AQ49" s="47">
        <v>-175140.58762886599</v>
      </c>
      <c r="AR49" s="47">
        <v>-175140.58762886599</v>
      </c>
      <c r="AS49" s="47">
        <v>-175140.58762886599</v>
      </c>
      <c r="AT49" s="47">
        <v>-175140.58762886599</v>
      </c>
      <c r="AU49" s="47">
        <v>-175140.58762886599</v>
      </c>
      <c r="AV49" s="47">
        <v>-175140.58762886599</v>
      </c>
      <c r="AW49" s="47">
        <v>-175140.58762886599</v>
      </c>
      <c r="AX49" s="47">
        <v>-175140.58762886599</v>
      </c>
      <c r="AY49" s="47">
        <v>-175140.58762886599</v>
      </c>
      <c r="AZ49" s="58">
        <f t="shared" si="3"/>
        <v>-2101687.0515463925</v>
      </c>
      <c r="BA49" s="47">
        <f>Y49+SUM($AM49:AM49)</f>
        <v>16988637</v>
      </c>
      <c r="BB49" s="48">
        <f>Z49+SUM($AM49:AN49)</f>
        <v>16813496.412371136</v>
      </c>
      <c r="BC49" s="48">
        <f>AA49+SUM($AM49:AO49)</f>
        <v>16638355.824742272</v>
      </c>
      <c r="BD49" s="48">
        <f>AB49+SUM($AM49:AP49)</f>
        <v>16463215.237113409</v>
      </c>
      <c r="BE49" s="48">
        <f>AC49+SUM($AM49:AQ49)</f>
        <v>16288074.649484545</v>
      </c>
      <c r="BF49" s="48">
        <f>AD49+SUM($AM49:AR49)</f>
        <v>16112934.061855681</v>
      </c>
      <c r="BG49" s="48">
        <f>AE49+SUM($AM49:AS49)</f>
        <v>15937793.474226817</v>
      </c>
      <c r="BH49" s="48">
        <f>AF49+SUM($AM49:AT49)</f>
        <v>15762652.886597954</v>
      </c>
      <c r="BI49" s="48">
        <f>AG49+SUM($AM49:AU49)</f>
        <v>15587512.29896909</v>
      </c>
      <c r="BJ49" s="48">
        <f>AH49+SUM($AM49:AV49)</f>
        <v>15412371.711340226</v>
      </c>
      <c r="BK49" s="48">
        <f>AI49+SUM($AM49:AW49)</f>
        <v>15237231.123711362</v>
      </c>
      <c r="BL49" s="48">
        <f>AJ49+SUM($AM49:AX49)</f>
        <v>15062090.536082499</v>
      </c>
      <c r="BM49" s="48">
        <f>AK49+SUM($AM49:AY49)</f>
        <v>14886949.948453635</v>
      </c>
      <c r="BO49" s="47"/>
    </row>
    <row r="50" spans="3:67" s="41" customFormat="1" hidden="1" x14ac:dyDescent="0.3">
      <c r="C50" s="41" t="s">
        <v>1340</v>
      </c>
      <c r="D50" s="42" t="s">
        <v>337</v>
      </c>
      <c r="E50" s="42" t="str">
        <f t="shared" si="1"/>
        <v>211</v>
      </c>
      <c r="F50" s="41" t="str">
        <f>_xlfn.XLOOKUP($D50,MD_Account_Asset_Type[Nhóm tài sản],MD_Account_Asset_Type[Tên Nhóm tài sản])</f>
        <v>Máy móc, thiết bị phụ - SX 627</v>
      </c>
      <c r="G50" s="41" t="str">
        <f>_xlfn.XLOOKUP($D50,MD_Account_Asset_Type[Nhóm tài sản],MD_Account_Asset_Type[Tên nhóm TS-Rút gọn])</f>
        <v>Máy móc thiết bị</v>
      </c>
      <c r="H50" s="41" t="str">
        <f>_xlfn.XLOOKUP($D50,MD_Account_Asset_Type[Nhóm tài sản],MD_Account_Asset_Type[Tên nhóm TS-Rút gọn-v2])</f>
        <v>Máy móc thiết bị</v>
      </c>
      <c r="I50" s="43" t="s">
        <v>973</v>
      </c>
      <c r="J50" s="42" t="s">
        <v>543</v>
      </c>
      <c r="K50" s="41" t="s">
        <v>830</v>
      </c>
      <c r="L50" s="42" t="s">
        <v>56</v>
      </c>
      <c r="M50" s="42" t="s">
        <v>131</v>
      </c>
      <c r="N50" s="44" t="s">
        <v>249</v>
      </c>
      <c r="O50" s="44"/>
      <c r="P50" s="41" t="s">
        <v>461</v>
      </c>
      <c r="Q50" s="41" t="str">
        <f t="shared" si="2"/>
        <v>627</v>
      </c>
      <c r="R50" s="41" t="str">
        <f>_xlfn.XLOOKUP($L50,MD_Cost_Center[Mã Cost Center],MD_Cost_Center[Ngành])</f>
        <v>PET</v>
      </c>
      <c r="S50" s="41" t="str">
        <f>_xlfn.XLOOKUP($L50,MD_Cost_Center[Mã Cost Center],MD_Cost_Center[Ngành-Tách PET-Xơ sợi])</f>
        <v>Chung-PET</v>
      </c>
      <c r="T50" s="45">
        <v>44713</v>
      </c>
      <c r="U50" s="46">
        <v>46539</v>
      </c>
      <c r="V50" s="47">
        <v>144</v>
      </c>
      <c r="W50" s="47">
        <v>60000000</v>
      </c>
      <c r="X50" s="47">
        <v>-168316.8316831683</v>
      </c>
      <c r="Y50" s="47">
        <v>60000000</v>
      </c>
      <c r="Z50" s="47">
        <v>60000000</v>
      </c>
      <c r="AA50" s="47">
        <v>60000000</v>
      </c>
      <c r="AB50" s="47">
        <v>60000000</v>
      </c>
      <c r="AC50" s="47">
        <v>60000000</v>
      </c>
      <c r="AD50" s="47">
        <v>60000000</v>
      </c>
      <c r="AE50" s="47">
        <v>60000000</v>
      </c>
      <c r="AF50" s="47">
        <v>60000000</v>
      </c>
      <c r="AG50" s="47">
        <v>60000000</v>
      </c>
      <c r="AH50" s="47">
        <v>60000000</v>
      </c>
      <c r="AI50" s="47">
        <v>60000000</v>
      </c>
      <c r="AJ50" s="47">
        <v>60000000</v>
      </c>
      <c r="AK50" s="47">
        <v>60000000</v>
      </c>
      <c r="AL50" s="47">
        <v>-12000000</v>
      </c>
      <c r="AM50" s="47">
        <v>-43000000</v>
      </c>
      <c r="AN50" s="47">
        <v>-168316.8316831683</v>
      </c>
      <c r="AO50" s="47">
        <v>-168316.8316831683</v>
      </c>
      <c r="AP50" s="47">
        <v>-168316.8316831683</v>
      </c>
      <c r="AQ50" s="47">
        <v>-168316.8316831683</v>
      </c>
      <c r="AR50" s="47">
        <v>-168316.8316831683</v>
      </c>
      <c r="AS50" s="47">
        <v>-168316.8316831683</v>
      </c>
      <c r="AT50" s="47">
        <v>-168316.8316831683</v>
      </c>
      <c r="AU50" s="47">
        <v>-168316.8316831683</v>
      </c>
      <c r="AV50" s="47">
        <v>-168316.8316831683</v>
      </c>
      <c r="AW50" s="47">
        <v>-168316.8316831683</v>
      </c>
      <c r="AX50" s="47">
        <v>-168316.8316831683</v>
      </c>
      <c r="AY50" s="47">
        <v>-168316.8316831683</v>
      </c>
      <c r="AZ50" s="58">
        <f t="shared" si="3"/>
        <v>-2019801.9801980192</v>
      </c>
      <c r="BA50" s="47">
        <f>Y50+SUM($AM50:AM50)</f>
        <v>17000000</v>
      </c>
      <c r="BB50" s="48">
        <f>Z50+SUM($AM50:AN50)</f>
        <v>16831683.168316834</v>
      </c>
      <c r="BC50" s="48">
        <f>AA50+SUM($AM50:AO50)</f>
        <v>16663366.336633667</v>
      </c>
      <c r="BD50" s="48">
        <f>AB50+SUM($AM50:AP50)</f>
        <v>16495049.504950501</v>
      </c>
      <c r="BE50" s="48">
        <f>AC50+SUM($AM50:AQ50)</f>
        <v>16326732.673267335</v>
      </c>
      <c r="BF50" s="48">
        <f>AD50+SUM($AM50:AR50)</f>
        <v>16158415.841584168</v>
      </c>
      <c r="BG50" s="48">
        <f>AE50+SUM($AM50:AS50)</f>
        <v>15990099.009901002</v>
      </c>
      <c r="BH50" s="48">
        <f>AF50+SUM($AM50:AT50)</f>
        <v>15821782.178217836</v>
      </c>
      <c r="BI50" s="48">
        <f>AG50+SUM($AM50:AU50)</f>
        <v>15653465.346534669</v>
      </c>
      <c r="BJ50" s="48">
        <f>AH50+SUM($AM50:AV50)</f>
        <v>15485148.514851503</v>
      </c>
      <c r="BK50" s="48">
        <f>AI50+SUM($AM50:AW50)</f>
        <v>15316831.683168337</v>
      </c>
      <c r="BL50" s="48">
        <f>AJ50+SUM($AM50:AX50)</f>
        <v>15148514.85148517</v>
      </c>
      <c r="BM50" s="48">
        <f>AK50+SUM($AM50:AY50)</f>
        <v>14980198.019802004</v>
      </c>
      <c r="BO50" s="47"/>
    </row>
    <row r="51" spans="3:67" s="41" customFormat="1" hidden="1" x14ac:dyDescent="0.3">
      <c r="C51" s="41" t="s">
        <v>1340</v>
      </c>
      <c r="D51" s="42" t="s">
        <v>337</v>
      </c>
      <c r="E51" s="42" t="str">
        <f t="shared" si="1"/>
        <v>211</v>
      </c>
      <c r="F51" s="41" t="str">
        <f>_xlfn.XLOOKUP($D51,MD_Account_Asset_Type[Nhóm tài sản],MD_Account_Asset_Type[Tên Nhóm tài sản])</f>
        <v>Máy móc, thiết bị phụ - SX 627</v>
      </c>
      <c r="G51" s="41" t="str">
        <f>_xlfn.XLOOKUP($D51,MD_Account_Asset_Type[Nhóm tài sản],MD_Account_Asset_Type[Tên nhóm TS-Rút gọn])</f>
        <v>Máy móc thiết bị</v>
      </c>
      <c r="H51" s="41" t="str">
        <f>_xlfn.XLOOKUP($D51,MD_Account_Asset_Type[Nhóm tài sản],MD_Account_Asset_Type[Tên nhóm TS-Rút gọn-v2])</f>
        <v>Máy móc thiết bị</v>
      </c>
      <c r="I51" s="43" t="s">
        <v>974</v>
      </c>
      <c r="J51" s="42" t="s">
        <v>544</v>
      </c>
      <c r="K51" s="41" t="s">
        <v>502</v>
      </c>
      <c r="L51" s="42" t="s">
        <v>51</v>
      </c>
      <c r="M51" s="42" t="s">
        <v>126</v>
      </c>
      <c r="N51" s="44" t="s">
        <v>244</v>
      </c>
      <c r="O51" s="44"/>
      <c r="P51" s="41" t="s">
        <v>461</v>
      </c>
      <c r="Q51" s="41" t="str">
        <f t="shared" si="2"/>
        <v>627</v>
      </c>
      <c r="R51" s="41" t="str">
        <f>_xlfn.XLOOKUP($L51,MD_Cost_Center[Mã Cost Center],MD_Cost_Center[Ngành])</f>
        <v>PET</v>
      </c>
      <c r="S51" s="41" t="str">
        <f>_xlfn.XLOOKUP($L51,MD_Cost_Center[Mã Cost Center],MD_Cost_Center[Ngành-Tách PET-Xơ sợi])</f>
        <v>Chung-PET</v>
      </c>
      <c r="T51" s="45">
        <v>44620</v>
      </c>
      <c r="U51" s="46">
        <v>46811</v>
      </c>
      <c r="V51" s="47">
        <v>144</v>
      </c>
      <c r="W51" s="47">
        <v>125800000</v>
      </c>
      <c r="X51" s="47">
        <v>-450315</v>
      </c>
      <c r="Y51" s="47">
        <v>125800000</v>
      </c>
      <c r="Z51" s="47">
        <v>125800000</v>
      </c>
      <c r="AA51" s="47">
        <v>125800000</v>
      </c>
      <c r="AB51" s="47">
        <v>125800000</v>
      </c>
      <c r="AC51" s="47">
        <v>125800000</v>
      </c>
      <c r="AD51" s="47">
        <v>125800000</v>
      </c>
      <c r="AE51" s="47">
        <v>125800000</v>
      </c>
      <c r="AF51" s="47">
        <v>125800000</v>
      </c>
      <c r="AG51" s="47">
        <v>125800000</v>
      </c>
      <c r="AH51" s="47">
        <v>125800000</v>
      </c>
      <c r="AI51" s="47">
        <v>125800000</v>
      </c>
      <c r="AJ51" s="47">
        <v>125800000</v>
      </c>
      <c r="AK51" s="47">
        <v>125800000</v>
      </c>
      <c r="AL51" s="47">
        <v>-20966667</v>
      </c>
      <c r="AM51" s="47">
        <v>-82119445</v>
      </c>
      <c r="AN51" s="47">
        <v>-450315</v>
      </c>
      <c r="AO51" s="47">
        <v>-450315</v>
      </c>
      <c r="AP51" s="47">
        <v>-450315</v>
      </c>
      <c r="AQ51" s="47">
        <v>-450315</v>
      </c>
      <c r="AR51" s="47">
        <v>-450315</v>
      </c>
      <c r="AS51" s="47">
        <v>-450315</v>
      </c>
      <c r="AT51" s="47">
        <v>-450315</v>
      </c>
      <c r="AU51" s="47">
        <v>-450315</v>
      </c>
      <c r="AV51" s="47">
        <v>-450315</v>
      </c>
      <c r="AW51" s="47">
        <v>-450315</v>
      </c>
      <c r="AX51" s="47">
        <v>-450315</v>
      </c>
      <c r="AY51" s="47">
        <v>-450315</v>
      </c>
      <c r="AZ51" s="58">
        <f t="shared" si="3"/>
        <v>-5403780</v>
      </c>
      <c r="BA51" s="47">
        <f>Y51+SUM($AM51:AM51)</f>
        <v>43680555</v>
      </c>
      <c r="BB51" s="48">
        <f>Z51+SUM($AM51:AN51)</f>
        <v>43230240</v>
      </c>
      <c r="BC51" s="48">
        <f>AA51+SUM($AM51:AO51)</f>
        <v>42779925</v>
      </c>
      <c r="BD51" s="48">
        <f>AB51+SUM($AM51:AP51)</f>
        <v>42329610</v>
      </c>
      <c r="BE51" s="48">
        <f>AC51+SUM($AM51:AQ51)</f>
        <v>41879295</v>
      </c>
      <c r="BF51" s="48">
        <f>AD51+SUM($AM51:AR51)</f>
        <v>41428980</v>
      </c>
      <c r="BG51" s="48">
        <f>AE51+SUM($AM51:AS51)</f>
        <v>40978665</v>
      </c>
      <c r="BH51" s="48">
        <f>AF51+SUM($AM51:AT51)</f>
        <v>40528350</v>
      </c>
      <c r="BI51" s="48">
        <f>AG51+SUM($AM51:AU51)</f>
        <v>40078035</v>
      </c>
      <c r="BJ51" s="48">
        <f>AH51+SUM($AM51:AV51)</f>
        <v>39627720</v>
      </c>
      <c r="BK51" s="48">
        <f>AI51+SUM($AM51:AW51)</f>
        <v>39177405</v>
      </c>
      <c r="BL51" s="48">
        <f>AJ51+SUM($AM51:AX51)</f>
        <v>38727090</v>
      </c>
      <c r="BM51" s="48">
        <f>AK51+SUM($AM51:AY51)</f>
        <v>38276775</v>
      </c>
      <c r="BO51" s="47"/>
    </row>
    <row r="52" spans="3:67" s="41" customFormat="1" hidden="1" x14ac:dyDescent="0.3">
      <c r="C52" s="41" t="s">
        <v>1340</v>
      </c>
      <c r="D52" s="42" t="s">
        <v>337</v>
      </c>
      <c r="E52" s="42" t="str">
        <f t="shared" si="1"/>
        <v>211</v>
      </c>
      <c r="F52" s="41" t="str">
        <f>_xlfn.XLOOKUP($D52,MD_Account_Asset_Type[Nhóm tài sản],MD_Account_Asset_Type[Tên Nhóm tài sản])</f>
        <v>Máy móc, thiết bị phụ - SX 627</v>
      </c>
      <c r="G52" s="41" t="str">
        <f>_xlfn.XLOOKUP($D52,MD_Account_Asset_Type[Nhóm tài sản],MD_Account_Asset_Type[Tên nhóm TS-Rút gọn])</f>
        <v>Máy móc thiết bị</v>
      </c>
      <c r="H52" s="41" t="str">
        <f>_xlfn.XLOOKUP($D52,MD_Account_Asset_Type[Nhóm tài sản],MD_Account_Asset_Type[Tên nhóm TS-Rút gọn-v2])</f>
        <v>Máy móc thiết bị</v>
      </c>
      <c r="I52" s="43" t="s">
        <v>975</v>
      </c>
      <c r="J52" s="42" t="s">
        <v>544</v>
      </c>
      <c r="K52" s="41" t="s">
        <v>830</v>
      </c>
      <c r="L52" s="42" t="s">
        <v>61</v>
      </c>
      <c r="M52" s="42" t="s">
        <v>136</v>
      </c>
      <c r="N52" s="44" t="s">
        <v>254</v>
      </c>
      <c r="O52" s="44"/>
      <c r="P52" s="41" t="s">
        <v>461</v>
      </c>
      <c r="Q52" s="41" t="str">
        <f t="shared" si="2"/>
        <v>627</v>
      </c>
      <c r="R52" s="41" t="str">
        <f>_xlfn.XLOOKUP($L52,MD_Cost_Center[Mã Cost Center],MD_Cost_Center[Ngành])</f>
        <v>PET</v>
      </c>
      <c r="S52" s="41" t="str">
        <f>_xlfn.XLOOKUP($L52,MD_Cost_Center[Mã Cost Center],MD_Cost_Center[Ngành-Tách PET-Xơ sợi])</f>
        <v>Chung-PET</v>
      </c>
      <c r="T52" s="45">
        <v>44620</v>
      </c>
      <c r="U52" s="46">
        <v>46811</v>
      </c>
      <c r="V52" s="47">
        <v>144</v>
      </c>
      <c r="W52" s="47">
        <v>125800000</v>
      </c>
      <c r="X52" s="47">
        <v>-450315</v>
      </c>
      <c r="Y52" s="47">
        <v>125800000</v>
      </c>
      <c r="Z52" s="47">
        <v>125800000</v>
      </c>
      <c r="AA52" s="47">
        <v>125800000</v>
      </c>
      <c r="AB52" s="47">
        <v>125800000</v>
      </c>
      <c r="AC52" s="47">
        <v>125800000</v>
      </c>
      <c r="AD52" s="47">
        <v>125800000</v>
      </c>
      <c r="AE52" s="47">
        <v>125800000</v>
      </c>
      <c r="AF52" s="47">
        <v>125800000</v>
      </c>
      <c r="AG52" s="47">
        <v>125800000</v>
      </c>
      <c r="AH52" s="47">
        <v>125800000</v>
      </c>
      <c r="AI52" s="47">
        <v>125800000</v>
      </c>
      <c r="AJ52" s="47">
        <v>125800000</v>
      </c>
      <c r="AK52" s="47">
        <v>125800000</v>
      </c>
      <c r="AL52" s="47">
        <v>-20966667</v>
      </c>
      <c r="AM52" s="47">
        <v>-82119445</v>
      </c>
      <c r="AN52" s="47">
        <v>-450315</v>
      </c>
      <c r="AO52" s="47">
        <v>-450315</v>
      </c>
      <c r="AP52" s="47">
        <v>-450315</v>
      </c>
      <c r="AQ52" s="47">
        <v>-450315</v>
      </c>
      <c r="AR52" s="47">
        <v>-450315</v>
      </c>
      <c r="AS52" s="47">
        <v>-450315</v>
      </c>
      <c r="AT52" s="47">
        <v>-450315</v>
      </c>
      <c r="AU52" s="47">
        <v>-450315</v>
      </c>
      <c r="AV52" s="47">
        <v>-450315</v>
      </c>
      <c r="AW52" s="47">
        <v>-450315</v>
      </c>
      <c r="AX52" s="47">
        <v>-450315</v>
      </c>
      <c r="AY52" s="47">
        <v>-450315</v>
      </c>
      <c r="AZ52" s="58">
        <f t="shared" si="3"/>
        <v>-5403780</v>
      </c>
      <c r="BA52" s="47">
        <f>Y52+SUM($AM52:AM52)</f>
        <v>43680555</v>
      </c>
      <c r="BB52" s="48">
        <f>Z52+SUM($AM52:AN52)</f>
        <v>43230240</v>
      </c>
      <c r="BC52" s="48">
        <f>AA52+SUM($AM52:AO52)</f>
        <v>42779925</v>
      </c>
      <c r="BD52" s="48">
        <f>AB52+SUM($AM52:AP52)</f>
        <v>42329610</v>
      </c>
      <c r="BE52" s="48">
        <f>AC52+SUM($AM52:AQ52)</f>
        <v>41879295</v>
      </c>
      <c r="BF52" s="48">
        <f>AD52+SUM($AM52:AR52)</f>
        <v>41428980</v>
      </c>
      <c r="BG52" s="48">
        <f>AE52+SUM($AM52:AS52)</f>
        <v>40978665</v>
      </c>
      <c r="BH52" s="48">
        <f>AF52+SUM($AM52:AT52)</f>
        <v>40528350</v>
      </c>
      <c r="BI52" s="48">
        <f>AG52+SUM($AM52:AU52)</f>
        <v>40078035</v>
      </c>
      <c r="BJ52" s="48">
        <f>AH52+SUM($AM52:AV52)</f>
        <v>39627720</v>
      </c>
      <c r="BK52" s="48">
        <f>AI52+SUM($AM52:AW52)</f>
        <v>39177405</v>
      </c>
      <c r="BL52" s="48">
        <f>AJ52+SUM($AM52:AX52)</f>
        <v>38727090</v>
      </c>
      <c r="BM52" s="48">
        <f>AK52+SUM($AM52:AY52)</f>
        <v>38276775</v>
      </c>
      <c r="BO52" s="47"/>
    </row>
    <row r="53" spans="3:67" s="41" customFormat="1" hidden="1" x14ac:dyDescent="0.3">
      <c r="C53" s="41" t="s">
        <v>1340</v>
      </c>
      <c r="D53" s="42" t="s">
        <v>337</v>
      </c>
      <c r="E53" s="42" t="str">
        <f t="shared" si="1"/>
        <v>211</v>
      </c>
      <c r="F53" s="41" t="str">
        <f>_xlfn.XLOOKUP($D53,MD_Account_Asset_Type[Nhóm tài sản],MD_Account_Asset_Type[Tên Nhóm tài sản])</f>
        <v>Máy móc, thiết bị phụ - SX 627</v>
      </c>
      <c r="G53" s="41" t="str">
        <f>_xlfn.XLOOKUP($D53,MD_Account_Asset_Type[Nhóm tài sản],MD_Account_Asset_Type[Tên nhóm TS-Rút gọn])</f>
        <v>Máy móc thiết bị</v>
      </c>
      <c r="H53" s="41" t="str">
        <f>_xlfn.XLOOKUP($D53,MD_Account_Asset_Type[Nhóm tài sản],MD_Account_Asset_Type[Tên nhóm TS-Rút gọn-v2])</f>
        <v>Máy móc thiết bị</v>
      </c>
      <c r="I53" s="43" t="s">
        <v>978</v>
      </c>
      <c r="J53" s="42" t="s">
        <v>545</v>
      </c>
      <c r="K53" s="41" t="s">
        <v>830</v>
      </c>
      <c r="L53" s="42" t="s">
        <v>48</v>
      </c>
      <c r="M53" s="42" t="s">
        <v>123</v>
      </c>
      <c r="N53" s="44">
        <v>0</v>
      </c>
      <c r="O53" s="44"/>
      <c r="P53" s="41" t="s">
        <v>461</v>
      </c>
      <c r="Q53" s="41" t="str">
        <f t="shared" si="2"/>
        <v>627</v>
      </c>
      <c r="R53" s="41" t="str">
        <f>_xlfn.XLOOKUP($L53,MD_Cost_Center[Mã Cost Center],MD_Cost_Center[Ngành])</f>
        <v>PET</v>
      </c>
      <c r="S53" s="41" t="str">
        <f>_xlfn.XLOOKUP($L53,MD_Cost_Center[Mã Cost Center],MD_Cost_Center[Ngành-Tách PET-Xơ sợi])</f>
        <v>Chung-PET</v>
      </c>
      <c r="T53" s="45">
        <v>44734</v>
      </c>
      <c r="U53" s="46">
        <v>46560</v>
      </c>
      <c r="V53" s="47">
        <v>144</v>
      </c>
      <c r="W53" s="47">
        <v>142187500</v>
      </c>
      <c r="X53" s="47">
        <v>-398875.82178217825</v>
      </c>
      <c r="Y53" s="47">
        <v>142187500</v>
      </c>
      <c r="Z53" s="47">
        <v>142187500</v>
      </c>
      <c r="AA53" s="47">
        <v>142187500</v>
      </c>
      <c r="AB53" s="47">
        <v>142187500</v>
      </c>
      <c r="AC53" s="47">
        <v>142187500</v>
      </c>
      <c r="AD53" s="47">
        <v>142187500</v>
      </c>
      <c r="AE53" s="47">
        <v>142187500</v>
      </c>
      <c r="AF53" s="47">
        <v>142187500</v>
      </c>
      <c r="AG53" s="47">
        <v>142187500</v>
      </c>
      <c r="AH53" s="47">
        <v>142187500</v>
      </c>
      <c r="AI53" s="47">
        <v>142187500</v>
      </c>
      <c r="AJ53" s="47">
        <v>142187500</v>
      </c>
      <c r="AK53" s="47">
        <v>142187500</v>
      </c>
      <c r="AL53" s="47">
        <v>-28437500</v>
      </c>
      <c r="AM53" s="47">
        <v>-101901042</v>
      </c>
      <c r="AN53" s="47">
        <v>-398875.82178217825</v>
      </c>
      <c r="AO53" s="47">
        <v>-398875.82178217825</v>
      </c>
      <c r="AP53" s="47">
        <v>-398875.82178217825</v>
      </c>
      <c r="AQ53" s="47">
        <v>-398875.82178217825</v>
      </c>
      <c r="AR53" s="47">
        <v>-398875.82178217825</v>
      </c>
      <c r="AS53" s="47">
        <v>-398875.82178217825</v>
      </c>
      <c r="AT53" s="47">
        <v>-398875.82178217825</v>
      </c>
      <c r="AU53" s="47">
        <v>-398875.82178217825</v>
      </c>
      <c r="AV53" s="47">
        <v>-398875.82178217825</v>
      </c>
      <c r="AW53" s="47">
        <v>-398875.82178217825</v>
      </c>
      <c r="AX53" s="47">
        <v>-398875.82178217825</v>
      </c>
      <c r="AY53" s="47">
        <v>-398875.82178217825</v>
      </c>
      <c r="AZ53" s="58">
        <f t="shared" si="3"/>
        <v>-4786509.8613861389</v>
      </c>
      <c r="BA53" s="47">
        <f>Y53+SUM($AM53:AM53)</f>
        <v>40286458</v>
      </c>
      <c r="BB53" s="48">
        <f>Z53+SUM($AM53:AN53)</f>
        <v>39887582.178217828</v>
      </c>
      <c r="BC53" s="48">
        <f>AA53+SUM($AM53:AO53)</f>
        <v>39488706.356435657</v>
      </c>
      <c r="BD53" s="48">
        <f>AB53+SUM($AM53:AP53)</f>
        <v>39089830.534653485</v>
      </c>
      <c r="BE53" s="48">
        <f>AC53+SUM($AM53:AQ53)</f>
        <v>38690954.712871313</v>
      </c>
      <c r="BF53" s="48">
        <f>AD53+SUM($AM53:AR53)</f>
        <v>38292078.891089141</v>
      </c>
      <c r="BG53" s="48">
        <f>AE53+SUM($AM53:AS53)</f>
        <v>37893203.06930697</v>
      </c>
      <c r="BH53" s="48">
        <f>AF53+SUM($AM53:AT53)</f>
        <v>37494327.247524798</v>
      </c>
      <c r="BI53" s="48">
        <f>AG53+SUM($AM53:AU53)</f>
        <v>37095451.425742626</v>
      </c>
      <c r="BJ53" s="48">
        <f>AH53+SUM($AM53:AV53)</f>
        <v>36696575.603960454</v>
      </c>
      <c r="BK53" s="48">
        <f>AI53+SUM($AM53:AW53)</f>
        <v>36297699.782178283</v>
      </c>
      <c r="BL53" s="48">
        <f>AJ53+SUM($AM53:AX53)</f>
        <v>35898823.960396111</v>
      </c>
      <c r="BM53" s="48">
        <f>AK53+SUM($AM53:AY53)</f>
        <v>35499948.138613939</v>
      </c>
      <c r="BO53" s="47"/>
    </row>
    <row r="54" spans="3:67" s="41" customFormat="1" hidden="1" x14ac:dyDescent="0.3">
      <c r="C54" s="41" t="s">
        <v>1340</v>
      </c>
      <c r="D54" s="42" t="s">
        <v>337</v>
      </c>
      <c r="E54" s="42" t="str">
        <f t="shared" si="1"/>
        <v>211</v>
      </c>
      <c r="F54" s="41" t="str">
        <f>_xlfn.XLOOKUP($D54,MD_Account_Asset_Type[Nhóm tài sản],MD_Account_Asset_Type[Tên Nhóm tài sản])</f>
        <v>Máy móc, thiết bị phụ - SX 627</v>
      </c>
      <c r="G54" s="41" t="str">
        <f>_xlfn.XLOOKUP($D54,MD_Account_Asset_Type[Nhóm tài sản],MD_Account_Asset_Type[Tên nhóm TS-Rút gọn])</f>
        <v>Máy móc thiết bị</v>
      </c>
      <c r="H54" s="41" t="str">
        <f>_xlfn.XLOOKUP($D54,MD_Account_Asset_Type[Nhóm tài sản],MD_Account_Asset_Type[Tên nhóm TS-Rút gọn-v2])</f>
        <v>Máy móc thiết bị</v>
      </c>
      <c r="I54" s="43" t="s">
        <v>979</v>
      </c>
      <c r="J54" s="42" t="s">
        <v>546</v>
      </c>
      <c r="K54" s="41" t="s">
        <v>830</v>
      </c>
      <c r="L54" s="42" t="s">
        <v>46</v>
      </c>
      <c r="M54" s="42" t="s">
        <v>121</v>
      </c>
      <c r="N54" s="44">
        <v>0</v>
      </c>
      <c r="O54" s="44"/>
      <c r="P54" s="41" t="s">
        <v>461</v>
      </c>
      <c r="Q54" s="41" t="str">
        <f t="shared" si="2"/>
        <v>627</v>
      </c>
      <c r="R54" s="41" t="str">
        <f>_xlfn.XLOOKUP($L54,MD_Cost_Center[Mã Cost Center],MD_Cost_Center[Ngành])</f>
        <v>Chung</v>
      </c>
      <c r="S54" s="41" t="str">
        <f>_xlfn.XLOOKUP($L54,MD_Cost_Center[Mã Cost Center],MD_Cost_Center[Ngành-Tách PET-Xơ sợi])</f>
        <v>Chung</v>
      </c>
      <c r="T54" s="45">
        <v>44813</v>
      </c>
      <c r="U54" s="46">
        <v>46639</v>
      </c>
      <c r="V54" s="47">
        <v>144</v>
      </c>
      <c r="W54" s="47">
        <v>60000000</v>
      </c>
      <c r="X54" s="47">
        <v>-192307.69230769231</v>
      </c>
      <c r="Y54" s="47">
        <v>60000000</v>
      </c>
      <c r="Z54" s="47">
        <v>60000000</v>
      </c>
      <c r="AA54" s="47">
        <v>60000000</v>
      </c>
      <c r="AB54" s="47">
        <v>60000000</v>
      </c>
      <c r="AC54" s="47">
        <v>60000000</v>
      </c>
      <c r="AD54" s="47">
        <v>60000000</v>
      </c>
      <c r="AE54" s="47">
        <v>60000000</v>
      </c>
      <c r="AF54" s="47">
        <v>60000000</v>
      </c>
      <c r="AG54" s="47">
        <v>60000000</v>
      </c>
      <c r="AH54" s="47">
        <v>60000000</v>
      </c>
      <c r="AI54" s="47">
        <v>60000000</v>
      </c>
      <c r="AJ54" s="47">
        <v>60000000</v>
      </c>
      <c r="AK54" s="47">
        <v>60000000</v>
      </c>
      <c r="AL54" s="47">
        <v>-12000000</v>
      </c>
      <c r="AM54" s="47">
        <v>-40000000</v>
      </c>
      <c r="AN54" s="47">
        <v>-192307.69230769231</v>
      </c>
      <c r="AO54" s="47">
        <v>-192307.69230769231</v>
      </c>
      <c r="AP54" s="47">
        <v>-192307.69230769231</v>
      </c>
      <c r="AQ54" s="47">
        <v>-192307.69230769231</v>
      </c>
      <c r="AR54" s="47">
        <v>-192307.69230769231</v>
      </c>
      <c r="AS54" s="47">
        <v>-192307.69230769231</v>
      </c>
      <c r="AT54" s="47">
        <v>-192307.69230769231</v>
      </c>
      <c r="AU54" s="47">
        <v>-192307.69230769231</v>
      </c>
      <c r="AV54" s="47">
        <v>-192307.69230769231</v>
      </c>
      <c r="AW54" s="47">
        <v>-192307.69230769231</v>
      </c>
      <c r="AX54" s="47">
        <v>-192307.69230769231</v>
      </c>
      <c r="AY54" s="47">
        <v>-192307.69230769231</v>
      </c>
      <c r="AZ54" s="58">
        <f t="shared" si="3"/>
        <v>-2307692.3076923075</v>
      </c>
      <c r="BA54" s="47">
        <f>Y54+SUM($AM54:AM54)</f>
        <v>20000000</v>
      </c>
      <c r="BB54" s="48">
        <f>Z54+SUM($AM54:AN54)</f>
        <v>19807692.307692304</v>
      </c>
      <c r="BC54" s="48">
        <f>AA54+SUM($AM54:AO54)</f>
        <v>19615384.615384609</v>
      </c>
      <c r="BD54" s="48">
        <f>AB54+SUM($AM54:AP54)</f>
        <v>19423076.923076913</v>
      </c>
      <c r="BE54" s="48">
        <f>AC54+SUM($AM54:AQ54)</f>
        <v>19230769.230769217</v>
      </c>
      <c r="BF54" s="48">
        <f>AD54+SUM($AM54:AR54)</f>
        <v>19038461.538461521</v>
      </c>
      <c r="BG54" s="48">
        <f>AE54+SUM($AM54:AS54)</f>
        <v>18846153.846153826</v>
      </c>
      <c r="BH54" s="48">
        <f>AF54+SUM($AM54:AT54)</f>
        <v>18653846.15384613</v>
      </c>
      <c r="BI54" s="48">
        <f>AG54+SUM($AM54:AU54)</f>
        <v>18461538.461538434</v>
      </c>
      <c r="BJ54" s="48">
        <f>AH54+SUM($AM54:AV54)</f>
        <v>18269230.769230738</v>
      </c>
      <c r="BK54" s="48">
        <f>AI54+SUM($AM54:AW54)</f>
        <v>18076923.076923043</v>
      </c>
      <c r="BL54" s="48">
        <f>AJ54+SUM($AM54:AX54)</f>
        <v>17884615.384615347</v>
      </c>
      <c r="BM54" s="48">
        <f>AK54+SUM($AM54:AY54)</f>
        <v>17692307.692307651</v>
      </c>
      <c r="BO54" s="47"/>
    </row>
    <row r="55" spans="3:67" s="41" customFormat="1" hidden="1" x14ac:dyDescent="0.3">
      <c r="C55" s="41" t="s">
        <v>1340</v>
      </c>
      <c r="D55" s="42" t="s">
        <v>337</v>
      </c>
      <c r="E55" s="42" t="str">
        <f t="shared" si="1"/>
        <v>211</v>
      </c>
      <c r="F55" s="41" t="str">
        <f>_xlfn.XLOOKUP($D55,MD_Account_Asset_Type[Nhóm tài sản],MD_Account_Asset_Type[Tên Nhóm tài sản])</f>
        <v>Máy móc, thiết bị phụ - SX 627</v>
      </c>
      <c r="G55" s="41" t="str">
        <f>_xlfn.XLOOKUP($D55,MD_Account_Asset_Type[Nhóm tài sản],MD_Account_Asset_Type[Tên nhóm TS-Rút gọn])</f>
        <v>Máy móc thiết bị</v>
      </c>
      <c r="H55" s="41" t="str">
        <f>_xlfn.XLOOKUP($D55,MD_Account_Asset_Type[Nhóm tài sản],MD_Account_Asset_Type[Tên nhóm TS-Rút gọn-v2])</f>
        <v>Máy móc thiết bị</v>
      </c>
      <c r="I55" s="43" t="s">
        <v>982</v>
      </c>
      <c r="J55" s="42" t="s">
        <v>547</v>
      </c>
      <c r="K55" s="41" t="s">
        <v>830</v>
      </c>
      <c r="L55" s="42" t="s">
        <v>46</v>
      </c>
      <c r="M55" s="42" t="s">
        <v>121</v>
      </c>
      <c r="N55" s="44">
        <v>0</v>
      </c>
      <c r="O55" s="44"/>
      <c r="P55" s="41" t="s">
        <v>461</v>
      </c>
      <c r="Q55" s="41" t="str">
        <f t="shared" si="2"/>
        <v>627</v>
      </c>
      <c r="R55" s="41" t="str">
        <f>_xlfn.XLOOKUP($L55,MD_Cost_Center[Mã Cost Center],MD_Cost_Center[Ngành])</f>
        <v>Chung</v>
      </c>
      <c r="S55" s="41" t="str">
        <f>_xlfn.XLOOKUP($L55,MD_Cost_Center[Mã Cost Center],MD_Cost_Center[Ngành-Tách PET-Xơ sợi])</f>
        <v>Chung</v>
      </c>
      <c r="T55" s="45">
        <v>44849</v>
      </c>
      <c r="U55" s="46">
        <v>46675</v>
      </c>
      <c r="V55" s="47">
        <v>144</v>
      </c>
      <c r="W55" s="47">
        <v>208589000</v>
      </c>
      <c r="X55" s="47">
        <v>-695296.66666666663</v>
      </c>
      <c r="Y55" s="47">
        <v>208589000</v>
      </c>
      <c r="Z55" s="47">
        <v>208589000</v>
      </c>
      <c r="AA55" s="47">
        <v>208589000</v>
      </c>
      <c r="AB55" s="47">
        <v>208589000</v>
      </c>
      <c r="AC55" s="47">
        <v>208589000</v>
      </c>
      <c r="AD55" s="47">
        <v>208589000</v>
      </c>
      <c r="AE55" s="47">
        <v>208589000</v>
      </c>
      <c r="AF55" s="47">
        <v>208589000</v>
      </c>
      <c r="AG55" s="47">
        <v>208589000</v>
      </c>
      <c r="AH55" s="47">
        <v>208589000</v>
      </c>
      <c r="AI55" s="47">
        <v>208589000</v>
      </c>
      <c r="AJ55" s="47">
        <v>208589000</v>
      </c>
      <c r="AK55" s="47">
        <v>208589000</v>
      </c>
      <c r="AL55" s="47">
        <v>-41717800</v>
      </c>
      <c r="AM55" s="47">
        <v>-135582850</v>
      </c>
      <c r="AN55" s="47">
        <v>-695296.66666666663</v>
      </c>
      <c r="AO55" s="47">
        <v>-695296.66666666663</v>
      </c>
      <c r="AP55" s="47">
        <v>-695296.66666666663</v>
      </c>
      <c r="AQ55" s="47">
        <v>-695296.66666666663</v>
      </c>
      <c r="AR55" s="47">
        <v>-695296.66666666663</v>
      </c>
      <c r="AS55" s="47">
        <v>-695296.66666666663</v>
      </c>
      <c r="AT55" s="47">
        <v>-695296.66666666663</v>
      </c>
      <c r="AU55" s="47">
        <v>-695296.66666666663</v>
      </c>
      <c r="AV55" s="47">
        <v>-695296.66666666663</v>
      </c>
      <c r="AW55" s="47">
        <v>-695296.66666666663</v>
      </c>
      <c r="AX55" s="47">
        <v>-695296.66666666663</v>
      </c>
      <c r="AY55" s="47">
        <v>-695296.66666666663</v>
      </c>
      <c r="AZ55" s="58">
        <f t="shared" si="3"/>
        <v>-8343560.0000000009</v>
      </c>
      <c r="BA55" s="47">
        <f>Y55+SUM($AM55:AM55)</f>
        <v>73006150</v>
      </c>
      <c r="BB55" s="48">
        <f>Z55+SUM($AM55:AN55)</f>
        <v>72310853.333333343</v>
      </c>
      <c r="BC55" s="48">
        <f>AA55+SUM($AM55:AO55)</f>
        <v>71615556.666666687</v>
      </c>
      <c r="BD55" s="48">
        <f>AB55+SUM($AM55:AP55)</f>
        <v>70920260.00000003</v>
      </c>
      <c r="BE55" s="48">
        <f>AC55+SUM($AM55:AQ55)</f>
        <v>70224963.333333373</v>
      </c>
      <c r="BF55" s="48">
        <f>AD55+SUM($AM55:AR55)</f>
        <v>69529666.666666716</v>
      </c>
      <c r="BG55" s="48">
        <f>AE55+SUM($AM55:AS55)</f>
        <v>68834370.00000006</v>
      </c>
      <c r="BH55" s="48">
        <f>AF55+SUM($AM55:AT55)</f>
        <v>68139073.333333403</v>
      </c>
      <c r="BI55" s="48">
        <f>AG55+SUM($AM55:AU55)</f>
        <v>67443776.666666746</v>
      </c>
      <c r="BJ55" s="48">
        <f>AH55+SUM($AM55:AV55)</f>
        <v>66748480.000000089</v>
      </c>
      <c r="BK55" s="48">
        <f>AI55+SUM($AM55:AW55)</f>
        <v>66053183.333333433</v>
      </c>
      <c r="BL55" s="48">
        <f>AJ55+SUM($AM55:AX55)</f>
        <v>65357886.666666776</v>
      </c>
      <c r="BM55" s="48">
        <f>AK55+SUM($AM55:AY55)</f>
        <v>64662590.000000119</v>
      </c>
      <c r="BO55" s="47"/>
    </row>
    <row r="56" spans="3:67" s="41" customFormat="1" hidden="1" x14ac:dyDescent="0.3">
      <c r="C56" s="41" t="s">
        <v>1340</v>
      </c>
      <c r="D56" s="42" t="s">
        <v>337</v>
      </c>
      <c r="E56" s="42" t="str">
        <f t="shared" si="1"/>
        <v>211</v>
      </c>
      <c r="F56" s="41" t="str">
        <f>_xlfn.XLOOKUP($D56,MD_Account_Asset_Type[Nhóm tài sản],MD_Account_Asset_Type[Tên Nhóm tài sản])</f>
        <v>Máy móc, thiết bị phụ - SX 627</v>
      </c>
      <c r="G56" s="41" t="str">
        <f>_xlfn.XLOOKUP($D56,MD_Account_Asset_Type[Nhóm tài sản],MD_Account_Asset_Type[Tên nhóm TS-Rút gọn])</f>
        <v>Máy móc thiết bị</v>
      </c>
      <c r="H56" s="41" t="str">
        <f>_xlfn.XLOOKUP($D56,MD_Account_Asset_Type[Nhóm tài sản],MD_Account_Asset_Type[Tên nhóm TS-Rút gọn-v2])</f>
        <v>Máy móc thiết bị</v>
      </c>
      <c r="I56" s="43" t="s">
        <v>983</v>
      </c>
      <c r="J56" s="42" t="s">
        <v>548</v>
      </c>
      <c r="K56" s="41" t="s">
        <v>830</v>
      </c>
      <c r="L56" s="42" t="s">
        <v>46</v>
      </c>
      <c r="M56" s="42" t="s">
        <v>121</v>
      </c>
      <c r="N56" s="44">
        <v>0</v>
      </c>
      <c r="O56" s="44"/>
      <c r="P56" s="41" t="s">
        <v>461</v>
      </c>
      <c r="Q56" s="41" t="str">
        <f t="shared" si="2"/>
        <v>627</v>
      </c>
      <c r="R56" s="41" t="str">
        <f>_xlfn.XLOOKUP($L56,MD_Cost_Center[Mã Cost Center],MD_Cost_Center[Ngành])</f>
        <v>Chung</v>
      </c>
      <c r="S56" s="41" t="str">
        <f>_xlfn.XLOOKUP($L56,MD_Cost_Center[Mã Cost Center],MD_Cost_Center[Ngành-Tách PET-Xơ sợi])</f>
        <v>Chung</v>
      </c>
      <c r="T56" s="45">
        <v>44835</v>
      </c>
      <c r="U56" s="46">
        <v>46661</v>
      </c>
      <c r="V56" s="47">
        <v>144</v>
      </c>
      <c r="W56" s="47">
        <v>34500000</v>
      </c>
      <c r="X56" s="47">
        <v>-115000</v>
      </c>
      <c r="Y56" s="47">
        <v>34500000</v>
      </c>
      <c r="Z56" s="47">
        <v>34500000</v>
      </c>
      <c r="AA56" s="47">
        <v>34500000</v>
      </c>
      <c r="AB56" s="47">
        <v>34500000</v>
      </c>
      <c r="AC56" s="47">
        <v>34500000</v>
      </c>
      <c r="AD56" s="47">
        <v>34500000</v>
      </c>
      <c r="AE56" s="47">
        <v>34500000</v>
      </c>
      <c r="AF56" s="47">
        <v>34500000</v>
      </c>
      <c r="AG56" s="47">
        <v>34500000</v>
      </c>
      <c r="AH56" s="47">
        <v>34500000</v>
      </c>
      <c r="AI56" s="47">
        <v>34500000</v>
      </c>
      <c r="AJ56" s="47">
        <v>34500000</v>
      </c>
      <c r="AK56" s="47">
        <v>34500000</v>
      </c>
      <c r="AL56" s="47">
        <v>-6900000</v>
      </c>
      <c r="AM56" s="47">
        <v>-22425000</v>
      </c>
      <c r="AN56" s="47">
        <v>-115000</v>
      </c>
      <c r="AO56" s="47">
        <v>-115000</v>
      </c>
      <c r="AP56" s="47">
        <v>-115000</v>
      </c>
      <c r="AQ56" s="47">
        <v>-115000</v>
      </c>
      <c r="AR56" s="47">
        <v>-115000</v>
      </c>
      <c r="AS56" s="47">
        <v>-115000</v>
      </c>
      <c r="AT56" s="47">
        <v>-115000</v>
      </c>
      <c r="AU56" s="47">
        <v>-115000</v>
      </c>
      <c r="AV56" s="47">
        <v>-115000</v>
      </c>
      <c r="AW56" s="47">
        <v>-115000</v>
      </c>
      <c r="AX56" s="47">
        <v>-115000</v>
      </c>
      <c r="AY56" s="47">
        <v>-115000</v>
      </c>
      <c r="AZ56" s="58">
        <f t="shared" si="3"/>
        <v>-1380000</v>
      </c>
      <c r="BA56" s="47">
        <f>Y56+SUM($AM56:AM56)</f>
        <v>12075000</v>
      </c>
      <c r="BB56" s="48">
        <f>Z56+SUM($AM56:AN56)</f>
        <v>11960000</v>
      </c>
      <c r="BC56" s="48">
        <f>AA56+SUM($AM56:AO56)</f>
        <v>11845000</v>
      </c>
      <c r="BD56" s="48">
        <f>AB56+SUM($AM56:AP56)</f>
        <v>11730000</v>
      </c>
      <c r="BE56" s="48">
        <f>AC56+SUM($AM56:AQ56)</f>
        <v>11615000</v>
      </c>
      <c r="BF56" s="48">
        <f>AD56+SUM($AM56:AR56)</f>
        <v>11500000</v>
      </c>
      <c r="BG56" s="48">
        <f>AE56+SUM($AM56:AS56)</f>
        <v>11385000</v>
      </c>
      <c r="BH56" s="48">
        <f>AF56+SUM($AM56:AT56)</f>
        <v>11270000</v>
      </c>
      <c r="BI56" s="48">
        <f>AG56+SUM($AM56:AU56)</f>
        <v>11155000</v>
      </c>
      <c r="BJ56" s="48">
        <f>AH56+SUM($AM56:AV56)</f>
        <v>11040000</v>
      </c>
      <c r="BK56" s="48">
        <f>AI56+SUM($AM56:AW56)</f>
        <v>10925000</v>
      </c>
      <c r="BL56" s="48">
        <f>AJ56+SUM($AM56:AX56)</f>
        <v>10810000</v>
      </c>
      <c r="BM56" s="48">
        <f>AK56+SUM($AM56:AY56)</f>
        <v>10695000</v>
      </c>
      <c r="BO56" s="47"/>
    </row>
    <row r="57" spans="3:67" s="41" customFormat="1" hidden="1" x14ac:dyDescent="0.3">
      <c r="C57" s="41" t="s">
        <v>1340</v>
      </c>
      <c r="D57" s="42" t="s">
        <v>337</v>
      </c>
      <c r="E57" s="42" t="str">
        <f t="shared" si="1"/>
        <v>211</v>
      </c>
      <c r="F57" s="41" t="str">
        <f>_xlfn.XLOOKUP($D57,MD_Account_Asset_Type[Nhóm tài sản],MD_Account_Asset_Type[Tên Nhóm tài sản])</f>
        <v>Máy móc, thiết bị phụ - SX 627</v>
      </c>
      <c r="G57" s="41" t="str">
        <f>_xlfn.XLOOKUP($D57,MD_Account_Asset_Type[Nhóm tài sản],MD_Account_Asset_Type[Tên nhóm TS-Rút gọn])</f>
        <v>Máy móc thiết bị</v>
      </c>
      <c r="H57" s="41" t="str">
        <f>_xlfn.XLOOKUP($D57,MD_Account_Asset_Type[Nhóm tài sản],MD_Account_Asset_Type[Tên nhóm TS-Rút gọn-v2])</f>
        <v>Máy móc thiết bị</v>
      </c>
      <c r="I57" s="43" t="s">
        <v>984</v>
      </c>
      <c r="J57" s="42" t="s">
        <v>549</v>
      </c>
      <c r="K57" s="41" t="s">
        <v>830</v>
      </c>
      <c r="L57" s="42" t="s">
        <v>48</v>
      </c>
      <c r="M57" s="42" t="s">
        <v>123</v>
      </c>
      <c r="N57" s="44">
        <v>0</v>
      </c>
      <c r="O57" s="44"/>
      <c r="P57" s="41" t="s">
        <v>461</v>
      </c>
      <c r="Q57" s="41" t="str">
        <f t="shared" si="2"/>
        <v>627</v>
      </c>
      <c r="R57" s="41" t="str">
        <f>_xlfn.XLOOKUP($L57,MD_Cost_Center[Mã Cost Center],MD_Cost_Center[Ngành])</f>
        <v>PET</v>
      </c>
      <c r="S57" s="41" t="str">
        <f>_xlfn.XLOOKUP($L57,MD_Cost_Center[Mã Cost Center],MD_Cost_Center[Ngành-Tách PET-Xơ sợi])</f>
        <v>Chung-PET</v>
      </c>
      <c r="T57" s="45">
        <v>44896</v>
      </c>
      <c r="U57" s="46">
        <v>46722</v>
      </c>
      <c r="V57" s="47">
        <v>144</v>
      </c>
      <c r="W57" s="47">
        <v>1067096720</v>
      </c>
      <c r="X57" s="47">
        <v>-3822932.1775700934</v>
      </c>
      <c r="Y57" s="47">
        <v>1067096720</v>
      </c>
      <c r="Z57" s="47">
        <v>1067096720</v>
      </c>
      <c r="AA57" s="47">
        <v>1067096720</v>
      </c>
      <c r="AB57" s="47">
        <v>1067096720</v>
      </c>
      <c r="AC57" s="47">
        <v>1067096720</v>
      </c>
      <c r="AD57" s="47">
        <v>1067096720</v>
      </c>
      <c r="AE57" s="47">
        <v>1067096720</v>
      </c>
      <c r="AF57" s="47">
        <v>1067096720</v>
      </c>
      <c r="AG57" s="47">
        <v>1067096720</v>
      </c>
      <c r="AH57" s="47">
        <v>1067096720</v>
      </c>
      <c r="AI57" s="47">
        <v>1067096720</v>
      </c>
      <c r="AJ57" s="47">
        <v>1067096720</v>
      </c>
      <c r="AK57" s="47">
        <v>1067096720</v>
      </c>
      <c r="AL57" s="47">
        <v>-213419344</v>
      </c>
      <c r="AM57" s="47">
        <v>-658042977</v>
      </c>
      <c r="AN57" s="47">
        <v>-3822932.1775700934</v>
      </c>
      <c r="AO57" s="47">
        <v>-3822932.1775700934</v>
      </c>
      <c r="AP57" s="47">
        <v>-3822932.1775700934</v>
      </c>
      <c r="AQ57" s="47">
        <v>-3822932.1775700934</v>
      </c>
      <c r="AR57" s="47">
        <v>-3822932.1775700934</v>
      </c>
      <c r="AS57" s="47">
        <v>-3822932.1775700934</v>
      </c>
      <c r="AT57" s="47">
        <v>-3822932.1775700934</v>
      </c>
      <c r="AU57" s="47">
        <v>-3822932.1775700934</v>
      </c>
      <c r="AV57" s="47">
        <v>-3822932.1775700934</v>
      </c>
      <c r="AW57" s="47">
        <v>-3822932.1775700934</v>
      </c>
      <c r="AX57" s="47">
        <v>-3822932.1775700934</v>
      </c>
      <c r="AY57" s="47">
        <v>-3822932.1775700934</v>
      </c>
      <c r="AZ57" s="58">
        <f t="shared" si="3"/>
        <v>-45875186.130841106</v>
      </c>
      <c r="BA57" s="47">
        <f>Y57+SUM($AM57:AM57)</f>
        <v>409053743</v>
      </c>
      <c r="BB57" s="48">
        <f>Z57+SUM($AM57:AN57)</f>
        <v>405230810.8224299</v>
      </c>
      <c r="BC57" s="48">
        <f>AA57+SUM($AM57:AO57)</f>
        <v>401407878.64485979</v>
      </c>
      <c r="BD57" s="48">
        <f>AB57+SUM($AM57:AP57)</f>
        <v>397584946.46728969</v>
      </c>
      <c r="BE57" s="48">
        <f>AC57+SUM($AM57:AQ57)</f>
        <v>393762014.28971958</v>
      </c>
      <c r="BF57" s="48">
        <f>AD57+SUM($AM57:AR57)</f>
        <v>389939082.11214948</v>
      </c>
      <c r="BG57" s="48">
        <f>AE57+SUM($AM57:AS57)</f>
        <v>386116149.93457937</v>
      </c>
      <c r="BH57" s="48">
        <f>AF57+SUM($AM57:AT57)</f>
        <v>382293217.75700927</v>
      </c>
      <c r="BI57" s="48">
        <f>AG57+SUM($AM57:AU57)</f>
        <v>378470285.57943916</v>
      </c>
      <c r="BJ57" s="48">
        <f>AH57+SUM($AM57:AV57)</f>
        <v>374647353.40186906</v>
      </c>
      <c r="BK57" s="48">
        <f>AI57+SUM($AM57:AW57)</f>
        <v>370824421.22429895</v>
      </c>
      <c r="BL57" s="48">
        <f>AJ57+SUM($AM57:AX57)</f>
        <v>367001489.04672885</v>
      </c>
      <c r="BM57" s="48">
        <f>AK57+SUM($AM57:AY57)</f>
        <v>363178556.86915874</v>
      </c>
      <c r="BO57" s="47"/>
    </row>
    <row r="58" spans="3:67" s="41" customFormat="1" hidden="1" x14ac:dyDescent="0.3">
      <c r="C58" s="41" t="s">
        <v>1340</v>
      </c>
      <c r="D58" s="42" t="s">
        <v>337</v>
      </c>
      <c r="E58" s="42" t="str">
        <f t="shared" si="1"/>
        <v>211</v>
      </c>
      <c r="F58" s="41" t="str">
        <f>_xlfn.XLOOKUP($D58,MD_Account_Asset_Type[Nhóm tài sản],MD_Account_Asset_Type[Tên Nhóm tài sản])</f>
        <v>Máy móc, thiết bị phụ - SX 627</v>
      </c>
      <c r="G58" s="41" t="str">
        <f>_xlfn.XLOOKUP($D58,MD_Account_Asset_Type[Nhóm tài sản],MD_Account_Asset_Type[Tên nhóm TS-Rút gọn])</f>
        <v>Máy móc thiết bị</v>
      </c>
      <c r="H58" s="41" t="str">
        <f>_xlfn.XLOOKUP($D58,MD_Account_Asset_Type[Nhóm tài sản],MD_Account_Asset_Type[Tên nhóm TS-Rút gọn-v2])</f>
        <v>Máy móc thiết bị</v>
      </c>
      <c r="I58" s="43" t="s">
        <v>985</v>
      </c>
      <c r="J58" s="42" t="s">
        <v>550</v>
      </c>
      <c r="K58" s="41" t="s">
        <v>830</v>
      </c>
      <c r="L58" s="42" t="s">
        <v>46</v>
      </c>
      <c r="M58" s="42" t="s">
        <v>121</v>
      </c>
      <c r="N58" s="44">
        <v>0</v>
      </c>
      <c r="O58" s="44"/>
      <c r="P58" s="41" t="s">
        <v>461</v>
      </c>
      <c r="Q58" s="41" t="str">
        <f t="shared" si="2"/>
        <v>627</v>
      </c>
      <c r="R58" s="41" t="str">
        <f>_xlfn.XLOOKUP($L58,MD_Cost_Center[Mã Cost Center],MD_Cost_Center[Ngành])</f>
        <v>Chung</v>
      </c>
      <c r="S58" s="41" t="str">
        <f>_xlfn.XLOOKUP($L58,MD_Cost_Center[Mã Cost Center],MD_Cost_Center[Ngành-Tách PET-Xơ sợi])</f>
        <v>Chung</v>
      </c>
      <c r="T58" s="45">
        <v>44896</v>
      </c>
      <c r="U58" s="46">
        <v>45992</v>
      </c>
      <c r="V58" s="47">
        <v>144</v>
      </c>
      <c r="W58" s="47">
        <v>79000000</v>
      </c>
      <c r="X58" s="47">
        <v>0</v>
      </c>
      <c r="Y58" s="47">
        <v>79000000</v>
      </c>
      <c r="Z58" s="47">
        <v>79000000</v>
      </c>
      <c r="AA58" s="47">
        <v>79000000</v>
      </c>
      <c r="AB58" s="47">
        <v>79000000</v>
      </c>
      <c r="AC58" s="47">
        <v>79000000</v>
      </c>
      <c r="AD58" s="47">
        <v>79000000</v>
      </c>
      <c r="AE58" s="47">
        <v>79000000</v>
      </c>
      <c r="AF58" s="47">
        <v>79000000</v>
      </c>
      <c r="AG58" s="47">
        <v>79000000</v>
      </c>
      <c r="AH58" s="47">
        <v>79000000</v>
      </c>
      <c r="AI58" s="47">
        <v>79000000</v>
      </c>
      <c r="AJ58" s="47">
        <v>79000000</v>
      </c>
      <c r="AK58" s="47">
        <v>79000000</v>
      </c>
      <c r="AL58" s="47">
        <v>-24138889</v>
      </c>
      <c r="AM58" s="47">
        <v>-79000000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58">
        <f t="shared" si="3"/>
        <v>0</v>
      </c>
      <c r="BA58" s="47">
        <f>Y58+SUM($AM58:AM58)</f>
        <v>0</v>
      </c>
      <c r="BB58" s="48">
        <f>Z58+SUM($AM58:AN58)</f>
        <v>0</v>
      </c>
      <c r="BC58" s="48">
        <f>AA58+SUM($AM58:AO58)</f>
        <v>0</v>
      </c>
      <c r="BD58" s="48">
        <f>AB58+SUM($AM58:AP58)</f>
        <v>0</v>
      </c>
      <c r="BE58" s="48">
        <f>AC58+SUM($AM58:AQ58)</f>
        <v>0</v>
      </c>
      <c r="BF58" s="48">
        <f>AD58+SUM($AM58:AR58)</f>
        <v>0</v>
      </c>
      <c r="BG58" s="48">
        <f>AE58+SUM($AM58:AS58)</f>
        <v>0</v>
      </c>
      <c r="BH58" s="48">
        <f>AF58+SUM($AM58:AT58)</f>
        <v>0</v>
      </c>
      <c r="BI58" s="48">
        <f>AG58+SUM($AM58:AU58)</f>
        <v>0</v>
      </c>
      <c r="BJ58" s="48">
        <f>AH58+SUM($AM58:AV58)</f>
        <v>0</v>
      </c>
      <c r="BK58" s="48">
        <f>AI58+SUM($AM58:AW58)</f>
        <v>0</v>
      </c>
      <c r="BL58" s="48">
        <f>AJ58+SUM($AM58:AX58)</f>
        <v>0</v>
      </c>
      <c r="BM58" s="48">
        <f>AK58+SUM($AM58:AY58)</f>
        <v>0</v>
      </c>
      <c r="BO58" s="47"/>
    </row>
    <row r="59" spans="3:67" s="41" customFormat="1" hidden="1" x14ac:dyDescent="0.3">
      <c r="C59" s="41" t="s">
        <v>1340</v>
      </c>
      <c r="D59" s="42" t="s">
        <v>337</v>
      </c>
      <c r="E59" s="42" t="str">
        <f t="shared" si="1"/>
        <v>211</v>
      </c>
      <c r="F59" s="41" t="str">
        <f>_xlfn.XLOOKUP($D59,MD_Account_Asset_Type[Nhóm tài sản],MD_Account_Asset_Type[Tên Nhóm tài sản])</f>
        <v>Máy móc, thiết bị phụ - SX 627</v>
      </c>
      <c r="G59" s="41" t="str">
        <f>_xlfn.XLOOKUP($D59,MD_Account_Asset_Type[Nhóm tài sản],MD_Account_Asset_Type[Tên nhóm TS-Rút gọn])</f>
        <v>Máy móc thiết bị</v>
      </c>
      <c r="H59" s="41" t="str">
        <f>_xlfn.XLOOKUP($D59,MD_Account_Asset_Type[Nhóm tài sản],MD_Account_Asset_Type[Tên nhóm TS-Rút gọn-v2])</f>
        <v>Máy móc thiết bị</v>
      </c>
      <c r="I59" s="43" t="s">
        <v>986</v>
      </c>
      <c r="J59" s="42" t="s">
        <v>551</v>
      </c>
      <c r="K59" s="41" t="s">
        <v>830</v>
      </c>
      <c r="L59" s="42" t="s">
        <v>46</v>
      </c>
      <c r="M59" s="42" t="s">
        <v>121</v>
      </c>
      <c r="N59" s="44">
        <v>0</v>
      </c>
      <c r="O59" s="44"/>
      <c r="P59" s="41" t="s">
        <v>461</v>
      </c>
      <c r="Q59" s="41" t="str">
        <f t="shared" si="2"/>
        <v>627</v>
      </c>
      <c r="R59" s="41" t="str">
        <f>_xlfn.XLOOKUP($L59,MD_Cost_Center[Mã Cost Center],MD_Cost_Center[Ngành])</f>
        <v>Chung</v>
      </c>
      <c r="S59" s="41" t="str">
        <f>_xlfn.XLOOKUP($L59,MD_Cost_Center[Mã Cost Center],MD_Cost_Center[Ngành-Tách PET-Xơ sợi])</f>
        <v>Chung</v>
      </c>
      <c r="T59" s="45">
        <v>44896</v>
      </c>
      <c r="U59" s="46">
        <v>45992</v>
      </c>
      <c r="V59" s="47">
        <v>144</v>
      </c>
      <c r="W59" s="47">
        <v>107800000</v>
      </c>
      <c r="X59" s="47">
        <v>0</v>
      </c>
      <c r="Y59" s="47">
        <v>107800000</v>
      </c>
      <c r="Z59" s="47">
        <v>107800000</v>
      </c>
      <c r="AA59" s="47">
        <v>107800000</v>
      </c>
      <c r="AB59" s="47">
        <v>107800000</v>
      </c>
      <c r="AC59" s="47">
        <v>107800000</v>
      </c>
      <c r="AD59" s="47">
        <v>107800000</v>
      </c>
      <c r="AE59" s="47">
        <v>107800000</v>
      </c>
      <c r="AF59" s="47">
        <v>107800000</v>
      </c>
      <c r="AG59" s="47">
        <v>107800000</v>
      </c>
      <c r="AH59" s="47">
        <v>107800000</v>
      </c>
      <c r="AI59" s="47">
        <v>107800000</v>
      </c>
      <c r="AJ59" s="47">
        <v>107800000</v>
      </c>
      <c r="AK59" s="47">
        <v>107800000</v>
      </c>
      <c r="AL59" s="47">
        <v>-32938889</v>
      </c>
      <c r="AM59" s="47">
        <v>-107800000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58">
        <f t="shared" si="3"/>
        <v>0</v>
      </c>
      <c r="BA59" s="47">
        <f>Y59+SUM($AM59:AM59)</f>
        <v>0</v>
      </c>
      <c r="BB59" s="48">
        <f>Z59+SUM($AM59:AN59)</f>
        <v>0</v>
      </c>
      <c r="BC59" s="48">
        <f>AA59+SUM($AM59:AO59)</f>
        <v>0</v>
      </c>
      <c r="BD59" s="48">
        <f>AB59+SUM($AM59:AP59)</f>
        <v>0</v>
      </c>
      <c r="BE59" s="48">
        <f>AC59+SUM($AM59:AQ59)</f>
        <v>0</v>
      </c>
      <c r="BF59" s="48">
        <f>AD59+SUM($AM59:AR59)</f>
        <v>0</v>
      </c>
      <c r="BG59" s="48">
        <f>AE59+SUM($AM59:AS59)</f>
        <v>0</v>
      </c>
      <c r="BH59" s="48">
        <f>AF59+SUM($AM59:AT59)</f>
        <v>0</v>
      </c>
      <c r="BI59" s="48">
        <f>AG59+SUM($AM59:AU59)</f>
        <v>0</v>
      </c>
      <c r="BJ59" s="48">
        <f>AH59+SUM($AM59:AV59)</f>
        <v>0</v>
      </c>
      <c r="BK59" s="48">
        <f>AI59+SUM($AM59:AW59)</f>
        <v>0</v>
      </c>
      <c r="BL59" s="48">
        <f>AJ59+SUM($AM59:AX59)</f>
        <v>0</v>
      </c>
      <c r="BM59" s="48">
        <f>AK59+SUM($AM59:AY59)</f>
        <v>0</v>
      </c>
      <c r="BO59" s="47"/>
    </row>
    <row r="60" spans="3:67" s="41" customFormat="1" hidden="1" x14ac:dyDescent="0.3">
      <c r="C60" s="41" t="s">
        <v>1340</v>
      </c>
      <c r="D60" s="42" t="s">
        <v>337</v>
      </c>
      <c r="E60" s="42" t="str">
        <f t="shared" si="1"/>
        <v>211</v>
      </c>
      <c r="F60" s="41" t="str">
        <f>_xlfn.XLOOKUP($D60,MD_Account_Asset_Type[Nhóm tài sản],MD_Account_Asset_Type[Tên Nhóm tài sản])</f>
        <v>Máy móc, thiết bị phụ - SX 627</v>
      </c>
      <c r="G60" s="41" t="str">
        <f>_xlfn.XLOOKUP($D60,MD_Account_Asset_Type[Nhóm tài sản],MD_Account_Asset_Type[Tên nhóm TS-Rút gọn])</f>
        <v>Máy móc thiết bị</v>
      </c>
      <c r="H60" s="41" t="str">
        <f>_xlfn.XLOOKUP($D60,MD_Account_Asset_Type[Nhóm tài sản],MD_Account_Asset_Type[Tên nhóm TS-Rút gọn-v2])</f>
        <v>Máy móc thiết bị</v>
      </c>
      <c r="I60" s="43" t="s">
        <v>987</v>
      </c>
      <c r="J60" s="42" t="s">
        <v>552</v>
      </c>
      <c r="K60" s="41" t="s">
        <v>830</v>
      </c>
      <c r="L60" s="42" t="s">
        <v>53</v>
      </c>
      <c r="M60" s="42" t="s">
        <v>128</v>
      </c>
      <c r="N60" s="44" t="s">
        <v>246</v>
      </c>
      <c r="O60" s="44"/>
      <c r="P60" s="41" t="s">
        <v>461</v>
      </c>
      <c r="Q60" s="41" t="str">
        <f t="shared" si="2"/>
        <v>627</v>
      </c>
      <c r="R60" s="41" t="str">
        <f>_xlfn.XLOOKUP($L60,MD_Cost_Center[Mã Cost Center],MD_Cost_Center[Ngành])</f>
        <v>HD/PP</v>
      </c>
      <c r="S60" s="41" t="str">
        <f>_xlfn.XLOOKUP($L60,MD_Cost_Center[Mã Cost Center],MD_Cost_Center[Ngành-Tách PET-Xơ sợi])</f>
        <v>HD/PP</v>
      </c>
      <c r="T60" s="45">
        <v>44896</v>
      </c>
      <c r="U60" s="46">
        <v>46722</v>
      </c>
      <c r="V60" s="47">
        <v>144</v>
      </c>
      <c r="W60" s="47">
        <v>168057600</v>
      </c>
      <c r="X60" s="47">
        <v>-602075.51401869161</v>
      </c>
      <c r="Y60" s="47">
        <v>168057600</v>
      </c>
      <c r="Z60" s="47">
        <v>168057600</v>
      </c>
      <c r="AA60" s="47">
        <v>168057600</v>
      </c>
      <c r="AB60" s="47">
        <v>168057600</v>
      </c>
      <c r="AC60" s="47">
        <v>168057600</v>
      </c>
      <c r="AD60" s="47">
        <v>168057600</v>
      </c>
      <c r="AE60" s="47">
        <v>168057600</v>
      </c>
      <c r="AF60" s="47">
        <v>168057600</v>
      </c>
      <c r="AG60" s="47">
        <v>168057600</v>
      </c>
      <c r="AH60" s="47">
        <v>168057600</v>
      </c>
      <c r="AI60" s="47">
        <v>168057600</v>
      </c>
      <c r="AJ60" s="47">
        <v>168057600</v>
      </c>
      <c r="AK60" s="47">
        <v>168057600</v>
      </c>
      <c r="AL60" s="47">
        <v>-33611520</v>
      </c>
      <c r="AM60" s="47">
        <v>-103635520</v>
      </c>
      <c r="AN60" s="47">
        <v>-602075.51401869161</v>
      </c>
      <c r="AO60" s="47">
        <v>-602075.51401869161</v>
      </c>
      <c r="AP60" s="47">
        <v>-602075.51401869161</v>
      </c>
      <c r="AQ60" s="47">
        <v>-602075.51401869161</v>
      </c>
      <c r="AR60" s="47">
        <v>-602075.51401869161</v>
      </c>
      <c r="AS60" s="47">
        <v>-602075.51401869161</v>
      </c>
      <c r="AT60" s="47">
        <v>-602075.51401869161</v>
      </c>
      <c r="AU60" s="47">
        <v>-602075.51401869161</v>
      </c>
      <c r="AV60" s="47">
        <v>-602075.51401869161</v>
      </c>
      <c r="AW60" s="47">
        <v>-602075.51401869161</v>
      </c>
      <c r="AX60" s="47">
        <v>-602075.51401869161</v>
      </c>
      <c r="AY60" s="47">
        <v>-602075.51401869161</v>
      </c>
      <c r="AZ60" s="58">
        <f t="shared" si="3"/>
        <v>-7224906.1682243012</v>
      </c>
      <c r="BA60" s="47">
        <f>Y60+SUM($AM60:AM60)</f>
        <v>64422080</v>
      </c>
      <c r="BB60" s="48">
        <f>Z60+SUM($AM60:AN60)</f>
        <v>63820004.485981315</v>
      </c>
      <c r="BC60" s="48">
        <f>AA60+SUM($AM60:AO60)</f>
        <v>63217928.971962631</v>
      </c>
      <c r="BD60" s="48">
        <f>AB60+SUM($AM60:AP60)</f>
        <v>62615853.457943946</v>
      </c>
      <c r="BE60" s="48">
        <f>AC60+SUM($AM60:AQ60)</f>
        <v>62013777.943925261</v>
      </c>
      <c r="BF60" s="48">
        <f>AD60+SUM($AM60:AR60)</f>
        <v>61411702.429906577</v>
      </c>
      <c r="BG60" s="48">
        <f>AE60+SUM($AM60:AS60)</f>
        <v>60809626.915887892</v>
      </c>
      <c r="BH60" s="48">
        <f>AF60+SUM($AM60:AT60)</f>
        <v>60207551.401869208</v>
      </c>
      <c r="BI60" s="48">
        <f>AG60+SUM($AM60:AU60)</f>
        <v>59605475.887850523</v>
      </c>
      <c r="BJ60" s="48">
        <f>AH60+SUM($AM60:AV60)</f>
        <v>59003400.373831838</v>
      </c>
      <c r="BK60" s="48">
        <f>AI60+SUM($AM60:AW60)</f>
        <v>58401324.859813154</v>
      </c>
      <c r="BL60" s="48">
        <f>AJ60+SUM($AM60:AX60)</f>
        <v>57799249.345794469</v>
      </c>
      <c r="BM60" s="48">
        <f>AK60+SUM($AM60:AY60)</f>
        <v>57197173.831775784</v>
      </c>
      <c r="BO60" s="47"/>
    </row>
    <row r="61" spans="3:67" s="41" customFormat="1" hidden="1" x14ac:dyDescent="0.3">
      <c r="C61" s="41" t="s">
        <v>1340</v>
      </c>
      <c r="D61" s="42" t="s">
        <v>337</v>
      </c>
      <c r="E61" s="42" t="str">
        <f t="shared" si="1"/>
        <v>211</v>
      </c>
      <c r="F61" s="41" t="str">
        <f>_xlfn.XLOOKUP($D61,MD_Account_Asset_Type[Nhóm tài sản],MD_Account_Asset_Type[Tên Nhóm tài sản])</f>
        <v>Máy móc, thiết bị phụ - SX 627</v>
      </c>
      <c r="G61" s="41" t="str">
        <f>_xlfn.XLOOKUP($D61,MD_Account_Asset_Type[Nhóm tài sản],MD_Account_Asset_Type[Tên nhóm TS-Rút gọn])</f>
        <v>Máy móc thiết bị</v>
      </c>
      <c r="H61" s="41" t="str">
        <f>_xlfn.XLOOKUP($D61,MD_Account_Asset_Type[Nhóm tài sản],MD_Account_Asset_Type[Tên nhóm TS-Rút gọn-v2])</f>
        <v>Máy móc thiết bị</v>
      </c>
      <c r="I61" s="43" t="s">
        <v>988</v>
      </c>
      <c r="J61" s="42" t="s">
        <v>553</v>
      </c>
      <c r="K61" s="41" t="s">
        <v>830</v>
      </c>
      <c r="L61" s="42" t="s">
        <v>59</v>
      </c>
      <c r="M61" s="42" t="s">
        <v>134</v>
      </c>
      <c r="N61" s="44" t="s">
        <v>252</v>
      </c>
      <c r="O61" s="44"/>
      <c r="P61" s="41" t="s">
        <v>461</v>
      </c>
      <c r="Q61" s="41" t="str">
        <f t="shared" si="2"/>
        <v>627</v>
      </c>
      <c r="R61" s="41" t="str">
        <f>_xlfn.XLOOKUP($L61,MD_Cost_Center[Mã Cost Center],MD_Cost_Center[Ngành])</f>
        <v>HD/PP</v>
      </c>
      <c r="S61" s="41" t="str">
        <f>_xlfn.XLOOKUP($L61,MD_Cost_Center[Mã Cost Center],MD_Cost_Center[Ngành-Tách PET-Xơ sợi])</f>
        <v>Chung-PET</v>
      </c>
      <c r="T61" s="45">
        <v>44896</v>
      </c>
      <c r="U61" s="46">
        <v>46722</v>
      </c>
      <c r="V61" s="47">
        <v>144</v>
      </c>
      <c r="W61" s="47">
        <v>168057600</v>
      </c>
      <c r="X61" s="47">
        <v>-602075.51401869161</v>
      </c>
      <c r="Y61" s="47">
        <v>168057600</v>
      </c>
      <c r="Z61" s="47">
        <v>168057600</v>
      </c>
      <c r="AA61" s="47">
        <v>168057600</v>
      </c>
      <c r="AB61" s="47">
        <v>168057600</v>
      </c>
      <c r="AC61" s="47">
        <v>168057600</v>
      </c>
      <c r="AD61" s="47">
        <v>168057600</v>
      </c>
      <c r="AE61" s="47">
        <v>168057600</v>
      </c>
      <c r="AF61" s="47">
        <v>168057600</v>
      </c>
      <c r="AG61" s="47">
        <v>168057600</v>
      </c>
      <c r="AH61" s="47">
        <v>168057600</v>
      </c>
      <c r="AI61" s="47">
        <v>168057600</v>
      </c>
      <c r="AJ61" s="47">
        <v>168057600</v>
      </c>
      <c r="AK61" s="47">
        <v>168057600</v>
      </c>
      <c r="AL61" s="47">
        <v>-33611520</v>
      </c>
      <c r="AM61" s="47">
        <v>-103635520</v>
      </c>
      <c r="AN61" s="47">
        <v>-602075.51401869161</v>
      </c>
      <c r="AO61" s="47">
        <v>-602075.51401869161</v>
      </c>
      <c r="AP61" s="47">
        <v>-602075.51401869161</v>
      </c>
      <c r="AQ61" s="47">
        <v>-602075.51401869161</v>
      </c>
      <c r="AR61" s="47">
        <v>-602075.51401869161</v>
      </c>
      <c r="AS61" s="47">
        <v>-602075.51401869161</v>
      </c>
      <c r="AT61" s="47">
        <v>-602075.51401869161</v>
      </c>
      <c r="AU61" s="47">
        <v>-602075.51401869161</v>
      </c>
      <c r="AV61" s="47">
        <v>-602075.51401869161</v>
      </c>
      <c r="AW61" s="47">
        <v>-602075.51401869161</v>
      </c>
      <c r="AX61" s="47">
        <v>-602075.51401869161</v>
      </c>
      <c r="AY61" s="47">
        <v>-602075.51401869161</v>
      </c>
      <c r="AZ61" s="58">
        <f t="shared" si="3"/>
        <v>-7224906.1682243012</v>
      </c>
      <c r="BA61" s="47">
        <f>Y61+SUM($AM61:AM61)</f>
        <v>64422080</v>
      </c>
      <c r="BB61" s="48">
        <f>Z61+SUM($AM61:AN61)</f>
        <v>63820004.485981315</v>
      </c>
      <c r="BC61" s="48">
        <f>AA61+SUM($AM61:AO61)</f>
        <v>63217928.971962631</v>
      </c>
      <c r="BD61" s="48">
        <f>AB61+SUM($AM61:AP61)</f>
        <v>62615853.457943946</v>
      </c>
      <c r="BE61" s="48">
        <f>AC61+SUM($AM61:AQ61)</f>
        <v>62013777.943925261</v>
      </c>
      <c r="BF61" s="48">
        <f>AD61+SUM($AM61:AR61)</f>
        <v>61411702.429906577</v>
      </c>
      <c r="BG61" s="48">
        <f>AE61+SUM($AM61:AS61)</f>
        <v>60809626.915887892</v>
      </c>
      <c r="BH61" s="48">
        <f>AF61+SUM($AM61:AT61)</f>
        <v>60207551.401869208</v>
      </c>
      <c r="BI61" s="48">
        <f>AG61+SUM($AM61:AU61)</f>
        <v>59605475.887850523</v>
      </c>
      <c r="BJ61" s="48">
        <f>AH61+SUM($AM61:AV61)</f>
        <v>59003400.373831838</v>
      </c>
      <c r="BK61" s="48">
        <f>AI61+SUM($AM61:AW61)</f>
        <v>58401324.859813154</v>
      </c>
      <c r="BL61" s="48">
        <f>AJ61+SUM($AM61:AX61)</f>
        <v>57799249.345794469</v>
      </c>
      <c r="BM61" s="48">
        <f>AK61+SUM($AM61:AY61)</f>
        <v>57197173.831775784</v>
      </c>
      <c r="BO61" s="47"/>
    </row>
    <row r="62" spans="3:67" s="41" customFormat="1" hidden="1" x14ac:dyDescent="0.3">
      <c r="C62" s="41" t="s">
        <v>1340</v>
      </c>
      <c r="D62" s="42" t="s">
        <v>337</v>
      </c>
      <c r="E62" s="42" t="str">
        <f t="shared" si="1"/>
        <v>211</v>
      </c>
      <c r="F62" s="41" t="str">
        <f>_xlfn.XLOOKUP($D62,MD_Account_Asset_Type[Nhóm tài sản],MD_Account_Asset_Type[Tên Nhóm tài sản])</f>
        <v>Máy móc, thiết bị phụ - SX 627</v>
      </c>
      <c r="G62" s="41" t="str">
        <f>_xlfn.XLOOKUP($D62,MD_Account_Asset_Type[Nhóm tài sản],MD_Account_Asset_Type[Tên nhóm TS-Rút gọn])</f>
        <v>Máy móc thiết bị</v>
      </c>
      <c r="H62" s="41" t="str">
        <f>_xlfn.XLOOKUP($D62,MD_Account_Asset_Type[Nhóm tài sản],MD_Account_Asset_Type[Tên nhóm TS-Rút gọn-v2])</f>
        <v>Máy móc thiết bị</v>
      </c>
      <c r="I62" s="43" t="s">
        <v>989</v>
      </c>
      <c r="J62" s="42" t="s">
        <v>554</v>
      </c>
      <c r="K62" s="41" t="s">
        <v>830</v>
      </c>
      <c r="L62" s="42" t="s">
        <v>62</v>
      </c>
      <c r="M62" s="42" t="s">
        <v>137</v>
      </c>
      <c r="N62" s="44" t="s">
        <v>255</v>
      </c>
      <c r="O62" s="44"/>
      <c r="P62" s="41" t="s">
        <v>461</v>
      </c>
      <c r="Q62" s="41" t="str">
        <f t="shared" si="2"/>
        <v>627</v>
      </c>
      <c r="R62" s="41" t="str">
        <f>_xlfn.XLOOKUP($L62,MD_Cost_Center[Mã Cost Center],MD_Cost_Center[Ngành])</f>
        <v>PET</v>
      </c>
      <c r="S62" s="41" t="str">
        <f>_xlfn.XLOOKUP($L62,MD_Cost_Center[Mã Cost Center],MD_Cost_Center[Ngành-Tách PET-Xơ sợi])</f>
        <v>PET</v>
      </c>
      <c r="T62" s="45">
        <v>44896</v>
      </c>
      <c r="U62" s="46">
        <v>46722</v>
      </c>
      <c r="V62" s="47">
        <v>144</v>
      </c>
      <c r="W62" s="47">
        <v>168057600</v>
      </c>
      <c r="X62" s="47">
        <v>-602075.51401869161</v>
      </c>
      <c r="Y62" s="47">
        <v>168057600</v>
      </c>
      <c r="Z62" s="47">
        <v>168057600</v>
      </c>
      <c r="AA62" s="47">
        <v>168057600</v>
      </c>
      <c r="AB62" s="47">
        <v>168057600</v>
      </c>
      <c r="AC62" s="47">
        <v>168057600</v>
      </c>
      <c r="AD62" s="47">
        <v>168057600</v>
      </c>
      <c r="AE62" s="47">
        <v>168057600</v>
      </c>
      <c r="AF62" s="47">
        <v>168057600</v>
      </c>
      <c r="AG62" s="47">
        <v>168057600</v>
      </c>
      <c r="AH62" s="47">
        <v>168057600</v>
      </c>
      <c r="AI62" s="47">
        <v>168057600</v>
      </c>
      <c r="AJ62" s="47">
        <v>168057600</v>
      </c>
      <c r="AK62" s="47">
        <v>168057600</v>
      </c>
      <c r="AL62" s="47">
        <v>-33611520</v>
      </c>
      <c r="AM62" s="47">
        <v>-103635520</v>
      </c>
      <c r="AN62" s="47">
        <v>-602075.51401869161</v>
      </c>
      <c r="AO62" s="47">
        <v>-602075.51401869161</v>
      </c>
      <c r="AP62" s="47">
        <v>-602075.51401869161</v>
      </c>
      <c r="AQ62" s="47">
        <v>-602075.51401869161</v>
      </c>
      <c r="AR62" s="47">
        <v>-602075.51401869161</v>
      </c>
      <c r="AS62" s="47">
        <v>-602075.51401869161</v>
      </c>
      <c r="AT62" s="47">
        <v>-602075.51401869161</v>
      </c>
      <c r="AU62" s="47">
        <v>-602075.51401869161</v>
      </c>
      <c r="AV62" s="47">
        <v>-602075.51401869161</v>
      </c>
      <c r="AW62" s="47">
        <v>-602075.51401869161</v>
      </c>
      <c r="AX62" s="47">
        <v>-602075.51401869161</v>
      </c>
      <c r="AY62" s="47">
        <v>-602075.51401869161</v>
      </c>
      <c r="AZ62" s="58">
        <f t="shared" si="3"/>
        <v>-7224906.1682243012</v>
      </c>
      <c r="BA62" s="47">
        <f>Y62+SUM($AM62:AM62)</f>
        <v>64422080</v>
      </c>
      <c r="BB62" s="48">
        <f>Z62+SUM($AM62:AN62)</f>
        <v>63820004.485981315</v>
      </c>
      <c r="BC62" s="48">
        <f>AA62+SUM($AM62:AO62)</f>
        <v>63217928.971962631</v>
      </c>
      <c r="BD62" s="48">
        <f>AB62+SUM($AM62:AP62)</f>
        <v>62615853.457943946</v>
      </c>
      <c r="BE62" s="48">
        <f>AC62+SUM($AM62:AQ62)</f>
        <v>62013777.943925261</v>
      </c>
      <c r="BF62" s="48">
        <f>AD62+SUM($AM62:AR62)</f>
        <v>61411702.429906577</v>
      </c>
      <c r="BG62" s="48">
        <f>AE62+SUM($AM62:AS62)</f>
        <v>60809626.915887892</v>
      </c>
      <c r="BH62" s="48">
        <f>AF62+SUM($AM62:AT62)</f>
        <v>60207551.401869208</v>
      </c>
      <c r="BI62" s="48">
        <f>AG62+SUM($AM62:AU62)</f>
        <v>59605475.887850523</v>
      </c>
      <c r="BJ62" s="48">
        <f>AH62+SUM($AM62:AV62)</f>
        <v>59003400.373831838</v>
      </c>
      <c r="BK62" s="48">
        <f>AI62+SUM($AM62:AW62)</f>
        <v>58401324.859813154</v>
      </c>
      <c r="BL62" s="48">
        <f>AJ62+SUM($AM62:AX62)</f>
        <v>57799249.345794469</v>
      </c>
      <c r="BM62" s="48">
        <f>AK62+SUM($AM62:AY62)</f>
        <v>57197173.831775784</v>
      </c>
      <c r="BO62" s="47"/>
    </row>
    <row r="63" spans="3:67" s="41" customFormat="1" hidden="1" x14ac:dyDescent="0.3">
      <c r="C63" s="41" t="s">
        <v>1340</v>
      </c>
      <c r="D63" s="42" t="s">
        <v>337</v>
      </c>
      <c r="E63" s="42" t="str">
        <f t="shared" si="1"/>
        <v>211</v>
      </c>
      <c r="F63" s="41" t="str">
        <f>_xlfn.XLOOKUP($D63,MD_Account_Asset_Type[Nhóm tài sản],MD_Account_Asset_Type[Tên Nhóm tài sản])</f>
        <v>Máy móc, thiết bị phụ - SX 627</v>
      </c>
      <c r="G63" s="41" t="str">
        <f>_xlfn.XLOOKUP($D63,MD_Account_Asset_Type[Nhóm tài sản],MD_Account_Asset_Type[Tên nhóm TS-Rút gọn])</f>
        <v>Máy móc thiết bị</v>
      </c>
      <c r="H63" s="41" t="str">
        <f>_xlfn.XLOOKUP($D63,MD_Account_Asset_Type[Nhóm tài sản],MD_Account_Asset_Type[Tên nhóm TS-Rút gọn-v2])</f>
        <v>Máy móc thiết bị</v>
      </c>
      <c r="I63" s="43" t="s">
        <v>990</v>
      </c>
      <c r="J63" s="42" t="s">
        <v>555</v>
      </c>
      <c r="K63" s="41" t="s">
        <v>830</v>
      </c>
      <c r="L63" s="42" t="s">
        <v>51</v>
      </c>
      <c r="M63" s="42" t="s">
        <v>126</v>
      </c>
      <c r="N63" s="44" t="s">
        <v>244</v>
      </c>
      <c r="O63" s="44"/>
      <c r="P63" s="41" t="s">
        <v>461</v>
      </c>
      <c r="Q63" s="41" t="str">
        <f t="shared" si="2"/>
        <v>627</v>
      </c>
      <c r="R63" s="41" t="str">
        <f>_xlfn.XLOOKUP($L63,MD_Cost_Center[Mã Cost Center],MD_Cost_Center[Ngành])</f>
        <v>PET</v>
      </c>
      <c r="S63" s="41" t="str">
        <f>_xlfn.XLOOKUP($L63,MD_Cost_Center[Mã Cost Center],MD_Cost_Center[Ngành-Tách PET-Xơ sợi])</f>
        <v>Chung-PET</v>
      </c>
      <c r="T63" s="45">
        <v>44896</v>
      </c>
      <c r="U63" s="46">
        <v>46722</v>
      </c>
      <c r="V63" s="47">
        <v>144</v>
      </c>
      <c r="W63" s="47">
        <v>1119518319</v>
      </c>
      <c r="X63" s="47">
        <v>-4010735.4018691587</v>
      </c>
      <c r="Y63" s="47">
        <v>1119518319</v>
      </c>
      <c r="Z63" s="47">
        <v>1119518319</v>
      </c>
      <c r="AA63" s="47">
        <v>1119518319</v>
      </c>
      <c r="AB63" s="47">
        <v>1119518319</v>
      </c>
      <c r="AC63" s="47">
        <v>1119518319</v>
      </c>
      <c r="AD63" s="47">
        <v>1119518319</v>
      </c>
      <c r="AE63" s="47">
        <v>1119518319</v>
      </c>
      <c r="AF63" s="47">
        <v>1119518319</v>
      </c>
      <c r="AG63" s="47">
        <v>1119518319</v>
      </c>
      <c r="AH63" s="47">
        <v>1119518319</v>
      </c>
      <c r="AI63" s="47">
        <v>1119518319</v>
      </c>
      <c r="AJ63" s="47">
        <v>1119518319</v>
      </c>
      <c r="AK63" s="47">
        <v>1119518319</v>
      </c>
      <c r="AL63" s="47">
        <v>-223903664</v>
      </c>
      <c r="AM63" s="47">
        <v>-690369631</v>
      </c>
      <c r="AN63" s="47">
        <v>-4010735.4018691587</v>
      </c>
      <c r="AO63" s="47">
        <v>-4010735.4018691587</v>
      </c>
      <c r="AP63" s="47">
        <v>-4010735.4018691587</v>
      </c>
      <c r="AQ63" s="47">
        <v>-4010735.4018691587</v>
      </c>
      <c r="AR63" s="47">
        <v>-4010735.4018691587</v>
      </c>
      <c r="AS63" s="47">
        <v>-4010735.4018691587</v>
      </c>
      <c r="AT63" s="47">
        <v>-4010735.4018691587</v>
      </c>
      <c r="AU63" s="47">
        <v>-4010735.4018691587</v>
      </c>
      <c r="AV63" s="47">
        <v>-4010735.4018691587</v>
      </c>
      <c r="AW63" s="47">
        <v>-4010735.4018691587</v>
      </c>
      <c r="AX63" s="47">
        <v>-4010735.4018691587</v>
      </c>
      <c r="AY63" s="47">
        <v>-4010735.4018691587</v>
      </c>
      <c r="AZ63" s="58">
        <f t="shared" si="3"/>
        <v>-48128824.822429895</v>
      </c>
      <c r="BA63" s="47">
        <f>Y63+SUM($AM63:AM63)</f>
        <v>429148688</v>
      </c>
      <c r="BB63" s="48">
        <f>Z63+SUM($AM63:AN63)</f>
        <v>425137952.59813082</v>
      </c>
      <c r="BC63" s="48">
        <f>AA63+SUM($AM63:AO63)</f>
        <v>421127217.19626164</v>
      </c>
      <c r="BD63" s="48">
        <f>AB63+SUM($AM63:AP63)</f>
        <v>417116481.79439247</v>
      </c>
      <c r="BE63" s="48">
        <f>AC63+SUM($AM63:AQ63)</f>
        <v>413105746.39252329</v>
      </c>
      <c r="BF63" s="48">
        <f>AD63+SUM($AM63:AR63)</f>
        <v>409095010.99065411</v>
      </c>
      <c r="BG63" s="48">
        <f>AE63+SUM($AM63:AS63)</f>
        <v>405084275.58878493</v>
      </c>
      <c r="BH63" s="48">
        <f>AF63+SUM($AM63:AT63)</f>
        <v>401073540.18691576</v>
      </c>
      <c r="BI63" s="48">
        <f>AG63+SUM($AM63:AU63)</f>
        <v>397062804.78504658</v>
      </c>
      <c r="BJ63" s="48">
        <f>AH63+SUM($AM63:AV63)</f>
        <v>393052069.3831774</v>
      </c>
      <c r="BK63" s="48">
        <f>AI63+SUM($AM63:AW63)</f>
        <v>389041333.98130822</v>
      </c>
      <c r="BL63" s="48">
        <f>AJ63+SUM($AM63:AX63)</f>
        <v>385030598.57943904</v>
      </c>
      <c r="BM63" s="48">
        <f>AK63+SUM($AM63:AY63)</f>
        <v>381019863.17756987</v>
      </c>
      <c r="BO63" s="47"/>
    </row>
    <row r="64" spans="3:67" s="41" customFormat="1" hidden="1" x14ac:dyDescent="0.3">
      <c r="C64" s="41" t="s">
        <v>1340</v>
      </c>
      <c r="D64" s="42" t="s">
        <v>337</v>
      </c>
      <c r="E64" s="42" t="str">
        <f t="shared" si="1"/>
        <v>211</v>
      </c>
      <c r="F64" s="41" t="str">
        <f>_xlfn.XLOOKUP($D64,MD_Account_Asset_Type[Nhóm tài sản],MD_Account_Asset_Type[Tên Nhóm tài sản])</f>
        <v>Máy móc, thiết bị phụ - SX 627</v>
      </c>
      <c r="G64" s="41" t="str">
        <f>_xlfn.XLOOKUP($D64,MD_Account_Asset_Type[Nhóm tài sản],MD_Account_Asset_Type[Tên nhóm TS-Rút gọn])</f>
        <v>Máy móc thiết bị</v>
      </c>
      <c r="H64" s="41" t="str">
        <f>_xlfn.XLOOKUP($D64,MD_Account_Asset_Type[Nhóm tài sản],MD_Account_Asset_Type[Tên nhóm TS-Rút gọn-v2])</f>
        <v>Máy móc thiết bị</v>
      </c>
      <c r="I64" s="43" t="s">
        <v>991</v>
      </c>
      <c r="J64" s="42" t="s">
        <v>556</v>
      </c>
      <c r="K64" s="41" t="s">
        <v>502</v>
      </c>
      <c r="L64" s="42" t="s">
        <v>46</v>
      </c>
      <c r="M64" s="42" t="s">
        <v>121</v>
      </c>
      <c r="N64" s="44">
        <v>0</v>
      </c>
      <c r="O64" s="44"/>
      <c r="P64" s="41" t="s">
        <v>461</v>
      </c>
      <c r="Q64" s="41" t="str">
        <f t="shared" si="2"/>
        <v>627</v>
      </c>
      <c r="R64" s="41" t="str">
        <f>_xlfn.XLOOKUP($L64,MD_Cost_Center[Mã Cost Center],MD_Cost_Center[Ngành])</f>
        <v>Chung</v>
      </c>
      <c r="S64" s="41" t="str">
        <f>_xlfn.XLOOKUP($L64,MD_Cost_Center[Mã Cost Center],MD_Cost_Center[Ngành-Tách PET-Xơ sợi])</f>
        <v>Chung</v>
      </c>
      <c r="T64" s="45">
        <v>44927</v>
      </c>
      <c r="U64" s="46">
        <v>46753</v>
      </c>
      <c r="V64" s="47">
        <v>144</v>
      </c>
      <c r="W64" s="47">
        <v>201371940</v>
      </c>
      <c r="X64" s="47">
        <v>-745822</v>
      </c>
      <c r="Y64" s="47">
        <v>201371940</v>
      </c>
      <c r="Z64" s="47">
        <v>201371940</v>
      </c>
      <c r="AA64" s="47">
        <v>201371940</v>
      </c>
      <c r="AB64" s="47">
        <v>201371940</v>
      </c>
      <c r="AC64" s="47">
        <v>201371940</v>
      </c>
      <c r="AD64" s="47">
        <v>201371940</v>
      </c>
      <c r="AE64" s="47">
        <v>201371940</v>
      </c>
      <c r="AF64" s="47">
        <v>201371940</v>
      </c>
      <c r="AG64" s="47">
        <v>201371940</v>
      </c>
      <c r="AH64" s="47">
        <v>201371940</v>
      </c>
      <c r="AI64" s="47">
        <v>201371940</v>
      </c>
      <c r="AJ64" s="47">
        <v>201371940</v>
      </c>
      <c r="AK64" s="47">
        <v>201371940</v>
      </c>
      <c r="AL64" s="47">
        <v>-40274388</v>
      </c>
      <c r="AM64" s="47">
        <v>-120823164</v>
      </c>
      <c r="AN64" s="47">
        <v>-745822</v>
      </c>
      <c r="AO64" s="47">
        <v>-745822</v>
      </c>
      <c r="AP64" s="47">
        <v>-745822</v>
      </c>
      <c r="AQ64" s="47">
        <v>-745822</v>
      </c>
      <c r="AR64" s="47">
        <v>-745822</v>
      </c>
      <c r="AS64" s="47">
        <v>-745822</v>
      </c>
      <c r="AT64" s="47">
        <v>-745822</v>
      </c>
      <c r="AU64" s="47">
        <v>-745822</v>
      </c>
      <c r="AV64" s="47">
        <v>-745822</v>
      </c>
      <c r="AW64" s="47">
        <v>-745822</v>
      </c>
      <c r="AX64" s="47">
        <v>-745822</v>
      </c>
      <c r="AY64" s="47">
        <v>-745822</v>
      </c>
      <c r="AZ64" s="58">
        <f t="shared" si="3"/>
        <v>-8949864</v>
      </c>
      <c r="BA64" s="47">
        <f>Y64+SUM($AM64:AM64)</f>
        <v>80548776</v>
      </c>
      <c r="BB64" s="48">
        <f>Z64+SUM($AM64:AN64)</f>
        <v>79802954</v>
      </c>
      <c r="BC64" s="48">
        <f>AA64+SUM($AM64:AO64)</f>
        <v>79057132</v>
      </c>
      <c r="BD64" s="48">
        <f>AB64+SUM($AM64:AP64)</f>
        <v>78311310</v>
      </c>
      <c r="BE64" s="48">
        <f>AC64+SUM($AM64:AQ64)</f>
        <v>77565488</v>
      </c>
      <c r="BF64" s="48">
        <f>AD64+SUM($AM64:AR64)</f>
        <v>76819666</v>
      </c>
      <c r="BG64" s="48">
        <f>AE64+SUM($AM64:AS64)</f>
        <v>76073844</v>
      </c>
      <c r="BH64" s="48">
        <f>AF64+SUM($AM64:AT64)</f>
        <v>75328022</v>
      </c>
      <c r="BI64" s="48">
        <f>AG64+SUM($AM64:AU64)</f>
        <v>74582200</v>
      </c>
      <c r="BJ64" s="48">
        <f>AH64+SUM($AM64:AV64)</f>
        <v>73836378</v>
      </c>
      <c r="BK64" s="48">
        <f>AI64+SUM($AM64:AW64)</f>
        <v>73090556</v>
      </c>
      <c r="BL64" s="48">
        <f>AJ64+SUM($AM64:AX64)</f>
        <v>72344734</v>
      </c>
      <c r="BM64" s="48">
        <f>AK64+SUM($AM64:AY64)</f>
        <v>71598912</v>
      </c>
      <c r="BO64" s="47"/>
    </row>
    <row r="65" spans="3:67" s="41" customFormat="1" hidden="1" x14ac:dyDescent="0.3">
      <c r="C65" s="41" t="s">
        <v>1340</v>
      </c>
      <c r="D65" s="42" t="s">
        <v>337</v>
      </c>
      <c r="E65" s="42" t="str">
        <f t="shared" si="1"/>
        <v>211</v>
      </c>
      <c r="F65" s="41" t="str">
        <f>_xlfn.XLOOKUP($D65,MD_Account_Asset_Type[Nhóm tài sản],MD_Account_Asset_Type[Tên Nhóm tài sản])</f>
        <v>Máy móc, thiết bị phụ - SX 627</v>
      </c>
      <c r="G65" s="41" t="str">
        <f>_xlfn.XLOOKUP($D65,MD_Account_Asset_Type[Nhóm tài sản],MD_Account_Asset_Type[Tên nhóm TS-Rút gọn])</f>
        <v>Máy móc thiết bị</v>
      </c>
      <c r="H65" s="41" t="str">
        <f>_xlfn.XLOOKUP($D65,MD_Account_Asset_Type[Nhóm tài sản],MD_Account_Asset_Type[Tên nhóm TS-Rút gọn-v2])</f>
        <v>Máy móc thiết bị</v>
      </c>
      <c r="I65" s="43" t="s">
        <v>992</v>
      </c>
      <c r="J65" s="42" t="s">
        <v>557</v>
      </c>
      <c r="K65" s="41" t="s">
        <v>830</v>
      </c>
      <c r="L65" s="42" t="s">
        <v>46</v>
      </c>
      <c r="M65" s="42" t="s">
        <v>121</v>
      </c>
      <c r="N65" s="44">
        <v>0</v>
      </c>
      <c r="O65" s="44"/>
      <c r="P65" s="41" t="s">
        <v>461</v>
      </c>
      <c r="Q65" s="41" t="str">
        <f t="shared" si="2"/>
        <v>627</v>
      </c>
      <c r="R65" s="41" t="str">
        <f>_xlfn.XLOOKUP($L65,MD_Cost_Center[Mã Cost Center],MD_Cost_Center[Ngành])</f>
        <v>Chung</v>
      </c>
      <c r="S65" s="41" t="str">
        <f>_xlfn.XLOOKUP($L65,MD_Cost_Center[Mã Cost Center],MD_Cost_Center[Ngành-Tách PET-Xơ sợi])</f>
        <v>Chung</v>
      </c>
      <c r="T65" s="45">
        <v>44927</v>
      </c>
      <c r="U65" s="46">
        <v>46023</v>
      </c>
      <c r="V65" s="47">
        <v>144</v>
      </c>
      <c r="W65" s="47">
        <v>421764609</v>
      </c>
      <c r="X65" s="47">
        <v>0</v>
      </c>
      <c r="Y65" s="47">
        <v>421764609</v>
      </c>
      <c r="Z65" s="47">
        <v>421764609</v>
      </c>
      <c r="AA65" s="47">
        <v>421764609</v>
      </c>
      <c r="AB65" s="47">
        <v>421764609</v>
      </c>
      <c r="AC65" s="47">
        <v>421764609</v>
      </c>
      <c r="AD65" s="47">
        <v>421764609</v>
      </c>
      <c r="AE65" s="47">
        <v>421764609</v>
      </c>
      <c r="AF65" s="47">
        <v>421764609</v>
      </c>
      <c r="AG65" s="47">
        <v>421764609</v>
      </c>
      <c r="AH65" s="47">
        <v>421764609</v>
      </c>
      <c r="AI65" s="47">
        <v>421764609</v>
      </c>
      <c r="AJ65" s="47">
        <v>421764609</v>
      </c>
      <c r="AK65" s="47">
        <v>421764609</v>
      </c>
      <c r="AL65" s="47">
        <v>-140588203</v>
      </c>
      <c r="AM65" s="47">
        <v>-421764609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58">
        <f t="shared" si="3"/>
        <v>0</v>
      </c>
      <c r="BA65" s="47">
        <f>Y65+SUM($AM65:AM65)</f>
        <v>0</v>
      </c>
      <c r="BB65" s="48">
        <f>Z65+SUM($AM65:AN65)</f>
        <v>0</v>
      </c>
      <c r="BC65" s="48">
        <f>AA65+SUM($AM65:AO65)</f>
        <v>0</v>
      </c>
      <c r="BD65" s="48">
        <f>AB65+SUM($AM65:AP65)</f>
        <v>0</v>
      </c>
      <c r="BE65" s="48">
        <f>AC65+SUM($AM65:AQ65)</f>
        <v>0</v>
      </c>
      <c r="BF65" s="48">
        <f>AD65+SUM($AM65:AR65)</f>
        <v>0</v>
      </c>
      <c r="BG65" s="48">
        <f>AE65+SUM($AM65:AS65)</f>
        <v>0</v>
      </c>
      <c r="BH65" s="48">
        <f>AF65+SUM($AM65:AT65)</f>
        <v>0</v>
      </c>
      <c r="BI65" s="48">
        <f>AG65+SUM($AM65:AU65)</f>
        <v>0</v>
      </c>
      <c r="BJ65" s="48">
        <f>AH65+SUM($AM65:AV65)</f>
        <v>0</v>
      </c>
      <c r="BK65" s="48">
        <f>AI65+SUM($AM65:AW65)</f>
        <v>0</v>
      </c>
      <c r="BL65" s="48">
        <f>AJ65+SUM($AM65:AX65)</f>
        <v>0</v>
      </c>
      <c r="BM65" s="48">
        <f>AK65+SUM($AM65:AY65)</f>
        <v>0</v>
      </c>
      <c r="BO65" s="47"/>
    </row>
    <row r="66" spans="3:67" s="41" customFormat="1" hidden="1" x14ac:dyDescent="0.3">
      <c r="C66" s="41" t="s">
        <v>1340</v>
      </c>
      <c r="D66" s="42" t="s">
        <v>337</v>
      </c>
      <c r="E66" s="42" t="str">
        <f t="shared" si="1"/>
        <v>211</v>
      </c>
      <c r="F66" s="41" t="str">
        <f>_xlfn.XLOOKUP($D66,MD_Account_Asset_Type[Nhóm tài sản],MD_Account_Asset_Type[Tên Nhóm tài sản])</f>
        <v>Máy móc, thiết bị phụ - SX 627</v>
      </c>
      <c r="G66" s="41" t="str">
        <f>_xlfn.XLOOKUP($D66,MD_Account_Asset_Type[Nhóm tài sản],MD_Account_Asset_Type[Tên nhóm TS-Rút gọn])</f>
        <v>Máy móc thiết bị</v>
      </c>
      <c r="H66" s="41" t="str">
        <f>_xlfn.XLOOKUP($D66,MD_Account_Asset_Type[Nhóm tài sản],MD_Account_Asset_Type[Tên nhóm TS-Rút gọn-v2])</f>
        <v>Máy móc thiết bị</v>
      </c>
      <c r="I66" s="43" t="s">
        <v>993</v>
      </c>
      <c r="J66" s="42" t="s">
        <v>558</v>
      </c>
      <c r="K66" s="41" t="s">
        <v>830</v>
      </c>
      <c r="L66" s="42" t="s">
        <v>46</v>
      </c>
      <c r="M66" s="42" t="s">
        <v>121</v>
      </c>
      <c r="N66" s="44">
        <v>0</v>
      </c>
      <c r="O66" s="44"/>
      <c r="P66" s="41" t="s">
        <v>461</v>
      </c>
      <c r="Q66" s="41" t="str">
        <f t="shared" si="2"/>
        <v>627</v>
      </c>
      <c r="R66" s="41" t="str">
        <f>_xlfn.XLOOKUP($L66,MD_Cost_Center[Mã Cost Center],MD_Cost_Center[Ngành])</f>
        <v>Chung</v>
      </c>
      <c r="S66" s="41" t="str">
        <f>_xlfn.XLOOKUP($L66,MD_Cost_Center[Mã Cost Center],MD_Cost_Center[Ngành-Tách PET-Xơ sợi])</f>
        <v>Chung</v>
      </c>
      <c r="T66" s="45">
        <v>44927</v>
      </c>
      <c r="U66" s="46">
        <v>46023</v>
      </c>
      <c r="V66" s="47">
        <v>144</v>
      </c>
      <c r="W66" s="47">
        <v>256760000</v>
      </c>
      <c r="X66" s="47">
        <v>0</v>
      </c>
      <c r="Y66" s="47">
        <v>256760000</v>
      </c>
      <c r="Z66" s="47">
        <v>256760000</v>
      </c>
      <c r="AA66" s="47">
        <v>256760000</v>
      </c>
      <c r="AB66" s="47">
        <v>256760000</v>
      </c>
      <c r="AC66" s="47">
        <v>256760000</v>
      </c>
      <c r="AD66" s="47">
        <v>256760000</v>
      </c>
      <c r="AE66" s="47">
        <v>256760000</v>
      </c>
      <c r="AF66" s="47">
        <v>256760000</v>
      </c>
      <c r="AG66" s="47">
        <v>256760000</v>
      </c>
      <c r="AH66" s="47">
        <v>256760000</v>
      </c>
      <c r="AI66" s="47">
        <v>256760000</v>
      </c>
      <c r="AJ66" s="47">
        <v>256760000</v>
      </c>
      <c r="AK66" s="47">
        <v>256760000</v>
      </c>
      <c r="AL66" s="47">
        <v>-85586666</v>
      </c>
      <c r="AM66" s="47">
        <v>-256760000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58">
        <f t="shared" si="3"/>
        <v>0</v>
      </c>
      <c r="BA66" s="47">
        <f>Y66+SUM($AM66:AM66)</f>
        <v>0</v>
      </c>
      <c r="BB66" s="48">
        <f>Z66+SUM($AM66:AN66)</f>
        <v>0</v>
      </c>
      <c r="BC66" s="48">
        <f>AA66+SUM($AM66:AO66)</f>
        <v>0</v>
      </c>
      <c r="BD66" s="48">
        <f>AB66+SUM($AM66:AP66)</f>
        <v>0</v>
      </c>
      <c r="BE66" s="48">
        <f>AC66+SUM($AM66:AQ66)</f>
        <v>0</v>
      </c>
      <c r="BF66" s="48">
        <f>AD66+SUM($AM66:AR66)</f>
        <v>0</v>
      </c>
      <c r="BG66" s="48">
        <f>AE66+SUM($AM66:AS66)</f>
        <v>0</v>
      </c>
      <c r="BH66" s="48">
        <f>AF66+SUM($AM66:AT66)</f>
        <v>0</v>
      </c>
      <c r="BI66" s="48">
        <f>AG66+SUM($AM66:AU66)</f>
        <v>0</v>
      </c>
      <c r="BJ66" s="48">
        <f>AH66+SUM($AM66:AV66)</f>
        <v>0</v>
      </c>
      <c r="BK66" s="48">
        <f>AI66+SUM($AM66:AW66)</f>
        <v>0</v>
      </c>
      <c r="BL66" s="48">
        <f>AJ66+SUM($AM66:AX66)</f>
        <v>0</v>
      </c>
      <c r="BM66" s="48">
        <f>AK66+SUM($AM66:AY66)</f>
        <v>0</v>
      </c>
      <c r="BO66" s="47"/>
    </row>
    <row r="67" spans="3:67" s="41" customFormat="1" hidden="1" x14ac:dyDescent="0.3">
      <c r="C67" s="41" t="s">
        <v>1340</v>
      </c>
      <c r="D67" s="42" t="s">
        <v>337</v>
      </c>
      <c r="E67" s="42" t="str">
        <f t="shared" si="1"/>
        <v>211</v>
      </c>
      <c r="F67" s="41" t="str">
        <f>_xlfn.XLOOKUP($D67,MD_Account_Asset_Type[Nhóm tài sản],MD_Account_Asset_Type[Tên Nhóm tài sản])</f>
        <v>Máy móc, thiết bị phụ - SX 627</v>
      </c>
      <c r="G67" s="41" t="str">
        <f>_xlfn.XLOOKUP($D67,MD_Account_Asset_Type[Nhóm tài sản],MD_Account_Asset_Type[Tên nhóm TS-Rút gọn])</f>
        <v>Máy móc thiết bị</v>
      </c>
      <c r="H67" s="41" t="str">
        <f>_xlfn.XLOOKUP($D67,MD_Account_Asset_Type[Nhóm tài sản],MD_Account_Asset_Type[Tên nhóm TS-Rút gọn-v2])</f>
        <v>Máy móc thiết bị</v>
      </c>
      <c r="I67" s="43" t="s">
        <v>994</v>
      </c>
      <c r="J67" s="42" t="s">
        <v>559</v>
      </c>
      <c r="K67" s="41" t="s">
        <v>830</v>
      </c>
      <c r="L67" s="42" t="s">
        <v>46</v>
      </c>
      <c r="M67" s="42" t="s">
        <v>121</v>
      </c>
      <c r="N67" s="44">
        <v>0</v>
      </c>
      <c r="O67" s="44"/>
      <c r="P67" s="41" t="s">
        <v>461</v>
      </c>
      <c r="Q67" s="41" t="str">
        <f t="shared" si="2"/>
        <v>627</v>
      </c>
      <c r="R67" s="41" t="str">
        <f>_xlfn.XLOOKUP($L67,MD_Cost_Center[Mã Cost Center],MD_Cost_Center[Ngành])</f>
        <v>Chung</v>
      </c>
      <c r="S67" s="41" t="str">
        <f>_xlfn.XLOOKUP($L67,MD_Cost_Center[Mã Cost Center],MD_Cost_Center[Ngành-Tách PET-Xơ sợi])</f>
        <v>Chung</v>
      </c>
      <c r="T67" s="45">
        <v>44927</v>
      </c>
      <c r="U67" s="46">
        <v>46023</v>
      </c>
      <c r="V67" s="47">
        <v>144</v>
      </c>
      <c r="W67" s="47">
        <v>559630200</v>
      </c>
      <c r="X67" s="47">
        <v>0</v>
      </c>
      <c r="Y67" s="47">
        <v>559630200</v>
      </c>
      <c r="Z67" s="47">
        <v>559630200</v>
      </c>
      <c r="AA67" s="47">
        <v>559630200</v>
      </c>
      <c r="AB67" s="47">
        <v>559630200</v>
      </c>
      <c r="AC67" s="47">
        <v>559630200</v>
      </c>
      <c r="AD67" s="47">
        <v>559630200</v>
      </c>
      <c r="AE67" s="47">
        <v>559630200</v>
      </c>
      <c r="AF67" s="47">
        <v>559630200</v>
      </c>
      <c r="AG67" s="47">
        <v>559630200</v>
      </c>
      <c r="AH67" s="47">
        <v>559630200</v>
      </c>
      <c r="AI67" s="47">
        <v>559630200</v>
      </c>
      <c r="AJ67" s="47">
        <v>559630200</v>
      </c>
      <c r="AK67" s="47">
        <v>559630200</v>
      </c>
      <c r="AL67" s="47">
        <v>-186543400</v>
      </c>
      <c r="AM67" s="47">
        <v>-559630200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58">
        <f t="shared" si="3"/>
        <v>0</v>
      </c>
      <c r="BA67" s="47">
        <f>Y67+SUM($AM67:AM67)</f>
        <v>0</v>
      </c>
      <c r="BB67" s="48">
        <f>Z67+SUM($AM67:AN67)</f>
        <v>0</v>
      </c>
      <c r="BC67" s="48">
        <f>AA67+SUM($AM67:AO67)</f>
        <v>0</v>
      </c>
      <c r="BD67" s="48">
        <f>AB67+SUM($AM67:AP67)</f>
        <v>0</v>
      </c>
      <c r="BE67" s="48">
        <f>AC67+SUM($AM67:AQ67)</f>
        <v>0</v>
      </c>
      <c r="BF67" s="48">
        <f>AD67+SUM($AM67:AR67)</f>
        <v>0</v>
      </c>
      <c r="BG67" s="48">
        <f>AE67+SUM($AM67:AS67)</f>
        <v>0</v>
      </c>
      <c r="BH67" s="48">
        <f>AF67+SUM($AM67:AT67)</f>
        <v>0</v>
      </c>
      <c r="BI67" s="48">
        <f>AG67+SUM($AM67:AU67)</f>
        <v>0</v>
      </c>
      <c r="BJ67" s="48">
        <f>AH67+SUM($AM67:AV67)</f>
        <v>0</v>
      </c>
      <c r="BK67" s="48">
        <f>AI67+SUM($AM67:AW67)</f>
        <v>0</v>
      </c>
      <c r="BL67" s="48">
        <f>AJ67+SUM($AM67:AX67)</f>
        <v>0</v>
      </c>
      <c r="BM67" s="48">
        <f>AK67+SUM($AM67:AY67)</f>
        <v>0</v>
      </c>
      <c r="BO67" s="47"/>
    </row>
    <row r="68" spans="3:67" s="41" customFormat="1" hidden="1" x14ac:dyDescent="0.3">
      <c r="C68" s="41" t="s">
        <v>1340</v>
      </c>
      <c r="D68" s="42" t="s">
        <v>337</v>
      </c>
      <c r="E68" s="42" t="str">
        <f t="shared" si="1"/>
        <v>211</v>
      </c>
      <c r="F68" s="41" t="str">
        <f>_xlfn.XLOOKUP($D68,MD_Account_Asset_Type[Nhóm tài sản],MD_Account_Asset_Type[Tên Nhóm tài sản])</f>
        <v>Máy móc, thiết bị phụ - SX 627</v>
      </c>
      <c r="G68" s="41" t="str">
        <f>_xlfn.XLOOKUP($D68,MD_Account_Asset_Type[Nhóm tài sản],MD_Account_Asset_Type[Tên nhóm TS-Rút gọn])</f>
        <v>Máy móc thiết bị</v>
      </c>
      <c r="H68" s="41" t="str">
        <f>_xlfn.XLOOKUP($D68,MD_Account_Asset_Type[Nhóm tài sản],MD_Account_Asset_Type[Tên nhóm TS-Rút gọn-v2])</f>
        <v>Máy móc thiết bị</v>
      </c>
      <c r="I68" s="43" t="s">
        <v>995</v>
      </c>
      <c r="J68" s="42" t="s">
        <v>560</v>
      </c>
      <c r="K68" s="41" t="s">
        <v>830</v>
      </c>
      <c r="L68" s="42" t="s">
        <v>46</v>
      </c>
      <c r="M68" s="42" t="s">
        <v>121</v>
      </c>
      <c r="N68" s="44">
        <v>0</v>
      </c>
      <c r="O68" s="44"/>
      <c r="P68" s="41" t="s">
        <v>461</v>
      </c>
      <c r="Q68" s="41" t="str">
        <f t="shared" si="2"/>
        <v>627</v>
      </c>
      <c r="R68" s="41" t="str">
        <f>_xlfn.XLOOKUP($L68,MD_Cost_Center[Mã Cost Center],MD_Cost_Center[Ngành])</f>
        <v>Chung</v>
      </c>
      <c r="S68" s="41" t="str">
        <f>_xlfn.XLOOKUP($L68,MD_Cost_Center[Mã Cost Center],MD_Cost_Center[Ngành-Tách PET-Xơ sợi])</f>
        <v>Chung</v>
      </c>
      <c r="T68" s="45">
        <v>44958</v>
      </c>
      <c r="U68" s="46">
        <v>46784</v>
      </c>
      <c r="V68" s="47">
        <v>144</v>
      </c>
      <c r="W68" s="47">
        <v>333889440</v>
      </c>
      <c r="X68" s="47">
        <v>-1276335.7798165136</v>
      </c>
      <c r="Y68" s="47">
        <v>333889440</v>
      </c>
      <c r="Z68" s="47">
        <v>333889440</v>
      </c>
      <c r="AA68" s="47">
        <v>333889440</v>
      </c>
      <c r="AB68" s="47">
        <v>333889440</v>
      </c>
      <c r="AC68" s="47">
        <v>333889440</v>
      </c>
      <c r="AD68" s="47">
        <v>333889440</v>
      </c>
      <c r="AE68" s="47">
        <v>333889440</v>
      </c>
      <c r="AF68" s="47">
        <v>333889440</v>
      </c>
      <c r="AG68" s="47">
        <v>333889440</v>
      </c>
      <c r="AH68" s="47">
        <v>333889440</v>
      </c>
      <c r="AI68" s="47">
        <v>333889440</v>
      </c>
      <c r="AJ68" s="47">
        <v>333889440</v>
      </c>
      <c r="AK68" s="47">
        <v>333889440</v>
      </c>
      <c r="AL68" s="47">
        <v>-66777888</v>
      </c>
      <c r="AM68" s="47">
        <v>-194768840</v>
      </c>
      <c r="AN68" s="47">
        <v>-1276335.7798165136</v>
      </c>
      <c r="AO68" s="47">
        <v>-1276335.7798165136</v>
      </c>
      <c r="AP68" s="47">
        <v>-1276335.7798165136</v>
      </c>
      <c r="AQ68" s="47">
        <v>-1276335.7798165136</v>
      </c>
      <c r="AR68" s="47">
        <v>-1276335.7798165136</v>
      </c>
      <c r="AS68" s="47">
        <v>-1276335.7798165136</v>
      </c>
      <c r="AT68" s="47">
        <v>-1276335.7798165136</v>
      </c>
      <c r="AU68" s="47">
        <v>-1276335.7798165136</v>
      </c>
      <c r="AV68" s="47">
        <v>-1276335.7798165136</v>
      </c>
      <c r="AW68" s="47">
        <v>-1276335.7798165136</v>
      </c>
      <c r="AX68" s="47">
        <v>-1276335.7798165136</v>
      </c>
      <c r="AY68" s="47">
        <v>-1276335.7798165136</v>
      </c>
      <c r="AZ68" s="58">
        <f t="shared" si="3"/>
        <v>-15316029.357798165</v>
      </c>
      <c r="BA68" s="47">
        <f>Y68+SUM($AM68:AM68)</f>
        <v>139120600</v>
      </c>
      <c r="BB68" s="48">
        <f>Z68+SUM($AM68:AN68)</f>
        <v>137844264.22018349</v>
      </c>
      <c r="BC68" s="48">
        <f>AA68+SUM($AM68:AO68)</f>
        <v>136567928.44036698</v>
      </c>
      <c r="BD68" s="48">
        <f>AB68+SUM($AM68:AP68)</f>
        <v>135291592.66055048</v>
      </c>
      <c r="BE68" s="48">
        <f>AC68+SUM($AM68:AQ68)</f>
        <v>134015256.88073397</v>
      </c>
      <c r="BF68" s="48">
        <f>AD68+SUM($AM68:AR68)</f>
        <v>132738921.10091746</v>
      </c>
      <c r="BG68" s="48">
        <f>AE68+SUM($AM68:AS68)</f>
        <v>131462585.32110095</v>
      </c>
      <c r="BH68" s="48">
        <f>AF68+SUM($AM68:AT68)</f>
        <v>130186249.54128444</v>
      </c>
      <c r="BI68" s="48">
        <f>AG68+SUM($AM68:AU68)</f>
        <v>128909913.76146793</v>
      </c>
      <c r="BJ68" s="48">
        <f>AH68+SUM($AM68:AV68)</f>
        <v>127633577.98165143</v>
      </c>
      <c r="BK68" s="48">
        <f>AI68+SUM($AM68:AW68)</f>
        <v>126357242.20183492</v>
      </c>
      <c r="BL68" s="48">
        <f>AJ68+SUM($AM68:AX68)</f>
        <v>125080906.42201841</v>
      </c>
      <c r="BM68" s="48">
        <f>AK68+SUM($AM68:AY68)</f>
        <v>123804570.6422019</v>
      </c>
      <c r="BO68" s="47"/>
    </row>
    <row r="69" spans="3:67" s="41" customFormat="1" hidden="1" x14ac:dyDescent="0.3">
      <c r="C69" s="41" t="s">
        <v>1340</v>
      </c>
      <c r="D69" s="42" t="s">
        <v>337</v>
      </c>
      <c r="E69" s="42" t="str">
        <f t="shared" si="1"/>
        <v>211</v>
      </c>
      <c r="F69" s="41" t="str">
        <f>_xlfn.XLOOKUP($D69,MD_Account_Asset_Type[Nhóm tài sản],MD_Account_Asset_Type[Tên Nhóm tài sản])</f>
        <v>Máy móc, thiết bị phụ - SX 627</v>
      </c>
      <c r="G69" s="41" t="str">
        <f>_xlfn.XLOOKUP($D69,MD_Account_Asset_Type[Nhóm tài sản],MD_Account_Asset_Type[Tên nhóm TS-Rút gọn])</f>
        <v>Máy móc thiết bị</v>
      </c>
      <c r="H69" s="41" t="str">
        <f>_xlfn.XLOOKUP($D69,MD_Account_Asset_Type[Nhóm tài sản],MD_Account_Asset_Type[Tên nhóm TS-Rút gọn-v2])</f>
        <v>Máy móc thiết bị</v>
      </c>
      <c r="I69" s="43" t="s">
        <v>996</v>
      </c>
      <c r="J69" s="42" t="s">
        <v>561</v>
      </c>
      <c r="K69" s="41" t="s">
        <v>502</v>
      </c>
      <c r="L69" s="42" t="s">
        <v>51</v>
      </c>
      <c r="M69" s="42" t="s">
        <v>126</v>
      </c>
      <c r="N69" s="44" t="s">
        <v>244</v>
      </c>
      <c r="O69" s="44"/>
      <c r="P69" s="41" t="s">
        <v>461</v>
      </c>
      <c r="Q69" s="41" t="str">
        <f t="shared" si="2"/>
        <v>627</v>
      </c>
      <c r="R69" s="41" t="str">
        <f>_xlfn.XLOOKUP($L69,MD_Cost_Center[Mã Cost Center],MD_Cost_Center[Ngành])</f>
        <v>PET</v>
      </c>
      <c r="S69" s="41" t="str">
        <f>_xlfn.XLOOKUP($L69,MD_Cost_Center[Mã Cost Center],MD_Cost_Center[Ngành-Tách PET-Xơ sợi])</f>
        <v>Chung-PET</v>
      </c>
      <c r="T69" s="45">
        <v>44958</v>
      </c>
      <c r="U69" s="46">
        <v>46054</v>
      </c>
      <c r="V69" s="47">
        <v>144</v>
      </c>
      <c r="W69" s="47">
        <v>101385900</v>
      </c>
      <c r="X69" s="47">
        <v>-25837.385321100919</v>
      </c>
      <c r="Y69" s="47">
        <v>101385900</v>
      </c>
      <c r="Z69" s="47">
        <v>101385900</v>
      </c>
      <c r="AA69" s="47">
        <v>101385900</v>
      </c>
      <c r="AB69" s="47">
        <v>101385900</v>
      </c>
      <c r="AC69" s="47">
        <v>101385900</v>
      </c>
      <c r="AD69" s="47">
        <v>101385900</v>
      </c>
      <c r="AE69" s="47">
        <v>101385900</v>
      </c>
      <c r="AF69" s="47">
        <v>101385900</v>
      </c>
      <c r="AG69" s="47">
        <v>101385900</v>
      </c>
      <c r="AH69" s="47">
        <v>101385900</v>
      </c>
      <c r="AI69" s="47">
        <v>101385900</v>
      </c>
      <c r="AJ69" s="47">
        <v>101385900</v>
      </c>
      <c r="AK69" s="47">
        <v>101385900</v>
      </c>
      <c r="AL69" s="47">
        <v>-33795300</v>
      </c>
      <c r="AM69" s="47">
        <v>-98569625</v>
      </c>
      <c r="AN69" s="47">
        <v>-25837.385321100919</v>
      </c>
      <c r="AO69" s="47">
        <v>-25837.385321100919</v>
      </c>
      <c r="AP69" s="47">
        <v>-25837.385321100919</v>
      </c>
      <c r="AQ69" s="47">
        <v>-25837.385321100919</v>
      </c>
      <c r="AR69" s="47">
        <v>-25837.385321100919</v>
      </c>
      <c r="AS69" s="47">
        <v>-25837.385321100919</v>
      </c>
      <c r="AT69" s="47">
        <v>-25837.385321100919</v>
      </c>
      <c r="AU69" s="47">
        <v>-25837.385321100919</v>
      </c>
      <c r="AV69" s="47">
        <v>-25837.385321100919</v>
      </c>
      <c r="AW69" s="47">
        <v>-25837.385321100919</v>
      </c>
      <c r="AX69" s="47">
        <v>-25837.385321100919</v>
      </c>
      <c r="AY69" s="47">
        <v>-25837.385321100919</v>
      </c>
      <c r="AZ69" s="58">
        <f t="shared" si="3"/>
        <v>-310048.623853211</v>
      </c>
      <c r="BA69" s="47">
        <f>Y69+SUM($AM69:AM69)</f>
        <v>2816275</v>
      </c>
      <c r="BB69" s="48">
        <f>Z69+SUM($AM69:AN69)</f>
        <v>2790437.6146789044</v>
      </c>
      <c r="BC69" s="48">
        <f>AA69+SUM($AM69:AO69)</f>
        <v>2764600.2293578088</v>
      </c>
      <c r="BD69" s="48">
        <f>AB69+SUM($AM69:AP69)</f>
        <v>2738762.8440367132</v>
      </c>
      <c r="BE69" s="48">
        <f>AC69+SUM($AM69:AQ69)</f>
        <v>2712925.4587156177</v>
      </c>
      <c r="BF69" s="48">
        <f>AD69+SUM($AM69:AR69)</f>
        <v>2687088.0733945221</v>
      </c>
      <c r="BG69" s="48">
        <f>AE69+SUM($AM69:AS69)</f>
        <v>2661250.6880734265</v>
      </c>
      <c r="BH69" s="48">
        <f>AF69+SUM($AM69:AT69)</f>
        <v>2635413.3027523309</v>
      </c>
      <c r="BI69" s="48">
        <f>AG69+SUM($AM69:AU69)</f>
        <v>2609575.9174312353</v>
      </c>
      <c r="BJ69" s="48">
        <f>AH69+SUM($AM69:AV69)</f>
        <v>2583738.5321101397</v>
      </c>
      <c r="BK69" s="48">
        <f>AI69+SUM($AM69:AW69)</f>
        <v>2557901.1467890441</v>
      </c>
      <c r="BL69" s="48">
        <f>AJ69+SUM($AM69:AX69)</f>
        <v>2532063.7614679486</v>
      </c>
      <c r="BM69" s="48">
        <f>AK69+SUM($AM69:AY69)</f>
        <v>2506226.376146853</v>
      </c>
      <c r="BO69" s="47"/>
    </row>
    <row r="70" spans="3:67" s="41" customFormat="1" hidden="1" x14ac:dyDescent="0.3">
      <c r="C70" s="41" t="s">
        <v>1340</v>
      </c>
      <c r="D70" s="42" t="s">
        <v>337</v>
      </c>
      <c r="E70" s="42" t="str">
        <f t="shared" si="1"/>
        <v>211</v>
      </c>
      <c r="F70" s="41" t="str">
        <f>_xlfn.XLOOKUP($D70,MD_Account_Asset_Type[Nhóm tài sản],MD_Account_Asset_Type[Tên Nhóm tài sản])</f>
        <v>Máy móc, thiết bị phụ - SX 627</v>
      </c>
      <c r="G70" s="41" t="str">
        <f>_xlfn.XLOOKUP($D70,MD_Account_Asset_Type[Nhóm tài sản],MD_Account_Asset_Type[Tên nhóm TS-Rút gọn])</f>
        <v>Máy móc thiết bị</v>
      </c>
      <c r="H70" s="41" t="str">
        <f>_xlfn.XLOOKUP($D70,MD_Account_Asset_Type[Nhóm tài sản],MD_Account_Asset_Type[Tên nhóm TS-Rút gọn-v2])</f>
        <v>Máy móc thiết bị</v>
      </c>
      <c r="I70" s="43" t="s">
        <v>997</v>
      </c>
      <c r="J70" s="42" t="s">
        <v>562</v>
      </c>
      <c r="K70" s="41" t="s">
        <v>830</v>
      </c>
      <c r="L70" s="42" t="s">
        <v>61</v>
      </c>
      <c r="M70" s="42" t="s">
        <v>136</v>
      </c>
      <c r="N70" s="44" t="s">
        <v>254</v>
      </c>
      <c r="O70" s="44"/>
      <c r="P70" s="41" t="s">
        <v>461</v>
      </c>
      <c r="Q70" s="41" t="str">
        <f t="shared" si="2"/>
        <v>627</v>
      </c>
      <c r="R70" s="41" t="str">
        <f>_xlfn.XLOOKUP($L70,MD_Cost_Center[Mã Cost Center],MD_Cost_Center[Ngành])</f>
        <v>PET</v>
      </c>
      <c r="S70" s="41" t="str">
        <f>_xlfn.XLOOKUP($L70,MD_Cost_Center[Mã Cost Center],MD_Cost_Center[Ngành-Tách PET-Xơ sợi])</f>
        <v>Chung-PET</v>
      </c>
      <c r="T70" s="45">
        <v>44958</v>
      </c>
      <c r="U70" s="46">
        <v>46054</v>
      </c>
      <c r="V70" s="47">
        <v>144</v>
      </c>
      <c r="W70" s="47">
        <v>80735343</v>
      </c>
      <c r="X70" s="47">
        <v>-20574.752293577982</v>
      </c>
      <c r="Y70" s="47">
        <v>80735343</v>
      </c>
      <c r="Z70" s="47">
        <v>80735343</v>
      </c>
      <c r="AA70" s="47">
        <v>80735343</v>
      </c>
      <c r="AB70" s="47">
        <v>80735343</v>
      </c>
      <c r="AC70" s="47">
        <v>80735343</v>
      </c>
      <c r="AD70" s="47">
        <v>80735343</v>
      </c>
      <c r="AE70" s="47">
        <v>80735343</v>
      </c>
      <c r="AF70" s="47">
        <v>80735343</v>
      </c>
      <c r="AG70" s="47">
        <v>80735343</v>
      </c>
      <c r="AH70" s="47">
        <v>80735343</v>
      </c>
      <c r="AI70" s="47">
        <v>80735343</v>
      </c>
      <c r="AJ70" s="47">
        <v>80735343</v>
      </c>
      <c r="AK70" s="47">
        <v>80735343</v>
      </c>
      <c r="AL70" s="47">
        <v>-26911781</v>
      </c>
      <c r="AM70" s="47">
        <v>-78492695</v>
      </c>
      <c r="AN70" s="47">
        <v>-20574.752293577982</v>
      </c>
      <c r="AO70" s="47">
        <v>-20574.752293577982</v>
      </c>
      <c r="AP70" s="47">
        <v>-20574.752293577982</v>
      </c>
      <c r="AQ70" s="47">
        <v>-20574.752293577982</v>
      </c>
      <c r="AR70" s="47">
        <v>-20574.752293577982</v>
      </c>
      <c r="AS70" s="47">
        <v>-20574.752293577982</v>
      </c>
      <c r="AT70" s="47">
        <v>-20574.752293577982</v>
      </c>
      <c r="AU70" s="47">
        <v>-20574.752293577982</v>
      </c>
      <c r="AV70" s="47">
        <v>-20574.752293577982</v>
      </c>
      <c r="AW70" s="47">
        <v>-20574.752293577982</v>
      </c>
      <c r="AX70" s="47">
        <v>-20574.752293577982</v>
      </c>
      <c r="AY70" s="47">
        <v>-20574.752293577982</v>
      </c>
      <c r="AZ70" s="58">
        <f t="shared" si="3"/>
        <v>-246897.02752293574</v>
      </c>
      <c r="BA70" s="47">
        <f>Y70+SUM($AM70:AM70)</f>
        <v>2242648</v>
      </c>
      <c r="BB70" s="48">
        <f>Z70+SUM($AM70:AN70)</f>
        <v>2222073.2477064282</v>
      </c>
      <c r="BC70" s="48">
        <f>AA70+SUM($AM70:AO70)</f>
        <v>2201498.4954128563</v>
      </c>
      <c r="BD70" s="48">
        <f>AB70+SUM($AM70:AP70)</f>
        <v>2180923.7431192845</v>
      </c>
      <c r="BE70" s="48">
        <f>AC70+SUM($AM70:AQ70)</f>
        <v>2160348.9908257127</v>
      </c>
      <c r="BF70" s="48">
        <f>AD70+SUM($AM70:AR70)</f>
        <v>2139774.2385321409</v>
      </c>
      <c r="BG70" s="48">
        <f>AE70+SUM($AM70:AS70)</f>
        <v>2119199.486238569</v>
      </c>
      <c r="BH70" s="48">
        <f>AF70+SUM($AM70:AT70)</f>
        <v>2098624.7339449972</v>
      </c>
      <c r="BI70" s="48">
        <f>AG70+SUM($AM70:AU70)</f>
        <v>2078049.9816514254</v>
      </c>
      <c r="BJ70" s="48">
        <f>AH70+SUM($AM70:AV70)</f>
        <v>2057475.2293578535</v>
      </c>
      <c r="BK70" s="48">
        <f>AI70+SUM($AM70:AW70)</f>
        <v>2036900.4770642817</v>
      </c>
      <c r="BL70" s="48">
        <f>AJ70+SUM($AM70:AX70)</f>
        <v>2016325.7247707099</v>
      </c>
      <c r="BM70" s="48">
        <f>AK70+SUM($AM70:AY70)</f>
        <v>1995750.972477138</v>
      </c>
      <c r="BO70" s="47"/>
    </row>
    <row r="71" spans="3:67" s="41" customFormat="1" hidden="1" x14ac:dyDescent="0.3">
      <c r="C71" s="41" t="s">
        <v>1340</v>
      </c>
      <c r="D71" s="42" t="s">
        <v>337</v>
      </c>
      <c r="E71" s="42" t="str">
        <f t="shared" si="1"/>
        <v>211</v>
      </c>
      <c r="F71" s="41" t="str">
        <f>_xlfn.XLOOKUP($D71,MD_Account_Asset_Type[Nhóm tài sản],MD_Account_Asset_Type[Tên Nhóm tài sản])</f>
        <v>Máy móc, thiết bị phụ - SX 627</v>
      </c>
      <c r="G71" s="41" t="str">
        <f>_xlfn.XLOOKUP($D71,MD_Account_Asset_Type[Nhóm tài sản],MD_Account_Asset_Type[Tên nhóm TS-Rút gọn])</f>
        <v>Máy móc thiết bị</v>
      </c>
      <c r="H71" s="41" t="str">
        <f>_xlfn.XLOOKUP($D71,MD_Account_Asset_Type[Nhóm tài sản],MD_Account_Asset_Type[Tên nhóm TS-Rút gọn-v2])</f>
        <v>Máy móc thiết bị</v>
      </c>
      <c r="I71" s="43" t="s">
        <v>998</v>
      </c>
      <c r="J71" s="42" t="s">
        <v>563</v>
      </c>
      <c r="K71" s="41" t="s">
        <v>830</v>
      </c>
      <c r="L71" s="42" t="s">
        <v>46</v>
      </c>
      <c r="M71" s="42" t="s">
        <v>121</v>
      </c>
      <c r="N71" s="44">
        <v>0</v>
      </c>
      <c r="O71" s="44"/>
      <c r="P71" s="41" t="s">
        <v>461</v>
      </c>
      <c r="Q71" s="41" t="str">
        <f t="shared" si="2"/>
        <v>627</v>
      </c>
      <c r="R71" s="41" t="str">
        <f>_xlfn.XLOOKUP($L71,MD_Cost_Center[Mã Cost Center],MD_Cost_Center[Ngành])</f>
        <v>Chung</v>
      </c>
      <c r="S71" s="41" t="str">
        <f>_xlfn.XLOOKUP($L71,MD_Cost_Center[Mã Cost Center],MD_Cost_Center[Ngành-Tách PET-Xơ sợi])</f>
        <v>Chung</v>
      </c>
      <c r="T71" s="45">
        <v>44958</v>
      </c>
      <c r="U71" s="46">
        <v>46784</v>
      </c>
      <c r="V71" s="47">
        <v>144</v>
      </c>
      <c r="W71" s="47">
        <v>481950726</v>
      </c>
      <c r="X71" s="47">
        <v>-1842319.2935779816</v>
      </c>
      <c r="Y71" s="47">
        <v>481950726</v>
      </c>
      <c r="Z71" s="47">
        <v>481950726</v>
      </c>
      <c r="AA71" s="47">
        <v>481950726</v>
      </c>
      <c r="AB71" s="47">
        <v>481950726</v>
      </c>
      <c r="AC71" s="47">
        <v>481950726</v>
      </c>
      <c r="AD71" s="47">
        <v>481950726</v>
      </c>
      <c r="AE71" s="47">
        <v>481950726</v>
      </c>
      <c r="AF71" s="47">
        <v>481950726</v>
      </c>
      <c r="AG71" s="47">
        <v>481950726</v>
      </c>
      <c r="AH71" s="47">
        <v>481950726</v>
      </c>
      <c r="AI71" s="47">
        <v>481950726</v>
      </c>
      <c r="AJ71" s="47">
        <v>481950726</v>
      </c>
      <c r="AK71" s="47">
        <v>481950726</v>
      </c>
      <c r="AL71" s="47">
        <v>-96390145</v>
      </c>
      <c r="AM71" s="47">
        <v>-281137923</v>
      </c>
      <c r="AN71" s="47">
        <v>-1842319.2935779816</v>
      </c>
      <c r="AO71" s="47">
        <v>-1842319.2935779816</v>
      </c>
      <c r="AP71" s="47">
        <v>-1842319.2935779816</v>
      </c>
      <c r="AQ71" s="47">
        <v>-1842319.2935779816</v>
      </c>
      <c r="AR71" s="47">
        <v>-1842319.2935779816</v>
      </c>
      <c r="AS71" s="47">
        <v>-1842319.2935779816</v>
      </c>
      <c r="AT71" s="47">
        <v>-1842319.2935779816</v>
      </c>
      <c r="AU71" s="47">
        <v>-1842319.2935779816</v>
      </c>
      <c r="AV71" s="47">
        <v>-1842319.2935779816</v>
      </c>
      <c r="AW71" s="47">
        <v>-1842319.2935779816</v>
      </c>
      <c r="AX71" s="47">
        <v>-1842319.2935779816</v>
      </c>
      <c r="AY71" s="47">
        <v>-1842319.2935779816</v>
      </c>
      <c r="AZ71" s="58">
        <f t="shared" si="3"/>
        <v>-22107831.522935778</v>
      </c>
      <c r="BA71" s="47">
        <f>Y71+SUM($AM71:AM71)</f>
        <v>200812803</v>
      </c>
      <c r="BB71" s="48">
        <f>Z71+SUM($AM71:AN71)</f>
        <v>198970483.70642203</v>
      </c>
      <c r="BC71" s="48">
        <f>AA71+SUM($AM71:AO71)</f>
        <v>197128164.41284406</v>
      </c>
      <c r="BD71" s="48">
        <f>AB71+SUM($AM71:AP71)</f>
        <v>195285845.11926609</v>
      </c>
      <c r="BE71" s="48">
        <f>AC71+SUM($AM71:AQ71)</f>
        <v>193443525.82568812</v>
      </c>
      <c r="BF71" s="48">
        <f>AD71+SUM($AM71:AR71)</f>
        <v>191601206.53211015</v>
      </c>
      <c r="BG71" s="48">
        <f>AE71+SUM($AM71:AS71)</f>
        <v>189758887.23853219</v>
      </c>
      <c r="BH71" s="48">
        <f>AF71+SUM($AM71:AT71)</f>
        <v>187916567.94495422</v>
      </c>
      <c r="BI71" s="48">
        <f>AG71+SUM($AM71:AU71)</f>
        <v>186074248.65137625</v>
      </c>
      <c r="BJ71" s="48">
        <f>AH71+SUM($AM71:AV71)</f>
        <v>184231929.35779828</v>
      </c>
      <c r="BK71" s="48">
        <f>AI71+SUM($AM71:AW71)</f>
        <v>182389610.06422031</v>
      </c>
      <c r="BL71" s="48">
        <f>AJ71+SUM($AM71:AX71)</f>
        <v>180547290.77064234</v>
      </c>
      <c r="BM71" s="48">
        <f>AK71+SUM($AM71:AY71)</f>
        <v>178704971.47706437</v>
      </c>
      <c r="BO71" s="47"/>
    </row>
    <row r="72" spans="3:67" s="41" customFormat="1" hidden="1" x14ac:dyDescent="0.3">
      <c r="C72" s="41" t="s">
        <v>1340</v>
      </c>
      <c r="D72" s="42" t="s">
        <v>337</v>
      </c>
      <c r="E72" s="42" t="str">
        <f t="shared" si="1"/>
        <v>211</v>
      </c>
      <c r="F72" s="41" t="str">
        <f>_xlfn.XLOOKUP($D72,MD_Account_Asset_Type[Nhóm tài sản],MD_Account_Asset_Type[Tên Nhóm tài sản])</f>
        <v>Máy móc, thiết bị phụ - SX 627</v>
      </c>
      <c r="G72" s="41" t="str">
        <f>_xlfn.XLOOKUP($D72,MD_Account_Asset_Type[Nhóm tài sản],MD_Account_Asset_Type[Tên nhóm TS-Rút gọn])</f>
        <v>Máy móc thiết bị</v>
      </c>
      <c r="H72" s="41" t="str">
        <f>_xlfn.XLOOKUP($D72,MD_Account_Asset_Type[Nhóm tài sản],MD_Account_Asset_Type[Tên nhóm TS-Rút gọn-v2])</f>
        <v>Máy móc thiết bị</v>
      </c>
      <c r="I72" s="43" t="s">
        <v>999</v>
      </c>
      <c r="J72" s="42" t="s">
        <v>564</v>
      </c>
      <c r="K72" s="41" t="s">
        <v>830</v>
      </c>
      <c r="L72" s="42" t="s">
        <v>45</v>
      </c>
      <c r="M72" s="42" t="s">
        <v>120</v>
      </c>
      <c r="N72" s="44">
        <v>0</v>
      </c>
      <c r="O72" s="44"/>
      <c r="P72" s="41" t="s">
        <v>461</v>
      </c>
      <c r="Q72" s="41" t="str">
        <f t="shared" si="2"/>
        <v>627</v>
      </c>
      <c r="R72" s="41" t="str">
        <f>_xlfn.XLOOKUP($L72,MD_Cost_Center[Mã Cost Center],MD_Cost_Center[Ngành])</f>
        <v>Chung</v>
      </c>
      <c r="S72" s="41" t="str">
        <f>_xlfn.XLOOKUP($L72,MD_Cost_Center[Mã Cost Center],MD_Cost_Center[Ngành-Tách PET-Xơ sợi])</f>
        <v>Chung</v>
      </c>
      <c r="T72" s="45">
        <v>44986</v>
      </c>
      <c r="U72" s="46">
        <v>46082</v>
      </c>
      <c r="V72" s="47">
        <v>144</v>
      </c>
      <c r="W72" s="47">
        <v>90310000</v>
      </c>
      <c r="X72" s="47">
        <v>-45611.109090909093</v>
      </c>
      <c r="Y72" s="47">
        <v>90310000</v>
      </c>
      <c r="Z72" s="47">
        <v>90310000</v>
      </c>
      <c r="AA72" s="47">
        <v>90310000</v>
      </c>
      <c r="AB72" s="47">
        <v>90310000</v>
      </c>
      <c r="AC72" s="47">
        <v>90310000</v>
      </c>
      <c r="AD72" s="47">
        <v>90310000</v>
      </c>
      <c r="AE72" s="47">
        <v>90310000</v>
      </c>
      <c r="AF72" s="47">
        <v>90310000</v>
      </c>
      <c r="AG72" s="47">
        <v>90310000</v>
      </c>
      <c r="AH72" s="47">
        <v>90310000</v>
      </c>
      <c r="AI72" s="47">
        <v>90310000</v>
      </c>
      <c r="AJ72" s="47">
        <v>90310000</v>
      </c>
      <c r="AK72" s="47">
        <v>90310000</v>
      </c>
      <c r="AL72" s="47">
        <v>-30103334</v>
      </c>
      <c r="AM72" s="47">
        <v>-85292778</v>
      </c>
      <c r="AN72" s="47">
        <v>-45611.109090909093</v>
      </c>
      <c r="AO72" s="47">
        <v>-45611.109090909093</v>
      </c>
      <c r="AP72" s="47">
        <v>-45611.109090909093</v>
      </c>
      <c r="AQ72" s="47">
        <v>-45611.109090909093</v>
      </c>
      <c r="AR72" s="47">
        <v>-45611.109090909093</v>
      </c>
      <c r="AS72" s="47">
        <v>-45611.109090909093</v>
      </c>
      <c r="AT72" s="47">
        <v>-45611.109090909093</v>
      </c>
      <c r="AU72" s="47">
        <v>-45611.109090909093</v>
      </c>
      <c r="AV72" s="47">
        <v>-45611.109090909093</v>
      </c>
      <c r="AW72" s="47">
        <v>-45611.109090909093</v>
      </c>
      <c r="AX72" s="47">
        <v>-45611.109090909093</v>
      </c>
      <c r="AY72" s="47">
        <v>-45611.109090909093</v>
      </c>
      <c r="AZ72" s="58">
        <f t="shared" si="3"/>
        <v>-547333.30909090897</v>
      </c>
      <c r="BA72" s="47">
        <f>Y72+SUM($AM72:AM72)</f>
        <v>5017222</v>
      </c>
      <c r="BB72" s="48">
        <f>Z72+SUM($AM72:AN72)</f>
        <v>4971610.8909090906</v>
      </c>
      <c r="BC72" s="48">
        <f>AA72+SUM($AM72:AO72)</f>
        <v>4925999.7818181813</v>
      </c>
      <c r="BD72" s="48">
        <f>AB72+SUM($AM72:AP72)</f>
        <v>4880388.6727272719</v>
      </c>
      <c r="BE72" s="48">
        <f>AC72+SUM($AM72:AQ72)</f>
        <v>4834777.5636363626</v>
      </c>
      <c r="BF72" s="48">
        <f>AD72+SUM($AM72:AR72)</f>
        <v>4789166.4545454532</v>
      </c>
      <c r="BG72" s="48">
        <f>AE72+SUM($AM72:AS72)</f>
        <v>4743555.3454545438</v>
      </c>
      <c r="BH72" s="48">
        <f>AF72+SUM($AM72:AT72)</f>
        <v>4697944.2363636345</v>
      </c>
      <c r="BI72" s="48">
        <f>AG72+SUM($AM72:AU72)</f>
        <v>4652333.1272727251</v>
      </c>
      <c r="BJ72" s="48">
        <f>AH72+SUM($AM72:AV72)</f>
        <v>4606722.0181818157</v>
      </c>
      <c r="BK72" s="48">
        <f>AI72+SUM($AM72:AW72)</f>
        <v>4561110.9090909064</v>
      </c>
      <c r="BL72" s="48">
        <f>AJ72+SUM($AM72:AX72)</f>
        <v>4515499.799999997</v>
      </c>
      <c r="BM72" s="48">
        <f>AK72+SUM($AM72:AY72)</f>
        <v>4469888.6909090877</v>
      </c>
      <c r="BO72" s="47"/>
    </row>
    <row r="73" spans="3:67" s="41" customFormat="1" hidden="1" x14ac:dyDescent="0.3">
      <c r="C73" s="41" t="s">
        <v>1340</v>
      </c>
      <c r="D73" s="42" t="s">
        <v>337</v>
      </c>
      <c r="E73" s="42" t="str">
        <f t="shared" si="1"/>
        <v>211</v>
      </c>
      <c r="F73" s="41" t="str">
        <f>_xlfn.XLOOKUP($D73,MD_Account_Asset_Type[Nhóm tài sản],MD_Account_Asset_Type[Tên Nhóm tài sản])</f>
        <v>Máy móc, thiết bị phụ - SX 627</v>
      </c>
      <c r="G73" s="41" t="str">
        <f>_xlfn.XLOOKUP($D73,MD_Account_Asset_Type[Nhóm tài sản],MD_Account_Asset_Type[Tên nhóm TS-Rút gọn])</f>
        <v>Máy móc thiết bị</v>
      </c>
      <c r="H73" s="41" t="str">
        <f>_xlfn.XLOOKUP($D73,MD_Account_Asset_Type[Nhóm tài sản],MD_Account_Asset_Type[Tên nhóm TS-Rút gọn-v2])</f>
        <v>Máy móc thiết bị</v>
      </c>
      <c r="I73" s="43" t="s">
        <v>1002</v>
      </c>
      <c r="J73" s="42" t="s">
        <v>565</v>
      </c>
      <c r="K73" s="41" t="s">
        <v>830</v>
      </c>
      <c r="L73" s="42" t="s">
        <v>46</v>
      </c>
      <c r="M73" s="42" t="s">
        <v>121</v>
      </c>
      <c r="N73" s="44">
        <v>0</v>
      </c>
      <c r="O73" s="44"/>
      <c r="P73" s="41" t="s">
        <v>461</v>
      </c>
      <c r="Q73" s="41" t="str">
        <f t="shared" si="2"/>
        <v>627</v>
      </c>
      <c r="R73" s="41" t="str">
        <f>_xlfn.XLOOKUP($L73,MD_Cost_Center[Mã Cost Center],MD_Cost_Center[Ngành])</f>
        <v>Chung</v>
      </c>
      <c r="S73" s="41" t="str">
        <f>_xlfn.XLOOKUP($L73,MD_Cost_Center[Mã Cost Center],MD_Cost_Center[Ngành-Tách PET-Xơ sợi])</f>
        <v>Chung</v>
      </c>
      <c r="T73" s="45">
        <v>44986</v>
      </c>
      <c r="U73" s="46">
        <v>46082</v>
      </c>
      <c r="V73" s="47">
        <v>144</v>
      </c>
      <c r="W73" s="47">
        <v>107872588</v>
      </c>
      <c r="X73" s="47">
        <v>-54481.109090909093</v>
      </c>
      <c r="Y73" s="47">
        <v>107872588</v>
      </c>
      <c r="Z73" s="47">
        <v>107872588</v>
      </c>
      <c r="AA73" s="47">
        <v>107872588</v>
      </c>
      <c r="AB73" s="47">
        <v>107872588</v>
      </c>
      <c r="AC73" s="47">
        <v>107872588</v>
      </c>
      <c r="AD73" s="47">
        <v>107872588</v>
      </c>
      <c r="AE73" s="47">
        <v>107872588</v>
      </c>
      <c r="AF73" s="47">
        <v>107872588</v>
      </c>
      <c r="AG73" s="47">
        <v>107872588</v>
      </c>
      <c r="AH73" s="47">
        <v>107872588</v>
      </c>
      <c r="AI73" s="47">
        <v>107872588</v>
      </c>
      <c r="AJ73" s="47">
        <v>107872588</v>
      </c>
      <c r="AK73" s="47">
        <v>107872588</v>
      </c>
      <c r="AL73" s="47">
        <v>-35957529</v>
      </c>
      <c r="AM73" s="47">
        <v>-101879666</v>
      </c>
      <c r="AN73" s="47">
        <v>-54481.109090909093</v>
      </c>
      <c r="AO73" s="47">
        <v>-54481.109090909093</v>
      </c>
      <c r="AP73" s="47">
        <v>-54481.109090909093</v>
      </c>
      <c r="AQ73" s="47">
        <v>-54481.109090909093</v>
      </c>
      <c r="AR73" s="47">
        <v>-54481.109090909093</v>
      </c>
      <c r="AS73" s="47">
        <v>-54481.109090909093</v>
      </c>
      <c r="AT73" s="47">
        <v>-54481.109090909093</v>
      </c>
      <c r="AU73" s="47">
        <v>-54481.109090909093</v>
      </c>
      <c r="AV73" s="47">
        <v>-54481.109090909093</v>
      </c>
      <c r="AW73" s="47">
        <v>-54481.109090909093</v>
      </c>
      <c r="AX73" s="47">
        <v>-54481.109090909093</v>
      </c>
      <c r="AY73" s="47">
        <v>-54481.109090909093</v>
      </c>
      <c r="AZ73" s="58">
        <f t="shared" si="3"/>
        <v>-653773.30909090908</v>
      </c>
      <c r="BA73" s="47">
        <f>Y73+SUM($AM73:AM73)</f>
        <v>5992922</v>
      </c>
      <c r="BB73" s="48">
        <f>Z73+SUM($AM73:AN73)</f>
        <v>5938440.8909090906</v>
      </c>
      <c r="BC73" s="48">
        <f>AA73+SUM($AM73:AO73)</f>
        <v>5883959.7818181813</v>
      </c>
      <c r="BD73" s="48">
        <f>AB73+SUM($AM73:AP73)</f>
        <v>5829478.6727272719</v>
      </c>
      <c r="BE73" s="48">
        <f>AC73+SUM($AM73:AQ73)</f>
        <v>5774997.5636363626</v>
      </c>
      <c r="BF73" s="48">
        <f>AD73+SUM($AM73:AR73)</f>
        <v>5720516.4545454532</v>
      </c>
      <c r="BG73" s="48">
        <f>AE73+SUM($AM73:AS73)</f>
        <v>5666035.3454545438</v>
      </c>
      <c r="BH73" s="48">
        <f>AF73+SUM($AM73:AT73)</f>
        <v>5611554.2363636345</v>
      </c>
      <c r="BI73" s="48">
        <f>AG73+SUM($AM73:AU73)</f>
        <v>5557073.1272727251</v>
      </c>
      <c r="BJ73" s="48">
        <f>AH73+SUM($AM73:AV73)</f>
        <v>5502592.0181818157</v>
      </c>
      <c r="BK73" s="48">
        <f>AI73+SUM($AM73:AW73)</f>
        <v>5448110.9090909064</v>
      </c>
      <c r="BL73" s="48">
        <f>AJ73+SUM($AM73:AX73)</f>
        <v>5393629.799999997</v>
      </c>
      <c r="BM73" s="48">
        <f>AK73+SUM($AM73:AY73)</f>
        <v>5339148.6909090877</v>
      </c>
      <c r="BO73" s="47"/>
    </row>
    <row r="74" spans="3:67" s="41" customFormat="1" hidden="1" x14ac:dyDescent="0.3">
      <c r="C74" s="41" t="s">
        <v>1340</v>
      </c>
      <c r="D74" s="42" t="s">
        <v>337</v>
      </c>
      <c r="E74" s="42" t="str">
        <f t="shared" ref="E74:E137" si="4">MID($D74,2,3)</f>
        <v>211</v>
      </c>
      <c r="F74" s="41" t="str">
        <f>_xlfn.XLOOKUP($D74,MD_Account_Asset_Type[Nhóm tài sản],MD_Account_Asset_Type[Tên Nhóm tài sản])</f>
        <v>Máy móc, thiết bị phụ - SX 627</v>
      </c>
      <c r="G74" s="41" t="str">
        <f>_xlfn.XLOOKUP($D74,MD_Account_Asset_Type[Nhóm tài sản],MD_Account_Asset_Type[Tên nhóm TS-Rút gọn])</f>
        <v>Máy móc thiết bị</v>
      </c>
      <c r="H74" s="41" t="str">
        <f>_xlfn.XLOOKUP($D74,MD_Account_Asset_Type[Nhóm tài sản],MD_Account_Asset_Type[Tên nhóm TS-Rút gọn-v2])</f>
        <v>Máy móc thiết bị</v>
      </c>
      <c r="I74" s="43" t="s">
        <v>1003</v>
      </c>
      <c r="J74" s="42" t="s">
        <v>566</v>
      </c>
      <c r="K74" s="41" t="s">
        <v>830</v>
      </c>
      <c r="L74" s="42" t="s">
        <v>48</v>
      </c>
      <c r="M74" s="42" t="s">
        <v>123</v>
      </c>
      <c r="N74" s="44">
        <v>0</v>
      </c>
      <c r="O74" s="44"/>
      <c r="P74" s="41" t="s">
        <v>461</v>
      </c>
      <c r="Q74" s="41" t="str">
        <f t="shared" ref="Q74:Q137" si="5">LEFT($P74,3)</f>
        <v>627</v>
      </c>
      <c r="R74" s="41" t="str">
        <f>_xlfn.XLOOKUP($L74,MD_Cost_Center[Mã Cost Center],MD_Cost_Center[Ngành])</f>
        <v>PET</v>
      </c>
      <c r="S74" s="41" t="str">
        <f>_xlfn.XLOOKUP($L74,MD_Cost_Center[Mã Cost Center],MD_Cost_Center[Ngành-Tách PET-Xơ sợi])</f>
        <v>Chung-PET</v>
      </c>
      <c r="T74" s="45">
        <v>44986</v>
      </c>
      <c r="U74" s="46">
        <v>46813</v>
      </c>
      <c r="V74" s="47">
        <v>144</v>
      </c>
      <c r="W74" s="47">
        <v>1168004580</v>
      </c>
      <c r="X74" s="47">
        <v>-4601230.163636364</v>
      </c>
      <c r="Y74" s="47">
        <v>1168004580</v>
      </c>
      <c r="Z74" s="47">
        <v>1168004580</v>
      </c>
      <c r="AA74" s="47">
        <v>1168004580</v>
      </c>
      <c r="AB74" s="47">
        <v>1168004580</v>
      </c>
      <c r="AC74" s="47">
        <v>1168004580</v>
      </c>
      <c r="AD74" s="47">
        <v>1168004580</v>
      </c>
      <c r="AE74" s="47">
        <v>1168004580</v>
      </c>
      <c r="AF74" s="47">
        <v>1168004580</v>
      </c>
      <c r="AG74" s="47">
        <v>1168004580</v>
      </c>
      <c r="AH74" s="47">
        <v>1168004580</v>
      </c>
      <c r="AI74" s="47">
        <v>1168004580</v>
      </c>
      <c r="AJ74" s="47">
        <v>1168004580</v>
      </c>
      <c r="AK74" s="47">
        <v>1168004580</v>
      </c>
      <c r="AL74" s="47">
        <v>-233600916</v>
      </c>
      <c r="AM74" s="47">
        <v>-661869262</v>
      </c>
      <c r="AN74" s="47">
        <v>-4601230.163636364</v>
      </c>
      <c r="AO74" s="47">
        <v>-4601230.163636364</v>
      </c>
      <c r="AP74" s="47">
        <v>-4601230.163636364</v>
      </c>
      <c r="AQ74" s="47">
        <v>-4601230.163636364</v>
      </c>
      <c r="AR74" s="47">
        <v>-4601230.163636364</v>
      </c>
      <c r="AS74" s="47">
        <v>-4601230.163636364</v>
      </c>
      <c r="AT74" s="47">
        <v>-4601230.163636364</v>
      </c>
      <c r="AU74" s="47">
        <v>-4601230.163636364</v>
      </c>
      <c r="AV74" s="47">
        <v>-4601230.163636364</v>
      </c>
      <c r="AW74" s="47">
        <v>-4601230.163636364</v>
      </c>
      <c r="AX74" s="47">
        <v>-4601230.163636364</v>
      </c>
      <c r="AY74" s="47">
        <v>-4601230.163636364</v>
      </c>
      <c r="AZ74" s="58">
        <f t="shared" si="3"/>
        <v>-55214761.963636369</v>
      </c>
      <c r="BA74" s="47">
        <f>Y74+SUM($AM74:AM74)</f>
        <v>506135318</v>
      </c>
      <c r="BB74" s="48">
        <f>Z74+SUM($AM74:AN74)</f>
        <v>501534087.83636367</v>
      </c>
      <c r="BC74" s="48">
        <f>AA74+SUM($AM74:AO74)</f>
        <v>496932857.67272735</v>
      </c>
      <c r="BD74" s="48">
        <f>AB74+SUM($AM74:AP74)</f>
        <v>492331627.50909102</v>
      </c>
      <c r="BE74" s="48">
        <f>AC74+SUM($AM74:AQ74)</f>
        <v>487730397.34545469</v>
      </c>
      <c r="BF74" s="48">
        <f>AD74+SUM($AM74:AR74)</f>
        <v>483129167.18181837</v>
      </c>
      <c r="BG74" s="48">
        <f>AE74+SUM($AM74:AS74)</f>
        <v>478527937.01818204</v>
      </c>
      <c r="BH74" s="48">
        <f>AF74+SUM($AM74:AT74)</f>
        <v>473926706.85454571</v>
      </c>
      <c r="BI74" s="48">
        <f>AG74+SUM($AM74:AU74)</f>
        <v>469325476.69090939</v>
      </c>
      <c r="BJ74" s="48">
        <f>AH74+SUM($AM74:AV74)</f>
        <v>464724246.52727306</v>
      </c>
      <c r="BK74" s="48">
        <f>AI74+SUM($AM74:AW74)</f>
        <v>460123016.36363673</v>
      </c>
      <c r="BL74" s="48">
        <f>AJ74+SUM($AM74:AX74)</f>
        <v>455521786.20000041</v>
      </c>
      <c r="BM74" s="48">
        <f>AK74+SUM($AM74:AY74)</f>
        <v>450920556.03636408</v>
      </c>
      <c r="BO74" s="47"/>
    </row>
    <row r="75" spans="3:67" s="41" customFormat="1" hidden="1" x14ac:dyDescent="0.3">
      <c r="C75" s="41" t="s">
        <v>1340</v>
      </c>
      <c r="D75" s="42" t="s">
        <v>337</v>
      </c>
      <c r="E75" s="42" t="str">
        <f t="shared" si="4"/>
        <v>211</v>
      </c>
      <c r="F75" s="41" t="str">
        <f>_xlfn.XLOOKUP($D75,MD_Account_Asset_Type[Nhóm tài sản],MD_Account_Asset_Type[Tên Nhóm tài sản])</f>
        <v>Máy móc, thiết bị phụ - SX 627</v>
      </c>
      <c r="G75" s="41" t="str">
        <f>_xlfn.XLOOKUP($D75,MD_Account_Asset_Type[Nhóm tài sản],MD_Account_Asset_Type[Tên nhóm TS-Rút gọn])</f>
        <v>Máy móc thiết bị</v>
      </c>
      <c r="H75" s="41" t="str">
        <f>_xlfn.XLOOKUP($D75,MD_Account_Asset_Type[Nhóm tài sản],MD_Account_Asset_Type[Tên nhóm TS-Rút gọn-v2])</f>
        <v>Máy móc thiết bị</v>
      </c>
      <c r="I75" s="43" t="s">
        <v>1004</v>
      </c>
      <c r="J75" s="42" t="s">
        <v>567</v>
      </c>
      <c r="K75" s="41" t="s">
        <v>830</v>
      </c>
      <c r="L75" s="42" t="s">
        <v>45</v>
      </c>
      <c r="M75" s="42" t="s">
        <v>120</v>
      </c>
      <c r="N75" s="44">
        <v>0</v>
      </c>
      <c r="O75" s="44"/>
      <c r="P75" s="41" t="s">
        <v>461</v>
      </c>
      <c r="Q75" s="41" t="str">
        <f t="shared" si="5"/>
        <v>627</v>
      </c>
      <c r="R75" s="41" t="str">
        <f>_xlfn.XLOOKUP($L75,MD_Cost_Center[Mã Cost Center],MD_Cost_Center[Ngành])</f>
        <v>Chung</v>
      </c>
      <c r="S75" s="41" t="str">
        <f>_xlfn.XLOOKUP($L75,MD_Cost_Center[Mã Cost Center],MD_Cost_Center[Ngành-Tách PET-Xơ sợi])</f>
        <v>Chung</v>
      </c>
      <c r="T75" s="45">
        <v>44986</v>
      </c>
      <c r="U75" s="46">
        <v>46082</v>
      </c>
      <c r="V75" s="47">
        <v>144</v>
      </c>
      <c r="W75" s="47">
        <v>79900000</v>
      </c>
      <c r="X75" s="47">
        <v>-40353.536363636362</v>
      </c>
      <c r="Y75" s="47">
        <v>79900000</v>
      </c>
      <c r="Z75" s="47">
        <v>79900000</v>
      </c>
      <c r="AA75" s="47">
        <v>79900000</v>
      </c>
      <c r="AB75" s="47">
        <v>79900000</v>
      </c>
      <c r="AC75" s="47">
        <v>79900000</v>
      </c>
      <c r="AD75" s="47">
        <v>79900000</v>
      </c>
      <c r="AE75" s="47">
        <v>79900000</v>
      </c>
      <c r="AF75" s="47">
        <v>79900000</v>
      </c>
      <c r="AG75" s="47">
        <v>79900000</v>
      </c>
      <c r="AH75" s="47">
        <v>79900000</v>
      </c>
      <c r="AI75" s="47">
        <v>79900000</v>
      </c>
      <c r="AJ75" s="47">
        <v>79900000</v>
      </c>
      <c r="AK75" s="47">
        <v>79900000</v>
      </c>
      <c r="AL75" s="47">
        <v>-26633333</v>
      </c>
      <c r="AM75" s="47">
        <v>-75461111</v>
      </c>
      <c r="AN75" s="47">
        <v>-40353.536363636362</v>
      </c>
      <c r="AO75" s="47">
        <v>-40353.536363636362</v>
      </c>
      <c r="AP75" s="47">
        <v>-40353.536363636362</v>
      </c>
      <c r="AQ75" s="47">
        <v>-40353.536363636362</v>
      </c>
      <c r="AR75" s="47">
        <v>-40353.536363636362</v>
      </c>
      <c r="AS75" s="47">
        <v>-40353.536363636362</v>
      </c>
      <c r="AT75" s="47">
        <v>-40353.536363636362</v>
      </c>
      <c r="AU75" s="47">
        <v>-40353.536363636362</v>
      </c>
      <c r="AV75" s="47">
        <v>-40353.536363636362</v>
      </c>
      <c r="AW75" s="47">
        <v>-40353.536363636362</v>
      </c>
      <c r="AX75" s="47">
        <v>-40353.536363636362</v>
      </c>
      <c r="AY75" s="47">
        <v>-40353.536363636362</v>
      </c>
      <c r="AZ75" s="58">
        <f t="shared" si="3"/>
        <v>-484242.43636363646</v>
      </c>
      <c r="BA75" s="47">
        <f>Y75+SUM($AM75:AM75)</f>
        <v>4438889</v>
      </c>
      <c r="BB75" s="48">
        <f>Z75+SUM($AM75:AN75)</f>
        <v>4398535.4636363685</v>
      </c>
      <c r="BC75" s="48">
        <f>AA75+SUM($AM75:AO75)</f>
        <v>4358181.927272737</v>
      </c>
      <c r="BD75" s="48">
        <f>AB75+SUM($AM75:AP75)</f>
        <v>4317828.3909091055</v>
      </c>
      <c r="BE75" s="48">
        <f>AC75+SUM($AM75:AQ75)</f>
        <v>4277474.8545454741</v>
      </c>
      <c r="BF75" s="48">
        <f>AD75+SUM($AM75:AR75)</f>
        <v>4237121.3181818426</v>
      </c>
      <c r="BG75" s="48">
        <f>AE75+SUM($AM75:AS75)</f>
        <v>4196767.7818182111</v>
      </c>
      <c r="BH75" s="48">
        <f>AF75+SUM($AM75:AT75)</f>
        <v>4156414.2454545796</v>
      </c>
      <c r="BI75" s="48">
        <f>AG75+SUM($AM75:AU75)</f>
        <v>4116060.7090909481</v>
      </c>
      <c r="BJ75" s="48">
        <f>AH75+SUM($AM75:AV75)</f>
        <v>4075707.1727273166</v>
      </c>
      <c r="BK75" s="48">
        <f>AI75+SUM($AM75:AW75)</f>
        <v>4035353.6363636851</v>
      </c>
      <c r="BL75" s="48">
        <f>AJ75+SUM($AM75:AX75)</f>
        <v>3995000.1000000536</v>
      </c>
      <c r="BM75" s="48">
        <f>AK75+SUM($AM75:AY75)</f>
        <v>3954646.5636364222</v>
      </c>
      <c r="BO75" s="47"/>
    </row>
    <row r="76" spans="3:67" s="41" customFormat="1" hidden="1" x14ac:dyDescent="0.3">
      <c r="C76" s="41" t="s">
        <v>1340</v>
      </c>
      <c r="D76" s="42" t="s">
        <v>337</v>
      </c>
      <c r="E76" s="42" t="str">
        <f t="shared" si="4"/>
        <v>211</v>
      </c>
      <c r="F76" s="41" t="str">
        <f>_xlfn.XLOOKUP($D76,MD_Account_Asset_Type[Nhóm tài sản],MD_Account_Asset_Type[Tên Nhóm tài sản])</f>
        <v>Máy móc, thiết bị phụ - SX 627</v>
      </c>
      <c r="G76" s="41" t="str">
        <f>_xlfn.XLOOKUP($D76,MD_Account_Asset_Type[Nhóm tài sản],MD_Account_Asset_Type[Tên nhóm TS-Rút gọn])</f>
        <v>Máy móc thiết bị</v>
      </c>
      <c r="H76" s="41" t="str">
        <f>_xlfn.XLOOKUP($D76,MD_Account_Asset_Type[Nhóm tài sản],MD_Account_Asset_Type[Tên nhóm TS-Rút gọn-v2])</f>
        <v>Máy móc thiết bị</v>
      </c>
      <c r="I76" s="43" t="s">
        <v>1005</v>
      </c>
      <c r="J76" s="42" t="s">
        <v>568</v>
      </c>
      <c r="K76" s="41" t="s">
        <v>830</v>
      </c>
      <c r="L76" s="42" t="s">
        <v>48</v>
      </c>
      <c r="M76" s="42" t="s">
        <v>123</v>
      </c>
      <c r="N76" s="44">
        <v>0</v>
      </c>
      <c r="O76" s="44"/>
      <c r="P76" s="41" t="s">
        <v>461</v>
      </c>
      <c r="Q76" s="41" t="str">
        <f t="shared" si="5"/>
        <v>627</v>
      </c>
      <c r="R76" s="41" t="str">
        <f>_xlfn.XLOOKUP($L76,MD_Cost_Center[Mã Cost Center],MD_Cost_Center[Ngành])</f>
        <v>PET</v>
      </c>
      <c r="S76" s="41" t="str">
        <f>_xlfn.XLOOKUP($L76,MD_Cost_Center[Mã Cost Center],MD_Cost_Center[Ngành-Tách PET-Xơ sợi])</f>
        <v>Chung-PET</v>
      </c>
      <c r="T76" s="45">
        <v>44986</v>
      </c>
      <c r="U76" s="46">
        <v>46082</v>
      </c>
      <c r="V76" s="47">
        <v>144</v>
      </c>
      <c r="W76" s="47">
        <v>217500000</v>
      </c>
      <c r="X76" s="47">
        <v>-109848.48181818181</v>
      </c>
      <c r="Y76" s="47">
        <v>217500000</v>
      </c>
      <c r="Z76" s="47">
        <v>217500000</v>
      </c>
      <c r="AA76" s="47">
        <v>217500000</v>
      </c>
      <c r="AB76" s="47">
        <v>217500000</v>
      </c>
      <c r="AC76" s="47">
        <v>217500000</v>
      </c>
      <c r="AD76" s="47">
        <v>217500000</v>
      </c>
      <c r="AE76" s="47">
        <v>217500000</v>
      </c>
      <c r="AF76" s="47">
        <v>217500000</v>
      </c>
      <c r="AG76" s="47">
        <v>217500000</v>
      </c>
      <c r="AH76" s="47">
        <v>217500000</v>
      </c>
      <c r="AI76" s="47">
        <v>217500000</v>
      </c>
      <c r="AJ76" s="47">
        <v>217500000</v>
      </c>
      <c r="AK76" s="47">
        <v>217500000</v>
      </c>
      <c r="AL76" s="47">
        <v>-72500000</v>
      </c>
      <c r="AM76" s="47">
        <v>-205416667</v>
      </c>
      <c r="AN76" s="47">
        <v>-109848.48181818181</v>
      </c>
      <c r="AO76" s="47">
        <v>-109848.48181818181</v>
      </c>
      <c r="AP76" s="47">
        <v>-109848.48181818181</v>
      </c>
      <c r="AQ76" s="47">
        <v>-109848.48181818181</v>
      </c>
      <c r="AR76" s="47">
        <v>-109848.48181818181</v>
      </c>
      <c r="AS76" s="47">
        <v>-109848.48181818181</v>
      </c>
      <c r="AT76" s="47">
        <v>-109848.48181818181</v>
      </c>
      <c r="AU76" s="47">
        <v>-109848.48181818181</v>
      </c>
      <c r="AV76" s="47">
        <v>-109848.48181818181</v>
      </c>
      <c r="AW76" s="47">
        <v>-109848.48181818181</v>
      </c>
      <c r="AX76" s="47">
        <v>-109848.48181818181</v>
      </c>
      <c r="AY76" s="47">
        <v>-109848.48181818181</v>
      </c>
      <c r="AZ76" s="58">
        <f t="shared" si="3"/>
        <v>-1318181.7818181817</v>
      </c>
      <c r="BA76" s="47">
        <f>Y76+SUM($AM76:AM76)</f>
        <v>12083333</v>
      </c>
      <c r="BB76" s="48">
        <f>Z76+SUM($AM76:AN76)</f>
        <v>11973484.518181831</v>
      </c>
      <c r="BC76" s="48">
        <f>AA76+SUM($AM76:AO76)</f>
        <v>11863636.036363661</v>
      </c>
      <c r="BD76" s="48">
        <f>AB76+SUM($AM76:AP76)</f>
        <v>11753787.554545492</v>
      </c>
      <c r="BE76" s="48">
        <f>AC76+SUM($AM76:AQ76)</f>
        <v>11643939.072727323</v>
      </c>
      <c r="BF76" s="48">
        <f>AD76+SUM($AM76:AR76)</f>
        <v>11534090.590909153</v>
      </c>
      <c r="BG76" s="48">
        <f>AE76+SUM($AM76:AS76)</f>
        <v>11424242.109090984</v>
      </c>
      <c r="BH76" s="48">
        <f>AF76+SUM($AM76:AT76)</f>
        <v>11314393.627272815</v>
      </c>
      <c r="BI76" s="48">
        <f>AG76+SUM($AM76:AU76)</f>
        <v>11204545.145454645</v>
      </c>
      <c r="BJ76" s="48">
        <f>AH76+SUM($AM76:AV76)</f>
        <v>11094696.663636476</v>
      </c>
      <c r="BK76" s="48">
        <f>AI76+SUM($AM76:AW76)</f>
        <v>10984848.181818306</v>
      </c>
      <c r="BL76" s="48">
        <f>AJ76+SUM($AM76:AX76)</f>
        <v>10874999.700000137</v>
      </c>
      <c r="BM76" s="48">
        <f>AK76+SUM($AM76:AY76)</f>
        <v>10765151.218181968</v>
      </c>
      <c r="BO76" s="47"/>
    </row>
    <row r="77" spans="3:67" s="41" customFormat="1" hidden="1" x14ac:dyDescent="0.3">
      <c r="C77" s="41" t="s">
        <v>1340</v>
      </c>
      <c r="D77" s="42" t="s">
        <v>337</v>
      </c>
      <c r="E77" s="42" t="str">
        <f t="shared" si="4"/>
        <v>211</v>
      </c>
      <c r="F77" s="41" t="str">
        <f>_xlfn.XLOOKUP($D77,MD_Account_Asset_Type[Nhóm tài sản],MD_Account_Asset_Type[Tên Nhóm tài sản])</f>
        <v>Máy móc, thiết bị phụ - SX 627</v>
      </c>
      <c r="G77" s="41" t="str">
        <f>_xlfn.XLOOKUP($D77,MD_Account_Asset_Type[Nhóm tài sản],MD_Account_Asset_Type[Tên nhóm TS-Rút gọn])</f>
        <v>Máy móc thiết bị</v>
      </c>
      <c r="H77" s="41" t="str">
        <f>_xlfn.XLOOKUP($D77,MD_Account_Asset_Type[Nhóm tài sản],MD_Account_Asset_Type[Tên nhóm TS-Rút gọn-v2])</f>
        <v>Máy móc thiết bị</v>
      </c>
      <c r="I77" s="43" t="s">
        <v>1006</v>
      </c>
      <c r="J77" s="42" t="s">
        <v>569</v>
      </c>
      <c r="K77" s="41" t="s">
        <v>502</v>
      </c>
      <c r="L77" s="42" t="s">
        <v>46</v>
      </c>
      <c r="M77" s="42" t="s">
        <v>121</v>
      </c>
      <c r="N77" s="44">
        <v>0</v>
      </c>
      <c r="O77" s="44"/>
      <c r="P77" s="41" t="s">
        <v>461</v>
      </c>
      <c r="Q77" s="41" t="str">
        <f t="shared" si="5"/>
        <v>627</v>
      </c>
      <c r="R77" s="41" t="str">
        <f>_xlfn.XLOOKUP($L77,MD_Cost_Center[Mã Cost Center],MD_Cost_Center[Ngành])</f>
        <v>Chung</v>
      </c>
      <c r="S77" s="41" t="str">
        <f>_xlfn.XLOOKUP($L77,MD_Cost_Center[Mã Cost Center],MD_Cost_Center[Ngành-Tách PET-Xơ sợi])</f>
        <v>Chung</v>
      </c>
      <c r="T77" s="45">
        <v>45536</v>
      </c>
      <c r="U77" s="46">
        <v>46631</v>
      </c>
      <c r="V77" s="47">
        <v>144</v>
      </c>
      <c r="W77" s="47">
        <v>54950000</v>
      </c>
      <c r="X77" s="47">
        <v>-238498.2578125</v>
      </c>
      <c r="Y77" s="47">
        <v>54950000</v>
      </c>
      <c r="Z77" s="47">
        <v>54950000</v>
      </c>
      <c r="AA77" s="47">
        <v>54950000</v>
      </c>
      <c r="AB77" s="47">
        <v>54950000</v>
      </c>
      <c r="AC77" s="47">
        <v>54950000</v>
      </c>
      <c r="AD77" s="47">
        <v>54950000</v>
      </c>
      <c r="AE77" s="47">
        <v>54950000</v>
      </c>
      <c r="AF77" s="47">
        <v>54950000</v>
      </c>
      <c r="AG77" s="47">
        <v>54950000</v>
      </c>
      <c r="AH77" s="47">
        <v>54950000</v>
      </c>
      <c r="AI77" s="47">
        <v>54950000</v>
      </c>
      <c r="AJ77" s="47">
        <v>54950000</v>
      </c>
      <c r="AK77" s="47">
        <v>54950000</v>
      </c>
      <c r="AL77" s="47">
        <v>-18316667</v>
      </c>
      <c r="AM77" s="47">
        <v>-24422223</v>
      </c>
      <c r="AN77" s="47">
        <v>-238498.2578125</v>
      </c>
      <c r="AO77" s="47">
        <v>-238498.2578125</v>
      </c>
      <c r="AP77" s="47">
        <v>-238498.2578125</v>
      </c>
      <c r="AQ77" s="47">
        <v>-238498.2578125</v>
      </c>
      <c r="AR77" s="47">
        <v>-238498.2578125</v>
      </c>
      <c r="AS77" s="47">
        <v>-238498.2578125</v>
      </c>
      <c r="AT77" s="47">
        <v>-238498.2578125</v>
      </c>
      <c r="AU77" s="47">
        <v>-238498.2578125</v>
      </c>
      <c r="AV77" s="47">
        <v>-238498.2578125</v>
      </c>
      <c r="AW77" s="47">
        <v>-238498.2578125</v>
      </c>
      <c r="AX77" s="47">
        <v>-238498.2578125</v>
      </c>
      <c r="AY77" s="47">
        <v>-238498.2578125</v>
      </c>
      <c r="AZ77" s="58">
        <f t="shared" si="3"/>
        <v>-2861979.09375</v>
      </c>
      <c r="BA77" s="47">
        <f>Y77+SUM($AM77:AM77)</f>
        <v>30527777</v>
      </c>
      <c r="BB77" s="48">
        <f>Z77+SUM($AM77:AN77)</f>
        <v>30289278.7421875</v>
      </c>
      <c r="BC77" s="48">
        <f>AA77+SUM($AM77:AO77)</f>
        <v>30050780.484375</v>
      </c>
      <c r="BD77" s="48">
        <f>AB77+SUM($AM77:AP77)</f>
        <v>29812282.2265625</v>
      </c>
      <c r="BE77" s="48">
        <f>AC77+SUM($AM77:AQ77)</f>
        <v>29573783.96875</v>
      </c>
      <c r="BF77" s="48">
        <f>AD77+SUM($AM77:AR77)</f>
        <v>29335285.7109375</v>
      </c>
      <c r="BG77" s="48">
        <f>AE77+SUM($AM77:AS77)</f>
        <v>29096787.453125</v>
      </c>
      <c r="BH77" s="48">
        <f>AF77+SUM($AM77:AT77)</f>
        <v>28858289.1953125</v>
      </c>
      <c r="BI77" s="48">
        <f>AG77+SUM($AM77:AU77)</f>
        <v>28619790.9375</v>
      </c>
      <c r="BJ77" s="48">
        <f>AH77+SUM($AM77:AV77)</f>
        <v>28381292.6796875</v>
      </c>
      <c r="BK77" s="48">
        <f>AI77+SUM($AM77:AW77)</f>
        <v>28142794.421875</v>
      </c>
      <c r="BL77" s="48">
        <f>AJ77+SUM($AM77:AX77)</f>
        <v>27904296.1640625</v>
      </c>
      <c r="BM77" s="48">
        <f>AK77+SUM($AM77:AY77)</f>
        <v>27665797.90625</v>
      </c>
      <c r="BO77" s="47"/>
    </row>
    <row r="78" spans="3:67" s="41" customFormat="1" hidden="1" x14ac:dyDescent="0.3">
      <c r="C78" s="41" t="s">
        <v>1340</v>
      </c>
      <c r="D78" s="42" t="s">
        <v>337</v>
      </c>
      <c r="E78" s="42" t="str">
        <f t="shared" si="4"/>
        <v>211</v>
      </c>
      <c r="F78" s="41" t="str">
        <f>_xlfn.XLOOKUP($D78,MD_Account_Asset_Type[Nhóm tài sản],MD_Account_Asset_Type[Tên Nhóm tài sản])</f>
        <v>Máy móc, thiết bị phụ - SX 627</v>
      </c>
      <c r="G78" s="41" t="str">
        <f>_xlfn.XLOOKUP($D78,MD_Account_Asset_Type[Nhóm tài sản],MD_Account_Asset_Type[Tên nhóm TS-Rút gọn])</f>
        <v>Máy móc thiết bị</v>
      </c>
      <c r="H78" s="41" t="str">
        <f>_xlfn.XLOOKUP($D78,MD_Account_Asset_Type[Nhóm tài sản],MD_Account_Asset_Type[Tên nhóm TS-Rút gọn-v2])</f>
        <v>Máy móc thiết bị</v>
      </c>
      <c r="I78" s="43" t="s">
        <v>1007</v>
      </c>
      <c r="J78" s="42" t="s">
        <v>570</v>
      </c>
      <c r="K78" s="41" t="s">
        <v>502</v>
      </c>
      <c r="L78" s="42" t="s">
        <v>46</v>
      </c>
      <c r="M78" s="42" t="s">
        <v>121</v>
      </c>
      <c r="N78" s="44">
        <v>0</v>
      </c>
      <c r="O78" s="44"/>
      <c r="P78" s="41" t="s">
        <v>461</v>
      </c>
      <c r="Q78" s="41" t="str">
        <f t="shared" si="5"/>
        <v>627</v>
      </c>
      <c r="R78" s="41" t="str">
        <f>_xlfn.XLOOKUP($L78,MD_Cost_Center[Mã Cost Center],MD_Cost_Center[Ngành])</f>
        <v>Chung</v>
      </c>
      <c r="S78" s="41" t="str">
        <f>_xlfn.XLOOKUP($L78,MD_Cost_Center[Mã Cost Center],MD_Cost_Center[Ngành-Tách PET-Xơ sợi])</f>
        <v>Chung</v>
      </c>
      <c r="T78" s="45">
        <v>45536</v>
      </c>
      <c r="U78" s="46">
        <v>46631</v>
      </c>
      <c r="V78" s="47">
        <v>144</v>
      </c>
      <c r="W78" s="47">
        <v>50000000</v>
      </c>
      <c r="X78" s="47">
        <v>-217013.8828125</v>
      </c>
      <c r="Y78" s="47">
        <v>50000000</v>
      </c>
      <c r="Z78" s="47">
        <v>50000000</v>
      </c>
      <c r="AA78" s="47">
        <v>50000000</v>
      </c>
      <c r="AB78" s="47">
        <v>50000000</v>
      </c>
      <c r="AC78" s="47">
        <v>50000000</v>
      </c>
      <c r="AD78" s="47">
        <v>50000000</v>
      </c>
      <c r="AE78" s="47">
        <v>50000000</v>
      </c>
      <c r="AF78" s="47">
        <v>50000000</v>
      </c>
      <c r="AG78" s="47">
        <v>50000000</v>
      </c>
      <c r="AH78" s="47">
        <v>50000000</v>
      </c>
      <c r="AI78" s="47">
        <v>50000000</v>
      </c>
      <c r="AJ78" s="47">
        <v>50000000</v>
      </c>
      <c r="AK78" s="47">
        <v>50000000</v>
      </c>
      <c r="AL78" s="47">
        <v>-16666667</v>
      </c>
      <c r="AM78" s="47">
        <v>-22222223</v>
      </c>
      <c r="AN78" s="47">
        <v>-217013.8828125</v>
      </c>
      <c r="AO78" s="47">
        <v>-217013.8828125</v>
      </c>
      <c r="AP78" s="47">
        <v>-217013.8828125</v>
      </c>
      <c r="AQ78" s="47">
        <v>-217013.8828125</v>
      </c>
      <c r="AR78" s="47">
        <v>-217013.8828125</v>
      </c>
      <c r="AS78" s="47">
        <v>-217013.8828125</v>
      </c>
      <c r="AT78" s="47">
        <v>-217013.8828125</v>
      </c>
      <c r="AU78" s="47">
        <v>-217013.8828125</v>
      </c>
      <c r="AV78" s="47">
        <v>-217013.8828125</v>
      </c>
      <c r="AW78" s="47">
        <v>-217013.8828125</v>
      </c>
      <c r="AX78" s="47">
        <v>-217013.8828125</v>
      </c>
      <c r="AY78" s="47">
        <v>-217013.8828125</v>
      </c>
      <c r="AZ78" s="58">
        <f t="shared" si="3"/>
        <v>-2604166.59375</v>
      </c>
      <c r="BA78" s="47">
        <f>Y78+SUM($AM78:AM78)</f>
        <v>27777777</v>
      </c>
      <c r="BB78" s="48">
        <f>Z78+SUM($AM78:AN78)</f>
        <v>27560763.1171875</v>
      </c>
      <c r="BC78" s="48">
        <f>AA78+SUM($AM78:AO78)</f>
        <v>27343749.234375</v>
      </c>
      <c r="BD78" s="48">
        <f>AB78+SUM($AM78:AP78)</f>
        <v>27126735.3515625</v>
      </c>
      <c r="BE78" s="48">
        <f>AC78+SUM($AM78:AQ78)</f>
        <v>26909721.46875</v>
      </c>
      <c r="BF78" s="48">
        <f>AD78+SUM($AM78:AR78)</f>
        <v>26692707.5859375</v>
      </c>
      <c r="BG78" s="48">
        <f>AE78+SUM($AM78:AS78)</f>
        <v>26475693.703125</v>
      </c>
      <c r="BH78" s="48">
        <f>AF78+SUM($AM78:AT78)</f>
        <v>26258679.8203125</v>
      </c>
      <c r="BI78" s="48">
        <f>AG78+SUM($AM78:AU78)</f>
        <v>26041665.9375</v>
      </c>
      <c r="BJ78" s="48">
        <f>AH78+SUM($AM78:AV78)</f>
        <v>25824652.0546875</v>
      </c>
      <c r="BK78" s="48">
        <f>AI78+SUM($AM78:AW78)</f>
        <v>25607638.171875</v>
      </c>
      <c r="BL78" s="48">
        <f>AJ78+SUM($AM78:AX78)</f>
        <v>25390624.2890625</v>
      </c>
      <c r="BM78" s="48">
        <f>AK78+SUM($AM78:AY78)</f>
        <v>25173610.40625</v>
      </c>
      <c r="BO78" s="47"/>
    </row>
    <row r="79" spans="3:67" s="41" customFormat="1" hidden="1" x14ac:dyDescent="0.3">
      <c r="C79" s="41" t="s">
        <v>1340</v>
      </c>
      <c r="D79" s="42" t="s">
        <v>337</v>
      </c>
      <c r="E79" s="42" t="str">
        <f t="shared" si="4"/>
        <v>211</v>
      </c>
      <c r="F79" s="41" t="str">
        <f>_xlfn.XLOOKUP($D79,MD_Account_Asset_Type[Nhóm tài sản],MD_Account_Asset_Type[Tên Nhóm tài sản])</f>
        <v>Máy móc, thiết bị phụ - SX 627</v>
      </c>
      <c r="G79" s="41" t="str">
        <f>_xlfn.XLOOKUP($D79,MD_Account_Asset_Type[Nhóm tài sản],MD_Account_Asset_Type[Tên nhóm TS-Rút gọn])</f>
        <v>Máy móc thiết bị</v>
      </c>
      <c r="H79" s="41" t="str">
        <f>_xlfn.XLOOKUP($D79,MD_Account_Asset_Type[Nhóm tài sản],MD_Account_Asset_Type[Tên nhóm TS-Rút gọn-v2])</f>
        <v>Máy móc thiết bị</v>
      </c>
      <c r="I79" s="43" t="s">
        <v>1008</v>
      </c>
      <c r="J79" s="42" t="s">
        <v>571</v>
      </c>
      <c r="K79" s="41" t="s">
        <v>502</v>
      </c>
      <c r="L79" s="42" t="s">
        <v>90</v>
      </c>
      <c r="M79" s="42" t="s">
        <v>165</v>
      </c>
      <c r="N79" s="44">
        <v>0</v>
      </c>
      <c r="O79" s="44"/>
      <c r="P79" s="41" t="s">
        <v>461</v>
      </c>
      <c r="Q79" s="41" t="str">
        <f t="shared" si="5"/>
        <v>627</v>
      </c>
      <c r="R79" s="41" t="str">
        <f>_xlfn.XLOOKUP($L79,MD_Cost_Center[Mã Cost Center],MD_Cost_Center[Ngành])</f>
        <v>HD/PP</v>
      </c>
      <c r="S79" s="41" t="str">
        <f>_xlfn.XLOOKUP($L79,MD_Cost_Center[Mã Cost Center],MD_Cost_Center[Ngành-Tách PET-Xơ sợi])</f>
        <v>HD/PP</v>
      </c>
      <c r="T79" s="45">
        <v>45383</v>
      </c>
      <c r="U79" s="46">
        <v>47209</v>
      </c>
      <c r="V79" s="47">
        <v>144</v>
      </c>
      <c r="W79" s="47">
        <v>1500556886</v>
      </c>
      <c r="X79" s="47">
        <v>-7929772.1626016265</v>
      </c>
      <c r="Y79" s="47">
        <v>1500556886</v>
      </c>
      <c r="Z79" s="47">
        <v>1500556886</v>
      </c>
      <c r="AA79" s="47">
        <v>1500556886</v>
      </c>
      <c r="AB79" s="47">
        <v>1500556886</v>
      </c>
      <c r="AC79" s="47">
        <v>1500556886</v>
      </c>
      <c r="AD79" s="47">
        <v>1500556886</v>
      </c>
      <c r="AE79" s="47">
        <v>1500556886</v>
      </c>
      <c r="AF79" s="47">
        <v>1500556886</v>
      </c>
      <c r="AG79" s="47">
        <v>1500556886</v>
      </c>
      <c r="AH79" s="47">
        <v>1500556886</v>
      </c>
      <c r="AI79" s="47">
        <v>1500556886</v>
      </c>
      <c r="AJ79" s="47">
        <v>1500556886</v>
      </c>
      <c r="AK79" s="47">
        <v>1500556886</v>
      </c>
      <c r="AL79" s="47">
        <v>-300111377</v>
      </c>
      <c r="AM79" s="47">
        <v>-525194910</v>
      </c>
      <c r="AN79" s="47">
        <v>-7929772.1626016265</v>
      </c>
      <c r="AO79" s="47">
        <v>-7929772.1626016265</v>
      </c>
      <c r="AP79" s="47">
        <v>-7929772.1626016265</v>
      </c>
      <c r="AQ79" s="47">
        <v>-7929772.1626016265</v>
      </c>
      <c r="AR79" s="47">
        <v>-7929772.1626016265</v>
      </c>
      <c r="AS79" s="47">
        <v>-7929772.1626016265</v>
      </c>
      <c r="AT79" s="47">
        <v>-7929772.1626016265</v>
      </c>
      <c r="AU79" s="47">
        <v>-7929772.1626016265</v>
      </c>
      <c r="AV79" s="47">
        <v>-7929772.1626016265</v>
      </c>
      <c r="AW79" s="47">
        <v>-7929772.1626016265</v>
      </c>
      <c r="AX79" s="47">
        <v>-7929772.1626016265</v>
      </c>
      <c r="AY79" s="47">
        <v>-7929772.1626016265</v>
      </c>
      <c r="AZ79" s="58">
        <f t="shared" si="3"/>
        <v>-95157265.951219499</v>
      </c>
      <c r="BA79" s="47">
        <f>Y79+SUM($AM79:AM79)</f>
        <v>975361976</v>
      </c>
      <c r="BB79" s="48">
        <f>Z79+SUM($AM79:AN79)</f>
        <v>967432203.83739829</v>
      </c>
      <c r="BC79" s="48">
        <f>AA79+SUM($AM79:AO79)</f>
        <v>959502431.6747967</v>
      </c>
      <c r="BD79" s="48">
        <f>AB79+SUM($AM79:AP79)</f>
        <v>951572659.51219511</v>
      </c>
      <c r="BE79" s="48">
        <f>AC79+SUM($AM79:AQ79)</f>
        <v>943642887.34959352</v>
      </c>
      <c r="BF79" s="48">
        <f>AD79+SUM($AM79:AR79)</f>
        <v>935713115.18699193</v>
      </c>
      <c r="BG79" s="48">
        <f>AE79+SUM($AM79:AS79)</f>
        <v>927783343.02439034</v>
      </c>
      <c r="BH79" s="48">
        <f>AF79+SUM($AM79:AT79)</f>
        <v>919853570.86178875</v>
      </c>
      <c r="BI79" s="48">
        <f>AG79+SUM($AM79:AU79)</f>
        <v>911923798.69918716</v>
      </c>
      <c r="BJ79" s="48">
        <f>AH79+SUM($AM79:AV79)</f>
        <v>903994026.53658557</v>
      </c>
      <c r="BK79" s="48">
        <f>AI79+SUM($AM79:AW79)</f>
        <v>896064254.37398398</v>
      </c>
      <c r="BL79" s="48">
        <f>AJ79+SUM($AM79:AX79)</f>
        <v>888134482.21138239</v>
      </c>
      <c r="BM79" s="48">
        <f>AK79+SUM($AM79:AY79)</f>
        <v>880204710.0487808</v>
      </c>
      <c r="BO79" s="47"/>
    </row>
    <row r="80" spans="3:67" s="41" customFormat="1" hidden="1" x14ac:dyDescent="0.3">
      <c r="C80" s="41" t="s">
        <v>1340</v>
      </c>
      <c r="D80" s="42" t="s">
        <v>337</v>
      </c>
      <c r="E80" s="42" t="str">
        <f t="shared" si="4"/>
        <v>211</v>
      </c>
      <c r="F80" s="41" t="str">
        <f>_xlfn.XLOOKUP($D80,MD_Account_Asset_Type[Nhóm tài sản],MD_Account_Asset_Type[Tên Nhóm tài sản])</f>
        <v>Máy móc, thiết bị phụ - SX 627</v>
      </c>
      <c r="G80" s="41" t="str">
        <f>_xlfn.XLOOKUP($D80,MD_Account_Asset_Type[Nhóm tài sản],MD_Account_Asset_Type[Tên nhóm TS-Rút gọn])</f>
        <v>Máy móc thiết bị</v>
      </c>
      <c r="H80" s="41" t="str">
        <f>_xlfn.XLOOKUP($D80,MD_Account_Asset_Type[Nhóm tài sản],MD_Account_Asset_Type[Tên nhóm TS-Rút gọn-v2])</f>
        <v>Máy móc thiết bị</v>
      </c>
      <c r="I80" s="43" t="s">
        <v>1009</v>
      </c>
      <c r="J80" s="42" t="s">
        <v>572</v>
      </c>
      <c r="K80" s="41" t="s">
        <v>830</v>
      </c>
      <c r="L80" s="42" t="s">
        <v>54</v>
      </c>
      <c r="M80" s="42" t="s">
        <v>129</v>
      </c>
      <c r="N80" s="44" t="s">
        <v>247</v>
      </c>
      <c r="O80" s="44"/>
      <c r="P80" s="41" t="s">
        <v>461</v>
      </c>
      <c r="Q80" s="41" t="str">
        <f t="shared" si="5"/>
        <v>627</v>
      </c>
      <c r="R80" s="41" t="str">
        <f>_xlfn.XLOOKUP($L80,MD_Cost_Center[Mã Cost Center],MD_Cost_Center[Ngành])</f>
        <v>PET</v>
      </c>
      <c r="S80" s="41" t="str">
        <f>_xlfn.XLOOKUP($L80,MD_Cost_Center[Mã Cost Center],MD_Cost_Center[Ngành-Tách PET-Xơ sợi])</f>
        <v>PET</v>
      </c>
      <c r="T80" s="45">
        <v>45597</v>
      </c>
      <c r="U80" s="46">
        <v>47423</v>
      </c>
      <c r="V80" s="47">
        <v>144</v>
      </c>
      <c r="W80" s="47">
        <v>694401330</v>
      </c>
      <c r="X80" s="47">
        <v>-4095187.3307692306</v>
      </c>
      <c r="Y80" s="47">
        <v>694401330</v>
      </c>
      <c r="Z80" s="47">
        <v>694401330</v>
      </c>
      <c r="AA80" s="47">
        <v>694401330</v>
      </c>
      <c r="AB80" s="47">
        <v>694401330</v>
      </c>
      <c r="AC80" s="47">
        <v>694401330</v>
      </c>
      <c r="AD80" s="47">
        <v>694401330</v>
      </c>
      <c r="AE80" s="47">
        <v>694401330</v>
      </c>
      <c r="AF80" s="47">
        <v>694401330</v>
      </c>
      <c r="AG80" s="47">
        <v>694401330</v>
      </c>
      <c r="AH80" s="47">
        <v>694401330</v>
      </c>
      <c r="AI80" s="47">
        <v>694401330</v>
      </c>
      <c r="AJ80" s="47">
        <v>694401330</v>
      </c>
      <c r="AK80" s="47">
        <v>694401330</v>
      </c>
      <c r="AL80" s="47">
        <v>-138880266</v>
      </c>
      <c r="AM80" s="47">
        <v>-162026977</v>
      </c>
      <c r="AN80" s="47">
        <v>-4095187.3307692306</v>
      </c>
      <c r="AO80" s="47">
        <v>-4095187.3307692306</v>
      </c>
      <c r="AP80" s="47">
        <v>-4095187.3307692306</v>
      </c>
      <c r="AQ80" s="47">
        <v>-4095187.3307692306</v>
      </c>
      <c r="AR80" s="47">
        <v>-4095187.3307692306</v>
      </c>
      <c r="AS80" s="47">
        <v>-4095187.3307692306</v>
      </c>
      <c r="AT80" s="47">
        <v>-4095187.3307692306</v>
      </c>
      <c r="AU80" s="47">
        <v>-4095187.3307692306</v>
      </c>
      <c r="AV80" s="47">
        <v>-4095187.3307692306</v>
      </c>
      <c r="AW80" s="47">
        <v>-4095187.3307692306</v>
      </c>
      <c r="AX80" s="47">
        <v>-4095187.3307692306</v>
      </c>
      <c r="AY80" s="47">
        <v>-4095187.3307692306</v>
      </c>
      <c r="AZ80" s="58">
        <f t="shared" si="3"/>
        <v>-49142247.969230771</v>
      </c>
      <c r="BA80" s="47">
        <f>Y80+SUM($AM80:AM80)</f>
        <v>532374353</v>
      </c>
      <c r="BB80" s="48">
        <f>Z80+SUM($AM80:AN80)</f>
        <v>528279165.66923076</v>
      </c>
      <c r="BC80" s="48">
        <f>AA80+SUM($AM80:AO80)</f>
        <v>524183978.33846152</v>
      </c>
      <c r="BD80" s="48">
        <f>AB80+SUM($AM80:AP80)</f>
        <v>520088791.00769228</v>
      </c>
      <c r="BE80" s="48">
        <f>AC80+SUM($AM80:AQ80)</f>
        <v>515993603.67692304</v>
      </c>
      <c r="BF80" s="48">
        <f>AD80+SUM($AM80:AR80)</f>
        <v>511898416.3461538</v>
      </c>
      <c r="BG80" s="48">
        <f>AE80+SUM($AM80:AS80)</f>
        <v>507803229.01538455</v>
      </c>
      <c r="BH80" s="48">
        <f>AF80+SUM($AM80:AT80)</f>
        <v>503708041.68461531</v>
      </c>
      <c r="BI80" s="48">
        <f>AG80+SUM($AM80:AU80)</f>
        <v>499612854.35384607</v>
      </c>
      <c r="BJ80" s="48">
        <f>AH80+SUM($AM80:AV80)</f>
        <v>495517667.02307683</v>
      </c>
      <c r="BK80" s="48">
        <f>AI80+SUM($AM80:AW80)</f>
        <v>491422479.69230759</v>
      </c>
      <c r="BL80" s="48">
        <f>AJ80+SUM($AM80:AX80)</f>
        <v>487327292.36153835</v>
      </c>
      <c r="BM80" s="48">
        <f>AK80+SUM($AM80:AY80)</f>
        <v>483232105.03076911</v>
      </c>
      <c r="BO80" s="47"/>
    </row>
    <row r="81" spans="3:67" s="41" customFormat="1" hidden="1" x14ac:dyDescent="0.3">
      <c r="C81" s="41" t="s">
        <v>1340</v>
      </c>
      <c r="D81" s="42" t="s">
        <v>337</v>
      </c>
      <c r="E81" s="42" t="str">
        <f t="shared" si="4"/>
        <v>211</v>
      </c>
      <c r="F81" s="41" t="str">
        <f>_xlfn.XLOOKUP($D81,MD_Account_Asset_Type[Nhóm tài sản],MD_Account_Asset_Type[Tên Nhóm tài sản])</f>
        <v>Máy móc, thiết bị phụ - SX 627</v>
      </c>
      <c r="G81" s="41" t="str">
        <f>_xlfn.XLOOKUP($D81,MD_Account_Asset_Type[Nhóm tài sản],MD_Account_Asset_Type[Tên nhóm TS-Rút gọn])</f>
        <v>Máy móc thiết bị</v>
      </c>
      <c r="H81" s="41" t="str">
        <f>_xlfn.XLOOKUP($D81,MD_Account_Asset_Type[Nhóm tài sản],MD_Account_Asset_Type[Tên nhóm TS-Rút gọn-v2])</f>
        <v>Máy móc thiết bị</v>
      </c>
      <c r="I81" s="43" t="s">
        <v>1010</v>
      </c>
      <c r="J81" s="42" t="s">
        <v>573</v>
      </c>
      <c r="K81" s="41" t="s">
        <v>502</v>
      </c>
      <c r="L81" s="42" t="s">
        <v>46</v>
      </c>
      <c r="M81" s="42" t="s">
        <v>121</v>
      </c>
      <c r="N81" s="44">
        <v>0</v>
      </c>
      <c r="O81" s="44"/>
      <c r="P81" s="41" t="s">
        <v>461</v>
      </c>
      <c r="Q81" s="41" t="str">
        <f t="shared" si="5"/>
        <v>627</v>
      </c>
      <c r="R81" s="41" t="str">
        <f>_xlfn.XLOOKUP($L81,MD_Cost_Center[Mã Cost Center],MD_Cost_Center[Ngành])</f>
        <v>Chung</v>
      </c>
      <c r="S81" s="41" t="str">
        <f>_xlfn.XLOOKUP($L81,MD_Cost_Center[Mã Cost Center],MD_Cost_Center[Ngành-Tách PET-Xơ sợi])</f>
        <v>Chung</v>
      </c>
      <c r="T81" s="45">
        <v>45474</v>
      </c>
      <c r="U81" s="46">
        <v>47300</v>
      </c>
      <c r="V81" s="47">
        <v>144</v>
      </c>
      <c r="W81" s="47">
        <v>400000000</v>
      </c>
      <c r="X81" s="47">
        <v>-2222222.222222222</v>
      </c>
      <c r="Y81" s="47">
        <v>400000000</v>
      </c>
      <c r="Z81" s="47">
        <v>400000000</v>
      </c>
      <c r="AA81" s="47">
        <v>400000000</v>
      </c>
      <c r="AB81" s="47">
        <v>400000000</v>
      </c>
      <c r="AC81" s="47">
        <v>400000000</v>
      </c>
      <c r="AD81" s="47">
        <v>400000000</v>
      </c>
      <c r="AE81" s="47">
        <v>400000000</v>
      </c>
      <c r="AF81" s="47">
        <v>400000000</v>
      </c>
      <c r="AG81" s="47">
        <v>400000000</v>
      </c>
      <c r="AH81" s="47">
        <v>400000000</v>
      </c>
      <c r="AI81" s="47">
        <v>400000000</v>
      </c>
      <c r="AJ81" s="47">
        <v>400000000</v>
      </c>
      <c r="AK81" s="47">
        <v>400000000</v>
      </c>
      <c r="AL81" s="47">
        <v>-80000000</v>
      </c>
      <c r="AM81" s="47">
        <v>-120000000</v>
      </c>
      <c r="AN81" s="47">
        <v>-2222222.222222222</v>
      </c>
      <c r="AO81" s="47">
        <v>-2222222.222222222</v>
      </c>
      <c r="AP81" s="47">
        <v>-2222222.222222222</v>
      </c>
      <c r="AQ81" s="47">
        <v>-2222222.222222222</v>
      </c>
      <c r="AR81" s="47">
        <v>-2222222.222222222</v>
      </c>
      <c r="AS81" s="47">
        <v>-2222222.222222222</v>
      </c>
      <c r="AT81" s="47">
        <v>-2222222.222222222</v>
      </c>
      <c r="AU81" s="47">
        <v>-2222222.222222222</v>
      </c>
      <c r="AV81" s="47">
        <v>-2222222.222222222</v>
      </c>
      <c r="AW81" s="47">
        <v>-2222222.222222222</v>
      </c>
      <c r="AX81" s="47">
        <v>-2222222.222222222</v>
      </c>
      <c r="AY81" s="47">
        <v>-2222222.222222222</v>
      </c>
      <c r="AZ81" s="58">
        <f t="shared" si="3"/>
        <v>-26666666.666666672</v>
      </c>
      <c r="BA81" s="47">
        <f>Y81+SUM($AM81:AM81)</f>
        <v>280000000</v>
      </c>
      <c r="BB81" s="48">
        <f>Z81+SUM($AM81:AN81)</f>
        <v>277777777.77777779</v>
      </c>
      <c r="BC81" s="48">
        <f>AA81+SUM($AM81:AO81)</f>
        <v>275555555.55555558</v>
      </c>
      <c r="BD81" s="48">
        <f>AB81+SUM($AM81:AP81)</f>
        <v>273333333.33333331</v>
      </c>
      <c r="BE81" s="48">
        <f>AC81+SUM($AM81:AQ81)</f>
        <v>271111111.1111111</v>
      </c>
      <c r="BF81" s="48">
        <f>AD81+SUM($AM81:AR81)</f>
        <v>268888888.8888889</v>
      </c>
      <c r="BG81" s="48">
        <f>AE81+SUM($AM81:AS81)</f>
        <v>266666666.66666666</v>
      </c>
      <c r="BH81" s="48">
        <f>AF81+SUM($AM81:AT81)</f>
        <v>264444444.44444445</v>
      </c>
      <c r="BI81" s="48">
        <f>AG81+SUM($AM81:AU81)</f>
        <v>262222222.22222224</v>
      </c>
      <c r="BJ81" s="48">
        <f>AH81+SUM($AM81:AV81)</f>
        <v>260000000.00000003</v>
      </c>
      <c r="BK81" s="48">
        <f>AI81+SUM($AM81:AW81)</f>
        <v>257777777.77777782</v>
      </c>
      <c r="BL81" s="48">
        <f>AJ81+SUM($AM81:AX81)</f>
        <v>255555555.55555561</v>
      </c>
      <c r="BM81" s="48">
        <f>AK81+SUM($AM81:AY81)</f>
        <v>253333333.3333334</v>
      </c>
      <c r="BO81" s="47"/>
    </row>
    <row r="82" spans="3:67" s="41" customFormat="1" hidden="1" x14ac:dyDescent="0.3">
      <c r="C82" s="41" t="s">
        <v>1340</v>
      </c>
      <c r="D82" s="42" t="s">
        <v>337</v>
      </c>
      <c r="E82" s="42" t="str">
        <f t="shared" si="4"/>
        <v>211</v>
      </c>
      <c r="F82" s="41" t="str">
        <f>_xlfn.XLOOKUP($D82,MD_Account_Asset_Type[Nhóm tài sản],MD_Account_Asset_Type[Tên Nhóm tài sản])</f>
        <v>Máy móc, thiết bị phụ - SX 627</v>
      </c>
      <c r="G82" s="41" t="str">
        <f>_xlfn.XLOOKUP($D82,MD_Account_Asset_Type[Nhóm tài sản],MD_Account_Asset_Type[Tên nhóm TS-Rút gọn])</f>
        <v>Máy móc thiết bị</v>
      </c>
      <c r="H82" s="41" t="str">
        <f>_xlfn.XLOOKUP($D82,MD_Account_Asset_Type[Nhóm tài sản],MD_Account_Asset_Type[Tên nhóm TS-Rút gọn-v2])</f>
        <v>Máy móc thiết bị</v>
      </c>
      <c r="I82" s="43" t="s">
        <v>1011</v>
      </c>
      <c r="J82" s="42" t="s">
        <v>574</v>
      </c>
      <c r="K82" s="41" t="s">
        <v>502</v>
      </c>
      <c r="L82" s="42" t="s">
        <v>72</v>
      </c>
      <c r="M82" s="42" t="s">
        <v>147</v>
      </c>
      <c r="N82" s="44" t="s">
        <v>265</v>
      </c>
      <c r="O82" s="44"/>
      <c r="P82" s="41" t="s">
        <v>461</v>
      </c>
      <c r="Q82" s="41" t="str">
        <f t="shared" si="5"/>
        <v>627</v>
      </c>
      <c r="R82" s="41" t="str">
        <f>_xlfn.XLOOKUP($L82,MD_Cost_Center[Mã Cost Center],MD_Cost_Center[Ngành])</f>
        <v>HD/PP</v>
      </c>
      <c r="S82" s="41" t="str">
        <f>_xlfn.XLOOKUP($L82,MD_Cost_Center[Mã Cost Center],MD_Cost_Center[Ngành-Tách PET-Xơ sợi])</f>
        <v>HD/PP</v>
      </c>
      <c r="T82" s="45">
        <v>45658</v>
      </c>
      <c r="U82" s="46">
        <v>47484</v>
      </c>
      <c r="V82" s="47">
        <v>144</v>
      </c>
      <c r="W82" s="47">
        <v>95060000</v>
      </c>
      <c r="X82" s="47">
        <v>-576121.21212121216</v>
      </c>
      <c r="Y82" s="47">
        <v>95060000</v>
      </c>
      <c r="Z82" s="47">
        <v>95060000</v>
      </c>
      <c r="AA82" s="47">
        <v>95060000</v>
      </c>
      <c r="AB82" s="47">
        <v>95060000</v>
      </c>
      <c r="AC82" s="47">
        <v>95060000</v>
      </c>
      <c r="AD82" s="47">
        <v>95060000</v>
      </c>
      <c r="AE82" s="47">
        <v>95060000</v>
      </c>
      <c r="AF82" s="47">
        <v>95060000</v>
      </c>
      <c r="AG82" s="47">
        <v>95060000</v>
      </c>
      <c r="AH82" s="47">
        <v>95060000</v>
      </c>
      <c r="AI82" s="47">
        <v>95060000</v>
      </c>
      <c r="AJ82" s="47">
        <v>95060000</v>
      </c>
      <c r="AK82" s="47">
        <v>95060000</v>
      </c>
      <c r="AL82" s="47">
        <v>-19012000</v>
      </c>
      <c r="AM82" s="47">
        <v>-19012000</v>
      </c>
      <c r="AN82" s="47">
        <v>-576121.21212121216</v>
      </c>
      <c r="AO82" s="47">
        <v>-576121.21212121216</v>
      </c>
      <c r="AP82" s="47">
        <v>-576121.21212121216</v>
      </c>
      <c r="AQ82" s="47">
        <v>-576121.21212121216</v>
      </c>
      <c r="AR82" s="47">
        <v>-576121.21212121216</v>
      </c>
      <c r="AS82" s="47">
        <v>-576121.21212121216</v>
      </c>
      <c r="AT82" s="47">
        <v>-576121.21212121216</v>
      </c>
      <c r="AU82" s="47">
        <v>-576121.21212121216</v>
      </c>
      <c r="AV82" s="47">
        <v>-576121.21212121216</v>
      </c>
      <c r="AW82" s="47">
        <v>-576121.21212121216</v>
      </c>
      <c r="AX82" s="47">
        <v>-576121.21212121216</v>
      </c>
      <c r="AY82" s="47">
        <v>-576121.21212121216</v>
      </c>
      <c r="AZ82" s="58">
        <f t="shared" si="3"/>
        <v>-6913454.545454544</v>
      </c>
      <c r="BA82" s="47">
        <f>Y82+SUM($AM82:AM82)</f>
        <v>76048000</v>
      </c>
      <c r="BB82" s="48">
        <f>Z82+SUM($AM82:AN82)</f>
        <v>75471878.787878782</v>
      </c>
      <c r="BC82" s="48">
        <f>AA82+SUM($AM82:AO82)</f>
        <v>74895757.575757578</v>
      </c>
      <c r="BD82" s="48">
        <f>AB82+SUM($AM82:AP82)</f>
        <v>74319636.363636374</v>
      </c>
      <c r="BE82" s="48">
        <f>AC82+SUM($AM82:AQ82)</f>
        <v>73743515.151515156</v>
      </c>
      <c r="BF82" s="48">
        <f>AD82+SUM($AM82:AR82)</f>
        <v>73167393.939393938</v>
      </c>
      <c r="BG82" s="48">
        <f>AE82+SUM($AM82:AS82)</f>
        <v>72591272.727272734</v>
      </c>
      <c r="BH82" s="48">
        <f>AF82+SUM($AM82:AT82)</f>
        <v>72015151.515151531</v>
      </c>
      <c r="BI82" s="48">
        <f>AG82+SUM($AM82:AU82)</f>
        <v>71439030.303030312</v>
      </c>
      <c r="BJ82" s="48">
        <f>AH82+SUM($AM82:AV82)</f>
        <v>70862909.090909094</v>
      </c>
      <c r="BK82" s="48">
        <f>AI82+SUM($AM82:AW82)</f>
        <v>70286787.87878789</v>
      </c>
      <c r="BL82" s="48">
        <f>AJ82+SUM($AM82:AX82)</f>
        <v>69710666.666666687</v>
      </c>
      <c r="BM82" s="48">
        <f>AK82+SUM($AM82:AY82)</f>
        <v>69134545.454545468</v>
      </c>
      <c r="BO82" s="47"/>
    </row>
    <row r="83" spans="3:67" s="41" customFormat="1" hidden="1" x14ac:dyDescent="0.3">
      <c r="C83" s="41" t="s">
        <v>1340</v>
      </c>
      <c r="D83" s="42" t="s">
        <v>337</v>
      </c>
      <c r="E83" s="42" t="str">
        <f t="shared" si="4"/>
        <v>211</v>
      </c>
      <c r="F83" s="41" t="str">
        <f>_xlfn.XLOOKUP($D83,MD_Account_Asset_Type[Nhóm tài sản],MD_Account_Asset_Type[Tên Nhóm tài sản])</f>
        <v>Máy móc, thiết bị phụ - SX 627</v>
      </c>
      <c r="G83" s="41" t="str">
        <f>_xlfn.XLOOKUP($D83,MD_Account_Asset_Type[Nhóm tài sản],MD_Account_Asset_Type[Tên nhóm TS-Rút gọn])</f>
        <v>Máy móc thiết bị</v>
      </c>
      <c r="H83" s="41" t="str">
        <f>_xlfn.XLOOKUP($D83,MD_Account_Asset_Type[Nhóm tài sản],MD_Account_Asset_Type[Tên nhóm TS-Rút gọn-v2])</f>
        <v>Máy móc thiết bị</v>
      </c>
      <c r="I83" s="43" t="s">
        <v>1012</v>
      </c>
      <c r="J83" s="42" t="s">
        <v>575</v>
      </c>
      <c r="K83" s="41" t="s">
        <v>502</v>
      </c>
      <c r="L83" s="42" t="s">
        <v>63</v>
      </c>
      <c r="M83" s="42" t="s">
        <v>138</v>
      </c>
      <c r="N83" s="44" t="s">
        <v>256</v>
      </c>
      <c r="O83" s="44"/>
      <c r="P83" s="41" t="s">
        <v>461</v>
      </c>
      <c r="Q83" s="41" t="str">
        <f t="shared" si="5"/>
        <v>627</v>
      </c>
      <c r="R83" s="41" t="str">
        <f>_xlfn.XLOOKUP($L83,MD_Cost_Center[Mã Cost Center],MD_Cost_Center[Ngành])</f>
        <v>HD/PP</v>
      </c>
      <c r="S83" s="41" t="str">
        <f>_xlfn.XLOOKUP($L83,MD_Cost_Center[Mã Cost Center],MD_Cost_Center[Ngành-Tách PET-Xơ sợi])</f>
        <v>HD/PP</v>
      </c>
      <c r="T83" s="45">
        <v>45658</v>
      </c>
      <c r="U83" s="46">
        <v>47484</v>
      </c>
      <c r="V83" s="47">
        <v>144</v>
      </c>
      <c r="W83" s="47">
        <v>89240000</v>
      </c>
      <c r="X83" s="47">
        <v>-540848.48484848486</v>
      </c>
      <c r="Y83" s="47">
        <v>89240000</v>
      </c>
      <c r="Z83" s="47">
        <v>89240000</v>
      </c>
      <c r="AA83" s="47">
        <v>89240000</v>
      </c>
      <c r="AB83" s="47">
        <v>89240000</v>
      </c>
      <c r="AC83" s="47">
        <v>89240000</v>
      </c>
      <c r="AD83" s="47">
        <v>89240000</v>
      </c>
      <c r="AE83" s="47">
        <v>89240000</v>
      </c>
      <c r="AF83" s="47">
        <v>89240000</v>
      </c>
      <c r="AG83" s="47">
        <v>89240000</v>
      </c>
      <c r="AH83" s="47">
        <v>89240000</v>
      </c>
      <c r="AI83" s="47">
        <v>89240000</v>
      </c>
      <c r="AJ83" s="47">
        <v>89240000</v>
      </c>
      <c r="AK83" s="47">
        <v>89240000</v>
      </c>
      <c r="AL83" s="47">
        <v>-17848000</v>
      </c>
      <c r="AM83" s="47">
        <v>-17848000</v>
      </c>
      <c r="AN83" s="47">
        <v>-540848.48484848486</v>
      </c>
      <c r="AO83" s="47">
        <v>-540848.48484848486</v>
      </c>
      <c r="AP83" s="47">
        <v>-540848.48484848486</v>
      </c>
      <c r="AQ83" s="47">
        <v>-540848.48484848486</v>
      </c>
      <c r="AR83" s="47">
        <v>-540848.48484848486</v>
      </c>
      <c r="AS83" s="47">
        <v>-540848.48484848486</v>
      </c>
      <c r="AT83" s="47">
        <v>-540848.48484848486</v>
      </c>
      <c r="AU83" s="47">
        <v>-540848.48484848486</v>
      </c>
      <c r="AV83" s="47">
        <v>-540848.48484848486</v>
      </c>
      <c r="AW83" s="47">
        <v>-540848.48484848486</v>
      </c>
      <c r="AX83" s="47">
        <v>-540848.48484848486</v>
      </c>
      <c r="AY83" s="47">
        <v>-540848.48484848486</v>
      </c>
      <c r="AZ83" s="58">
        <f t="shared" si="3"/>
        <v>-6490181.8181818165</v>
      </c>
      <c r="BA83" s="47">
        <f>Y83+SUM($AM83:AM83)</f>
        <v>71392000</v>
      </c>
      <c r="BB83" s="48">
        <f>Z83+SUM($AM83:AN83)</f>
        <v>70851151.515151516</v>
      </c>
      <c r="BC83" s="48">
        <f>AA83+SUM($AM83:AO83)</f>
        <v>70310303.030303031</v>
      </c>
      <c r="BD83" s="48">
        <f>AB83+SUM($AM83:AP83)</f>
        <v>69769454.545454547</v>
      </c>
      <c r="BE83" s="48">
        <f>AC83+SUM($AM83:AQ83)</f>
        <v>69228606.060606062</v>
      </c>
      <c r="BF83" s="48">
        <f>AD83+SUM($AM83:AR83)</f>
        <v>68687757.575757578</v>
      </c>
      <c r="BG83" s="48">
        <f>AE83+SUM($AM83:AS83)</f>
        <v>68146909.090909094</v>
      </c>
      <c r="BH83" s="48">
        <f>AF83+SUM($AM83:AT83)</f>
        <v>67606060.606060609</v>
      </c>
      <c r="BI83" s="48">
        <f>AG83+SUM($AM83:AU83)</f>
        <v>67065212.121212125</v>
      </c>
      <c r="BJ83" s="48">
        <f>AH83+SUM($AM83:AV83)</f>
        <v>66524363.63636364</v>
      </c>
      <c r="BK83" s="48">
        <f>AI83+SUM($AM83:AW83)</f>
        <v>65983515.151515156</v>
      </c>
      <c r="BL83" s="48">
        <f>AJ83+SUM($AM83:AX83)</f>
        <v>65442666.666666672</v>
      </c>
      <c r="BM83" s="48">
        <f>AK83+SUM($AM83:AY83)</f>
        <v>64901818.181818187</v>
      </c>
      <c r="BO83" s="47"/>
    </row>
    <row r="84" spans="3:67" s="41" customFormat="1" hidden="1" x14ac:dyDescent="0.3">
      <c r="C84" s="41" t="s">
        <v>1340</v>
      </c>
      <c r="D84" s="42" t="s">
        <v>337</v>
      </c>
      <c r="E84" s="42" t="str">
        <f t="shared" si="4"/>
        <v>211</v>
      </c>
      <c r="F84" s="41" t="str">
        <f>_xlfn.XLOOKUP($D84,MD_Account_Asset_Type[Nhóm tài sản],MD_Account_Asset_Type[Tên Nhóm tài sản])</f>
        <v>Máy móc, thiết bị phụ - SX 627</v>
      </c>
      <c r="G84" s="41" t="str">
        <f>_xlfn.XLOOKUP($D84,MD_Account_Asset_Type[Nhóm tài sản],MD_Account_Asset_Type[Tên nhóm TS-Rút gọn])</f>
        <v>Máy móc thiết bị</v>
      </c>
      <c r="H84" s="41" t="str">
        <f>_xlfn.XLOOKUP($D84,MD_Account_Asset_Type[Nhóm tài sản],MD_Account_Asset_Type[Tên nhóm TS-Rút gọn-v2])</f>
        <v>Máy móc thiết bị</v>
      </c>
      <c r="I84" s="43" t="s">
        <v>1013</v>
      </c>
      <c r="J84" s="42" t="s">
        <v>576</v>
      </c>
      <c r="K84" s="41" t="s">
        <v>502</v>
      </c>
      <c r="L84" s="42" t="s">
        <v>63</v>
      </c>
      <c r="M84" s="42" t="s">
        <v>138</v>
      </c>
      <c r="N84" s="44" t="s">
        <v>256</v>
      </c>
      <c r="O84" s="44"/>
      <c r="P84" s="41" t="s">
        <v>461</v>
      </c>
      <c r="Q84" s="41" t="str">
        <f t="shared" si="5"/>
        <v>627</v>
      </c>
      <c r="R84" s="41" t="str">
        <f>_xlfn.XLOOKUP($L84,MD_Cost_Center[Mã Cost Center],MD_Cost_Center[Ngành])</f>
        <v>HD/PP</v>
      </c>
      <c r="S84" s="41" t="str">
        <f>_xlfn.XLOOKUP($L84,MD_Cost_Center[Mã Cost Center],MD_Cost_Center[Ngành-Tách PET-Xơ sợi])</f>
        <v>HD/PP</v>
      </c>
      <c r="T84" s="45">
        <v>45658</v>
      </c>
      <c r="U84" s="46">
        <v>47484</v>
      </c>
      <c r="V84" s="47">
        <v>144</v>
      </c>
      <c r="W84" s="47">
        <v>89240000</v>
      </c>
      <c r="X84" s="47">
        <v>-540848.48484848486</v>
      </c>
      <c r="Y84" s="47">
        <v>89240000</v>
      </c>
      <c r="Z84" s="47">
        <v>89240000</v>
      </c>
      <c r="AA84" s="47">
        <v>89240000</v>
      </c>
      <c r="AB84" s="47">
        <v>89240000</v>
      </c>
      <c r="AC84" s="47">
        <v>89240000</v>
      </c>
      <c r="AD84" s="47">
        <v>89240000</v>
      </c>
      <c r="AE84" s="47">
        <v>89240000</v>
      </c>
      <c r="AF84" s="47">
        <v>89240000</v>
      </c>
      <c r="AG84" s="47">
        <v>89240000</v>
      </c>
      <c r="AH84" s="47">
        <v>89240000</v>
      </c>
      <c r="AI84" s="47">
        <v>89240000</v>
      </c>
      <c r="AJ84" s="47">
        <v>89240000</v>
      </c>
      <c r="AK84" s="47">
        <v>89240000</v>
      </c>
      <c r="AL84" s="47">
        <v>-17848000</v>
      </c>
      <c r="AM84" s="47">
        <v>-17848000</v>
      </c>
      <c r="AN84" s="47">
        <v>-540848.48484848486</v>
      </c>
      <c r="AO84" s="47">
        <v>-540848.48484848486</v>
      </c>
      <c r="AP84" s="47">
        <v>-540848.48484848486</v>
      </c>
      <c r="AQ84" s="47">
        <v>-540848.48484848486</v>
      </c>
      <c r="AR84" s="47">
        <v>-540848.48484848486</v>
      </c>
      <c r="AS84" s="47">
        <v>-540848.48484848486</v>
      </c>
      <c r="AT84" s="47">
        <v>-540848.48484848486</v>
      </c>
      <c r="AU84" s="47">
        <v>-540848.48484848486</v>
      </c>
      <c r="AV84" s="47">
        <v>-540848.48484848486</v>
      </c>
      <c r="AW84" s="47">
        <v>-540848.48484848486</v>
      </c>
      <c r="AX84" s="47">
        <v>-540848.48484848486</v>
      </c>
      <c r="AY84" s="47">
        <v>-540848.48484848486</v>
      </c>
      <c r="AZ84" s="58">
        <f t="shared" si="3"/>
        <v>-6490181.8181818165</v>
      </c>
      <c r="BA84" s="47">
        <f>Y84+SUM($AM84:AM84)</f>
        <v>71392000</v>
      </c>
      <c r="BB84" s="48">
        <f>Z84+SUM($AM84:AN84)</f>
        <v>70851151.515151516</v>
      </c>
      <c r="BC84" s="48">
        <f>AA84+SUM($AM84:AO84)</f>
        <v>70310303.030303031</v>
      </c>
      <c r="BD84" s="48">
        <f>AB84+SUM($AM84:AP84)</f>
        <v>69769454.545454547</v>
      </c>
      <c r="BE84" s="48">
        <f>AC84+SUM($AM84:AQ84)</f>
        <v>69228606.060606062</v>
      </c>
      <c r="BF84" s="48">
        <f>AD84+SUM($AM84:AR84)</f>
        <v>68687757.575757578</v>
      </c>
      <c r="BG84" s="48">
        <f>AE84+SUM($AM84:AS84)</f>
        <v>68146909.090909094</v>
      </c>
      <c r="BH84" s="48">
        <f>AF84+SUM($AM84:AT84)</f>
        <v>67606060.606060609</v>
      </c>
      <c r="BI84" s="48">
        <f>AG84+SUM($AM84:AU84)</f>
        <v>67065212.121212125</v>
      </c>
      <c r="BJ84" s="48">
        <f>AH84+SUM($AM84:AV84)</f>
        <v>66524363.63636364</v>
      </c>
      <c r="BK84" s="48">
        <f>AI84+SUM($AM84:AW84)</f>
        <v>65983515.151515156</v>
      </c>
      <c r="BL84" s="48">
        <f>AJ84+SUM($AM84:AX84)</f>
        <v>65442666.666666672</v>
      </c>
      <c r="BM84" s="48">
        <f>AK84+SUM($AM84:AY84)</f>
        <v>64901818.181818187</v>
      </c>
      <c r="BO84" s="47"/>
    </row>
    <row r="85" spans="3:67" s="41" customFormat="1" hidden="1" x14ac:dyDescent="0.3">
      <c r="C85" s="41" t="s">
        <v>1340</v>
      </c>
      <c r="D85" s="42" t="s">
        <v>337</v>
      </c>
      <c r="E85" s="42" t="str">
        <f t="shared" si="4"/>
        <v>211</v>
      </c>
      <c r="F85" s="41" t="str">
        <f>_xlfn.XLOOKUP($D85,MD_Account_Asset_Type[Nhóm tài sản],MD_Account_Asset_Type[Tên Nhóm tài sản])</f>
        <v>Máy móc, thiết bị phụ - SX 627</v>
      </c>
      <c r="G85" s="41" t="str">
        <f>_xlfn.XLOOKUP($D85,MD_Account_Asset_Type[Nhóm tài sản],MD_Account_Asset_Type[Tên nhóm TS-Rút gọn])</f>
        <v>Máy móc thiết bị</v>
      </c>
      <c r="H85" s="41" t="str">
        <f>_xlfn.XLOOKUP($D85,MD_Account_Asset_Type[Nhóm tài sản],MD_Account_Asset_Type[Tên nhóm TS-Rút gọn-v2])</f>
        <v>Máy móc thiết bị</v>
      </c>
      <c r="I85" s="43" t="s">
        <v>1014</v>
      </c>
      <c r="J85" s="42" t="s">
        <v>577</v>
      </c>
      <c r="K85" s="41" t="s">
        <v>502</v>
      </c>
      <c r="L85" s="42" t="s">
        <v>72</v>
      </c>
      <c r="M85" s="42" t="s">
        <v>147</v>
      </c>
      <c r="N85" s="44" t="s">
        <v>265</v>
      </c>
      <c r="O85" s="44"/>
      <c r="P85" s="41" t="s">
        <v>461</v>
      </c>
      <c r="Q85" s="41" t="str">
        <f t="shared" si="5"/>
        <v>627</v>
      </c>
      <c r="R85" s="41" t="str">
        <f>_xlfn.XLOOKUP($L85,MD_Cost_Center[Mã Cost Center],MD_Cost_Center[Ngành])</f>
        <v>HD/PP</v>
      </c>
      <c r="S85" s="41" t="str">
        <f>_xlfn.XLOOKUP($L85,MD_Cost_Center[Mã Cost Center],MD_Cost_Center[Ngành-Tách PET-Xơ sợi])</f>
        <v>HD/PP</v>
      </c>
      <c r="T85" s="45">
        <v>45658</v>
      </c>
      <c r="U85" s="46">
        <v>47484</v>
      </c>
      <c r="V85" s="47">
        <v>144</v>
      </c>
      <c r="W85" s="47">
        <v>89240000</v>
      </c>
      <c r="X85" s="47">
        <v>-540848.48484848486</v>
      </c>
      <c r="Y85" s="47">
        <v>89240000</v>
      </c>
      <c r="Z85" s="47">
        <v>89240000</v>
      </c>
      <c r="AA85" s="47">
        <v>89240000</v>
      </c>
      <c r="AB85" s="47">
        <v>89240000</v>
      </c>
      <c r="AC85" s="47">
        <v>89240000</v>
      </c>
      <c r="AD85" s="47">
        <v>89240000</v>
      </c>
      <c r="AE85" s="47">
        <v>89240000</v>
      </c>
      <c r="AF85" s="47">
        <v>89240000</v>
      </c>
      <c r="AG85" s="47">
        <v>89240000</v>
      </c>
      <c r="AH85" s="47">
        <v>89240000</v>
      </c>
      <c r="AI85" s="47">
        <v>89240000</v>
      </c>
      <c r="AJ85" s="47">
        <v>89240000</v>
      </c>
      <c r="AK85" s="47">
        <v>89240000</v>
      </c>
      <c r="AL85" s="47">
        <v>-17848000</v>
      </c>
      <c r="AM85" s="47">
        <v>-17848000</v>
      </c>
      <c r="AN85" s="47">
        <v>-540848.48484848486</v>
      </c>
      <c r="AO85" s="47">
        <v>-540848.48484848486</v>
      </c>
      <c r="AP85" s="47">
        <v>-540848.48484848486</v>
      </c>
      <c r="AQ85" s="47">
        <v>-540848.48484848486</v>
      </c>
      <c r="AR85" s="47">
        <v>-540848.48484848486</v>
      </c>
      <c r="AS85" s="47">
        <v>-540848.48484848486</v>
      </c>
      <c r="AT85" s="47">
        <v>-540848.48484848486</v>
      </c>
      <c r="AU85" s="47">
        <v>-540848.48484848486</v>
      </c>
      <c r="AV85" s="47">
        <v>-540848.48484848486</v>
      </c>
      <c r="AW85" s="47">
        <v>-540848.48484848486</v>
      </c>
      <c r="AX85" s="47">
        <v>-540848.48484848486</v>
      </c>
      <c r="AY85" s="47">
        <v>-540848.48484848486</v>
      </c>
      <c r="AZ85" s="58">
        <f t="shared" si="3"/>
        <v>-6490181.8181818165</v>
      </c>
      <c r="BA85" s="47">
        <f>Y85+SUM($AM85:AM85)</f>
        <v>71392000</v>
      </c>
      <c r="BB85" s="48">
        <f>Z85+SUM($AM85:AN85)</f>
        <v>70851151.515151516</v>
      </c>
      <c r="BC85" s="48">
        <f>AA85+SUM($AM85:AO85)</f>
        <v>70310303.030303031</v>
      </c>
      <c r="BD85" s="48">
        <f>AB85+SUM($AM85:AP85)</f>
        <v>69769454.545454547</v>
      </c>
      <c r="BE85" s="48">
        <f>AC85+SUM($AM85:AQ85)</f>
        <v>69228606.060606062</v>
      </c>
      <c r="BF85" s="48">
        <f>AD85+SUM($AM85:AR85)</f>
        <v>68687757.575757578</v>
      </c>
      <c r="BG85" s="48">
        <f>AE85+SUM($AM85:AS85)</f>
        <v>68146909.090909094</v>
      </c>
      <c r="BH85" s="48">
        <f>AF85+SUM($AM85:AT85)</f>
        <v>67606060.606060609</v>
      </c>
      <c r="BI85" s="48">
        <f>AG85+SUM($AM85:AU85)</f>
        <v>67065212.121212125</v>
      </c>
      <c r="BJ85" s="48">
        <f>AH85+SUM($AM85:AV85)</f>
        <v>66524363.63636364</v>
      </c>
      <c r="BK85" s="48">
        <f>AI85+SUM($AM85:AW85)</f>
        <v>65983515.151515156</v>
      </c>
      <c r="BL85" s="48">
        <f>AJ85+SUM($AM85:AX85)</f>
        <v>65442666.666666672</v>
      </c>
      <c r="BM85" s="48">
        <f>AK85+SUM($AM85:AY85)</f>
        <v>64901818.181818187</v>
      </c>
      <c r="BO85" s="47"/>
    </row>
    <row r="86" spans="3:67" s="41" customFormat="1" hidden="1" x14ac:dyDescent="0.3">
      <c r="C86" s="41" t="s">
        <v>1340</v>
      </c>
      <c r="D86" s="42" t="s">
        <v>337</v>
      </c>
      <c r="E86" s="42" t="str">
        <f t="shared" si="4"/>
        <v>211</v>
      </c>
      <c r="F86" s="41" t="str">
        <f>_xlfn.XLOOKUP($D86,MD_Account_Asset_Type[Nhóm tài sản],MD_Account_Asset_Type[Tên Nhóm tài sản])</f>
        <v>Máy móc, thiết bị phụ - SX 627</v>
      </c>
      <c r="G86" s="41" t="str">
        <f>_xlfn.XLOOKUP($D86,MD_Account_Asset_Type[Nhóm tài sản],MD_Account_Asset_Type[Tên nhóm TS-Rút gọn])</f>
        <v>Máy móc thiết bị</v>
      </c>
      <c r="H86" s="41" t="str">
        <f>_xlfn.XLOOKUP($D86,MD_Account_Asset_Type[Nhóm tài sản],MD_Account_Asset_Type[Tên nhóm TS-Rút gọn-v2])</f>
        <v>Máy móc thiết bị</v>
      </c>
      <c r="I86" s="43" t="s">
        <v>1015</v>
      </c>
      <c r="J86" s="42" t="s">
        <v>578</v>
      </c>
      <c r="K86" s="41" t="s">
        <v>502</v>
      </c>
      <c r="L86" s="42" t="s">
        <v>56</v>
      </c>
      <c r="M86" s="42" t="s">
        <v>131</v>
      </c>
      <c r="N86" s="44" t="s">
        <v>249</v>
      </c>
      <c r="O86" s="44"/>
      <c r="P86" s="41" t="s">
        <v>461</v>
      </c>
      <c r="Q86" s="41" t="str">
        <f t="shared" si="5"/>
        <v>627</v>
      </c>
      <c r="R86" s="41" t="str">
        <f>_xlfn.XLOOKUP($L86,MD_Cost_Center[Mã Cost Center],MD_Cost_Center[Ngành])</f>
        <v>PET</v>
      </c>
      <c r="S86" s="41" t="str">
        <f>_xlfn.XLOOKUP($L86,MD_Cost_Center[Mã Cost Center],MD_Cost_Center[Ngành-Tách PET-Xơ sợi])</f>
        <v>Chung-PET</v>
      </c>
      <c r="T86" s="45">
        <v>45658</v>
      </c>
      <c r="U86" s="46">
        <v>47484</v>
      </c>
      <c r="V86" s="47">
        <v>144</v>
      </c>
      <c r="W86" s="47">
        <v>87300000</v>
      </c>
      <c r="X86" s="47">
        <v>-529090.90909090906</v>
      </c>
      <c r="Y86" s="47">
        <v>87300000</v>
      </c>
      <c r="Z86" s="47">
        <v>87300000</v>
      </c>
      <c r="AA86" s="47">
        <v>87300000</v>
      </c>
      <c r="AB86" s="47">
        <v>87300000</v>
      </c>
      <c r="AC86" s="47">
        <v>87300000</v>
      </c>
      <c r="AD86" s="47">
        <v>87300000</v>
      </c>
      <c r="AE86" s="47">
        <v>87300000</v>
      </c>
      <c r="AF86" s="47">
        <v>87300000</v>
      </c>
      <c r="AG86" s="47">
        <v>87300000</v>
      </c>
      <c r="AH86" s="47">
        <v>87300000</v>
      </c>
      <c r="AI86" s="47">
        <v>87300000</v>
      </c>
      <c r="AJ86" s="47">
        <v>87300000</v>
      </c>
      <c r="AK86" s="47">
        <v>87300000</v>
      </c>
      <c r="AL86" s="47">
        <v>-17460000</v>
      </c>
      <c r="AM86" s="47">
        <v>-17460000</v>
      </c>
      <c r="AN86" s="47">
        <v>-529090.90909090906</v>
      </c>
      <c r="AO86" s="47">
        <v>-529090.90909090906</v>
      </c>
      <c r="AP86" s="47">
        <v>-529090.90909090906</v>
      </c>
      <c r="AQ86" s="47">
        <v>-529090.90909090906</v>
      </c>
      <c r="AR86" s="47">
        <v>-529090.90909090906</v>
      </c>
      <c r="AS86" s="47">
        <v>-529090.90909090906</v>
      </c>
      <c r="AT86" s="47">
        <v>-529090.90909090906</v>
      </c>
      <c r="AU86" s="47">
        <v>-529090.90909090906</v>
      </c>
      <c r="AV86" s="47">
        <v>-529090.90909090906</v>
      </c>
      <c r="AW86" s="47">
        <v>-529090.90909090906</v>
      </c>
      <c r="AX86" s="47">
        <v>-529090.90909090906</v>
      </c>
      <c r="AY86" s="47">
        <v>-529090.90909090906</v>
      </c>
      <c r="AZ86" s="58">
        <f t="shared" si="3"/>
        <v>-6349090.9090909092</v>
      </c>
      <c r="BA86" s="47">
        <f>Y86+SUM($AM86:AM86)</f>
        <v>69840000</v>
      </c>
      <c r="BB86" s="48">
        <f>Z86+SUM($AM86:AN86)</f>
        <v>69310909.090909094</v>
      </c>
      <c r="BC86" s="48">
        <f>AA86+SUM($AM86:AO86)</f>
        <v>68781818.181818187</v>
      </c>
      <c r="BD86" s="48">
        <f>AB86+SUM($AM86:AP86)</f>
        <v>68252727.272727266</v>
      </c>
      <c r="BE86" s="48">
        <f>AC86+SUM($AM86:AQ86)</f>
        <v>67723636.36363636</v>
      </c>
      <c r="BF86" s="48">
        <f>AD86+SUM($AM86:AR86)</f>
        <v>67194545.454545453</v>
      </c>
      <c r="BG86" s="48">
        <f>AE86+SUM($AM86:AS86)</f>
        <v>66665454.545454539</v>
      </c>
      <c r="BH86" s="48">
        <f>AF86+SUM($AM86:AT86)</f>
        <v>66136363.636363626</v>
      </c>
      <c r="BI86" s="48">
        <f>AG86+SUM($AM86:AU86)</f>
        <v>65607272.727272719</v>
      </c>
      <c r="BJ86" s="48">
        <f>AH86+SUM($AM86:AV86)</f>
        <v>65078181.818181813</v>
      </c>
      <c r="BK86" s="48">
        <f>AI86+SUM($AM86:AW86)</f>
        <v>64549090.909090899</v>
      </c>
      <c r="BL86" s="48">
        <f>AJ86+SUM($AM86:AX86)</f>
        <v>64019999.999999985</v>
      </c>
      <c r="BM86" s="48">
        <f>AK86+SUM($AM86:AY86)</f>
        <v>63490909.090909079</v>
      </c>
      <c r="BO86" s="47"/>
    </row>
    <row r="87" spans="3:67" s="41" customFormat="1" hidden="1" x14ac:dyDescent="0.3">
      <c r="C87" s="41" t="s">
        <v>1340</v>
      </c>
      <c r="D87" s="42" t="s">
        <v>337</v>
      </c>
      <c r="E87" s="42" t="str">
        <f t="shared" si="4"/>
        <v>211</v>
      </c>
      <c r="F87" s="41" t="str">
        <f>_xlfn.XLOOKUP($D87,MD_Account_Asset_Type[Nhóm tài sản],MD_Account_Asset_Type[Tên Nhóm tài sản])</f>
        <v>Máy móc, thiết bị phụ - SX 627</v>
      </c>
      <c r="G87" s="41" t="str">
        <f>_xlfn.XLOOKUP($D87,MD_Account_Asset_Type[Nhóm tài sản],MD_Account_Asset_Type[Tên nhóm TS-Rút gọn])</f>
        <v>Máy móc thiết bị</v>
      </c>
      <c r="H87" s="41" t="str">
        <f>_xlfn.XLOOKUP($D87,MD_Account_Asset_Type[Nhóm tài sản],MD_Account_Asset_Type[Tên nhóm TS-Rút gọn-v2])</f>
        <v>Máy móc thiết bị</v>
      </c>
      <c r="I87" s="43" t="s">
        <v>1016</v>
      </c>
      <c r="J87" s="42" t="s">
        <v>579</v>
      </c>
      <c r="K87" s="41" t="s">
        <v>502</v>
      </c>
      <c r="L87" s="42" t="s">
        <v>48</v>
      </c>
      <c r="M87" s="42" t="s">
        <v>123</v>
      </c>
      <c r="N87" s="44">
        <v>0</v>
      </c>
      <c r="O87" s="44"/>
      <c r="P87" s="41" t="s">
        <v>461</v>
      </c>
      <c r="Q87" s="41" t="str">
        <f t="shared" si="5"/>
        <v>627</v>
      </c>
      <c r="R87" s="41" t="str">
        <f>_xlfn.XLOOKUP($L87,MD_Cost_Center[Mã Cost Center],MD_Cost_Center[Ngành])</f>
        <v>PET</v>
      </c>
      <c r="S87" s="41" t="str">
        <f>_xlfn.XLOOKUP($L87,MD_Cost_Center[Mã Cost Center],MD_Cost_Center[Ngành-Tách PET-Xơ sợi])</f>
        <v>Chung-PET</v>
      </c>
      <c r="T87" s="45">
        <v>45505</v>
      </c>
      <c r="U87" s="46">
        <v>47331</v>
      </c>
      <c r="V87" s="47">
        <v>144</v>
      </c>
      <c r="W87" s="47">
        <v>1256000000</v>
      </c>
      <c r="X87" s="47">
        <v>-7087664.0393700786</v>
      </c>
      <c r="Y87" s="47">
        <v>1256000000</v>
      </c>
      <c r="Z87" s="47">
        <v>1256000000</v>
      </c>
      <c r="AA87" s="47">
        <v>1256000000</v>
      </c>
      <c r="AB87" s="47">
        <v>1256000000</v>
      </c>
      <c r="AC87" s="47">
        <v>1256000000</v>
      </c>
      <c r="AD87" s="47">
        <v>1256000000</v>
      </c>
      <c r="AE87" s="47">
        <v>1256000000</v>
      </c>
      <c r="AF87" s="47">
        <v>1256000000</v>
      </c>
      <c r="AG87" s="47">
        <v>1256000000</v>
      </c>
      <c r="AH87" s="47">
        <v>1256000000</v>
      </c>
      <c r="AI87" s="47">
        <v>1256000000</v>
      </c>
      <c r="AJ87" s="47">
        <v>1256000000</v>
      </c>
      <c r="AK87" s="47">
        <v>1256000000</v>
      </c>
      <c r="AL87" s="47">
        <v>-251200000</v>
      </c>
      <c r="AM87" s="47">
        <v>-355866667</v>
      </c>
      <c r="AN87" s="47">
        <v>-7087664.0393700786</v>
      </c>
      <c r="AO87" s="47">
        <v>-7087664.0393700786</v>
      </c>
      <c r="AP87" s="47">
        <v>-7087664.0393700786</v>
      </c>
      <c r="AQ87" s="47">
        <v>-7087664.0393700786</v>
      </c>
      <c r="AR87" s="47">
        <v>-7087664.0393700786</v>
      </c>
      <c r="AS87" s="47">
        <v>-7087664.0393700786</v>
      </c>
      <c r="AT87" s="47">
        <v>-7087664.0393700786</v>
      </c>
      <c r="AU87" s="47">
        <v>-7087664.0393700786</v>
      </c>
      <c r="AV87" s="47">
        <v>-7087664.0393700786</v>
      </c>
      <c r="AW87" s="47">
        <v>-7087664.0393700786</v>
      </c>
      <c r="AX87" s="47">
        <v>-7087664.0393700786</v>
      </c>
      <c r="AY87" s="47">
        <v>-7087664.0393700786</v>
      </c>
      <c r="AZ87" s="58">
        <f t="shared" si="3"/>
        <v>-85051968.472440913</v>
      </c>
      <c r="BA87" s="47">
        <f>Y87+SUM($AM87:AM87)</f>
        <v>900133333</v>
      </c>
      <c r="BB87" s="48">
        <f>Z87+SUM($AM87:AN87)</f>
        <v>893045668.96062994</v>
      </c>
      <c r="BC87" s="48">
        <f>AA87+SUM($AM87:AO87)</f>
        <v>885958004.92125988</v>
      </c>
      <c r="BD87" s="48">
        <f>AB87+SUM($AM87:AP87)</f>
        <v>878870340.88188982</v>
      </c>
      <c r="BE87" s="48">
        <f>AC87+SUM($AM87:AQ87)</f>
        <v>871782676.84251976</v>
      </c>
      <c r="BF87" s="48">
        <f>AD87+SUM($AM87:AR87)</f>
        <v>864695012.8031497</v>
      </c>
      <c r="BG87" s="48">
        <f>AE87+SUM($AM87:AS87)</f>
        <v>857607348.76377964</v>
      </c>
      <c r="BH87" s="48">
        <f>AF87+SUM($AM87:AT87)</f>
        <v>850519684.72440958</v>
      </c>
      <c r="BI87" s="48">
        <f>AG87+SUM($AM87:AU87)</f>
        <v>843432020.68503952</v>
      </c>
      <c r="BJ87" s="48">
        <f>AH87+SUM($AM87:AV87)</f>
        <v>836344356.64566946</v>
      </c>
      <c r="BK87" s="48">
        <f>AI87+SUM($AM87:AW87)</f>
        <v>829256692.6062994</v>
      </c>
      <c r="BL87" s="48">
        <f>AJ87+SUM($AM87:AX87)</f>
        <v>822169028.56692934</v>
      </c>
      <c r="BM87" s="48">
        <f>AK87+SUM($AM87:AY87)</f>
        <v>815081364.52755928</v>
      </c>
      <c r="BO87" s="47"/>
    </row>
    <row r="88" spans="3:67" s="41" customFormat="1" hidden="1" x14ac:dyDescent="0.3">
      <c r="C88" s="41" t="s">
        <v>1340</v>
      </c>
      <c r="D88" s="42" t="s">
        <v>337</v>
      </c>
      <c r="E88" s="42" t="str">
        <f t="shared" si="4"/>
        <v>211</v>
      </c>
      <c r="F88" s="41" t="str">
        <f>_xlfn.XLOOKUP($D88,MD_Account_Asset_Type[Nhóm tài sản],MD_Account_Asset_Type[Tên Nhóm tài sản])</f>
        <v>Máy móc, thiết bị phụ - SX 627</v>
      </c>
      <c r="G88" s="41" t="str">
        <f>_xlfn.XLOOKUP($D88,MD_Account_Asset_Type[Nhóm tài sản],MD_Account_Asset_Type[Tên nhóm TS-Rút gọn])</f>
        <v>Máy móc thiết bị</v>
      </c>
      <c r="H88" s="41" t="str">
        <f>_xlfn.XLOOKUP($D88,MD_Account_Asset_Type[Nhóm tài sản],MD_Account_Asset_Type[Tên nhóm TS-Rút gọn-v2])</f>
        <v>Máy móc thiết bị</v>
      </c>
      <c r="I88" s="43" t="s">
        <v>1017</v>
      </c>
      <c r="J88" s="42" t="s">
        <v>580</v>
      </c>
      <c r="K88" s="41" t="s">
        <v>830</v>
      </c>
      <c r="L88" s="42" t="s">
        <v>45</v>
      </c>
      <c r="M88" s="42" t="s">
        <v>120</v>
      </c>
      <c r="N88" s="44">
        <v>0</v>
      </c>
      <c r="O88" s="44"/>
      <c r="P88" s="41" t="s">
        <v>461</v>
      </c>
      <c r="Q88" s="41" t="str">
        <f t="shared" si="5"/>
        <v>627</v>
      </c>
      <c r="R88" s="41" t="str">
        <f>_xlfn.XLOOKUP($L88,MD_Cost_Center[Mã Cost Center],MD_Cost_Center[Ngành])</f>
        <v>Chung</v>
      </c>
      <c r="S88" s="41" t="str">
        <f>_xlfn.XLOOKUP($L88,MD_Cost_Center[Mã Cost Center],MD_Cost_Center[Ngành-Tách PET-Xơ sợi])</f>
        <v>Chung</v>
      </c>
      <c r="T88" s="45">
        <v>45627</v>
      </c>
      <c r="U88" s="46">
        <v>46722</v>
      </c>
      <c r="V88" s="47">
        <v>144</v>
      </c>
      <c r="W88" s="47">
        <v>170000000</v>
      </c>
      <c r="X88" s="47">
        <v>-829092.45038167934</v>
      </c>
      <c r="Y88" s="47">
        <v>170000000</v>
      </c>
      <c r="Z88" s="47">
        <v>170000000</v>
      </c>
      <c r="AA88" s="47">
        <v>170000000</v>
      </c>
      <c r="AB88" s="47">
        <v>170000000</v>
      </c>
      <c r="AC88" s="47">
        <v>170000000</v>
      </c>
      <c r="AD88" s="47">
        <v>170000000</v>
      </c>
      <c r="AE88" s="47">
        <v>170000000</v>
      </c>
      <c r="AF88" s="47">
        <v>170000000</v>
      </c>
      <c r="AG88" s="47">
        <v>170000000</v>
      </c>
      <c r="AH88" s="47">
        <v>170000000</v>
      </c>
      <c r="AI88" s="47">
        <v>170000000</v>
      </c>
      <c r="AJ88" s="47">
        <v>170000000</v>
      </c>
      <c r="AK88" s="47">
        <v>170000000</v>
      </c>
      <c r="AL88" s="47">
        <v>-56666667</v>
      </c>
      <c r="AM88" s="47">
        <v>-61388889</v>
      </c>
      <c r="AN88" s="47">
        <v>-829092.45038167934</v>
      </c>
      <c r="AO88" s="47">
        <v>-829092.45038167934</v>
      </c>
      <c r="AP88" s="47">
        <v>-829092.45038167934</v>
      </c>
      <c r="AQ88" s="47">
        <v>-829092.45038167934</v>
      </c>
      <c r="AR88" s="47">
        <v>-829092.45038167934</v>
      </c>
      <c r="AS88" s="47">
        <v>-829092.45038167934</v>
      </c>
      <c r="AT88" s="47">
        <v>-829092.45038167934</v>
      </c>
      <c r="AU88" s="47">
        <v>-829092.45038167934</v>
      </c>
      <c r="AV88" s="47">
        <v>-829092.45038167934</v>
      </c>
      <c r="AW88" s="47">
        <v>-829092.45038167934</v>
      </c>
      <c r="AX88" s="47">
        <v>-829092.45038167934</v>
      </c>
      <c r="AY88" s="47">
        <v>-829092.45038167934</v>
      </c>
      <c r="AZ88" s="58">
        <f t="shared" si="3"/>
        <v>-9949109.4045801517</v>
      </c>
      <c r="BA88" s="47">
        <f>Y88+SUM($AM88:AM88)</f>
        <v>108611111</v>
      </c>
      <c r="BB88" s="48">
        <f>Z88+SUM($AM88:AN88)</f>
        <v>107782018.54961832</v>
      </c>
      <c r="BC88" s="48">
        <f>AA88+SUM($AM88:AO88)</f>
        <v>106952926.09923664</v>
      </c>
      <c r="BD88" s="48">
        <f>AB88+SUM($AM88:AP88)</f>
        <v>106123833.64885496</v>
      </c>
      <c r="BE88" s="48">
        <f>AC88+SUM($AM88:AQ88)</f>
        <v>105294741.19847327</v>
      </c>
      <c r="BF88" s="48">
        <f>AD88+SUM($AM88:AR88)</f>
        <v>104465648.74809159</v>
      </c>
      <c r="BG88" s="48">
        <f>AE88+SUM($AM88:AS88)</f>
        <v>103636556.29770991</v>
      </c>
      <c r="BH88" s="48">
        <f>AF88+SUM($AM88:AT88)</f>
        <v>102807463.84732823</v>
      </c>
      <c r="BI88" s="48">
        <f>AG88+SUM($AM88:AU88)</f>
        <v>101978371.39694655</v>
      </c>
      <c r="BJ88" s="48">
        <f>AH88+SUM($AM88:AV88)</f>
        <v>101149278.94656487</v>
      </c>
      <c r="BK88" s="48">
        <f>AI88+SUM($AM88:AW88)</f>
        <v>100320186.49618319</v>
      </c>
      <c r="BL88" s="48">
        <f>AJ88+SUM($AM88:AX88)</f>
        <v>99491094.045801505</v>
      </c>
      <c r="BM88" s="48">
        <f>AK88+SUM($AM88:AY88)</f>
        <v>98662001.595419824</v>
      </c>
      <c r="BO88" s="47"/>
    </row>
    <row r="89" spans="3:67" s="41" customFormat="1" hidden="1" x14ac:dyDescent="0.3">
      <c r="C89" s="41" t="s">
        <v>1340</v>
      </c>
      <c r="D89" s="42" t="s">
        <v>337</v>
      </c>
      <c r="E89" s="42" t="str">
        <f t="shared" si="4"/>
        <v>211</v>
      </c>
      <c r="F89" s="41" t="str">
        <f>_xlfn.XLOOKUP($D89,MD_Account_Asset_Type[Nhóm tài sản],MD_Account_Asset_Type[Tên Nhóm tài sản])</f>
        <v>Máy móc, thiết bị phụ - SX 627</v>
      </c>
      <c r="G89" s="41" t="str">
        <f>_xlfn.XLOOKUP($D89,MD_Account_Asset_Type[Nhóm tài sản],MD_Account_Asset_Type[Tên nhóm TS-Rút gọn])</f>
        <v>Máy móc thiết bị</v>
      </c>
      <c r="H89" s="41" t="str">
        <f>_xlfn.XLOOKUP($D89,MD_Account_Asset_Type[Nhóm tài sản],MD_Account_Asset_Type[Tên nhóm TS-Rút gọn-v2])</f>
        <v>Máy móc thiết bị</v>
      </c>
      <c r="I89" s="43" t="s">
        <v>1018</v>
      </c>
      <c r="J89" s="42" t="s">
        <v>581</v>
      </c>
      <c r="K89" s="41" t="s">
        <v>830</v>
      </c>
      <c r="L89" s="42" t="s">
        <v>46</v>
      </c>
      <c r="M89" s="42" t="s">
        <v>121</v>
      </c>
      <c r="N89" s="44">
        <v>0</v>
      </c>
      <c r="O89" s="44"/>
      <c r="P89" s="41" t="s">
        <v>461</v>
      </c>
      <c r="Q89" s="41" t="str">
        <f t="shared" si="5"/>
        <v>627</v>
      </c>
      <c r="R89" s="41" t="str">
        <f>_xlfn.XLOOKUP($L89,MD_Cost_Center[Mã Cost Center],MD_Cost_Center[Ngành])</f>
        <v>Chung</v>
      </c>
      <c r="S89" s="41" t="str">
        <f>_xlfn.XLOOKUP($L89,MD_Cost_Center[Mã Cost Center],MD_Cost_Center[Ngành-Tách PET-Xơ sợi])</f>
        <v>Chung</v>
      </c>
      <c r="T89" s="45">
        <v>45658</v>
      </c>
      <c r="U89" s="46">
        <v>46753</v>
      </c>
      <c r="V89" s="47">
        <v>144</v>
      </c>
      <c r="W89" s="47">
        <v>765000000</v>
      </c>
      <c r="X89" s="47">
        <v>-3863636.3636363638</v>
      </c>
      <c r="Y89" s="47">
        <v>765000000</v>
      </c>
      <c r="Z89" s="47">
        <v>765000000</v>
      </c>
      <c r="AA89" s="47">
        <v>765000000</v>
      </c>
      <c r="AB89" s="47">
        <v>765000000</v>
      </c>
      <c r="AC89" s="47">
        <v>765000000</v>
      </c>
      <c r="AD89" s="47">
        <v>765000000</v>
      </c>
      <c r="AE89" s="47">
        <v>765000000</v>
      </c>
      <c r="AF89" s="47">
        <v>765000000</v>
      </c>
      <c r="AG89" s="47">
        <v>765000000</v>
      </c>
      <c r="AH89" s="47">
        <v>765000000</v>
      </c>
      <c r="AI89" s="47">
        <v>765000000</v>
      </c>
      <c r="AJ89" s="47">
        <v>765000000</v>
      </c>
      <c r="AK89" s="47">
        <v>765000000</v>
      </c>
      <c r="AL89" s="47">
        <v>-255000000</v>
      </c>
      <c r="AM89" s="47">
        <v>-255000000</v>
      </c>
      <c r="AN89" s="47">
        <v>-3863636.3636363638</v>
      </c>
      <c r="AO89" s="47">
        <v>-3863636.3636363638</v>
      </c>
      <c r="AP89" s="47">
        <v>-3863636.3636363638</v>
      </c>
      <c r="AQ89" s="47">
        <v>-3863636.3636363638</v>
      </c>
      <c r="AR89" s="47">
        <v>-3863636.3636363638</v>
      </c>
      <c r="AS89" s="47">
        <v>-3863636.3636363638</v>
      </c>
      <c r="AT89" s="47">
        <v>-3863636.3636363638</v>
      </c>
      <c r="AU89" s="47">
        <v>-3863636.3636363638</v>
      </c>
      <c r="AV89" s="47">
        <v>-3863636.3636363638</v>
      </c>
      <c r="AW89" s="47">
        <v>-3863636.3636363638</v>
      </c>
      <c r="AX89" s="47">
        <v>-3863636.3636363638</v>
      </c>
      <c r="AY89" s="47">
        <v>-3863636.3636363638</v>
      </c>
      <c r="AZ89" s="58">
        <f t="shared" si="3"/>
        <v>-46363636.363636374</v>
      </c>
      <c r="BA89" s="47">
        <f>Y89+SUM($AM89:AM89)</f>
        <v>510000000</v>
      </c>
      <c r="BB89" s="48">
        <f>Z89+SUM($AM89:AN89)</f>
        <v>506136363.63636363</v>
      </c>
      <c r="BC89" s="48">
        <f>AA89+SUM($AM89:AO89)</f>
        <v>502272727.27272725</v>
      </c>
      <c r="BD89" s="48">
        <f>AB89+SUM($AM89:AP89)</f>
        <v>498409090.90909088</v>
      </c>
      <c r="BE89" s="48">
        <f>AC89+SUM($AM89:AQ89)</f>
        <v>494545454.5454545</v>
      </c>
      <c r="BF89" s="48">
        <f>AD89+SUM($AM89:AR89)</f>
        <v>490681818.18181813</v>
      </c>
      <c r="BG89" s="48">
        <f>AE89+SUM($AM89:AS89)</f>
        <v>486818181.81818175</v>
      </c>
      <c r="BH89" s="48">
        <f>AF89+SUM($AM89:AT89)</f>
        <v>482954545.45454538</v>
      </c>
      <c r="BI89" s="48">
        <f>AG89+SUM($AM89:AU89)</f>
        <v>479090909.090909</v>
      </c>
      <c r="BJ89" s="48">
        <f>AH89+SUM($AM89:AV89)</f>
        <v>475227272.72727263</v>
      </c>
      <c r="BK89" s="48">
        <f>AI89+SUM($AM89:AW89)</f>
        <v>471363636.36363626</v>
      </c>
      <c r="BL89" s="48">
        <f>AJ89+SUM($AM89:AX89)</f>
        <v>467499999.99999988</v>
      </c>
      <c r="BM89" s="48">
        <f>AK89+SUM($AM89:AY89)</f>
        <v>463636363.63636351</v>
      </c>
      <c r="BO89" s="47"/>
    </row>
    <row r="90" spans="3:67" s="41" customFormat="1" hidden="1" x14ac:dyDescent="0.3">
      <c r="C90" s="41" t="s">
        <v>1340</v>
      </c>
      <c r="D90" s="42" t="s">
        <v>337</v>
      </c>
      <c r="E90" s="42" t="str">
        <f t="shared" si="4"/>
        <v>211</v>
      </c>
      <c r="F90" s="41" t="str">
        <f>_xlfn.XLOOKUP($D90,MD_Account_Asset_Type[Nhóm tài sản],MD_Account_Asset_Type[Tên Nhóm tài sản])</f>
        <v>Máy móc, thiết bị phụ - SX 627</v>
      </c>
      <c r="G90" s="41" t="str">
        <f>_xlfn.XLOOKUP($D90,MD_Account_Asset_Type[Nhóm tài sản],MD_Account_Asset_Type[Tên nhóm TS-Rút gọn])</f>
        <v>Máy móc thiết bị</v>
      </c>
      <c r="H90" s="41" t="str">
        <f>_xlfn.XLOOKUP($D90,MD_Account_Asset_Type[Nhóm tài sản],MD_Account_Asset_Type[Tên nhóm TS-Rút gọn-v2])</f>
        <v>Máy móc thiết bị</v>
      </c>
      <c r="I90" s="43" t="s">
        <v>1019</v>
      </c>
      <c r="J90" s="42" t="s">
        <v>582</v>
      </c>
      <c r="K90" s="41" t="s">
        <v>830</v>
      </c>
      <c r="L90" s="42" t="s">
        <v>45</v>
      </c>
      <c r="M90" s="42" t="s">
        <v>120</v>
      </c>
      <c r="N90" s="44">
        <v>0</v>
      </c>
      <c r="O90" s="44"/>
      <c r="P90" s="41" t="s">
        <v>461</v>
      </c>
      <c r="Q90" s="41" t="str">
        <f t="shared" si="5"/>
        <v>627</v>
      </c>
      <c r="R90" s="41" t="str">
        <f>_xlfn.XLOOKUP($L90,MD_Cost_Center[Mã Cost Center],MD_Cost_Center[Ngành])</f>
        <v>Chung</v>
      </c>
      <c r="S90" s="41" t="str">
        <f>_xlfn.XLOOKUP($L90,MD_Cost_Center[Mã Cost Center],MD_Cost_Center[Ngành-Tách PET-Xơ sợi])</f>
        <v>Chung</v>
      </c>
      <c r="T90" s="45">
        <v>45748</v>
      </c>
      <c r="U90" s="46">
        <v>46844</v>
      </c>
      <c r="V90" s="47">
        <v>144</v>
      </c>
      <c r="W90" s="47">
        <v>118000000</v>
      </c>
      <c r="X90" s="47">
        <v>-655555.5555555555</v>
      </c>
      <c r="Y90" s="47">
        <v>118000000</v>
      </c>
      <c r="Z90" s="47">
        <v>118000000</v>
      </c>
      <c r="AA90" s="47">
        <v>118000000</v>
      </c>
      <c r="AB90" s="47">
        <v>118000000</v>
      </c>
      <c r="AC90" s="47">
        <v>118000000</v>
      </c>
      <c r="AD90" s="47">
        <v>118000000</v>
      </c>
      <c r="AE90" s="47">
        <v>118000000</v>
      </c>
      <c r="AF90" s="47">
        <v>118000000</v>
      </c>
      <c r="AG90" s="47">
        <v>118000000</v>
      </c>
      <c r="AH90" s="47">
        <v>118000000</v>
      </c>
      <c r="AI90" s="47">
        <v>118000000</v>
      </c>
      <c r="AJ90" s="47">
        <v>118000000</v>
      </c>
      <c r="AK90" s="47">
        <v>118000000</v>
      </c>
      <c r="AL90" s="47">
        <v>-29500000</v>
      </c>
      <c r="AM90" s="47">
        <v>-29500000</v>
      </c>
      <c r="AN90" s="47">
        <v>-655555.5555555555</v>
      </c>
      <c r="AO90" s="47">
        <v>-655555.5555555555</v>
      </c>
      <c r="AP90" s="47">
        <v>-655555.5555555555</v>
      </c>
      <c r="AQ90" s="47">
        <v>-655555.5555555555</v>
      </c>
      <c r="AR90" s="47">
        <v>-655555.5555555555</v>
      </c>
      <c r="AS90" s="47">
        <v>-655555.5555555555</v>
      </c>
      <c r="AT90" s="47">
        <v>-655555.5555555555</v>
      </c>
      <c r="AU90" s="47">
        <v>-655555.5555555555</v>
      </c>
      <c r="AV90" s="47">
        <v>-655555.5555555555</v>
      </c>
      <c r="AW90" s="47">
        <v>-655555.5555555555</v>
      </c>
      <c r="AX90" s="47">
        <v>-655555.5555555555</v>
      </c>
      <c r="AY90" s="47">
        <v>-655555.5555555555</v>
      </c>
      <c r="AZ90" s="58">
        <f t="shared" si="3"/>
        <v>-7866666.6666666679</v>
      </c>
      <c r="BA90" s="47">
        <f>Y90+SUM($AM90:AM90)</f>
        <v>88500000</v>
      </c>
      <c r="BB90" s="48">
        <f>Z90+SUM($AM90:AN90)</f>
        <v>87844444.444444448</v>
      </c>
      <c r="BC90" s="48">
        <f>AA90+SUM($AM90:AO90)</f>
        <v>87188888.888888896</v>
      </c>
      <c r="BD90" s="48">
        <f>AB90+SUM($AM90:AP90)</f>
        <v>86533333.333333328</v>
      </c>
      <c r="BE90" s="48">
        <f>AC90+SUM($AM90:AQ90)</f>
        <v>85877777.777777776</v>
      </c>
      <c r="BF90" s="48">
        <f>AD90+SUM($AM90:AR90)</f>
        <v>85222222.222222224</v>
      </c>
      <c r="BG90" s="48">
        <f>AE90+SUM($AM90:AS90)</f>
        <v>84566666.666666657</v>
      </c>
      <c r="BH90" s="48">
        <f>AF90+SUM($AM90:AT90)</f>
        <v>83911111.111111104</v>
      </c>
      <c r="BI90" s="48">
        <f>AG90+SUM($AM90:AU90)</f>
        <v>83255555.555555552</v>
      </c>
      <c r="BJ90" s="48">
        <f>AH90+SUM($AM90:AV90)</f>
        <v>82600000</v>
      </c>
      <c r="BK90" s="48">
        <f>AI90+SUM($AM90:AW90)</f>
        <v>81944444.444444448</v>
      </c>
      <c r="BL90" s="48">
        <f>AJ90+SUM($AM90:AX90)</f>
        <v>81288888.888888896</v>
      </c>
      <c r="BM90" s="48">
        <f>AK90+SUM($AM90:AY90)</f>
        <v>80633333.333333343</v>
      </c>
      <c r="BO90" s="47"/>
    </row>
    <row r="91" spans="3:67" s="41" customFormat="1" hidden="1" x14ac:dyDescent="0.3">
      <c r="C91" s="41" t="s">
        <v>1340</v>
      </c>
      <c r="D91" s="42" t="s">
        <v>337</v>
      </c>
      <c r="E91" s="42" t="str">
        <f t="shared" si="4"/>
        <v>211</v>
      </c>
      <c r="F91" s="41" t="str">
        <f>_xlfn.XLOOKUP($D91,MD_Account_Asset_Type[Nhóm tài sản],MD_Account_Asset_Type[Tên Nhóm tài sản])</f>
        <v>Máy móc, thiết bị phụ - SX 627</v>
      </c>
      <c r="G91" s="41" t="str">
        <f>_xlfn.XLOOKUP($D91,MD_Account_Asset_Type[Nhóm tài sản],MD_Account_Asset_Type[Tên nhóm TS-Rút gọn])</f>
        <v>Máy móc thiết bị</v>
      </c>
      <c r="H91" s="41" t="str">
        <f>_xlfn.XLOOKUP($D91,MD_Account_Asset_Type[Nhóm tài sản],MD_Account_Asset_Type[Tên nhóm TS-Rút gọn-v2])</f>
        <v>Máy móc thiết bị</v>
      </c>
      <c r="I91" s="43" t="s">
        <v>1020</v>
      </c>
      <c r="J91" s="42" t="s">
        <v>583</v>
      </c>
      <c r="K91" s="41" t="s">
        <v>830</v>
      </c>
      <c r="L91" s="42" t="s">
        <v>45</v>
      </c>
      <c r="M91" s="42" t="s">
        <v>120</v>
      </c>
      <c r="N91" s="44">
        <v>0</v>
      </c>
      <c r="O91" s="44"/>
      <c r="P91" s="41" t="s">
        <v>461</v>
      </c>
      <c r="Q91" s="41" t="str">
        <f t="shared" si="5"/>
        <v>627</v>
      </c>
      <c r="R91" s="41" t="str">
        <f>_xlfn.XLOOKUP($L91,MD_Cost_Center[Mã Cost Center],MD_Cost_Center[Ngành])</f>
        <v>Chung</v>
      </c>
      <c r="S91" s="41" t="str">
        <f>_xlfn.XLOOKUP($L91,MD_Cost_Center[Mã Cost Center],MD_Cost_Center[Ngành-Tách PET-Xơ sợi])</f>
        <v>Chung</v>
      </c>
      <c r="T91" s="45">
        <v>45748</v>
      </c>
      <c r="U91" s="46">
        <v>46844</v>
      </c>
      <c r="V91" s="47">
        <v>144</v>
      </c>
      <c r="W91" s="47">
        <v>118000000</v>
      </c>
      <c r="X91" s="47">
        <v>-655555.5555555555</v>
      </c>
      <c r="Y91" s="47">
        <v>118000000</v>
      </c>
      <c r="Z91" s="47">
        <v>118000000</v>
      </c>
      <c r="AA91" s="47">
        <v>118000000</v>
      </c>
      <c r="AB91" s="47">
        <v>118000000</v>
      </c>
      <c r="AC91" s="47">
        <v>118000000</v>
      </c>
      <c r="AD91" s="47">
        <v>118000000</v>
      </c>
      <c r="AE91" s="47">
        <v>118000000</v>
      </c>
      <c r="AF91" s="47">
        <v>118000000</v>
      </c>
      <c r="AG91" s="47">
        <v>118000000</v>
      </c>
      <c r="AH91" s="47">
        <v>118000000</v>
      </c>
      <c r="AI91" s="47">
        <v>118000000</v>
      </c>
      <c r="AJ91" s="47">
        <v>118000000</v>
      </c>
      <c r="AK91" s="47">
        <v>118000000</v>
      </c>
      <c r="AL91" s="47">
        <v>-29500000</v>
      </c>
      <c r="AM91" s="47">
        <v>-29500000</v>
      </c>
      <c r="AN91" s="47">
        <v>-655555.5555555555</v>
      </c>
      <c r="AO91" s="47">
        <v>-655555.5555555555</v>
      </c>
      <c r="AP91" s="47">
        <v>-655555.5555555555</v>
      </c>
      <c r="AQ91" s="47">
        <v>-655555.5555555555</v>
      </c>
      <c r="AR91" s="47">
        <v>-655555.5555555555</v>
      </c>
      <c r="AS91" s="47">
        <v>-655555.5555555555</v>
      </c>
      <c r="AT91" s="47">
        <v>-655555.5555555555</v>
      </c>
      <c r="AU91" s="47">
        <v>-655555.5555555555</v>
      </c>
      <c r="AV91" s="47">
        <v>-655555.5555555555</v>
      </c>
      <c r="AW91" s="47">
        <v>-655555.5555555555</v>
      </c>
      <c r="AX91" s="47">
        <v>-655555.5555555555</v>
      </c>
      <c r="AY91" s="47">
        <v>-655555.5555555555</v>
      </c>
      <c r="AZ91" s="58">
        <f t="shared" ref="AZ91:AZ154" si="6">SUM(AN91:AY91)</f>
        <v>-7866666.6666666679</v>
      </c>
      <c r="BA91" s="47">
        <f>Y91+SUM($AM91:AM91)</f>
        <v>88500000</v>
      </c>
      <c r="BB91" s="48">
        <f>Z91+SUM($AM91:AN91)</f>
        <v>87844444.444444448</v>
      </c>
      <c r="BC91" s="48">
        <f>AA91+SUM($AM91:AO91)</f>
        <v>87188888.888888896</v>
      </c>
      <c r="BD91" s="48">
        <f>AB91+SUM($AM91:AP91)</f>
        <v>86533333.333333328</v>
      </c>
      <c r="BE91" s="48">
        <f>AC91+SUM($AM91:AQ91)</f>
        <v>85877777.777777776</v>
      </c>
      <c r="BF91" s="48">
        <f>AD91+SUM($AM91:AR91)</f>
        <v>85222222.222222224</v>
      </c>
      <c r="BG91" s="48">
        <f>AE91+SUM($AM91:AS91)</f>
        <v>84566666.666666657</v>
      </c>
      <c r="BH91" s="48">
        <f>AF91+SUM($AM91:AT91)</f>
        <v>83911111.111111104</v>
      </c>
      <c r="BI91" s="48">
        <f>AG91+SUM($AM91:AU91)</f>
        <v>83255555.555555552</v>
      </c>
      <c r="BJ91" s="48">
        <f>AH91+SUM($AM91:AV91)</f>
        <v>82600000</v>
      </c>
      <c r="BK91" s="48">
        <f>AI91+SUM($AM91:AW91)</f>
        <v>81944444.444444448</v>
      </c>
      <c r="BL91" s="48">
        <f>AJ91+SUM($AM91:AX91)</f>
        <v>81288888.888888896</v>
      </c>
      <c r="BM91" s="48">
        <f>AK91+SUM($AM91:AY91)</f>
        <v>80633333.333333343</v>
      </c>
      <c r="BO91" s="47"/>
    </row>
    <row r="92" spans="3:67" s="41" customFormat="1" hidden="1" x14ac:dyDescent="0.3">
      <c r="C92" s="41" t="s">
        <v>1340</v>
      </c>
      <c r="D92" s="42" t="s">
        <v>337</v>
      </c>
      <c r="E92" s="42" t="str">
        <f t="shared" si="4"/>
        <v>211</v>
      </c>
      <c r="F92" s="41" t="str">
        <f>_xlfn.XLOOKUP($D92,MD_Account_Asset_Type[Nhóm tài sản],MD_Account_Asset_Type[Tên Nhóm tài sản])</f>
        <v>Máy móc, thiết bị phụ - SX 627</v>
      </c>
      <c r="G92" s="41" t="str">
        <f>_xlfn.XLOOKUP($D92,MD_Account_Asset_Type[Nhóm tài sản],MD_Account_Asset_Type[Tên nhóm TS-Rút gọn])</f>
        <v>Máy móc thiết bị</v>
      </c>
      <c r="H92" s="41" t="str">
        <f>_xlfn.XLOOKUP($D92,MD_Account_Asset_Type[Nhóm tài sản],MD_Account_Asset_Type[Tên nhóm TS-Rút gọn-v2])</f>
        <v>Máy móc thiết bị</v>
      </c>
      <c r="I92" s="43" t="s">
        <v>1021</v>
      </c>
      <c r="J92" s="42" t="s">
        <v>584</v>
      </c>
      <c r="K92" s="41" t="s">
        <v>830</v>
      </c>
      <c r="L92" s="42" t="s">
        <v>46</v>
      </c>
      <c r="M92" s="42" t="s">
        <v>121</v>
      </c>
      <c r="N92" s="44">
        <v>0</v>
      </c>
      <c r="O92" s="44"/>
      <c r="P92" s="41" t="s">
        <v>461</v>
      </c>
      <c r="Q92" s="41" t="str">
        <f t="shared" si="5"/>
        <v>627</v>
      </c>
      <c r="R92" s="41" t="str">
        <f>_xlfn.XLOOKUP($L92,MD_Cost_Center[Mã Cost Center],MD_Cost_Center[Ngành])</f>
        <v>Chung</v>
      </c>
      <c r="S92" s="41" t="str">
        <f>_xlfn.XLOOKUP($L92,MD_Cost_Center[Mã Cost Center],MD_Cost_Center[Ngành-Tách PET-Xơ sợi])</f>
        <v>Chung</v>
      </c>
      <c r="T92" s="45">
        <v>45689</v>
      </c>
      <c r="U92" s="46">
        <v>46569</v>
      </c>
      <c r="V92" s="47">
        <v>144</v>
      </c>
      <c r="W92" s="47">
        <v>98100000</v>
      </c>
      <c r="X92" s="47">
        <v>-508554.52592592593</v>
      </c>
      <c r="Y92" s="47">
        <v>98100000</v>
      </c>
      <c r="Z92" s="47">
        <v>98100000</v>
      </c>
      <c r="AA92" s="47">
        <v>98100000</v>
      </c>
      <c r="AB92" s="47">
        <v>98100000</v>
      </c>
      <c r="AC92" s="47">
        <v>98100000</v>
      </c>
      <c r="AD92" s="47">
        <v>98100000</v>
      </c>
      <c r="AE92" s="47">
        <v>98100000</v>
      </c>
      <c r="AF92" s="47">
        <v>98100000</v>
      </c>
      <c r="AG92" s="47">
        <v>98100000</v>
      </c>
      <c r="AH92" s="47">
        <v>98100000</v>
      </c>
      <c r="AI92" s="47">
        <v>98100000</v>
      </c>
      <c r="AJ92" s="47">
        <v>98100000</v>
      </c>
      <c r="AK92" s="47">
        <v>98100000</v>
      </c>
      <c r="AL92" s="47">
        <v>-29445139</v>
      </c>
      <c r="AM92" s="47">
        <v>-29445139</v>
      </c>
      <c r="AN92" s="47">
        <v>-508554.52592592593</v>
      </c>
      <c r="AO92" s="47">
        <v>-508554.52592592593</v>
      </c>
      <c r="AP92" s="47">
        <v>-508554.52592592593</v>
      </c>
      <c r="AQ92" s="47">
        <v>-508554.52592592593</v>
      </c>
      <c r="AR92" s="47">
        <v>-508554.52592592593</v>
      </c>
      <c r="AS92" s="47">
        <v>-508554.52592592593</v>
      </c>
      <c r="AT92" s="47">
        <v>-508554.52592592593</v>
      </c>
      <c r="AU92" s="47">
        <v>-508554.52592592593</v>
      </c>
      <c r="AV92" s="47">
        <v>-508554.52592592593</v>
      </c>
      <c r="AW92" s="47">
        <v>-508554.52592592593</v>
      </c>
      <c r="AX92" s="47">
        <v>-508554.52592592593</v>
      </c>
      <c r="AY92" s="47">
        <v>-508554.52592592593</v>
      </c>
      <c r="AZ92" s="58">
        <f t="shared" si="6"/>
        <v>-6102654.3111111112</v>
      </c>
      <c r="BA92" s="47">
        <f>Y92+SUM($AM92:AM92)</f>
        <v>68654861</v>
      </c>
      <c r="BB92" s="48">
        <f>Z92+SUM($AM92:AN92)</f>
        <v>68146306.474074066</v>
      </c>
      <c r="BC92" s="48">
        <f>AA92+SUM($AM92:AO92)</f>
        <v>67637751.948148146</v>
      </c>
      <c r="BD92" s="48">
        <f>AB92+SUM($AM92:AP92)</f>
        <v>67129197.422222227</v>
      </c>
      <c r="BE92" s="48">
        <f>AC92+SUM($AM92:AQ92)</f>
        <v>66620642.896296293</v>
      </c>
      <c r="BF92" s="48">
        <f>AD92+SUM($AM92:AR92)</f>
        <v>66112088.370370366</v>
      </c>
      <c r="BG92" s="48">
        <f>AE92+SUM($AM92:AS92)</f>
        <v>65603533.844444439</v>
      </c>
      <c r="BH92" s="48">
        <f>AF92+SUM($AM92:AT92)</f>
        <v>65094979.318518512</v>
      </c>
      <c r="BI92" s="48">
        <f>AG92+SUM($AM92:AU92)</f>
        <v>64586424.792592585</v>
      </c>
      <c r="BJ92" s="48">
        <f>AH92+SUM($AM92:AV92)</f>
        <v>64077870.266666658</v>
      </c>
      <c r="BK92" s="48">
        <f>AI92+SUM($AM92:AW92)</f>
        <v>63569315.740740731</v>
      </c>
      <c r="BL92" s="48">
        <f>AJ92+SUM($AM92:AX92)</f>
        <v>63060761.214814804</v>
      </c>
      <c r="BM92" s="48">
        <f>AK92+SUM($AM92:AY92)</f>
        <v>62552206.688888878</v>
      </c>
      <c r="BO92" s="47"/>
    </row>
    <row r="93" spans="3:67" s="41" customFormat="1" hidden="1" x14ac:dyDescent="0.3">
      <c r="C93" s="41" t="s">
        <v>1340</v>
      </c>
      <c r="D93" s="42" t="s">
        <v>337</v>
      </c>
      <c r="E93" s="42" t="str">
        <f t="shared" si="4"/>
        <v>211</v>
      </c>
      <c r="F93" s="41" t="str">
        <f>_xlfn.XLOOKUP($D93,MD_Account_Asset_Type[Nhóm tài sản],MD_Account_Asset_Type[Tên Nhóm tài sản])</f>
        <v>Máy móc, thiết bị phụ - SX 627</v>
      </c>
      <c r="G93" s="41" t="str">
        <f>_xlfn.XLOOKUP($D93,MD_Account_Asset_Type[Nhóm tài sản],MD_Account_Asset_Type[Tên nhóm TS-Rút gọn])</f>
        <v>Máy móc thiết bị</v>
      </c>
      <c r="H93" s="41" t="str">
        <f>_xlfn.XLOOKUP($D93,MD_Account_Asset_Type[Nhóm tài sản],MD_Account_Asset_Type[Tên nhóm TS-Rút gọn-v2])</f>
        <v>Máy móc thiết bị</v>
      </c>
      <c r="I93" s="43" t="s">
        <v>1022</v>
      </c>
      <c r="J93" s="42" t="s">
        <v>585</v>
      </c>
      <c r="K93" s="41" t="s">
        <v>830</v>
      </c>
      <c r="L93" s="42" t="s">
        <v>48</v>
      </c>
      <c r="M93" s="42" t="s">
        <v>123</v>
      </c>
      <c r="N93" s="44">
        <v>0</v>
      </c>
      <c r="O93" s="44"/>
      <c r="P93" s="41" t="s">
        <v>461</v>
      </c>
      <c r="Q93" s="41" t="str">
        <f t="shared" si="5"/>
        <v>627</v>
      </c>
      <c r="R93" s="41" t="str">
        <f>_xlfn.XLOOKUP($L93,MD_Cost_Center[Mã Cost Center],MD_Cost_Center[Ngành])</f>
        <v>PET</v>
      </c>
      <c r="S93" s="41" t="str">
        <f>_xlfn.XLOOKUP($L93,MD_Cost_Center[Mã Cost Center],MD_Cost_Center[Ngành-Tách PET-Xơ sợi])</f>
        <v>Chung-PET</v>
      </c>
      <c r="T93" s="45">
        <v>45689</v>
      </c>
      <c r="U93" s="46">
        <v>46569</v>
      </c>
      <c r="V93" s="47">
        <v>144</v>
      </c>
      <c r="W93" s="47">
        <v>350000000</v>
      </c>
      <c r="X93" s="47">
        <v>-1814414.7185185186</v>
      </c>
      <c r="Y93" s="47">
        <v>350000000</v>
      </c>
      <c r="Z93" s="47">
        <v>350000000</v>
      </c>
      <c r="AA93" s="47">
        <v>350000000</v>
      </c>
      <c r="AB93" s="47">
        <v>350000000</v>
      </c>
      <c r="AC93" s="47">
        <v>350000000</v>
      </c>
      <c r="AD93" s="47">
        <v>350000000</v>
      </c>
      <c r="AE93" s="47">
        <v>350000000</v>
      </c>
      <c r="AF93" s="47">
        <v>350000000</v>
      </c>
      <c r="AG93" s="47">
        <v>350000000</v>
      </c>
      <c r="AH93" s="47">
        <v>350000000</v>
      </c>
      <c r="AI93" s="47">
        <v>350000000</v>
      </c>
      <c r="AJ93" s="47">
        <v>350000000</v>
      </c>
      <c r="AK93" s="47">
        <v>350000000</v>
      </c>
      <c r="AL93" s="47">
        <v>-105054013</v>
      </c>
      <c r="AM93" s="47">
        <v>-105054013</v>
      </c>
      <c r="AN93" s="47">
        <v>-1814414.7185185186</v>
      </c>
      <c r="AO93" s="47">
        <v>-1814414.7185185186</v>
      </c>
      <c r="AP93" s="47">
        <v>-1814414.7185185186</v>
      </c>
      <c r="AQ93" s="47">
        <v>-1814414.7185185186</v>
      </c>
      <c r="AR93" s="47">
        <v>-1814414.7185185186</v>
      </c>
      <c r="AS93" s="47">
        <v>-1814414.7185185186</v>
      </c>
      <c r="AT93" s="47">
        <v>-1814414.7185185186</v>
      </c>
      <c r="AU93" s="47">
        <v>-1814414.7185185186</v>
      </c>
      <c r="AV93" s="47">
        <v>-1814414.7185185186</v>
      </c>
      <c r="AW93" s="47">
        <v>-1814414.7185185186</v>
      </c>
      <c r="AX93" s="47">
        <v>-1814414.7185185186</v>
      </c>
      <c r="AY93" s="47">
        <v>-1814414.7185185186</v>
      </c>
      <c r="AZ93" s="58">
        <f t="shared" si="6"/>
        <v>-21772976.622222219</v>
      </c>
      <c r="BA93" s="47">
        <f>Y93+SUM($AM93:AM93)</f>
        <v>244945987</v>
      </c>
      <c r="BB93" s="48">
        <f>Z93+SUM($AM93:AN93)</f>
        <v>243131572.28148147</v>
      </c>
      <c r="BC93" s="48">
        <f>AA93+SUM($AM93:AO93)</f>
        <v>241317157.56296295</v>
      </c>
      <c r="BD93" s="48">
        <f>AB93+SUM($AM93:AP93)</f>
        <v>239502742.84444442</v>
      </c>
      <c r="BE93" s="48">
        <f>AC93+SUM($AM93:AQ93)</f>
        <v>237688328.1259259</v>
      </c>
      <c r="BF93" s="48">
        <f>AD93+SUM($AM93:AR93)</f>
        <v>235873913.40740737</v>
      </c>
      <c r="BG93" s="48">
        <f>AE93+SUM($AM93:AS93)</f>
        <v>234059498.68888885</v>
      </c>
      <c r="BH93" s="48">
        <f>AF93+SUM($AM93:AT93)</f>
        <v>232245083.97037032</v>
      </c>
      <c r="BI93" s="48">
        <f>AG93+SUM($AM93:AU93)</f>
        <v>230430669.2518518</v>
      </c>
      <c r="BJ93" s="48">
        <f>AH93+SUM($AM93:AV93)</f>
        <v>228616254.53333327</v>
      </c>
      <c r="BK93" s="48">
        <f>AI93+SUM($AM93:AW93)</f>
        <v>226801839.81481475</v>
      </c>
      <c r="BL93" s="48">
        <f>AJ93+SUM($AM93:AX93)</f>
        <v>224987425.09629622</v>
      </c>
      <c r="BM93" s="48">
        <f>AK93+SUM($AM93:AY93)</f>
        <v>223173010.3777777</v>
      </c>
      <c r="BO93" s="47"/>
    </row>
    <row r="94" spans="3:67" s="41" customFormat="1" hidden="1" x14ac:dyDescent="0.3">
      <c r="C94" s="41" t="s">
        <v>1340</v>
      </c>
      <c r="D94" s="42" t="s">
        <v>337</v>
      </c>
      <c r="E94" s="42" t="str">
        <f t="shared" si="4"/>
        <v>211</v>
      </c>
      <c r="F94" s="41" t="str">
        <f>_xlfn.XLOOKUP($D94,MD_Account_Asset_Type[Nhóm tài sản],MD_Account_Asset_Type[Tên Nhóm tài sản])</f>
        <v>Máy móc, thiết bị phụ - SX 627</v>
      </c>
      <c r="G94" s="41" t="str">
        <f>_xlfn.XLOOKUP($D94,MD_Account_Asset_Type[Nhóm tài sản],MD_Account_Asset_Type[Tên nhóm TS-Rút gọn])</f>
        <v>Máy móc thiết bị</v>
      </c>
      <c r="H94" s="41" t="str">
        <f>_xlfn.XLOOKUP($D94,MD_Account_Asset_Type[Nhóm tài sản],MD_Account_Asset_Type[Tên nhóm TS-Rút gọn-v2])</f>
        <v>Máy móc thiết bị</v>
      </c>
      <c r="I94" s="43" t="s">
        <v>1023</v>
      </c>
      <c r="J94" s="42" t="s">
        <v>586</v>
      </c>
      <c r="K94" s="41" t="s">
        <v>830</v>
      </c>
      <c r="L94" s="42" t="s">
        <v>51</v>
      </c>
      <c r="M94" s="42" t="s">
        <v>126</v>
      </c>
      <c r="N94" s="44" t="s">
        <v>244</v>
      </c>
      <c r="O94" s="44"/>
      <c r="P94" s="41" t="s">
        <v>461</v>
      </c>
      <c r="Q94" s="41" t="str">
        <f t="shared" si="5"/>
        <v>627</v>
      </c>
      <c r="R94" s="41" t="str">
        <f>_xlfn.XLOOKUP($L94,MD_Cost_Center[Mã Cost Center],MD_Cost_Center[Ngành])</f>
        <v>PET</v>
      </c>
      <c r="S94" s="41" t="str">
        <f>_xlfn.XLOOKUP($L94,MD_Cost_Center[Mã Cost Center],MD_Cost_Center[Ngành-Tách PET-Xơ sợi])</f>
        <v>Chung-PET</v>
      </c>
      <c r="T94" s="45">
        <v>45717</v>
      </c>
      <c r="U94" s="46">
        <v>47543</v>
      </c>
      <c r="V94" s="47">
        <v>144</v>
      </c>
      <c r="W94" s="47">
        <v>1590298692</v>
      </c>
      <c r="X94" s="47">
        <v>-9889917.2388059702</v>
      </c>
      <c r="Y94" s="47">
        <v>1590298692</v>
      </c>
      <c r="Z94" s="47">
        <v>1590298692</v>
      </c>
      <c r="AA94" s="47">
        <v>1590298692</v>
      </c>
      <c r="AB94" s="47">
        <v>1590298692</v>
      </c>
      <c r="AC94" s="47">
        <v>1590298692</v>
      </c>
      <c r="AD94" s="47">
        <v>1590298692</v>
      </c>
      <c r="AE94" s="47">
        <v>1590298692</v>
      </c>
      <c r="AF94" s="47">
        <v>1590298692</v>
      </c>
      <c r="AG94" s="47">
        <v>1590298692</v>
      </c>
      <c r="AH94" s="47">
        <v>1590298692</v>
      </c>
      <c r="AI94" s="47">
        <v>1590298692</v>
      </c>
      <c r="AJ94" s="47">
        <v>1590298692</v>
      </c>
      <c r="AK94" s="47">
        <v>1590298692</v>
      </c>
      <c r="AL94" s="47">
        <v>-265049782</v>
      </c>
      <c r="AM94" s="47">
        <v>-265049782</v>
      </c>
      <c r="AN94" s="47">
        <v>-9889917.2388059702</v>
      </c>
      <c r="AO94" s="47">
        <v>-9889917.2388059702</v>
      </c>
      <c r="AP94" s="47">
        <v>-9889917.2388059702</v>
      </c>
      <c r="AQ94" s="47">
        <v>-9889917.2388059702</v>
      </c>
      <c r="AR94" s="47">
        <v>-9889917.2388059702</v>
      </c>
      <c r="AS94" s="47">
        <v>-9889917.2388059702</v>
      </c>
      <c r="AT94" s="47">
        <v>-9889917.2388059702</v>
      </c>
      <c r="AU94" s="47">
        <v>-9889917.2388059702</v>
      </c>
      <c r="AV94" s="47">
        <v>-9889917.2388059702</v>
      </c>
      <c r="AW94" s="47">
        <v>-9889917.2388059702</v>
      </c>
      <c r="AX94" s="47">
        <v>-9889917.2388059702</v>
      </c>
      <c r="AY94" s="47">
        <v>-9889917.2388059702</v>
      </c>
      <c r="AZ94" s="58">
        <f t="shared" si="6"/>
        <v>-118679006.86567162</v>
      </c>
      <c r="BA94" s="47">
        <f>Y94+SUM($AM94:AM94)</f>
        <v>1325248910</v>
      </c>
      <c r="BB94" s="48">
        <f>Z94+SUM($AM94:AN94)</f>
        <v>1315358992.761194</v>
      </c>
      <c r="BC94" s="48">
        <f>AA94+SUM($AM94:AO94)</f>
        <v>1305469075.522388</v>
      </c>
      <c r="BD94" s="48">
        <f>AB94+SUM($AM94:AP94)</f>
        <v>1295579158.2835822</v>
      </c>
      <c r="BE94" s="48">
        <f>AC94+SUM($AM94:AQ94)</f>
        <v>1285689241.0447762</v>
      </c>
      <c r="BF94" s="48">
        <f>AD94+SUM($AM94:AR94)</f>
        <v>1275799323.8059702</v>
      </c>
      <c r="BG94" s="48">
        <f>AE94+SUM($AM94:AS94)</f>
        <v>1265909406.5671644</v>
      </c>
      <c r="BH94" s="48">
        <f>AF94+SUM($AM94:AT94)</f>
        <v>1256019489.3283584</v>
      </c>
      <c r="BI94" s="48">
        <f>AG94+SUM($AM94:AU94)</f>
        <v>1246129572.0895524</v>
      </c>
      <c r="BJ94" s="48">
        <f>AH94+SUM($AM94:AV94)</f>
        <v>1236239654.8507464</v>
      </c>
      <c r="BK94" s="48">
        <f>AI94+SUM($AM94:AW94)</f>
        <v>1226349737.6119404</v>
      </c>
      <c r="BL94" s="48">
        <f>AJ94+SUM($AM94:AX94)</f>
        <v>1216459820.3731346</v>
      </c>
      <c r="BM94" s="48">
        <f>AK94+SUM($AM94:AY94)</f>
        <v>1206569903.1343286</v>
      </c>
      <c r="BO94" s="47"/>
    </row>
    <row r="95" spans="3:67" s="41" customFormat="1" hidden="1" x14ac:dyDescent="0.3">
      <c r="C95" s="41" t="s">
        <v>1340</v>
      </c>
      <c r="D95" s="42" t="s">
        <v>337</v>
      </c>
      <c r="E95" s="42" t="str">
        <f t="shared" si="4"/>
        <v>211</v>
      </c>
      <c r="F95" s="41" t="str">
        <f>_xlfn.XLOOKUP($D95,MD_Account_Asset_Type[Nhóm tài sản],MD_Account_Asset_Type[Tên Nhóm tài sản])</f>
        <v>Máy móc, thiết bị phụ - SX 627</v>
      </c>
      <c r="G95" s="41" t="str">
        <f>_xlfn.XLOOKUP($D95,MD_Account_Asset_Type[Nhóm tài sản],MD_Account_Asset_Type[Tên nhóm TS-Rút gọn])</f>
        <v>Máy móc thiết bị</v>
      </c>
      <c r="H95" s="41" t="str">
        <f>_xlfn.XLOOKUP($D95,MD_Account_Asset_Type[Nhóm tài sản],MD_Account_Asset_Type[Tên nhóm TS-Rút gọn-v2])</f>
        <v>Máy móc thiết bị</v>
      </c>
      <c r="I95" s="43" t="s">
        <v>1024</v>
      </c>
      <c r="J95" s="42" t="s">
        <v>587</v>
      </c>
      <c r="K95" s="41" t="s">
        <v>830</v>
      </c>
      <c r="L95" s="42" t="s">
        <v>71</v>
      </c>
      <c r="M95" s="42" t="s">
        <v>146</v>
      </c>
      <c r="N95" s="44" t="s">
        <v>264</v>
      </c>
      <c r="O95" s="44"/>
      <c r="P95" s="41" t="s">
        <v>461</v>
      </c>
      <c r="Q95" s="41" t="str">
        <f t="shared" si="5"/>
        <v>627</v>
      </c>
      <c r="R95" s="41" t="str">
        <f>_xlfn.XLOOKUP($L95,MD_Cost_Center[Mã Cost Center],MD_Cost_Center[Ngành])</f>
        <v>PET</v>
      </c>
      <c r="S95" s="41" t="str">
        <f>_xlfn.XLOOKUP($L95,MD_Cost_Center[Mã Cost Center],MD_Cost_Center[Ngành-Tách PET-Xơ sợi])</f>
        <v>Chung-PET</v>
      </c>
      <c r="T95" s="45">
        <v>45717</v>
      </c>
      <c r="U95" s="46">
        <v>46813</v>
      </c>
      <c r="V95" s="47">
        <v>144</v>
      </c>
      <c r="W95" s="47">
        <v>504861258</v>
      </c>
      <c r="X95" s="47">
        <v>-2721059.8507462689</v>
      </c>
      <c r="Y95" s="47">
        <v>504861258</v>
      </c>
      <c r="Z95" s="47">
        <v>504861258</v>
      </c>
      <c r="AA95" s="47">
        <v>504861258</v>
      </c>
      <c r="AB95" s="47">
        <v>504861258</v>
      </c>
      <c r="AC95" s="47">
        <v>504861258</v>
      </c>
      <c r="AD95" s="47">
        <v>504861258</v>
      </c>
      <c r="AE95" s="47">
        <v>504861258</v>
      </c>
      <c r="AF95" s="47">
        <v>504861258</v>
      </c>
      <c r="AG95" s="47">
        <v>504861258</v>
      </c>
      <c r="AH95" s="47">
        <v>504861258</v>
      </c>
      <c r="AI95" s="47">
        <v>504861258</v>
      </c>
      <c r="AJ95" s="47">
        <v>504861258</v>
      </c>
      <c r="AK95" s="47">
        <v>504861258</v>
      </c>
      <c r="AL95" s="47">
        <v>-140239238</v>
      </c>
      <c r="AM95" s="47">
        <v>-140239238</v>
      </c>
      <c r="AN95" s="47">
        <v>-2721059.8507462689</v>
      </c>
      <c r="AO95" s="47">
        <v>-2721059.8507462689</v>
      </c>
      <c r="AP95" s="47">
        <v>-2721059.8507462689</v>
      </c>
      <c r="AQ95" s="47">
        <v>-2721059.8507462689</v>
      </c>
      <c r="AR95" s="47">
        <v>-2721059.8507462689</v>
      </c>
      <c r="AS95" s="47">
        <v>-2721059.8507462689</v>
      </c>
      <c r="AT95" s="47">
        <v>-2721059.8507462689</v>
      </c>
      <c r="AU95" s="47">
        <v>-2721059.8507462689</v>
      </c>
      <c r="AV95" s="47">
        <v>-2721059.8507462689</v>
      </c>
      <c r="AW95" s="47">
        <v>-2721059.8507462689</v>
      </c>
      <c r="AX95" s="47">
        <v>-2721059.8507462689</v>
      </c>
      <c r="AY95" s="47">
        <v>-2721059.8507462689</v>
      </c>
      <c r="AZ95" s="58">
        <f t="shared" si="6"/>
        <v>-32652718.208955232</v>
      </c>
      <c r="BA95" s="47">
        <f>Y95+SUM($AM95:AM95)</f>
        <v>364622020</v>
      </c>
      <c r="BB95" s="48">
        <f>Z95+SUM($AM95:AN95)</f>
        <v>361900960.14925373</v>
      </c>
      <c r="BC95" s="48">
        <f>AA95+SUM($AM95:AO95)</f>
        <v>359179900.29850745</v>
      </c>
      <c r="BD95" s="48">
        <f>AB95+SUM($AM95:AP95)</f>
        <v>356458840.44776118</v>
      </c>
      <c r="BE95" s="48">
        <f>AC95+SUM($AM95:AQ95)</f>
        <v>353737780.5970149</v>
      </c>
      <c r="BF95" s="48">
        <f>AD95+SUM($AM95:AR95)</f>
        <v>351016720.74626863</v>
      </c>
      <c r="BG95" s="48">
        <f>AE95+SUM($AM95:AS95)</f>
        <v>348295660.89552236</v>
      </c>
      <c r="BH95" s="48">
        <f>AF95+SUM($AM95:AT95)</f>
        <v>345574601.04477608</v>
      </c>
      <c r="BI95" s="48">
        <f>AG95+SUM($AM95:AU95)</f>
        <v>342853541.19402981</v>
      </c>
      <c r="BJ95" s="48">
        <f>AH95+SUM($AM95:AV95)</f>
        <v>340132481.34328353</v>
      </c>
      <c r="BK95" s="48">
        <f>AI95+SUM($AM95:AW95)</f>
        <v>337411421.49253726</v>
      </c>
      <c r="BL95" s="48">
        <f>AJ95+SUM($AM95:AX95)</f>
        <v>334690361.64179099</v>
      </c>
      <c r="BM95" s="48">
        <f>AK95+SUM($AM95:AY95)</f>
        <v>331969301.79104471</v>
      </c>
      <c r="BO95" s="47"/>
    </row>
    <row r="96" spans="3:67" s="41" customFormat="1" hidden="1" x14ac:dyDescent="0.3">
      <c r="C96" s="41" t="s">
        <v>1340</v>
      </c>
      <c r="D96" s="42" t="s">
        <v>337</v>
      </c>
      <c r="E96" s="42" t="str">
        <f t="shared" si="4"/>
        <v>211</v>
      </c>
      <c r="F96" s="41" t="str">
        <f>_xlfn.XLOOKUP($D96,MD_Account_Asset_Type[Nhóm tài sản],MD_Account_Asset_Type[Tên Nhóm tài sản])</f>
        <v>Máy móc, thiết bị phụ - SX 627</v>
      </c>
      <c r="G96" s="41" t="str">
        <f>_xlfn.XLOOKUP($D96,MD_Account_Asset_Type[Nhóm tài sản],MD_Account_Asset_Type[Tên nhóm TS-Rút gọn])</f>
        <v>Máy móc thiết bị</v>
      </c>
      <c r="H96" s="41" t="str">
        <f>_xlfn.XLOOKUP($D96,MD_Account_Asset_Type[Nhóm tài sản],MD_Account_Asset_Type[Tên nhóm TS-Rút gọn-v2])</f>
        <v>Máy móc thiết bị</v>
      </c>
      <c r="I96" s="43" t="s">
        <v>1025</v>
      </c>
      <c r="J96" s="42" t="s">
        <v>588</v>
      </c>
      <c r="K96" s="41" t="s">
        <v>830</v>
      </c>
      <c r="L96" s="42" t="s">
        <v>71</v>
      </c>
      <c r="M96" s="42" t="s">
        <v>146</v>
      </c>
      <c r="N96" s="44" t="s">
        <v>264</v>
      </c>
      <c r="O96" s="44"/>
      <c r="P96" s="41" t="s">
        <v>461</v>
      </c>
      <c r="Q96" s="41" t="str">
        <f t="shared" si="5"/>
        <v>627</v>
      </c>
      <c r="R96" s="41" t="str">
        <f>_xlfn.XLOOKUP($L96,MD_Cost_Center[Mã Cost Center],MD_Cost_Center[Ngành])</f>
        <v>PET</v>
      </c>
      <c r="S96" s="41" t="str">
        <f>_xlfn.XLOOKUP($L96,MD_Cost_Center[Mã Cost Center],MD_Cost_Center[Ngành-Tách PET-Xơ sợi])</f>
        <v>Chung-PET</v>
      </c>
      <c r="T96" s="45">
        <v>45717</v>
      </c>
      <c r="U96" s="46">
        <v>46813</v>
      </c>
      <c r="V96" s="47">
        <v>144</v>
      </c>
      <c r="W96" s="47">
        <v>500738186</v>
      </c>
      <c r="X96" s="47">
        <v>-2698837.6492537311</v>
      </c>
      <c r="Y96" s="47">
        <v>500738186</v>
      </c>
      <c r="Z96" s="47">
        <v>500738186</v>
      </c>
      <c r="AA96" s="47">
        <v>500738186</v>
      </c>
      <c r="AB96" s="47">
        <v>500738186</v>
      </c>
      <c r="AC96" s="47">
        <v>500738186</v>
      </c>
      <c r="AD96" s="47">
        <v>500738186</v>
      </c>
      <c r="AE96" s="47">
        <v>500738186</v>
      </c>
      <c r="AF96" s="47">
        <v>500738186</v>
      </c>
      <c r="AG96" s="47">
        <v>500738186</v>
      </c>
      <c r="AH96" s="47">
        <v>500738186</v>
      </c>
      <c r="AI96" s="47">
        <v>500738186</v>
      </c>
      <c r="AJ96" s="47">
        <v>500738186</v>
      </c>
      <c r="AK96" s="47">
        <v>500738186</v>
      </c>
      <c r="AL96" s="47">
        <v>-139093941</v>
      </c>
      <c r="AM96" s="47">
        <v>-139093941</v>
      </c>
      <c r="AN96" s="47">
        <v>-2698837.6492537311</v>
      </c>
      <c r="AO96" s="47">
        <v>-2698837.6492537311</v>
      </c>
      <c r="AP96" s="47">
        <v>-2698837.6492537311</v>
      </c>
      <c r="AQ96" s="47">
        <v>-2698837.6492537311</v>
      </c>
      <c r="AR96" s="47">
        <v>-2698837.6492537311</v>
      </c>
      <c r="AS96" s="47">
        <v>-2698837.6492537311</v>
      </c>
      <c r="AT96" s="47">
        <v>-2698837.6492537311</v>
      </c>
      <c r="AU96" s="47">
        <v>-2698837.6492537311</v>
      </c>
      <c r="AV96" s="47">
        <v>-2698837.6492537311</v>
      </c>
      <c r="AW96" s="47">
        <v>-2698837.6492537311</v>
      </c>
      <c r="AX96" s="47">
        <v>-2698837.6492537311</v>
      </c>
      <c r="AY96" s="47">
        <v>-2698837.6492537311</v>
      </c>
      <c r="AZ96" s="58">
        <f t="shared" si="6"/>
        <v>-32386051.791044768</v>
      </c>
      <c r="BA96" s="47">
        <f>Y96+SUM($AM96:AM96)</f>
        <v>361644245</v>
      </c>
      <c r="BB96" s="48">
        <f>Z96+SUM($AM96:AN96)</f>
        <v>358945407.35074627</v>
      </c>
      <c r="BC96" s="48">
        <f>AA96+SUM($AM96:AO96)</f>
        <v>356246569.70149255</v>
      </c>
      <c r="BD96" s="48">
        <f>AB96+SUM($AM96:AP96)</f>
        <v>353547732.05223882</v>
      </c>
      <c r="BE96" s="48">
        <f>AC96+SUM($AM96:AQ96)</f>
        <v>350848894.4029851</v>
      </c>
      <c r="BF96" s="48">
        <f>AD96+SUM($AM96:AR96)</f>
        <v>348150056.75373137</v>
      </c>
      <c r="BG96" s="48">
        <f>AE96+SUM($AM96:AS96)</f>
        <v>345451219.10447764</v>
      </c>
      <c r="BH96" s="48">
        <f>AF96+SUM($AM96:AT96)</f>
        <v>342752381.45522392</v>
      </c>
      <c r="BI96" s="48">
        <f>AG96+SUM($AM96:AU96)</f>
        <v>340053543.80597019</v>
      </c>
      <c r="BJ96" s="48">
        <f>AH96+SUM($AM96:AV96)</f>
        <v>337354706.15671647</v>
      </c>
      <c r="BK96" s="48">
        <f>AI96+SUM($AM96:AW96)</f>
        <v>334655868.50746274</v>
      </c>
      <c r="BL96" s="48">
        <f>AJ96+SUM($AM96:AX96)</f>
        <v>331957030.85820901</v>
      </c>
      <c r="BM96" s="48">
        <f>AK96+SUM($AM96:AY96)</f>
        <v>329258193.20895529</v>
      </c>
      <c r="BO96" s="47"/>
    </row>
    <row r="97" spans="3:67" s="41" customFormat="1" hidden="1" x14ac:dyDescent="0.3">
      <c r="C97" s="41" t="s">
        <v>1340</v>
      </c>
      <c r="D97" s="42" t="s">
        <v>337</v>
      </c>
      <c r="E97" s="42" t="str">
        <f t="shared" si="4"/>
        <v>211</v>
      </c>
      <c r="F97" s="41" t="str">
        <f>_xlfn.XLOOKUP($D97,MD_Account_Asset_Type[Nhóm tài sản],MD_Account_Asset_Type[Tên Nhóm tài sản])</f>
        <v>Máy móc, thiết bị phụ - SX 627</v>
      </c>
      <c r="G97" s="41" t="str">
        <f>_xlfn.XLOOKUP($D97,MD_Account_Asset_Type[Nhóm tài sản],MD_Account_Asset_Type[Tên nhóm TS-Rút gọn])</f>
        <v>Máy móc thiết bị</v>
      </c>
      <c r="H97" s="41" t="str">
        <f>_xlfn.XLOOKUP($D97,MD_Account_Asset_Type[Nhóm tài sản],MD_Account_Asset_Type[Tên nhóm TS-Rút gọn-v2])</f>
        <v>Máy móc thiết bị</v>
      </c>
      <c r="I97" s="43" t="s">
        <v>1026</v>
      </c>
      <c r="J97" s="42" t="s">
        <v>589</v>
      </c>
      <c r="K97" s="41" t="s">
        <v>830</v>
      </c>
      <c r="L97" s="42" t="s">
        <v>61</v>
      </c>
      <c r="M97" s="42" t="s">
        <v>136</v>
      </c>
      <c r="N97" s="44" t="s">
        <v>254</v>
      </c>
      <c r="O97" s="44"/>
      <c r="P97" s="41" t="s">
        <v>461</v>
      </c>
      <c r="Q97" s="41" t="str">
        <f t="shared" si="5"/>
        <v>627</v>
      </c>
      <c r="R97" s="41" t="str">
        <f>_xlfn.XLOOKUP($L97,MD_Cost_Center[Mã Cost Center],MD_Cost_Center[Ngành])</f>
        <v>PET</v>
      </c>
      <c r="S97" s="41" t="str">
        <f>_xlfn.XLOOKUP($L97,MD_Cost_Center[Mã Cost Center],MD_Cost_Center[Ngành-Tách PET-Xơ sợi])</f>
        <v>Chung-PET</v>
      </c>
      <c r="T97" s="45">
        <v>45717</v>
      </c>
      <c r="U97" s="46">
        <v>46813</v>
      </c>
      <c r="V97" s="47">
        <v>144</v>
      </c>
      <c r="W97" s="47">
        <v>465893129</v>
      </c>
      <c r="X97" s="47">
        <v>-2511032.6194029851</v>
      </c>
      <c r="Y97" s="47">
        <v>465893129</v>
      </c>
      <c r="Z97" s="47">
        <v>465893129</v>
      </c>
      <c r="AA97" s="47">
        <v>465893129</v>
      </c>
      <c r="AB97" s="47">
        <v>465893129</v>
      </c>
      <c r="AC97" s="47">
        <v>465893129</v>
      </c>
      <c r="AD97" s="47">
        <v>465893129</v>
      </c>
      <c r="AE97" s="47">
        <v>465893129</v>
      </c>
      <c r="AF97" s="47">
        <v>465893129</v>
      </c>
      <c r="AG97" s="47">
        <v>465893129</v>
      </c>
      <c r="AH97" s="47">
        <v>465893129</v>
      </c>
      <c r="AI97" s="47">
        <v>465893129</v>
      </c>
      <c r="AJ97" s="47">
        <v>465893129</v>
      </c>
      <c r="AK97" s="47">
        <v>465893129</v>
      </c>
      <c r="AL97" s="47">
        <v>-129414758</v>
      </c>
      <c r="AM97" s="47">
        <v>-129414758</v>
      </c>
      <c r="AN97" s="47">
        <v>-2511032.6194029851</v>
      </c>
      <c r="AO97" s="47">
        <v>-2511032.6194029851</v>
      </c>
      <c r="AP97" s="47">
        <v>-2511032.6194029851</v>
      </c>
      <c r="AQ97" s="47">
        <v>-2511032.6194029851</v>
      </c>
      <c r="AR97" s="47">
        <v>-2511032.6194029851</v>
      </c>
      <c r="AS97" s="47">
        <v>-2511032.6194029851</v>
      </c>
      <c r="AT97" s="47">
        <v>-2511032.6194029851</v>
      </c>
      <c r="AU97" s="47">
        <v>-2511032.6194029851</v>
      </c>
      <c r="AV97" s="47">
        <v>-2511032.6194029851</v>
      </c>
      <c r="AW97" s="47">
        <v>-2511032.6194029851</v>
      </c>
      <c r="AX97" s="47">
        <v>-2511032.6194029851</v>
      </c>
      <c r="AY97" s="47">
        <v>-2511032.6194029851</v>
      </c>
      <c r="AZ97" s="58">
        <f t="shared" si="6"/>
        <v>-30132391.432835829</v>
      </c>
      <c r="BA97" s="47">
        <f>Y97+SUM($AM97:AM97)</f>
        <v>336478371</v>
      </c>
      <c r="BB97" s="48">
        <f>Z97+SUM($AM97:AN97)</f>
        <v>333967338.380597</v>
      </c>
      <c r="BC97" s="48">
        <f>AA97+SUM($AM97:AO97)</f>
        <v>331456305.76119399</v>
      </c>
      <c r="BD97" s="48">
        <f>AB97+SUM($AM97:AP97)</f>
        <v>328945273.14179105</v>
      </c>
      <c r="BE97" s="48">
        <f>AC97+SUM($AM97:AQ97)</f>
        <v>326434240.5223881</v>
      </c>
      <c r="BF97" s="48">
        <f>AD97+SUM($AM97:AR97)</f>
        <v>323923207.9029851</v>
      </c>
      <c r="BG97" s="48">
        <f>AE97+SUM($AM97:AS97)</f>
        <v>321412175.28358209</v>
      </c>
      <c r="BH97" s="48">
        <f>AF97+SUM($AM97:AT97)</f>
        <v>318901142.66417915</v>
      </c>
      <c r="BI97" s="48">
        <f>AG97+SUM($AM97:AU97)</f>
        <v>316390110.0447762</v>
      </c>
      <c r="BJ97" s="48">
        <f>AH97+SUM($AM97:AV97)</f>
        <v>313879077.4253732</v>
      </c>
      <c r="BK97" s="48">
        <f>AI97+SUM($AM97:AW97)</f>
        <v>311368044.80597019</v>
      </c>
      <c r="BL97" s="48">
        <f>AJ97+SUM($AM97:AX97)</f>
        <v>308857012.18656725</v>
      </c>
      <c r="BM97" s="48">
        <f>AK97+SUM($AM97:AY97)</f>
        <v>306345979.5671643</v>
      </c>
      <c r="BO97" s="47"/>
    </row>
    <row r="98" spans="3:67" s="41" customFormat="1" hidden="1" x14ac:dyDescent="0.3">
      <c r="C98" s="41" t="s">
        <v>1340</v>
      </c>
      <c r="D98" s="42" t="s">
        <v>337</v>
      </c>
      <c r="E98" s="42" t="str">
        <f t="shared" si="4"/>
        <v>211</v>
      </c>
      <c r="F98" s="41" t="str">
        <f>_xlfn.XLOOKUP($D98,MD_Account_Asset_Type[Nhóm tài sản],MD_Account_Asset_Type[Tên Nhóm tài sản])</f>
        <v>Máy móc, thiết bị phụ - SX 627</v>
      </c>
      <c r="G98" s="41" t="str">
        <f>_xlfn.XLOOKUP($D98,MD_Account_Asset_Type[Nhóm tài sản],MD_Account_Asset_Type[Tên nhóm TS-Rút gọn])</f>
        <v>Máy móc thiết bị</v>
      </c>
      <c r="H98" s="41" t="str">
        <f>_xlfn.XLOOKUP($D98,MD_Account_Asset_Type[Nhóm tài sản],MD_Account_Asset_Type[Tên nhóm TS-Rút gọn-v2])</f>
        <v>Máy móc thiết bị</v>
      </c>
      <c r="I98" s="43" t="s">
        <v>1027</v>
      </c>
      <c r="J98" s="42" t="s">
        <v>590</v>
      </c>
      <c r="K98" s="41" t="s">
        <v>830</v>
      </c>
      <c r="L98" s="42" t="s">
        <v>65</v>
      </c>
      <c r="M98" s="42" t="s">
        <v>140</v>
      </c>
      <c r="N98" s="44" t="s">
        <v>258</v>
      </c>
      <c r="O98" s="44"/>
      <c r="P98" s="41" t="s">
        <v>461</v>
      </c>
      <c r="Q98" s="41" t="str">
        <f t="shared" si="5"/>
        <v>627</v>
      </c>
      <c r="R98" s="41" t="str">
        <f>_xlfn.XLOOKUP($L98,MD_Cost_Center[Mã Cost Center],MD_Cost_Center[Ngành])</f>
        <v>PET</v>
      </c>
      <c r="S98" s="41" t="str">
        <f>_xlfn.XLOOKUP($L98,MD_Cost_Center[Mã Cost Center],MD_Cost_Center[Ngành-Tách PET-Xơ sợi])</f>
        <v>Chung-PET</v>
      </c>
      <c r="T98" s="45">
        <v>45717</v>
      </c>
      <c r="U98" s="46">
        <v>46813</v>
      </c>
      <c r="V98" s="47">
        <v>144</v>
      </c>
      <c r="W98" s="47">
        <v>449488186</v>
      </c>
      <c r="X98" s="47">
        <v>-2422614.6044776118</v>
      </c>
      <c r="Y98" s="47">
        <v>449488186</v>
      </c>
      <c r="Z98" s="47">
        <v>449488186</v>
      </c>
      <c r="AA98" s="47">
        <v>449488186</v>
      </c>
      <c r="AB98" s="47">
        <v>449488186</v>
      </c>
      <c r="AC98" s="47">
        <v>449488186</v>
      </c>
      <c r="AD98" s="47">
        <v>449488186</v>
      </c>
      <c r="AE98" s="47">
        <v>449488186</v>
      </c>
      <c r="AF98" s="47">
        <v>449488186</v>
      </c>
      <c r="AG98" s="47">
        <v>449488186</v>
      </c>
      <c r="AH98" s="47">
        <v>449488186</v>
      </c>
      <c r="AI98" s="47">
        <v>449488186</v>
      </c>
      <c r="AJ98" s="47">
        <v>449488186</v>
      </c>
      <c r="AK98" s="47">
        <v>449488186</v>
      </c>
      <c r="AL98" s="47">
        <v>-124857829</v>
      </c>
      <c r="AM98" s="47">
        <v>-124857829</v>
      </c>
      <c r="AN98" s="47">
        <v>-2422614.6044776118</v>
      </c>
      <c r="AO98" s="47">
        <v>-2422614.6044776118</v>
      </c>
      <c r="AP98" s="47">
        <v>-2422614.6044776118</v>
      </c>
      <c r="AQ98" s="47">
        <v>-2422614.6044776118</v>
      </c>
      <c r="AR98" s="47">
        <v>-2422614.6044776118</v>
      </c>
      <c r="AS98" s="47">
        <v>-2422614.6044776118</v>
      </c>
      <c r="AT98" s="47">
        <v>-2422614.6044776118</v>
      </c>
      <c r="AU98" s="47">
        <v>-2422614.6044776118</v>
      </c>
      <c r="AV98" s="47">
        <v>-2422614.6044776118</v>
      </c>
      <c r="AW98" s="47">
        <v>-2422614.6044776118</v>
      </c>
      <c r="AX98" s="47">
        <v>-2422614.6044776118</v>
      </c>
      <c r="AY98" s="47">
        <v>-2422614.6044776118</v>
      </c>
      <c r="AZ98" s="58">
        <f t="shared" si="6"/>
        <v>-29071375.253731336</v>
      </c>
      <c r="BA98" s="47">
        <f>Y98+SUM($AM98:AM98)</f>
        <v>324630357</v>
      </c>
      <c r="BB98" s="48">
        <f>Z98+SUM($AM98:AN98)</f>
        <v>322207742.39552236</v>
      </c>
      <c r="BC98" s="48">
        <f>AA98+SUM($AM98:AO98)</f>
        <v>319785127.79104477</v>
      </c>
      <c r="BD98" s="48">
        <f>AB98+SUM($AM98:AP98)</f>
        <v>317362513.18656719</v>
      </c>
      <c r="BE98" s="48">
        <f>AC98+SUM($AM98:AQ98)</f>
        <v>314939898.58208954</v>
      </c>
      <c r="BF98" s="48">
        <f>AD98+SUM($AM98:AR98)</f>
        <v>312517283.9776119</v>
      </c>
      <c r="BG98" s="48">
        <f>AE98+SUM($AM98:AS98)</f>
        <v>310094669.37313432</v>
      </c>
      <c r="BH98" s="48">
        <f>AF98+SUM($AM98:AT98)</f>
        <v>307672054.76865673</v>
      </c>
      <c r="BI98" s="48">
        <f>AG98+SUM($AM98:AU98)</f>
        <v>305249440.16417909</v>
      </c>
      <c r="BJ98" s="48">
        <f>AH98+SUM($AM98:AV98)</f>
        <v>302826825.55970144</v>
      </c>
      <c r="BK98" s="48">
        <f>AI98+SUM($AM98:AW98)</f>
        <v>300404210.95522386</v>
      </c>
      <c r="BL98" s="48">
        <f>AJ98+SUM($AM98:AX98)</f>
        <v>297981596.35074627</v>
      </c>
      <c r="BM98" s="48">
        <f>AK98+SUM($AM98:AY98)</f>
        <v>295558981.74626863</v>
      </c>
      <c r="BO98" s="47"/>
    </row>
    <row r="99" spans="3:67" s="41" customFormat="1" hidden="1" x14ac:dyDescent="0.3">
      <c r="C99" s="41" t="s">
        <v>1340</v>
      </c>
      <c r="D99" s="42" t="s">
        <v>337</v>
      </c>
      <c r="E99" s="42" t="str">
        <f t="shared" si="4"/>
        <v>211</v>
      </c>
      <c r="F99" s="41" t="str">
        <f>_xlfn.XLOOKUP($D99,MD_Account_Asset_Type[Nhóm tài sản],MD_Account_Asset_Type[Tên Nhóm tài sản])</f>
        <v>Máy móc, thiết bị phụ - SX 627</v>
      </c>
      <c r="G99" s="41" t="str">
        <f>_xlfn.XLOOKUP($D99,MD_Account_Asset_Type[Nhóm tài sản],MD_Account_Asset_Type[Tên nhóm TS-Rút gọn])</f>
        <v>Máy móc thiết bị</v>
      </c>
      <c r="H99" s="41" t="str">
        <f>_xlfn.XLOOKUP($D99,MD_Account_Asset_Type[Nhóm tài sản],MD_Account_Asset_Type[Tên nhóm TS-Rút gọn-v2])</f>
        <v>Máy móc thiết bị</v>
      </c>
      <c r="I99" s="43" t="s">
        <v>1028</v>
      </c>
      <c r="J99" s="42" t="s">
        <v>591</v>
      </c>
      <c r="K99" s="41" t="s">
        <v>830</v>
      </c>
      <c r="L99" s="42" t="s">
        <v>100</v>
      </c>
      <c r="M99" s="42" t="s">
        <v>175</v>
      </c>
      <c r="N99" s="44" t="s">
        <v>286</v>
      </c>
      <c r="O99" s="44"/>
      <c r="P99" s="41" t="s">
        <v>461</v>
      </c>
      <c r="Q99" s="41" t="str">
        <f t="shared" si="5"/>
        <v>627</v>
      </c>
      <c r="R99" s="41" t="str">
        <f>_xlfn.XLOOKUP($L99,MD_Cost_Center[Mã Cost Center],MD_Cost_Center[Ngành])</f>
        <v>PET</v>
      </c>
      <c r="S99" s="41" t="str">
        <f>_xlfn.XLOOKUP($L99,MD_Cost_Center[Mã Cost Center],MD_Cost_Center[Ngành-Tách PET-Xơ sợi])</f>
        <v>Chung-PET</v>
      </c>
      <c r="T99" s="45">
        <v>45717</v>
      </c>
      <c r="U99" s="46">
        <v>47543</v>
      </c>
      <c r="V99" s="47">
        <v>144</v>
      </c>
      <c r="W99" s="47">
        <v>1060199128</v>
      </c>
      <c r="X99" s="47">
        <v>-6593278.1567164175</v>
      </c>
      <c r="Y99" s="47">
        <v>1060199128</v>
      </c>
      <c r="Z99" s="47">
        <v>1060199128</v>
      </c>
      <c r="AA99" s="47">
        <v>1060199128</v>
      </c>
      <c r="AB99" s="47">
        <v>1060199128</v>
      </c>
      <c r="AC99" s="47">
        <v>1060199128</v>
      </c>
      <c r="AD99" s="47">
        <v>1060199128</v>
      </c>
      <c r="AE99" s="47">
        <v>1060199128</v>
      </c>
      <c r="AF99" s="47">
        <v>1060199128</v>
      </c>
      <c r="AG99" s="47">
        <v>1060199128</v>
      </c>
      <c r="AH99" s="47">
        <v>1060199128</v>
      </c>
      <c r="AI99" s="47">
        <v>1060199128</v>
      </c>
      <c r="AJ99" s="47">
        <v>1060199128</v>
      </c>
      <c r="AK99" s="47">
        <v>1060199128</v>
      </c>
      <c r="AL99" s="47">
        <v>-176699855</v>
      </c>
      <c r="AM99" s="47">
        <v>-176699855</v>
      </c>
      <c r="AN99" s="47">
        <v>-6593278.1567164175</v>
      </c>
      <c r="AO99" s="47">
        <v>-6593278.1567164175</v>
      </c>
      <c r="AP99" s="47">
        <v>-6593278.1567164175</v>
      </c>
      <c r="AQ99" s="47">
        <v>-6593278.1567164175</v>
      </c>
      <c r="AR99" s="47">
        <v>-6593278.1567164175</v>
      </c>
      <c r="AS99" s="47">
        <v>-6593278.1567164175</v>
      </c>
      <c r="AT99" s="47">
        <v>-6593278.1567164175</v>
      </c>
      <c r="AU99" s="47">
        <v>-6593278.1567164175</v>
      </c>
      <c r="AV99" s="47">
        <v>-6593278.1567164175</v>
      </c>
      <c r="AW99" s="47">
        <v>-6593278.1567164175</v>
      </c>
      <c r="AX99" s="47">
        <v>-6593278.1567164175</v>
      </c>
      <c r="AY99" s="47">
        <v>-6593278.1567164175</v>
      </c>
      <c r="AZ99" s="58">
        <f t="shared" si="6"/>
        <v>-79119337.880597025</v>
      </c>
      <c r="BA99" s="47">
        <f>Y99+SUM($AM99:AM99)</f>
        <v>883499273</v>
      </c>
      <c r="BB99" s="48">
        <f>Z99+SUM($AM99:AN99)</f>
        <v>876905994.84328365</v>
      </c>
      <c r="BC99" s="48">
        <f>AA99+SUM($AM99:AO99)</f>
        <v>870312716.68656719</v>
      </c>
      <c r="BD99" s="48">
        <f>AB99+SUM($AM99:AP99)</f>
        <v>863719438.52985072</v>
      </c>
      <c r="BE99" s="48">
        <f>AC99+SUM($AM99:AQ99)</f>
        <v>857126160.37313437</v>
      </c>
      <c r="BF99" s="48">
        <f>AD99+SUM($AM99:AR99)</f>
        <v>850532882.21641803</v>
      </c>
      <c r="BG99" s="48">
        <f>AE99+SUM($AM99:AS99)</f>
        <v>843939604.05970156</v>
      </c>
      <c r="BH99" s="48">
        <f>AF99+SUM($AM99:AT99)</f>
        <v>837346325.9029851</v>
      </c>
      <c r="BI99" s="48">
        <f>AG99+SUM($AM99:AU99)</f>
        <v>830753047.74626875</v>
      </c>
      <c r="BJ99" s="48">
        <f>AH99+SUM($AM99:AV99)</f>
        <v>824159769.5895524</v>
      </c>
      <c r="BK99" s="48">
        <f>AI99+SUM($AM99:AW99)</f>
        <v>817566491.43283594</v>
      </c>
      <c r="BL99" s="48">
        <f>AJ99+SUM($AM99:AX99)</f>
        <v>810973213.27611947</v>
      </c>
      <c r="BM99" s="48">
        <f>AK99+SUM($AM99:AY99)</f>
        <v>804379935.11940312</v>
      </c>
      <c r="BO99" s="47"/>
    </row>
    <row r="100" spans="3:67" s="41" customFormat="1" hidden="1" x14ac:dyDescent="0.3">
      <c r="C100" s="41" t="s">
        <v>1340</v>
      </c>
      <c r="D100" s="42" t="s">
        <v>337</v>
      </c>
      <c r="E100" s="42" t="str">
        <f t="shared" si="4"/>
        <v>211</v>
      </c>
      <c r="F100" s="41" t="str">
        <f>_xlfn.XLOOKUP($D100,MD_Account_Asset_Type[Nhóm tài sản],MD_Account_Asset_Type[Tên Nhóm tài sản])</f>
        <v>Máy móc, thiết bị phụ - SX 627</v>
      </c>
      <c r="G100" s="41" t="str">
        <f>_xlfn.XLOOKUP($D100,MD_Account_Asset_Type[Nhóm tài sản],MD_Account_Asset_Type[Tên nhóm TS-Rút gọn])</f>
        <v>Máy móc thiết bị</v>
      </c>
      <c r="H100" s="41" t="str">
        <f>_xlfn.XLOOKUP($D100,MD_Account_Asset_Type[Nhóm tài sản],MD_Account_Asset_Type[Tên nhóm TS-Rút gọn-v2])</f>
        <v>Máy móc thiết bị</v>
      </c>
      <c r="I100" s="43" t="s">
        <v>1029</v>
      </c>
      <c r="J100" s="42" t="s">
        <v>592</v>
      </c>
      <c r="K100" s="41" t="s">
        <v>830</v>
      </c>
      <c r="L100" s="42" t="s">
        <v>70</v>
      </c>
      <c r="M100" s="42" t="s">
        <v>145</v>
      </c>
      <c r="N100" s="44" t="s">
        <v>263</v>
      </c>
      <c r="O100" s="44"/>
      <c r="P100" s="41" t="s">
        <v>461</v>
      </c>
      <c r="Q100" s="41" t="str">
        <f t="shared" si="5"/>
        <v>627</v>
      </c>
      <c r="R100" s="41" t="str">
        <f>_xlfn.XLOOKUP($L100,MD_Cost_Center[Mã Cost Center],MD_Cost_Center[Ngành])</f>
        <v>PET</v>
      </c>
      <c r="S100" s="41" t="str">
        <f>_xlfn.XLOOKUP($L100,MD_Cost_Center[Mã Cost Center],MD_Cost_Center[Ngành-Tách PET-Xơ sợi])</f>
        <v>Chung-PET</v>
      </c>
      <c r="T100" s="45">
        <v>45717</v>
      </c>
      <c r="U100" s="46">
        <v>46813</v>
      </c>
      <c r="V100" s="47">
        <v>144</v>
      </c>
      <c r="W100" s="47">
        <v>448738186</v>
      </c>
      <c r="X100" s="47">
        <v>-2418572.313432836</v>
      </c>
      <c r="Y100" s="47">
        <v>448738186</v>
      </c>
      <c r="Z100" s="47">
        <v>448738186</v>
      </c>
      <c r="AA100" s="47">
        <v>448738186</v>
      </c>
      <c r="AB100" s="47">
        <v>448738186</v>
      </c>
      <c r="AC100" s="47">
        <v>448738186</v>
      </c>
      <c r="AD100" s="47">
        <v>448738186</v>
      </c>
      <c r="AE100" s="47">
        <v>448738186</v>
      </c>
      <c r="AF100" s="47">
        <v>448738186</v>
      </c>
      <c r="AG100" s="47">
        <v>448738186</v>
      </c>
      <c r="AH100" s="47">
        <v>448738186</v>
      </c>
      <c r="AI100" s="47">
        <v>448738186</v>
      </c>
      <c r="AJ100" s="47">
        <v>448738186</v>
      </c>
      <c r="AK100" s="47">
        <v>448738186</v>
      </c>
      <c r="AL100" s="47">
        <v>-124649496</v>
      </c>
      <c r="AM100" s="47">
        <v>-124649496</v>
      </c>
      <c r="AN100" s="47">
        <v>-2418572.313432836</v>
      </c>
      <c r="AO100" s="47">
        <v>-2418572.313432836</v>
      </c>
      <c r="AP100" s="47">
        <v>-2418572.313432836</v>
      </c>
      <c r="AQ100" s="47">
        <v>-2418572.313432836</v>
      </c>
      <c r="AR100" s="47">
        <v>-2418572.313432836</v>
      </c>
      <c r="AS100" s="47">
        <v>-2418572.313432836</v>
      </c>
      <c r="AT100" s="47">
        <v>-2418572.313432836</v>
      </c>
      <c r="AU100" s="47">
        <v>-2418572.313432836</v>
      </c>
      <c r="AV100" s="47">
        <v>-2418572.313432836</v>
      </c>
      <c r="AW100" s="47">
        <v>-2418572.313432836</v>
      </c>
      <c r="AX100" s="47">
        <v>-2418572.313432836</v>
      </c>
      <c r="AY100" s="47">
        <v>-2418572.313432836</v>
      </c>
      <c r="AZ100" s="58">
        <f t="shared" si="6"/>
        <v>-29022867.761194024</v>
      </c>
      <c r="BA100" s="47">
        <f>Y100+SUM($AM100:AM100)</f>
        <v>324088690</v>
      </c>
      <c r="BB100" s="48">
        <f>Z100+SUM($AM100:AN100)</f>
        <v>321670117.68656719</v>
      </c>
      <c r="BC100" s="48">
        <f>AA100+SUM($AM100:AO100)</f>
        <v>319251545.37313432</v>
      </c>
      <c r="BD100" s="48">
        <f>AB100+SUM($AM100:AP100)</f>
        <v>316832973.05970144</v>
      </c>
      <c r="BE100" s="48">
        <f>AC100+SUM($AM100:AQ100)</f>
        <v>314414400.74626863</v>
      </c>
      <c r="BF100" s="48">
        <f>AD100+SUM($AM100:AR100)</f>
        <v>311995828.43283582</v>
      </c>
      <c r="BG100" s="48">
        <f>AE100+SUM($AM100:AS100)</f>
        <v>309577256.11940295</v>
      </c>
      <c r="BH100" s="48">
        <f>AF100+SUM($AM100:AT100)</f>
        <v>307158683.80597007</v>
      </c>
      <c r="BI100" s="48">
        <f>AG100+SUM($AM100:AU100)</f>
        <v>304740111.49253726</v>
      </c>
      <c r="BJ100" s="48">
        <f>AH100+SUM($AM100:AV100)</f>
        <v>302321539.17910445</v>
      </c>
      <c r="BK100" s="48">
        <f>AI100+SUM($AM100:AW100)</f>
        <v>299902966.86567158</v>
      </c>
      <c r="BL100" s="48">
        <f>AJ100+SUM($AM100:AX100)</f>
        <v>297484394.5522387</v>
      </c>
      <c r="BM100" s="48">
        <f>AK100+SUM($AM100:AY100)</f>
        <v>295065822.23880589</v>
      </c>
      <c r="BO100" s="47"/>
    </row>
    <row r="101" spans="3:67" s="41" customFormat="1" hidden="1" x14ac:dyDescent="0.3">
      <c r="C101" s="41" t="s">
        <v>1340</v>
      </c>
      <c r="D101" s="42" t="s">
        <v>337</v>
      </c>
      <c r="E101" s="42" t="str">
        <f t="shared" si="4"/>
        <v>211</v>
      </c>
      <c r="F101" s="41" t="str">
        <f>_xlfn.XLOOKUP($D101,MD_Account_Asset_Type[Nhóm tài sản],MD_Account_Asset_Type[Tên Nhóm tài sản])</f>
        <v>Máy móc, thiết bị phụ - SX 627</v>
      </c>
      <c r="G101" s="41" t="str">
        <f>_xlfn.XLOOKUP($D101,MD_Account_Asset_Type[Nhóm tài sản],MD_Account_Asset_Type[Tên nhóm TS-Rút gọn])</f>
        <v>Máy móc thiết bị</v>
      </c>
      <c r="H101" s="41" t="str">
        <f>_xlfn.XLOOKUP($D101,MD_Account_Asset_Type[Nhóm tài sản],MD_Account_Asset_Type[Tên nhóm TS-Rút gọn-v2])</f>
        <v>Máy móc thiết bị</v>
      </c>
      <c r="I101" s="43" t="s">
        <v>1030</v>
      </c>
      <c r="J101" s="42" t="s">
        <v>593</v>
      </c>
      <c r="K101" s="41" t="s">
        <v>830</v>
      </c>
      <c r="L101" s="42" t="s">
        <v>87</v>
      </c>
      <c r="M101" s="42" t="s">
        <v>162</v>
      </c>
      <c r="N101" s="44" t="s">
        <v>279</v>
      </c>
      <c r="O101" s="44"/>
      <c r="P101" s="41" t="s">
        <v>461</v>
      </c>
      <c r="Q101" s="41" t="str">
        <f t="shared" si="5"/>
        <v>627</v>
      </c>
      <c r="R101" s="41" t="str">
        <f>_xlfn.XLOOKUP($L101,MD_Cost_Center[Mã Cost Center],MD_Cost_Center[Ngành])</f>
        <v>PET</v>
      </c>
      <c r="S101" s="41" t="str">
        <f>_xlfn.XLOOKUP($L101,MD_Cost_Center[Mã Cost Center],MD_Cost_Center[Ngành-Tách PET-Xơ sợi])</f>
        <v>Chung-PET</v>
      </c>
      <c r="T101" s="45">
        <v>45717</v>
      </c>
      <c r="U101" s="46">
        <v>46813</v>
      </c>
      <c r="V101" s="47">
        <v>144</v>
      </c>
      <c r="W101" s="47">
        <v>127088350</v>
      </c>
      <c r="X101" s="47">
        <v>-684970.38059701491</v>
      </c>
      <c r="Y101" s="47">
        <v>127088350</v>
      </c>
      <c r="Z101" s="47">
        <v>127088350</v>
      </c>
      <c r="AA101" s="47">
        <v>127088350</v>
      </c>
      <c r="AB101" s="47">
        <v>127088350</v>
      </c>
      <c r="AC101" s="47">
        <v>127088350</v>
      </c>
      <c r="AD101" s="47">
        <v>127088350</v>
      </c>
      <c r="AE101" s="47">
        <v>127088350</v>
      </c>
      <c r="AF101" s="47">
        <v>127088350</v>
      </c>
      <c r="AG101" s="47">
        <v>127088350</v>
      </c>
      <c r="AH101" s="47">
        <v>127088350</v>
      </c>
      <c r="AI101" s="47">
        <v>127088350</v>
      </c>
      <c r="AJ101" s="47">
        <v>127088350</v>
      </c>
      <c r="AK101" s="47">
        <v>127088350</v>
      </c>
      <c r="AL101" s="47">
        <v>-35302319</v>
      </c>
      <c r="AM101" s="47">
        <v>-35302319</v>
      </c>
      <c r="AN101" s="47">
        <v>-684970.38059701491</v>
      </c>
      <c r="AO101" s="47">
        <v>-684970.38059701491</v>
      </c>
      <c r="AP101" s="47">
        <v>-684970.38059701491</v>
      </c>
      <c r="AQ101" s="47">
        <v>-684970.38059701491</v>
      </c>
      <c r="AR101" s="47">
        <v>-684970.38059701491</v>
      </c>
      <c r="AS101" s="47">
        <v>-684970.38059701491</v>
      </c>
      <c r="AT101" s="47">
        <v>-684970.38059701491</v>
      </c>
      <c r="AU101" s="47">
        <v>-684970.38059701491</v>
      </c>
      <c r="AV101" s="47">
        <v>-684970.38059701491</v>
      </c>
      <c r="AW101" s="47">
        <v>-684970.38059701491</v>
      </c>
      <c r="AX101" s="47">
        <v>-684970.38059701491</v>
      </c>
      <c r="AY101" s="47">
        <v>-684970.38059701491</v>
      </c>
      <c r="AZ101" s="58">
        <f t="shared" si="6"/>
        <v>-8219644.5671641789</v>
      </c>
      <c r="BA101" s="47">
        <f>Y101+SUM($AM101:AM101)</f>
        <v>91786031</v>
      </c>
      <c r="BB101" s="48">
        <f>Z101+SUM($AM101:AN101)</f>
        <v>91101060.619402975</v>
      </c>
      <c r="BC101" s="48">
        <f>AA101+SUM($AM101:AO101)</f>
        <v>90416090.238805965</v>
      </c>
      <c r="BD101" s="48">
        <f>AB101+SUM($AM101:AP101)</f>
        <v>89731119.858208954</v>
      </c>
      <c r="BE101" s="48">
        <f>AC101+SUM($AM101:AQ101)</f>
        <v>89046149.477611929</v>
      </c>
      <c r="BF101" s="48">
        <f>AD101+SUM($AM101:AR101)</f>
        <v>88361179.097014904</v>
      </c>
      <c r="BG101" s="48">
        <f>AE101+SUM($AM101:AS101)</f>
        <v>87676208.716417894</v>
      </c>
      <c r="BH101" s="48">
        <f>AF101+SUM($AM101:AT101)</f>
        <v>86991238.335820884</v>
      </c>
      <c r="BI101" s="48">
        <f>AG101+SUM($AM101:AU101)</f>
        <v>86306267.955223858</v>
      </c>
      <c r="BJ101" s="48">
        <f>AH101+SUM($AM101:AV101)</f>
        <v>85621297.574626833</v>
      </c>
      <c r="BK101" s="48">
        <f>AI101+SUM($AM101:AW101)</f>
        <v>84936327.194029823</v>
      </c>
      <c r="BL101" s="48">
        <f>AJ101+SUM($AM101:AX101)</f>
        <v>84251356.813432813</v>
      </c>
      <c r="BM101" s="48">
        <f>AK101+SUM($AM101:AY101)</f>
        <v>83566386.432835788</v>
      </c>
      <c r="BO101" s="47"/>
    </row>
    <row r="102" spans="3:67" s="41" customFormat="1" hidden="1" x14ac:dyDescent="0.3">
      <c r="C102" s="41" t="s">
        <v>1340</v>
      </c>
      <c r="D102" s="42" t="s">
        <v>337</v>
      </c>
      <c r="E102" s="42" t="str">
        <f t="shared" si="4"/>
        <v>211</v>
      </c>
      <c r="F102" s="41" t="str">
        <f>_xlfn.XLOOKUP($D102,MD_Account_Asset_Type[Nhóm tài sản],MD_Account_Asset_Type[Tên Nhóm tài sản])</f>
        <v>Máy móc, thiết bị phụ - SX 627</v>
      </c>
      <c r="G102" s="41" t="str">
        <f>_xlfn.XLOOKUP($D102,MD_Account_Asset_Type[Nhóm tài sản],MD_Account_Asset_Type[Tên nhóm TS-Rút gọn])</f>
        <v>Máy móc thiết bị</v>
      </c>
      <c r="H102" s="41" t="str">
        <f>_xlfn.XLOOKUP($D102,MD_Account_Asset_Type[Nhóm tài sản],MD_Account_Asset_Type[Tên nhóm TS-Rút gọn-v2])</f>
        <v>Máy móc thiết bị</v>
      </c>
      <c r="I102" s="43" t="s">
        <v>1031</v>
      </c>
      <c r="J102" s="42" t="s">
        <v>594</v>
      </c>
      <c r="K102" s="41" t="s">
        <v>830</v>
      </c>
      <c r="L102" s="42" t="s">
        <v>100</v>
      </c>
      <c r="M102" s="42" t="s">
        <v>175</v>
      </c>
      <c r="N102" s="44" t="s">
        <v>286</v>
      </c>
      <c r="O102" s="44"/>
      <c r="P102" s="41" t="s">
        <v>461</v>
      </c>
      <c r="Q102" s="41" t="str">
        <f t="shared" si="5"/>
        <v>627</v>
      </c>
      <c r="R102" s="41" t="str">
        <f>_xlfn.XLOOKUP($L102,MD_Cost_Center[Mã Cost Center],MD_Cost_Center[Ngành])</f>
        <v>PET</v>
      </c>
      <c r="S102" s="41" t="str">
        <f>_xlfn.XLOOKUP($L102,MD_Cost_Center[Mã Cost Center],MD_Cost_Center[Ngành-Tách PET-Xơ sợi])</f>
        <v>Chung-PET</v>
      </c>
      <c r="T102" s="45">
        <v>45748</v>
      </c>
      <c r="U102" s="46">
        <v>46844</v>
      </c>
      <c r="V102" s="47">
        <v>144</v>
      </c>
      <c r="W102" s="47">
        <v>280305107</v>
      </c>
      <c r="X102" s="47">
        <v>-1557250.5925925926</v>
      </c>
      <c r="Y102" s="47">
        <v>280305107</v>
      </c>
      <c r="Z102" s="47">
        <v>280305107</v>
      </c>
      <c r="AA102" s="47">
        <v>280305107</v>
      </c>
      <c r="AB102" s="47">
        <v>280305107</v>
      </c>
      <c r="AC102" s="47">
        <v>280305107</v>
      </c>
      <c r="AD102" s="47">
        <v>280305107</v>
      </c>
      <c r="AE102" s="47">
        <v>280305107</v>
      </c>
      <c r="AF102" s="47">
        <v>280305107</v>
      </c>
      <c r="AG102" s="47">
        <v>280305107</v>
      </c>
      <c r="AH102" s="47">
        <v>280305107</v>
      </c>
      <c r="AI102" s="47">
        <v>280305107</v>
      </c>
      <c r="AJ102" s="47">
        <v>280305107</v>
      </c>
      <c r="AK102" s="47">
        <v>280305107</v>
      </c>
      <c r="AL102" s="47">
        <v>-70076277</v>
      </c>
      <c r="AM102" s="47">
        <v>-70076277</v>
      </c>
      <c r="AN102" s="47">
        <v>-1557250.5925925926</v>
      </c>
      <c r="AO102" s="47">
        <v>-1557250.5925925926</v>
      </c>
      <c r="AP102" s="47">
        <v>-1557250.5925925926</v>
      </c>
      <c r="AQ102" s="47">
        <v>-1557250.5925925926</v>
      </c>
      <c r="AR102" s="47">
        <v>-1557250.5925925926</v>
      </c>
      <c r="AS102" s="47">
        <v>-1557250.5925925926</v>
      </c>
      <c r="AT102" s="47">
        <v>-1557250.5925925926</v>
      </c>
      <c r="AU102" s="47">
        <v>-1557250.5925925926</v>
      </c>
      <c r="AV102" s="47">
        <v>-1557250.5925925926</v>
      </c>
      <c r="AW102" s="47">
        <v>-1557250.5925925926</v>
      </c>
      <c r="AX102" s="47">
        <v>-1557250.5925925926</v>
      </c>
      <c r="AY102" s="47">
        <v>-1557250.5925925926</v>
      </c>
      <c r="AZ102" s="58">
        <f t="shared" si="6"/>
        <v>-18687007.111111116</v>
      </c>
      <c r="BA102" s="47">
        <f>Y102+SUM($AM102:AM102)</f>
        <v>210228830</v>
      </c>
      <c r="BB102" s="48">
        <f>Z102+SUM($AM102:AN102)</f>
        <v>208671579.4074074</v>
      </c>
      <c r="BC102" s="48">
        <f>AA102+SUM($AM102:AO102)</f>
        <v>207114328.81481481</v>
      </c>
      <c r="BD102" s="48">
        <f>AB102+SUM($AM102:AP102)</f>
        <v>205557078.22222221</v>
      </c>
      <c r="BE102" s="48">
        <f>AC102+SUM($AM102:AQ102)</f>
        <v>203999827.62962961</v>
      </c>
      <c r="BF102" s="48">
        <f>AD102+SUM($AM102:AR102)</f>
        <v>202442577.03703701</v>
      </c>
      <c r="BG102" s="48">
        <f>AE102+SUM($AM102:AS102)</f>
        <v>200885326.44444442</v>
      </c>
      <c r="BH102" s="48">
        <f>AF102+SUM($AM102:AT102)</f>
        <v>199328075.85185182</v>
      </c>
      <c r="BI102" s="48">
        <f>AG102+SUM($AM102:AU102)</f>
        <v>197770825.25925922</v>
      </c>
      <c r="BJ102" s="48">
        <f>AH102+SUM($AM102:AV102)</f>
        <v>196213574.66666663</v>
      </c>
      <c r="BK102" s="48">
        <f>AI102+SUM($AM102:AW102)</f>
        <v>194656324.07407403</v>
      </c>
      <c r="BL102" s="48">
        <f>AJ102+SUM($AM102:AX102)</f>
        <v>193099073.48148143</v>
      </c>
      <c r="BM102" s="48">
        <f>AK102+SUM($AM102:AY102)</f>
        <v>191541822.88888884</v>
      </c>
      <c r="BO102" s="47"/>
    </row>
    <row r="103" spans="3:67" s="41" customFormat="1" hidden="1" x14ac:dyDescent="0.3">
      <c r="C103" s="41" t="s">
        <v>1340</v>
      </c>
      <c r="D103" s="42" t="s">
        <v>337</v>
      </c>
      <c r="E103" s="42" t="str">
        <f t="shared" si="4"/>
        <v>211</v>
      </c>
      <c r="F103" s="41" t="str">
        <f>_xlfn.XLOOKUP($D103,MD_Account_Asset_Type[Nhóm tài sản],MD_Account_Asset_Type[Tên Nhóm tài sản])</f>
        <v>Máy móc, thiết bị phụ - SX 627</v>
      </c>
      <c r="G103" s="41" t="str">
        <f>_xlfn.XLOOKUP($D103,MD_Account_Asset_Type[Nhóm tài sản],MD_Account_Asset_Type[Tên nhóm TS-Rút gọn])</f>
        <v>Máy móc thiết bị</v>
      </c>
      <c r="H103" s="41" t="str">
        <f>_xlfn.XLOOKUP($D103,MD_Account_Asset_Type[Nhóm tài sản],MD_Account_Asset_Type[Tên nhóm TS-Rút gọn-v2])</f>
        <v>Máy móc thiết bị</v>
      </c>
      <c r="I103" s="43" t="s">
        <v>1032</v>
      </c>
      <c r="J103" s="42" t="s">
        <v>595</v>
      </c>
      <c r="K103" s="41" t="s">
        <v>830</v>
      </c>
      <c r="L103" s="42" t="s">
        <v>96</v>
      </c>
      <c r="M103" s="42" t="s">
        <v>171</v>
      </c>
      <c r="N103" s="44" t="s">
        <v>282</v>
      </c>
      <c r="O103" s="44"/>
      <c r="P103" s="41" t="s">
        <v>461</v>
      </c>
      <c r="Q103" s="41" t="str">
        <f t="shared" si="5"/>
        <v>627</v>
      </c>
      <c r="R103" s="41" t="str">
        <f>_xlfn.XLOOKUP($L103,MD_Cost_Center[Mã Cost Center],MD_Cost_Center[Ngành])</f>
        <v>PET</v>
      </c>
      <c r="S103" s="41" t="str">
        <f>_xlfn.XLOOKUP($L103,MD_Cost_Center[Mã Cost Center],MD_Cost_Center[Ngành-Tách PET-Xơ sợi])</f>
        <v>Chung-PET</v>
      </c>
      <c r="T103" s="45">
        <v>45748</v>
      </c>
      <c r="U103" s="46">
        <v>46844</v>
      </c>
      <c r="V103" s="47">
        <v>144</v>
      </c>
      <c r="W103" s="47">
        <v>258604309</v>
      </c>
      <c r="X103" s="47">
        <v>-1436690.6074074074</v>
      </c>
      <c r="Y103" s="47">
        <v>258604309</v>
      </c>
      <c r="Z103" s="47">
        <v>258604309</v>
      </c>
      <c r="AA103" s="47">
        <v>258604309</v>
      </c>
      <c r="AB103" s="47">
        <v>258604309</v>
      </c>
      <c r="AC103" s="47">
        <v>258604309</v>
      </c>
      <c r="AD103" s="47">
        <v>258604309</v>
      </c>
      <c r="AE103" s="47">
        <v>258604309</v>
      </c>
      <c r="AF103" s="47">
        <v>258604309</v>
      </c>
      <c r="AG103" s="47">
        <v>258604309</v>
      </c>
      <c r="AH103" s="47">
        <v>258604309</v>
      </c>
      <c r="AI103" s="47">
        <v>258604309</v>
      </c>
      <c r="AJ103" s="47">
        <v>258604309</v>
      </c>
      <c r="AK103" s="47">
        <v>258604309</v>
      </c>
      <c r="AL103" s="47">
        <v>-64651077</v>
      </c>
      <c r="AM103" s="47">
        <v>-64651077</v>
      </c>
      <c r="AN103" s="47">
        <v>-1436690.6074074074</v>
      </c>
      <c r="AO103" s="47">
        <v>-1436690.6074074074</v>
      </c>
      <c r="AP103" s="47">
        <v>-1436690.6074074074</v>
      </c>
      <c r="AQ103" s="47">
        <v>-1436690.6074074074</v>
      </c>
      <c r="AR103" s="47">
        <v>-1436690.6074074074</v>
      </c>
      <c r="AS103" s="47">
        <v>-1436690.6074074074</v>
      </c>
      <c r="AT103" s="47">
        <v>-1436690.6074074074</v>
      </c>
      <c r="AU103" s="47">
        <v>-1436690.6074074074</v>
      </c>
      <c r="AV103" s="47">
        <v>-1436690.6074074074</v>
      </c>
      <c r="AW103" s="47">
        <v>-1436690.6074074074</v>
      </c>
      <c r="AX103" s="47">
        <v>-1436690.6074074074</v>
      </c>
      <c r="AY103" s="47">
        <v>-1436690.6074074074</v>
      </c>
      <c r="AZ103" s="58">
        <f t="shared" si="6"/>
        <v>-17240287.28888889</v>
      </c>
      <c r="BA103" s="47">
        <f>Y103+SUM($AM103:AM103)</f>
        <v>193953232</v>
      </c>
      <c r="BB103" s="48">
        <f>Z103+SUM($AM103:AN103)</f>
        <v>192516541.39259261</v>
      </c>
      <c r="BC103" s="48">
        <f>AA103+SUM($AM103:AO103)</f>
        <v>191079850.78518519</v>
      </c>
      <c r="BD103" s="48">
        <f>AB103+SUM($AM103:AP103)</f>
        <v>189643160.17777777</v>
      </c>
      <c r="BE103" s="48">
        <f>AC103+SUM($AM103:AQ103)</f>
        <v>188206469.57037038</v>
      </c>
      <c r="BF103" s="48">
        <f>AD103+SUM($AM103:AR103)</f>
        <v>186769778.96296299</v>
      </c>
      <c r="BG103" s="48">
        <f>AE103+SUM($AM103:AS103)</f>
        <v>185333088.35555556</v>
      </c>
      <c r="BH103" s="48">
        <f>AF103+SUM($AM103:AT103)</f>
        <v>183896397.74814814</v>
      </c>
      <c r="BI103" s="48">
        <f>AG103+SUM($AM103:AU103)</f>
        <v>182459707.14074075</v>
      </c>
      <c r="BJ103" s="48">
        <f>AH103+SUM($AM103:AV103)</f>
        <v>181023016.53333336</v>
      </c>
      <c r="BK103" s="48">
        <f>AI103+SUM($AM103:AW103)</f>
        <v>179586325.92592594</v>
      </c>
      <c r="BL103" s="48">
        <f>AJ103+SUM($AM103:AX103)</f>
        <v>178149635.31851852</v>
      </c>
      <c r="BM103" s="48">
        <f>AK103+SUM($AM103:AY103)</f>
        <v>176712944.71111113</v>
      </c>
      <c r="BO103" s="47"/>
    </row>
    <row r="104" spans="3:67" s="41" customFormat="1" hidden="1" x14ac:dyDescent="0.3">
      <c r="C104" s="41" t="s">
        <v>1340</v>
      </c>
      <c r="D104" s="42" t="s">
        <v>337</v>
      </c>
      <c r="E104" s="42" t="str">
        <f t="shared" si="4"/>
        <v>211</v>
      </c>
      <c r="F104" s="41" t="str">
        <f>_xlfn.XLOOKUP($D104,MD_Account_Asset_Type[Nhóm tài sản],MD_Account_Asset_Type[Tên Nhóm tài sản])</f>
        <v>Máy móc, thiết bị phụ - SX 627</v>
      </c>
      <c r="G104" s="41" t="str">
        <f>_xlfn.XLOOKUP($D104,MD_Account_Asset_Type[Nhóm tài sản],MD_Account_Asset_Type[Tên nhóm TS-Rút gọn])</f>
        <v>Máy móc thiết bị</v>
      </c>
      <c r="H104" s="41" t="str">
        <f>_xlfn.XLOOKUP($D104,MD_Account_Asset_Type[Nhóm tài sản],MD_Account_Asset_Type[Tên nhóm TS-Rút gọn-v2])</f>
        <v>Máy móc thiết bị</v>
      </c>
      <c r="I104" s="43" t="s">
        <v>1033</v>
      </c>
      <c r="J104" s="42" t="s">
        <v>596</v>
      </c>
      <c r="K104" s="41" t="s">
        <v>830</v>
      </c>
      <c r="L104" s="42" t="s">
        <v>99</v>
      </c>
      <c r="M104" s="42" t="s">
        <v>174</v>
      </c>
      <c r="N104" s="44" t="s">
        <v>285</v>
      </c>
      <c r="O104" s="44"/>
      <c r="P104" s="41" t="s">
        <v>461</v>
      </c>
      <c r="Q104" s="41" t="str">
        <f t="shared" si="5"/>
        <v>627</v>
      </c>
      <c r="R104" s="41" t="str">
        <f>_xlfn.XLOOKUP($L104,MD_Cost_Center[Mã Cost Center],MD_Cost_Center[Ngành])</f>
        <v>HD/PP</v>
      </c>
      <c r="S104" s="41" t="str">
        <f>_xlfn.XLOOKUP($L104,MD_Cost_Center[Mã Cost Center],MD_Cost_Center[Ngành-Tách PET-Xơ sợi])</f>
        <v>HD/PP</v>
      </c>
      <c r="T104" s="45">
        <v>45748</v>
      </c>
      <c r="U104" s="46">
        <v>46844</v>
      </c>
      <c r="V104" s="47">
        <v>144</v>
      </c>
      <c r="W104" s="47">
        <v>258604309</v>
      </c>
      <c r="X104" s="47">
        <v>-1436690.6074074074</v>
      </c>
      <c r="Y104" s="47">
        <v>258604309</v>
      </c>
      <c r="Z104" s="47">
        <v>258604309</v>
      </c>
      <c r="AA104" s="47">
        <v>258604309</v>
      </c>
      <c r="AB104" s="47">
        <v>258604309</v>
      </c>
      <c r="AC104" s="47">
        <v>258604309</v>
      </c>
      <c r="AD104" s="47">
        <v>258604309</v>
      </c>
      <c r="AE104" s="47">
        <v>258604309</v>
      </c>
      <c r="AF104" s="47">
        <v>258604309</v>
      </c>
      <c r="AG104" s="47">
        <v>258604309</v>
      </c>
      <c r="AH104" s="47">
        <v>258604309</v>
      </c>
      <c r="AI104" s="47">
        <v>258604309</v>
      </c>
      <c r="AJ104" s="47">
        <v>258604309</v>
      </c>
      <c r="AK104" s="47">
        <v>258604309</v>
      </c>
      <c r="AL104" s="47">
        <v>-64651077</v>
      </c>
      <c r="AM104" s="47">
        <v>-64651077</v>
      </c>
      <c r="AN104" s="47">
        <v>-1436690.6074074074</v>
      </c>
      <c r="AO104" s="47">
        <v>-1436690.6074074074</v>
      </c>
      <c r="AP104" s="47">
        <v>-1436690.6074074074</v>
      </c>
      <c r="AQ104" s="47">
        <v>-1436690.6074074074</v>
      </c>
      <c r="AR104" s="47">
        <v>-1436690.6074074074</v>
      </c>
      <c r="AS104" s="47">
        <v>-1436690.6074074074</v>
      </c>
      <c r="AT104" s="47">
        <v>-1436690.6074074074</v>
      </c>
      <c r="AU104" s="47">
        <v>-1436690.6074074074</v>
      </c>
      <c r="AV104" s="47">
        <v>-1436690.6074074074</v>
      </c>
      <c r="AW104" s="47">
        <v>-1436690.6074074074</v>
      </c>
      <c r="AX104" s="47">
        <v>-1436690.6074074074</v>
      </c>
      <c r="AY104" s="47">
        <v>-1436690.6074074074</v>
      </c>
      <c r="AZ104" s="58">
        <f t="shared" si="6"/>
        <v>-17240287.28888889</v>
      </c>
      <c r="BA104" s="47">
        <f>Y104+SUM($AM104:AM104)</f>
        <v>193953232</v>
      </c>
      <c r="BB104" s="48">
        <f>Z104+SUM($AM104:AN104)</f>
        <v>192516541.39259261</v>
      </c>
      <c r="BC104" s="48">
        <f>AA104+SUM($AM104:AO104)</f>
        <v>191079850.78518519</v>
      </c>
      <c r="BD104" s="48">
        <f>AB104+SUM($AM104:AP104)</f>
        <v>189643160.17777777</v>
      </c>
      <c r="BE104" s="48">
        <f>AC104+SUM($AM104:AQ104)</f>
        <v>188206469.57037038</v>
      </c>
      <c r="BF104" s="48">
        <f>AD104+SUM($AM104:AR104)</f>
        <v>186769778.96296299</v>
      </c>
      <c r="BG104" s="48">
        <f>AE104+SUM($AM104:AS104)</f>
        <v>185333088.35555556</v>
      </c>
      <c r="BH104" s="48">
        <f>AF104+SUM($AM104:AT104)</f>
        <v>183896397.74814814</v>
      </c>
      <c r="BI104" s="48">
        <f>AG104+SUM($AM104:AU104)</f>
        <v>182459707.14074075</v>
      </c>
      <c r="BJ104" s="48">
        <f>AH104+SUM($AM104:AV104)</f>
        <v>181023016.53333336</v>
      </c>
      <c r="BK104" s="48">
        <f>AI104+SUM($AM104:AW104)</f>
        <v>179586325.92592594</v>
      </c>
      <c r="BL104" s="48">
        <f>AJ104+SUM($AM104:AX104)</f>
        <v>178149635.31851852</v>
      </c>
      <c r="BM104" s="48">
        <f>AK104+SUM($AM104:AY104)</f>
        <v>176712944.71111113</v>
      </c>
      <c r="BO104" s="47"/>
    </row>
    <row r="105" spans="3:67" s="41" customFormat="1" hidden="1" x14ac:dyDescent="0.3">
      <c r="C105" s="41" t="s">
        <v>1340</v>
      </c>
      <c r="D105" s="42" t="s">
        <v>337</v>
      </c>
      <c r="E105" s="42" t="str">
        <f t="shared" si="4"/>
        <v>211</v>
      </c>
      <c r="F105" s="41" t="str">
        <f>_xlfn.XLOOKUP($D105,MD_Account_Asset_Type[Nhóm tài sản],MD_Account_Asset_Type[Tên Nhóm tài sản])</f>
        <v>Máy móc, thiết bị phụ - SX 627</v>
      </c>
      <c r="G105" s="41" t="str">
        <f>_xlfn.XLOOKUP($D105,MD_Account_Asset_Type[Nhóm tài sản],MD_Account_Asset_Type[Tên nhóm TS-Rút gọn])</f>
        <v>Máy móc thiết bị</v>
      </c>
      <c r="H105" s="41" t="str">
        <f>_xlfn.XLOOKUP($D105,MD_Account_Asset_Type[Nhóm tài sản],MD_Account_Asset_Type[Tên nhóm TS-Rút gọn-v2])</f>
        <v>Máy móc thiết bị</v>
      </c>
      <c r="I105" s="43" t="s">
        <v>1034</v>
      </c>
      <c r="J105" s="42" t="s">
        <v>597</v>
      </c>
      <c r="K105" s="41" t="s">
        <v>830</v>
      </c>
      <c r="L105" s="42" t="s">
        <v>74</v>
      </c>
      <c r="M105" s="42" t="s">
        <v>149</v>
      </c>
      <c r="N105" s="44" t="s">
        <v>267</v>
      </c>
      <c r="O105" s="44"/>
      <c r="P105" s="41" t="s">
        <v>461</v>
      </c>
      <c r="Q105" s="41" t="str">
        <f t="shared" si="5"/>
        <v>627</v>
      </c>
      <c r="R105" s="41" t="str">
        <f>_xlfn.XLOOKUP($L105,MD_Cost_Center[Mã Cost Center],MD_Cost_Center[Ngành])</f>
        <v>PET</v>
      </c>
      <c r="S105" s="41" t="str">
        <f>_xlfn.XLOOKUP($L105,MD_Cost_Center[Mã Cost Center],MD_Cost_Center[Ngành-Tách PET-Xơ sợi])</f>
        <v>Xơ sợi</v>
      </c>
      <c r="T105" s="45">
        <v>45748</v>
      </c>
      <c r="U105" s="46">
        <v>46844</v>
      </c>
      <c r="V105" s="47">
        <v>144</v>
      </c>
      <c r="W105" s="47">
        <v>258604309</v>
      </c>
      <c r="X105" s="47">
        <v>-1436690.6074074074</v>
      </c>
      <c r="Y105" s="47">
        <v>258604309</v>
      </c>
      <c r="Z105" s="47">
        <v>258604309</v>
      </c>
      <c r="AA105" s="47">
        <v>258604309</v>
      </c>
      <c r="AB105" s="47">
        <v>258604309</v>
      </c>
      <c r="AC105" s="47">
        <v>258604309</v>
      </c>
      <c r="AD105" s="47">
        <v>258604309</v>
      </c>
      <c r="AE105" s="47">
        <v>258604309</v>
      </c>
      <c r="AF105" s="47">
        <v>258604309</v>
      </c>
      <c r="AG105" s="47">
        <v>258604309</v>
      </c>
      <c r="AH105" s="47">
        <v>258604309</v>
      </c>
      <c r="AI105" s="47">
        <v>258604309</v>
      </c>
      <c r="AJ105" s="47">
        <v>258604309</v>
      </c>
      <c r="AK105" s="47">
        <v>258604309</v>
      </c>
      <c r="AL105" s="47">
        <v>-64651077</v>
      </c>
      <c r="AM105" s="47">
        <v>-64651077</v>
      </c>
      <c r="AN105" s="47">
        <v>-1436690.6074074074</v>
      </c>
      <c r="AO105" s="47">
        <v>-1436690.6074074074</v>
      </c>
      <c r="AP105" s="47">
        <v>-1436690.6074074074</v>
      </c>
      <c r="AQ105" s="47">
        <v>-1436690.6074074074</v>
      </c>
      <c r="AR105" s="47">
        <v>-1436690.6074074074</v>
      </c>
      <c r="AS105" s="47">
        <v>-1436690.6074074074</v>
      </c>
      <c r="AT105" s="47">
        <v>-1436690.6074074074</v>
      </c>
      <c r="AU105" s="47">
        <v>-1436690.6074074074</v>
      </c>
      <c r="AV105" s="47">
        <v>-1436690.6074074074</v>
      </c>
      <c r="AW105" s="47">
        <v>-1436690.6074074074</v>
      </c>
      <c r="AX105" s="47">
        <v>-1436690.6074074074</v>
      </c>
      <c r="AY105" s="47">
        <v>-1436690.6074074074</v>
      </c>
      <c r="AZ105" s="58">
        <f t="shared" si="6"/>
        <v>-17240287.28888889</v>
      </c>
      <c r="BA105" s="47">
        <f>Y105+SUM($AM105:AM105)</f>
        <v>193953232</v>
      </c>
      <c r="BB105" s="48">
        <f>Z105+SUM($AM105:AN105)</f>
        <v>192516541.39259261</v>
      </c>
      <c r="BC105" s="48">
        <f>AA105+SUM($AM105:AO105)</f>
        <v>191079850.78518519</v>
      </c>
      <c r="BD105" s="48">
        <f>AB105+SUM($AM105:AP105)</f>
        <v>189643160.17777777</v>
      </c>
      <c r="BE105" s="48">
        <f>AC105+SUM($AM105:AQ105)</f>
        <v>188206469.57037038</v>
      </c>
      <c r="BF105" s="48">
        <f>AD105+SUM($AM105:AR105)</f>
        <v>186769778.96296299</v>
      </c>
      <c r="BG105" s="48">
        <f>AE105+SUM($AM105:AS105)</f>
        <v>185333088.35555556</v>
      </c>
      <c r="BH105" s="48">
        <f>AF105+SUM($AM105:AT105)</f>
        <v>183896397.74814814</v>
      </c>
      <c r="BI105" s="48">
        <f>AG105+SUM($AM105:AU105)</f>
        <v>182459707.14074075</v>
      </c>
      <c r="BJ105" s="48">
        <f>AH105+SUM($AM105:AV105)</f>
        <v>181023016.53333336</v>
      </c>
      <c r="BK105" s="48">
        <f>AI105+SUM($AM105:AW105)</f>
        <v>179586325.92592594</v>
      </c>
      <c r="BL105" s="48">
        <f>AJ105+SUM($AM105:AX105)</f>
        <v>178149635.31851852</v>
      </c>
      <c r="BM105" s="48">
        <f>AK105+SUM($AM105:AY105)</f>
        <v>176712944.71111113</v>
      </c>
      <c r="BO105" s="47"/>
    </row>
    <row r="106" spans="3:67" s="41" customFormat="1" hidden="1" x14ac:dyDescent="0.3">
      <c r="C106" s="41" t="s">
        <v>1340</v>
      </c>
      <c r="D106" s="42" t="s">
        <v>337</v>
      </c>
      <c r="E106" s="42" t="str">
        <f t="shared" si="4"/>
        <v>211</v>
      </c>
      <c r="F106" s="41" t="str">
        <f>_xlfn.XLOOKUP($D106,MD_Account_Asset_Type[Nhóm tài sản],MD_Account_Asset_Type[Tên Nhóm tài sản])</f>
        <v>Máy móc, thiết bị phụ - SX 627</v>
      </c>
      <c r="G106" s="41" t="str">
        <f>_xlfn.XLOOKUP($D106,MD_Account_Asset_Type[Nhóm tài sản],MD_Account_Asset_Type[Tên nhóm TS-Rút gọn])</f>
        <v>Máy móc thiết bị</v>
      </c>
      <c r="H106" s="41" t="str">
        <f>_xlfn.XLOOKUP($D106,MD_Account_Asset_Type[Nhóm tài sản],MD_Account_Asset_Type[Tên nhóm TS-Rút gọn-v2])</f>
        <v>Máy móc thiết bị</v>
      </c>
      <c r="I106" s="43" t="s">
        <v>1035</v>
      </c>
      <c r="J106" s="42" t="s">
        <v>598</v>
      </c>
      <c r="K106" s="41" t="s">
        <v>830</v>
      </c>
      <c r="L106" s="42" t="s">
        <v>59</v>
      </c>
      <c r="M106" s="42" t="s">
        <v>134</v>
      </c>
      <c r="N106" s="44" t="s">
        <v>252</v>
      </c>
      <c r="O106" s="44"/>
      <c r="P106" s="41" t="s">
        <v>461</v>
      </c>
      <c r="Q106" s="41" t="str">
        <f t="shared" si="5"/>
        <v>627</v>
      </c>
      <c r="R106" s="41" t="str">
        <f>_xlfn.XLOOKUP($L106,MD_Cost_Center[Mã Cost Center],MD_Cost_Center[Ngành])</f>
        <v>HD/PP</v>
      </c>
      <c r="S106" s="41" t="str">
        <f>_xlfn.XLOOKUP($L106,MD_Cost_Center[Mã Cost Center],MD_Cost_Center[Ngành-Tách PET-Xơ sợi])</f>
        <v>Chung-PET</v>
      </c>
      <c r="T106" s="45">
        <v>45748</v>
      </c>
      <c r="U106" s="46">
        <v>46844</v>
      </c>
      <c r="V106" s="47">
        <v>144</v>
      </c>
      <c r="W106" s="47">
        <v>258604309</v>
      </c>
      <c r="X106" s="47">
        <v>-1436690.6074074074</v>
      </c>
      <c r="Y106" s="47">
        <v>258604309</v>
      </c>
      <c r="Z106" s="47">
        <v>258604309</v>
      </c>
      <c r="AA106" s="47">
        <v>258604309</v>
      </c>
      <c r="AB106" s="47">
        <v>258604309</v>
      </c>
      <c r="AC106" s="47">
        <v>258604309</v>
      </c>
      <c r="AD106" s="47">
        <v>258604309</v>
      </c>
      <c r="AE106" s="47">
        <v>258604309</v>
      </c>
      <c r="AF106" s="47">
        <v>258604309</v>
      </c>
      <c r="AG106" s="47">
        <v>258604309</v>
      </c>
      <c r="AH106" s="47">
        <v>258604309</v>
      </c>
      <c r="AI106" s="47">
        <v>258604309</v>
      </c>
      <c r="AJ106" s="47">
        <v>258604309</v>
      </c>
      <c r="AK106" s="47">
        <v>258604309</v>
      </c>
      <c r="AL106" s="47">
        <v>-64651077</v>
      </c>
      <c r="AM106" s="47">
        <v>-64651077</v>
      </c>
      <c r="AN106" s="47">
        <v>-1436690.6074074074</v>
      </c>
      <c r="AO106" s="47">
        <v>-1436690.6074074074</v>
      </c>
      <c r="AP106" s="47">
        <v>-1436690.6074074074</v>
      </c>
      <c r="AQ106" s="47">
        <v>-1436690.6074074074</v>
      </c>
      <c r="AR106" s="47">
        <v>-1436690.6074074074</v>
      </c>
      <c r="AS106" s="47">
        <v>-1436690.6074074074</v>
      </c>
      <c r="AT106" s="47">
        <v>-1436690.6074074074</v>
      </c>
      <c r="AU106" s="47">
        <v>-1436690.6074074074</v>
      </c>
      <c r="AV106" s="47">
        <v>-1436690.6074074074</v>
      </c>
      <c r="AW106" s="47">
        <v>-1436690.6074074074</v>
      </c>
      <c r="AX106" s="47">
        <v>-1436690.6074074074</v>
      </c>
      <c r="AY106" s="47">
        <v>-1436690.6074074074</v>
      </c>
      <c r="AZ106" s="58">
        <f t="shared" si="6"/>
        <v>-17240287.28888889</v>
      </c>
      <c r="BA106" s="47">
        <f>Y106+SUM($AM106:AM106)</f>
        <v>193953232</v>
      </c>
      <c r="BB106" s="48">
        <f>Z106+SUM($AM106:AN106)</f>
        <v>192516541.39259261</v>
      </c>
      <c r="BC106" s="48">
        <f>AA106+SUM($AM106:AO106)</f>
        <v>191079850.78518519</v>
      </c>
      <c r="BD106" s="48">
        <f>AB106+SUM($AM106:AP106)</f>
        <v>189643160.17777777</v>
      </c>
      <c r="BE106" s="48">
        <f>AC106+SUM($AM106:AQ106)</f>
        <v>188206469.57037038</v>
      </c>
      <c r="BF106" s="48">
        <f>AD106+SUM($AM106:AR106)</f>
        <v>186769778.96296299</v>
      </c>
      <c r="BG106" s="48">
        <f>AE106+SUM($AM106:AS106)</f>
        <v>185333088.35555556</v>
      </c>
      <c r="BH106" s="48">
        <f>AF106+SUM($AM106:AT106)</f>
        <v>183896397.74814814</v>
      </c>
      <c r="BI106" s="48">
        <f>AG106+SUM($AM106:AU106)</f>
        <v>182459707.14074075</v>
      </c>
      <c r="BJ106" s="48">
        <f>AH106+SUM($AM106:AV106)</f>
        <v>181023016.53333336</v>
      </c>
      <c r="BK106" s="48">
        <f>AI106+SUM($AM106:AW106)</f>
        <v>179586325.92592594</v>
      </c>
      <c r="BL106" s="48">
        <f>AJ106+SUM($AM106:AX106)</f>
        <v>178149635.31851852</v>
      </c>
      <c r="BM106" s="48">
        <f>AK106+SUM($AM106:AY106)</f>
        <v>176712944.71111113</v>
      </c>
      <c r="BO106" s="47"/>
    </row>
    <row r="107" spans="3:67" s="41" customFormat="1" hidden="1" x14ac:dyDescent="0.3">
      <c r="C107" s="41" t="s">
        <v>1340</v>
      </c>
      <c r="D107" s="42" t="s">
        <v>337</v>
      </c>
      <c r="E107" s="42" t="str">
        <f t="shared" si="4"/>
        <v>211</v>
      </c>
      <c r="F107" s="41" t="str">
        <f>_xlfn.XLOOKUP($D107,MD_Account_Asset_Type[Nhóm tài sản],MD_Account_Asset_Type[Tên Nhóm tài sản])</f>
        <v>Máy móc, thiết bị phụ - SX 627</v>
      </c>
      <c r="G107" s="41" t="str">
        <f>_xlfn.XLOOKUP($D107,MD_Account_Asset_Type[Nhóm tài sản],MD_Account_Asset_Type[Tên nhóm TS-Rút gọn])</f>
        <v>Máy móc thiết bị</v>
      </c>
      <c r="H107" s="41" t="str">
        <f>_xlfn.XLOOKUP($D107,MD_Account_Asset_Type[Nhóm tài sản],MD_Account_Asset_Type[Tên nhóm TS-Rút gọn-v2])</f>
        <v>Máy móc thiết bị</v>
      </c>
      <c r="I107" s="43" t="s">
        <v>1036</v>
      </c>
      <c r="J107" s="42" t="s">
        <v>599</v>
      </c>
      <c r="K107" s="41" t="s">
        <v>830</v>
      </c>
      <c r="L107" s="42" t="s">
        <v>46</v>
      </c>
      <c r="M107" s="42" t="s">
        <v>121</v>
      </c>
      <c r="N107" s="44">
        <v>0</v>
      </c>
      <c r="O107" s="44"/>
      <c r="P107" s="41" t="s">
        <v>461</v>
      </c>
      <c r="Q107" s="41" t="str">
        <f t="shared" si="5"/>
        <v>627</v>
      </c>
      <c r="R107" s="41" t="str">
        <f>_xlfn.XLOOKUP($L107,MD_Cost_Center[Mã Cost Center],MD_Cost_Center[Ngành])</f>
        <v>Chung</v>
      </c>
      <c r="S107" s="41" t="str">
        <f>_xlfn.XLOOKUP($L107,MD_Cost_Center[Mã Cost Center],MD_Cost_Center[Ngành-Tách PET-Xơ sợi])</f>
        <v>Chung</v>
      </c>
      <c r="T107" s="45">
        <v>45748</v>
      </c>
      <c r="U107" s="46">
        <v>46813</v>
      </c>
      <c r="V107" s="47">
        <v>144</v>
      </c>
      <c r="W107" s="47">
        <v>185000000</v>
      </c>
      <c r="X107" s="47">
        <v>-1027777.7777777778</v>
      </c>
      <c r="Y107" s="47">
        <v>185000000</v>
      </c>
      <c r="Z107" s="47">
        <v>185000000</v>
      </c>
      <c r="AA107" s="47">
        <v>185000000</v>
      </c>
      <c r="AB107" s="47">
        <v>185000000</v>
      </c>
      <c r="AC107" s="47">
        <v>185000000</v>
      </c>
      <c r="AD107" s="47">
        <v>185000000</v>
      </c>
      <c r="AE107" s="47">
        <v>185000000</v>
      </c>
      <c r="AF107" s="47">
        <v>185000000</v>
      </c>
      <c r="AG107" s="47">
        <v>185000000</v>
      </c>
      <c r="AH107" s="47">
        <v>185000000</v>
      </c>
      <c r="AI107" s="47">
        <v>185000000</v>
      </c>
      <c r="AJ107" s="47">
        <v>185000000</v>
      </c>
      <c r="AK107" s="47">
        <v>185000000</v>
      </c>
      <c r="AL107" s="47">
        <v>-46250000</v>
      </c>
      <c r="AM107" s="47">
        <v>-46250000</v>
      </c>
      <c r="AN107" s="47">
        <v>-1027777.7777777778</v>
      </c>
      <c r="AO107" s="47">
        <v>-1027777.7777777778</v>
      </c>
      <c r="AP107" s="47">
        <v>-1027777.7777777778</v>
      </c>
      <c r="AQ107" s="47">
        <v>-1027777.7777777778</v>
      </c>
      <c r="AR107" s="47">
        <v>-1027777.7777777778</v>
      </c>
      <c r="AS107" s="47">
        <v>-1027777.7777777778</v>
      </c>
      <c r="AT107" s="47">
        <v>-1027777.7777777778</v>
      </c>
      <c r="AU107" s="47">
        <v>-1027777.7777777778</v>
      </c>
      <c r="AV107" s="47">
        <v>-1027777.7777777778</v>
      </c>
      <c r="AW107" s="47">
        <v>-1027777.7777777778</v>
      </c>
      <c r="AX107" s="47">
        <v>-1027777.7777777778</v>
      </c>
      <c r="AY107" s="47">
        <v>-1027777.7777777778</v>
      </c>
      <c r="AZ107" s="58">
        <f t="shared" si="6"/>
        <v>-12333333.333333334</v>
      </c>
      <c r="BA107" s="47">
        <f>Y107+SUM($AM107:AM107)</f>
        <v>138750000</v>
      </c>
      <c r="BB107" s="48">
        <f>Z107+SUM($AM107:AN107)</f>
        <v>137722222.22222221</v>
      </c>
      <c r="BC107" s="48">
        <f>AA107+SUM($AM107:AO107)</f>
        <v>136694444.44444445</v>
      </c>
      <c r="BD107" s="48">
        <f>AB107+SUM($AM107:AP107)</f>
        <v>135666666.66666669</v>
      </c>
      <c r="BE107" s="48">
        <f>AC107+SUM($AM107:AQ107)</f>
        <v>134638888.8888889</v>
      </c>
      <c r="BF107" s="48">
        <f>AD107+SUM($AM107:AR107)</f>
        <v>133611111.11111112</v>
      </c>
      <c r="BG107" s="48">
        <f>AE107+SUM($AM107:AS107)</f>
        <v>132583333.33333334</v>
      </c>
      <c r="BH107" s="48">
        <f>AF107+SUM($AM107:AT107)</f>
        <v>131555555.55555557</v>
      </c>
      <c r="BI107" s="48">
        <f>AG107+SUM($AM107:AU107)</f>
        <v>130527777.77777779</v>
      </c>
      <c r="BJ107" s="48">
        <f>AH107+SUM($AM107:AV107)</f>
        <v>129500000.00000001</v>
      </c>
      <c r="BK107" s="48">
        <f>AI107+SUM($AM107:AW107)</f>
        <v>128472222.22222224</v>
      </c>
      <c r="BL107" s="48">
        <f>AJ107+SUM($AM107:AX107)</f>
        <v>127444444.44444446</v>
      </c>
      <c r="BM107" s="48">
        <f>AK107+SUM($AM107:AY107)</f>
        <v>126416666.66666669</v>
      </c>
      <c r="BO107" s="47"/>
    </row>
    <row r="108" spans="3:67" s="41" customFormat="1" hidden="1" x14ac:dyDescent="0.3">
      <c r="C108" s="41" t="s">
        <v>1340</v>
      </c>
      <c r="D108" s="42" t="s">
        <v>337</v>
      </c>
      <c r="E108" s="42" t="str">
        <f t="shared" si="4"/>
        <v>211</v>
      </c>
      <c r="F108" s="41" t="str">
        <f>_xlfn.XLOOKUP($D108,MD_Account_Asset_Type[Nhóm tài sản],MD_Account_Asset_Type[Tên Nhóm tài sản])</f>
        <v>Máy móc, thiết bị phụ - SX 627</v>
      </c>
      <c r="G108" s="41" t="str">
        <f>_xlfn.XLOOKUP($D108,MD_Account_Asset_Type[Nhóm tài sản],MD_Account_Asset_Type[Tên nhóm TS-Rút gọn])</f>
        <v>Máy móc thiết bị</v>
      </c>
      <c r="H108" s="41" t="str">
        <f>_xlfn.XLOOKUP($D108,MD_Account_Asset_Type[Nhóm tài sản],MD_Account_Asset_Type[Tên nhóm TS-Rút gọn-v2])</f>
        <v>Máy móc thiết bị</v>
      </c>
      <c r="I108" s="43" t="s">
        <v>1037</v>
      </c>
      <c r="J108" s="42" t="s">
        <v>600</v>
      </c>
      <c r="K108" s="41" t="s">
        <v>830</v>
      </c>
      <c r="L108" s="42" t="s">
        <v>95</v>
      </c>
      <c r="M108" s="42" t="s">
        <v>170</v>
      </c>
      <c r="N108" s="44" t="s">
        <v>281</v>
      </c>
      <c r="O108" s="44"/>
      <c r="P108" s="41" t="s">
        <v>461</v>
      </c>
      <c r="Q108" s="41" t="str">
        <f t="shared" si="5"/>
        <v>627</v>
      </c>
      <c r="R108" s="41" t="str">
        <f>_xlfn.XLOOKUP($L108,MD_Cost_Center[Mã Cost Center],MD_Cost_Center[Ngành])</f>
        <v>PET</v>
      </c>
      <c r="S108" s="41" t="str">
        <f>_xlfn.XLOOKUP($L108,MD_Cost_Center[Mã Cost Center],MD_Cost_Center[Ngành-Tách PET-Xơ sợi])</f>
        <v>Chung-PET</v>
      </c>
      <c r="T108" s="45">
        <v>45778</v>
      </c>
      <c r="U108" s="46">
        <v>47604</v>
      </c>
      <c r="V108" s="47">
        <v>144</v>
      </c>
      <c r="W108" s="47">
        <v>258957539</v>
      </c>
      <c r="X108" s="47">
        <v>-1650219.6102941176</v>
      </c>
      <c r="Y108" s="47">
        <v>258957539</v>
      </c>
      <c r="Z108" s="47">
        <v>258957539</v>
      </c>
      <c r="AA108" s="47">
        <v>258957539</v>
      </c>
      <c r="AB108" s="47">
        <v>258957539</v>
      </c>
      <c r="AC108" s="47">
        <v>258957539</v>
      </c>
      <c r="AD108" s="47">
        <v>258957539</v>
      </c>
      <c r="AE108" s="47">
        <v>258957539</v>
      </c>
      <c r="AF108" s="47">
        <v>258957539</v>
      </c>
      <c r="AG108" s="47">
        <v>258957539</v>
      </c>
      <c r="AH108" s="47">
        <v>258957539</v>
      </c>
      <c r="AI108" s="47">
        <v>258957539</v>
      </c>
      <c r="AJ108" s="47">
        <v>258957539</v>
      </c>
      <c r="AK108" s="47">
        <v>258957539</v>
      </c>
      <c r="AL108" s="47">
        <v>-34527672</v>
      </c>
      <c r="AM108" s="47">
        <v>-34527672</v>
      </c>
      <c r="AN108" s="47">
        <v>-1650219.6102941176</v>
      </c>
      <c r="AO108" s="47">
        <v>-1650219.6102941176</v>
      </c>
      <c r="AP108" s="47">
        <v>-1650219.6102941176</v>
      </c>
      <c r="AQ108" s="47">
        <v>-1650219.6102941176</v>
      </c>
      <c r="AR108" s="47">
        <v>-1650219.6102941176</v>
      </c>
      <c r="AS108" s="47">
        <v>-1650219.6102941176</v>
      </c>
      <c r="AT108" s="47">
        <v>-1650219.6102941176</v>
      </c>
      <c r="AU108" s="47">
        <v>-1650219.6102941176</v>
      </c>
      <c r="AV108" s="47">
        <v>-1650219.6102941176</v>
      </c>
      <c r="AW108" s="47">
        <v>-1650219.6102941176</v>
      </c>
      <c r="AX108" s="47">
        <v>-1650219.6102941176</v>
      </c>
      <c r="AY108" s="47">
        <v>-1650219.6102941176</v>
      </c>
      <c r="AZ108" s="58">
        <f t="shared" si="6"/>
        <v>-19802635.323529415</v>
      </c>
      <c r="BA108" s="47">
        <f>Y108+SUM($AM108:AM108)</f>
        <v>224429867</v>
      </c>
      <c r="BB108" s="48">
        <f>Z108+SUM($AM108:AN108)</f>
        <v>222779647.3897059</v>
      </c>
      <c r="BC108" s="48">
        <f>AA108+SUM($AM108:AO108)</f>
        <v>221129427.77941176</v>
      </c>
      <c r="BD108" s="48">
        <f>AB108+SUM($AM108:AP108)</f>
        <v>219479208.16911763</v>
      </c>
      <c r="BE108" s="48">
        <f>AC108+SUM($AM108:AQ108)</f>
        <v>217828988.55882353</v>
      </c>
      <c r="BF108" s="48">
        <f>AD108+SUM($AM108:AR108)</f>
        <v>216178768.94852942</v>
      </c>
      <c r="BG108" s="48">
        <f>AE108+SUM($AM108:AS108)</f>
        <v>214528549.33823529</v>
      </c>
      <c r="BH108" s="48">
        <f>AF108+SUM($AM108:AT108)</f>
        <v>212878329.72794116</v>
      </c>
      <c r="BI108" s="48">
        <f>AG108+SUM($AM108:AU108)</f>
        <v>211228110.11764705</v>
      </c>
      <c r="BJ108" s="48">
        <f>AH108+SUM($AM108:AV108)</f>
        <v>209577890.50735295</v>
      </c>
      <c r="BK108" s="48">
        <f>AI108+SUM($AM108:AW108)</f>
        <v>207927670.89705881</v>
      </c>
      <c r="BL108" s="48">
        <f>AJ108+SUM($AM108:AX108)</f>
        <v>206277451.28676468</v>
      </c>
      <c r="BM108" s="48">
        <f>AK108+SUM($AM108:AY108)</f>
        <v>204627231.67647058</v>
      </c>
      <c r="BO108" s="47"/>
    </row>
    <row r="109" spans="3:67" s="41" customFormat="1" hidden="1" x14ac:dyDescent="0.3">
      <c r="C109" s="41" t="s">
        <v>1340</v>
      </c>
      <c r="D109" s="42" t="s">
        <v>337</v>
      </c>
      <c r="E109" s="42" t="str">
        <f t="shared" si="4"/>
        <v>211</v>
      </c>
      <c r="F109" s="41" t="str">
        <f>_xlfn.XLOOKUP($D109,MD_Account_Asset_Type[Nhóm tài sản],MD_Account_Asset_Type[Tên Nhóm tài sản])</f>
        <v>Máy móc, thiết bị phụ - SX 627</v>
      </c>
      <c r="G109" s="41" t="str">
        <f>_xlfn.XLOOKUP($D109,MD_Account_Asset_Type[Nhóm tài sản],MD_Account_Asset_Type[Tên nhóm TS-Rút gọn])</f>
        <v>Máy móc thiết bị</v>
      </c>
      <c r="H109" s="41" t="str">
        <f>_xlfn.XLOOKUP($D109,MD_Account_Asset_Type[Nhóm tài sản],MD_Account_Asset_Type[Tên nhóm TS-Rút gọn-v2])</f>
        <v>Máy móc thiết bị</v>
      </c>
      <c r="I109" s="43" t="s">
        <v>1038</v>
      </c>
      <c r="J109" s="42" t="s">
        <v>601</v>
      </c>
      <c r="K109" s="41" t="s">
        <v>830</v>
      </c>
      <c r="L109" s="42" t="s">
        <v>63</v>
      </c>
      <c r="M109" s="42" t="s">
        <v>138</v>
      </c>
      <c r="N109" s="44" t="s">
        <v>256</v>
      </c>
      <c r="O109" s="44"/>
      <c r="P109" s="41" t="s">
        <v>461</v>
      </c>
      <c r="Q109" s="41" t="str">
        <f t="shared" si="5"/>
        <v>627</v>
      </c>
      <c r="R109" s="41" t="str">
        <f>_xlfn.XLOOKUP($L109,MD_Cost_Center[Mã Cost Center],MD_Cost_Center[Ngành])</f>
        <v>HD/PP</v>
      </c>
      <c r="S109" s="41" t="str">
        <f>_xlfn.XLOOKUP($L109,MD_Cost_Center[Mã Cost Center],MD_Cost_Center[Ngành-Tách PET-Xơ sợi])</f>
        <v>HD/PP</v>
      </c>
      <c r="T109" s="45">
        <v>45778</v>
      </c>
      <c r="U109" s="46">
        <v>47604</v>
      </c>
      <c r="V109" s="47">
        <v>144</v>
      </c>
      <c r="W109" s="47">
        <v>129302154</v>
      </c>
      <c r="X109" s="47">
        <v>-823984.3161764706</v>
      </c>
      <c r="Y109" s="47">
        <v>129302154</v>
      </c>
      <c r="Z109" s="47">
        <v>129302154</v>
      </c>
      <c r="AA109" s="47">
        <v>129302154</v>
      </c>
      <c r="AB109" s="47">
        <v>129302154</v>
      </c>
      <c r="AC109" s="47">
        <v>129302154</v>
      </c>
      <c r="AD109" s="47">
        <v>129302154</v>
      </c>
      <c r="AE109" s="47">
        <v>129302154</v>
      </c>
      <c r="AF109" s="47">
        <v>129302154</v>
      </c>
      <c r="AG109" s="47">
        <v>129302154</v>
      </c>
      <c r="AH109" s="47">
        <v>129302154</v>
      </c>
      <c r="AI109" s="47">
        <v>129302154</v>
      </c>
      <c r="AJ109" s="47">
        <v>129302154</v>
      </c>
      <c r="AK109" s="47">
        <v>129302154</v>
      </c>
      <c r="AL109" s="47">
        <v>-17240287</v>
      </c>
      <c r="AM109" s="47">
        <v>-17240287</v>
      </c>
      <c r="AN109" s="47">
        <v>-823984.3161764706</v>
      </c>
      <c r="AO109" s="47">
        <v>-823984.3161764706</v>
      </c>
      <c r="AP109" s="47">
        <v>-823984.3161764706</v>
      </c>
      <c r="AQ109" s="47">
        <v>-823984.3161764706</v>
      </c>
      <c r="AR109" s="47">
        <v>-823984.3161764706</v>
      </c>
      <c r="AS109" s="47">
        <v>-823984.3161764706</v>
      </c>
      <c r="AT109" s="47">
        <v>-823984.3161764706</v>
      </c>
      <c r="AU109" s="47">
        <v>-823984.3161764706</v>
      </c>
      <c r="AV109" s="47">
        <v>-823984.3161764706</v>
      </c>
      <c r="AW109" s="47">
        <v>-823984.3161764706</v>
      </c>
      <c r="AX109" s="47">
        <v>-823984.3161764706</v>
      </c>
      <c r="AY109" s="47">
        <v>-823984.3161764706</v>
      </c>
      <c r="AZ109" s="58">
        <f t="shared" si="6"/>
        <v>-9887811.7941176463</v>
      </c>
      <c r="BA109" s="47">
        <f>Y109+SUM($AM109:AM109)</f>
        <v>112061867</v>
      </c>
      <c r="BB109" s="48">
        <f>Z109+SUM($AM109:AN109)</f>
        <v>111237882.68382353</v>
      </c>
      <c r="BC109" s="48">
        <f>AA109+SUM($AM109:AO109)</f>
        <v>110413898.36764705</v>
      </c>
      <c r="BD109" s="48">
        <f>AB109+SUM($AM109:AP109)</f>
        <v>109589914.05147059</v>
      </c>
      <c r="BE109" s="48">
        <f>AC109+SUM($AM109:AQ109)</f>
        <v>108765929.73529412</v>
      </c>
      <c r="BF109" s="48">
        <f>AD109+SUM($AM109:AR109)</f>
        <v>107941945.41911764</v>
      </c>
      <c r="BG109" s="48">
        <f>AE109+SUM($AM109:AS109)</f>
        <v>107117961.10294119</v>
      </c>
      <c r="BH109" s="48">
        <f>AF109+SUM($AM109:AT109)</f>
        <v>106293976.78676471</v>
      </c>
      <c r="BI109" s="48">
        <f>AG109+SUM($AM109:AU109)</f>
        <v>105469992.47058824</v>
      </c>
      <c r="BJ109" s="48">
        <f>AH109+SUM($AM109:AV109)</f>
        <v>104646008.15441176</v>
      </c>
      <c r="BK109" s="48">
        <f>AI109+SUM($AM109:AW109)</f>
        <v>103822023.83823529</v>
      </c>
      <c r="BL109" s="48">
        <f>AJ109+SUM($AM109:AX109)</f>
        <v>102998039.52205883</v>
      </c>
      <c r="BM109" s="48">
        <f>AK109+SUM($AM109:AY109)</f>
        <v>102174055.20588236</v>
      </c>
      <c r="BO109" s="47"/>
    </row>
    <row r="110" spans="3:67" s="41" customFormat="1" hidden="1" x14ac:dyDescent="0.3">
      <c r="C110" s="41" t="s">
        <v>1340</v>
      </c>
      <c r="D110" s="42" t="s">
        <v>337</v>
      </c>
      <c r="E110" s="42" t="str">
        <f t="shared" si="4"/>
        <v>211</v>
      </c>
      <c r="F110" s="41" t="str">
        <f>_xlfn.XLOOKUP($D110,MD_Account_Asset_Type[Nhóm tài sản],MD_Account_Asset_Type[Tên Nhóm tài sản])</f>
        <v>Máy móc, thiết bị phụ - SX 627</v>
      </c>
      <c r="G110" s="41" t="str">
        <f>_xlfn.XLOOKUP($D110,MD_Account_Asset_Type[Nhóm tài sản],MD_Account_Asset_Type[Tên nhóm TS-Rút gọn])</f>
        <v>Máy móc thiết bị</v>
      </c>
      <c r="H110" s="41" t="str">
        <f>_xlfn.XLOOKUP($D110,MD_Account_Asset_Type[Nhóm tài sản],MD_Account_Asset_Type[Tên nhóm TS-Rút gọn-v2])</f>
        <v>Máy móc thiết bị</v>
      </c>
      <c r="I110" s="43" t="s">
        <v>1039</v>
      </c>
      <c r="J110" s="42" t="s">
        <v>602</v>
      </c>
      <c r="K110" s="41" t="s">
        <v>830</v>
      </c>
      <c r="L110" s="42" t="s">
        <v>67</v>
      </c>
      <c r="M110" s="42" t="s">
        <v>142</v>
      </c>
      <c r="N110" s="44" t="s">
        <v>260</v>
      </c>
      <c r="O110" s="44"/>
      <c r="P110" s="41" t="s">
        <v>461</v>
      </c>
      <c r="Q110" s="41" t="str">
        <f t="shared" si="5"/>
        <v>627</v>
      </c>
      <c r="R110" s="41" t="str">
        <f>_xlfn.XLOOKUP($L110,MD_Cost_Center[Mã Cost Center],MD_Cost_Center[Ngành])</f>
        <v>HD/PP</v>
      </c>
      <c r="S110" s="41" t="str">
        <f>_xlfn.XLOOKUP($L110,MD_Cost_Center[Mã Cost Center],MD_Cost_Center[Ngành-Tách PET-Xơ sợi])</f>
        <v>Chung-PET</v>
      </c>
      <c r="T110" s="45">
        <v>45778</v>
      </c>
      <c r="U110" s="46">
        <v>47604</v>
      </c>
      <c r="V110" s="47">
        <v>144</v>
      </c>
      <c r="W110" s="47">
        <v>129302155</v>
      </c>
      <c r="X110" s="47">
        <v>-823984.32352941181</v>
      </c>
      <c r="Y110" s="47">
        <v>129302155</v>
      </c>
      <c r="Z110" s="47">
        <v>129302155</v>
      </c>
      <c r="AA110" s="47">
        <v>129302155</v>
      </c>
      <c r="AB110" s="47">
        <v>129302155</v>
      </c>
      <c r="AC110" s="47">
        <v>129302155</v>
      </c>
      <c r="AD110" s="47">
        <v>129302155</v>
      </c>
      <c r="AE110" s="47">
        <v>129302155</v>
      </c>
      <c r="AF110" s="47">
        <v>129302155</v>
      </c>
      <c r="AG110" s="47">
        <v>129302155</v>
      </c>
      <c r="AH110" s="47">
        <v>129302155</v>
      </c>
      <c r="AI110" s="47">
        <v>129302155</v>
      </c>
      <c r="AJ110" s="47">
        <v>129302155</v>
      </c>
      <c r="AK110" s="47">
        <v>129302155</v>
      </c>
      <c r="AL110" s="47">
        <v>-17240287</v>
      </c>
      <c r="AM110" s="47">
        <v>-17240287</v>
      </c>
      <c r="AN110" s="47">
        <v>-823984.32352941181</v>
      </c>
      <c r="AO110" s="47">
        <v>-823984.32352941181</v>
      </c>
      <c r="AP110" s="47">
        <v>-823984.32352941181</v>
      </c>
      <c r="AQ110" s="47">
        <v>-823984.32352941181</v>
      </c>
      <c r="AR110" s="47">
        <v>-823984.32352941181</v>
      </c>
      <c r="AS110" s="47">
        <v>-823984.32352941181</v>
      </c>
      <c r="AT110" s="47">
        <v>-823984.32352941181</v>
      </c>
      <c r="AU110" s="47">
        <v>-823984.32352941181</v>
      </c>
      <c r="AV110" s="47">
        <v>-823984.32352941181</v>
      </c>
      <c r="AW110" s="47">
        <v>-823984.32352941181</v>
      </c>
      <c r="AX110" s="47">
        <v>-823984.32352941181</v>
      </c>
      <c r="AY110" s="47">
        <v>-823984.32352941181</v>
      </c>
      <c r="AZ110" s="58">
        <f t="shared" si="6"/>
        <v>-9887811.8823529426</v>
      </c>
      <c r="BA110" s="47">
        <f>Y110+SUM($AM110:AM110)</f>
        <v>112061868</v>
      </c>
      <c r="BB110" s="48">
        <f>Z110+SUM($AM110:AN110)</f>
        <v>111237883.67647059</v>
      </c>
      <c r="BC110" s="48">
        <f>AA110+SUM($AM110:AO110)</f>
        <v>110413899.35294119</v>
      </c>
      <c r="BD110" s="48">
        <f>AB110+SUM($AM110:AP110)</f>
        <v>109589915.02941176</v>
      </c>
      <c r="BE110" s="48">
        <f>AC110+SUM($AM110:AQ110)</f>
        <v>108765930.70588236</v>
      </c>
      <c r="BF110" s="48">
        <f>AD110+SUM($AM110:AR110)</f>
        <v>107941946.38235295</v>
      </c>
      <c r="BG110" s="48">
        <f>AE110+SUM($AM110:AS110)</f>
        <v>107117962.05882353</v>
      </c>
      <c r="BH110" s="48">
        <f>AF110+SUM($AM110:AT110)</f>
        <v>106293977.73529412</v>
      </c>
      <c r="BI110" s="48">
        <f>AG110+SUM($AM110:AU110)</f>
        <v>105469993.41176471</v>
      </c>
      <c r="BJ110" s="48">
        <f>AH110+SUM($AM110:AV110)</f>
        <v>104646009.0882353</v>
      </c>
      <c r="BK110" s="48">
        <f>AI110+SUM($AM110:AW110)</f>
        <v>103822024.7647059</v>
      </c>
      <c r="BL110" s="48">
        <f>AJ110+SUM($AM110:AX110)</f>
        <v>102998040.44117647</v>
      </c>
      <c r="BM110" s="48">
        <f>AK110+SUM($AM110:AY110)</f>
        <v>102174056.11764707</v>
      </c>
      <c r="BO110" s="47"/>
    </row>
    <row r="111" spans="3:67" s="41" customFormat="1" hidden="1" x14ac:dyDescent="0.3">
      <c r="C111" s="41" t="s">
        <v>1340</v>
      </c>
      <c r="D111" s="42" t="s">
        <v>337</v>
      </c>
      <c r="E111" s="42" t="str">
        <f t="shared" si="4"/>
        <v>211</v>
      </c>
      <c r="F111" s="41" t="str">
        <f>_xlfn.XLOOKUP($D111,MD_Account_Asset_Type[Nhóm tài sản],MD_Account_Asset_Type[Tên Nhóm tài sản])</f>
        <v>Máy móc, thiết bị phụ - SX 627</v>
      </c>
      <c r="G111" s="41" t="str">
        <f>_xlfn.XLOOKUP($D111,MD_Account_Asset_Type[Nhóm tài sản],MD_Account_Asset_Type[Tên nhóm TS-Rút gọn])</f>
        <v>Máy móc thiết bị</v>
      </c>
      <c r="H111" s="41" t="str">
        <f>_xlfn.XLOOKUP($D111,MD_Account_Asset_Type[Nhóm tài sản],MD_Account_Asset_Type[Tên nhóm TS-Rút gọn-v2])</f>
        <v>Máy móc thiết bị</v>
      </c>
      <c r="I111" s="43" t="s">
        <v>1040</v>
      </c>
      <c r="J111" s="42" t="s">
        <v>603</v>
      </c>
      <c r="K111" s="41" t="s">
        <v>830</v>
      </c>
      <c r="L111" s="42" t="s">
        <v>64</v>
      </c>
      <c r="M111" s="42" t="s">
        <v>139</v>
      </c>
      <c r="N111" s="44" t="s">
        <v>257</v>
      </c>
      <c r="O111" s="44"/>
      <c r="P111" s="41" t="s">
        <v>461</v>
      </c>
      <c r="Q111" s="41" t="str">
        <f t="shared" si="5"/>
        <v>627</v>
      </c>
      <c r="R111" s="41" t="str">
        <f>_xlfn.XLOOKUP($L111,MD_Cost_Center[Mã Cost Center],MD_Cost_Center[Ngành])</f>
        <v>PET</v>
      </c>
      <c r="S111" s="41" t="str">
        <f>_xlfn.XLOOKUP($L111,MD_Cost_Center[Mã Cost Center],MD_Cost_Center[Ngành-Tách PET-Xơ sợi])</f>
        <v>Chung-PET</v>
      </c>
      <c r="T111" s="45">
        <v>45778</v>
      </c>
      <c r="U111" s="46">
        <v>47604</v>
      </c>
      <c r="V111" s="47">
        <v>144</v>
      </c>
      <c r="W111" s="47">
        <v>258502218</v>
      </c>
      <c r="X111" s="47">
        <v>-1647318.0588235294</v>
      </c>
      <c r="Y111" s="47">
        <v>258502218</v>
      </c>
      <c r="Z111" s="47">
        <v>258502218</v>
      </c>
      <c r="AA111" s="47">
        <v>258502218</v>
      </c>
      <c r="AB111" s="47">
        <v>258502218</v>
      </c>
      <c r="AC111" s="47">
        <v>258502218</v>
      </c>
      <c r="AD111" s="47">
        <v>258502218</v>
      </c>
      <c r="AE111" s="47">
        <v>258502218</v>
      </c>
      <c r="AF111" s="47">
        <v>258502218</v>
      </c>
      <c r="AG111" s="47">
        <v>258502218</v>
      </c>
      <c r="AH111" s="47">
        <v>258502218</v>
      </c>
      <c r="AI111" s="47">
        <v>258502218</v>
      </c>
      <c r="AJ111" s="47">
        <v>258502218</v>
      </c>
      <c r="AK111" s="47">
        <v>258502218</v>
      </c>
      <c r="AL111" s="47">
        <v>-34466962</v>
      </c>
      <c r="AM111" s="47">
        <v>-34466962</v>
      </c>
      <c r="AN111" s="47">
        <v>-1647318.0588235294</v>
      </c>
      <c r="AO111" s="47">
        <v>-1647318.0588235294</v>
      </c>
      <c r="AP111" s="47">
        <v>-1647318.0588235294</v>
      </c>
      <c r="AQ111" s="47">
        <v>-1647318.0588235294</v>
      </c>
      <c r="AR111" s="47">
        <v>-1647318.0588235294</v>
      </c>
      <c r="AS111" s="47">
        <v>-1647318.0588235294</v>
      </c>
      <c r="AT111" s="47">
        <v>-1647318.0588235294</v>
      </c>
      <c r="AU111" s="47">
        <v>-1647318.0588235294</v>
      </c>
      <c r="AV111" s="47">
        <v>-1647318.0588235294</v>
      </c>
      <c r="AW111" s="47">
        <v>-1647318.0588235294</v>
      </c>
      <c r="AX111" s="47">
        <v>-1647318.0588235294</v>
      </c>
      <c r="AY111" s="47">
        <v>-1647318.0588235294</v>
      </c>
      <c r="AZ111" s="58">
        <f t="shared" si="6"/>
        <v>-19767816.705882352</v>
      </c>
      <c r="BA111" s="47">
        <f>Y111+SUM($AM111:AM111)</f>
        <v>224035256</v>
      </c>
      <c r="BB111" s="48">
        <f>Z111+SUM($AM111:AN111)</f>
        <v>222387937.94117647</v>
      </c>
      <c r="BC111" s="48">
        <f>AA111+SUM($AM111:AO111)</f>
        <v>220740619.88235295</v>
      </c>
      <c r="BD111" s="48">
        <f>AB111+SUM($AM111:AP111)</f>
        <v>219093301.82352942</v>
      </c>
      <c r="BE111" s="48">
        <f>AC111+SUM($AM111:AQ111)</f>
        <v>217445983.7647059</v>
      </c>
      <c r="BF111" s="48">
        <f>AD111+SUM($AM111:AR111)</f>
        <v>215798665.70588237</v>
      </c>
      <c r="BG111" s="48">
        <f>AE111+SUM($AM111:AS111)</f>
        <v>214151347.64705884</v>
      </c>
      <c r="BH111" s="48">
        <f>AF111+SUM($AM111:AT111)</f>
        <v>212504029.58823532</v>
      </c>
      <c r="BI111" s="48">
        <f>AG111+SUM($AM111:AU111)</f>
        <v>210856711.52941179</v>
      </c>
      <c r="BJ111" s="48">
        <f>AH111+SUM($AM111:AV111)</f>
        <v>209209393.47058827</v>
      </c>
      <c r="BK111" s="48">
        <f>AI111+SUM($AM111:AW111)</f>
        <v>207562075.41176474</v>
      </c>
      <c r="BL111" s="48">
        <f>AJ111+SUM($AM111:AX111)</f>
        <v>205914757.35294122</v>
      </c>
      <c r="BM111" s="48">
        <f>AK111+SUM($AM111:AY111)</f>
        <v>204267439.29411769</v>
      </c>
      <c r="BO111" s="47"/>
    </row>
    <row r="112" spans="3:67" s="41" customFormat="1" hidden="1" x14ac:dyDescent="0.3">
      <c r="C112" s="41" t="s">
        <v>1340</v>
      </c>
      <c r="D112" s="42" t="s">
        <v>337</v>
      </c>
      <c r="E112" s="42" t="str">
        <f t="shared" si="4"/>
        <v>211</v>
      </c>
      <c r="F112" s="41" t="str">
        <f>_xlfn.XLOOKUP($D112,MD_Account_Asset_Type[Nhóm tài sản],MD_Account_Asset_Type[Tên Nhóm tài sản])</f>
        <v>Máy móc, thiết bị phụ - SX 627</v>
      </c>
      <c r="G112" s="41" t="str">
        <f>_xlfn.XLOOKUP($D112,MD_Account_Asset_Type[Nhóm tài sản],MD_Account_Asset_Type[Tên nhóm TS-Rút gọn])</f>
        <v>Máy móc thiết bị</v>
      </c>
      <c r="H112" s="41" t="str">
        <f>_xlfn.XLOOKUP($D112,MD_Account_Asset_Type[Nhóm tài sản],MD_Account_Asset_Type[Tên nhóm TS-Rút gọn-v2])</f>
        <v>Máy móc thiết bị</v>
      </c>
      <c r="I112" s="43" t="s">
        <v>1041</v>
      </c>
      <c r="J112" s="42" t="s">
        <v>604</v>
      </c>
      <c r="K112" s="41" t="s">
        <v>830</v>
      </c>
      <c r="L112" s="42" t="s">
        <v>71</v>
      </c>
      <c r="M112" s="42" t="s">
        <v>146</v>
      </c>
      <c r="N112" s="44" t="s">
        <v>264</v>
      </c>
      <c r="O112" s="44"/>
      <c r="P112" s="41" t="s">
        <v>461</v>
      </c>
      <c r="Q112" s="41" t="str">
        <f t="shared" si="5"/>
        <v>627</v>
      </c>
      <c r="R112" s="41" t="str">
        <f>_xlfn.XLOOKUP($L112,MD_Cost_Center[Mã Cost Center],MD_Cost_Center[Ngành])</f>
        <v>PET</v>
      </c>
      <c r="S112" s="41" t="str">
        <f>_xlfn.XLOOKUP($L112,MD_Cost_Center[Mã Cost Center],MD_Cost_Center[Ngành-Tách PET-Xơ sợi])</f>
        <v>Chung-PET</v>
      </c>
      <c r="T112" s="45">
        <v>45839</v>
      </c>
      <c r="U112" s="46">
        <v>47665</v>
      </c>
      <c r="V112" s="47">
        <v>144</v>
      </c>
      <c r="W112" s="47">
        <v>293784258</v>
      </c>
      <c r="X112" s="47">
        <v>-1915984.2898550725</v>
      </c>
      <c r="Y112" s="47">
        <v>293784258</v>
      </c>
      <c r="Z112" s="47">
        <v>293784258</v>
      </c>
      <c r="AA112" s="47">
        <v>293784258</v>
      </c>
      <c r="AB112" s="47">
        <v>293784258</v>
      </c>
      <c r="AC112" s="47">
        <v>293784258</v>
      </c>
      <c r="AD112" s="47">
        <v>293784258</v>
      </c>
      <c r="AE112" s="47">
        <v>293784258</v>
      </c>
      <c r="AF112" s="47">
        <v>293784258</v>
      </c>
      <c r="AG112" s="47">
        <v>293784258</v>
      </c>
      <c r="AH112" s="47">
        <v>293784258</v>
      </c>
      <c r="AI112" s="47">
        <v>293784258</v>
      </c>
      <c r="AJ112" s="47">
        <v>293784258</v>
      </c>
      <c r="AK112" s="47">
        <v>293784258</v>
      </c>
      <c r="AL112" s="47">
        <v>-29378426</v>
      </c>
      <c r="AM112" s="47">
        <v>-29378426</v>
      </c>
      <c r="AN112" s="47">
        <v>-1915984.2898550725</v>
      </c>
      <c r="AO112" s="47">
        <v>-1915984.2898550725</v>
      </c>
      <c r="AP112" s="47">
        <v>-1915984.2898550725</v>
      </c>
      <c r="AQ112" s="47">
        <v>-1915984.2898550725</v>
      </c>
      <c r="AR112" s="47">
        <v>-1915984.2898550725</v>
      </c>
      <c r="AS112" s="47">
        <v>-1915984.2898550725</v>
      </c>
      <c r="AT112" s="47">
        <v>-1915984.2898550725</v>
      </c>
      <c r="AU112" s="47">
        <v>-1915984.2898550725</v>
      </c>
      <c r="AV112" s="47">
        <v>-1915984.2898550725</v>
      </c>
      <c r="AW112" s="47">
        <v>-1915984.2898550725</v>
      </c>
      <c r="AX112" s="47">
        <v>-1915984.2898550725</v>
      </c>
      <c r="AY112" s="47">
        <v>-1915984.2898550725</v>
      </c>
      <c r="AZ112" s="58">
        <f t="shared" si="6"/>
        <v>-22991811.478260875</v>
      </c>
      <c r="BA112" s="47">
        <f>Y112+SUM($AM112:AM112)</f>
        <v>264405832</v>
      </c>
      <c r="BB112" s="48">
        <f>Z112+SUM($AM112:AN112)</f>
        <v>262489847.71014494</v>
      </c>
      <c r="BC112" s="48">
        <f>AA112+SUM($AM112:AO112)</f>
        <v>260573863.42028984</v>
      </c>
      <c r="BD112" s="48">
        <f>AB112+SUM($AM112:AP112)</f>
        <v>258657879.13043478</v>
      </c>
      <c r="BE112" s="48">
        <f>AC112+SUM($AM112:AQ112)</f>
        <v>256741894.84057972</v>
      </c>
      <c r="BF112" s="48">
        <f>AD112+SUM($AM112:AR112)</f>
        <v>254825910.55072463</v>
      </c>
      <c r="BG112" s="48">
        <f>AE112+SUM($AM112:AS112)</f>
        <v>252909926.26086956</v>
      </c>
      <c r="BH112" s="48">
        <f>AF112+SUM($AM112:AT112)</f>
        <v>250993941.9710145</v>
      </c>
      <c r="BI112" s="48">
        <f>AG112+SUM($AM112:AU112)</f>
        <v>249077957.68115944</v>
      </c>
      <c r="BJ112" s="48">
        <f>AH112+SUM($AM112:AV112)</f>
        <v>247161973.39130437</v>
      </c>
      <c r="BK112" s="48">
        <f>AI112+SUM($AM112:AW112)</f>
        <v>245245989.10144928</v>
      </c>
      <c r="BL112" s="48">
        <f>AJ112+SUM($AM112:AX112)</f>
        <v>243330004.81159422</v>
      </c>
      <c r="BM112" s="48">
        <f>AK112+SUM($AM112:AY112)</f>
        <v>241414020.52173916</v>
      </c>
      <c r="BO112" s="47"/>
    </row>
    <row r="113" spans="3:67" s="41" customFormat="1" hidden="1" x14ac:dyDescent="0.3">
      <c r="C113" s="41" t="s">
        <v>1340</v>
      </c>
      <c r="D113" s="42" t="s">
        <v>337</v>
      </c>
      <c r="E113" s="42" t="str">
        <f t="shared" si="4"/>
        <v>211</v>
      </c>
      <c r="F113" s="41" t="str">
        <f>_xlfn.XLOOKUP($D113,MD_Account_Asset_Type[Nhóm tài sản],MD_Account_Asset_Type[Tên Nhóm tài sản])</f>
        <v>Máy móc, thiết bị phụ - SX 627</v>
      </c>
      <c r="G113" s="41" t="str">
        <f>_xlfn.XLOOKUP($D113,MD_Account_Asset_Type[Nhóm tài sản],MD_Account_Asset_Type[Tên nhóm TS-Rút gọn])</f>
        <v>Máy móc thiết bị</v>
      </c>
      <c r="H113" s="41" t="str">
        <f>_xlfn.XLOOKUP($D113,MD_Account_Asset_Type[Nhóm tài sản],MD_Account_Asset_Type[Tên nhóm TS-Rút gọn-v2])</f>
        <v>Máy móc thiết bị</v>
      </c>
      <c r="I113" s="43" t="s">
        <v>1042</v>
      </c>
      <c r="J113" s="42" t="s">
        <v>605</v>
      </c>
      <c r="K113" s="41" t="s">
        <v>830</v>
      </c>
      <c r="L113" s="42" t="s">
        <v>65</v>
      </c>
      <c r="M113" s="42" t="s">
        <v>140</v>
      </c>
      <c r="N113" s="44" t="s">
        <v>258</v>
      </c>
      <c r="O113" s="44"/>
      <c r="P113" s="41" t="s">
        <v>461</v>
      </c>
      <c r="Q113" s="41" t="str">
        <f t="shared" si="5"/>
        <v>627</v>
      </c>
      <c r="R113" s="41" t="str">
        <f>_xlfn.XLOOKUP($L113,MD_Cost_Center[Mã Cost Center],MD_Cost_Center[Ngành])</f>
        <v>PET</v>
      </c>
      <c r="S113" s="41" t="str">
        <f>_xlfn.XLOOKUP($L113,MD_Cost_Center[Mã Cost Center],MD_Cost_Center[Ngành-Tách PET-Xơ sợi])</f>
        <v>Chung-PET</v>
      </c>
      <c r="T113" s="45">
        <v>45870</v>
      </c>
      <c r="U113" s="46">
        <v>47696</v>
      </c>
      <c r="V113" s="47">
        <v>144</v>
      </c>
      <c r="W113" s="47">
        <v>204685486</v>
      </c>
      <c r="X113" s="47">
        <v>-1349844.3309352519</v>
      </c>
      <c r="Y113" s="47">
        <v>204685486</v>
      </c>
      <c r="Z113" s="47">
        <v>204685486</v>
      </c>
      <c r="AA113" s="47">
        <v>204685486</v>
      </c>
      <c r="AB113" s="47">
        <v>204685486</v>
      </c>
      <c r="AC113" s="47">
        <v>204685486</v>
      </c>
      <c r="AD113" s="47">
        <v>204685486</v>
      </c>
      <c r="AE113" s="47">
        <v>204685486</v>
      </c>
      <c r="AF113" s="47">
        <v>204685486</v>
      </c>
      <c r="AG113" s="47">
        <v>204685486</v>
      </c>
      <c r="AH113" s="47">
        <v>204685486</v>
      </c>
      <c r="AI113" s="47">
        <v>204685486</v>
      </c>
      <c r="AJ113" s="47">
        <v>204685486</v>
      </c>
      <c r="AK113" s="47">
        <v>204685486</v>
      </c>
      <c r="AL113" s="47">
        <v>-17057124</v>
      </c>
      <c r="AM113" s="47">
        <v>-17057124</v>
      </c>
      <c r="AN113" s="47">
        <v>-1349844.3309352519</v>
      </c>
      <c r="AO113" s="47">
        <v>-1349844.3309352519</v>
      </c>
      <c r="AP113" s="47">
        <v>-1349844.3309352519</v>
      </c>
      <c r="AQ113" s="47">
        <v>-1349844.3309352519</v>
      </c>
      <c r="AR113" s="47">
        <v>-1349844.3309352519</v>
      </c>
      <c r="AS113" s="47">
        <v>-1349844.3309352519</v>
      </c>
      <c r="AT113" s="47">
        <v>-1349844.3309352519</v>
      </c>
      <c r="AU113" s="47">
        <v>-1349844.3309352519</v>
      </c>
      <c r="AV113" s="47">
        <v>-1349844.3309352519</v>
      </c>
      <c r="AW113" s="47">
        <v>-1349844.3309352519</v>
      </c>
      <c r="AX113" s="47">
        <v>-1349844.3309352519</v>
      </c>
      <c r="AY113" s="47">
        <v>-1349844.3309352519</v>
      </c>
      <c r="AZ113" s="58">
        <f t="shared" si="6"/>
        <v>-16198131.971223019</v>
      </c>
      <c r="BA113" s="47">
        <f>Y113+SUM($AM113:AM113)</f>
        <v>187628362</v>
      </c>
      <c r="BB113" s="48">
        <f>Z113+SUM($AM113:AN113)</f>
        <v>186278517.66906476</v>
      </c>
      <c r="BC113" s="48">
        <f>AA113+SUM($AM113:AO113)</f>
        <v>184928673.33812949</v>
      </c>
      <c r="BD113" s="48">
        <f>AB113+SUM($AM113:AP113)</f>
        <v>183578829.00719425</v>
      </c>
      <c r="BE113" s="48">
        <f>AC113+SUM($AM113:AQ113)</f>
        <v>182228984.67625898</v>
      </c>
      <c r="BF113" s="48">
        <f>AD113+SUM($AM113:AR113)</f>
        <v>180879140.34532374</v>
      </c>
      <c r="BG113" s="48">
        <f>AE113+SUM($AM113:AS113)</f>
        <v>179529296.0143885</v>
      </c>
      <c r="BH113" s="48">
        <f>AF113+SUM($AM113:AT113)</f>
        <v>178179451.68345323</v>
      </c>
      <c r="BI113" s="48">
        <f>AG113+SUM($AM113:AU113)</f>
        <v>176829607.35251799</v>
      </c>
      <c r="BJ113" s="48">
        <f>AH113+SUM($AM113:AV113)</f>
        <v>175479763.02158275</v>
      </c>
      <c r="BK113" s="48">
        <f>AI113+SUM($AM113:AW113)</f>
        <v>174129918.69064748</v>
      </c>
      <c r="BL113" s="48">
        <f>AJ113+SUM($AM113:AX113)</f>
        <v>172780074.35971224</v>
      </c>
      <c r="BM113" s="48">
        <f>AK113+SUM($AM113:AY113)</f>
        <v>171430230.028777</v>
      </c>
      <c r="BO113" s="47"/>
    </row>
    <row r="114" spans="3:67" s="41" customFormat="1" hidden="1" x14ac:dyDescent="0.3">
      <c r="C114" s="41" t="s">
        <v>1340</v>
      </c>
      <c r="D114" s="42" t="s">
        <v>337</v>
      </c>
      <c r="E114" s="42" t="str">
        <f t="shared" si="4"/>
        <v>211</v>
      </c>
      <c r="F114" s="41" t="str">
        <f>_xlfn.XLOOKUP($D114,MD_Account_Asset_Type[Nhóm tài sản],MD_Account_Asset_Type[Tên Nhóm tài sản])</f>
        <v>Máy móc, thiết bị phụ - SX 627</v>
      </c>
      <c r="G114" s="41" t="str">
        <f>_xlfn.XLOOKUP($D114,MD_Account_Asset_Type[Nhóm tài sản],MD_Account_Asset_Type[Tên nhóm TS-Rút gọn])</f>
        <v>Máy móc thiết bị</v>
      </c>
      <c r="H114" s="41" t="str">
        <f>_xlfn.XLOOKUP($D114,MD_Account_Asset_Type[Nhóm tài sản],MD_Account_Asset_Type[Tên nhóm TS-Rút gọn-v2])</f>
        <v>Máy móc thiết bị</v>
      </c>
      <c r="I114" s="43" t="s">
        <v>1043</v>
      </c>
      <c r="J114" s="42" t="s">
        <v>606</v>
      </c>
      <c r="K114" s="41" t="s">
        <v>830</v>
      </c>
      <c r="L114" s="42" t="s">
        <v>61</v>
      </c>
      <c r="M114" s="42" t="s">
        <v>136</v>
      </c>
      <c r="N114" s="44" t="s">
        <v>254</v>
      </c>
      <c r="O114" s="44"/>
      <c r="P114" s="41" t="s">
        <v>461</v>
      </c>
      <c r="Q114" s="41" t="str">
        <f t="shared" si="5"/>
        <v>627</v>
      </c>
      <c r="R114" s="41" t="str">
        <f>_xlfn.XLOOKUP($L114,MD_Cost_Center[Mã Cost Center],MD_Cost_Center[Ngành])</f>
        <v>PET</v>
      </c>
      <c r="S114" s="41" t="str">
        <f>_xlfn.XLOOKUP($L114,MD_Cost_Center[Mã Cost Center],MD_Cost_Center[Ngành-Tách PET-Xơ sợi])</f>
        <v>Chung-PET</v>
      </c>
      <c r="T114" s="45">
        <v>45870</v>
      </c>
      <c r="U114" s="46">
        <v>47696</v>
      </c>
      <c r="V114" s="47">
        <v>144</v>
      </c>
      <c r="W114" s="47">
        <v>204685486</v>
      </c>
      <c r="X114" s="47">
        <v>-1349844.3309352519</v>
      </c>
      <c r="Y114" s="47">
        <v>204685486</v>
      </c>
      <c r="Z114" s="47">
        <v>204685486</v>
      </c>
      <c r="AA114" s="47">
        <v>204685486</v>
      </c>
      <c r="AB114" s="47">
        <v>204685486</v>
      </c>
      <c r="AC114" s="47">
        <v>204685486</v>
      </c>
      <c r="AD114" s="47">
        <v>204685486</v>
      </c>
      <c r="AE114" s="47">
        <v>204685486</v>
      </c>
      <c r="AF114" s="47">
        <v>204685486</v>
      </c>
      <c r="AG114" s="47">
        <v>204685486</v>
      </c>
      <c r="AH114" s="47">
        <v>204685486</v>
      </c>
      <c r="AI114" s="47">
        <v>204685486</v>
      </c>
      <c r="AJ114" s="47">
        <v>204685486</v>
      </c>
      <c r="AK114" s="47">
        <v>204685486</v>
      </c>
      <c r="AL114" s="47">
        <v>-17057124</v>
      </c>
      <c r="AM114" s="47">
        <v>-17057124</v>
      </c>
      <c r="AN114" s="47">
        <v>-1349844.3309352519</v>
      </c>
      <c r="AO114" s="47">
        <v>-1349844.3309352519</v>
      </c>
      <c r="AP114" s="47">
        <v>-1349844.3309352519</v>
      </c>
      <c r="AQ114" s="47">
        <v>-1349844.3309352519</v>
      </c>
      <c r="AR114" s="47">
        <v>-1349844.3309352519</v>
      </c>
      <c r="AS114" s="47">
        <v>-1349844.3309352519</v>
      </c>
      <c r="AT114" s="47">
        <v>-1349844.3309352519</v>
      </c>
      <c r="AU114" s="47">
        <v>-1349844.3309352519</v>
      </c>
      <c r="AV114" s="47">
        <v>-1349844.3309352519</v>
      </c>
      <c r="AW114" s="47">
        <v>-1349844.3309352519</v>
      </c>
      <c r="AX114" s="47">
        <v>-1349844.3309352519</v>
      </c>
      <c r="AY114" s="47">
        <v>-1349844.3309352519</v>
      </c>
      <c r="AZ114" s="58">
        <f t="shared" si="6"/>
        <v>-16198131.971223019</v>
      </c>
      <c r="BA114" s="47">
        <f>Y114+SUM($AM114:AM114)</f>
        <v>187628362</v>
      </c>
      <c r="BB114" s="48">
        <f>Z114+SUM($AM114:AN114)</f>
        <v>186278517.66906476</v>
      </c>
      <c r="BC114" s="48">
        <f>AA114+SUM($AM114:AO114)</f>
        <v>184928673.33812949</v>
      </c>
      <c r="BD114" s="48">
        <f>AB114+SUM($AM114:AP114)</f>
        <v>183578829.00719425</v>
      </c>
      <c r="BE114" s="48">
        <f>AC114+SUM($AM114:AQ114)</f>
        <v>182228984.67625898</v>
      </c>
      <c r="BF114" s="48">
        <f>AD114+SUM($AM114:AR114)</f>
        <v>180879140.34532374</v>
      </c>
      <c r="BG114" s="48">
        <f>AE114+SUM($AM114:AS114)</f>
        <v>179529296.0143885</v>
      </c>
      <c r="BH114" s="48">
        <f>AF114+SUM($AM114:AT114)</f>
        <v>178179451.68345323</v>
      </c>
      <c r="BI114" s="48">
        <f>AG114+SUM($AM114:AU114)</f>
        <v>176829607.35251799</v>
      </c>
      <c r="BJ114" s="48">
        <f>AH114+SUM($AM114:AV114)</f>
        <v>175479763.02158275</v>
      </c>
      <c r="BK114" s="48">
        <f>AI114+SUM($AM114:AW114)</f>
        <v>174129918.69064748</v>
      </c>
      <c r="BL114" s="48">
        <f>AJ114+SUM($AM114:AX114)</f>
        <v>172780074.35971224</v>
      </c>
      <c r="BM114" s="48">
        <f>AK114+SUM($AM114:AY114)</f>
        <v>171430230.028777</v>
      </c>
      <c r="BO114" s="47"/>
    </row>
    <row r="115" spans="3:67" s="41" customFormat="1" hidden="1" x14ac:dyDescent="0.3">
      <c r="C115" s="41" t="s">
        <v>1340</v>
      </c>
      <c r="D115" s="42" t="s">
        <v>337</v>
      </c>
      <c r="E115" s="42" t="str">
        <f t="shared" si="4"/>
        <v>211</v>
      </c>
      <c r="F115" s="41" t="str">
        <f>_xlfn.XLOOKUP($D115,MD_Account_Asset_Type[Nhóm tài sản],MD_Account_Asset_Type[Tên Nhóm tài sản])</f>
        <v>Máy móc, thiết bị phụ - SX 627</v>
      </c>
      <c r="G115" s="41" t="str">
        <f>_xlfn.XLOOKUP($D115,MD_Account_Asset_Type[Nhóm tài sản],MD_Account_Asset_Type[Tên nhóm TS-Rút gọn])</f>
        <v>Máy móc thiết bị</v>
      </c>
      <c r="H115" s="41" t="str">
        <f>_xlfn.XLOOKUP($D115,MD_Account_Asset_Type[Nhóm tài sản],MD_Account_Asset_Type[Tên nhóm TS-Rút gọn-v2])</f>
        <v>Máy móc thiết bị</v>
      </c>
      <c r="I115" s="43" t="s">
        <v>1046</v>
      </c>
      <c r="J115" s="42" t="s">
        <v>607</v>
      </c>
      <c r="K115" s="41" t="s">
        <v>830</v>
      </c>
      <c r="L115" s="42" t="s">
        <v>47</v>
      </c>
      <c r="M115" s="42" t="s">
        <v>122</v>
      </c>
      <c r="N115" s="44">
        <v>0</v>
      </c>
      <c r="O115" s="44"/>
      <c r="P115" s="41" t="s">
        <v>461</v>
      </c>
      <c r="Q115" s="41" t="str">
        <f t="shared" si="5"/>
        <v>627</v>
      </c>
      <c r="R115" s="41" t="str">
        <f>_xlfn.XLOOKUP($L115,MD_Cost_Center[Mã Cost Center],MD_Cost_Center[Ngành])</f>
        <v>Chung</v>
      </c>
      <c r="S115" s="41" t="str">
        <f>_xlfn.XLOOKUP($L115,MD_Cost_Center[Mã Cost Center],MD_Cost_Center[Ngành-Tách PET-Xơ sợi])</f>
        <v>Chung</v>
      </c>
      <c r="T115" s="45">
        <v>45901</v>
      </c>
      <c r="U115" s="46">
        <v>47727</v>
      </c>
      <c r="V115" s="47">
        <v>144</v>
      </c>
      <c r="W115" s="47">
        <v>995280138</v>
      </c>
      <c r="X115" s="47">
        <v>-6635200.9214285715</v>
      </c>
      <c r="Y115" s="47">
        <v>995280138</v>
      </c>
      <c r="Z115" s="47">
        <v>995280138</v>
      </c>
      <c r="AA115" s="47">
        <v>995280138</v>
      </c>
      <c r="AB115" s="47">
        <v>995280138</v>
      </c>
      <c r="AC115" s="47">
        <v>995280138</v>
      </c>
      <c r="AD115" s="47">
        <v>995280138</v>
      </c>
      <c r="AE115" s="47">
        <v>995280138</v>
      </c>
      <c r="AF115" s="47">
        <v>995280138</v>
      </c>
      <c r="AG115" s="47">
        <v>995280138</v>
      </c>
      <c r="AH115" s="47">
        <v>995280138</v>
      </c>
      <c r="AI115" s="47">
        <v>995280138</v>
      </c>
      <c r="AJ115" s="47">
        <v>995280138</v>
      </c>
      <c r="AK115" s="47">
        <v>995280138</v>
      </c>
      <c r="AL115" s="47">
        <v>-66352009</v>
      </c>
      <c r="AM115" s="47">
        <v>-66352009</v>
      </c>
      <c r="AN115" s="47">
        <v>-6635200.9214285715</v>
      </c>
      <c r="AO115" s="47">
        <v>-6635200.9214285715</v>
      </c>
      <c r="AP115" s="47">
        <v>-6635200.9214285715</v>
      </c>
      <c r="AQ115" s="47">
        <v>-6635200.9214285715</v>
      </c>
      <c r="AR115" s="47">
        <v>-6635200.9214285715</v>
      </c>
      <c r="AS115" s="47">
        <v>-6635200.9214285715</v>
      </c>
      <c r="AT115" s="47">
        <v>-6635200.9214285715</v>
      </c>
      <c r="AU115" s="47">
        <v>-6635200.9214285715</v>
      </c>
      <c r="AV115" s="47">
        <v>-6635200.9214285715</v>
      </c>
      <c r="AW115" s="47">
        <v>-6635200.9214285715</v>
      </c>
      <c r="AX115" s="47">
        <v>-6635200.9214285715</v>
      </c>
      <c r="AY115" s="47">
        <v>-6635200.9214285715</v>
      </c>
      <c r="AZ115" s="58">
        <f t="shared" si="6"/>
        <v>-79622411.057142854</v>
      </c>
      <c r="BA115" s="47">
        <f>Y115+SUM($AM115:AM115)</f>
        <v>928928129</v>
      </c>
      <c r="BB115" s="48">
        <f>Z115+SUM($AM115:AN115)</f>
        <v>922292928.07857144</v>
      </c>
      <c r="BC115" s="48">
        <f>AA115+SUM($AM115:AO115)</f>
        <v>915657727.15714288</v>
      </c>
      <c r="BD115" s="48">
        <f>AB115+SUM($AM115:AP115)</f>
        <v>909022526.23571432</v>
      </c>
      <c r="BE115" s="48">
        <f>AC115+SUM($AM115:AQ115)</f>
        <v>902387325.31428576</v>
      </c>
      <c r="BF115" s="48">
        <f>AD115+SUM($AM115:AR115)</f>
        <v>895752124.39285707</v>
      </c>
      <c r="BG115" s="48">
        <f>AE115+SUM($AM115:AS115)</f>
        <v>889116923.47142851</v>
      </c>
      <c r="BH115" s="48">
        <f>AF115+SUM($AM115:AT115)</f>
        <v>882481722.54999995</v>
      </c>
      <c r="BI115" s="48">
        <f>AG115+SUM($AM115:AU115)</f>
        <v>875846521.62857139</v>
      </c>
      <c r="BJ115" s="48">
        <f>AH115+SUM($AM115:AV115)</f>
        <v>869211320.70714283</v>
      </c>
      <c r="BK115" s="48">
        <f>AI115+SUM($AM115:AW115)</f>
        <v>862576119.78571427</v>
      </c>
      <c r="BL115" s="48">
        <f>AJ115+SUM($AM115:AX115)</f>
        <v>855940918.86428571</v>
      </c>
      <c r="BM115" s="48">
        <f>AK115+SUM($AM115:AY115)</f>
        <v>849305717.94285715</v>
      </c>
      <c r="BO115" s="47"/>
    </row>
    <row r="116" spans="3:67" s="41" customFormat="1" hidden="1" x14ac:dyDescent="0.3">
      <c r="C116" s="41" t="s">
        <v>1340</v>
      </c>
      <c r="D116" s="42" t="s">
        <v>337</v>
      </c>
      <c r="E116" s="42" t="str">
        <f t="shared" si="4"/>
        <v>211</v>
      </c>
      <c r="F116" s="41" t="str">
        <f>_xlfn.XLOOKUP($D116,MD_Account_Asset_Type[Nhóm tài sản],MD_Account_Asset_Type[Tên Nhóm tài sản])</f>
        <v>Máy móc, thiết bị phụ - SX 627</v>
      </c>
      <c r="G116" s="41" t="str">
        <f>_xlfn.XLOOKUP($D116,MD_Account_Asset_Type[Nhóm tài sản],MD_Account_Asset_Type[Tên nhóm TS-Rút gọn])</f>
        <v>Máy móc thiết bị</v>
      </c>
      <c r="H116" s="41" t="str">
        <f>_xlfn.XLOOKUP($D116,MD_Account_Asset_Type[Nhóm tài sản],MD_Account_Asset_Type[Tên nhóm TS-Rút gọn-v2])</f>
        <v>Máy móc thiết bị</v>
      </c>
      <c r="I116" s="43" t="s">
        <v>1049</v>
      </c>
      <c r="J116" s="42" t="s">
        <v>608</v>
      </c>
      <c r="K116" s="41" t="s">
        <v>830</v>
      </c>
      <c r="L116" s="42" t="s">
        <v>79</v>
      </c>
      <c r="M116" s="42" t="s">
        <v>154</v>
      </c>
      <c r="N116" s="44" t="s">
        <v>272</v>
      </c>
      <c r="O116" s="44"/>
      <c r="P116" s="41" t="s">
        <v>461</v>
      </c>
      <c r="Q116" s="41" t="str">
        <f t="shared" si="5"/>
        <v>627</v>
      </c>
      <c r="R116" s="41" t="str">
        <f>_xlfn.XLOOKUP($L116,MD_Cost_Center[Mã Cost Center],MD_Cost_Center[Ngành])</f>
        <v>PET</v>
      </c>
      <c r="S116" s="41" t="str">
        <f>_xlfn.XLOOKUP($L116,MD_Cost_Center[Mã Cost Center],MD_Cost_Center[Ngành-Tách PET-Xơ sợi])</f>
        <v>PET</v>
      </c>
      <c r="T116" s="45">
        <v>45901</v>
      </c>
      <c r="U116" s="46">
        <v>48823</v>
      </c>
      <c r="V116" s="47">
        <v>144</v>
      </c>
      <c r="W116" s="47">
        <v>9194024100</v>
      </c>
      <c r="X116" s="47">
        <v>-62935284.014285713</v>
      </c>
      <c r="Y116" s="47">
        <v>9194024100</v>
      </c>
      <c r="Z116" s="47">
        <v>9194024100</v>
      </c>
      <c r="AA116" s="47">
        <v>9194024100</v>
      </c>
      <c r="AB116" s="47">
        <v>9194024100</v>
      </c>
      <c r="AC116" s="47">
        <v>9194024100</v>
      </c>
      <c r="AD116" s="47">
        <v>9194024100</v>
      </c>
      <c r="AE116" s="47">
        <v>9194024100</v>
      </c>
      <c r="AF116" s="47">
        <v>9194024100</v>
      </c>
      <c r="AG116" s="47">
        <v>9194024100</v>
      </c>
      <c r="AH116" s="47">
        <v>9194024100</v>
      </c>
      <c r="AI116" s="47">
        <v>9194024100</v>
      </c>
      <c r="AJ116" s="47">
        <v>9194024100</v>
      </c>
      <c r="AK116" s="47">
        <v>9194024100</v>
      </c>
      <c r="AL116" s="47">
        <v>-383084338</v>
      </c>
      <c r="AM116" s="47">
        <v>-383084338</v>
      </c>
      <c r="AN116" s="47">
        <v>-62935284.014285713</v>
      </c>
      <c r="AO116" s="47">
        <v>-62935284.014285713</v>
      </c>
      <c r="AP116" s="47">
        <v>-62935284.014285713</v>
      </c>
      <c r="AQ116" s="47">
        <v>-62935284.014285713</v>
      </c>
      <c r="AR116" s="47">
        <v>-62935284.014285713</v>
      </c>
      <c r="AS116" s="47">
        <v>-62935284.014285713</v>
      </c>
      <c r="AT116" s="47">
        <v>-62935284.014285713</v>
      </c>
      <c r="AU116" s="47">
        <v>-62935284.014285713</v>
      </c>
      <c r="AV116" s="47">
        <v>-62935284.014285713</v>
      </c>
      <c r="AW116" s="47">
        <v>-62935284.014285713</v>
      </c>
      <c r="AX116" s="47">
        <v>-62935284.014285713</v>
      </c>
      <c r="AY116" s="47">
        <v>-62935284.014285713</v>
      </c>
      <c r="AZ116" s="58">
        <f t="shared" si="6"/>
        <v>-755223408.17142832</v>
      </c>
      <c r="BA116" s="47">
        <f>Y116+SUM($AM116:AM116)</f>
        <v>8810939762</v>
      </c>
      <c r="BB116" s="48">
        <f>Z116+SUM($AM116:AN116)</f>
        <v>8748004477.985714</v>
      </c>
      <c r="BC116" s="48">
        <f>AA116+SUM($AM116:AO116)</f>
        <v>8685069193.9714279</v>
      </c>
      <c r="BD116" s="48">
        <f>AB116+SUM($AM116:AP116)</f>
        <v>8622133909.9571438</v>
      </c>
      <c r="BE116" s="48">
        <f>AC116+SUM($AM116:AQ116)</f>
        <v>8559198625.9428577</v>
      </c>
      <c r="BF116" s="48">
        <f>AD116+SUM($AM116:AR116)</f>
        <v>8496263341.9285717</v>
      </c>
      <c r="BG116" s="48">
        <f>AE116+SUM($AM116:AS116)</f>
        <v>8433328057.9142857</v>
      </c>
      <c r="BH116" s="48">
        <f>AF116+SUM($AM116:AT116)</f>
        <v>8370392773.9000006</v>
      </c>
      <c r="BI116" s="48">
        <f>AG116+SUM($AM116:AU116)</f>
        <v>8307457489.8857145</v>
      </c>
      <c r="BJ116" s="48">
        <f>AH116+SUM($AM116:AV116)</f>
        <v>8244522205.8714285</v>
      </c>
      <c r="BK116" s="48">
        <f>AI116+SUM($AM116:AW116)</f>
        <v>8181586921.8571434</v>
      </c>
      <c r="BL116" s="48">
        <f>AJ116+SUM($AM116:AX116)</f>
        <v>8118651637.8428574</v>
      </c>
      <c r="BM116" s="48">
        <f>AK116+SUM($AM116:AY116)</f>
        <v>8055716353.8285713</v>
      </c>
      <c r="BO116" s="47"/>
    </row>
    <row r="117" spans="3:67" s="41" customFormat="1" hidden="1" x14ac:dyDescent="0.3">
      <c r="C117" s="41" t="s">
        <v>1340</v>
      </c>
      <c r="D117" s="42" t="s">
        <v>337</v>
      </c>
      <c r="E117" s="42" t="str">
        <f t="shared" si="4"/>
        <v>211</v>
      </c>
      <c r="F117" s="41" t="str">
        <f>_xlfn.XLOOKUP($D117,MD_Account_Asset_Type[Nhóm tài sản],MD_Account_Asset_Type[Tên Nhóm tài sản])</f>
        <v>Máy móc, thiết bị phụ - SX 627</v>
      </c>
      <c r="G117" s="41" t="str">
        <f>_xlfn.XLOOKUP($D117,MD_Account_Asset_Type[Nhóm tài sản],MD_Account_Asset_Type[Tên nhóm TS-Rút gọn])</f>
        <v>Máy móc thiết bị</v>
      </c>
      <c r="H117" s="41" t="str">
        <f>_xlfn.XLOOKUP($D117,MD_Account_Asset_Type[Nhóm tài sản],MD_Account_Asset_Type[Tên nhóm TS-Rút gọn-v2])</f>
        <v>Máy móc thiết bị</v>
      </c>
      <c r="I117" s="43" t="s">
        <v>1050</v>
      </c>
      <c r="J117" s="42" t="s">
        <v>609</v>
      </c>
      <c r="K117" s="41" t="s">
        <v>830</v>
      </c>
      <c r="L117" s="42" t="s">
        <v>80</v>
      </c>
      <c r="M117" s="42" t="s">
        <v>155</v>
      </c>
      <c r="N117" s="44" t="s">
        <v>273</v>
      </c>
      <c r="O117" s="44"/>
      <c r="P117" s="41" t="s">
        <v>461</v>
      </c>
      <c r="Q117" s="41" t="str">
        <f t="shared" si="5"/>
        <v>627</v>
      </c>
      <c r="R117" s="41" t="str">
        <f>_xlfn.XLOOKUP($L117,MD_Cost_Center[Mã Cost Center],MD_Cost_Center[Ngành])</f>
        <v>PET</v>
      </c>
      <c r="S117" s="41" t="str">
        <f>_xlfn.XLOOKUP($L117,MD_Cost_Center[Mã Cost Center],MD_Cost_Center[Ngành-Tách PET-Xơ sợi])</f>
        <v>PET</v>
      </c>
      <c r="T117" s="45">
        <v>45901</v>
      </c>
      <c r="U117" s="46">
        <v>48823</v>
      </c>
      <c r="V117" s="47">
        <v>144</v>
      </c>
      <c r="W117" s="47">
        <v>9194024100</v>
      </c>
      <c r="X117" s="47">
        <v>-62935284.014285713</v>
      </c>
      <c r="Y117" s="47">
        <v>9194024100</v>
      </c>
      <c r="Z117" s="47">
        <v>9194024100</v>
      </c>
      <c r="AA117" s="47">
        <v>9194024100</v>
      </c>
      <c r="AB117" s="47">
        <v>9194024100</v>
      </c>
      <c r="AC117" s="47">
        <v>9194024100</v>
      </c>
      <c r="AD117" s="47">
        <v>9194024100</v>
      </c>
      <c r="AE117" s="47">
        <v>9194024100</v>
      </c>
      <c r="AF117" s="47">
        <v>9194024100</v>
      </c>
      <c r="AG117" s="47">
        <v>9194024100</v>
      </c>
      <c r="AH117" s="47">
        <v>9194024100</v>
      </c>
      <c r="AI117" s="47">
        <v>9194024100</v>
      </c>
      <c r="AJ117" s="47">
        <v>9194024100</v>
      </c>
      <c r="AK117" s="47">
        <v>9194024100</v>
      </c>
      <c r="AL117" s="47">
        <v>-383084338</v>
      </c>
      <c r="AM117" s="47">
        <v>-383084338</v>
      </c>
      <c r="AN117" s="47">
        <v>-62935284.014285713</v>
      </c>
      <c r="AO117" s="47">
        <v>-62935284.014285713</v>
      </c>
      <c r="AP117" s="47">
        <v>-62935284.014285713</v>
      </c>
      <c r="AQ117" s="47">
        <v>-62935284.014285713</v>
      </c>
      <c r="AR117" s="47">
        <v>-62935284.014285713</v>
      </c>
      <c r="AS117" s="47">
        <v>-62935284.014285713</v>
      </c>
      <c r="AT117" s="47">
        <v>-62935284.014285713</v>
      </c>
      <c r="AU117" s="47">
        <v>-62935284.014285713</v>
      </c>
      <c r="AV117" s="47">
        <v>-62935284.014285713</v>
      </c>
      <c r="AW117" s="47">
        <v>-62935284.014285713</v>
      </c>
      <c r="AX117" s="47">
        <v>-62935284.014285713</v>
      </c>
      <c r="AY117" s="47">
        <v>-62935284.014285713</v>
      </c>
      <c r="AZ117" s="58">
        <f t="shared" si="6"/>
        <v>-755223408.17142832</v>
      </c>
      <c r="BA117" s="47">
        <f>Y117+SUM($AM117:AM117)</f>
        <v>8810939762</v>
      </c>
      <c r="BB117" s="48">
        <f>Z117+SUM($AM117:AN117)</f>
        <v>8748004477.985714</v>
      </c>
      <c r="BC117" s="48">
        <f>AA117+SUM($AM117:AO117)</f>
        <v>8685069193.9714279</v>
      </c>
      <c r="BD117" s="48">
        <f>AB117+SUM($AM117:AP117)</f>
        <v>8622133909.9571438</v>
      </c>
      <c r="BE117" s="48">
        <f>AC117+SUM($AM117:AQ117)</f>
        <v>8559198625.9428577</v>
      </c>
      <c r="BF117" s="48">
        <f>AD117+SUM($AM117:AR117)</f>
        <v>8496263341.9285717</v>
      </c>
      <c r="BG117" s="48">
        <f>AE117+SUM($AM117:AS117)</f>
        <v>8433328057.9142857</v>
      </c>
      <c r="BH117" s="48">
        <f>AF117+SUM($AM117:AT117)</f>
        <v>8370392773.9000006</v>
      </c>
      <c r="BI117" s="48">
        <f>AG117+SUM($AM117:AU117)</f>
        <v>8307457489.8857145</v>
      </c>
      <c r="BJ117" s="48">
        <f>AH117+SUM($AM117:AV117)</f>
        <v>8244522205.8714285</v>
      </c>
      <c r="BK117" s="48">
        <f>AI117+SUM($AM117:AW117)</f>
        <v>8181586921.8571434</v>
      </c>
      <c r="BL117" s="48">
        <f>AJ117+SUM($AM117:AX117)</f>
        <v>8118651637.8428574</v>
      </c>
      <c r="BM117" s="48">
        <f>AK117+SUM($AM117:AY117)</f>
        <v>8055716353.8285713</v>
      </c>
      <c r="BO117" s="47"/>
    </row>
    <row r="118" spans="3:67" s="41" customFormat="1" hidden="1" x14ac:dyDescent="0.3">
      <c r="C118" s="41" t="s">
        <v>1340</v>
      </c>
      <c r="D118" s="42" t="s">
        <v>337</v>
      </c>
      <c r="E118" s="42" t="str">
        <f t="shared" si="4"/>
        <v>211</v>
      </c>
      <c r="F118" s="41" t="str">
        <f>_xlfn.XLOOKUP($D118,MD_Account_Asset_Type[Nhóm tài sản],MD_Account_Asset_Type[Tên Nhóm tài sản])</f>
        <v>Máy móc, thiết bị phụ - SX 627</v>
      </c>
      <c r="G118" s="41" t="str">
        <f>_xlfn.XLOOKUP($D118,MD_Account_Asset_Type[Nhóm tài sản],MD_Account_Asset_Type[Tên nhóm TS-Rút gọn])</f>
        <v>Máy móc thiết bị</v>
      </c>
      <c r="H118" s="41" t="str">
        <f>_xlfn.XLOOKUP($D118,MD_Account_Asset_Type[Nhóm tài sản],MD_Account_Asset_Type[Tên nhóm TS-Rút gọn-v2])</f>
        <v>Máy móc thiết bị</v>
      </c>
      <c r="I118" s="43" t="s">
        <v>1051</v>
      </c>
      <c r="J118" s="42" t="s">
        <v>610</v>
      </c>
      <c r="K118" s="41" t="s">
        <v>830</v>
      </c>
      <c r="L118" s="42" t="s">
        <v>45</v>
      </c>
      <c r="M118" s="42" t="s">
        <v>120</v>
      </c>
      <c r="N118" s="44">
        <v>0</v>
      </c>
      <c r="O118" s="44"/>
      <c r="P118" s="41" t="s">
        <v>461</v>
      </c>
      <c r="Q118" s="41" t="str">
        <f t="shared" si="5"/>
        <v>627</v>
      </c>
      <c r="R118" s="41" t="str">
        <f>_xlfn.XLOOKUP($L118,MD_Cost_Center[Mã Cost Center],MD_Cost_Center[Ngành])</f>
        <v>Chung</v>
      </c>
      <c r="S118" s="41" t="str">
        <f>_xlfn.XLOOKUP($L118,MD_Cost_Center[Mã Cost Center],MD_Cost_Center[Ngành-Tách PET-Xơ sợi])</f>
        <v>Chung</v>
      </c>
      <c r="T118" s="45">
        <v>45901</v>
      </c>
      <c r="U118" s="46">
        <v>47727</v>
      </c>
      <c r="V118" s="47">
        <v>144</v>
      </c>
      <c r="W118" s="47">
        <v>530000000</v>
      </c>
      <c r="X118" s="47">
        <v>-3533333.3357142857</v>
      </c>
      <c r="Y118" s="47">
        <v>530000000</v>
      </c>
      <c r="Z118" s="47">
        <v>530000000</v>
      </c>
      <c r="AA118" s="47">
        <v>530000000</v>
      </c>
      <c r="AB118" s="47">
        <v>530000000</v>
      </c>
      <c r="AC118" s="47">
        <v>530000000</v>
      </c>
      <c r="AD118" s="47">
        <v>530000000</v>
      </c>
      <c r="AE118" s="47">
        <v>530000000</v>
      </c>
      <c r="AF118" s="47">
        <v>530000000</v>
      </c>
      <c r="AG118" s="47">
        <v>530000000</v>
      </c>
      <c r="AH118" s="47">
        <v>530000000</v>
      </c>
      <c r="AI118" s="47">
        <v>530000000</v>
      </c>
      <c r="AJ118" s="47">
        <v>530000000</v>
      </c>
      <c r="AK118" s="47">
        <v>530000000</v>
      </c>
      <c r="AL118" s="47">
        <v>-35333333</v>
      </c>
      <c r="AM118" s="47">
        <v>-35333333</v>
      </c>
      <c r="AN118" s="47">
        <v>-3533333.3357142857</v>
      </c>
      <c r="AO118" s="47">
        <v>-3533333.3357142857</v>
      </c>
      <c r="AP118" s="47">
        <v>-3533333.3357142857</v>
      </c>
      <c r="AQ118" s="47">
        <v>-3533333.3357142857</v>
      </c>
      <c r="AR118" s="47">
        <v>-3533333.3357142857</v>
      </c>
      <c r="AS118" s="47">
        <v>-3533333.3357142857</v>
      </c>
      <c r="AT118" s="47">
        <v>-3533333.3357142857</v>
      </c>
      <c r="AU118" s="47">
        <v>-3533333.3357142857</v>
      </c>
      <c r="AV118" s="47">
        <v>-3533333.3357142857</v>
      </c>
      <c r="AW118" s="47">
        <v>-3533333.3357142857</v>
      </c>
      <c r="AX118" s="47">
        <v>-3533333.3357142857</v>
      </c>
      <c r="AY118" s="47">
        <v>-3533333.3357142857</v>
      </c>
      <c r="AZ118" s="58">
        <f t="shared" si="6"/>
        <v>-42400000.028571427</v>
      </c>
      <c r="BA118" s="47">
        <f>Y118+SUM($AM118:AM118)</f>
        <v>494666667</v>
      </c>
      <c r="BB118" s="48">
        <f>Z118+SUM($AM118:AN118)</f>
        <v>491133333.66428572</v>
      </c>
      <c r="BC118" s="48">
        <f>AA118+SUM($AM118:AO118)</f>
        <v>487600000.32857144</v>
      </c>
      <c r="BD118" s="48">
        <f>AB118+SUM($AM118:AP118)</f>
        <v>484066666.99285716</v>
      </c>
      <c r="BE118" s="48">
        <f>AC118+SUM($AM118:AQ118)</f>
        <v>480533333.65714288</v>
      </c>
      <c r="BF118" s="48">
        <f>AD118+SUM($AM118:AR118)</f>
        <v>477000000.32142854</v>
      </c>
      <c r="BG118" s="48">
        <f>AE118+SUM($AM118:AS118)</f>
        <v>473466666.98571426</v>
      </c>
      <c r="BH118" s="48">
        <f>AF118+SUM($AM118:AT118)</f>
        <v>469933333.64999998</v>
      </c>
      <c r="BI118" s="48">
        <f>AG118+SUM($AM118:AU118)</f>
        <v>466400000.3142857</v>
      </c>
      <c r="BJ118" s="48">
        <f>AH118+SUM($AM118:AV118)</f>
        <v>462866666.97857141</v>
      </c>
      <c r="BK118" s="48">
        <f>AI118+SUM($AM118:AW118)</f>
        <v>459333333.64285713</v>
      </c>
      <c r="BL118" s="48">
        <f>AJ118+SUM($AM118:AX118)</f>
        <v>455800000.30714285</v>
      </c>
      <c r="BM118" s="48">
        <f>AK118+SUM($AM118:AY118)</f>
        <v>452266666.97142857</v>
      </c>
      <c r="BO118" s="47"/>
    </row>
    <row r="119" spans="3:67" s="41" customFormat="1" hidden="1" x14ac:dyDescent="0.3">
      <c r="C119" s="41" t="s">
        <v>1340</v>
      </c>
      <c r="D119" s="42" t="s">
        <v>337</v>
      </c>
      <c r="E119" s="42" t="str">
        <f t="shared" si="4"/>
        <v>211</v>
      </c>
      <c r="F119" s="41" t="str">
        <f>_xlfn.XLOOKUP($D119,MD_Account_Asset_Type[Nhóm tài sản],MD_Account_Asset_Type[Tên Nhóm tài sản])</f>
        <v>Máy móc, thiết bị phụ - SX 627</v>
      </c>
      <c r="G119" s="41" t="str">
        <f>_xlfn.XLOOKUP($D119,MD_Account_Asset_Type[Nhóm tài sản],MD_Account_Asset_Type[Tên nhóm TS-Rút gọn])</f>
        <v>Máy móc thiết bị</v>
      </c>
      <c r="H119" s="41" t="str">
        <f>_xlfn.XLOOKUP($D119,MD_Account_Asset_Type[Nhóm tài sản],MD_Account_Asset_Type[Tên nhóm TS-Rút gọn-v2])</f>
        <v>Máy móc thiết bị</v>
      </c>
      <c r="I119" s="43" t="s">
        <v>1052</v>
      </c>
      <c r="J119" s="42" t="s">
        <v>611</v>
      </c>
      <c r="K119" s="41" t="s">
        <v>830</v>
      </c>
      <c r="L119" s="42" t="s">
        <v>79</v>
      </c>
      <c r="M119" s="42" t="s">
        <v>154</v>
      </c>
      <c r="N119" s="44" t="s">
        <v>272</v>
      </c>
      <c r="O119" s="44"/>
      <c r="P119" s="41" t="s">
        <v>461</v>
      </c>
      <c r="Q119" s="41" t="str">
        <f t="shared" si="5"/>
        <v>627</v>
      </c>
      <c r="R119" s="41" t="str">
        <f>_xlfn.XLOOKUP($L119,MD_Cost_Center[Mã Cost Center],MD_Cost_Center[Ngành])</f>
        <v>PET</v>
      </c>
      <c r="S119" s="41" t="str">
        <f>_xlfn.XLOOKUP($L119,MD_Cost_Center[Mã Cost Center],MD_Cost_Center[Ngành-Tách PET-Xơ sợi])</f>
        <v>PET</v>
      </c>
      <c r="T119" s="45">
        <v>45901</v>
      </c>
      <c r="U119" s="46">
        <v>47727</v>
      </c>
      <c r="V119" s="47">
        <v>144</v>
      </c>
      <c r="W119" s="47">
        <v>536180944</v>
      </c>
      <c r="X119" s="47">
        <v>-3574539.6285714284</v>
      </c>
      <c r="Y119" s="47">
        <v>536180944</v>
      </c>
      <c r="Z119" s="47">
        <v>536180944</v>
      </c>
      <c r="AA119" s="47">
        <v>536180944</v>
      </c>
      <c r="AB119" s="47">
        <v>536180944</v>
      </c>
      <c r="AC119" s="47">
        <v>536180944</v>
      </c>
      <c r="AD119" s="47">
        <v>536180944</v>
      </c>
      <c r="AE119" s="47">
        <v>536180944</v>
      </c>
      <c r="AF119" s="47">
        <v>536180944</v>
      </c>
      <c r="AG119" s="47">
        <v>536180944</v>
      </c>
      <c r="AH119" s="47">
        <v>536180944</v>
      </c>
      <c r="AI119" s="47">
        <v>536180944</v>
      </c>
      <c r="AJ119" s="47">
        <v>536180944</v>
      </c>
      <c r="AK119" s="47">
        <v>536180944</v>
      </c>
      <c r="AL119" s="47">
        <v>-35745396</v>
      </c>
      <c r="AM119" s="47">
        <v>-35745396</v>
      </c>
      <c r="AN119" s="47">
        <v>-3574539.6285714284</v>
      </c>
      <c r="AO119" s="47">
        <v>-3574539.6285714284</v>
      </c>
      <c r="AP119" s="47">
        <v>-3574539.6285714284</v>
      </c>
      <c r="AQ119" s="47">
        <v>-3574539.6285714284</v>
      </c>
      <c r="AR119" s="47">
        <v>-3574539.6285714284</v>
      </c>
      <c r="AS119" s="47">
        <v>-3574539.6285714284</v>
      </c>
      <c r="AT119" s="47">
        <v>-3574539.6285714284</v>
      </c>
      <c r="AU119" s="47">
        <v>-3574539.6285714284</v>
      </c>
      <c r="AV119" s="47">
        <v>-3574539.6285714284</v>
      </c>
      <c r="AW119" s="47">
        <v>-3574539.6285714284</v>
      </c>
      <c r="AX119" s="47">
        <v>-3574539.6285714284</v>
      </c>
      <c r="AY119" s="47">
        <v>-3574539.6285714284</v>
      </c>
      <c r="AZ119" s="58">
        <f t="shared" si="6"/>
        <v>-42894475.54285714</v>
      </c>
      <c r="BA119" s="47">
        <f>Y119+SUM($AM119:AM119)</f>
        <v>500435548</v>
      </c>
      <c r="BB119" s="48">
        <f>Z119+SUM($AM119:AN119)</f>
        <v>496861008.37142855</v>
      </c>
      <c r="BC119" s="48">
        <f>AA119+SUM($AM119:AO119)</f>
        <v>493286468.74285716</v>
      </c>
      <c r="BD119" s="48">
        <f>AB119+SUM($AM119:AP119)</f>
        <v>489711929.11428571</v>
      </c>
      <c r="BE119" s="48">
        <f>AC119+SUM($AM119:AQ119)</f>
        <v>486137389.48571432</v>
      </c>
      <c r="BF119" s="48">
        <f>AD119+SUM($AM119:AR119)</f>
        <v>482562849.85714287</v>
      </c>
      <c r="BG119" s="48">
        <f>AE119+SUM($AM119:AS119)</f>
        <v>478988310.22857141</v>
      </c>
      <c r="BH119" s="48">
        <f>AF119+SUM($AM119:AT119)</f>
        <v>475413770.60000002</v>
      </c>
      <c r="BI119" s="48">
        <f>AG119+SUM($AM119:AU119)</f>
        <v>471839230.97142857</v>
      </c>
      <c r="BJ119" s="48">
        <f>AH119+SUM($AM119:AV119)</f>
        <v>468264691.34285712</v>
      </c>
      <c r="BK119" s="48">
        <f>AI119+SUM($AM119:AW119)</f>
        <v>464690151.71428573</v>
      </c>
      <c r="BL119" s="48">
        <f>AJ119+SUM($AM119:AX119)</f>
        <v>461115612.08571434</v>
      </c>
      <c r="BM119" s="48">
        <f>AK119+SUM($AM119:AY119)</f>
        <v>457541072.45714289</v>
      </c>
      <c r="BO119" s="47"/>
    </row>
    <row r="120" spans="3:67" s="41" customFormat="1" hidden="1" x14ac:dyDescent="0.3">
      <c r="C120" s="41" t="s">
        <v>1340</v>
      </c>
      <c r="D120" s="42" t="s">
        <v>337</v>
      </c>
      <c r="E120" s="42" t="str">
        <f t="shared" si="4"/>
        <v>211</v>
      </c>
      <c r="F120" s="41" t="str">
        <f>_xlfn.XLOOKUP($D120,MD_Account_Asset_Type[Nhóm tài sản],MD_Account_Asset_Type[Tên Nhóm tài sản])</f>
        <v>Máy móc, thiết bị phụ - SX 627</v>
      </c>
      <c r="G120" s="41" t="str">
        <f>_xlfn.XLOOKUP($D120,MD_Account_Asset_Type[Nhóm tài sản],MD_Account_Asset_Type[Tên nhóm TS-Rút gọn])</f>
        <v>Máy móc thiết bị</v>
      </c>
      <c r="H120" s="41" t="str">
        <f>_xlfn.XLOOKUP($D120,MD_Account_Asset_Type[Nhóm tài sản],MD_Account_Asset_Type[Tên nhóm TS-Rút gọn-v2])</f>
        <v>Máy móc thiết bị</v>
      </c>
      <c r="I120" s="43" t="s">
        <v>1053</v>
      </c>
      <c r="J120" s="42" t="s">
        <v>612</v>
      </c>
      <c r="K120" s="41" t="s">
        <v>830</v>
      </c>
      <c r="L120" s="42" t="s">
        <v>54</v>
      </c>
      <c r="M120" s="42" t="s">
        <v>129</v>
      </c>
      <c r="N120" s="44" t="s">
        <v>247</v>
      </c>
      <c r="O120" s="44"/>
      <c r="P120" s="41" t="s">
        <v>461</v>
      </c>
      <c r="Q120" s="41" t="str">
        <f t="shared" si="5"/>
        <v>627</v>
      </c>
      <c r="R120" s="41" t="str">
        <f>_xlfn.XLOOKUP($L120,MD_Cost_Center[Mã Cost Center],MD_Cost_Center[Ngành])</f>
        <v>PET</v>
      </c>
      <c r="S120" s="41" t="str">
        <f>_xlfn.XLOOKUP($L120,MD_Cost_Center[Mã Cost Center],MD_Cost_Center[Ngành-Tách PET-Xơ sợi])</f>
        <v>PET</v>
      </c>
      <c r="T120" s="45">
        <v>45901</v>
      </c>
      <c r="U120" s="46">
        <v>47727</v>
      </c>
      <c r="V120" s="47">
        <v>144</v>
      </c>
      <c r="W120" s="47">
        <v>268085606</v>
      </c>
      <c r="X120" s="47">
        <v>-1787237.3714285714</v>
      </c>
      <c r="Y120" s="47">
        <v>268085606</v>
      </c>
      <c r="Z120" s="47">
        <v>268085606</v>
      </c>
      <c r="AA120" s="47">
        <v>268085606</v>
      </c>
      <c r="AB120" s="47">
        <v>268085606</v>
      </c>
      <c r="AC120" s="47">
        <v>268085606</v>
      </c>
      <c r="AD120" s="47">
        <v>268085606</v>
      </c>
      <c r="AE120" s="47">
        <v>268085606</v>
      </c>
      <c r="AF120" s="47">
        <v>268085606</v>
      </c>
      <c r="AG120" s="47">
        <v>268085606</v>
      </c>
      <c r="AH120" s="47">
        <v>268085606</v>
      </c>
      <c r="AI120" s="47">
        <v>268085606</v>
      </c>
      <c r="AJ120" s="47">
        <v>268085606</v>
      </c>
      <c r="AK120" s="47">
        <v>268085606</v>
      </c>
      <c r="AL120" s="47">
        <v>-17872374</v>
      </c>
      <c r="AM120" s="47">
        <v>-17872374</v>
      </c>
      <c r="AN120" s="47">
        <v>-1787237.3714285714</v>
      </c>
      <c r="AO120" s="47">
        <v>-1787237.3714285714</v>
      </c>
      <c r="AP120" s="47">
        <v>-1787237.3714285714</v>
      </c>
      <c r="AQ120" s="47">
        <v>-1787237.3714285714</v>
      </c>
      <c r="AR120" s="47">
        <v>-1787237.3714285714</v>
      </c>
      <c r="AS120" s="47">
        <v>-1787237.3714285714</v>
      </c>
      <c r="AT120" s="47">
        <v>-1787237.3714285714</v>
      </c>
      <c r="AU120" s="47">
        <v>-1787237.3714285714</v>
      </c>
      <c r="AV120" s="47">
        <v>-1787237.3714285714</v>
      </c>
      <c r="AW120" s="47">
        <v>-1787237.3714285714</v>
      </c>
      <c r="AX120" s="47">
        <v>-1787237.3714285714</v>
      </c>
      <c r="AY120" s="47">
        <v>-1787237.3714285714</v>
      </c>
      <c r="AZ120" s="58">
        <f t="shared" si="6"/>
        <v>-21446848.457142856</v>
      </c>
      <c r="BA120" s="47">
        <f>Y120+SUM($AM120:AM120)</f>
        <v>250213232</v>
      </c>
      <c r="BB120" s="48">
        <f>Z120+SUM($AM120:AN120)</f>
        <v>248425994.62857142</v>
      </c>
      <c r="BC120" s="48">
        <f>AA120+SUM($AM120:AO120)</f>
        <v>246638757.25714284</v>
      </c>
      <c r="BD120" s="48">
        <f>AB120+SUM($AM120:AP120)</f>
        <v>244851519.88571429</v>
      </c>
      <c r="BE120" s="48">
        <f>AC120+SUM($AM120:AQ120)</f>
        <v>243064282.51428571</v>
      </c>
      <c r="BF120" s="48">
        <f>AD120+SUM($AM120:AR120)</f>
        <v>241277045.14285713</v>
      </c>
      <c r="BG120" s="48">
        <f>AE120+SUM($AM120:AS120)</f>
        <v>239489807.77142859</v>
      </c>
      <c r="BH120" s="48">
        <f>AF120+SUM($AM120:AT120)</f>
        <v>237702570.40000001</v>
      </c>
      <c r="BI120" s="48">
        <f>AG120+SUM($AM120:AU120)</f>
        <v>235915333.02857143</v>
      </c>
      <c r="BJ120" s="48">
        <f>AH120+SUM($AM120:AV120)</f>
        <v>234128095.65714285</v>
      </c>
      <c r="BK120" s="48">
        <f>AI120+SUM($AM120:AW120)</f>
        <v>232340858.28571427</v>
      </c>
      <c r="BL120" s="48">
        <f>AJ120+SUM($AM120:AX120)</f>
        <v>230553620.91428572</v>
      </c>
      <c r="BM120" s="48">
        <f>AK120+SUM($AM120:AY120)</f>
        <v>228766383.54285714</v>
      </c>
      <c r="BO120" s="47"/>
    </row>
    <row r="121" spans="3:67" s="41" customFormat="1" hidden="1" x14ac:dyDescent="0.3">
      <c r="C121" s="41" t="s">
        <v>1340</v>
      </c>
      <c r="D121" s="42" t="s">
        <v>337</v>
      </c>
      <c r="E121" s="42" t="str">
        <f t="shared" si="4"/>
        <v>211</v>
      </c>
      <c r="F121" s="41" t="str">
        <f>_xlfn.XLOOKUP($D121,MD_Account_Asset_Type[Nhóm tài sản],MD_Account_Asset_Type[Tên Nhóm tài sản])</f>
        <v>Máy móc, thiết bị phụ - SX 627</v>
      </c>
      <c r="G121" s="41" t="str">
        <f>_xlfn.XLOOKUP($D121,MD_Account_Asset_Type[Nhóm tài sản],MD_Account_Asset_Type[Tên nhóm TS-Rút gọn])</f>
        <v>Máy móc thiết bị</v>
      </c>
      <c r="H121" s="41" t="str">
        <f>_xlfn.XLOOKUP($D121,MD_Account_Asset_Type[Nhóm tài sản],MD_Account_Asset_Type[Tên nhóm TS-Rút gọn-v2])</f>
        <v>Máy móc thiết bị</v>
      </c>
      <c r="I121" s="43" t="s">
        <v>1054</v>
      </c>
      <c r="J121" s="42" t="s">
        <v>613</v>
      </c>
      <c r="K121" s="41" t="s">
        <v>830</v>
      </c>
      <c r="L121" s="42" t="s">
        <v>62</v>
      </c>
      <c r="M121" s="42" t="s">
        <v>137</v>
      </c>
      <c r="N121" s="44" t="s">
        <v>255</v>
      </c>
      <c r="O121" s="44"/>
      <c r="P121" s="41" t="s">
        <v>461</v>
      </c>
      <c r="Q121" s="41" t="str">
        <f t="shared" si="5"/>
        <v>627</v>
      </c>
      <c r="R121" s="41" t="str">
        <f>_xlfn.XLOOKUP($L121,MD_Cost_Center[Mã Cost Center],MD_Cost_Center[Ngành])</f>
        <v>PET</v>
      </c>
      <c r="S121" s="41" t="str">
        <f>_xlfn.XLOOKUP($L121,MD_Cost_Center[Mã Cost Center],MD_Cost_Center[Ngành-Tách PET-Xơ sợi])</f>
        <v>PET</v>
      </c>
      <c r="T121" s="45">
        <v>45901</v>
      </c>
      <c r="U121" s="46">
        <v>47727</v>
      </c>
      <c r="V121" s="47">
        <v>144</v>
      </c>
      <c r="W121" s="47">
        <v>268085606</v>
      </c>
      <c r="X121" s="47">
        <v>-1787237.3714285714</v>
      </c>
      <c r="Y121" s="47">
        <v>268085606</v>
      </c>
      <c r="Z121" s="47">
        <v>268085606</v>
      </c>
      <c r="AA121" s="47">
        <v>268085606</v>
      </c>
      <c r="AB121" s="47">
        <v>268085606</v>
      </c>
      <c r="AC121" s="47">
        <v>268085606</v>
      </c>
      <c r="AD121" s="47">
        <v>268085606</v>
      </c>
      <c r="AE121" s="47">
        <v>268085606</v>
      </c>
      <c r="AF121" s="47">
        <v>268085606</v>
      </c>
      <c r="AG121" s="47">
        <v>268085606</v>
      </c>
      <c r="AH121" s="47">
        <v>268085606</v>
      </c>
      <c r="AI121" s="47">
        <v>268085606</v>
      </c>
      <c r="AJ121" s="47">
        <v>268085606</v>
      </c>
      <c r="AK121" s="47">
        <v>268085606</v>
      </c>
      <c r="AL121" s="47">
        <v>-17872374</v>
      </c>
      <c r="AM121" s="47">
        <v>-17872374</v>
      </c>
      <c r="AN121" s="47">
        <v>-1787237.3714285714</v>
      </c>
      <c r="AO121" s="47">
        <v>-1787237.3714285714</v>
      </c>
      <c r="AP121" s="47">
        <v>-1787237.3714285714</v>
      </c>
      <c r="AQ121" s="47">
        <v>-1787237.3714285714</v>
      </c>
      <c r="AR121" s="47">
        <v>-1787237.3714285714</v>
      </c>
      <c r="AS121" s="47">
        <v>-1787237.3714285714</v>
      </c>
      <c r="AT121" s="47">
        <v>-1787237.3714285714</v>
      </c>
      <c r="AU121" s="47">
        <v>-1787237.3714285714</v>
      </c>
      <c r="AV121" s="47">
        <v>-1787237.3714285714</v>
      </c>
      <c r="AW121" s="47">
        <v>-1787237.3714285714</v>
      </c>
      <c r="AX121" s="47">
        <v>-1787237.3714285714</v>
      </c>
      <c r="AY121" s="47">
        <v>-1787237.3714285714</v>
      </c>
      <c r="AZ121" s="58">
        <f t="shared" si="6"/>
        <v>-21446848.457142856</v>
      </c>
      <c r="BA121" s="47">
        <f>Y121+SUM($AM121:AM121)</f>
        <v>250213232</v>
      </c>
      <c r="BB121" s="48">
        <f>Z121+SUM($AM121:AN121)</f>
        <v>248425994.62857142</v>
      </c>
      <c r="BC121" s="48">
        <f>AA121+SUM($AM121:AO121)</f>
        <v>246638757.25714284</v>
      </c>
      <c r="BD121" s="48">
        <f>AB121+SUM($AM121:AP121)</f>
        <v>244851519.88571429</v>
      </c>
      <c r="BE121" s="48">
        <f>AC121+SUM($AM121:AQ121)</f>
        <v>243064282.51428571</v>
      </c>
      <c r="BF121" s="48">
        <f>AD121+SUM($AM121:AR121)</f>
        <v>241277045.14285713</v>
      </c>
      <c r="BG121" s="48">
        <f>AE121+SUM($AM121:AS121)</f>
        <v>239489807.77142859</v>
      </c>
      <c r="BH121" s="48">
        <f>AF121+SUM($AM121:AT121)</f>
        <v>237702570.40000001</v>
      </c>
      <c r="BI121" s="48">
        <f>AG121+SUM($AM121:AU121)</f>
        <v>235915333.02857143</v>
      </c>
      <c r="BJ121" s="48">
        <f>AH121+SUM($AM121:AV121)</f>
        <v>234128095.65714285</v>
      </c>
      <c r="BK121" s="48">
        <f>AI121+SUM($AM121:AW121)</f>
        <v>232340858.28571427</v>
      </c>
      <c r="BL121" s="48">
        <f>AJ121+SUM($AM121:AX121)</f>
        <v>230553620.91428572</v>
      </c>
      <c r="BM121" s="48">
        <f>AK121+SUM($AM121:AY121)</f>
        <v>228766383.54285714</v>
      </c>
      <c r="BO121" s="47"/>
    </row>
    <row r="122" spans="3:67" s="41" customFormat="1" hidden="1" x14ac:dyDescent="0.3">
      <c r="C122" s="41" t="s">
        <v>1340</v>
      </c>
      <c r="D122" s="42" t="s">
        <v>337</v>
      </c>
      <c r="E122" s="42" t="str">
        <f t="shared" si="4"/>
        <v>211</v>
      </c>
      <c r="F122" s="41" t="str">
        <f>_xlfn.XLOOKUP($D122,MD_Account_Asset_Type[Nhóm tài sản],MD_Account_Asset_Type[Tên Nhóm tài sản])</f>
        <v>Máy móc, thiết bị phụ - SX 627</v>
      </c>
      <c r="G122" s="41" t="str">
        <f>_xlfn.XLOOKUP($D122,MD_Account_Asset_Type[Nhóm tài sản],MD_Account_Asset_Type[Tên nhóm TS-Rút gọn])</f>
        <v>Máy móc thiết bị</v>
      </c>
      <c r="H122" s="41" t="str">
        <f>_xlfn.XLOOKUP($D122,MD_Account_Asset_Type[Nhóm tài sản],MD_Account_Asset_Type[Tên nhóm TS-Rút gọn-v2])</f>
        <v>Máy móc thiết bị</v>
      </c>
      <c r="I122" s="43" t="s">
        <v>1055</v>
      </c>
      <c r="J122" s="42" t="s">
        <v>614</v>
      </c>
      <c r="K122" s="41" t="s">
        <v>830</v>
      </c>
      <c r="L122" s="42" t="s">
        <v>48</v>
      </c>
      <c r="M122" s="42" t="s">
        <v>123</v>
      </c>
      <c r="N122" s="44">
        <v>0</v>
      </c>
      <c r="O122" s="44"/>
      <c r="P122" s="41" t="s">
        <v>461</v>
      </c>
      <c r="Q122" s="41" t="str">
        <f t="shared" si="5"/>
        <v>627</v>
      </c>
      <c r="R122" s="41" t="str">
        <f>_xlfn.XLOOKUP($L122,MD_Cost_Center[Mã Cost Center],MD_Cost_Center[Ngành])</f>
        <v>PET</v>
      </c>
      <c r="S122" s="41" t="str">
        <f>_xlfn.XLOOKUP($L122,MD_Cost_Center[Mã Cost Center],MD_Cost_Center[Ngành-Tách PET-Xơ sợi])</f>
        <v>Chung-PET</v>
      </c>
      <c r="T122" s="45">
        <v>45901</v>
      </c>
      <c r="U122" s="46">
        <v>47727</v>
      </c>
      <c r="V122" s="47">
        <v>144</v>
      </c>
      <c r="W122" s="47">
        <v>1030408748</v>
      </c>
      <c r="X122" s="47">
        <v>-6869391.6500000004</v>
      </c>
      <c r="Y122" s="47">
        <v>1030408748</v>
      </c>
      <c r="Z122" s="47">
        <v>1030408748</v>
      </c>
      <c r="AA122" s="47">
        <v>1030408748</v>
      </c>
      <c r="AB122" s="47">
        <v>1030408748</v>
      </c>
      <c r="AC122" s="47">
        <v>1030408748</v>
      </c>
      <c r="AD122" s="47">
        <v>1030408748</v>
      </c>
      <c r="AE122" s="47">
        <v>1030408748</v>
      </c>
      <c r="AF122" s="47">
        <v>1030408748</v>
      </c>
      <c r="AG122" s="47">
        <v>1030408748</v>
      </c>
      <c r="AH122" s="47">
        <v>1030408748</v>
      </c>
      <c r="AI122" s="47">
        <v>1030408748</v>
      </c>
      <c r="AJ122" s="47">
        <v>1030408748</v>
      </c>
      <c r="AK122" s="47">
        <v>1030408748</v>
      </c>
      <c r="AL122" s="47">
        <v>-68693917</v>
      </c>
      <c r="AM122" s="47">
        <v>-68693917</v>
      </c>
      <c r="AN122" s="47">
        <v>-6869391.6500000004</v>
      </c>
      <c r="AO122" s="47">
        <v>-6869391.6500000004</v>
      </c>
      <c r="AP122" s="47">
        <v>-6869391.6500000004</v>
      </c>
      <c r="AQ122" s="47">
        <v>-6869391.6500000004</v>
      </c>
      <c r="AR122" s="47">
        <v>-6869391.6500000004</v>
      </c>
      <c r="AS122" s="47">
        <v>-6869391.6500000004</v>
      </c>
      <c r="AT122" s="47">
        <v>-6869391.6500000004</v>
      </c>
      <c r="AU122" s="47">
        <v>-6869391.6500000004</v>
      </c>
      <c r="AV122" s="47">
        <v>-6869391.6500000004</v>
      </c>
      <c r="AW122" s="47">
        <v>-6869391.6500000004</v>
      </c>
      <c r="AX122" s="47">
        <v>-6869391.6500000004</v>
      </c>
      <c r="AY122" s="47">
        <v>-6869391.6500000004</v>
      </c>
      <c r="AZ122" s="58">
        <f t="shared" si="6"/>
        <v>-82432699.800000012</v>
      </c>
      <c r="BA122" s="47">
        <f>Y122+SUM($AM122:AM122)</f>
        <v>961714831</v>
      </c>
      <c r="BB122" s="48">
        <f>Z122+SUM($AM122:AN122)</f>
        <v>954845439.35000002</v>
      </c>
      <c r="BC122" s="48">
        <f>AA122+SUM($AM122:AO122)</f>
        <v>947976047.70000005</v>
      </c>
      <c r="BD122" s="48">
        <f>AB122+SUM($AM122:AP122)</f>
        <v>941106656.04999995</v>
      </c>
      <c r="BE122" s="48">
        <f>AC122+SUM($AM122:AQ122)</f>
        <v>934237264.39999998</v>
      </c>
      <c r="BF122" s="48">
        <f>AD122+SUM($AM122:AR122)</f>
        <v>927367872.75</v>
      </c>
      <c r="BG122" s="48">
        <f>AE122+SUM($AM122:AS122)</f>
        <v>920498481.0999999</v>
      </c>
      <c r="BH122" s="48">
        <f>AF122+SUM($AM122:AT122)</f>
        <v>913629089.44999993</v>
      </c>
      <c r="BI122" s="48">
        <f>AG122+SUM($AM122:AU122)</f>
        <v>906759697.79999995</v>
      </c>
      <c r="BJ122" s="48">
        <f>AH122+SUM($AM122:AV122)</f>
        <v>899890306.14999998</v>
      </c>
      <c r="BK122" s="48">
        <f>AI122+SUM($AM122:AW122)</f>
        <v>893020914.5</v>
      </c>
      <c r="BL122" s="48">
        <f>AJ122+SUM($AM122:AX122)</f>
        <v>886151522.8499999</v>
      </c>
      <c r="BM122" s="48">
        <f>AK122+SUM($AM122:AY122)</f>
        <v>879282131.19999993</v>
      </c>
      <c r="BO122" s="47"/>
    </row>
    <row r="123" spans="3:67" s="41" customFormat="1" hidden="1" x14ac:dyDescent="0.3">
      <c r="C123" s="41" t="s">
        <v>1340</v>
      </c>
      <c r="D123" s="42" t="s">
        <v>341</v>
      </c>
      <c r="E123" s="42" t="str">
        <f t="shared" si="4"/>
        <v>211</v>
      </c>
      <c r="F123" s="41" t="str">
        <f>_xlfn.XLOOKUP($D123,MD_Account_Asset_Type[Nhóm tài sản],MD_Account_Asset_Type[Tên Nhóm tài sản])</f>
        <v>Máy móc, thiết bị - QL 642</v>
      </c>
      <c r="G123" s="41" t="str">
        <f>_xlfn.XLOOKUP($D123,MD_Account_Asset_Type[Nhóm tài sản],MD_Account_Asset_Type[Tên nhóm TS-Rút gọn])</f>
        <v>Máy móc thiết bị</v>
      </c>
      <c r="H123" s="41" t="str">
        <f>_xlfn.XLOOKUP($D123,MD_Account_Asset_Type[Nhóm tài sản],MD_Account_Asset_Type[Tên nhóm TS-Rút gọn-v2])</f>
        <v>Máy móc thiết bị</v>
      </c>
      <c r="I123" s="43" t="s">
        <v>1060</v>
      </c>
      <c r="J123" s="42" t="s">
        <v>615</v>
      </c>
      <c r="K123" s="41" t="s">
        <v>830</v>
      </c>
      <c r="L123" s="42" t="s">
        <v>36</v>
      </c>
      <c r="M123" s="42" t="s">
        <v>111</v>
      </c>
      <c r="N123" s="44">
        <v>0</v>
      </c>
      <c r="O123" s="44"/>
      <c r="P123" s="41" t="s">
        <v>459</v>
      </c>
      <c r="Q123" s="41" t="str">
        <f t="shared" si="5"/>
        <v>642</v>
      </c>
      <c r="R123" s="41" t="str">
        <f>_xlfn.XLOOKUP($L123,MD_Cost_Center[Mã Cost Center],MD_Cost_Center[Ngành])</f>
        <v>Chung</v>
      </c>
      <c r="S123" s="41" t="str">
        <f>_xlfn.XLOOKUP($L123,MD_Cost_Center[Mã Cost Center],MD_Cost_Center[Ngành-Tách PET-Xơ sợi])</f>
        <v>Chung</v>
      </c>
      <c r="T123" s="45">
        <v>44438</v>
      </c>
      <c r="U123" s="46">
        <v>48090</v>
      </c>
      <c r="V123" s="47">
        <v>144</v>
      </c>
      <c r="W123" s="47">
        <v>1971544318</v>
      </c>
      <c r="X123" s="47">
        <v>-12096471.538461538</v>
      </c>
      <c r="Y123" s="47">
        <v>1971544318</v>
      </c>
      <c r="Z123" s="47">
        <v>1971544318</v>
      </c>
      <c r="AA123" s="47">
        <v>1971544318</v>
      </c>
      <c r="AB123" s="47">
        <v>1971544318</v>
      </c>
      <c r="AC123" s="47">
        <v>1971544318</v>
      </c>
      <c r="AD123" s="47">
        <v>1971544318</v>
      </c>
      <c r="AE123" s="47">
        <v>1971544318</v>
      </c>
      <c r="AF123" s="47">
        <v>1971544318</v>
      </c>
      <c r="AG123" s="47">
        <v>1971544318</v>
      </c>
      <c r="AH123" s="47">
        <v>1971544318</v>
      </c>
      <c r="AI123" s="47">
        <v>1971544318</v>
      </c>
      <c r="AJ123" s="47">
        <v>1971544318</v>
      </c>
      <c r="AK123" s="47">
        <v>1971544318</v>
      </c>
      <c r="AL123" s="47">
        <v>-197154432</v>
      </c>
      <c r="AM123" s="47">
        <v>-870765408</v>
      </c>
      <c r="AN123" s="47">
        <v>-12096471.538461538</v>
      </c>
      <c r="AO123" s="47">
        <v>-12096471.538461538</v>
      </c>
      <c r="AP123" s="47">
        <v>-12096471.538461538</v>
      </c>
      <c r="AQ123" s="47">
        <v>-12096471.538461538</v>
      </c>
      <c r="AR123" s="47">
        <v>-12096471.538461538</v>
      </c>
      <c r="AS123" s="47">
        <v>-12096471.538461538</v>
      </c>
      <c r="AT123" s="47">
        <v>-12096471.538461538</v>
      </c>
      <c r="AU123" s="47">
        <v>-12096471.538461538</v>
      </c>
      <c r="AV123" s="47">
        <v>-12096471.538461538</v>
      </c>
      <c r="AW123" s="47">
        <v>-12096471.538461538</v>
      </c>
      <c r="AX123" s="47">
        <v>-12096471.538461538</v>
      </c>
      <c r="AY123" s="47">
        <v>-12096471.538461538</v>
      </c>
      <c r="AZ123" s="58">
        <f t="shared" si="6"/>
        <v>-145157658.46153846</v>
      </c>
      <c r="BA123" s="47">
        <f>Y123+SUM($AM123:AM123)</f>
        <v>1100778910</v>
      </c>
      <c r="BB123" s="48">
        <f>Z123+SUM($AM123:AN123)</f>
        <v>1088682438.4615383</v>
      </c>
      <c r="BC123" s="48">
        <f>AA123+SUM($AM123:AO123)</f>
        <v>1076585966.9230769</v>
      </c>
      <c r="BD123" s="48">
        <f>AB123+SUM($AM123:AP123)</f>
        <v>1064489495.3846153</v>
      </c>
      <c r="BE123" s="48">
        <f>AC123+SUM($AM123:AQ123)</f>
        <v>1052393023.8461537</v>
      </c>
      <c r="BF123" s="48">
        <f>AD123+SUM($AM123:AR123)</f>
        <v>1040296552.3076922</v>
      </c>
      <c r="BG123" s="48">
        <f>AE123+SUM($AM123:AS123)</f>
        <v>1028200080.7692306</v>
      </c>
      <c r="BH123" s="48">
        <f>AF123+SUM($AM123:AT123)</f>
        <v>1016103609.230769</v>
      </c>
      <c r="BI123" s="48">
        <f>AG123+SUM($AM123:AU123)</f>
        <v>1004007137.6923075</v>
      </c>
      <c r="BJ123" s="48">
        <f>AH123+SUM($AM123:AV123)</f>
        <v>991910666.15384591</v>
      </c>
      <c r="BK123" s="48">
        <f>AI123+SUM($AM123:AW123)</f>
        <v>979814194.61538434</v>
      </c>
      <c r="BL123" s="48">
        <f>AJ123+SUM($AM123:AX123)</f>
        <v>967717723.07692277</v>
      </c>
      <c r="BM123" s="48">
        <f>AK123+SUM($AM123:AY123)</f>
        <v>955621251.53846121</v>
      </c>
      <c r="BO123" s="47"/>
    </row>
    <row r="124" spans="3:67" s="41" customFormat="1" hidden="1" x14ac:dyDescent="0.3">
      <c r="C124" s="41" t="s">
        <v>1340</v>
      </c>
      <c r="D124" s="42" t="s">
        <v>341</v>
      </c>
      <c r="E124" s="42" t="str">
        <f t="shared" si="4"/>
        <v>211</v>
      </c>
      <c r="F124" s="41" t="str">
        <f>_xlfn.XLOOKUP($D124,MD_Account_Asset_Type[Nhóm tài sản],MD_Account_Asset_Type[Tên Nhóm tài sản])</f>
        <v>Máy móc, thiết bị - QL 642</v>
      </c>
      <c r="G124" s="41" t="str">
        <f>_xlfn.XLOOKUP($D124,MD_Account_Asset_Type[Nhóm tài sản],MD_Account_Asset_Type[Tên nhóm TS-Rút gọn])</f>
        <v>Máy móc thiết bị</v>
      </c>
      <c r="H124" s="41" t="str">
        <f>_xlfn.XLOOKUP($D124,MD_Account_Asset_Type[Nhóm tài sản],MD_Account_Asset_Type[Tên nhóm TS-Rút gọn-v2])</f>
        <v>Máy móc thiết bị</v>
      </c>
      <c r="I124" s="43" t="s">
        <v>1061</v>
      </c>
      <c r="J124" s="42" t="s">
        <v>616</v>
      </c>
      <c r="K124" s="41" t="s">
        <v>830</v>
      </c>
      <c r="L124" s="42" t="s">
        <v>34</v>
      </c>
      <c r="M124" s="42" t="s">
        <v>109</v>
      </c>
      <c r="N124" s="44">
        <v>0</v>
      </c>
      <c r="O124" s="44"/>
      <c r="P124" s="41" t="s">
        <v>459</v>
      </c>
      <c r="Q124" s="41" t="str">
        <f t="shared" si="5"/>
        <v>642</v>
      </c>
      <c r="R124" s="41" t="str">
        <f>_xlfn.XLOOKUP($L124,MD_Cost_Center[Mã Cost Center],MD_Cost_Center[Ngành])</f>
        <v>Chung</v>
      </c>
      <c r="S124" s="41" t="str">
        <f>_xlfn.XLOOKUP($L124,MD_Cost_Center[Mã Cost Center],MD_Cost_Center[Ngành-Tách PET-Xơ sợi])</f>
        <v>Chung</v>
      </c>
      <c r="T124" s="45">
        <v>44835</v>
      </c>
      <c r="U124" s="46">
        <v>46661</v>
      </c>
      <c r="V124" s="47">
        <v>144</v>
      </c>
      <c r="W124" s="47">
        <v>205226319</v>
      </c>
      <c r="X124" s="47">
        <v>-684087.72380952386</v>
      </c>
      <c r="Y124" s="47">
        <v>205226319</v>
      </c>
      <c r="Z124" s="47">
        <v>205226319</v>
      </c>
      <c r="AA124" s="47">
        <v>205226319</v>
      </c>
      <c r="AB124" s="47">
        <v>205226319</v>
      </c>
      <c r="AC124" s="47">
        <v>205226319</v>
      </c>
      <c r="AD124" s="47">
        <v>205226319</v>
      </c>
      <c r="AE124" s="47">
        <v>205226319</v>
      </c>
      <c r="AF124" s="47">
        <v>205226319</v>
      </c>
      <c r="AG124" s="47">
        <v>205226319</v>
      </c>
      <c r="AH124" s="47">
        <v>205226319</v>
      </c>
      <c r="AI124" s="47">
        <v>205226319</v>
      </c>
      <c r="AJ124" s="47">
        <v>205226319</v>
      </c>
      <c r="AK124" s="47">
        <v>205226319</v>
      </c>
      <c r="AL124" s="47">
        <v>-41045264</v>
      </c>
      <c r="AM124" s="47">
        <v>-133397108</v>
      </c>
      <c r="AN124" s="47">
        <v>-684087.72380952386</v>
      </c>
      <c r="AO124" s="47">
        <v>-684087.72380952386</v>
      </c>
      <c r="AP124" s="47">
        <v>-684087.72380952386</v>
      </c>
      <c r="AQ124" s="47">
        <v>-684087.72380952386</v>
      </c>
      <c r="AR124" s="47">
        <v>-684087.72380952386</v>
      </c>
      <c r="AS124" s="47">
        <v>-684087.72380952386</v>
      </c>
      <c r="AT124" s="47">
        <v>-684087.72380952386</v>
      </c>
      <c r="AU124" s="47">
        <v>-684087.72380952386</v>
      </c>
      <c r="AV124" s="47">
        <v>-684087.72380952386</v>
      </c>
      <c r="AW124" s="47">
        <v>-684087.72380952386</v>
      </c>
      <c r="AX124" s="47">
        <v>-684087.72380952386</v>
      </c>
      <c r="AY124" s="47">
        <v>-684087.72380952386</v>
      </c>
      <c r="AZ124" s="58">
        <f t="shared" si="6"/>
        <v>-8209052.6857142849</v>
      </c>
      <c r="BA124" s="47">
        <f>Y124+SUM($AM124:AM124)</f>
        <v>71829211</v>
      </c>
      <c r="BB124" s="48">
        <f>Z124+SUM($AM124:AN124)</f>
        <v>71145123.276190475</v>
      </c>
      <c r="BC124" s="48">
        <f>AA124+SUM($AM124:AO124)</f>
        <v>70461035.552380949</v>
      </c>
      <c r="BD124" s="48">
        <f>AB124+SUM($AM124:AP124)</f>
        <v>69776947.828571439</v>
      </c>
      <c r="BE124" s="48">
        <f>AC124+SUM($AM124:AQ124)</f>
        <v>69092860.104761928</v>
      </c>
      <c r="BF124" s="48">
        <f>AD124+SUM($AM124:AR124)</f>
        <v>68408772.380952418</v>
      </c>
      <c r="BG124" s="48">
        <f>AE124+SUM($AM124:AS124)</f>
        <v>67724684.657142907</v>
      </c>
      <c r="BH124" s="48">
        <f>AF124+SUM($AM124:AT124)</f>
        <v>67040596.933333397</v>
      </c>
      <c r="BI124" s="48">
        <f>AG124+SUM($AM124:AU124)</f>
        <v>66356509.209523886</v>
      </c>
      <c r="BJ124" s="48">
        <f>AH124+SUM($AM124:AV124)</f>
        <v>65672421.485714376</v>
      </c>
      <c r="BK124" s="48">
        <f>AI124+SUM($AM124:AW124)</f>
        <v>64988333.761904866</v>
      </c>
      <c r="BL124" s="48">
        <f>AJ124+SUM($AM124:AX124)</f>
        <v>64304246.038095355</v>
      </c>
      <c r="BM124" s="48">
        <f>AK124+SUM($AM124:AY124)</f>
        <v>63620158.314285845</v>
      </c>
      <c r="BO124" s="47"/>
    </row>
    <row r="125" spans="3:67" s="41" customFormat="1" hidden="1" x14ac:dyDescent="0.3">
      <c r="C125" s="41" t="s">
        <v>1340</v>
      </c>
      <c r="D125" s="42" t="s">
        <v>341</v>
      </c>
      <c r="E125" s="42" t="str">
        <f t="shared" si="4"/>
        <v>211</v>
      </c>
      <c r="F125" s="41" t="str">
        <f>_xlfn.XLOOKUP($D125,MD_Account_Asset_Type[Nhóm tài sản],MD_Account_Asset_Type[Tên Nhóm tài sản])</f>
        <v>Máy móc, thiết bị - QL 642</v>
      </c>
      <c r="G125" s="41" t="str">
        <f>_xlfn.XLOOKUP($D125,MD_Account_Asset_Type[Nhóm tài sản],MD_Account_Asset_Type[Tên nhóm TS-Rút gọn])</f>
        <v>Máy móc thiết bị</v>
      </c>
      <c r="H125" s="41" t="str">
        <f>_xlfn.XLOOKUP($D125,MD_Account_Asset_Type[Nhóm tài sản],MD_Account_Asset_Type[Tên nhóm TS-Rút gọn-v2])</f>
        <v>Máy móc thiết bị</v>
      </c>
      <c r="I125" s="43" t="s">
        <v>1062</v>
      </c>
      <c r="J125" s="42" t="s">
        <v>617</v>
      </c>
      <c r="K125" s="41" t="s">
        <v>830</v>
      </c>
      <c r="L125" s="42" t="s">
        <v>36</v>
      </c>
      <c r="M125" s="42" t="s">
        <v>111</v>
      </c>
      <c r="N125" s="44">
        <v>0</v>
      </c>
      <c r="O125" s="44"/>
      <c r="P125" s="41" t="s">
        <v>459</v>
      </c>
      <c r="Q125" s="41" t="str">
        <f t="shared" si="5"/>
        <v>642</v>
      </c>
      <c r="R125" s="41" t="str">
        <f>_xlfn.XLOOKUP($L125,MD_Cost_Center[Mã Cost Center],MD_Cost_Center[Ngành])</f>
        <v>Chung</v>
      </c>
      <c r="S125" s="41" t="str">
        <f>_xlfn.XLOOKUP($L125,MD_Cost_Center[Mã Cost Center],MD_Cost_Center[Ngành-Tách PET-Xơ sợi])</f>
        <v>Chung</v>
      </c>
      <c r="T125" s="45">
        <v>44986</v>
      </c>
      <c r="U125" s="46">
        <v>46082</v>
      </c>
      <c r="V125" s="47">
        <v>144</v>
      </c>
      <c r="W125" s="47">
        <v>296505989</v>
      </c>
      <c r="X125" s="47">
        <v>-149750.5</v>
      </c>
      <c r="Y125" s="47">
        <v>296505989</v>
      </c>
      <c r="Z125" s="47">
        <v>296505989</v>
      </c>
      <c r="AA125" s="47">
        <v>296505989</v>
      </c>
      <c r="AB125" s="47">
        <v>296505989</v>
      </c>
      <c r="AC125" s="47">
        <v>296505989</v>
      </c>
      <c r="AD125" s="47">
        <v>296505989</v>
      </c>
      <c r="AE125" s="47">
        <v>296505989</v>
      </c>
      <c r="AF125" s="47">
        <v>296505989</v>
      </c>
      <c r="AG125" s="47">
        <v>296505989</v>
      </c>
      <c r="AH125" s="47">
        <v>296505989</v>
      </c>
      <c r="AI125" s="47">
        <v>296505989</v>
      </c>
      <c r="AJ125" s="47">
        <v>296505989</v>
      </c>
      <c r="AK125" s="47">
        <v>296505989</v>
      </c>
      <c r="AL125" s="47">
        <v>-98835329</v>
      </c>
      <c r="AM125" s="47">
        <v>-280033434</v>
      </c>
      <c r="AN125" s="47">
        <v>-149750.5</v>
      </c>
      <c r="AO125" s="47">
        <v>-149750.5</v>
      </c>
      <c r="AP125" s="47">
        <v>-149750.5</v>
      </c>
      <c r="AQ125" s="47">
        <v>-149750.5</v>
      </c>
      <c r="AR125" s="47">
        <v>-149750.5</v>
      </c>
      <c r="AS125" s="47">
        <v>-149750.5</v>
      </c>
      <c r="AT125" s="47">
        <v>-149750.5</v>
      </c>
      <c r="AU125" s="47">
        <v>-149750.5</v>
      </c>
      <c r="AV125" s="47">
        <v>-149750.5</v>
      </c>
      <c r="AW125" s="47">
        <v>-149750.5</v>
      </c>
      <c r="AX125" s="47">
        <v>-149750.5</v>
      </c>
      <c r="AY125" s="47">
        <v>-149750.5</v>
      </c>
      <c r="AZ125" s="58">
        <f t="shared" si="6"/>
        <v>-1797006</v>
      </c>
      <c r="BA125" s="47">
        <f>Y125+SUM($AM125:AM125)</f>
        <v>16472555</v>
      </c>
      <c r="BB125" s="48">
        <f>Z125+SUM($AM125:AN125)</f>
        <v>16322804.5</v>
      </c>
      <c r="BC125" s="48">
        <f>AA125+SUM($AM125:AO125)</f>
        <v>16173054</v>
      </c>
      <c r="BD125" s="48">
        <f>AB125+SUM($AM125:AP125)</f>
        <v>16023303.5</v>
      </c>
      <c r="BE125" s="48">
        <f>AC125+SUM($AM125:AQ125)</f>
        <v>15873553</v>
      </c>
      <c r="BF125" s="48">
        <f>AD125+SUM($AM125:AR125)</f>
        <v>15723802.5</v>
      </c>
      <c r="BG125" s="48">
        <f>AE125+SUM($AM125:AS125)</f>
        <v>15574052</v>
      </c>
      <c r="BH125" s="48">
        <f>AF125+SUM($AM125:AT125)</f>
        <v>15424301.5</v>
      </c>
      <c r="BI125" s="48">
        <f>AG125+SUM($AM125:AU125)</f>
        <v>15274551</v>
      </c>
      <c r="BJ125" s="48">
        <f>AH125+SUM($AM125:AV125)</f>
        <v>15124800.5</v>
      </c>
      <c r="BK125" s="48">
        <f>AI125+SUM($AM125:AW125)</f>
        <v>14975050</v>
      </c>
      <c r="BL125" s="48">
        <f>AJ125+SUM($AM125:AX125)</f>
        <v>14825299.5</v>
      </c>
      <c r="BM125" s="48">
        <f>AK125+SUM($AM125:AY125)</f>
        <v>14675549</v>
      </c>
      <c r="BO125" s="47"/>
    </row>
    <row r="126" spans="3:67" s="41" customFormat="1" hidden="1" x14ac:dyDescent="0.3">
      <c r="C126" s="41" t="s">
        <v>1340</v>
      </c>
      <c r="D126" s="42" t="s">
        <v>341</v>
      </c>
      <c r="E126" s="42" t="str">
        <f t="shared" si="4"/>
        <v>211</v>
      </c>
      <c r="F126" s="41" t="str">
        <f>_xlfn.XLOOKUP($D126,MD_Account_Asset_Type[Nhóm tài sản],MD_Account_Asset_Type[Tên Nhóm tài sản])</f>
        <v>Máy móc, thiết bị - QL 642</v>
      </c>
      <c r="G126" s="41" t="str">
        <f>_xlfn.XLOOKUP($D126,MD_Account_Asset_Type[Nhóm tài sản],MD_Account_Asset_Type[Tên nhóm TS-Rút gọn])</f>
        <v>Máy móc thiết bị</v>
      </c>
      <c r="H126" s="41" t="str">
        <f>_xlfn.XLOOKUP($D126,MD_Account_Asset_Type[Nhóm tài sản],MD_Account_Asset_Type[Tên nhóm TS-Rút gọn-v2])</f>
        <v>Máy móc thiết bị</v>
      </c>
      <c r="I126" s="43" t="s">
        <v>1063</v>
      </c>
      <c r="J126" s="42" t="s">
        <v>618</v>
      </c>
      <c r="K126" s="41" t="s">
        <v>830</v>
      </c>
      <c r="L126" s="42" t="s">
        <v>36</v>
      </c>
      <c r="M126" s="42" t="s">
        <v>111</v>
      </c>
      <c r="N126" s="44">
        <v>0</v>
      </c>
      <c r="O126" s="44"/>
      <c r="P126" s="41" t="s">
        <v>459</v>
      </c>
      <c r="Q126" s="41" t="str">
        <f t="shared" si="5"/>
        <v>642</v>
      </c>
      <c r="R126" s="41" t="str">
        <f>_xlfn.XLOOKUP($L126,MD_Cost_Center[Mã Cost Center],MD_Cost_Center[Ngành])</f>
        <v>Chung</v>
      </c>
      <c r="S126" s="41" t="str">
        <f>_xlfn.XLOOKUP($L126,MD_Cost_Center[Mã Cost Center],MD_Cost_Center[Ngành-Tách PET-Xơ sợi])</f>
        <v>Chung</v>
      </c>
      <c r="T126" s="45">
        <v>45078</v>
      </c>
      <c r="U126" s="46">
        <v>46539</v>
      </c>
      <c r="V126" s="47">
        <v>144</v>
      </c>
      <c r="W126" s="47">
        <v>85559000</v>
      </c>
      <c r="X126" s="47">
        <v>-268160.58407079644</v>
      </c>
      <c r="Y126" s="47">
        <v>85559000</v>
      </c>
      <c r="Z126" s="47">
        <v>85559000</v>
      </c>
      <c r="AA126" s="47">
        <v>85559000</v>
      </c>
      <c r="AB126" s="47">
        <v>85559000</v>
      </c>
      <c r="AC126" s="47">
        <v>85559000</v>
      </c>
      <c r="AD126" s="47">
        <v>85559000</v>
      </c>
      <c r="AE126" s="47">
        <v>85559000</v>
      </c>
      <c r="AF126" s="47">
        <v>85559000</v>
      </c>
      <c r="AG126" s="47">
        <v>85559000</v>
      </c>
      <c r="AH126" s="47">
        <v>85559000</v>
      </c>
      <c r="AI126" s="47">
        <v>85559000</v>
      </c>
      <c r="AJ126" s="47">
        <v>85559000</v>
      </c>
      <c r="AK126" s="47">
        <v>85559000</v>
      </c>
      <c r="AL126" s="47">
        <v>-21389750</v>
      </c>
      <c r="AM126" s="47">
        <v>-55256854</v>
      </c>
      <c r="AN126" s="47">
        <v>-268160.58407079644</v>
      </c>
      <c r="AO126" s="47">
        <v>-268160.58407079644</v>
      </c>
      <c r="AP126" s="47">
        <v>-268160.58407079644</v>
      </c>
      <c r="AQ126" s="47">
        <v>-268160.58407079644</v>
      </c>
      <c r="AR126" s="47">
        <v>-268160.58407079644</v>
      </c>
      <c r="AS126" s="47">
        <v>-268160.58407079644</v>
      </c>
      <c r="AT126" s="47">
        <v>-268160.58407079644</v>
      </c>
      <c r="AU126" s="47">
        <v>-268160.58407079644</v>
      </c>
      <c r="AV126" s="47">
        <v>-268160.58407079644</v>
      </c>
      <c r="AW126" s="47">
        <v>-268160.58407079644</v>
      </c>
      <c r="AX126" s="47">
        <v>-268160.58407079644</v>
      </c>
      <c r="AY126" s="47">
        <v>-268160.58407079644</v>
      </c>
      <c r="AZ126" s="58">
        <f t="shared" si="6"/>
        <v>-3217927.008849558</v>
      </c>
      <c r="BA126" s="47">
        <f>Y126+SUM($AM126:AM126)</f>
        <v>30302146</v>
      </c>
      <c r="BB126" s="48">
        <f>Z126+SUM($AM126:AN126)</f>
        <v>30033985.415929206</v>
      </c>
      <c r="BC126" s="48">
        <f>AA126+SUM($AM126:AO126)</f>
        <v>29765824.831858411</v>
      </c>
      <c r="BD126" s="48">
        <f>AB126+SUM($AM126:AP126)</f>
        <v>29497664.247787617</v>
      </c>
      <c r="BE126" s="48">
        <f>AC126+SUM($AM126:AQ126)</f>
        <v>29229503.663716823</v>
      </c>
      <c r="BF126" s="48">
        <f>AD126+SUM($AM126:AR126)</f>
        <v>28961343.079646029</v>
      </c>
      <c r="BG126" s="48">
        <f>AE126+SUM($AM126:AS126)</f>
        <v>28693182.495575234</v>
      </c>
      <c r="BH126" s="48">
        <f>AF126+SUM($AM126:AT126)</f>
        <v>28425021.91150444</v>
      </c>
      <c r="BI126" s="48">
        <f>AG126+SUM($AM126:AU126)</f>
        <v>28156861.327433646</v>
      </c>
      <c r="BJ126" s="48">
        <f>AH126+SUM($AM126:AV126)</f>
        <v>27888700.743362851</v>
      </c>
      <c r="BK126" s="48">
        <f>AI126+SUM($AM126:AW126)</f>
        <v>27620540.159292057</v>
      </c>
      <c r="BL126" s="48">
        <f>AJ126+SUM($AM126:AX126)</f>
        <v>27352379.575221263</v>
      </c>
      <c r="BM126" s="48">
        <f>AK126+SUM($AM126:AY126)</f>
        <v>27084218.991150469</v>
      </c>
      <c r="BO126" s="47"/>
    </row>
    <row r="127" spans="3:67" s="41" customFormat="1" hidden="1" x14ac:dyDescent="0.3">
      <c r="C127" s="41" t="s">
        <v>1340</v>
      </c>
      <c r="D127" s="42" t="s">
        <v>341</v>
      </c>
      <c r="E127" s="42" t="str">
        <f t="shared" si="4"/>
        <v>211</v>
      </c>
      <c r="F127" s="41" t="str">
        <f>_xlfn.XLOOKUP($D127,MD_Account_Asset_Type[Nhóm tài sản],MD_Account_Asset_Type[Tên Nhóm tài sản])</f>
        <v>Máy móc, thiết bị - QL 642</v>
      </c>
      <c r="G127" s="41" t="str">
        <f>_xlfn.XLOOKUP($D127,MD_Account_Asset_Type[Nhóm tài sản],MD_Account_Asset_Type[Tên nhóm TS-Rút gọn])</f>
        <v>Máy móc thiết bị</v>
      </c>
      <c r="H127" s="41" t="str">
        <f>_xlfn.XLOOKUP($D127,MD_Account_Asset_Type[Nhóm tài sản],MD_Account_Asset_Type[Tên nhóm TS-Rút gọn-v2])</f>
        <v>Máy móc thiết bị</v>
      </c>
      <c r="I127" s="43" t="s">
        <v>1064</v>
      </c>
      <c r="J127" s="42" t="s">
        <v>619</v>
      </c>
      <c r="K127" s="41" t="s">
        <v>830</v>
      </c>
      <c r="L127" s="42" t="s">
        <v>36</v>
      </c>
      <c r="M127" s="42" t="s">
        <v>111</v>
      </c>
      <c r="N127" s="44">
        <v>0</v>
      </c>
      <c r="O127" s="44"/>
      <c r="P127" s="41" t="s">
        <v>459</v>
      </c>
      <c r="Q127" s="41" t="str">
        <f t="shared" si="5"/>
        <v>642</v>
      </c>
      <c r="R127" s="41" t="str">
        <f>_xlfn.XLOOKUP($L127,MD_Cost_Center[Mã Cost Center],MD_Cost_Center[Ngành])</f>
        <v>Chung</v>
      </c>
      <c r="S127" s="41" t="str">
        <f>_xlfn.XLOOKUP($L127,MD_Cost_Center[Mã Cost Center],MD_Cost_Center[Ngành-Tách PET-Xơ sợi])</f>
        <v>Chung</v>
      </c>
      <c r="T127" s="45">
        <v>45078</v>
      </c>
      <c r="U127" s="46">
        <v>46539</v>
      </c>
      <c r="V127" s="47">
        <v>144</v>
      </c>
      <c r="W127" s="47">
        <v>85559000</v>
      </c>
      <c r="X127" s="47">
        <v>-268160.58407079644</v>
      </c>
      <c r="Y127" s="47">
        <v>85559000</v>
      </c>
      <c r="Z127" s="47">
        <v>85559000</v>
      </c>
      <c r="AA127" s="47">
        <v>85559000</v>
      </c>
      <c r="AB127" s="47">
        <v>85559000</v>
      </c>
      <c r="AC127" s="47">
        <v>85559000</v>
      </c>
      <c r="AD127" s="47">
        <v>85559000</v>
      </c>
      <c r="AE127" s="47">
        <v>85559000</v>
      </c>
      <c r="AF127" s="47">
        <v>85559000</v>
      </c>
      <c r="AG127" s="47">
        <v>85559000</v>
      </c>
      <c r="AH127" s="47">
        <v>85559000</v>
      </c>
      <c r="AI127" s="47">
        <v>85559000</v>
      </c>
      <c r="AJ127" s="47">
        <v>85559000</v>
      </c>
      <c r="AK127" s="47">
        <v>85559000</v>
      </c>
      <c r="AL127" s="47">
        <v>-21389750</v>
      </c>
      <c r="AM127" s="47">
        <v>-55256854</v>
      </c>
      <c r="AN127" s="47">
        <v>-268160.58407079644</v>
      </c>
      <c r="AO127" s="47">
        <v>-268160.58407079644</v>
      </c>
      <c r="AP127" s="47">
        <v>-268160.58407079644</v>
      </c>
      <c r="AQ127" s="47">
        <v>-268160.58407079644</v>
      </c>
      <c r="AR127" s="47">
        <v>-268160.58407079644</v>
      </c>
      <c r="AS127" s="47">
        <v>-268160.58407079644</v>
      </c>
      <c r="AT127" s="47">
        <v>-268160.58407079644</v>
      </c>
      <c r="AU127" s="47">
        <v>-268160.58407079644</v>
      </c>
      <c r="AV127" s="47">
        <v>-268160.58407079644</v>
      </c>
      <c r="AW127" s="47">
        <v>-268160.58407079644</v>
      </c>
      <c r="AX127" s="47">
        <v>-268160.58407079644</v>
      </c>
      <c r="AY127" s="47">
        <v>-268160.58407079644</v>
      </c>
      <c r="AZ127" s="58">
        <f t="shared" si="6"/>
        <v>-3217927.008849558</v>
      </c>
      <c r="BA127" s="47">
        <f>Y127+SUM($AM127:AM127)</f>
        <v>30302146</v>
      </c>
      <c r="BB127" s="48">
        <f>Z127+SUM($AM127:AN127)</f>
        <v>30033985.415929206</v>
      </c>
      <c r="BC127" s="48">
        <f>AA127+SUM($AM127:AO127)</f>
        <v>29765824.831858411</v>
      </c>
      <c r="BD127" s="48">
        <f>AB127+SUM($AM127:AP127)</f>
        <v>29497664.247787617</v>
      </c>
      <c r="BE127" s="48">
        <f>AC127+SUM($AM127:AQ127)</f>
        <v>29229503.663716823</v>
      </c>
      <c r="BF127" s="48">
        <f>AD127+SUM($AM127:AR127)</f>
        <v>28961343.079646029</v>
      </c>
      <c r="BG127" s="48">
        <f>AE127+SUM($AM127:AS127)</f>
        <v>28693182.495575234</v>
      </c>
      <c r="BH127" s="48">
        <f>AF127+SUM($AM127:AT127)</f>
        <v>28425021.91150444</v>
      </c>
      <c r="BI127" s="48">
        <f>AG127+SUM($AM127:AU127)</f>
        <v>28156861.327433646</v>
      </c>
      <c r="BJ127" s="48">
        <f>AH127+SUM($AM127:AV127)</f>
        <v>27888700.743362851</v>
      </c>
      <c r="BK127" s="48">
        <f>AI127+SUM($AM127:AW127)</f>
        <v>27620540.159292057</v>
      </c>
      <c r="BL127" s="48">
        <f>AJ127+SUM($AM127:AX127)</f>
        <v>27352379.575221263</v>
      </c>
      <c r="BM127" s="48">
        <f>AK127+SUM($AM127:AY127)</f>
        <v>27084218.991150469</v>
      </c>
      <c r="BO127" s="47"/>
    </row>
    <row r="128" spans="3:67" s="41" customFormat="1" hidden="1" x14ac:dyDescent="0.3">
      <c r="C128" s="41" t="s">
        <v>1340</v>
      </c>
      <c r="D128" s="42" t="s">
        <v>341</v>
      </c>
      <c r="E128" s="42" t="str">
        <f t="shared" si="4"/>
        <v>211</v>
      </c>
      <c r="F128" s="41" t="str">
        <f>_xlfn.XLOOKUP($D128,MD_Account_Asset_Type[Nhóm tài sản],MD_Account_Asset_Type[Tên Nhóm tài sản])</f>
        <v>Máy móc, thiết bị - QL 642</v>
      </c>
      <c r="G128" s="41" t="str">
        <f>_xlfn.XLOOKUP($D128,MD_Account_Asset_Type[Nhóm tài sản],MD_Account_Asset_Type[Tên nhóm TS-Rút gọn])</f>
        <v>Máy móc thiết bị</v>
      </c>
      <c r="H128" s="41" t="str">
        <f>_xlfn.XLOOKUP($D128,MD_Account_Asset_Type[Nhóm tài sản],MD_Account_Asset_Type[Tên nhóm TS-Rút gọn-v2])</f>
        <v>Máy móc thiết bị</v>
      </c>
      <c r="I128" s="43" t="s">
        <v>1065</v>
      </c>
      <c r="J128" s="42" t="s">
        <v>620</v>
      </c>
      <c r="K128" s="41" t="s">
        <v>502</v>
      </c>
      <c r="L128" s="42" t="s">
        <v>36</v>
      </c>
      <c r="M128" s="42" t="s">
        <v>111</v>
      </c>
      <c r="N128" s="44">
        <v>0</v>
      </c>
      <c r="O128" s="44"/>
      <c r="P128" s="41" t="s">
        <v>459</v>
      </c>
      <c r="Q128" s="41" t="str">
        <f t="shared" si="5"/>
        <v>642</v>
      </c>
      <c r="R128" s="41" t="str">
        <f>_xlfn.XLOOKUP($L128,MD_Cost_Center[Mã Cost Center],MD_Cost_Center[Ngành])</f>
        <v>Chung</v>
      </c>
      <c r="S128" s="41" t="str">
        <f>_xlfn.XLOOKUP($L128,MD_Cost_Center[Mã Cost Center],MD_Cost_Center[Ngành-Tách PET-Xơ sợi])</f>
        <v>Chung</v>
      </c>
      <c r="T128" s="45">
        <v>45170</v>
      </c>
      <c r="U128" s="46">
        <v>46997</v>
      </c>
      <c r="V128" s="47">
        <v>144</v>
      </c>
      <c r="W128" s="47">
        <v>267417833</v>
      </c>
      <c r="X128" s="47">
        <v>-1229507.2758620689</v>
      </c>
      <c r="Y128" s="47">
        <v>267417833</v>
      </c>
      <c r="Z128" s="47">
        <v>267417833</v>
      </c>
      <c r="AA128" s="47">
        <v>267417833</v>
      </c>
      <c r="AB128" s="47">
        <v>267417833</v>
      </c>
      <c r="AC128" s="47">
        <v>267417833</v>
      </c>
      <c r="AD128" s="47">
        <v>267417833</v>
      </c>
      <c r="AE128" s="47">
        <v>267417833</v>
      </c>
      <c r="AF128" s="47">
        <v>267417833</v>
      </c>
      <c r="AG128" s="47">
        <v>267417833</v>
      </c>
      <c r="AH128" s="47">
        <v>267417833</v>
      </c>
      <c r="AI128" s="47">
        <v>267417833</v>
      </c>
      <c r="AJ128" s="47">
        <v>267417833</v>
      </c>
      <c r="AK128" s="47">
        <v>267417833</v>
      </c>
      <c r="AL128" s="47">
        <v>-53483566</v>
      </c>
      <c r="AM128" s="47">
        <v>-124794989</v>
      </c>
      <c r="AN128" s="47">
        <v>-1229507.2758620689</v>
      </c>
      <c r="AO128" s="47">
        <v>-1229507.2758620689</v>
      </c>
      <c r="AP128" s="47">
        <v>-1229507.2758620689</v>
      </c>
      <c r="AQ128" s="47">
        <v>-1229507.2758620689</v>
      </c>
      <c r="AR128" s="47">
        <v>-1229507.2758620689</v>
      </c>
      <c r="AS128" s="47">
        <v>-1229507.2758620689</v>
      </c>
      <c r="AT128" s="47">
        <v>-1229507.2758620689</v>
      </c>
      <c r="AU128" s="47">
        <v>-1229507.2758620689</v>
      </c>
      <c r="AV128" s="47">
        <v>-1229507.2758620689</v>
      </c>
      <c r="AW128" s="47">
        <v>-1229507.2758620689</v>
      </c>
      <c r="AX128" s="47">
        <v>-1229507.2758620689</v>
      </c>
      <c r="AY128" s="47">
        <v>-1229507.2758620689</v>
      </c>
      <c r="AZ128" s="58">
        <f t="shared" si="6"/>
        <v>-14754087.310344823</v>
      </c>
      <c r="BA128" s="47">
        <f>Y128+SUM($AM128:AM128)</f>
        <v>142622844</v>
      </c>
      <c r="BB128" s="48">
        <f>Z128+SUM($AM128:AN128)</f>
        <v>141393336.72413793</v>
      </c>
      <c r="BC128" s="48">
        <f>AA128+SUM($AM128:AO128)</f>
        <v>140163829.44827586</v>
      </c>
      <c r="BD128" s="48">
        <f>AB128+SUM($AM128:AP128)</f>
        <v>138934322.1724138</v>
      </c>
      <c r="BE128" s="48">
        <f>AC128+SUM($AM128:AQ128)</f>
        <v>137704814.89655173</v>
      </c>
      <c r="BF128" s="48">
        <f>AD128+SUM($AM128:AR128)</f>
        <v>136475307.62068966</v>
      </c>
      <c r="BG128" s="48">
        <f>AE128+SUM($AM128:AS128)</f>
        <v>135245800.34482759</v>
      </c>
      <c r="BH128" s="48">
        <f>AF128+SUM($AM128:AT128)</f>
        <v>134016293.06896552</v>
      </c>
      <c r="BI128" s="48">
        <f>AG128+SUM($AM128:AU128)</f>
        <v>132786785.79310346</v>
      </c>
      <c r="BJ128" s="48">
        <f>AH128+SUM($AM128:AV128)</f>
        <v>131557278.51724139</v>
      </c>
      <c r="BK128" s="48">
        <f>AI128+SUM($AM128:AW128)</f>
        <v>130327771.24137932</v>
      </c>
      <c r="BL128" s="48">
        <f>AJ128+SUM($AM128:AX128)</f>
        <v>129098263.96551725</v>
      </c>
      <c r="BM128" s="48">
        <f>AK128+SUM($AM128:AY128)</f>
        <v>127868756.68965518</v>
      </c>
      <c r="BO128" s="47"/>
    </row>
    <row r="129" spans="3:67" s="41" customFormat="1" hidden="1" x14ac:dyDescent="0.3">
      <c r="C129" s="41" t="s">
        <v>1340</v>
      </c>
      <c r="D129" s="42" t="s">
        <v>338</v>
      </c>
      <c r="E129" s="42" t="str">
        <f t="shared" si="4"/>
        <v>211</v>
      </c>
      <c r="F129" s="41" t="str">
        <f>_xlfn.XLOOKUP($D129,MD_Account_Asset_Type[Nhóm tài sản],MD_Account_Asset_Type[Tên Nhóm tài sản])</f>
        <v>Máy móc, thiết bị - SX 627</v>
      </c>
      <c r="G129" s="41" t="str">
        <f>_xlfn.XLOOKUP($D129,MD_Account_Asset_Type[Nhóm tài sản],MD_Account_Asset_Type[Tên nhóm TS-Rút gọn])</f>
        <v>Máy móc thiết bị</v>
      </c>
      <c r="H129" s="41" t="str">
        <f>_xlfn.XLOOKUP($D129,MD_Account_Asset_Type[Nhóm tài sản],MD_Account_Asset_Type[Tên nhóm TS-Rút gọn-v2])</f>
        <v>Máy móc thiết bị</v>
      </c>
      <c r="I129" s="43" t="s">
        <v>847</v>
      </c>
      <c r="J129" s="42" t="s">
        <v>621</v>
      </c>
      <c r="K129" s="41" t="s">
        <v>830</v>
      </c>
      <c r="L129" s="42" t="s">
        <v>56</v>
      </c>
      <c r="M129" s="42" t="s">
        <v>131</v>
      </c>
      <c r="N129" s="44" t="s">
        <v>249</v>
      </c>
      <c r="O129" s="44"/>
      <c r="P129" s="41" t="s">
        <v>462</v>
      </c>
      <c r="Q129" s="41" t="str">
        <f t="shared" si="5"/>
        <v>627</v>
      </c>
      <c r="R129" s="41" t="str">
        <f>_xlfn.XLOOKUP($L129,MD_Cost_Center[Mã Cost Center],MD_Cost_Center[Ngành])</f>
        <v>PET</v>
      </c>
      <c r="S129" s="41" t="str">
        <f>_xlfn.XLOOKUP($L129,MD_Cost_Center[Mã Cost Center],MD_Cost_Center[Ngành-Tách PET-Xơ sợi])</f>
        <v>Chung-PET</v>
      </c>
      <c r="T129" s="45">
        <v>44166</v>
      </c>
      <c r="U129" s="46">
        <v>46905</v>
      </c>
      <c r="V129" s="47">
        <v>144</v>
      </c>
      <c r="W129" s="47">
        <v>171900000</v>
      </c>
      <c r="X129" s="47">
        <v>-671193.38095238095</v>
      </c>
      <c r="Y129" s="47">
        <v>171900000</v>
      </c>
      <c r="Z129" s="47">
        <v>171900000</v>
      </c>
      <c r="AA129" s="47">
        <v>171900000</v>
      </c>
      <c r="AB129" s="47">
        <v>171900000</v>
      </c>
      <c r="AC129" s="47">
        <v>171900000</v>
      </c>
      <c r="AD129" s="47">
        <v>171900000</v>
      </c>
      <c r="AE129" s="47">
        <v>171900000</v>
      </c>
      <c r="AF129" s="47">
        <v>171900000</v>
      </c>
      <c r="AG129" s="47">
        <v>171900000</v>
      </c>
      <c r="AH129" s="47">
        <v>171900000</v>
      </c>
      <c r="AI129" s="47">
        <v>171900000</v>
      </c>
      <c r="AJ129" s="47">
        <v>171900000</v>
      </c>
      <c r="AK129" s="47">
        <v>171900000</v>
      </c>
      <c r="AL129" s="47">
        <v>-23329756</v>
      </c>
      <c r="AM129" s="47">
        <v>-115519756</v>
      </c>
      <c r="AN129" s="47">
        <v>-671193.38095238095</v>
      </c>
      <c r="AO129" s="47">
        <v>-671193.38095238095</v>
      </c>
      <c r="AP129" s="47">
        <v>-671193.38095238095</v>
      </c>
      <c r="AQ129" s="47">
        <v>-671193.38095238095</v>
      </c>
      <c r="AR129" s="47">
        <v>-671193.38095238095</v>
      </c>
      <c r="AS129" s="47">
        <v>-671193.38095238095</v>
      </c>
      <c r="AT129" s="47">
        <v>-671193.38095238095</v>
      </c>
      <c r="AU129" s="47">
        <v>-671193.38095238095</v>
      </c>
      <c r="AV129" s="47">
        <v>-671193.38095238095</v>
      </c>
      <c r="AW129" s="47">
        <v>-671193.38095238095</v>
      </c>
      <c r="AX129" s="47">
        <v>-671193.38095238095</v>
      </c>
      <c r="AY129" s="47">
        <v>-671193.38095238095</v>
      </c>
      <c r="AZ129" s="58">
        <f t="shared" si="6"/>
        <v>-8054320.57142857</v>
      </c>
      <c r="BA129" s="47">
        <f>Y129+SUM($AM129:AM129)</f>
        <v>56380244</v>
      </c>
      <c r="BB129" s="48">
        <f>Z129+SUM($AM129:AN129)</f>
        <v>55709050.619047612</v>
      </c>
      <c r="BC129" s="48">
        <f>AA129+SUM($AM129:AO129)</f>
        <v>55037857.238095224</v>
      </c>
      <c r="BD129" s="48">
        <f>AB129+SUM($AM129:AP129)</f>
        <v>54366663.857142836</v>
      </c>
      <c r="BE129" s="48">
        <f>AC129+SUM($AM129:AQ129)</f>
        <v>53695470.476190448</v>
      </c>
      <c r="BF129" s="48">
        <f>AD129+SUM($AM129:AR129)</f>
        <v>53024277.09523806</v>
      </c>
      <c r="BG129" s="48">
        <f>AE129+SUM($AM129:AS129)</f>
        <v>52353083.714285672</v>
      </c>
      <c r="BH129" s="48">
        <f>AF129+SUM($AM129:AT129)</f>
        <v>51681890.333333284</v>
      </c>
      <c r="BI129" s="48">
        <f>AG129+SUM($AM129:AU129)</f>
        <v>51010696.952380896</v>
      </c>
      <c r="BJ129" s="48">
        <f>AH129+SUM($AM129:AV129)</f>
        <v>50339503.571428508</v>
      </c>
      <c r="BK129" s="48">
        <f>AI129+SUM($AM129:AW129)</f>
        <v>49668310.19047612</v>
      </c>
      <c r="BL129" s="48">
        <f>AJ129+SUM($AM129:AX129)</f>
        <v>48997116.809523731</v>
      </c>
      <c r="BM129" s="48">
        <f>AK129+SUM($AM129:AY129)</f>
        <v>48325923.428571343</v>
      </c>
      <c r="BO129" s="47"/>
    </row>
    <row r="130" spans="3:67" s="41" customFormat="1" hidden="1" x14ac:dyDescent="0.3">
      <c r="C130" s="41" t="s">
        <v>1340</v>
      </c>
      <c r="D130" s="42" t="s">
        <v>338</v>
      </c>
      <c r="E130" s="42" t="str">
        <f t="shared" si="4"/>
        <v>211</v>
      </c>
      <c r="F130" s="41" t="str">
        <f>_xlfn.XLOOKUP($D130,MD_Account_Asset_Type[Nhóm tài sản],MD_Account_Asset_Type[Tên Nhóm tài sản])</f>
        <v>Máy móc, thiết bị - SX 627</v>
      </c>
      <c r="G130" s="41" t="str">
        <f>_xlfn.XLOOKUP($D130,MD_Account_Asset_Type[Nhóm tài sản],MD_Account_Asset_Type[Tên nhóm TS-Rút gọn])</f>
        <v>Máy móc thiết bị</v>
      </c>
      <c r="H130" s="41" t="str">
        <f>_xlfn.XLOOKUP($D130,MD_Account_Asset_Type[Nhóm tài sản],MD_Account_Asset_Type[Tên nhóm TS-Rút gọn-v2])</f>
        <v>Máy móc thiết bị</v>
      </c>
      <c r="I130" s="43" t="s">
        <v>848</v>
      </c>
      <c r="J130" s="42" t="s">
        <v>622</v>
      </c>
      <c r="K130" s="41" t="s">
        <v>830</v>
      </c>
      <c r="L130" s="42" t="s">
        <v>66</v>
      </c>
      <c r="M130" s="42" t="s">
        <v>141</v>
      </c>
      <c r="N130" s="44" t="s">
        <v>259</v>
      </c>
      <c r="O130" s="44"/>
      <c r="P130" s="41" t="s">
        <v>462</v>
      </c>
      <c r="Q130" s="41" t="str">
        <f t="shared" si="5"/>
        <v>627</v>
      </c>
      <c r="R130" s="41" t="str">
        <f>_xlfn.XLOOKUP($L130,MD_Cost_Center[Mã Cost Center],MD_Cost_Center[Ngành])</f>
        <v>HD/PP</v>
      </c>
      <c r="S130" s="41" t="str">
        <f>_xlfn.XLOOKUP($L130,MD_Cost_Center[Mã Cost Center],MD_Cost_Center[Ngành-Tách PET-Xơ sợi])</f>
        <v>Chung-PET</v>
      </c>
      <c r="T130" s="45">
        <v>44389</v>
      </c>
      <c r="U130" s="46">
        <v>47130</v>
      </c>
      <c r="V130" s="47">
        <v>144</v>
      </c>
      <c r="W130" s="47">
        <v>150000000</v>
      </c>
      <c r="X130" s="47">
        <v>-666666.66666666663</v>
      </c>
      <c r="Y130" s="47">
        <v>150000000</v>
      </c>
      <c r="Z130" s="47">
        <v>150000000</v>
      </c>
      <c r="AA130" s="47">
        <v>150000000</v>
      </c>
      <c r="AB130" s="47">
        <v>150000000</v>
      </c>
      <c r="AC130" s="47">
        <v>150000000</v>
      </c>
      <c r="AD130" s="47">
        <v>150000000</v>
      </c>
      <c r="AE130" s="47">
        <v>150000000</v>
      </c>
      <c r="AF130" s="47">
        <v>150000000</v>
      </c>
      <c r="AG130" s="47">
        <v>150000000</v>
      </c>
      <c r="AH130" s="47">
        <v>150000000</v>
      </c>
      <c r="AI130" s="47">
        <v>150000000</v>
      </c>
      <c r="AJ130" s="47">
        <v>150000000</v>
      </c>
      <c r="AK130" s="47">
        <v>150000000</v>
      </c>
      <c r="AL130" s="47">
        <v>-20000000</v>
      </c>
      <c r="AM130" s="47">
        <v>-90000000</v>
      </c>
      <c r="AN130" s="47">
        <v>-666666.66666666663</v>
      </c>
      <c r="AO130" s="47">
        <v>-666666.66666666663</v>
      </c>
      <c r="AP130" s="47">
        <v>-666666.66666666663</v>
      </c>
      <c r="AQ130" s="47">
        <v>-666666.66666666663</v>
      </c>
      <c r="AR130" s="47">
        <v>-666666.66666666663</v>
      </c>
      <c r="AS130" s="47">
        <v>-666666.66666666663</v>
      </c>
      <c r="AT130" s="47">
        <v>-666666.66666666663</v>
      </c>
      <c r="AU130" s="47">
        <v>-666666.66666666663</v>
      </c>
      <c r="AV130" s="47">
        <v>-666666.66666666663</v>
      </c>
      <c r="AW130" s="47">
        <v>-666666.66666666663</v>
      </c>
      <c r="AX130" s="47">
        <v>-666666.66666666663</v>
      </c>
      <c r="AY130" s="47">
        <v>-666666.66666666663</v>
      </c>
      <c r="AZ130" s="58">
        <f t="shared" si="6"/>
        <v>-8000000.0000000009</v>
      </c>
      <c r="BA130" s="47">
        <f>Y130+SUM($AM130:AM130)</f>
        <v>60000000</v>
      </c>
      <c r="BB130" s="48">
        <f>Z130+SUM($AM130:AN130)</f>
        <v>59333333.333333328</v>
      </c>
      <c r="BC130" s="48">
        <f>AA130+SUM($AM130:AO130)</f>
        <v>58666666.666666657</v>
      </c>
      <c r="BD130" s="48">
        <f>AB130+SUM($AM130:AP130)</f>
        <v>57999999.999999985</v>
      </c>
      <c r="BE130" s="48">
        <f>AC130+SUM($AM130:AQ130)</f>
        <v>57333333.333333313</v>
      </c>
      <c r="BF130" s="48">
        <f>AD130+SUM($AM130:AR130)</f>
        <v>56666666.666666642</v>
      </c>
      <c r="BG130" s="48">
        <f>AE130+SUM($AM130:AS130)</f>
        <v>55999999.99999997</v>
      </c>
      <c r="BH130" s="48">
        <f>AF130+SUM($AM130:AT130)</f>
        <v>55333333.333333299</v>
      </c>
      <c r="BI130" s="48">
        <f>AG130+SUM($AM130:AU130)</f>
        <v>54666666.666666627</v>
      </c>
      <c r="BJ130" s="48">
        <f>AH130+SUM($AM130:AV130)</f>
        <v>53999999.999999955</v>
      </c>
      <c r="BK130" s="48">
        <f>AI130+SUM($AM130:AW130)</f>
        <v>53333333.333333284</v>
      </c>
      <c r="BL130" s="48">
        <f>AJ130+SUM($AM130:AX130)</f>
        <v>52666666.666666612</v>
      </c>
      <c r="BM130" s="48">
        <f>AK130+SUM($AM130:AY130)</f>
        <v>51999999.99999994</v>
      </c>
      <c r="BO130" s="47"/>
    </row>
    <row r="131" spans="3:67" s="41" customFormat="1" hidden="1" x14ac:dyDescent="0.3">
      <c r="C131" s="41" t="s">
        <v>1340</v>
      </c>
      <c r="D131" s="42" t="s">
        <v>338</v>
      </c>
      <c r="E131" s="42" t="str">
        <f t="shared" si="4"/>
        <v>211</v>
      </c>
      <c r="F131" s="41" t="str">
        <f>_xlfn.XLOOKUP($D131,MD_Account_Asset_Type[Nhóm tài sản],MD_Account_Asset_Type[Tên Nhóm tài sản])</f>
        <v>Máy móc, thiết bị - SX 627</v>
      </c>
      <c r="G131" s="41" t="str">
        <f>_xlfn.XLOOKUP($D131,MD_Account_Asset_Type[Nhóm tài sản],MD_Account_Asset_Type[Tên nhóm TS-Rút gọn])</f>
        <v>Máy móc thiết bị</v>
      </c>
      <c r="H131" s="41" t="str">
        <f>_xlfn.XLOOKUP($D131,MD_Account_Asset_Type[Nhóm tài sản],MD_Account_Asset_Type[Tên nhóm TS-Rút gọn-v2])</f>
        <v>Máy móc thiết bị</v>
      </c>
      <c r="I131" s="43" t="s">
        <v>849</v>
      </c>
      <c r="J131" s="42" t="s">
        <v>623</v>
      </c>
      <c r="K131" s="41" t="s">
        <v>850</v>
      </c>
      <c r="L131" s="42" t="s">
        <v>51</v>
      </c>
      <c r="M131" s="42" t="s">
        <v>126</v>
      </c>
      <c r="N131" s="44" t="s">
        <v>244</v>
      </c>
      <c r="O131" s="44"/>
      <c r="P131" s="41" t="s">
        <v>462</v>
      </c>
      <c r="Q131" s="41" t="str">
        <f t="shared" si="5"/>
        <v>627</v>
      </c>
      <c r="R131" s="41" t="str">
        <f>_xlfn.XLOOKUP($L131,MD_Cost_Center[Mã Cost Center],MD_Cost_Center[Ngành])</f>
        <v>PET</v>
      </c>
      <c r="S131" s="41" t="str">
        <f>_xlfn.XLOOKUP($L131,MD_Cost_Center[Mã Cost Center],MD_Cost_Center[Ngành-Tách PET-Xơ sợi])</f>
        <v>Chung-PET</v>
      </c>
      <c r="T131" s="45">
        <v>44417</v>
      </c>
      <c r="U131" s="46">
        <v>48069</v>
      </c>
      <c r="V131" s="47">
        <v>144</v>
      </c>
      <c r="W131" s="47">
        <v>37079055498</v>
      </c>
      <c r="X131" s="47">
        <v>-227499699.47252747</v>
      </c>
      <c r="Y131" s="47">
        <v>37079055498</v>
      </c>
      <c r="Z131" s="47">
        <v>37079055498</v>
      </c>
      <c r="AA131" s="47">
        <v>37079055498</v>
      </c>
      <c r="AB131" s="47">
        <v>37079055498</v>
      </c>
      <c r="AC131" s="47">
        <v>37079055498</v>
      </c>
      <c r="AD131" s="47">
        <v>37079055498</v>
      </c>
      <c r="AE131" s="47">
        <v>37079055498</v>
      </c>
      <c r="AF131" s="47">
        <v>37079055498</v>
      </c>
      <c r="AG131" s="47">
        <v>37079055498</v>
      </c>
      <c r="AH131" s="47">
        <v>37079055498</v>
      </c>
      <c r="AI131" s="47">
        <v>37079055498</v>
      </c>
      <c r="AJ131" s="47">
        <v>37079055498</v>
      </c>
      <c r="AK131" s="47">
        <v>37079055498</v>
      </c>
      <c r="AL131" s="47">
        <v>-3707905550</v>
      </c>
      <c r="AM131" s="47">
        <v>-16376582846</v>
      </c>
      <c r="AN131" s="47">
        <v>-227499699.47252747</v>
      </c>
      <c r="AO131" s="47">
        <v>-227499699.47252747</v>
      </c>
      <c r="AP131" s="47">
        <v>-227499699.47252747</v>
      </c>
      <c r="AQ131" s="47">
        <v>-227499699.47252747</v>
      </c>
      <c r="AR131" s="47">
        <v>-227499699.47252747</v>
      </c>
      <c r="AS131" s="47">
        <v>-227499699.47252747</v>
      </c>
      <c r="AT131" s="47">
        <v>-227499699.47252747</v>
      </c>
      <c r="AU131" s="47">
        <v>-227499699.47252747</v>
      </c>
      <c r="AV131" s="47">
        <v>-227499699.47252747</v>
      </c>
      <c r="AW131" s="47">
        <v>-227499699.47252747</v>
      </c>
      <c r="AX131" s="47">
        <v>-227499699.47252747</v>
      </c>
      <c r="AY131" s="47">
        <v>-227499699.47252747</v>
      </c>
      <c r="AZ131" s="58">
        <f t="shared" si="6"/>
        <v>-2729996393.6703296</v>
      </c>
      <c r="BA131" s="47">
        <f>Y131+SUM($AM131:AM131)</f>
        <v>20702472652</v>
      </c>
      <c r="BB131" s="48">
        <f>Z131+SUM($AM131:AN131)</f>
        <v>20474972952.527473</v>
      </c>
      <c r="BC131" s="48">
        <f>AA131+SUM($AM131:AO131)</f>
        <v>20247473253.054947</v>
      </c>
      <c r="BD131" s="48">
        <f>AB131+SUM($AM131:AP131)</f>
        <v>20019973553.58242</v>
      </c>
      <c r="BE131" s="48">
        <f>AC131+SUM($AM131:AQ131)</f>
        <v>19792473854.109894</v>
      </c>
      <c r="BF131" s="48">
        <f>AD131+SUM($AM131:AR131)</f>
        <v>19564974154.637367</v>
      </c>
      <c r="BG131" s="48">
        <f>AE131+SUM($AM131:AS131)</f>
        <v>19337474455.164841</v>
      </c>
      <c r="BH131" s="48">
        <f>AF131+SUM($AM131:AT131)</f>
        <v>19109974755.692314</v>
      </c>
      <c r="BI131" s="48">
        <f>AG131+SUM($AM131:AU131)</f>
        <v>18882475056.219788</v>
      </c>
      <c r="BJ131" s="48">
        <f>AH131+SUM($AM131:AV131)</f>
        <v>18654975356.747261</v>
      </c>
      <c r="BK131" s="48">
        <f>AI131+SUM($AM131:AW131)</f>
        <v>18427475657.274734</v>
      </c>
      <c r="BL131" s="48">
        <f>AJ131+SUM($AM131:AX131)</f>
        <v>18199975957.802208</v>
      </c>
      <c r="BM131" s="48">
        <f>AK131+SUM($AM131:AY131)</f>
        <v>17972476258.329681</v>
      </c>
      <c r="BO131" s="47"/>
    </row>
    <row r="132" spans="3:67" s="41" customFormat="1" hidden="1" x14ac:dyDescent="0.3">
      <c r="C132" s="41" t="s">
        <v>1340</v>
      </c>
      <c r="D132" s="42" t="s">
        <v>338</v>
      </c>
      <c r="E132" s="42" t="str">
        <f t="shared" si="4"/>
        <v>211</v>
      </c>
      <c r="F132" s="41" t="str">
        <f>_xlfn.XLOOKUP($D132,MD_Account_Asset_Type[Nhóm tài sản],MD_Account_Asset_Type[Tên Nhóm tài sản])</f>
        <v>Máy móc, thiết bị - SX 627</v>
      </c>
      <c r="G132" s="41" t="str">
        <f>_xlfn.XLOOKUP($D132,MD_Account_Asset_Type[Nhóm tài sản],MD_Account_Asset_Type[Tên nhóm TS-Rút gọn])</f>
        <v>Máy móc thiết bị</v>
      </c>
      <c r="H132" s="41" t="str">
        <f>_xlfn.XLOOKUP($D132,MD_Account_Asset_Type[Nhóm tài sản],MD_Account_Asset_Type[Tên nhóm TS-Rút gọn-v2])</f>
        <v>Máy móc thiết bị</v>
      </c>
      <c r="I132" s="43" t="s">
        <v>851</v>
      </c>
      <c r="J132" s="42" t="s">
        <v>624</v>
      </c>
      <c r="K132" s="41" t="s">
        <v>850</v>
      </c>
      <c r="L132" s="42" t="s">
        <v>54</v>
      </c>
      <c r="M132" s="42" t="s">
        <v>129</v>
      </c>
      <c r="N132" s="44" t="s">
        <v>247</v>
      </c>
      <c r="O132" s="44"/>
      <c r="P132" s="41" t="s">
        <v>462</v>
      </c>
      <c r="Q132" s="41" t="str">
        <f t="shared" si="5"/>
        <v>627</v>
      </c>
      <c r="R132" s="41" t="str">
        <f>_xlfn.XLOOKUP($L132,MD_Cost_Center[Mã Cost Center],MD_Cost_Center[Ngành])</f>
        <v>PET</v>
      </c>
      <c r="S132" s="41" t="str">
        <f>_xlfn.XLOOKUP($L132,MD_Cost_Center[Mã Cost Center],MD_Cost_Center[Ngành-Tách PET-Xơ sợi])</f>
        <v>PET</v>
      </c>
      <c r="T132" s="45">
        <v>44417</v>
      </c>
      <c r="U132" s="46">
        <v>48069</v>
      </c>
      <c r="V132" s="47">
        <v>144</v>
      </c>
      <c r="W132" s="47">
        <v>40241134847</v>
      </c>
      <c r="X132" s="47">
        <v>-246903335.8901099</v>
      </c>
      <c r="Y132" s="47">
        <v>40241134847</v>
      </c>
      <c r="Z132" s="47">
        <v>40241134847</v>
      </c>
      <c r="AA132" s="47">
        <v>40241134847</v>
      </c>
      <c r="AB132" s="47">
        <v>40241134847</v>
      </c>
      <c r="AC132" s="47">
        <v>40241134847</v>
      </c>
      <c r="AD132" s="47">
        <v>40241134847</v>
      </c>
      <c r="AE132" s="47">
        <v>40241134847</v>
      </c>
      <c r="AF132" s="47">
        <v>40241134847</v>
      </c>
      <c r="AG132" s="47">
        <v>40241134847</v>
      </c>
      <c r="AH132" s="47">
        <v>40241134847</v>
      </c>
      <c r="AI132" s="47">
        <v>40241134847</v>
      </c>
      <c r="AJ132" s="47">
        <v>40241134847</v>
      </c>
      <c r="AK132" s="47">
        <v>40241134847</v>
      </c>
      <c r="AL132" s="47">
        <v>-4024155862</v>
      </c>
      <c r="AM132" s="47">
        <v>-17772931281</v>
      </c>
      <c r="AN132" s="47">
        <v>-246903335.8901099</v>
      </c>
      <c r="AO132" s="47">
        <v>-246903335.8901099</v>
      </c>
      <c r="AP132" s="47">
        <v>-246903335.8901099</v>
      </c>
      <c r="AQ132" s="47">
        <v>-246903335.8901099</v>
      </c>
      <c r="AR132" s="47">
        <v>-246903335.8901099</v>
      </c>
      <c r="AS132" s="47">
        <v>-246903335.8901099</v>
      </c>
      <c r="AT132" s="47">
        <v>-246903335.8901099</v>
      </c>
      <c r="AU132" s="47">
        <v>-246903335.8901099</v>
      </c>
      <c r="AV132" s="47">
        <v>-246903335.8901099</v>
      </c>
      <c r="AW132" s="47">
        <v>-246903335.8901099</v>
      </c>
      <c r="AX132" s="47">
        <v>-246903335.8901099</v>
      </c>
      <c r="AY132" s="47">
        <v>-246903335.8901099</v>
      </c>
      <c r="AZ132" s="58">
        <f t="shared" si="6"/>
        <v>-2962840030.6813197</v>
      </c>
      <c r="BA132" s="47">
        <f>Y132+SUM($AM132:AM132)</f>
        <v>22468203566</v>
      </c>
      <c r="BB132" s="48">
        <f>Z132+SUM($AM132:AN132)</f>
        <v>22221300230.10989</v>
      </c>
      <c r="BC132" s="48">
        <f>AA132+SUM($AM132:AO132)</f>
        <v>21974396894.21978</v>
      </c>
      <c r="BD132" s="48">
        <f>AB132+SUM($AM132:AP132)</f>
        <v>21727493558.32967</v>
      </c>
      <c r="BE132" s="48">
        <f>AC132+SUM($AM132:AQ132)</f>
        <v>21480590222.43956</v>
      </c>
      <c r="BF132" s="48">
        <f>AD132+SUM($AM132:AR132)</f>
        <v>21233686886.54945</v>
      </c>
      <c r="BG132" s="48">
        <f>AE132+SUM($AM132:AS132)</f>
        <v>20986783550.65934</v>
      </c>
      <c r="BH132" s="48">
        <f>AF132+SUM($AM132:AT132)</f>
        <v>20739880214.76923</v>
      </c>
      <c r="BI132" s="48">
        <f>AG132+SUM($AM132:AU132)</f>
        <v>20492976878.87912</v>
      </c>
      <c r="BJ132" s="48">
        <f>AH132+SUM($AM132:AV132)</f>
        <v>20246073542.98901</v>
      </c>
      <c r="BK132" s="48">
        <f>AI132+SUM($AM132:AW132)</f>
        <v>19999170207.0989</v>
      </c>
      <c r="BL132" s="48">
        <f>AJ132+SUM($AM132:AX132)</f>
        <v>19752266871.20879</v>
      </c>
      <c r="BM132" s="48">
        <f>AK132+SUM($AM132:AY132)</f>
        <v>19505363535.31868</v>
      </c>
      <c r="BO132" s="47"/>
    </row>
    <row r="133" spans="3:67" s="41" customFormat="1" hidden="1" x14ac:dyDescent="0.3">
      <c r="C133" s="41" t="s">
        <v>1340</v>
      </c>
      <c r="D133" s="42" t="s">
        <v>338</v>
      </c>
      <c r="E133" s="42" t="str">
        <f t="shared" si="4"/>
        <v>211</v>
      </c>
      <c r="F133" s="41" t="str">
        <f>_xlfn.XLOOKUP($D133,MD_Account_Asset_Type[Nhóm tài sản],MD_Account_Asset_Type[Tên Nhóm tài sản])</f>
        <v>Máy móc, thiết bị - SX 627</v>
      </c>
      <c r="G133" s="41" t="str">
        <f>_xlfn.XLOOKUP($D133,MD_Account_Asset_Type[Nhóm tài sản],MD_Account_Asset_Type[Tên nhóm TS-Rút gọn])</f>
        <v>Máy móc thiết bị</v>
      </c>
      <c r="H133" s="41" t="str">
        <f>_xlfn.XLOOKUP($D133,MD_Account_Asset_Type[Nhóm tài sản],MD_Account_Asset_Type[Tên nhóm TS-Rút gọn-v2])</f>
        <v>Máy móc thiết bị</v>
      </c>
      <c r="I133" s="43" t="s">
        <v>852</v>
      </c>
      <c r="J133" s="42" t="s">
        <v>625</v>
      </c>
      <c r="K133" s="41" t="s">
        <v>850</v>
      </c>
      <c r="L133" s="42" t="s">
        <v>55</v>
      </c>
      <c r="M133" s="42" t="s">
        <v>130</v>
      </c>
      <c r="N133" s="44" t="s">
        <v>248</v>
      </c>
      <c r="O133" s="44"/>
      <c r="P133" s="41" t="s">
        <v>462</v>
      </c>
      <c r="Q133" s="41" t="str">
        <f t="shared" si="5"/>
        <v>627</v>
      </c>
      <c r="R133" s="41" t="str">
        <f>_xlfn.XLOOKUP($L133,MD_Cost_Center[Mã Cost Center],MD_Cost_Center[Ngành])</f>
        <v>PET</v>
      </c>
      <c r="S133" s="41" t="str">
        <f>_xlfn.XLOOKUP($L133,MD_Cost_Center[Mã Cost Center],MD_Cost_Center[Ngành-Tách PET-Xơ sợi])</f>
        <v>PET</v>
      </c>
      <c r="T133" s="45">
        <v>44417</v>
      </c>
      <c r="U133" s="46">
        <v>48069</v>
      </c>
      <c r="V133" s="47">
        <v>144</v>
      </c>
      <c r="W133" s="47">
        <v>42627620306</v>
      </c>
      <c r="X133" s="47">
        <v>-261557620.73626372</v>
      </c>
      <c r="Y133" s="47">
        <v>42627620306</v>
      </c>
      <c r="Z133" s="47">
        <v>42627620306</v>
      </c>
      <c r="AA133" s="47">
        <v>42627620306</v>
      </c>
      <c r="AB133" s="47">
        <v>42627620306</v>
      </c>
      <c r="AC133" s="47">
        <v>42627620306</v>
      </c>
      <c r="AD133" s="47">
        <v>42627620306</v>
      </c>
      <c r="AE133" s="47">
        <v>42627620306</v>
      </c>
      <c r="AF133" s="47">
        <v>42627620306</v>
      </c>
      <c r="AG133" s="47">
        <v>42627620306</v>
      </c>
      <c r="AH133" s="47">
        <v>42627620306</v>
      </c>
      <c r="AI133" s="47">
        <v>42627620306</v>
      </c>
      <c r="AJ133" s="47">
        <v>42627620306</v>
      </c>
      <c r="AK133" s="47">
        <v>42627620306</v>
      </c>
      <c r="AL133" s="47">
        <v>-4262998834</v>
      </c>
      <c r="AM133" s="47">
        <v>-18825876819</v>
      </c>
      <c r="AN133" s="47">
        <v>-261557620.73626372</v>
      </c>
      <c r="AO133" s="47">
        <v>-261557620.73626372</v>
      </c>
      <c r="AP133" s="47">
        <v>-261557620.73626372</v>
      </c>
      <c r="AQ133" s="47">
        <v>-261557620.73626372</v>
      </c>
      <c r="AR133" s="47">
        <v>-261557620.73626372</v>
      </c>
      <c r="AS133" s="47">
        <v>-261557620.73626372</v>
      </c>
      <c r="AT133" s="47">
        <v>-261557620.73626372</v>
      </c>
      <c r="AU133" s="47">
        <v>-261557620.73626372</v>
      </c>
      <c r="AV133" s="47">
        <v>-261557620.73626372</v>
      </c>
      <c r="AW133" s="47">
        <v>-261557620.73626372</v>
      </c>
      <c r="AX133" s="47">
        <v>-261557620.73626372</v>
      </c>
      <c r="AY133" s="47">
        <v>-261557620.73626372</v>
      </c>
      <c r="AZ133" s="58">
        <f t="shared" si="6"/>
        <v>-3138691448.8351645</v>
      </c>
      <c r="BA133" s="47">
        <f>Y133+SUM($AM133:AM133)</f>
        <v>23801743487</v>
      </c>
      <c r="BB133" s="48">
        <f>Z133+SUM($AM133:AN133)</f>
        <v>23540185866.263737</v>
      </c>
      <c r="BC133" s="48">
        <f>AA133+SUM($AM133:AO133)</f>
        <v>23278628245.527473</v>
      </c>
      <c r="BD133" s="48">
        <f>AB133+SUM($AM133:AP133)</f>
        <v>23017070624.79121</v>
      </c>
      <c r="BE133" s="48">
        <f>AC133+SUM($AM133:AQ133)</f>
        <v>22755513004.054947</v>
      </c>
      <c r="BF133" s="48">
        <f>AD133+SUM($AM133:AR133)</f>
        <v>22493955383.318684</v>
      </c>
      <c r="BG133" s="48">
        <f>AE133+SUM($AM133:AS133)</f>
        <v>22232397762.58242</v>
      </c>
      <c r="BH133" s="48">
        <f>AF133+SUM($AM133:AT133)</f>
        <v>21970840141.846157</v>
      </c>
      <c r="BI133" s="48">
        <f>AG133+SUM($AM133:AU133)</f>
        <v>21709282521.109894</v>
      </c>
      <c r="BJ133" s="48">
        <f>AH133+SUM($AM133:AV133)</f>
        <v>21447724900.373631</v>
      </c>
      <c r="BK133" s="48">
        <f>AI133+SUM($AM133:AW133)</f>
        <v>21186167279.637367</v>
      </c>
      <c r="BL133" s="48">
        <f>AJ133+SUM($AM133:AX133)</f>
        <v>20924609658.901104</v>
      </c>
      <c r="BM133" s="48">
        <f>AK133+SUM($AM133:AY133)</f>
        <v>20663052038.164841</v>
      </c>
      <c r="BO133" s="47"/>
    </row>
    <row r="134" spans="3:67" s="41" customFormat="1" hidden="1" x14ac:dyDescent="0.3">
      <c r="C134" s="41" t="s">
        <v>1340</v>
      </c>
      <c r="D134" s="42" t="s">
        <v>338</v>
      </c>
      <c r="E134" s="42" t="str">
        <f t="shared" si="4"/>
        <v>211</v>
      </c>
      <c r="F134" s="41" t="str">
        <f>_xlfn.XLOOKUP($D134,MD_Account_Asset_Type[Nhóm tài sản],MD_Account_Asset_Type[Tên Nhóm tài sản])</f>
        <v>Máy móc, thiết bị - SX 627</v>
      </c>
      <c r="G134" s="41" t="str">
        <f>_xlfn.XLOOKUP($D134,MD_Account_Asset_Type[Nhóm tài sản],MD_Account_Asset_Type[Tên nhóm TS-Rút gọn])</f>
        <v>Máy móc thiết bị</v>
      </c>
      <c r="H134" s="41" t="str">
        <f>_xlfn.XLOOKUP($D134,MD_Account_Asset_Type[Nhóm tài sản],MD_Account_Asset_Type[Tên nhóm TS-Rút gọn-v2])</f>
        <v>Máy móc thiết bị</v>
      </c>
      <c r="I134" s="43" t="s">
        <v>853</v>
      </c>
      <c r="J134" s="42" t="s">
        <v>626</v>
      </c>
      <c r="K134" s="41" t="s">
        <v>850</v>
      </c>
      <c r="L134" s="42" t="s">
        <v>53</v>
      </c>
      <c r="M134" s="42" t="s">
        <v>128</v>
      </c>
      <c r="N134" s="44" t="s">
        <v>246</v>
      </c>
      <c r="O134" s="44"/>
      <c r="P134" s="41" t="s">
        <v>462</v>
      </c>
      <c r="Q134" s="41" t="str">
        <f t="shared" si="5"/>
        <v>627</v>
      </c>
      <c r="R134" s="41" t="str">
        <f>_xlfn.XLOOKUP($L134,MD_Cost_Center[Mã Cost Center],MD_Cost_Center[Ngành])</f>
        <v>HD/PP</v>
      </c>
      <c r="S134" s="41" t="str">
        <f>_xlfn.XLOOKUP($L134,MD_Cost_Center[Mã Cost Center],MD_Cost_Center[Ngành-Tách PET-Xơ sợi])</f>
        <v>HD/PP</v>
      </c>
      <c r="T134" s="45">
        <v>44417</v>
      </c>
      <c r="U134" s="46">
        <v>48069</v>
      </c>
      <c r="V134" s="47">
        <v>144</v>
      </c>
      <c r="W134" s="47">
        <v>8257058918</v>
      </c>
      <c r="X134" s="47">
        <v>-50661442.065934069</v>
      </c>
      <c r="Y134" s="47">
        <v>8257058918</v>
      </c>
      <c r="Z134" s="47">
        <v>8257058918</v>
      </c>
      <c r="AA134" s="47">
        <v>8257058918</v>
      </c>
      <c r="AB134" s="47">
        <v>8257058918</v>
      </c>
      <c r="AC134" s="47">
        <v>8257058918</v>
      </c>
      <c r="AD134" s="47">
        <v>8257058918</v>
      </c>
      <c r="AE134" s="47">
        <v>8257058918</v>
      </c>
      <c r="AF134" s="47">
        <v>8257058918</v>
      </c>
      <c r="AG134" s="47">
        <v>8257058918</v>
      </c>
      <c r="AH134" s="47">
        <v>8257058918</v>
      </c>
      <c r="AI134" s="47">
        <v>8257058918</v>
      </c>
      <c r="AJ134" s="47">
        <v>8257058918</v>
      </c>
      <c r="AK134" s="47">
        <v>8257058918</v>
      </c>
      <c r="AL134" s="47">
        <v>-825705892</v>
      </c>
      <c r="AM134" s="47">
        <v>-3646867690</v>
      </c>
      <c r="AN134" s="47">
        <v>-50661442.065934069</v>
      </c>
      <c r="AO134" s="47">
        <v>-50661442.065934069</v>
      </c>
      <c r="AP134" s="47">
        <v>-50661442.065934069</v>
      </c>
      <c r="AQ134" s="47">
        <v>-50661442.065934069</v>
      </c>
      <c r="AR134" s="47">
        <v>-50661442.065934069</v>
      </c>
      <c r="AS134" s="47">
        <v>-50661442.065934069</v>
      </c>
      <c r="AT134" s="47">
        <v>-50661442.065934069</v>
      </c>
      <c r="AU134" s="47">
        <v>-50661442.065934069</v>
      </c>
      <c r="AV134" s="47">
        <v>-50661442.065934069</v>
      </c>
      <c r="AW134" s="47">
        <v>-50661442.065934069</v>
      </c>
      <c r="AX134" s="47">
        <v>-50661442.065934069</v>
      </c>
      <c r="AY134" s="47">
        <v>-50661442.065934069</v>
      </c>
      <c r="AZ134" s="58">
        <f t="shared" si="6"/>
        <v>-607937304.79120886</v>
      </c>
      <c r="BA134" s="47">
        <f>Y134+SUM($AM134:AM134)</f>
        <v>4610191228</v>
      </c>
      <c r="BB134" s="48">
        <f>Z134+SUM($AM134:AN134)</f>
        <v>4559529785.9340658</v>
      </c>
      <c r="BC134" s="48">
        <f>AA134+SUM($AM134:AO134)</f>
        <v>4508868343.8681316</v>
      </c>
      <c r="BD134" s="48">
        <f>AB134+SUM($AM134:AP134)</f>
        <v>4458206901.8021975</v>
      </c>
      <c r="BE134" s="48">
        <f>AC134+SUM($AM134:AQ134)</f>
        <v>4407545459.7362633</v>
      </c>
      <c r="BF134" s="48">
        <f>AD134+SUM($AM134:AR134)</f>
        <v>4356884017.6703291</v>
      </c>
      <c r="BG134" s="48">
        <f>AE134+SUM($AM134:AS134)</f>
        <v>4306222575.6043949</v>
      </c>
      <c r="BH134" s="48">
        <f>AF134+SUM($AM134:AT134)</f>
        <v>4255561133.5384607</v>
      </c>
      <c r="BI134" s="48">
        <f>AG134+SUM($AM134:AU134)</f>
        <v>4204899691.4725266</v>
      </c>
      <c r="BJ134" s="48">
        <f>AH134+SUM($AM134:AV134)</f>
        <v>4154238249.4065924</v>
      </c>
      <c r="BK134" s="48">
        <f>AI134+SUM($AM134:AW134)</f>
        <v>4103576807.3406582</v>
      </c>
      <c r="BL134" s="48">
        <f>AJ134+SUM($AM134:AX134)</f>
        <v>4052915365.274724</v>
      </c>
      <c r="BM134" s="48">
        <f>AK134+SUM($AM134:AY134)</f>
        <v>4002253923.2087898</v>
      </c>
      <c r="BO134" s="47"/>
    </row>
    <row r="135" spans="3:67" s="41" customFormat="1" hidden="1" x14ac:dyDescent="0.3">
      <c r="C135" s="41" t="s">
        <v>1340</v>
      </c>
      <c r="D135" s="42" t="s">
        <v>338</v>
      </c>
      <c r="E135" s="42" t="str">
        <f t="shared" si="4"/>
        <v>211</v>
      </c>
      <c r="F135" s="41" t="str">
        <f>_xlfn.XLOOKUP($D135,MD_Account_Asset_Type[Nhóm tài sản],MD_Account_Asset_Type[Tên Nhóm tài sản])</f>
        <v>Máy móc, thiết bị - SX 627</v>
      </c>
      <c r="G135" s="41" t="str">
        <f>_xlfn.XLOOKUP($D135,MD_Account_Asset_Type[Nhóm tài sản],MD_Account_Asset_Type[Tên nhóm TS-Rút gọn])</f>
        <v>Máy móc thiết bị</v>
      </c>
      <c r="H135" s="41" t="str">
        <f>_xlfn.XLOOKUP($D135,MD_Account_Asset_Type[Nhóm tài sản],MD_Account_Asset_Type[Tên nhóm TS-Rút gọn-v2])</f>
        <v>Máy móc thiết bị</v>
      </c>
      <c r="I135" s="43" t="s">
        <v>854</v>
      </c>
      <c r="J135" s="42" t="s">
        <v>627</v>
      </c>
      <c r="K135" s="41" t="s">
        <v>830</v>
      </c>
      <c r="L135" s="42" t="s">
        <v>48</v>
      </c>
      <c r="M135" s="42" t="s">
        <v>123</v>
      </c>
      <c r="N135" s="44">
        <v>0</v>
      </c>
      <c r="O135" s="44"/>
      <c r="P135" s="41" t="s">
        <v>462</v>
      </c>
      <c r="Q135" s="41" t="str">
        <f t="shared" si="5"/>
        <v>627</v>
      </c>
      <c r="R135" s="41" t="str">
        <f>_xlfn.XLOOKUP($L135,MD_Cost_Center[Mã Cost Center],MD_Cost_Center[Ngành])</f>
        <v>PET</v>
      </c>
      <c r="S135" s="41" t="str">
        <f>_xlfn.XLOOKUP($L135,MD_Cost_Center[Mã Cost Center],MD_Cost_Center[Ngành-Tách PET-Xơ sợi])</f>
        <v>Chung-PET</v>
      </c>
      <c r="T135" s="45">
        <v>44651</v>
      </c>
      <c r="U135" s="46">
        <v>46843</v>
      </c>
      <c r="V135" s="47">
        <v>144</v>
      </c>
      <c r="W135" s="47">
        <v>265000000</v>
      </c>
      <c r="X135" s="47">
        <v>-976473.91836734698</v>
      </c>
      <c r="Y135" s="47">
        <v>265000000</v>
      </c>
      <c r="Z135" s="47">
        <v>265000000</v>
      </c>
      <c r="AA135" s="47">
        <v>265000000</v>
      </c>
      <c r="AB135" s="47">
        <v>265000000</v>
      </c>
      <c r="AC135" s="47">
        <v>265000000</v>
      </c>
      <c r="AD135" s="47">
        <v>265000000</v>
      </c>
      <c r="AE135" s="47">
        <v>265000000</v>
      </c>
      <c r="AF135" s="47">
        <v>265000000</v>
      </c>
      <c r="AG135" s="47">
        <v>265000000</v>
      </c>
      <c r="AH135" s="47">
        <v>265000000</v>
      </c>
      <c r="AI135" s="47">
        <v>265000000</v>
      </c>
      <c r="AJ135" s="47">
        <v>265000000</v>
      </c>
      <c r="AK135" s="47">
        <v>265000000</v>
      </c>
      <c r="AL135" s="47">
        <v>-44166667</v>
      </c>
      <c r="AM135" s="47">
        <v>-169305556</v>
      </c>
      <c r="AN135" s="47">
        <v>-976473.91836734698</v>
      </c>
      <c r="AO135" s="47">
        <v>-976473.91836734698</v>
      </c>
      <c r="AP135" s="47">
        <v>-976473.91836734698</v>
      </c>
      <c r="AQ135" s="47">
        <v>-976473.91836734698</v>
      </c>
      <c r="AR135" s="47">
        <v>-976473.91836734698</v>
      </c>
      <c r="AS135" s="47">
        <v>-976473.91836734698</v>
      </c>
      <c r="AT135" s="47">
        <v>-976473.91836734698</v>
      </c>
      <c r="AU135" s="47">
        <v>-976473.91836734698</v>
      </c>
      <c r="AV135" s="47">
        <v>-976473.91836734698</v>
      </c>
      <c r="AW135" s="47">
        <v>-976473.91836734698</v>
      </c>
      <c r="AX135" s="47">
        <v>-976473.91836734698</v>
      </c>
      <c r="AY135" s="47">
        <v>-976473.91836734698</v>
      </c>
      <c r="AZ135" s="58">
        <f t="shared" si="6"/>
        <v>-11717687.020408163</v>
      </c>
      <c r="BA135" s="47">
        <f>Y135+SUM($AM135:AM135)</f>
        <v>95694444</v>
      </c>
      <c r="BB135" s="48">
        <f>Z135+SUM($AM135:AN135)</f>
        <v>94717970.081632644</v>
      </c>
      <c r="BC135" s="48">
        <f>AA135+SUM($AM135:AO135)</f>
        <v>93741496.163265288</v>
      </c>
      <c r="BD135" s="48">
        <f>AB135+SUM($AM135:AP135)</f>
        <v>92765022.244897932</v>
      </c>
      <c r="BE135" s="48">
        <f>AC135+SUM($AM135:AQ135)</f>
        <v>91788548.326530576</v>
      </c>
      <c r="BF135" s="48">
        <f>AD135+SUM($AM135:AR135)</f>
        <v>90812074.40816322</v>
      </c>
      <c r="BG135" s="48">
        <f>AE135+SUM($AM135:AS135)</f>
        <v>89835600.489795864</v>
      </c>
      <c r="BH135" s="48">
        <f>AF135+SUM($AM135:AT135)</f>
        <v>88859126.571428508</v>
      </c>
      <c r="BI135" s="48">
        <f>AG135+SUM($AM135:AU135)</f>
        <v>87882652.653061152</v>
      </c>
      <c r="BJ135" s="48">
        <f>AH135+SUM($AM135:AV135)</f>
        <v>86906178.734693795</v>
      </c>
      <c r="BK135" s="48">
        <f>AI135+SUM($AM135:AW135)</f>
        <v>85929704.816326439</v>
      </c>
      <c r="BL135" s="48">
        <f>AJ135+SUM($AM135:AX135)</f>
        <v>84953230.897959083</v>
      </c>
      <c r="BM135" s="48">
        <f>AK135+SUM($AM135:AY135)</f>
        <v>83976756.979591727</v>
      </c>
      <c r="BO135" s="47"/>
    </row>
    <row r="136" spans="3:67" s="41" customFormat="1" hidden="1" x14ac:dyDescent="0.3">
      <c r="C136" s="41" t="s">
        <v>1340</v>
      </c>
      <c r="D136" s="42" t="s">
        <v>338</v>
      </c>
      <c r="E136" s="42" t="str">
        <f t="shared" si="4"/>
        <v>211</v>
      </c>
      <c r="F136" s="41" t="str">
        <f>_xlfn.XLOOKUP($D136,MD_Account_Asset_Type[Nhóm tài sản],MD_Account_Asset_Type[Tên Nhóm tài sản])</f>
        <v>Máy móc, thiết bị - SX 627</v>
      </c>
      <c r="G136" s="41" t="str">
        <f>_xlfn.XLOOKUP($D136,MD_Account_Asset_Type[Nhóm tài sản],MD_Account_Asset_Type[Tên nhóm TS-Rút gọn])</f>
        <v>Máy móc thiết bị</v>
      </c>
      <c r="H136" s="41" t="str">
        <f>_xlfn.XLOOKUP($D136,MD_Account_Asset_Type[Nhóm tài sản],MD_Account_Asset_Type[Tên nhóm TS-Rút gọn-v2])</f>
        <v>Máy móc thiết bị</v>
      </c>
      <c r="I136" s="43" t="s">
        <v>857</v>
      </c>
      <c r="J136" s="42" t="s">
        <v>628</v>
      </c>
      <c r="K136" s="41" t="s">
        <v>830</v>
      </c>
      <c r="L136" s="42" t="s">
        <v>46</v>
      </c>
      <c r="M136" s="42" t="s">
        <v>121</v>
      </c>
      <c r="N136" s="44">
        <v>0</v>
      </c>
      <c r="O136" s="44"/>
      <c r="P136" s="41" t="s">
        <v>462</v>
      </c>
      <c r="Q136" s="41" t="str">
        <f t="shared" si="5"/>
        <v>627</v>
      </c>
      <c r="R136" s="41" t="str">
        <f>_xlfn.XLOOKUP($L136,MD_Cost_Center[Mã Cost Center],MD_Cost_Center[Ngành])</f>
        <v>Chung</v>
      </c>
      <c r="S136" s="41" t="str">
        <f>_xlfn.XLOOKUP($L136,MD_Cost_Center[Mã Cost Center],MD_Cost_Center[Ngành-Tách PET-Xơ sợi])</f>
        <v>Chung</v>
      </c>
      <c r="T136" s="45">
        <v>44683</v>
      </c>
      <c r="U136" s="46">
        <v>46509</v>
      </c>
      <c r="V136" s="47">
        <v>144</v>
      </c>
      <c r="W136" s="47">
        <v>169034165</v>
      </c>
      <c r="X136" s="47">
        <v>-452970.66</v>
      </c>
      <c r="Y136" s="47">
        <v>169034165</v>
      </c>
      <c r="Z136" s="47">
        <v>169034165</v>
      </c>
      <c r="AA136" s="47">
        <v>169034165</v>
      </c>
      <c r="AB136" s="47">
        <v>169034165</v>
      </c>
      <c r="AC136" s="47">
        <v>169034165</v>
      </c>
      <c r="AD136" s="47">
        <v>169034165</v>
      </c>
      <c r="AE136" s="47">
        <v>169034165</v>
      </c>
      <c r="AF136" s="47">
        <v>169034165</v>
      </c>
      <c r="AG136" s="47">
        <v>169034165</v>
      </c>
      <c r="AH136" s="47">
        <v>169034165</v>
      </c>
      <c r="AI136" s="47">
        <v>169034165</v>
      </c>
      <c r="AJ136" s="47">
        <v>169034165</v>
      </c>
      <c r="AK136" s="47">
        <v>169034165</v>
      </c>
      <c r="AL136" s="47">
        <v>-33972799</v>
      </c>
      <c r="AM136" s="47">
        <v>-123737099</v>
      </c>
      <c r="AN136" s="47">
        <v>-452970.66</v>
      </c>
      <c r="AO136" s="47">
        <v>-452970.66</v>
      </c>
      <c r="AP136" s="47">
        <v>-452970.66</v>
      </c>
      <c r="AQ136" s="47">
        <v>-452970.66</v>
      </c>
      <c r="AR136" s="47">
        <v>-452970.66</v>
      </c>
      <c r="AS136" s="47">
        <v>-452970.66</v>
      </c>
      <c r="AT136" s="47">
        <v>-452970.66</v>
      </c>
      <c r="AU136" s="47">
        <v>-452970.66</v>
      </c>
      <c r="AV136" s="47">
        <v>-452970.66</v>
      </c>
      <c r="AW136" s="47">
        <v>-452970.66</v>
      </c>
      <c r="AX136" s="47">
        <v>-452970.66</v>
      </c>
      <c r="AY136" s="47">
        <v>-452970.66</v>
      </c>
      <c r="AZ136" s="58">
        <f t="shared" si="6"/>
        <v>-5435647.9200000009</v>
      </c>
      <c r="BA136" s="47">
        <f>Y136+SUM($AM136:AM136)</f>
        <v>45297066</v>
      </c>
      <c r="BB136" s="48">
        <f>Z136+SUM($AM136:AN136)</f>
        <v>44844095.340000004</v>
      </c>
      <c r="BC136" s="48">
        <f>AA136+SUM($AM136:AO136)</f>
        <v>44391124.680000007</v>
      </c>
      <c r="BD136" s="48">
        <f>AB136+SUM($AM136:AP136)</f>
        <v>43938154.020000011</v>
      </c>
      <c r="BE136" s="48">
        <f>AC136+SUM($AM136:AQ136)</f>
        <v>43485183.360000014</v>
      </c>
      <c r="BF136" s="48">
        <f>AD136+SUM($AM136:AR136)</f>
        <v>43032212.700000018</v>
      </c>
      <c r="BG136" s="48">
        <f>AE136+SUM($AM136:AS136)</f>
        <v>42579242.040000021</v>
      </c>
      <c r="BH136" s="48">
        <f>AF136+SUM($AM136:AT136)</f>
        <v>42126271.380000025</v>
      </c>
      <c r="BI136" s="48">
        <f>AG136+SUM($AM136:AU136)</f>
        <v>41673300.720000029</v>
      </c>
      <c r="BJ136" s="48">
        <f>AH136+SUM($AM136:AV136)</f>
        <v>41220330.060000032</v>
      </c>
      <c r="BK136" s="48">
        <f>AI136+SUM($AM136:AW136)</f>
        <v>40767359.400000036</v>
      </c>
      <c r="BL136" s="48">
        <f>AJ136+SUM($AM136:AX136)</f>
        <v>40314388.740000039</v>
      </c>
      <c r="BM136" s="48">
        <f>AK136+SUM($AM136:AY136)</f>
        <v>39861418.080000043</v>
      </c>
      <c r="BO136" s="47"/>
    </row>
    <row r="137" spans="3:67" s="41" customFormat="1" hidden="1" x14ac:dyDescent="0.3">
      <c r="C137" s="41" t="s">
        <v>1340</v>
      </c>
      <c r="D137" s="42" t="s">
        <v>338</v>
      </c>
      <c r="E137" s="42" t="str">
        <f t="shared" si="4"/>
        <v>211</v>
      </c>
      <c r="F137" s="41" t="str">
        <f>_xlfn.XLOOKUP($D137,MD_Account_Asset_Type[Nhóm tài sản],MD_Account_Asset_Type[Tên Nhóm tài sản])</f>
        <v>Máy móc, thiết bị - SX 627</v>
      </c>
      <c r="G137" s="41" t="str">
        <f>_xlfn.XLOOKUP($D137,MD_Account_Asset_Type[Nhóm tài sản],MD_Account_Asset_Type[Tên nhóm TS-Rút gọn])</f>
        <v>Máy móc thiết bị</v>
      </c>
      <c r="H137" s="41" t="str">
        <f>_xlfn.XLOOKUP($D137,MD_Account_Asset_Type[Nhóm tài sản],MD_Account_Asset_Type[Tên nhóm TS-Rút gọn-v2])</f>
        <v>Máy móc thiết bị</v>
      </c>
      <c r="I137" s="43" t="s">
        <v>858</v>
      </c>
      <c r="J137" s="42" t="s">
        <v>629</v>
      </c>
      <c r="K137" s="41" t="s">
        <v>830</v>
      </c>
      <c r="L137" s="42" t="s">
        <v>48</v>
      </c>
      <c r="M137" s="42" t="s">
        <v>123</v>
      </c>
      <c r="N137" s="44">
        <v>0</v>
      </c>
      <c r="O137" s="44"/>
      <c r="P137" s="41" t="s">
        <v>462</v>
      </c>
      <c r="Q137" s="41" t="str">
        <f t="shared" si="5"/>
        <v>627</v>
      </c>
      <c r="R137" s="41" t="str">
        <f>_xlfn.XLOOKUP($L137,MD_Cost_Center[Mã Cost Center],MD_Cost_Center[Ngành])</f>
        <v>PET</v>
      </c>
      <c r="S137" s="41" t="str">
        <f>_xlfn.XLOOKUP($L137,MD_Cost_Center[Mã Cost Center],MD_Cost_Center[Ngành-Tách PET-Xơ sợi])</f>
        <v>Chung-PET</v>
      </c>
      <c r="T137" s="45">
        <v>44694</v>
      </c>
      <c r="U137" s="46">
        <v>46520</v>
      </c>
      <c r="V137" s="47">
        <v>144</v>
      </c>
      <c r="W137" s="47">
        <v>172165000</v>
      </c>
      <c r="X137" s="47">
        <v>-459106.67</v>
      </c>
      <c r="Y137" s="47">
        <v>172165000</v>
      </c>
      <c r="Z137" s="47">
        <v>172165000</v>
      </c>
      <c r="AA137" s="47">
        <v>172165000</v>
      </c>
      <c r="AB137" s="47">
        <v>172165000</v>
      </c>
      <c r="AC137" s="47">
        <v>172165000</v>
      </c>
      <c r="AD137" s="47">
        <v>172165000</v>
      </c>
      <c r="AE137" s="47">
        <v>172165000</v>
      </c>
      <c r="AF137" s="47">
        <v>172165000</v>
      </c>
      <c r="AG137" s="47">
        <v>172165000</v>
      </c>
      <c r="AH137" s="47">
        <v>172165000</v>
      </c>
      <c r="AI137" s="47">
        <v>172165000</v>
      </c>
      <c r="AJ137" s="47">
        <v>172165000</v>
      </c>
      <c r="AK137" s="47">
        <v>172165000</v>
      </c>
      <c r="AL137" s="47">
        <v>-34433000</v>
      </c>
      <c r="AM137" s="47">
        <v>-126254333</v>
      </c>
      <c r="AN137" s="47">
        <v>-459106.67</v>
      </c>
      <c r="AO137" s="47">
        <v>-459106.67</v>
      </c>
      <c r="AP137" s="47">
        <v>-459106.67</v>
      </c>
      <c r="AQ137" s="47">
        <v>-459106.67</v>
      </c>
      <c r="AR137" s="47">
        <v>-459106.67</v>
      </c>
      <c r="AS137" s="47">
        <v>-459106.67</v>
      </c>
      <c r="AT137" s="47">
        <v>-459106.67</v>
      </c>
      <c r="AU137" s="47">
        <v>-459106.67</v>
      </c>
      <c r="AV137" s="47">
        <v>-459106.67</v>
      </c>
      <c r="AW137" s="47">
        <v>-459106.67</v>
      </c>
      <c r="AX137" s="47">
        <v>-459106.67</v>
      </c>
      <c r="AY137" s="47">
        <v>-459106.67</v>
      </c>
      <c r="AZ137" s="58">
        <f t="shared" si="6"/>
        <v>-5509280.04</v>
      </c>
      <c r="BA137" s="47">
        <f>Y137+SUM($AM137:AM137)</f>
        <v>45910667</v>
      </c>
      <c r="BB137" s="48">
        <f>Z137+SUM($AM137:AN137)</f>
        <v>45451560.329999998</v>
      </c>
      <c r="BC137" s="48">
        <f>AA137+SUM($AM137:AO137)</f>
        <v>44992453.659999996</v>
      </c>
      <c r="BD137" s="48">
        <f>AB137+SUM($AM137:AP137)</f>
        <v>44533346.989999995</v>
      </c>
      <c r="BE137" s="48">
        <f>AC137+SUM($AM137:AQ137)</f>
        <v>44074240.319999993</v>
      </c>
      <c r="BF137" s="48">
        <f>AD137+SUM($AM137:AR137)</f>
        <v>43615133.649999991</v>
      </c>
      <c r="BG137" s="48">
        <f>AE137+SUM($AM137:AS137)</f>
        <v>43156026.979999989</v>
      </c>
      <c r="BH137" s="48">
        <f>AF137+SUM($AM137:AT137)</f>
        <v>42696920.309999987</v>
      </c>
      <c r="BI137" s="48">
        <f>AG137+SUM($AM137:AU137)</f>
        <v>42237813.639999986</v>
      </c>
      <c r="BJ137" s="48">
        <f>AH137+SUM($AM137:AV137)</f>
        <v>41778706.969999984</v>
      </c>
      <c r="BK137" s="48">
        <f>AI137+SUM($AM137:AW137)</f>
        <v>41319600.299999982</v>
      </c>
      <c r="BL137" s="48">
        <f>AJ137+SUM($AM137:AX137)</f>
        <v>40860493.62999998</v>
      </c>
      <c r="BM137" s="48">
        <f>AK137+SUM($AM137:AY137)</f>
        <v>40401386.959999979</v>
      </c>
      <c r="BO137" s="47"/>
    </row>
    <row r="138" spans="3:67" s="41" customFormat="1" hidden="1" x14ac:dyDescent="0.3">
      <c r="C138" s="41" t="s">
        <v>1340</v>
      </c>
      <c r="D138" s="42" t="s">
        <v>338</v>
      </c>
      <c r="E138" s="42" t="str">
        <f t="shared" ref="E138:E201" si="7">MID($D138,2,3)</f>
        <v>211</v>
      </c>
      <c r="F138" s="41" t="str">
        <f>_xlfn.XLOOKUP($D138,MD_Account_Asset_Type[Nhóm tài sản],MD_Account_Asset_Type[Tên Nhóm tài sản])</f>
        <v>Máy móc, thiết bị - SX 627</v>
      </c>
      <c r="G138" s="41" t="str">
        <f>_xlfn.XLOOKUP($D138,MD_Account_Asset_Type[Nhóm tài sản],MD_Account_Asset_Type[Tên nhóm TS-Rút gọn])</f>
        <v>Máy móc thiết bị</v>
      </c>
      <c r="H138" s="41" t="str">
        <f>_xlfn.XLOOKUP($D138,MD_Account_Asset_Type[Nhóm tài sản],MD_Account_Asset_Type[Tên nhóm TS-Rút gọn-v2])</f>
        <v>Máy móc thiết bị</v>
      </c>
      <c r="I138" s="43" t="s">
        <v>861</v>
      </c>
      <c r="J138" s="42" t="s">
        <v>630</v>
      </c>
      <c r="K138" s="41" t="s">
        <v>830</v>
      </c>
      <c r="L138" s="42" t="s">
        <v>61</v>
      </c>
      <c r="M138" s="42" t="s">
        <v>136</v>
      </c>
      <c r="N138" s="44" t="s">
        <v>254</v>
      </c>
      <c r="O138" s="44"/>
      <c r="P138" s="41" t="s">
        <v>462</v>
      </c>
      <c r="Q138" s="41" t="str">
        <f t="shared" ref="Q138:Q201" si="8">LEFT($P138,3)</f>
        <v>627</v>
      </c>
      <c r="R138" s="41" t="str">
        <f>_xlfn.XLOOKUP($L138,MD_Cost_Center[Mã Cost Center],MD_Cost_Center[Ngành])</f>
        <v>PET</v>
      </c>
      <c r="S138" s="41" t="str">
        <f>_xlfn.XLOOKUP($L138,MD_Cost_Center[Mã Cost Center],MD_Cost_Center[Ngành-Tách PET-Xơ sợi])</f>
        <v>Chung-PET</v>
      </c>
      <c r="T138" s="45">
        <v>44736</v>
      </c>
      <c r="U138" s="46">
        <v>46562</v>
      </c>
      <c r="V138" s="47">
        <v>144</v>
      </c>
      <c r="W138" s="47">
        <v>551292212</v>
      </c>
      <c r="X138" s="47">
        <v>-1546529.3069306931</v>
      </c>
      <c r="Y138" s="47">
        <v>551292212</v>
      </c>
      <c r="Z138" s="47">
        <v>551292212</v>
      </c>
      <c r="AA138" s="47">
        <v>551292212</v>
      </c>
      <c r="AB138" s="47">
        <v>551292212</v>
      </c>
      <c r="AC138" s="47">
        <v>551292212</v>
      </c>
      <c r="AD138" s="47">
        <v>551292212</v>
      </c>
      <c r="AE138" s="47">
        <v>551292212</v>
      </c>
      <c r="AF138" s="47">
        <v>551292212</v>
      </c>
      <c r="AG138" s="47">
        <v>551292212</v>
      </c>
      <c r="AH138" s="47">
        <v>551292212</v>
      </c>
      <c r="AI138" s="47">
        <v>551292212</v>
      </c>
      <c r="AJ138" s="47">
        <v>551292212</v>
      </c>
      <c r="AK138" s="47">
        <v>551292212</v>
      </c>
      <c r="AL138" s="47">
        <v>-110258443</v>
      </c>
      <c r="AM138" s="47">
        <v>-395092752</v>
      </c>
      <c r="AN138" s="47">
        <v>-1546529.3069306931</v>
      </c>
      <c r="AO138" s="47">
        <v>-1546529.3069306931</v>
      </c>
      <c r="AP138" s="47">
        <v>-1546529.3069306931</v>
      </c>
      <c r="AQ138" s="47">
        <v>-1546529.3069306931</v>
      </c>
      <c r="AR138" s="47">
        <v>-1546529.3069306931</v>
      </c>
      <c r="AS138" s="47">
        <v>-1546529.3069306931</v>
      </c>
      <c r="AT138" s="47">
        <v>-1546529.3069306931</v>
      </c>
      <c r="AU138" s="47">
        <v>-1546529.3069306931</v>
      </c>
      <c r="AV138" s="47">
        <v>-1546529.3069306931</v>
      </c>
      <c r="AW138" s="47">
        <v>-1546529.3069306931</v>
      </c>
      <c r="AX138" s="47">
        <v>-1546529.3069306931</v>
      </c>
      <c r="AY138" s="47">
        <v>-1546529.3069306931</v>
      </c>
      <c r="AZ138" s="58">
        <f t="shared" si="6"/>
        <v>-18558351.683168318</v>
      </c>
      <c r="BA138" s="47">
        <f>Y138+SUM($AM138:AM138)</f>
        <v>156199460</v>
      </c>
      <c r="BB138" s="48">
        <f>Z138+SUM($AM138:AN138)</f>
        <v>154652930.69306928</v>
      </c>
      <c r="BC138" s="48">
        <f>AA138+SUM($AM138:AO138)</f>
        <v>153106401.38613856</v>
      </c>
      <c r="BD138" s="48">
        <f>AB138+SUM($AM138:AP138)</f>
        <v>151559872.07920784</v>
      </c>
      <c r="BE138" s="48">
        <f>AC138+SUM($AM138:AQ138)</f>
        <v>150013342.77227712</v>
      </c>
      <c r="BF138" s="48">
        <f>AD138+SUM($AM138:AR138)</f>
        <v>148466813.4653464</v>
      </c>
      <c r="BG138" s="48">
        <f>AE138+SUM($AM138:AS138)</f>
        <v>146920284.15841568</v>
      </c>
      <c r="BH138" s="48">
        <f>AF138+SUM($AM138:AT138)</f>
        <v>145373754.85148495</v>
      </c>
      <c r="BI138" s="48">
        <f>AG138+SUM($AM138:AU138)</f>
        <v>143827225.54455423</v>
      </c>
      <c r="BJ138" s="48">
        <f>AH138+SUM($AM138:AV138)</f>
        <v>142280696.23762351</v>
      </c>
      <c r="BK138" s="48">
        <f>AI138+SUM($AM138:AW138)</f>
        <v>140734166.93069279</v>
      </c>
      <c r="BL138" s="48">
        <f>AJ138+SUM($AM138:AX138)</f>
        <v>139187637.62376207</v>
      </c>
      <c r="BM138" s="48">
        <f>AK138+SUM($AM138:AY138)</f>
        <v>137641108.31683135</v>
      </c>
      <c r="BO138" s="47"/>
    </row>
    <row r="139" spans="3:67" s="41" customFormat="1" hidden="1" x14ac:dyDescent="0.3">
      <c r="C139" s="41" t="s">
        <v>1340</v>
      </c>
      <c r="D139" s="42" t="s">
        <v>338</v>
      </c>
      <c r="E139" s="42" t="str">
        <f t="shared" si="7"/>
        <v>211</v>
      </c>
      <c r="F139" s="41" t="str">
        <f>_xlfn.XLOOKUP($D139,MD_Account_Asset_Type[Nhóm tài sản],MD_Account_Asset_Type[Tên Nhóm tài sản])</f>
        <v>Máy móc, thiết bị - SX 627</v>
      </c>
      <c r="G139" s="41" t="str">
        <f>_xlfn.XLOOKUP($D139,MD_Account_Asset_Type[Nhóm tài sản],MD_Account_Asset_Type[Tên nhóm TS-Rút gọn])</f>
        <v>Máy móc thiết bị</v>
      </c>
      <c r="H139" s="41" t="str">
        <f>_xlfn.XLOOKUP($D139,MD_Account_Asset_Type[Nhóm tài sản],MD_Account_Asset_Type[Tên nhóm TS-Rút gọn-v2])</f>
        <v>Máy móc thiết bị</v>
      </c>
      <c r="I139" s="43" t="s">
        <v>864</v>
      </c>
      <c r="J139" s="42" t="s">
        <v>631</v>
      </c>
      <c r="K139" s="41" t="s">
        <v>830</v>
      </c>
      <c r="L139" s="42" t="s">
        <v>51</v>
      </c>
      <c r="M139" s="42" t="s">
        <v>126</v>
      </c>
      <c r="N139" s="44" t="s">
        <v>244</v>
      </c>
      <c r="O139" s="44"/>
      <c r="P139" s="41" t="s">
        <v>462</v>
      </c>
      <c r="Q139" s="41" t="str">
        <f t="shared" si="8"/>
        <v>627</v>
      </c>
      <c r="R139" s="41" t="str">
        <f>_xlfn.XLOOKUP($L139,MD_Cost_Center[Mã Cost Center],MD_Cost_Center[Ngành])</f>
        <v>PET</v>
      </c>
      <c r="S139" s="41" t="str">
        <f>_xlfn.XLOOKUP($L139,MD_Cost_Center[Mã Cost Center],MD_Cost_Center[Ngành-Tách PET-Xơ sợi])</f>
        <v>Chung-PET</v>
      </c>
      <c r="T139" s="45">
        <v>44757</v>
      </c>
      <c r="U139" s="46">
        <v>47679</v>
      </c>
      <c r="V139" s="47">
        <v>144</v>
      </c>
      <c r="W139" s="47">
        <v>123198632</v>
      </c>
      <c r="X139" s="47">
        <v>-679404.21568627446</v>
      </c>
      <c r="Y139" s="47">
        <v>123198632</v>
      </c>
      <c r="Z139" s="47">
        <v>123198632</v>
      </c>
      <c r="AA139" s="47">
        <v>123198632</v>
      </c>
      <c r="AB139" s="47">
        <v>123198632</v>
      </c>
      <c r="AC139" s="47">
        <v>123198632</v>
      </c>
      <c r="AD139" s="47">
        <v>123198632</v>
      </c>
      <c r="AE139" s="47">
        <v>123198632</v>
      </c>
      <c r="AF139" s="47">
        <v>123198632</v>
      </c>
      <c r="AG139" s="47">
        <v>123198632</v>
      </c>
      <c r="AH139" s="47">
        <v>123198632</v>
      </c>
      <c r="AI139" s="47">
        <v>123198632</v>
      </c>
      <c r="AJ139" s="47">
        <v>123198632</v>
      </c>
      <c r="AK139" s="47">
        <v>123198632</v>
      </c>
      <c r="AL139" s="47">
        <v>-15399829</v>
      </c>
      <c r="AM139" s="47">
        <v>-53899402</v>
      </c>
      <c r="AN139" s="47">
        <v>-679404.21568627446</v>
      </c>
      <c r="AO139" s="47">
        <v>-679404.21568627446</v>
      </c>
      <c r="AP139" s="47">
        <v>-679404.21568627446</v>
      </c>
      <c r="AQ139" s="47">
        <v>-679404.21568627446</v>
      </c>
      <c r="AR139" s="47">
        <v>-679404.21568627446</v>
      </c>
      <c r="AS139" s="47">
        <v>-679404.21568627446</v>
      </c>
      <c r="AT139" s="47">
        <v>-679404.21568627446</v>
      </c>
      <c r="AU139" s="47">
        <v>-679404.21568627446</v>
      </c>
      <c r="AV139" s="47">
        <v>-679404.21568627446</v>
      </c>
      <c r="AW139" s="47">
        <v>-679404.21568627446</v>
      </c>
      <c r="AX139" s="47">
        <v>-679404.21568627446</v>
      </c>
      <c r="AY139" s="47">
        <v>-679404.21568627446</v>
      </c>
      <c r="AZ139" s="58">
        <f t="shared" si="6"/>
        <v>-8152850.5882352954</v>
      </c>
      <c r="BA139" s="47">
        <f>Y139+SUM($AM139:AM139)</f>
        <v>69299230</v>
      </c>
      <c r="BB139" s="48">
        <f>Z139+SUM($AM139:AN139)</f>
        <v>68619825.784313723</v>
      </c>
      <c r="BC139" s="48">
        <f>AA139+SUM($AM139:AO139)</f>
        <v>67940421.568627447</v>
      </c>
      <c r="BD139" s="48">
        <f>AB139+SUM($AM139:AP139)</f>
        <v>67261017.35294117</v>
      </c>
      <c r="BE139" s="48">
        <f>AC139+SUM($AM139:AQ139)</f>
        <v>66581613.137254894</v>
      </c>
      <c r="BF139" s="48">
        <f>AD139+SUM($AM139:AR139)</f>
        <v>65902208.921568617</v>
      </c>
      <c r="BG139" s="48">
        <f>AE139+SUM($AM139:AS139)</f>
        <v>65222804.705882341</v>
      </c>
      <c r="BH139" s="48">
        <f>AF139+SUM($AM139:AT139)</f>
        <v>64543400.490196064</v>
      </c>
      <c r="BI139" s="48">
        <f>AG139+SUM($AM139:AU139)</f>
        <v>63863996.274509788</v>
      </c>
      <c r="BJ139" s="48">
        <f>AH139+SUM($AM139:AV139)</f>
        <v>63184592.058823511</v>
      </c>
      <c r="BK139" s="48">
        <f>AI139+SUM($AM139:AW139)</f>
        <v>62505187.843137234</v>
      </c>
      <c r="BL139" s="48">
        <f>AJ139+SUM($AM139:AX139)</f>
        <v>61825783.627450958</v>
      </c>
      <c r="BM139" s="48">
        <f>AK139+SUM($AM139:AY139)</f>
        <v>61146379.411764681</v>
      </c>
      <c r="BO139" s="47"/>
    </row>
    <row r="140" spans="3:67" s="41" customFormat="1" hidden="1" x14ac:dyDescent="0.3">
      <c r="C140" s="41" t="s">
        <v>1340</v>
      </c>
      <c r="D140" s="42" t="s">
        <v>338</v>
      </c>
      <c r="E140" s="42" t="str">
        <f t="shared" si="7"/>
        <v>211</v>
      </c>
      <c r="F140" s="41" t="str">
        <f>_xlfn.XLOOKUP($D140,MD_Account_Asset_Type[Nhóm tài sản],MD_Account_Asset_Type[Tên Nhóm tài sản])</f>
        <v>Máy móc, thiết bị - SX 627</v>
      </c>
      <c r="G140" s="41" t="str">
        <f>_xlfn.XLOOKUP($D140,MD_Account_Asset_Type[Nhóm tài sản],MD_Account_Asset_Type[Tên nhóm TS-Rút gọn])</f>
        <v>Máy móc thiết bị</v>
      </c>
      <c r="H140" s="41" t="str">
        <f>_xlfn.XLOOKUP($D140,MD_Account_Asset_Type[Nhóm tài sản],MD_Account_Asset_Type[Tên nhóm TS-Rút gọn-v2])</f>
        <v>Máy móc thiết bị</v>
      </c>
      <c r="I140" s="43" t="s">
        <v>865</v>
      </c>
      <c r="J140" s="42" t="s">
        <v>632</v>
      </c>
      <c r="K140" s="41" t="s">
        <v>830</v>
      </c>
      <c r="L140" s="42" t="s">
        <v>46</v>
      </c>
      <c r="M140" s="42" t="s">
        <v>121</v>
      </c>
      <c r="N140" s="44">
        <v>0</v>
      </c>
      <c r="O140" s="44"/>
      <c r="P140" s="41" t="s">
        <v>462</v>
      </c>
      <c r="Q140" s="41" t="str">
        <f t="shared" si="8"/>
        <v>627</v>
      </c>
      <c r="R140" s="41" t="str">
        <f>_xlfn.XLOOKUP($L140,MD_Cost_Center[Mã Cost Center],MD_Cost_Center[Ngành])</f>
        <v>Chung</v>
      </c>
      <c r="S140" s="41" t="str">
        <f>_xlfn.XLOOKUP($L140,MD_Cost_Center[Mã Cost Center],MD_Cost_Center[Ngành-Tách PET-Xơ sợi])</f>
        <v>Chung</v>
      </c>
      <c r="T140" s="45">
        <v>44835</v>
      </c>
      <c r="U140" s="46">
        <v>46661</v>
      </c>
      <c r="V140" s="47">
        <v>144</v>
      </c>
      <c r="W140" s="47">
        <v>34920000</v>
      </c>
      <c r="X140" s="47">
        <v>-116400</v>
      </c>
      <c r="Y140" s="47">
        <v>34920000</v>
      </c>
      <c r="Z140" s="47">
        <v>34920000</v>
      </c>
      <c r="AA140" s="47">
        <v>34920000</v>
      </c>
      <c r="AB140" s="47">
        <v>34920000</v>
      </c>
      <c r="AC140" s="47">
        <v>34920000</v>
      </c>
      <c r="AD140" s="47">
        <v>34920000</v>
      </c>
      <c r="AE140" s="47">
        <v>34920000</v>
      </c>
      <c r="AF140" s="47">
        <v>34920000</v>
      </c>
      <c r="AG140" s="47">
        <v>34920000</v>
      </c>
      <c r="AH140" s="47">
        <v>34920000</v>
      </c>
      <c r="AI140" s="47">
        <v>34920000</v>
      </c>
      <c r="AJ140" s="47">
        <v>34920000</v>
      </c>
      <c r="AK140" s="47">
        <v>34920000</v>
      </c>
      <c r="AL140" s="47">
        <v>-6984000</v>
      </c>
      <c r="AM140" s="47">
        <v>-22698000</v>
      </c>
      <c r="AN140" s="47">
        <v>-116400</v>
      </c>
      <c r="AO140" s="47">
        <v>-116400</v>
      </c>
      <c r="AP140" s="47">
        <v>-116400</v>
      </c>
      <c r="AQ140" s="47">
        <v>-116400</v>
      </c>
      <c r="AR140" s="47">
        <v>-116400</v>
      </c>
      <c r="AS140" s="47">
        <v>-116400</v>
      </c>
      <c r="AT140" s="47">
        <v>-116400</v>
      </c>
      <c r="AU140" s="47">
        <v>-116400</v>
      </c>
      <c r="AV140" s="47">
        <v>-116400</v>
      </c>
      <c r="AW140" s="47">
        <v>-116400</v>
      </c>
      <c r="AX140" s="47">
        <v>-116400</v>
      </c>
      <c r="AY140" s="47">
        <v>-116400</v>
      </c>
      <c r="AZ140" s="58">
        <f t="shared" si="6"/>
        <v>-1396800</v>
      </c>
      <c r="BA140" s="47">
        <f>Y140+SUM($AM140:AM140)</f>
        <v>12222000</v>
      </c>
      <c r="BB140" s="48">
        <f>Z140+SUM($AM140:AN140)</f>
        <v>12105600</v>
      </c>
      <c r="BC140" s="48">
        <f>AA140+SUM($AM140:AO140)</f>
        <v>11989200</v>
      </c>
      <c r="BD140" s="48">
        <f>AB140+SUM($AM140:AP140)</f>
        <v>11872800</v>
      </c>
      <c r="BE140" s="48">
        <f>AC140+SUM($AM140:AQ140)</f>
        <v>11756400</v>
      </c>
      <c r="BF140" s="48">
        <f>AD140+SUM($AM140:AR140)</f>
        <v>11640000</v>
      </c>
      <c r="BG140" s="48">
        <f>AE140+SUM($AM140:AS140)</f>
        <v>11523600</v>
      </c>
      <c r="BH140" s="48">
        <f>AF140+SUM($AM140:AT140)</f>
        <v>11407200</v>
      </c>
      <c r="BI140" s="48">
        <f>AG140+SUM($AM140:AU140)</f>
        <v>11290800</v>
      </c>
      <c r="BJ140" s="48">
        <f>AH140+SUM($AM140:AV140)</f>
        <v>11174400</v>
      </c>
      <c r="BK140" s="48">
        <f>AI140+SUM($AM140:AW140)</f>
        <v>11058000</v>
      </c>
      <c r="BL140" s="48">
        <f>AJ140+SUM($AM140:AX140)</f>
        <v>10941600</v>
      </c>
      <c r="BM140" s="48">
        <f>AK140+SUM($AM140:AY140)</f>
        <v>10825200</v>
      </c>
      <c r="BO140" s="47"/>
    </row>
    <row r="141" spans="3:67" s="41" customFormat="1" hidden="1" x14ac:dyDescent="0.3">
      <c r="C141" s="41" t="s">
        <v>1340</v>
      </c>
      <c r="D141" s="42" t="s">
        <v>338</v>
      </c>
      <c r="E141" s="42" t="str">
        <f t="shared" si="7"/>
        <v>211</v>
      </c>
      <c r="F141" s="41" t="str">
        <f>_xlfn.XLOOKUP($D141,MD_Account_Asset_Type[Nhóm tài sản],MD_Account_Asset_Type[Tên Nhóm tài sản])</f>
        <v>Máy móc, thiết bị - SX 627</v>
      </c>
      <c r="G141" s="41" t="str">
        <f>_xlfn.XLOOKUP($D141,MD_Account_Asset_Type[Nhóm tài sản],MD_Account_Asset_Type[Tên nhóm TS-Rút gọn])</f>
        <v>Máy móc thiết bị</v>
      </c>
      <c r="H141" s="41" t="str">
        <f>_xlfn.XLOOKUP($D141,MD_Account_Asset_Type[Nhóm tài sản],MD_Account_Asset_Type[Tên nhóm TS-Rút gọn-v2])</f>
        <v>Máy móc thiết bị</v>
      </c>
      <c r="I141" s="43" t="s">
        <v>866</v>
      </c>
      <c r="J141" s="42" t="s">
        <v>633</v>
      </c>
      <c r="K141" s="41" t="s">
        <v>830</v>
      </c>
      <c r="L141" s="42" t="s">
        <v>46</v>
      </c>
      <c r="M141" s="42" t="s">
        <v>121</v>
      </c>
      <c r="N141" s="44">
        <v>0</v>
      </c>
      <c r="O141" s="44"/>
      <c r="P141" s="41" t="s">
        <v>462</v>
      </c>
      <c r="Q141" s="41" t="str">
        <f t="shared" si="8"/>
        <v>627</v>
      </c>
      <c r="R141" s="41" t="str">
        <f>_xlfn.XLOOKUP($L141,MD_Cost_Center[Mã Cost Center],MD_Cost_Center[Ngành])</f>
        <v>Chung</v>
      </c>
      <c r="S141" s="41" t="str">
        <f>_xlfn.XLOOKUP($L141,MD_Cost_Center[Mã Cost Center],MD_Cost_Center[Ngành-Tách PET-Xơ sợi])</f>
        <v>Chung</v>
      </c>
      <c r="T141" s="45">
        <v>44835</v>
      </c>
      <c r="U141" s="46">
        <v>46661</v>
      </c>
      <c r="V141" s="47">
        <v>144</v>
      </c>
      <c r="W141" s="47">
        <v>255000000</v>
      </c>
      <c r="X141" s="47">
        <v>-909940.52336448594</v>
      </c>
      <c r="Y141" s="47">
        <v>255000000</v>
      </c>
      <c r="Z141" s="47">
        <v>255000000</v>
      </c>
      <c r="AA141" s="47">
        <v>255000000</v>
      </c>
      <c r="AB141" s="47">
        <v>255000000</v>
      </c>
      <c r="AC141" s="47">
        <v>255000000</v>
      </c>
      <c r="AD141" s="47">
        <v>255000000</v>
      </c>
      <c r="AE141" s="47">
        <v>255000000</v>
      </c>
      <c r="AF141" s="47">
        <v>255000000</v>
      </c>
      <c r="AG141" s="47">
        <v>255000000</v>
      </c>
      <c r="AH141" s="47">
        <v>255000000</v>
      </c>
      <c r="AI141" s="47">
        <v>255000000</v>
      </c>
      <c r="AJ141" s="47">
        <v>255000000</v>
      </c>
      <c r="AK141" s="47">
        <v>255000000</v>
      </c>
      <c r="AL141" s="47">
        <v>-55636364</v>
      </c>
      <c r="AM141" s="47">
        <v>-157636364</v>
      </c>
      <c r="AN141" s="47">
        <v>-909940.52336448594</v>
      </c>
      <c r="AO141" s="47">
        <v>-909940.52336448594</v>
      </c>
      <c r="AP141" s="47">
        <v>-909940.52336448594</v>
      </c>
      <c r="AQ141" s="47">
        <v>-909940.52336448594</v>
      </c>
      <c r="AR141" s="47">
        <v>-909940.52336448594</v>
      </c>
      <c r="AS141" s="47">
        <v>-909940.52336448594</v>
      </c>
      <c r="AT141" s="47">
        <v>-909940.52336448594</v>
      </c>
      <c r="AU141" s="47">
        <v>-909940.52336448594</v>
      </c>
      <c r="AV141" s="47">
        <v>-909940.52336448594</v>
      </c>
      <c r="AW141" s="47">
        <v>-909940.52336448594</v>
      </c>
      <c r="AX141" s="47">
        <v>-909940.52336448594</v>
      </c>
      <c r="AY141" s="47">
        <v>-909940.52336448594</v>
      </c>
      <c r="AZ141" s="58">
        <f t="shared" si="6"/>
        <v>-10919286.280373832</v>
      </c>
      <c r="BA141" s="47">
        <f>Y141+SUM($AM141:AM141)</f>
        <v>97363636</v>
      </c>
      <c r="BB141" s="48">
        <f>Z141+SUM($AM141:AN141)</f>
        <v>96453695.476635516</v>
      </c>
      <c r="BC141" s="48">
        <f>AA141+SUM($AM141:AO141)</f>
        <v>95543754.953271031</v>
      </c>
      <c r="BD141" s="48">
        <f>AB141+SUM($AM141:AP141)</f>
        <v>94633814.429906547</v>
      </c>
      <c r="BE141" s="48">
        <f>AC141+SUM($AM141:AQ141)</f>
        <v>93723873.906542063</v>
      </c>
      <c r="BF141" s="48">
        <f>AD141+SUM($AM141:AR141)</f>
        <v>92813933.383177578</v>
      </c>
      <c r="BG141" s="48">
        <f>AE141+SUM($AM141:AS141)</f>
        <v>91903992.859813094</v>
      </c>
      <c r="BH141" s="48">
        <f>AF141+SUM($AM141:AT141)</f>
        <v>90994052.33644861</v>
      </c>
      <c r="BI141" s="48">
        <f>AG141+SUM($AM141:AU141)</f>
        <v>90084111.813084126</v>
      </c>
      <c r="BJ141" s="48">
        <f>AH141+SUM($AM141:AV141)</f>
        <v>89174171.289719641</v>
      </c>
      <c r="BK141" s="48">
        <f>AI141+SUM($AM141:AW141)</f>
        <v>88264230.766355157</v>
      </c>
      <c r="BL141" s="48">
        <f>AJ141+SUM($AM141:AX141)</f>
        <v>87354290.242990673</v>
      </c>
      <c r="BM141" s="48">
        <f>AK141+SUM($AM141:AY141)</f>
        <v>86444349.719626188</v>
      </c>
      <c r="BO141" s="47"/>
    </row>
    <row r="142" spans="3:67" s="41" customFormat="1" hidden="1" x14ac:dyDescent="0.3">
      <c r="C142" s="41" t="s">
        <v>1340</v>
      </c>
      <c r="D142" s="42" t="s">
        <v>338</v>
      </c>
      <c r="E142" s="42" t="str">
        <f t="shared" si="7"/>
        <v>211</v>
      </c>
      <c r="F142" s="41" t="str">
        <f>_xlfn.XLOOKUP($D142,MD_Account_Asset_Type[Nhóm tài sản],MD_Account_Asset_Type[Tên Nhóm tài sản])</f>
        <v>Máy móc, thiết bị - SX 627</v>
      </c>
      <c r="G142" s="41" t="str">
        <f>_xlfn.XLOOKUP($D142,MD_Account_Asset_Type[Nhóm tài sản],MD_Account_Asset_Type[Tên nhóm TS-Rút gọn])</f>
        <v>Máy móc thiết bị</v>
      </c>
      <c r="H142" s="41" t="str">
        <f>_xlfn.XLOOKUP($D142,MD_Account_Asset_Type[Nhóm tài sản],MD_Account_Asset_Type[Tên nhóm TS-Rút gọn-v2])</f>
        <v>Máy móc thiết bị</v>
      </c>
      <c r="I142" s="43" t="s">
        <v>867</v>
      </c>
      <c r="J142" s="42" t="s">
        <v>634</v>
      </c>
      <c r="K142" s="41" t="s">
        <v>830</v>
      </c>
      <c r="L142" s="42" t="s">
        <v>46</v>
      </c>
      <c r="M142" s="42" t="s">
        <v>121</v>
      </c>
      <c r="N142" s="44">
        <v>0</v>
      </c>
      <c r="O142" s="44"/>
      <c r="P142" s="41" t="s">
        <v>462</v>
      </c>
      <c r="Q142" s="41" t="str">
        <f t="shared" si="8"/>
        <v>627</v>
      </c>
      <c r="R142" s="41" t="str">
        <f>_xlfn.XLOOKUP($L142,MD_Cost_Center[Mã Cost Center],MD_Cost_Center[Ngành])</f>
        <v>Chung</v>
      </c>
      <c r="S142" s="41" t="str">
        <f>_xlfn.XLOOKUP($L142,MD_Cost_Center[Mã Cost Center],MD_Cost_Center[Ngành-Tách PET-Xơ sợi])</f>
        <v>Chung</v>
      </c>
      <c r="T142" s="45">
        <v>44835</v>
      </c>
      <c r="U142" s="46">
        <v>46661</v>
      </c>
      <c r="V142" s="47">
        <v>144</v>
      </c>
      <c r="W142" s="47">
        <v>34600000</v>
      </c>
      <c r="X142" s="47">
        <v>-134805.20000000001</v>
      </c>
      <c r="Y142" s="47">
        <v>34600000</v>
      </c>
      <c r="Z142" s="47">
        <v>34600000</v>
      </c>
      <c r="AA142" s="47">
        <v>34600000</v>
      </c>
      <c r="AB142" s="47">
        <v>34600000</v>
      </c>
      <c r="AC142" s="47">
        <v>34600000</v>
      </c>
      <c r="AD142" s="47">
        <v>34600000</v>
      </c>
      <c r="AE142" s="47">
        <v>34600000</v>
      </c>
      <c r="AF142" s="47">
        <v>34600000</v>
      </c>
      <c r="AG142" s="47">
        <v>34600000</v>
      </c>
      <c r="AH142" s="47">
        <v>34600000</v>
      </c>
      <c r="AI142" s="47">
        <v>34600000</v>
      </c>
      <c r="AJ142" s="47">
        <v>34600000</v>
      </c>
      <c r="AK142" s="47">
        <v>34600000</v>
      </c>
      <c r="AL142" s="47">
        <v>-8473469</v>
      </c>
      <c r="AM142" s="47">
        <v>-19771428</v>
      </c>
      <c r="AN142" s="47">
        <v>-134805.20000000001</v>
      </c>
      <c r="AO142" s="47">
        <v>-134805.20000000001</v>
      </c>
      <c r="AP142" s="47">
        <v>-134805.20000000001</v>
      </c>
      <c r="AQ142" s="47">
        <v>-134805.20000000001</v>
      </c>
      <c r="AR142" s="47">
        <v>-134805.20000000001</v>
      </c>
      <c r="AS142" s="47">
        <v>-134805.20000000001</v>
      </c>
      <c r="AT142" s="47">
        <v>-134805.20000000001</v>
      </c>
      <c r="AU142" s="47">
        <v>-134805.20000000001</v>
      </c>
      <c r="AV142" s="47">
        <v>-134805.20000000001</v>
      </c>
      <c r="AW142" s="47">
        <v>-134805.20000000001</v>
      </c>
      <c r="AX142" s="47">
        <v>-134805.20000000001</v>
      </c>
      <c r="AY142" s="47">
        <v>-134805.20000000001</v>
      </c>
      <c r="AZ142" s="58">
        <f t="shared" si="6"/>
        <v>-1617662.3999999997</v>
      </c>
      <c r="BA142" s="47">
        <f>Y142+SUM($AM142:AM142)</f>
        <v>14828572</v>
      </c>
      <c r="BB142" s="48">
        <f>Z142+SUM($AM142:AN142)</f>
        <v>14693766.800000001</v>
      </c>
      <c r="BC142" s="48">
        <f>AA142+SUM($AM142:AO142)</f>
        <v>14558961.600000001</v>
      </c>
      <c r="BD142" s="48">
        <f>AB142+SUM($AM142:AP142)</f>
        <v>14424156.400000002</v>
      </c>
      <c r="BE142" s="48">
        <f>AC142+SUM($AM142:AQ142)</f>
        <v>14289351.200000003</v>
      </c>
      <c r="BF142" s="48">
        <f>AD142+SUM($AM142:AR142)</f>
        <v>14154546.000000004</v>
      </c>
      <c r="BG142" s="48">
        <f>AE142+SUM($AM142:AS142)</f>
        <v>14019740.800000004</v>
      </c>
      <c r="BH142" s="48">
        <f>AF142+SUM($AM142:AT142)</f>
        <v>13884935.600000005</v>
      </c>
      <c r="BI142" s="48">
        <f>AG142+SUM($AM142:AU142)</f>
        <v>13750130.400000006</v>
      </c>
      <c r="BJ142" s="48">
        <f>AH142+SUM($AM142:AV142)</f>
        <v>13615325.200000007</v>
      </c>
      <c r="BK142" s="48">
        <f>AI142+SUM($AM142:AW142)</f>
        <v>13480520.000000007</v>
      </c>
      <c r="BL142" s="48">
        <f>AJ142+SUM($AM142:AX142)</f>
        <v>13345714.800000008</v>
      </c>
      <c r="BM142" s="48">
        <f>AK142+SUM($AM142:AY142)</f>
        <v>13210909.600000009</v>
      </c>
      <c r="BO142" s="47"/>
    </row>
    <row r="143" spans="3:67" s="41" customFormat="1" hidden="1" x14ac:dyDescent="0.3">
      <c r="C143" s="41" t="s">
        <v>1340</v>
      </c>
      <c r="D143" s="42" t="s">
        <v>338</v>
      </c>
      <c r="E143" s="42" t="str">
        <f t="shared" si="7"/>
        <v>211</v>
      </c>
      <c r="F143" s="41" t="str">
        <f>_xlfn.XLOOKUP($D143,MD_Account_Asset_Type[Nhóm tài sản],MD_Account_Asset_Type[Tên Nhóm tài sản])</f>
        <v>Máy móc, thiết bị - SX 627</v>
      </c>
      <c r="G143" s="41" t="str">
        <f>_xlfn.XLOOKUP($D143,MD_Account_Asset_Type[Nhóm tài sản],MD_Account_Asset_Type[Tên nhóm TS-Rút gọn])</f>
        <v>Máy móc thiết bị</v>
      </c>
      <c r="H143" s="41" t="str">
        <f>_xlfn.XLOOKUP($D143,MD_Account_Asset_Type[Nhóm tài sản],MD_Account_Asset_Type[Tên nhóm TS-Rút gọn-v2])</f>
        <v>Máy móc thiết bị</v>
      </c>
      <c r="I143" s="43" t="s">
        <v>868</v>
      </c>
      <c r="J143" s="42" t="s">
        <v>635</v>
      </c>
      <c r="K143" s="41" t="s">
        <v>830</v>
      </c>
      <c r="L143" s="42" t="s">
        <v>51</v>
      </c>
      <c r="M143" s="42" t="s">
        <v>126</v>
      </c>
      <c r="N143" s="44" t="s">
        <v>244</v>
      </c>
      <c r="O143" s="44"/>
      <c r="P143" s="41" t="s">
        <v>462</v>
      </c>
      <c r="Q143" s="41" t="str">
        <f t="shared" si="8"/>
        <v>627</v>
      </c>
      <c r="R143" s="41" t="str">
        <f>_xlfn.XLOOKUP($L143,MD_Cost_Center[Mã Cost Center],MD_Cost_Center[Ngành])</f>
        <v>PET</v>
      </c>
      <c r="S143" s="41" t="str">
        <f>_xlfn.XLOOKUP($L143,MD_Cost_Center[Mã Cost Center],MD_Cost_Center[Ngành-Tách PET-Xơ sợi])</f>
        <v>Chung-PET</v>
      </c>
      <c r="T143" s="45">
        <v>44927</v>
      </c>
      <c r="U143" s="46">
        <v>46753</v>
      </c>
      <c r="V143" s="47">
        <v>144</v>
      </c>
      <c r="W143" s="47">
        <v>261760895</v>
      </c>
      <c r="X143" s="47">
        <v>-969484.79629629629</v>
      </c>
      <c r="Y143" s="47">
        <v>261760895</v>
      </c>
      <c r="Z143" s="47">
        <v>261760895</v>
      </c>
      <c r="AA143" s="47">
        <v>261760895</v>
      </c>
      <c r="AB143" s="47">
        <v>261760895</v>
      </c>
      <c r="AC143" s="47">
        <v>261760895</v>
      </c>
      <c r="AD143" s="47">
        <v>261760895</v>
      </c>
      <c r="AE143" s="47">
        <v>261760895</v>
      </c>
      <c r="AF143" s="47">
        <v>261760895</v>
      </c>
      <c r="AG143" s="47">
        <v>261760895</v>
      </c>
      <c r="AH143" s="47">
        <v>261760895</v>
      </c>
      <c r="AI143" s="47">
        <v>261760895</v>
      </c>
      <c r="AJ143" s="47">
        <v>261760895</v>
      </c>
      <c r="AK143" s="47">
        <v>261760895</v>
      </c>
      <c r="AL143" s="47">
        <v>-52352179</v>
      </c>
      <c r="AM143" s="47">
        <v>-157056537</v>
      </c>
      <c r="AN143" s="47">
        <v>-969484.79629629629</v>
      </c>
      <c r="AO143" s="47">
        <v>-969484.79629629629</v>
      </c>
      <c r="AP143" s="47">
        <v>-969484.79629629629</v>
      </c>
      <c r="AQ143" s="47">
        <v>-969484.79629629629</v>
      </c>
      <c r="AR143" s="47">
        <v>-969484.79629629629</v>
      </c>
      <c r="AS143" s="47">
        <v>-969484.79629629629</v>
      </c>
      <c r="AT143" s="47">
        <v>-969484.79629629629</v>
      </c>
      <c r="AU143" s="47">
        <v>-969484.79629629629</v>
      </c>
      <c r="AV143" s="47">
        <v>-969484.79629629629</v>
      </c>
      <c r="AW143" s="47">
        <v>-969484.79629629629</v>
      </c>
      <c r="AX143" s="47">
        <v>-969484.79629629629</v>
      </c>
      <c r="AY143" s="47">
        <v>-969484.79629629629</v>
      </c>
      <c r="AZ143" s="58">
        <f t="shared" si="6"/>
        <v>-11633817.555555558</v>
      </c>
      <c r="BA143" s="47">
        <f>Y143+SUM($AM143:AM143)</f>
        <v>104704358</v>
      </c>
      <c r="BB143" s="48">
        <f>Z143+SUM($AM143:AN143)</f>
        <v>103734873.2037037</v>
      </c>
      <c r="BC143" s="48">
        <f>AA143+SUM($AM143:AO143)</f>
        <v>102765388.4074074</v>
      </c>
      <c r="BD143" s="48">
        <f>AB143+SUM($AM143:AP143)</f>
        <v>101795903.6111111</v>
      </c>
      <c r="BE143" s="48">
        <f>AC143+SUM($AM143:AQ143)</f>
        <v>100826418.81481481</v>
      </c>
      <c r="BF143" s="48">
        <f>AD143+SUM($AM143:AR143)</f>
        <v>99856934.018518507</v>
      </c>
      <c r="BG143" s="48">
        <f>AE143+SUM($AM143:AS143)</f>
        <v>98887449.222222209</v>
      </c>
      <c r="BH143" s="48">
        <f>AF143+SUM($AM143:AT143)</f>
        <v>97917964.42592591</v>
      </c>
      <c r="BI143" s="48">
        <f>AG143+SUM($AM143:AU143)</f>
        <v>96948479.629629612</v>
      </c>
      <c r="BJ143" s="48">
        <f>AH143+SUM($AM143:AV143)</f>
        <v>95978994.833333313</v>
      </c>
      <c r="BK143" s="48">
        <f>AI143+SUM($AM143:AW143)</f>
        <v>95009510.037037015</v>
      </c>
      <c r="BL143" s="48">
        <f>AJ143+SUM($AM143:AX143)</f>
        <v>94040025.240740716</v>
      </c>
      <c r="BM143" s="48">
        <f>AK143+SUM($AM143:AY143)</f>
        <v>93070540.444444418</v>
      </c>
      <c r="BO143" s="47"/>
    </row>
    <row r="144" spans="3:67" s="41" customFormat="1" hidden="1" x14ac:dyDescent="0.3">
      <c r="C144" s="41" t="s">
        <v>1340</v>
      </c>
      <c r="D144" s="42" t="s">
        <v>338</v>
      </c>
      <c r="E144" s="42" t="str">
        <f t="shared" si="7"/>
        <v>211</v>
      </c>
      <c r="F144" s="41" t="str">
        <f>_xlfn.XLOOKUP($D144,MD_Account_Asset_Type[Nhóm tài sản],MD_Account_Asset_Type[Tên Nhóm tài sản])</f>
        <v>Máy móc, thiết bị - SX 627</v>
      </c>
      <c r="G144" s="41" t="str">
        <f>_xlfn.XLOOKUP($D144,MD_Account_Asset_Type[Nhóm tài sản],MD_Account_Asset_Type[Tên nhóm TS-Rút gọn])</f>
        <v>Máy móc thiết bị</v>
      </c>
      <c r="H144" s="41" t="str">
        <f>_xlfn.XLOOKUP($D144,MD_Account_Asset_Type[Nhóm tài sản],MD_Account_Asset_Type[Tên nhóm TS-Rút gọn-v2])</f>
        <v>Máy móc thiết bị</v>
      </c>
      <c r="I144" s="43" t="s">
        <v>869</v>
      </c>
      <c r="J144" s="42" t="s">
        <v>636</v>
      </c>
      <c r="K144" s="41" t="s">
        <v>830</v>
      </c>
      <c r="L144" s="42" t="s">
        <v>57</v>
      </c>
      <c r="M144" s="42" t="s">
        <v>132</v>
      </c>
      <c r="N144" s="44" t="s">
        <v>250</v>
      </c>
      <c r="O144" s="44"/>
      <c r="P144" s="41" t="s">
        <v>462</v>
      </c>
      <c r="Q144" s="41" t="str">
        <f t="shared" si="8"/>
        <v>627</v>
      </c>
      <c r="R144" s="41" t="str">
        <f>_xlfn.XLOOKUP($L144,MD_Cost_Center[Mã Cost Center],MD_Cost_Center[Ngành])</f>
        <v>HD/PP</v>
      </c>
      <c r="S144" s="41" t="str">
        <f>_xlfn.XLOOKUP($L144,MD_Cost_Center[Mã Cost Center],MD_Cost_Center[Ngành-Tách PET-Xơ sợi])</f>
        <v>Chung-PET</v>
      </c>
      <c r="T144" s="45">
        <v>44927</v>
      </c>
      <c r="U144" s="46">
        <v>46753</v>
      </c>
      <c r="V144" s="47">
        <v>144</v>
      </c>
      <c r="W144" s="47">
        <v>261760893</v>
      </c>
      <c r="X144" s="47">
        <v>-969484.78703703708</v>
      </c>
      <c r="Y144" s="47">
        <v>261760893</v>
      </c>
      <c r="Z144" s="47">
        <v>261760893</v>
      </c>
      <c r="AA144" s="47">
        <v>261760893</v>
      </c>
      <c r="AB144" s="47">
        <v>261760893</v>
      </c>
      <c r="AC144" s="47">
        <v>261760893</v>
      </c>
      <c r="AD144" s="47">
        <v>261760893</v>
      </c>
      <c r="AE144" s="47">
        <v>261760893</v>
      </c>
      <c r="AF144" s="47">
        <v>261760893</v>
      </c>
      <c r="AG144" s="47">
        <v>261760893</v>
      </c>
      <c r="AH144" s="47">
        <v>261760893</v>
      </c>
      <c r="AI144" s="47">
        <v>261760893</v>
      </c>
      <c r="AJ144" s="47">
        <v>261760893</v>
      </c>
      <c r="AK144" s="47">
        <v>261760893</v>
      </c>
      <c r="AL144" s="47">
        <v>-52352178</v>
      </c>
      <c r="AM144" s="47">
        <v>-157056536</v>
      </c>
      <c r="AN144" s="47">
        <v>-969484.78703703708</v>
      </c>
      <c r="AO144" s="47">
        <v>-969484.78703703708</v>
      </c>
      <c r="AP144" s="47">
        <v>-969484.78703703708</v>
      </c>
      <c r="AQ144" s="47">
        <v>-969484.78703703708</v>
      </c>
      <c r="AR144" s="47">
        <v>-969484.78703703708</v>
      </c>
      <c r="AS144" s="47">
        <v>-969484.78703703708</v>
      </c>
      <c r="AT144" s="47">
        <v>-969484.78703703708</v>
      </c>
      <c r="AU144" s="47">
        <v>-969484.78703703708</v>
      </c>
      <c r="AV144" s="47">
        <v>-969484.78703703708</v>
      </c>
      <c r="AW144" s="47">
        <v>-969484.78703703708</v>
      </c>
      <c r="AX144" s="47">
        <v>-969484.78703703708</v>
      </c>
      <c r="AY144" s="47">
        <v>-969484.78703703708</v>
      </c>
      <c r="AZ144" s="58">
        <f t="shared" si="6"/>
        <v>-11633817.444444446</v>
      </c>
      <c r="BA144" s="47">
        <f>Y144+SUM($AM144:AM144)</f>
        <v>104704357</v>
      </c>
      <c r="BB144" s="48">
        <f>Z144+SUM($AM144:AN144)</f>
        <v>103734872.21296296</v>
      </c>
      <c r="BC144" s="48">
        <f>AA144+SUM($AM144:AO144)</f>
        <v>102765387.42592591</v>
      </c>
      <c r="BD144" s="48">
        <f>AB144+SUM($AM144:AP144)</f>
        <v>101795902.63888887</v>
      </c>
      <c r="BE144" s="48">
        <f>AC144+SUM($AM144:AQ144)</f>
        <v>100826417.85185182</v>
      </c>
      <c r="BF144" s="48">
        <f>AD144+SUM($AM144:AR144)</f>
        <v>99856933.064814776</v>
      </c>
      <c r="BG144" s="48">
        <f>AE144+SUM($AM144:AS144)</f>
        <v>98887448.277777731</v>
      </c>
      <c r="BH144" s="48">
        <f>AF144+SUM($AM144:AT144)</f>
        <v>97917963.490740687</v>
      </c>
      <c r="BI144" s="48">
        <f>AG144+SUM($AM144:AU144)</f>
        <v>96948478.703703642</v>
      </c>
      <c r="BJ144" s="48">
        <f>AH144+SUM($AM144:AV144)</f>
        <v>95978993.916666597</v>
      </c>
      <c r="BK144" s="48">
        <f>AI144+SUM($AM144:AW144)</f>
        <v>95009509.129629552</v>
      </c>
      <c r="BL144" s="48">
        <f>AJ144+SUM($AM144:AX144)</f>
        <v>94040024.342592508</v>
      </c>
      <c r="BM144" s="48">
        <f>AK144+SUM($AM144:AY144)</f>
        <v>93070539.555555463</v>
      </c>
      <c r="BO144" s="47"/>
    </row>
    <row r="145" spans="3:67" s="41" customFormat="1" hidden="1" x14ac:dyDescent="0.3">
      <c r="C145" s="41" t="s">
        <v>1340</v>
      </c>
      <c r="D145" s="42" t="s">
        <v>338</v>
      </c>
      <c r="E145" s="42" t="str">
        <f t="shared" si="7"/>
        <v>211</v>
      </c>
      <c r="F145" s="41" t="str">
        <f>_xlfn.XLOOKUP($D145,MD_Account_Asset_Type[Nhóm tài sản],MD_Account_Asset_Type[Tên Nhóm tài sản])</f>
        <v>Máy móc, thiết bị - SX 627</v>
      </c>
      <c r="G145" s="41" t="str">
        <f>_xlfn.XLOOKUP($D145,MD_Account_Asset_Type[Nhóm tài sản],MD_Account_Asset_Type[Tên nhóm TS-Rút gọn])</f>
        <v>Máy móc thiết bị</v>
      </c>
      <c r="H145" s="41" t="str">
        <f>_xlfn.XLOOKUP($D145,MD_Account_Asset_Type[Nhóm tài sản],MD_Account_Asset_Type[Tên nhóm TS-Rút gọn-v2])</f>
        <v>Máy móc thiết bị</v>
      </c>
      <c r="I145" s="43" t="s">
        <v>870</v>
      </c>
      <c r="J145" s="42" t="s">
        <v>637</v>
      </c>
      <c r="K145" s="41" t="s">
        <v>830</v>
      </c>
      <c r="L145" s="42" t="s">
        <v>62</v>
      </c>
      <c r="M145" s="42" t="s">
        <v>137</v>
      </c>
      <c r="N145" s="44" t="s">
        <v>255</v>
      </c>
      <c r="O145" s="44"/>
      <c r="P145" s="41" t="s">
        <v>462</v>
      </c>
      <c r="Q145" s="41" t="str">
        <f t="shared" si="8"/>
        <v>627</v>
      </c>
      <c r="R145" s="41" t="str">
        <f>_xlfn.XLOOKUP($L145,MD_Cost_Center[Mã Cost Center],MD_Cost_Center[Ngành])</f>
        <v>PET</v>
      </c>
      <c r="S145" s="41" t="str">
        <f>_xlfn.XLOOKUP($L145,MD_Cost_Center[Mã Cost Center],MD_Cost_Center[Ngành-Tách PET-Xơ sợi])</f>
        <v>PET</v>
      </c>
      <c r="T145" s="45">
        <v>44958</v>
      </c>
      <c r="U145" s="46">
        <v>46784</v>
      </c>
      <c r="V145" s="47">
        <v>144</v>
      </c>
      <c r="W145" s="47">
        <v>4460334770</v>
      </c>
      <c r="X145" s="47">
        <v>-17050209.366972476</v>
      </c>
      <c r="Y145" s="47">
        <v>4460334770</v>
      </c>
      <c r="Z145" s="47">
        <v>4460334770</v>
      </c>
      <c r="AA145" s="47">
        <v>4460334770</v>
      </c>
      <c r="AB145" s="47">
        <v>4460334770</v>
      </c>
      <c r="AC145" s="47">
        <v>4460334770</v>
      </c>
      <c r="AD145" s="47">
        <v>4460334770</v>
      </c>
      <c r="AE145" s="47">
        <v>4460334770</v>
      </c>
      <c r="AF145" s="47">
        <v>4460334770</v>
      </c>
      <c r="AG145" s="47">
        <v>4460334770</v>
      </c>
      <c r="AH145" s="47">
        <v>4460334770</v>
      </c>
      <c r="AI145" s="47">
        <v>4460334770</v>
      </c>
      <c r="AJ145" s="47">
        <v>4460334770</v>
      </c>
      <c r="AK145" s="47">
        <v>4460334770</v>
      </c>
      <c r="AL145" s="47">
        <v>-892066954</v>
      </c>
      <c r="AM145" s="47">
        <v>-2601861949</v>
      </c>
      <c r="AN145" s="47">
        <v>-17050209.366972476</v>
      </c>
      <c r="AO145" s="47">
        <v>-17050209.366972476</v>
      </c>
      <c r="AP145" s="47">
        <v>-17050209.366972476</v>
      </c>
      <c r="AQ145" s="47">
        <v>-17050209.366972476</v>
      </c>
      <c r="AR145" s="47">
        <v>-17050209.366972476</v>
      </c>
      <c r="AS145" s="47">
        <v>-17050209.366972476</v>
      </c>
      <c r="AT145" s="47">
        <v>-17050209.366972476</v>
      </c>
      <c r="AU145" s="47">
        <v>-17050209.366972476</v>
      </c>
      <c r="AV145" s="47">
        <v>-17050209.366972476</v>
      </c>
      <c r="AW145" s="47">
        <v>-17050209.366972476</v>
      </c>
      <c r="AX145" s="47">
        <v>-17050209.366972476</v>
      </c>
      <c r="AY145" s="47">
        <v>-17050209.366972476</v>
      </c>
      <c r="AZ145" s="58">
        <f t="shared" si="6"/>
        <v>-204602512.40366971</v>
      </c>
      <c r="BA145" s="47">
        <f>Y145+SUM($AM145:AM145)</f>
        <v>1858472821</v>
      </c>
      <c r="BB145" s="48">
        <f>Z145+SUM($AM145:AN145)</f>
        <v>1841422611.6330276</v>
      </c>
      <c r="BC145" s="48">
        <f>AA145+SUM($AM145:AO145)</f>
        <v>1824372402.2660551</v>
      </c>
      <c r="BD145" s="48">
        <f>AB145+SUM($AM145:AP145)</f>
        <v>1807322192.8990827</v>
      </c>
      <c r="BE145" s="48">
        <f>AC145+SUM($AM145:AQ145)</f>
        <v>1790271983.5321102</v>
      </c>
      <c r="BF145" s="48">
        <f>AD145+SUM($AM145:AR145)</f>
        <v>1773221774.1651378</v>
      </c>
      <c r="BG145" s="48">
        <f>AE145+SUM($AM145:AS145)</f>
        <v>1756171564.7981653</v>
      </c>
      <c r="BH145" s="48">
        <f>AF145+SUM($AM145:AT145)</f>
        <v>1739121355.4311929</v>
      </c>
      <c r="BI145" s="48">
        <f>AG145+SUM($AM145:AU145)</f>
        <v>1722071146.0642204</v>
      </c>
      <c r="BJ145" s="48">
        <f>AH145+SUM($AM145:AV145)</f>
        <v>1705020936.697248</v>
      </c>
      <c r="BK145" s="48">
        <f>AI145+SUM($AM145:AW145)</f>
        <v>1687970727.3302755</v>
      </c>
      <c r="BL145" s="48">
        <f>AJ145+SUM($AM145:AX145)</f>
        <v>1670920517.9633031</v>
      </c>
      <c r="BM145" s="48">
        <f>AK145+SUM($AM145:AY145)</f>
        <v>1653870308.5963306</v>
      </c>
      <c r="BO145" s="47"/>
    </row>
    <row r="146" spans="3:67" s="41" customFormat="1" hidden="1" x14ac:dyDescent="0.3">
      <c r="C146" s="41" t="s">
        <v>1340</v>
      </c>
      <c r="D146" s="42" t="s">
        <v>338</v>
      </c>
      <c r="E146" s="42" t="str">
        <f t="shared" si="7"/>
        <v>211</v>
      </c>
      <c r="F146" s="41" t="str">
        <f>_xlfn.XLOOKUP($D146,MD_Account_Asset_Type[Nhóm tài sản],MD_Account_Asset_Type[Tên Nhóm tài sản])</f>
        <v>Máy móc, thiết bị - SX 627</v>
      </c>
      <c r="G146" s="41" t="str">
        <f>_xlfn.XLOOKUP($D146,MD_Account_Asset_Type[Nhóm tài sản],MD_Account_Asset_Type[Tên nhóm TS-Rút gọn])</f>
        <v>Máy móc thiết bị</v>
      </c>
      <c r="H146" s="41" t="str">
        <f>_xlfn.XLOOKUP($D146,MD_Account_Asset_Type[Nhóm tài sản],MD_Account_Asset_Type[Tên nhóm TS-Rút gọn-v2])</f>
        <v>Máy móc thiết bị</v>
      </c>
      <c r="I146" s="43" t="s">
        <v>871</v>
      </c>
      <c r="J146" s="42" t="s">
        <v>638</v>
      </c>
      <c r="K146" s="41" t="s">
        <v>830</v>
      </c>
      <c r="L146" s="42" t="s">
        <v>57</v>
      </c>
      <c r="M146" s="42" t="s">
        <v>132</v>
      </c>
      <c r="N146" s="44" t="s">
        <v>250</v>
      </c>
      <c r="O146" s="44"/>
      <c r="P146" s="41" t="s">
        <v>462</v>
      </c>
      <c r="Q146" s="41" t="str">
        <f t="shared" si="8"/>
        <v>627</v>
      </c>
      <c r="R146" s="41" t="str">
        <f>_xlfn.XLOOKUP($L146,MD_Cost_Center[Mã Cost Center],MD_Cost_Center[Ngành])</f>
        <v>HD/PP</v>
      </c>
      <c r="S146" s="41" t="str">
        <f>_xlfn.XLOOKUP($L146,MD_Cost_Center[Mã Cost Center],MD_Cost_Center[Ngành-Tách PET-Xơ sợi])</f>
        <v>Chung-PET</v>
      </c>
      <c r="T146" s="45">
        <v>44986</v>
      </c>
      <c r="U146" s="46">
        <v>46813</v>
      </c>
      <c r="V146" s="47">
        <v>144</v>
      </c>
      <c r="W146" s="47">
        <v>1856733952</v>
      </c>
      <c r="X146" s="47">
        <v>-7314406.4818181815</v>
      </c>
      <c r="Y146" s="47">
        <v>1856733952</v>
      </c>
      <c r="Z146" s="47">
        <v>1856733952</v>
      </c>
      <c r="AA146" s="47">
        <v>1856733952</v>
      </c>
      <c r="AB146" s="47">
        <v>1856733952</v>
      </c>
      <c r="AC146" s="47">
        <v>1856733952</v>
      </c>
      <c r="AD146" s="47">
        <v>1856733952</v>
      </c>
      <c r="AE146" s="47">
        <v>1856733952</v>
      </c>
      <c r="AF146" s="47">
        <v>1856733952</v>
      </c>
      <c r="AG146" s="47">
        <v>1856733952</v>
      </c>
      <c r="AH146" s="47">
        <v>1856733952</v>
      </c>
      <c r="AI146" s="47">
        <v>1856733952</v>
      </c>
      <c r="AJ146" s="47">
        <v>1856733952</v>
      </c>
      <c r="AK146" s="47">
        <v>1856733952</v>
      </c>
      <c r="AL146" s="47">
        <v>-371346790</v>
      </c>
      <c r="AM146" s="47">
        <v>-1052149239</v>
      </c>
      <c r="AN146" s="47">
        <v>-7314406.4818181815</v>
      </c>
      <c r="AO146" s="47">
        <v>-7314406.4818181815</v>
      </c>
      <c r="AP146" s="47">
        <v>-7314406.4818181815</v>
      </c>
      <c r="AQ146" s="47">
        <v>-7314406.4818181815</v>
      </c>
      <c r="AR146" s="47">
        <v>-7314406.4818181815</v>
      </c>
      <c r="AS146" s="47">
        <v>-7314406.4818181815</v>
      </c>
      <c r="AT146" s="47">
        <v>-7314406.4818181815</v>
      </c>
      <c r="AU146" s="47">
        <v>-7314406.4818181815</v>
      </c>
      <c r="AV146" s="47">
        <v>-7314406.4818181815</v>
      </c>
      <c r="AW146" s="47">
        <v>-7314406.4818181815</v>
      </c>
      <c r="AX146" s="47">
        <v>-7314406.4818181815</v>
      </c>
      <c r="AY146" s="47">
        <v>-7314406.4818181815</v>
      </c>
      <c r="AZ146" s="58">
        <f t="shared" si="6"/>
        <v>-87772877.781818196</v>
      </c>
      <c r="BA146" s="47">
        <f>Y146+SUM($AM146:AM146)</f>
        <v>804584713</v>
      </c>
      <c r="BB146" s="48">
        <f>Z146+SUM($AM146:AN146)</f>
        <v>797270306.5181818</v>
      </c>
      <c r="BC146" s="48">
        <f>AA146+SUM($AM146:AO146)</f>
        <v>789955900.0363636</v>
      </c>
      <c r="BD146" s="48">
        <f>AB146+SUM($AM146:AP146)</f>
        <v>782641493.5545454</v>
      </c>
      <c r="BE146" s="48">
        <f>AC146+SUM($AM146:AQ146)</f>
        <v>775327087.0727272</v>
      </c>
      <c r="BF146" s="48">
        <f>AD146+SUM($AM146:AR146)</f>
        <v>768012680.590909</v>
      </c>
      <c r="BG146" s="48">
        <f>AE146+SUM($AM146:AS146)</f>
        <v>760698274.10909081</v>
      </c>
      <c r="BH146" s="48">
        <f>AF146+SUM($AM146:AT146)</f>
        <v>753383867.62727261</v>
      </c>
      <c r="BI146" s="48">
        <f>AG146+SUM($AM146:AU146)</f>
        <v>746069461.14545441</v>
      </c>
      <c r="BJ146" s="48">
        <f>AH146+SUM($AM146:AV146)</f>
        <v>738755054.66363621</v>
      </c>
      <c r="BK146" s="48">
        <f>AI146+SUM($AM146:AW146)</f>
        <v>731440648.18181801</v>
      </c>
      <c r="BL146" s="48">
        <f>AJ146+SUM($AM146:AX146)</f>
        <v>724126241.69999981</v>
      </c>
      <c r="BM146" s="48">
        <f>AK146+SUM($AM146:AY146)</f>
        <v>716811835.21818161</v>
      </c>
      <c r="BO146" s="47"/>
    </row>
    <row r="147" spans="3:67" s="41" customFormat="1" hidden="1" x14ac:dyDescent="0.3">
      <c r="C147" s="41" t="s">
        <v>1340</v>
      </c>
      <c r="D147" s="42" t="s">
        <v>338</v>
      </c>
      <c r="E147" s="42" t="str">
        <f t="shared" si="7"/>
        <v>211</v>
      </c>
      <c r="F147" s="41" t="str">
        <f>_xlfn.XLOOKUP($D147,MD_Account_Asset_Type[Nhóm tài sản],MD_Account_Asset_Type[Tên Nhóm tài sản])</f>
        <v>Máy móc, thiết bị - SX 627</v>
      </c>
      <c r="G147" s="41" t="str">
        <f>_xlfn.XLOOKUP($D147,MD_Account_Asset_Type[Nhóm tài sản],MD_Account_Asset_Type[Tên nhóm TS-Rút gọn])</f>
        <v>Máy móc thiết bị</v>
      </c>
      <c r="H147" s="41" t="str">
        <f>_xlfn.XLOOKUP($D147,MD_Account_Asset_Type[Nhóm tài sản],MD_Account_Asset_Type[Tên nhóm TS-Rút gọn-v2])</f>
        <v>Máy móc thiết bị</v>
      </c>
      <c r="I147" s="43" t="s">
        <v>874</v>
      </c>
      <c r="J147" s="42" t="s">
        <v>639</v>
      </c>
      <c r="K147" s="41" t="s">
        <v>830</v>
      </c>
      <c r="L147" s="42" t="s">
        <v>51</v>
      </c>
      <c r="M147" s="42" t="s">
        <v>126</v>
      </c>
      <c r="N147" s="44" t="s">
        <v>244</v>
      </c>
      <c r="O147" s="44"/>
      <c r="P147" s="41" t="s">
        <v>462</v>
      </c>
      <c r="Q147" s="41" t="str">
        <f t="shared" si="8"/>
        <v>627</v>
      </c>
      <c r="R147" s="41" t="str">
        <f>_xlfn.XLOOKUP($L147,MD_Cost_Center[Mã Cost Center],MD_Cost_Center[Ngành])</f>
        <v>PET</v>
      </c>
      <c r="S147" s="41" t="str">
        <f>_xlfn.XLOOKUP($L147,MD_Cost_Center[Mã Cost Center],MD_Cost_Center[Ngành-Tách PET-Xơ sợi])</f>
        <v>Chung-PET</v>
      </c>
      <c r="T147" s="45">
        <v>45017</v>
      </c>
      <c r="U147" s="46">
        <v>46844</v>
      </c>
      <c r="V147" s="47">
        <v>144</v>
      </c>
      <c r="W147" s="47">
        <v>99797292</v>
      </c>
      <c r="X147" s="47">
        <v>-404583.6216216216</v>
      </c>
      <c r="Y147" s="47">
        <v>99797292</v>
      </c>
      <c r="Z147" s="47">
        <v>99797292</v>
      </c>
      <c r="AA147" s="47">
        <v>99797292</v>
      </c>
      <c r="AB147" s="47">
        <v>99797292</v>
      </c>
      <c r="AC147" s="47">
        <v>99797292</v>
      </c>
      <c r="AD147" s="47">
        <v>99797292</v>
      </c>
      <c r="AE147" s="47">
        <v>99797292</v>
      </c>
      <c r="AF147" s="47">
        <v>99797292</v>
      </c>
      <c r="AG147" s="47">
        <v>99797292</v>
      </c>
      <c r="AH147" s="47">
        <v>99797292</v>
      </c>
      <c r="AI147" s="47">
        <v>99797292</v>
      </c>
      <c r="AJ147" s="47">
        <v>99797292</v>
      </c>
      <c r="AK147" s="47">
        <v>99797292</v>
      </c>
      <c r="AL147" s="47">
        <v>-19959458</v>
      </c>
      <c r="AM147" s="47">
        <v>-54888510</v>
      </c>
      <c r="AN147" s="47">
        <v>-404583.6216216216</v>
      </c>
      <c r="AO147" s="47">
        <v>-404583.6216216216</v>
      </c>
      <c r="AP147" s="47">
        <v>-404583.6216216216</v>
      </c>
      <c r="AQ147" s="47">
        <v>-404583.6216216216</v>
      </c>
      <c r="AR147" s="47">
        <v>-404583.6216216216</v>
      </c>
      <c r="AS147" s="47">
        <v>-404583.6216216216</v>
      </c>
      <c r="AT147" s="47">
        <v>-404583.6216216216</v>
      </c>
      <c r="AU147" s="47">
        <v>-404583.6216216216</v>
      </c>
      <c r="AV147" s="47">
        <v>-404583.6216216216</v>
      </c>
      <c r="AW147" s="47">
        <v>-404583.6216216216</v>
      </c>
      <c r="AX147" s="47">
        <v>-404583.6216216216</v>
      </c>
      <c r="AY147" s="47">
        <v>-404583.6216216216</v>
      </c>
      <c r="AZ147" s="58">
        <f t="shared" si="6"/>
        <v>-4855003.4594594603</v>
      </c>
      <c r="BA147" s="47">
        <f>Y147+SUM($AM147:AM147)</f>
        <v>44908782</v>
      </c>
      <c r="BB147" s="48">
        <f>Z147+SUM($AM147:AN147)</f>
        <v>44504198.378378376</v>
      </c>
      <c r="BC147" s="48">
        <f>AA147+SUM($AM147:AO147)</f>
        <v>44099614.756756753</v>
      </c>
      <c r="BD147" s="48">
        <f>AB147+SUM($AM147:AP147)</f>
        <v>43695031.135135129</v>
      </c>
      <c r="BE147" s="48">
        <f>AC147+SUM($AM147:AQ147)</f>
        <v>43290447.513513505</v>
      </c>
      <c r="BF147" s="48">
        <f>AD147+SUM($AM147:AR147)</f>
        <v>42885863.891891882</v>
      </c>
      <c r="BG147" s="48">
        <f>AE147+SUM($AM147:AS147)</f>
        <v>42481280.270270258</v>
      </c>
      <c r="BH147" s="48">
        <f>AF147+SUM($AM147:AT147)</f>
        <v>42076696.648648635</v>
      </c>
      <c r="BI147" s="48">
        <f>AG147+SUM($AM147:AU147)</f>
        <v>41672113.027027011</v>
      </c>
      <c r="BJ147" s="48">
        <f>AH147+SUM($AM147:AV147)</f>
        <v>41267529.405405387</v>
      </c>
      <c r="BK147" s="48">
        <f>AI147+SUM($AM147:AW147)</f>
        <v>40862945.783783764</v>
      </c>
      <c r="BL147" s="48">
        <f>AJ147+SUM($AM147:AX147)</f>
        <v>40458362.16216214</v>
      </c>
      <c r="BM147" s="48">
        <f>AK147+SUM($AM147:AY147)</f>
        <v>40053778.540540516</v>
      </c>
      <c r="BO147" s="47"/>
    </row>
    <row r="148" spans="3:67" s="41" customFormat="1" hidden="1" x14ac:dyDescent="0.3">
      <c r="C148" s="41" t="s">
        <v>1340</v>
      </c>
      <c r="D148" s="42" t="s">
        <v>338</v>
      </c>
      <c r="E148" s="42" t="str">
        <f t="shared" si="7"/>
        <v>211</v>
      </c>
      <c r="F148" s="41" t="str">
        <f>_xlfn.XLOOKUP($D148,MD_Account_Asset_Type[Nhóm tài sản],MD_Account_Asset_Type[Tên Nhóm tài sản])</f>
        <v>Máy móc, thiết bị - SX 627</v>
      </c>
      <c r="G148" s="41" t="str">
        <f>_xlfn.XLOOKUP($D148,MD_Account_Asset_Type[Nhóm tài sản],MD_Account_Asset_Type[Tên nhóm TS-Rút gọn])</f>
        <v>Máy móc thiết bị</v>
      </c>
      <c r="H148" s="41" t="str">
        <f>_xlfn.XLOOKUP($D148,MD_Account_Asset_Type[Nhóm tài sản],MD_Account_Asset_Type[Tên nhóm TS-Rút gọn-v2])</f>
        <v>Máy móc thiết bị</v>
      </c>
      <c r="I148" s="43" t="s">
        <v>875</v>
      </c>
      <c r="J148" s="42" t="s">
        <v>640</v>
      </c>
      <c r="K148" s="41" t="s">
        <v>830</v>
      </c>
      <c r="L148" s="42" t="s">
        <v>57</v>
      </c>
      <c r="M148" s="42" t="s">
        <v>132</v>
      </c>
      <c r="N148" s="44" t="s">
        <v>250</v>
      </c>
      <c r="O148" s="44"/>
      <c r="P148" s="41" t="s">
        <v>462</v>
      </c>
      <c r="Q148" s="41" t="str">
        <f t="shared" si="8"/>
        <v>627</v>
      </c>
      <c r="R148" s="41" t="str">
        <f>_xlfn.XLOOKUP($L148,MD_Cost_Center[Mã Cost Center],MD_Cost_Center[Ngành])</f>
        <v>HD/PP</v>
      </c>
      <c r="S148" s="41" t="str">
        <f>_xlfn.XLOOKUP($L148,MD_Cost_Center[Mã Cost Center],MD_Cost_Center[Ngành-Tách PET-Xơ sợi])</f>
        <v>Chung-PET</v>
      </c>
      <c r="T148" s="45">
        <v>45026</v>
      </c>
      <c r="U148" s="46">
        <v>47948</v>
      </c>
      <c r="V148" s="47">
        <v>144</v>
      </c>
      <c r="W148" s="47">
        <v>1885681729</v>
      </c>
      <c r="X148" s="47">
        <v>-11148456.171171172</v>
      </c>
      <c r="Y148" s="47">
        <v>1885681729</v>
      </c>
      <c r="Z148" s="47">
        <v>1885681729</v>
      </c>
      <c r="AA148" s="47">
        <v>1885681729</v>
      </c>
      <c r="AB148" s="47">
        <v>1885681729</v>
      </c>
      <c r="AC148" s="47">
        <v>1885681729</v>
      </c>
      <c r="AD148" s="47">
        <v>1885681729</v>
      </c>
      <c r="AE148" s="47">
        <v>1885681729</v>
      </c>
      <c r="AF148" s="47">
        <v>1885681729</v>
      </c>
      <c r="AG148" s="47">
        <v>1885681729</v>
      </c>
      <c r="AH148" s="47">
        <v>1885681729</v>
      </c>
      <c r="AI148" s="47">
        <v>1885681729</v>
      </c>
      <c r="AJ148" s="47">
        <v>1885681729</v>
      </c>
      <c r="AK148" s="47">
        <v>1885681729</v>
      </c>
      <c r="AL148" s="47">
        <v>-235710216</v>
      </c>
      <c r="AM148" s="47">
        <v>-648203094</v>
      </c>
      <c r="AN148" s="47">
        <v>-11148456.171171172</v>
      </c>
      <c r="AO148" s="47">
        <v>-11148456.171171172</v>
      </c>
      <c r="AP148" s="47">
        <v>-11148456.171171172</v>
      </c>
      <c r="AQ148" s="47">
        <v>-11148456.171171172</v>
      </c>
      <c r="AR148" s="47">
        <v>-11148456.171171172</v>
      </c>
      <c r="AS148" s="47">
        <v>-11148456.171171172</v>
      </c>
      <c r="AT148" s="47">
        <v>-11148456.171171172</v>
      </c>
      <c r="AU148" s="47">
        <v>-11148456.171171172</v>
      </c>
      <c r="AV148" s="47">
        <v>-11148456.171171172</v>
      </c>
      <c r="AW148" s="47">
        <v>-11148456.171171172</v>
      </c>
      <c r="AX148" s="47">
        <v>-11148456.171171172</v>
      </c>
      <c r="AY148" s="47">
        <v>-11148456.171171172</v>
      </c>
      <c r="AZ148" s="58">
        <f t="shared" si="6"/>
        <v>-133781474.05405407</v>
      </c>
      <c r="BA148" s="47">
        <f>Y148+SUM($AM148:AM148)</f>
        <v>1237478635</v>
      </c>
      <c r="BB148" s="48">
        <f>Z148+SUM($AM148:AN148)</f>
        <v>1226330178.8288288</v>
      </c>
      <c r="BC148" s="48">
        <f>AA148+SUM($AM148:AO148)</f>
        <v>1215181722.6576576</v>
      </c>
      <c r="BD148" s="48">
        <f>AB148+SUM($AM148:AP148)</f>
        <v>1204033266.4864864</v>
      </c>
      <c r="BE148" s="48">
        <f>AC148+SUM($AM148:AQ148)</f>
        <v>1192884810.3153152</v>
      </c>
      <c r="BF148" s="48">
        <f>AD148+SUM($AM148:AR148)</f>
        <v>1181736354.1441441</v>
      </c>
      <c r="BG148" s="48">
        <f>AE148+SUM($AM148:AS148)</f>
        <v>1170587897.9729729</v>
      </c>
      <c r="BH148" s="48">
        <f>AF148+SUM($AM148:AT148)</f>
        <v>1159439441.8018017</v>
      </c>
      <c r="BI148" s="48">
        <f>AG148+SUM($AM148:AU148)</f>
        <v>1148290985.6306305</v>
      </c>
      <c r="BJ148" s="48">
        <f>AH148+SUM($AM148:AV148)</f>
        <v>1137142529.4594593</v>
      </c>
      <c r="BK148" s="48">
        <f>AI148+SUM($AM148:AW148)</f>
        <v>1125994073.2882881</v>
      </c>
      <c r="BL148" s="48">
        <f>AJ148+SUM($AM148:AX148)</f>
        <v>1114845617.1171169</v>
      </c>
      <c r="BM148" s="48">
        <f>AK148+SUM($AM148:AY148)</f>
        <v>1103697160.9459457</v>
      </c>
      <c r="BO148" s="47"/>
    </row>
    <row r="149" spans="3:67" s="41" customFormat="1" hidden="1" x14ac:dyDescent="0.3">
      <c r="C149" s="41" t="s">
        <v>1340</v>
      </c>
      <c r="D149" s="42" t="s">
        <v>338</v>
      </c>
      <c r="E149" s="42" t="str">
        <f t="shared" si="7"/>
        <v>211</v>
      </c>
      <c r="F149" s="41" t="str">
        <f>_xlfn.XLOOKUP($D149,MD_Account_Asset_Type[Nhóm tài sản],MD_Account_Asset_Type[Tên Nhóm tài sản])</f>
        <v>Máy móc, thiết bị - SX 627</v>
      </c>
      <c r="G149" s="41" t="str">
        <f>_xlfn.XLOOKUP($D149,MD_Account_Asset_Type[Nhóm tài sản],MD_Account_Asset_Type[Tên nhóm TS-Rút gọn])</f>
        <v>Máy móc thiết bị</v>
      </c>
      <c r="H149" s="41" t="str">
        <f>_xlfn.XLOOKUP($D149,MD_Account_Asset_Type[Nhóm tài sản],MD_Account_Asset_Type[Tên nhóm TS-Rút gọn-v2])</f>
        <v>Máy móc thiết bị</v>
      </c>
      <c r="I149" s="43" t="s">
        <v>876</v>
      </c>
      <c r="J149" s="42" t="s">
        <v>641</v>
      </c>
      <c r="K149" s="41" t="s">
        <v>830</v>
      </c>
      <c r="L149" s="42" t="s">
        <v>46</v>
      </c>
      <c r="M149" s="42" t="s">
        <v>121</v>
      </c>
      <c r="N149" s="44">
        <v>0</v>
      </c>
      <c r="O149" s="44"/>
      <c r="P149" s="41" t="s">
        <v>462</v>
      </c>
      <c r="Q149" s="41" t="str">
        <f t="shared" si="8"/>
        <v>627</v>
      </c>
      <c r="R149" s="41" t="str">
        <f>_xlfn.XLOOKUP($L149,MD_Cost_Center[Mã Cost Center],MD_Cost_Center[Ngành])</f>
        <v>Chung</v>
      </c>
      <c r="S149" s="41" t="str">
        <f>_xlfn.XLOOKUP($L149,MD_Cost_Center[Mã Cost Center],MD_Cost_Center[Ngành-Tách PET-Xơ sợi])</f>
        <v>Chung</v>
      </c>
      <c r="T149" s="45">
        <v>45139</v>
      </c>
      <c r="U149" s="46">
        <v>46966</v>
      </c>
      <c r="V149" s="47">
        <v>144</v>
      </c>
      <c r="W149" s="47">
        <v>76300000</v>
      </c>
      <c r="X149" s="47">
        <v>-342797.1043478261</v>
      </c>
      <c r="Y149" s="47">
        <v>76300000</v>
      </c>
      <c r="Z149" s="47">
        <v>76300000</v>
      </c>
      <c r="AA149" s="47">
        <v>76300000</v>
      </c>
      <c r="AB149" s="47">
        <v>76300000</v>
      </c>
      <c r="AC149" s="47">
        <v>76300000</v>
      </c>
      <c r="AD149" s="47">
        <v>76300000</v>
      </c>
      <c r="AE149" s="47">
        <v>76300000</v>
      </c>
      <c r="AF149" s="47">
        <v>76300000</v>
      </c>
      <c r="AG149" s="47">
        <v>76300000</v>
      </c>
      <c r="AH149" s="47">
        <v>76300000</v>
      </c>
      <c r="AI149" s="47">
        <v>76300000</v>
      </c>
      <c r="AJ149" s="47">
        <v>76300000</v>
      </c>
      <c r="AK149" s="47">
        <v>76300000</v>
      </c>
      <c r="AL149" s="47">
        <v>-15260000</v>
      </c>
      <c r="AM149" s="47">
        <v>-36878333</v>
      </c>
      <c r="AN149" s="47">
        <v>-342797.1043478261</v>
      </c>
      <c r="AO149" s="47">
        <v>-342797.1043478261</v>
      </c>
      <c r="AP149" s="47">
        <v>-342797.1043478261</v>
      </c>
      <c r="AQ149" s="47">
        <v>-342797.1043478261</v>
      </c>
      <c r="AR149" s="47">
        <v>-342797.1043478261</v>
      </c>
      <c r="AS149" s="47">
        <v>-342797.1043478261</v>
      </c>
      <c r="AT149" s="47">
        <v>-342797.1043478261</v>
      </c>
      <c r="AU149" s="47">
        <v>-342797.1043478261</v>
      </c>
      <c r="AV149" s="47">
        <v>-342797.1043478261</v>
      </c>
      <c r="AW149" s="47">
        <v>-342797.1043478261</v>
      </c>
      <c r="AX149" s="47">
        <v>-342797.1043478261</v>
      </c>
      <c r="AY149" s="47">
        <v>-342797.1043478261</v>
      </c>
      <c r="AZ149" s="58">
        <f t="shared" si="6"/>
        <v>-4113565.2521739122</v>
      </c>
      <c r="BA149" s="47">
        <f>Y149+SUM($AM149:AM149)</f>
        <v>39421667</v>
      </c>
      <c r="BB149" s="48">
        <f>Z149+SUM($AM149:AN149)</f>
        <v>39078869.895652175</v>
      </c>
      <c r="BC149" s="48">
        <f>AA149+SUM($AM149:AO149)</f>
        <v>38736072.79130435</v>
      </c>
      <c r="BD149" s="48">
        <f>AB149+SUM($AM149:AP149)</f>
        <v>38393275.686956525</v>
      </c>
      <c r="BE149" s="48">
        <f>AC149+SUM($AM149:AQ149)</f>
        <v>38050478.5826087</v>
      </c>
      <c r="BF149" s="48">
        <f>AD149+SUM($AM149:AR149)</f>
        <v>37707681.478260875</v>
      </c>
      <c r="BG149" s="48">
        <f>AE149+SUM($AM149:AS149)</f>
        <v>37364884.37391305</v>
      </c>
      <c r="BH149" s="48">
        <f>AF149+SUM($AM149:AT149)</f>
        <v>37022087.269565225</v>
      </c>
      <c r="BI149" s="48">
        <f>AG149+SUM($AM149:AU149)</f>
        <v>36679290.1652174</v>
      </c>
      <c r="BJ149" s="48">
        <f>AH149+SUM($AM149:AV149)</f>
        <v>36336493.060869575</v>
      </c>
      <c r="BK149" s="48">
        <f>AI149+SUM($AM149:AW149)</f>
        <v>35993695.956521749</v>
      </c>
      <c r="BL149" s="48">
        <f>AJ149+SUM($AM149:AX149)</f>
        <v>35650898.852173924</v>
      </c>
      <c r="BM149" s="48">
        <f>AK149+SUM($AM149:AY149)</f>
        <v>35308101.747826099</v>
      </c>
      <c r="BO149" s="47"/>
    </row>
    <row r="150" spans="3:67" s="41" customFormat="1" hidden="1" x14ac:dyDescent="0.3">
      <c r="C150" s="41" t="s">
        <v>1340</v>
      </c>
      <c r="D150" s="42" t="s">
        <v>338</v>
      </c>
      <c r="E150" s="42" t="str">
        <f t="shared" si="7"/>
        <v>211</v>
      </c>
      <c r="F150" s="41" t="str">
        <f>_xlfn.XLOOKUP($D150,MD_Account_Asset_Type[Nhóm tài sản],MD_Account_Asset_Type[Tên Nhóm tài sản])</f>
        <v>Máy móc, thiết bị - SX 627</v>
      </c>
      <c r="G150" s="41" t="str">
        <f>_xlfn.XLOOKUP($D150,MD_Account_Asset_Type[Nhóm tài sản],MD_Account_Asset_Type[Tên nhóm TS-Rút gọn])</f>
        <v>Máy móc thiết bị</v>
      </c>
      <c r="H150" s="41" t="str">
        <f>_xlfn.XLOOKUP($D150,MD_Account_Asset_Type[Nhóm tài sản],MD_Account_Asset_Type[Tên nhóm TS-Rút gọn-v2])</f>
        <v>Máy móc thiết bị</v>
      </c>
      <c r="I150" s="43" t="s">
        <v>877</v>
      </c>
      <c r="J150" s="42" t="s">
        <v>633</v>
      </c>
      <c r="K150" s="41" t="s">
        <v>830</v>
      </c>
      <c r="L150" s="42" t="s">
        <v>46</v>
      </c>
      <c r="M150" s="42" t="s">
        <v>121</v>
      </c>
      <c r="N150" s="44">
        <v>0</v>
      </c>
      <c r="O150" s="44"/>
      <c r="P150" s="41" t="s">
        <v>462</v>
      </c>
      <c r="Q150" s="41" t="str">
        <f t="shared" si="8"/>
        <v>627</v>
      </c>
      <c r="R150" s="41" t="str">
        <f>_xlfn.XLOOKUP($L150,MD_Cost_Center[Mã Cost Center],MD_Cost_Center[Ngành])</f>
        <v>Chung</v>
      </c>
      <c r="S150" s="41" t="str">
        <f>_xlfn.XLOOKUP($L150,MD_Cost_Center[Mã Cost Center],MD_Cost_Center[Ngành-Tách PET-Xơ sợi])</f>
        <v>Chung</v>
      </c>
      <c r="T150" s="45">
        <v>45170</v>
      </c>
      <c r="U150" s="46">
        <v>46997</v>
      </c>
      <c r="V150" s="47">
        <v>144</v>
      </c>
      <c r="W150" s="47">
        <v>107919600</v>
      </c>
      <c r="X150" s="47">
        <v>-496182.06896551722</v>
      </c>
      <c r="Y150" s="47">
        <v>107919600</v>
      </c>
      <c r="Z150" s="47">
        <v>107919600</v>
      </c>
      <c r="AA150" s="47">
        <v>107919600</v>
      </c>
      <c r="AB150" s="47">
        <v>107919600</v>
      </c>
      <c r="AC150" s="47">
        <v>107919600</v>
      </c>
      <c r="AD150" s="47">
        <v>107919600</v>
      </c>
      <c r="AE150" s="47">
        <v>107919600</v>
      </c>
      <c r="AF150" s="47">
        <v>107919600</v>
      </c>
      <c r="AG150" s="47">
        <v>107919600</v>
      </c>
      <c r="AH150" s="47">
        <v>107919600</v>
      </c>
      <c r="AI150" s="47">
        <v>107919600</v>
      </c>
      <c r="AJ150" s="47">
        <v>107919600</v>
      </c>
      <c r="AK150" s="47">
        <v>107919600</v>
      </c>
      <c r="AL150" s="47">
        <v>-21583920</v>
      </c>
      <c r="AM150" s="47">
        <v>-50362480</v>
      </c>
      <c r="AN150" s="47">
        <v>-496182.06896551722</v>
      </c>
      <c r="AO150" s="47">
        <v>-496182.06896551722</v>
      </c>
      <c r="AP150" s="47">
        <v>-496182.06896551722</v>
      </c>
      <c r="AQ150" s="47">
        <v>-496182.06896551722</v>
      </c>
      <c r="AR150" s="47">
        <v>-496182.06896551722</v>
      </c>
      <c r="AS150" s="47">
        <v>-496182.06896551722</v>
      </c>
      <c r="AT150" s="47">
        <v>-496182.06896551722</v>
      </c>
      <c r="AU150" s="47">
        <v>-496182.06896551722</v>
      </c>
      <c r="AV150" s="47">
        <v>-496182.06896551722</v>
      </c>
      <c r="AW150" s="47">
        <v>-496182.06896551722</v>
      </c>
      <c r="AX150" s="47">
        <v>-496182.06896551722</v>
      </c>
      <c r="AY150" s="47">
        <v>-496182.06896551722</v>
      </c>
      <c r="AZ150" s="58">
        <f t="shared" si="6"/>
        <v>-5954184.8275862047</v>
      </c>
      <c r="BA150" s="47">
        <f>Y150+SUM($AM150:AM150)</f>
        <v>57557120</v>
      </c>
      <c r="BB150" s="48">
        <f>Z150+SUM($AM150:AN150)</f>
        <v>57060937.931034483</v>
      </c>
      <c r="BC150" s="48">
        <f>AA150+SUM($AM150:AO150)</f>
        <v>56564755.862068966</v>
      </c>
      <c r="BD150" s="48">
        <f>AB150+SUM($AM150:AP150)</f>
        <v>56068573.793103449</v>
      </c>
      <c r="BE150" s="48">
        <f>AC150+SUM($AM150:AQ150)</f>
        <v>55572391.724137932</v>
      </c>
      <c r="BF150" s="48">
        <f>AD150+SUM($AM150:AR150)</f>
        <v>55076209.655172415</v>
      </c>
      <c r="BG150" s="48">
        <f>AE150+SUM($AM150:AS150)</f>
        <v>54580027.586206898</v>
      </c>
      <c r="BH150" s="48">
        <f>AF150+SUM($AM150:AT150)</f>
        <v>54083845.517241381</v>
      </c>
      <c r="BI150" s="48">
        <f>AG150+SUM($AM150:AU150)</f>
        <v>53587663.448275864</v>
      </c>
      <c r="BJ150" s="48">
        <f>AH150+SUM($AM150:AV150)</f>
        <v>53091481.379310347</v>
      </c>
      <c r="BK150" s="48">
        <f>AI150+SUM($AM150:AW150)</f>
        <v>52595299.31034483</v>
      </c>
      <c r="BL150" s="48">
        <f>AJ150+SUM($AM150:AX150)</f>
        <v>52099117.241379313</v>
      </c>
      <c r="BM150" s="48">
        <f>AK150+SUM($AM150:AY150)</f>
        <v>51602935.172413796</v>
      </c>
      <c r="BO150" s="47"/>
    </row>
    <row r="151" spans="3:67" s="41" customFormat="1" hidden="1" x14ac:dyDescent="0.3">
      <c r="C151" s="41" t="s">
        <v>1340</v>
      </c>
      <c r="D151" s="42" t="s">
        <v>338</v>
      </c>
      <c r="E151" s="42" t="str">
        <f t="shared" si="7"/>
        <v>211</v>
      </c>
      <c r="F151" s="41" t="str">
        <f>_xlfn.XLOOKUP($D151,MD_Account_Asset_Type[Nhóm tài sản],MD_Account_Asset_Type[Tên Nhóm tài sản])</f>
        <v>Máy móc, thiết bị - SX 627</v>
      </c>
      <c r="G151" s="41" t="str">
        <f>_xlfn.XLOOKUP($D151,MD_Account_Asset_Type[Nhóm tài sản],MD_Account_Asset_Type[Tên nhóm TS-Rút gọn])</f>
        <v>Máy móc thiết bị</v>
      </c>
      <c r="H151" s="41" t="str">
        <f>_xlfn.XLOOKUP($D151,MD_Account_Asset_Type[Nhóm tài sản],MD_Account_Asset_Type[Tên nhóm TS-Rút gọn-v2])</f>
        <v>Máy móc thiết bị</v>
      </c>
      <c r="I151" s="43" t="s">
        <v>880</v>
      </c>
      <c r="J151" s="42" t="s">
        <v>642</v>
      </c>
      <c r="K151" s="41" t="s">
        <v>830</v>
      </c>
      <c r="L151" s="42" t="s">
        <v>45</v>
      </c>
      <c r="M151" s="42" t="s">
        <v>120</v>
      </c>
      <c r="N151" s="44">
        <v>0</v>
      </c>
      <c r="O151" s="44"/>
      <c r="P151" s="41" t="s">
        <v>462</v>
      </c>
      <c r="Q151" s="41" t="str">
        <f t="shared" si="8"/>
        <v>627</v>
      </c>
      <c r="R151" s="41" t="str">
        <f>_xlfn.XLOOKUP($L151,MD_Cost_Center[Mã Cost Center],MD_Cost_Center[Ngành])</f>
        <v>Chung</v>
      </c>
      <c r="S151" s="41" t="str">
        <f>_xlfn.XLOOKUP($L151,MD_Cost_Center[Mã Cost Center],MD_Cost_Center[Ngành-Tách PET-Xơ sợi])</f>
        <v>Chung</v>
      </c>
      <c r="T151" s="45">
        <v>45017</v>
      </c>
      <c r="U151" s="46">
        <v>46844</v>
      </c>
      <c r="V151" s="47">
        <v>144</v>
      </c>
      <c r="W151" s="47">
        <v>219500000</v>
      </c>
      <c r="X151" s="47">
        <v>-889864.86486486485</v>
      </c>
      <c r="Y151" s="47">
        <v>219500000</v>
      </c>
      <c r="Z151" s="47">
        <v>219500000</v>
      </c>
      <c r="AA151" s="47">
        <v>219500000</v>
      </c>
      <c r="AB151" s="47">
        <v>219500000</v>
      </c>
      <c r="AC151" s="47">
        <v>219500000</v>
      </c>
      <c r="AD151" s="47">
        <v>219500000</v>
      </c>
      <c r="AE151" s="47">
        <v>219500000</v>
      </c>
      <c r="AF151" s="47">
        <v>219500000</v>
      </c>
      <c r="AG151" s="47">
        <v>219500000</v>
      </c>
      <c r="AH151" s="47">
        <v>219500000</v>
      </c>
      <c r="AI151" s="47">
        <v>219500000</v>
      </c>
      <c r="AJ151" s="47">
        <v>219500000</v>
      </c>
      <c r="AK151" s="47">
        <v>219500000</v>
      </c>
      <c r="AL151" s="47">
        <v>-43900000</v>
      </c>
      <c r="AM151" s="47">
        <v>-120725000</v>
      </c>
      <c r="AN151" s="47">
        <v>-889864.86486486485</v>
      </c>
      <c r="AO151" s="47">
        <v>-889864.86486486485</v>
      </c>
      <c r="AP151" s="47">
        <v>-889864.86486486485</v>
      </c>
      <c r="AQ151" s="47">
        <v>-889864.86486486485</v>
      </c>
      <c r="AR151" s="47">
        <v>-889864.86486486485</v>
      </c>
      <c r="AS151" s="47">
        <v>-889864.86486486485</v>
      </c>
      <c r="AT151" s="47">
        <v>-889864.86486486485</v>
      </c>
      <c r="AU151" s="47">
        <v>-889864.86486486485</v>
      </c>
      <c r="AV151" s="47">
        <v>-889864.86486486485</v>
      </c>
      <c r="AW151" s="47">
        <v>-889864.86486486485</v>
      </c>
      <c r="AX151" s="47">
        <v>-889864.86486486485</v>
      </c>
      <c r="AY151" s="47">
        <v>-889864.86486486485</v>
      </c>
      <c r="AZ151" s="58">
        <f t="shared" si="6"/>
        <v>-10678378.378378382</v>
      </c>
      <c r="BA151" s="47">
        <f>Y151+SUM($AM151:AM151)</f>
        <v>98775000</v>
      </c>
      <c r="BB151" s="48">
        <f>Z151+SUM($AM151:AN151)</f>
        <v>97885135.135135129</v>
      </c>
      <c r="BC151" s="48">
        <f>AA151+SUM($AM151:AO151)</f>
        <v>96995270.270270258</v>
      </c>
      <c r="BD151" s="48">
        <f>AB151+SUM($AM151:AP151)</f>
        <v>96105405.405405387</v>
      </c>
      <c r="BE151" s="48">
        <f>AC151+SUM($AM151:AQ151)</f>
        <v>95215540.540540516</v>
      </c>
      <c r="BF151" s="48">
        <f>AD151+SUM($AM151:AR151)</f>
        <v>94325675.675675645</v>
      </c>
      <c r="BG151" s="48">
        <f>AE151+SUM($AM151:AS151)</f>
        <v>93435810.810810775</v>
      </c>
      <c r="BH151" s="48">
        <f>AF151+SUM($AM151:AT151)</f>
        <v>92545945.945945904</v>
      </c>
      <c r="BI151" s="48">
        <f>AG151+SUM($AM151:AU151)</f>
        <v>91656081.081081033</v>
      </c>
      <c r="BJ151" s="48">
        <f>AH151+SUM($AM151:AV151)</f>
        <v>90766216.216216162</v>
      </c>
      <c r="BK151" s="48">
        <f>AI151+SUM($AM151:AW151)</f>
        <v>89876351.351351291</v>
      </c>
      <c r="BL151" s="48">
        <f>AJ151+SUM($AM151:AX151)</f>
        <v>88986486.48648642</v>
      </c>
      <c r="BM151" s="48">
        <f>AK151+SUM($AM151:AY151)</f>
        <v>88096621.621621549</v>
      </c>
      <c r="BO151" s="47"/>
    </row>
    <row r="152" spans="3:67" s="41" customFormat="1" hidden="1" x14ac:dyDescent="0.3">
      <c r="C152" s="41" t="s">
        <v>1340</v>
      </c>
      <c r="D152" s="42" t="s">
        <v>338</v>
      </c>
      <c r="E152" s="42" t="str">
        <f t="shared" si="7"/>
        <v>211</v>
      </c>
      <c r="F152" s="41" t="str">
        <f>_xlfn.XLOOKUP($D152,MD_Account_Asset_Type[Nhóm tài sản],MD_Account_Asset_Type[Tên Nhóm tài sản])</f>
        <v>Máy móc, thiết bị - SX 627</v>
      </c>
      <c r="G152" s="41" t="str">
        <f>_xlfn.XLOOKUP($D152,MD_Account_Asset_Type[Nhóm tài sản],MD_Account_Asset_Type[Tên nhóm TS-Rút gọn])</f>
        <v>Máy móc thiết bị</v>
      </c>
      <c r="H152" s="41" t="str">
        <f>_xlfn.XLOOKUP($D152,MD_Account_Asset_Type[Nhóm tài sản],MD_Account_Asset_Type[Tên nhóm TS-Rút gọn-v2])</f>
        <v>Máy móc thiết bị</v>
      </c>
      <c r="I152" s="43" t="s">
        <v>881</v>
      </c>
      <c r="J152" s="42" t="s">
        <v>643</v>
      </c>
      <c r="K152" s="41" t="s">
        <v>830</v>
      </c>
      <c r="L152" s="42" t="s">
        <v>45</v>
      </c>
      <c r="M152" s="42" t="s">
        <v>120</v>
      </c>
      <c r="N152" s="44">
        <v>0</v>
      </c>
      <c r="O152" s="44"/>
      <c r="P152" s="41" t="s">
        <v>462</v>
      </c>
      <c r="Q152" s="41" t="str">
        <f t="shared" si="8"/>
        <v>627</v>
      </c>
      <c r="R152" s="41" t="str">
        <f>_xlfn.XLOOKUP($L152,MD_Cost_Center[Mã Cost Center],MD_Cost_Center[Ngành])</f>
        <v>Chung</v>
      </c>
      <c r="S152" s="41" t="str">
        <f>_xlfn.XLOOKUP($L152,MD_Cost_Center[Mã Cost Center],MD_Cost_Center[Ngành-Tách PET-Xơ sợi])</f>
        <v>Chung</v>
      </c>
      <c r="T152" s="45">
        <v>45047</v>
      </c>
      <c r="U152" s="46">
        <v>46874</v>
      </c>
      <c r="V152" s="47">
        <v>144</v>
      </c>
      <c r="W152" s="47">
        <v>140000000</v>
      </c>
      <c r="X152" s="47">
        <v>-583333.33035714284</v>
      </c>
      <c r="Y152" s="47">
        <v>140000000</v>
      </c>
      <c r="Z152" s="47">
        <v>140000000</v>
      </c>
      <c r="AA152" s="47">
        <v>140000000</v>
      </c>
      <c r="AB152" s="47">
        <v>140000000</v>
      </c>
      <c r="AC152" s="47">
        <v>140000000</v>
      </c>
      <c r="AD152" s="47">
        <v>140000000</v>
      </c>
      <c r="AE152" s="47">
        <v>140000000</v>
      </c>
      <c r="AF152" s="47">
        <v>140000000</v>
      </c>
      <c r="AG152" s="47">
        <v>140000000</v>
      </c>
      <c r="AH152" s="47">
        <v>140000000</v>
      </c>
      <c r="AI152" s="47">
        <v>140000000</v>
      </c>
      <c r="AJ152" s="47">
        <v>140000000</v>
      </c>
      <c r="AK152" s="47">
        <v>140000000</v>
      </c>
      <c r="AL152" s="47">
        <v>-28000000</v>
      </c>
      <c r="AM152" s="47">
        <v>-74666667</v>
      </c>
      <c r="AN152" s="47">
        <v>-583333.33035714284</v>
      </c>
      <c r="AO152" s="47">
        <v>-583333.33035714284</v>
      </c>
      <c r="AP152" s="47">
        <v>-583333.33035714284</v>
      </c>
      <c r="AQ152" s="47">
        <v>-583333.33035714284</v>
      </c>
      <c r="AR152" s="47">
        <v>-583333.33035714284</v>
      </c>
      <c r="AS152" s="47">
        <v>-583333.33035714284</v>
      </c>
      <c r="AT152" s="47">
        <v>-583333.33035714284</v>
      </c>
      <c r="AU152" s="47">
        <v>-583333.33035714284</v>
      </c>
      <c r="AV152" s="47">
        <v>-583333.33035714284</v>
      </c>
      <c r="AW152" s="47">
        <v>-583333.33035714284</v>
      </c>
      <c r="AX152" s="47">
        <v>-583333.33035714284</v>
      </c>
      <c r="AY152" s="47">
        <v>-583333.33035714284</v>
      </c>
      <c r="AZ152" s="58">
        <f t="shared" si="6"/>
        <v>-6999999.9642857136</v>
      </c>
      <c r="BA152" s="47">
        <f>Y152+SUM($AM152:AM152)</f>
        <v>65333333</v>
      </c>
      <c r="BB152" s="48">
        <f>Z152+SUM($AM152:AN152)</f>
        <v>64749999.669642851</v>
      </c>
      <c r="BC152" s="48">
        <f>AA152+SUM($AM152:AO152)</f>
        <v>64166666.339285702</v>
      </c>
      <c r="BD152" s="48">
        <f>AB152+SUM($AM152:AP152)</f>
        <v>63583333.008928552</v>
      </c>
      <c r="BE152" s="48">
        <f>AC152+SUM($AM152:AQ152)</f>
        <v>62999999.678571403</v>
      </c>
      <c r="BF152" s="48">
        <f>AD152+SUM($AM152:AR152)</f>
        <v>62416666.348214254</v>
      </c>
      <c r="BG152" s="48">
        <f>AE152+SUM($AM152:AS152)</f>
        <v>61833333.017857105</v>
      </c>
      <c r="BH152" s="48">
        <f>AF152+SUM($AM152:AT152)</f>
        <v>61249999.687499955</v>
      </c>
      <c r="BI152" s="48">
        <f>AG152+SUM($AM152:AU152)</f>
        <v>60666666.357142806</v>
      </c>
      <c r="BJ152" s="48">
        <f>AH152+SUM($AM152:AV152)</f>
        <v>60083333.026785657</v>
      </c>
      <c r="BK152" s="48">
        <f>AI152+SUM($AM152:AW152)</f>
        <v>59499999.696428508</v>
      </c>
      <c r="BL152" s="48">
        <f>AJ152+SUM($AM152:AX152)</f>
        <v>58916666.366071358</v>
      </c>
      <c r="BM152" s="48">
        <f>AK152+SUM($AM152:AY152)</f>
        <v>58333333.035714209</v>
      </c>
      <c r="BO152" s="47"/>
    </row>
    <row r="153" spans="3:67" s="41" customFormat="1" hidden="1" x14ac:dyDescent="0.3">
      <c r="C153" s="41" t="s">
        <v>1340</v>
      </c>
      <c r="D153" s="42" t="s">
        <v>338</v>
      </c>
      <c r="E153" s="42" t="str">
        <f t="shared" si="7"/>
        <v>211</v>
      </c>
      <c r="F153" s="41" t="str">
        <f>_xlfn.XLOOKUP($D153,MD_Account_Asset_Type[Nhóm tài sản],MD_Account_Asset_Type[Tên Nhóm tài sản])</f>
        <v>Máy móc, thiết bị - SX 627</v>
      </c>
      <c r="G153" s="41" t="str">
        <f>_xlfn.XLOOKUP($D153,MD_Account_Asset_Type[Nhóm tài sản],MD_Account_Asset_Type[Tên nhóm TS-Rút gọn])</f>
        <v>Máy móc thiết bị</v>
      </c>
      <c r="H153" s="41" t="str">
        <f>_xlfn.XLOOKUP($D153,MD_Account_Asset_Type[Nhóm tài sản],MD_Account_Asset_Type[Tên nhóm TS-Rút gọn-v2])</f>
        <v>Máy móc thiết bị</v>
      </c>
      <c r="I153" s="43" t="s">
        <v>882</v>
      </c>
      <c r="J153" s="42" t="s">
        <v>644</v>
      </c>
      <c r="K153" s="41" t="s">
        <v>502</v>
      </c>
      <c r="L153" s="42" t="s">
        <v>77</v>
      </c>
      <c r="M153" s="42" t="s">
        <v>152</v>
      </c>
      <c r="N153" s="44" t="s">
        <v>270</v>
      </c>
      <c r="O153" s="44"/>
      <c r="P153" s="41" t="s">
        <v>462</v>
      </c>
      <c r="Q153" s="41" t="str">
        <f t="shared" si="8"/>
        <v>627</v>
      </c>
      <c r="R153" s="41" t="str">
        <f>_xlfn.XLOOKUP($L153,MD_Cost_Center[Mã Cost Center],MD_Cost_Center[Ngành])</f>
        <v>HD/PP</v>
      </c>
      <c r="S153" s="41" t="str">
        <f>_xlfn.XLOOKUP($L153,MD_Cost_Center[Mã Cost Center],MD_Cost_Center[Ngành-Tách PET-Xơ sợi])</f>
        <v>HD/PP</v>
      </c>
      <c r="T153" s="45">
        <v>45110</v>
      </c>
      <c r="U153" s="46">
        <v>46937</v>
      </c>
      <c r="V153" s="47">
        <v>144</v>
      </c>
      <c r="W153" s="47">
        <v>1849055197</v>
      </c>
      <c r="X153" s="47">
        <v>-8109891.2192982454</v>
      </c>
      <c r="Y153" s="47">
        <v>1849055197</v>
      </c>
      <c r="Z153" s="47">
        <v>1849055197</v>
      </c>
      <c r="AA153" s="47">
        <v>1849055197</v>
      </c>
      <c r="AB153" s="47">
        <v>1849055197</v>
      </c>
      <c r="AC153" s="47">
        <v>1849055197</v>
      </c>
      <c r="AD153" s="47">
        <v>1849055197</v>
      </c>
      <c r="AE153" s="47">
        <v>1849055197</v>
      </c>
      <c r="AF153" s="47">
        <v>1849055197</v>
      </c>
      <c r="AG153" s="47">
        <v>1849055197</v>
      </c>
      <c r="AH153" s="47">
        <v>1849055197</v>
      </c>
      <c r="AI153" s="47">
        <v>1849055197</v>
      </c>
      <c r="AJ153" s="47">
        <v>1849055197</v>
      </c>
      <c r="AK153" s="47">
        <v>1849055197</v>
      </c>
      <c r="AL153" s="47">
        <v>-369811039</v>
      </c>
      <c r="AM153" s="47">
        <v>-924527598</v>
      </c>
      <c r="AN153" s="47">
        <v>-8109891.2192982454</v>
      </c>
      <c r="AO153" s="47">
        <v>-8109891.2192982454</v>
      </c>
      <c r="AP153" s="47">
        <v>-8109891.2192982454</v>
      </c>
      <c r="AQ153" s="47">
        <v>-8109891.2192982454</v>
      </c>
      <c r="AR153" s="47">
        <v>-8109891.2192982454</v>
      </c>
      <c r="AS153" s="47">
        <v>-8109891.2192982454</v>
      </c>
      <c r="AT153" s="47">
        <v>-8109891.2192982454</v>
      </c>
      <c r="AU153" s="47">
        <v>-8109891.2192982454</v>
      </c>
      <c r="AV153" s="47">
        <v>-8109891.2192982454</v>
      </c>
      <c r="AW153" s="47">
        <v>-8109891.2192982454</v>
      </c>
      <c r="AX153" s="47">
        <v>-8109891.2192982454</v>
      </c>
      <c r="AY153" s="47">
        <v>-8109891.2192982454</v>
      </c>
      <c r="AZ153" s="58">
        <f t="shared" si="6"/>
        <v>-97318694.631578937</v>
      </c>
      <c r="BA153" s="47">
        <f>Y153+SUM($AM153:AM153)</f>
        <v>924527599</v>
      </c>
      <c r="BB153" s="48">
        <f>Z153+SUM($AM153:AN153)</f>
        <v>916417707.78070176</v>
      </c>
      <c r="BC153" s="48">
        <f>AA153+SUM($AM153:AO153)</f>
        <v>908307816.56140351</v>
      </c>
      <c r="BD153" s="48">
        <f>AB153+SUM($AM153:AP153)</f>
        <v>900197925.34210527</v>
      </c>
      <c r="BE153" s="48">
        <f>AC153+SUM($AM153:AQ153)</f>
        <v>892088034.12280703</v>
      </c>
      <c r="BF153" s="48">
        <f>AD153+SUM($AM153:AR153)</f>
        <v>883978142.90350878</v>
      </c>
      <c r="BG153" s="48">
        <f>AE153+SUM($AM153:AS153)</f>
        <v>875868251.68421054</v>
      </c>
      <c r="BH153" s="48">
        <f>AF153+SUM($AM153:AT153)</f>
        <v>867758360.4649123</v>
      </c>
      <c r="BI153" s="48">
        <f>AG153+SUM($AM153:AU153)</f>
        <v>859648469.24561405</v>
      </c>
      <c r="BJ153" s="48">
        <f>AH153+SUM($AM153:AV153)</f>
        <v>851538578.02631581</v>
      </c>
      <c r="BK153" s="48">
        <f>AI153+SUM($AM153:AW153)</f>
        <v>843428686.80701756</v>
      </c>
      <c r="BL153" s="48">
        <f>AJ153+SUM($AM153:AX153)</f>
        <v>835318795.58771932</v>
      </c>
      <c r="BM153" s="48">
        <f>AK153+SUM($AM153:AY153)</f>
        <v>827208904.36842108</v>
      </c>
      <c r="BO153" s="47"/>
    </row>
    <row r="154" spans="3:67" s="41" customFormat="1" hidden="1" x14ac:dyDescent="0.3">
      <c r="C154" s="41" t="s">
        <v>1340</v>
      </c>
      <c r="D154" s="42" t="s">
        <v>338</v>
      </c>
      <c r="E154" s="42" t="str">
        <f t="shared" si="7"/>
        <v>211</v>
      </c>
      <c r="F154" s="41" t="str">
        <f>_xlfn.XLOOKUP($D154,MD_Account_Asset_Type[Nhóm tài sản],MD_Account_Asset_Type[Tên Nhóm tài sản])</f>
        <v>Máy móc, thiết bị - SX 627</v>
      </c>
      <c r="G154" s="41" t="str">
        <f>_xlfn.XLOOKUP($D154,MD_Account_Asset_Type[Nhóm tài sản],MD_Account_Asset_Type[Tên nhóm TS-Rút gọn])</f>
        <v>Máy móc thiết bị</v>
      </c>
      <c r="H154" s="41" t="str">
        <f>_xlfn.XLOOKUP($D154,MD_Account_Asset_Type[Nhóm tài sản],MD_Account_Asset_Type[Tên nhóm TS-Rút gọn-v2])</f>
        <v>Máy móc thiết bị</v>
      </c>
      <c r="I154" s="43" t="s">
        <v>883</v>
      </c>
      <c r="J154" s="42" t="s">
        <v>645</v>
      </c>
      <c r="K154" s="41" t="s">
        <v>502</v>
      </c>
      <c r="L154" s="42" t="s">
        <v>48</v>
      </c>
      <c r="M154" s="42" t="s">
        <v>123</v>
      </c>
      <c r="N154" s="44">
        <v>0</v>
      </c>
      <c r="O154" s="44"/>
      <c r="P154" s="41" t="s">
        <v>462</v>
      </c>
      <c r="Q154" s="41" t="str">
        <f t="shared" si="8"/>
        <v>627</v>
      </c>
      <c r="R154" s="41" t="str">
        <f>_xlfn.XLOOKUP($L154,MD_Cost_Center[Mã Cost Center],MD_Cost_Center[Ngành])</f>
        <v>PET</v>
      </c>
      <c r="S154" s="41" t="str">
        <f>_xlfn.XLOOKUP($L154,MD_Cost_Center[Mã Cost Center],MD_Cost_Center[Ngành-Tách PET-Xơ sợi])</f>
        <v>Chung-PET</v>
      </c>
      <c r="T154" s="45">
        <v>45110</v>
      </c>
      <c r="U154" s="46">
        <v>46206</v>
      </c>
      <c r="V154" s="47">
        <v>144</v>
      </c>
      <c r="W154" s="47">
        <v>175949315</v>
      </c>
      <c r="X154" s="47">
        <v>-257235.84210526315</v>
      </c>
      <c r="Y154" s="47">
        <v>175949315</v>
      </c>
      <c r="Z154" s="47">
        <v>175949315</v>
      </c>
      <c r="AA154" s="47">
        <v>175949315</v>
      </c>
      <c r="AB154" s="47">
        <v>175949315</v>
      </c>
      <c r="AC154" s="47">
        <v>175949315</v>
      </c>
      <c r="AD154" s="47">
        <v>175949315</v>
      </c>
      <c r="AE154" s="47">
        <v>175949315</v>
      </c>
      <c r="AF154" s="47">
        <v>175949315</v>
      </c>
      <c r="AG154" s="47">
        <v>175949315</v>
      </c>
      <c r="AH154" s="47">
        <v>175949315</v>
      </c>
      <c r="AI154" s="47">
        <v>175949315</v>
      </c>
      <c r="AJ154" s="47">
        <v>175949315</v>
      </c>
      <c r="AK154" s="47">
        <v>175949315</v>
      </c>
      <c r="AL154" s="47">
        <v>-58649771</v>
      </c>
      <c r="AM154" s="47">
        <v>-146624429</v>
      </c>
      <c r="AN154" s="47">
        <v>-257235.84210526315</v>
      </c>
      <c r="AO154" s="47">
        <v>-257235.84210526315</v>
      </c>
      <c r="AP154" s="47">
        <v>-257235.84210526315</v>
      </c>
      <c r="AQ154" s="47">
        <v>-257235.84210526315</v>
      </c>
      <c r="AR154" s="47">
        <v>-257235.84210526315</v>
      </c>
      <c r="AS154" s="47">
        <v>-257235.84210526315</v>
      </c>
      <c r="AT154" s="47">
        <v>-257235.84210526315</v>
      </c>
      <c r="AU154" s="47">
        <v>-257235.84210526315</v>
      </c>
      <c r="AV154" s="47">
        <v>-257235.84210526315</v>
      </c>
      <c r="AW154" s="47">
        <v>-257235.84210526315</v>
      </c>
      <c r="AX154" s="47">
        <v>-257235.84210526315</v>
      </c>
      <c r="AY154" s="47">
        <v>-257235.84210526315</v>
      </c>
      <c r="AZ154" s="58">
        <f t="shared" si="6"/>
        <v>-3086830.1052631568</v>
      </c>
      <c r="BA154" s="47">
        <f>Y154+SUM($AM154:AM154)</f>
        <v>29324886</v>
      </c>
      <c r="BB154" s="48">
        <f>Z154+SUM($AM154:AN154)</f>
        <v>29067650.157894731</v>
      </c>
      <c r="BC154" s="48">
        <f>AA154+SUM($AM154:AO154)</f>
        <v>28810414.315789461</v>
      </c>
      <c r="BD154" s="48">
        <f>AB154+SUM($AM154:AP154)</f>
        <v>28553178.473684192</v>
      </c>
      <c r="BE154" s="48">
        <f>AC154+SUM($AM154:AQ154)</f>
        <v>28295942.631578922</v>
      </c>
      <c r="BF154" s="48">
        <f>AD154+SUM($AM154:AR154)</f>
        <v>28038706.789473653</v>
      </c>
      <c r="BG154" s="48">
        <f>AE154+SUM($AM154:AS154)</f>
        <v>27781470.947368383</v>
      </c>
      <c r="BH154" s="48">
        <f>AF154+SUM($AM154:AT154)</f>
        <v>27524235.105263114</v>
      </c>
      <c r="BI154" s="48">
        <f>AG154+SUM($AM154:AU154)</f>
        <v>27266999.263157845</v>
      </c>
      <c r="BJ154" s="48">
        <f>AH154+SUM($AM154:AV154)</f>
        <v>27009763.421052575</v>
      </c>
      <c r="BK154" s="48">
        <f>AI154+SUM($AM154:AW154)</f>
        <v>26752527.578947306</v>
      </c>
      <c r="BL154" s="48">
        <f>AJ154+SUM($AM154:AX154)</f>
        <v>26495291.736842036</v>
      </c>
      <c r="BM154" s="48">
        <f>AK154+SUM($AM154:AY154)</f>
        <v>26238055.894736767</v>
      </c>
      <c r="BO154" s="47"/>
    </row>
    <row r="155" spans="3:67" s="41" customFormat="1" hidden="1" x14ac:dyDescent="0.3">
      <c r="C155" s="41" t="s">
        <v>1340</v>
      </c>
      <c r="D155" s="42" t="s">
        <v>338</v>
      </c>
      <c r="E155" s="42" t="str">
        <f t="shared" si="7"/>
        <v>211</v>
      </c>
      <c r="F155" s="41" t="str">
        <f>_xlfn.XLOOKUP($D155,MD_Account_Asset_Type[Nhóm tài sản],MD_Account_Asset_Type[Tên Nhóm tài sản])</f>
        <v>Máy móc, thiết bị - SX 627</v>
      </c>
      <c r="G155" s="41" t="str">
        <f>_xlfn.XLOOKUP($D155,MD_Account_Asset_Type[Nhóm tài sản],MD_Account_Asset_Type[Tên nhóm TS-Rút gọn])</f>
        <v>Máy móc thiết bị</v>
      </c>
      <c r="H155" s="41" t="str">
        <f>_xlfn.XLOOKUP($D155,MD_Account_Asset_Type[Nhóm tài sản],MD_Account_Asset_Type[Tên nhóm TS-Rút gọn-v2])</f>
        <v>Máy móc thiết bị</v>
      </c>
      <c r="I155" s="43" t="s">
        <v>884</v>
      </c>
      <c r="J155" s="42" t="s">
        <v>646</v>
      </c>
      <c r="K155" s="41" t="s">
        <v>502</v>
      </c>
      <c r="L155" s="42" t="s">
        <v>48</v>
      </c>
      <c r="M155" s="42" t="s">
        <v>123</v>
      </c>
      <c r="N155" s="44">
        <v>0</v>
      </c>
      <c r="O155" s="44"/>
      <c r="P155" s="41" t="s">
        <v>462</v>
      </c>
      <c r="Q155" s="41" t="str">
        <f t="shared" si="8"/>
        <v>627</v>
      </c>
      <c r="R155" s="41" t="str">
        <f>_xlfn.XLOOKUP($L155,MD_Cost_Center[Mã Cost Center],MD_Cost_Center[Ngành])</f>
        <v>PET</v>
      </c>
      <c r="S155" s="41" t="str">
        <f>_xlfn.XLOOKUP($L155,MD_Cost_Center[Mã Cost Center],MD_Cost_Center[Ngành-Tách PET-Xơ sợi])</f>
        <v>Chung-PET</v>
      </c>
      <c r="T155" s="45">
        <v>45110</v>
      </c>
      <c r="U155" s="46">
        <v>46206</v>
      </c>
      <c r="V155" s="47">
        <v>144</v>
      </c>
      <c r="W155" s="47">
        <v>203784525</v>
      </c>
      <c r="X155" s="47">
        <v>-297930.58771929826</v>
      </c>
      <c r="Y155" s="47">
        <v>203784525</v>
      </c>
      <c r="Z155" s="47">
        <v>203784525</v>
      </c>
      <c r="AA155" s="47">
        <v>203784525</v>
      </c>
      <c r="AB155" s="47">
        <v>203784525</v>
      </c>
      <c r="AC155" s="47">
        <v>203784525</v>
      </c>
      <c r="AD155" s="47">
        <v>203784525</v>
      </c>
      <c r="AE155" s="47">
        <v>203784525</v>
      </c>
      <c r="AF155" s="47">
        <v>203784525</v>
      </c>
      <c r="AG155" s="47">
        <v>203784525</v>
      </c>
      <c r="AH155" s="47">
        <v>203784525</v>
      </c>
      <c r="AI155" s="47">
        <v>203784525</v>
      </c>
      <c r="AJ155" s="47">
        <v>203784525</v>
      </c>
      <c r="AK155" s="47">
        <v>203784525</v>
      </c>
      <c r="AL155" s="47">
        <v>-67928175</v>
      </c>
      <c r="AM155" s="47">
        <v>-169820438</v>
      </c>
      <c r="AN155" s="47">
        <v>-297930.58771929826</v>
      </c>
      <c r="AO155" s="47">
        <v>-297930.58771929826</v>
      </c>
      <c r="AP155" s="47">
        <v>-297930.58771929826</v>
      </c>
      <c r="AQ155" s="47">
        <v>-297930.58771929826</v>
      </c>
      <c r="AR155" s="47">
        <v>-297930.58771929826</v>
      </c>
      <c r="AS155" s="47">
        <v>-297930.58771929826</v>
      </c>
      <c r="AT155" s="47">
        <v>-297930.58771929826</v>
      </c>
      <c r="AU155" s="47">
        <v>-297930.58771929826</v>
      </c>
      <c r="AV155" s="47">
        <v>-297930.58771929826</v>
      </c>
      <c r="AW155" s="47">
        <v>-297930.58771929826</v>
      </c>
      <c r="AX155" s="47">
        <v>-297930.58771929826</v>
      </c>
      <c r="AY155" s="47">
        <v>-297930.58771929826</v>
      </c>
      <c r="AZ155" s="58">
        <f t="shared" ref="AZ155:AZ218" si="9">SUM(AN155:AY155)</f>
        <v>-3575167.0526315798</v>
      </c>
      <c r="BA155" s="47">
        <f>Y155+SUM($AM155:AM155)</f>
        <v>33964087</v>
      </c>
      <c r="BB155" s="48">
        <f>Z155+SUM($AM155:AN155)</f>
        <v>33666156.412280709</v>
      </c>
      <c r="BC155" s="48">
        <f>AA155+SUM($AM155:AO155)</f>
        <v>33368225.824561417</v>
      </c>
      <c r="BD155" s="48">
        <f>AB155+SUM($AM155:AP155)</f>
        <v>33070295.236842126</v>
      </c>
      <c r="BE155" s="48">
        <f>AC155+SUM($AM155:AQ155)</f>
        <v>32772364.649122834</v>
      </c>
      <c r="BF155" s="48">
        <f>AD155+SUM($AM155:AR155)</f>
        <v>32474434.061403543</v>
      </c>
      <c r="BG155" s="48">
        <f>AE155+SUM($AM155:AS155)</f>
        <v>32176503.473684251</v>
      </c>
      <c r="BH155" s="48">
        <f>AF155+SUM($AM155:AT155)</f>
        <v>31878572.88596496</v>
      </c>
      <c r="BI155" s="48">
        <f>AG155+SUM($AM155:AU155)</f>
        <v>31580642.298245668</v>
      </c>
      <c r="BJ155" s="48">
        <f>AH155+SUM($AM155:AV155)</f>
        <v>31282711.710526377</v>
      </c>
      <c r="BK155" s="48">
        <f>AI155+SUM($AM155:AW155)</f>
        <v>30984781.122807086</v>
      </c>
      <c r="BL155" s="48">
        <f>AJ155+SUM($AM155:AX155)</f>
        <v>30686850.535087794</v>
      </c>
      <c r="BM155" s="48">
        <f>AK155+SUM($AM155:AY155)</f>
        <v>30388919.947368503</v>
      </c>
      <c r="BO155" s="47"/>
    </row>
    <row r="156" spans="3:67" s="41" customFormat="1" hidden="1" x14ac:dyDescent="0.3">
      <c r="C156" s="41" t="s">
        <v>1340</v>
      </c>
      <c r="D156" s="42" t="s">
        <v>338</v>
      </c>
      <c r="E156" s="42" t="str">
        <f t="shared" si="7"/>
        <v>211</v>
      </c>
      <c r="F156" s="41" t="str">
        <f>_xlfn.XLOOKUP($D156,MD_Account_Asset_Type[Nhóm tài sản],MD_Account_Asset_Type[Tên Nhóm tài sản])</f>
        <v>Máy móc, thiết bị - SX 627</v>
      </c>
      <c r="G156" s="41" t="str">
        <f>_xlfn.XLOOKUP($D156,MD_Account_Asset_Type[Nhóm tài sản],MD_Account_Asset_Type[Tên nhóm TS-Rút gọn])</f>
        <v>Máy móc thiết bị</v>
      </c>
      <c r="H156" s="41" t="str">
        <f>_xlfn.XLOOKUP($D156,MD_Account_Asset_Type[Nhóm tài sản],MD_Account_Asset_Type[Tên nhóm TS-Rút gọn-v2])</f>
        <v>Máy móc thiết bị</v>
      </c>
      <c r="I156" s="43" t="s">
        <v>885</v>
      </c>
      <c r="J156" s="42" t="s">
        <v>647</v>
      </c>
      <c r="K156" s="41" t="s">
        <v>502</v>
      </c>
      <c r="L156" s="42" t="s">
        <v>48</v>
      </c>
      <c r="M156" s="42" t="s">
        <v>123</v>
      </c>
      <c r="N156" s="44">
        <v>0</v>
      </c>
      <c r="O156" s="44"/>
      <c r="P156" s="41" t="s">
        <v>462</v>
      </c>
      <c r="Q156" s="41" t="str">
        <f t="shared" si="8"/>
        <v>627</v>
      </c>
      <c r="R156" s="41" t="str">
        <f>_xlfn.XLOOKUP($L156,MD_Cost_Center[Mã Cost Center],MD_Cost_Center[Ngành])</f>
        <v>PET</v>
      </c>
      <c r="S156" s="41" t="str">
        <f>_xlfn.XLOOKUP($L156,MD_Cost_Center[Mã Cost Center],MD_Cost_Center[Ngành-Tách PET-Xơ sợi])</f>
        <v>Chung-PET</v>
      </c>
      <c r="T156" s="45">
        <v>45078</v>
      </c>
      <c r="U156" s="46">
        <v>46174</v>
      </c>
      <c r="V156" s="47">
        <v>144</v>
      </c>
      <c r="W156" s="47">
        <v>380542065</v>
      </c>
      <c r="X156" s="47">
        <v>-467726.23893805308</v>
      </c>
      <c r="Y156" s="47">
        <v>380542065</v>
      </c>
      <c r="Z156" s="47">
        <v>380542065</v>
      </c>
      <c r="AA156" s="47">
        <v>380542065</v>
      </c>
      <c r="AB156" s="47">
        <v>380542065</v>
      </c>
      <c r="AC156" s="47">
        <v>380542065</v>
      </c>
      <c r="AD156" s="47">
        <v>380542065</v>
      </c>
      <c r="AE156" s="47">
        <v>380542065</v>
      </c>
      <c r="AF156" s="47">
        <v>380542065</v>
      </c>
      <c r="AG156" s="47">
        <v>380542065</v>
      </c>
      <c r="AH156" s="47">
        <v>380542065</v>
      </c>
      <c r="AI156" s="47">
        <v>380542065</v>
      </c>
      <c r="AJ156" s="47">
        <v>380542065</v>
      </c>
      <c r="AK156" s="47">
        <v>380542065</v>
      </c>
      <c r="AL156" s="47">
        <v>-126847355</v>
      </c>
      <c r="AM156" s="47">
        <v>-327689000</v>
      </c>
      <c r="AN156" s="47">
        <v>-467726.23893805308</v>
      </c>
      <c r="AO156" s="47">
        <v>-467726.23893805308</v>
      </c>
      <c r="AP156" s="47">
        <v>-467726.23893805308</v>
      </c>
      <c r="AQ156" s="47">
        <v>-467726.23893805308</v>
      </c>
      <c r="AR156" s="47">
        <v>-467726.23893805308</v>
      </c>
      <c r="AS156" s="47">
        <v>-467726.23893805308</v>
      </c>
      <c r="AT156" s="47">
        <v>-467726.23893805308</v>
      </c>
      <c r="AU156" s="47">
        <v>-467726.23893805308</v>
      </c>
      <c r="AV156" s="47">
        <v>-467726.23893805308</v>
      </c>
      <c r="AW156" s="47">
        <v>-467726.23893805308</v>
      </c>
      <c r="AX156" s="47">
        <v>-467726.23893805308</v>
      </c>
      <c r="AY156" s="47">
        <v>-467726.23893805308</v>
      </c>
      <c r="AZ156" s="58">
        <f t="shared" si="9"/>
        <v>-5612714.8672566367</v>
      </c>
      <c r="BA156" s="47">
        <f>Y156+SUM($AM156:AM156)</f>
        <v>52853065</v>
      </c>
      <c r="BB156" s="48">
        <f>Z156+SUM($AM156:AN156)</f>
        <v>52385338.761061966</v>
      </c>
      <c r="BC156" s="48">
        <f>AA156+SUM($AM156:AO156)</f>
        <v>51917612.522123933</v>
      </c>
      <c r="BD156" s="48">
        <f>AB156+SUM($AM156:AP156)</f>
        <v>51449886.283185899</v>
      </c>
      <c r="BE156" s="48">
        <f>AC156+SUM($AM156:AQ156)</f>
        <v>50982160.044247866</v>
      </c>
      <c r="BF156" s="48">
        <f>AD156+SUM($AM156:AR156)</f>
        <v>50514433.805309832</v>
      </c>
      <c r="BG156" s="48">
        <f>AE156+SUM($AM156:AS156)</f>
        <v>50046707.566371799</v>
      </c>
      <c r="BH156" s="48">
        <f>AF156+SUM($AM156:AT156)</f>
        <v>49578981.327433765</v>
      </c>
      <c r="BI156" s="48">
        <f>AG156+SUM($AM156:AU156)</f>
        <v>49111255.088495731</v>
      </c>
      <c r="BJ156" s="48">
        <f>AH156+SUM($AM156:AV156)</f>
        <v>48643528.849557698</v>
      </c>
      <c r="BK156" s="48">
        <f>AI156+SUM($AM156:AW156)</f>
        <v>48175802.610619664</v>
      </c>
      <c r="BL156" s="48">
        <f>AJ156+SUM($AM156:AX156)</f>
        <v>47708076.371681631</v>
      </c>
      <c r="BM156" s="48">
        <f>AK156+SUM($AM156:AY156)</f>
        <v>47240350.132743597</v>
      </c>
      <c r="BO156" s="47"/>
    </row>
    <row r="157" spans="3:67" s="41" customFormat="1" hidden="1" x14ac:dyDescent="0.3">
      <c r="C157" s="41" t="s">
        <v>1340</v>
      </c>
      <c r="D157" s="42" t="s">
        <v>338</v>
      </c>
      <c r="E157" s="42" t="str">
        <f t="shared" si="7"/>
        <v>211</v>
      </c>
      <c r="F157" s="41" t="str">
        <f>_xlfn.XLOOKUP($D157,MD_Account_Asset_Type[Nhóm tài sản],MD_Account_Asset_Type[Tên Nhóm tài sản])</f>
        <v>Máy móc, thiết bị - SX 627</v>
      </c>
      <c r="G157" s="41" t="str">
        <f>_xlfn.XLOOKUP($D157,MD_Account_Asset_Type[Nhóm tài sản],MD_Account_Asset_Type[Tên nhóm TS-Rút gọn])</f>
        <v>Máy móc thiết bị</v>
      </c>
      <c r="H157" s="41" t="str">
        <f>_xlfn.XLOOKUP($D157,MD_Account_Asset_Type[Nhóm tài sản],MD_Account_Asset_Type[Tên nhóm TS-Rút gọn-v2])</f>
        <v>Máy móc thiết bị</v>
      </c>
      <c r="I157" s="43" t="s">
        <v>886</v>
      </c>
      <c r="J157" s="42" t="s">
        <v>648</v>
      </c>
      <c r="K157" s="41" t="s">
        <v>502</v>
      </c>
      <c r="L157" s="42" t="s">
        <v>48</v>
      </c>
      <c r="M157" s="42" t="s">
        <v>123</v>
      </c>
      <c r="N157" s="44">
        <v>0</v>
      </c>
      <c r="O157" s="44"/>
      <c r="P157" s="41" t="s">
        <v>462</v>
      </c>
      <c r="Q157" s="41" t="str">
        <f t="shared" si="8"/>
        <v>627</v>
      </c>
      <c r="R157" s="41" t="str">
        <f>_xlfn.XLOOKUP($L157,MD_Cost_Center[Mã Cost Center],MD_Cost_Center[Ngành])</f>
        <v>PET</v>
      </c>
      <c r="S157" s="41" t="str">
        <f>_xlfn.XLOOKUP($L157,MD_Cost_Center[Mã Cost Center],MD_Cost_Center[Ngành-Tách PET-Xơ sợi])</f>
        <v>Chung-PET</v>
      </c>
      <c r="T157" s="45">
        <v>45110</v>
      </c>
      <c r="U157" s="46">
        <v>46937</v>
      </c>
      <c r="V157" s="47">
        <v>144</v>
      </c>
      <c r="W157" s="47">
        <v>2135314321</v>
      </c>
      <c r="X157" s="47">
        <v>-9365413.6929824557</v>
      </c>
      <c r="Y157" s="47">
        <v>2135314321</v>
      </c>
      <c r="Z157" s="47">
        <v>2135314321</v>
      </c>
      <c r="AA157" s="47">
        <v>2135314321</v>
      </c>
      <c r="AB157" s="47">
        <v>2135314321</v>
      </c>
      <c r="AC157" s="47">
        <v>2135314321</v>
      </c>
      <c r="AD157" s="47">
        <v>2135314321</v>
      </c>
      <c r="AE157" s="47">
        <v>2135314321</v>
      </c>
      <c r="AF157" s="47">
        <v>2135314321</v>
      </c>
      <c r="AG157" s="47">
        <v>2135314321</v>
      </c>
      <c r="AH157" s="47">
        <v>2135314321</v>
      </c>
      <c r="AI157" s="47">
        <v>2135314321</v>
      </c>
      <c r="AJ157" s="47">
        <v>2135314321</v>
      </c>
      <c r="AK157" s="47">
        <v>2135314321</v>
      </c>
      <c r="AL157" s="47">
        <v>-427062864</v>
      </c>
      <c r="AM157" s="47">
        <v>-1067657160</v>
      </c>
      <c r="AN157" s="47">
        <v>-9365413.6929824557</v>
      </c>
      <c r="AO157" s="47">
        <v>-9365413.6929824557</v>
      </c>
      <c r="AP157" s="47">
        <v>-9365413.6929824557</v>
      </c>
      <c r="AQ157" s="47">
        <v>-9365413.6929824557</v>
      </c>
      <c r="AR157" s="47">
        <v>-9365413.6929824557</v>
      </c>
      <c r="AS157" s="47">
        <v>-9365413.6929824557</v>
      </c>
      <c r="AT157" s="47">
        <v>-9365413.6929824557</v>
      </c>
      <c r="AU157" s="47">
        <v>-9365413.6929824557</v>
      </c>
      <c r="AV157" s="47">
        <v>-9365413.6929824557</v>
      </c>
      <c r="AW157" s="47">
        <v>-9365413.6929824557</v>
      </c>
      <c r="AX157" s="47">
        <v>-9365413.6929824557</v>
      </c>
      <c r="AY157" s="47">
        <v>-9365413.6929824557</v>
      </c>
      <c r="AZ157" s="58">
        <f t="shared" si="9"/>
        <v>-112384964.31578945</v>
      </c>
      <c r="BA157" s="47">
        <f>Y157+SUM($AM157:AM157)</f>
        <v>1067657161</v>
      </c>
      <c r="BB157" s="48">
        <f>Z157+SUM($AM157:AN157)</f>
        <v>1058291747.3070176</v>
      </c>
      <c r="BC157" s="48">
        <f>AA157+SUM($AM157:AO157)</f>
        <v>1048926333.6140351</v>
      </c>
      <c r="BD157" s="48">
        <f>AB157+SUM($AM157:AP157)</f>
        <v>1039560919.9210527</v>
      </c>
      <c r="BE157" s="48">
        <f>AC157+SUM($AM157:AQ157)</f>
        <v>1030195506.2280703</v>
      </c>
      <c r="BF157" s="48">
        <f>AD157+SUM($AM157:AR157)</f>
        <v>1020830092.5350878</v>
      </c>
      <c r="BG157" s="48">
        <f>AE157+SUM($AM157:AS157)</f>
        <v>1011464678.8421054</v>
      </c>
      <c r="BH157" s="48">
        <f>AF157+SUM($AM157:AT157)</f>
        <v>1002099265.149123</v>
      </c>
      <c r="BI157" s="48">
        <f>AG157+SUM($AM157:AU157)</f>
        <v>992733851.45614052</v>
      </c>
      <c r="BJ157" s="48">
        <f>AH157+SUM($AM157:AV157)</f>
        <v>983368437.76315808</v>
      </c>
      <c r="BK157" s="48">
        <f>AI157+SUM($AM157:AW157)</f>
        <v>974003024.07017565</v>
      </c>
      <c r="BL157" s="48">
        <f>AJ157+SUM($AM157:AX157)</f>
        <v>964637610.37719321</v>
      </c>
      <c r="BM157" s="48">
        <f>AK157+SUM($AM157:AY157)</f>
        <v>955272196.68421078</v>
      </c>
      <c r="BO157" s="47"/>
    </row>
    <row r="158" spans="3:67" s="41" customFormat="1" hidden="1" x14ac:dyDescent="0.3">
      <c r="C158" s="41" t="s">
        <v>1340</v>
      </c>
      <c r="D158" s="42" t="s">
        <v>338</v>
      </c>
      <c r="E158" s="42" t="str">
        <f t="shared" si="7"/>
        <v>211</v>
      </c>
      <c r="F158" s="41" t="str">
        <f>_xlfn.XLOOKUP($D158,MD_Account_Asset_Type[Nhóm tài sản],MD_Account_Asset_Type[Tên Nhóm tài sản])</f>
        <v>Máy móc, thiết bị - SX 627</v>
      </c>
      <c r="G158" s="41" t="str">
        <f>_xlfn.XLOOKUP($D158,MD_Account_Asset_Type[Nhóm tài sản],MD_Account_Asset_Type[Tên nhóm TS-Rút gọn])</f>
        <v>Máy móc thiết bị</v>
      </c>
      <c r="H158" s="41" t="str">
        <f>_xlfn.XLOOKUP($D158,MD_Account_Asset_Type[Nhóm tài sản],MD_Account_Asset_Type[Tên nhóm TS-Rút gọn-v2])</f>
        <v>Máy móc thiết bị</v>
      </c>
      <c r="I158" s="43" t="s">
        <v>887</v>
      </c>
      <c r="J158" s="42" t="s">
        <v>649</v>
      </c>
      <c r="K158" s="41" t="s">
        <v>502</v>
      </c>
      <c r="L158" s="42" t="s">
        <v>90</v>
      </c>
      <c r="M158" s="42" t="s">
        <v>165</v>
      </c>
      <c r="N158" s="44">
        <v>0</v>
      </c>
      <c r="O158" s="44"/>
      <c r="P158" s="41" t="s">
        <v>462</v>
      </c>
      <c r="Q158" s="41" t="str">
        <f t="shared" si="8"/>
        <v>627</v>
      </c>
      <c r="R158" s="41" t="str">
        <f>_xlfn.XLOOKUP($L158,MD_Cost_Center[Mã Cost Center],MD_Cost_Center[Ngành])</f>
        <v>HD/PP</v>
      </c>
      <c r="S158" s="41" t="str">
        <f>_xlfn.XLOOKUP($L158,MD_Cost_Center[Mã Cost Center],MD_Cost_Center[Ngành-Tách PET-Xơ sợi])</f>
        <v>HD/PP</v>
      </c>
      <c r="T158" s="45">
        <v>45110</v>
      </c>
      <c r="U158" s="46">
        <v>46206</v>
      </c>
      <c r="V158" s="47">
        <v>144</v>
      </c>
      <c r="W158" s="47">
        <v>321444214</v>
      </c>
      <c r="X158" s="47">
        <v>-469947.68421052629</v>
      </c>
      <c r="Y158" s="47">
        <v>321444214</v>
      </c>
      <c r="Z158" s="47">
        <v>321444214</v>
      </c>
      <c r="AA158" s="47">
        <v>321444214</v>
      </c>
      <c r="AB158" s="47">
        <v>321444214</v>
      </c>
      <c r="AC158" s="47">
        <v>321444214</v>
      </c>
      <c r="AD158" s="47">
        <v>321444214</v>
      </c>
      <c r="AE158" s="47">
        <v>321444214</v>
      </c>
      <c r="AF158" s="47">
        <v>321444214</v>
      </c>
      <c r="AG158" s="47">
        <v>321444214</v>
      </c>
      <c r="AH158" s="47">
        <v>321444214</v>
      </c>
      <c r="AI158" s="47">
        <v>321444214</v>
      </c>
      <c r="AJ158" s="47">
        <v>321444214</v>
      </c>
      <c r="AK158" s="47">
        <v>321444214</v>
      </c>
      <c r="AL158" s="47">
        <v>-107148071</v>
      </c>
      <c r="AM158" s="47">
        <v>-267870178</v>
      </c>
      <c r="AN158" s="47">
        <v>-469947.68421052629</v>
      </c>
      <c r="AO158" s="47">
        <v>-469947.68421052629</v>
      </c>
      <c r="AP158" s="47">
        <v>-469947.68421052629</v>
      </c>
      <c r="AQ158" s="47">
        <v>-469947.68421052629</v>
      </c>
      <c r="AR158" s="47">
        <v>-469947.68421052629</v>
      </c>
      <c r="AS158" s="47">
        <v>-469947.68421052629</v>
      </c>
      <c r="AT158" s="47">
        <v>-469947.68421052629</v>
      </c>
      <c r="AU158" s="47">
        <v>-469947.68421052629</v>
      </c>
      <c r="AV158" s="47">
        <v>-469947.68421052629</v>
      </c>
      <c r="AW158" s="47">
        <v>-469947.68421052629</v>
      </c>
      <c r="AX158" s="47">
        <v>-469947.68421052629</v>
      </c>
      <c r="AY158" s="47">
        <v>-469947.68421052629</v>
      </c>
      <c r="AZ158" s="58">
        <f t="shared" si="9"/>
        <v>-5639372.2105263136</v>
      </c>
      <c r="BA158" s="47">
        <f>Y158+SUM($AM158:AM158)</f>
        <v>53574036</v>
      </c>
      <c r="BB158" s="48">
        <f>Z158+SUM($AM158:AN158)</f>
        <v>53104088.315789461</v>
      </c>
      <c r="BC158" s="48">
        <f>AA158+SUM($AM158:AO158)</f>
        <v>52634140.631578922</v>
      </c>
      <c r="BD158" s="48">
        <f>AB158+SUM($AM158:AP158)</f>
        <v>52164192.947368383</v>
      </c>
      <c r="BE158" s="48">
        <f>AC158+SUM($AM158:AQ158)</f>
        <v>51694245.263157845</v>
      </c>
      <c r="BF158" s="48">
        <f>AD158+SUM($AM158:AR158)</f>
        <v>51224297.578947306</v>
      </c>
      <c r="BG158" s="48">
        <f>AE158+SUM($AM158:AS158)</f>
        <v>50754349.894736767</v>
      </c>
      <c r="BH158" s="48">
        <f>AF158+SUM($AM158:AT158)</f>
        <v>50284402.210526228</v>
      </c>
      <c r="BI158" s="48">
        <f>AG158+SUM($AM158:AU158)</f>
        <v>49814454.526315689</v>
      </c>
      <c r="BJ158" s="48">
        <f>AH158+SUM($AM158:AV158)</f>
        <v>49344506.84210515</v>
      </c>
      <c r="BK158" s="48">
        <f>AI158+SUM($AM158:AW158)</f>
        <v>48874559.157894611</v>
      </c>
      <c r="BL158" s="48">
        <f>AJ158+SUM($AM158:AX158)</f>
        <v>48404611.473684072</v>
      </c>
      <c r="BM158" s="48">
        <f>AK158+SUM($AM158:AY158)</f>
        <v>47934663.789473534</v>
      </c>
      <c r="BO158" s="47"/>
    </row>
    <row r="159" spans="3:67" s="41" customFormat="1" hidden="1" x14ac:dyDescent="0.3">
      <c r="C159" s="41" t="s">
        <v>1340</v>
      </c>
      <c r="D159" s="42" t="s">
        <v>338</v>
      </c>
      <c r="E159" s="42" t="str">
        <f t="shared" si="7"/>
        <v>211</v>
      </c>
      <c r="F159" s="41" t="str">
        <f>_xlfn.XLOOKUP($D159,MD_Account_Asset_Type[Nhóm tài sản],MD_Account_Asset_Type[Tên Nhóm tài sản])</f>
        <v>Máy móc, thiết bị - SX 627</v>
      </c>
      <c r="G159" s="41" t="str">
        <f>_xlfn.XLOOKUP($D159,MD_Account_Asset_Type[Nhóm tài sản],MD_Account_Asset_Type[Tên nhóm TS-Rút gọn])</f>
        <v>Máy móc thiết bị</v>
      </c>
      <c r="H159" s="41" t="str">
        <f>_xlfn.XLOOKUP($D159,MD_Account_Asset_Type[Nhóm tài sản],MD_Account_Asset_Type[Tên nhóm TS-Rút gọn-v2])</f>
        <v>Máy móc thiết bị</v>
      </c>
      <c r="I159" s="43" t="s">
        <v>888</v>
      </c>
      <c r="J159" s="42" t="s">
        <v>650</v>
      </c>
      <c r="K159" s="41" t="s">
        <v>502</v>
      </c>
      <c r="L159" s="42" t="s">
        <v>48</v>
      </c>
      <c r="M159" s="42" t="s">
        <v>123</v>
      </c>
      <c r="N159" s="44">
        <v>0</v>
      </c>
      <c r="O159" s="44"/>
      <c r="P159" s="41" t="s">
        <v>462</v>
      </c>
      <c r="Q159" s="41" t="str">
        <f t="shared" si="8"/>
        <v>627</v>
      </c>
      <c r="R159" s="41" t="str">
        <f>_xlfn.XLOOKUP($L159,MD_Cost_Center[Mã Cost Center],MD_Cost_Center[Ngành])</f>
        <v>PET</v>
      </c>
      <c r="S159" s="41" t="str">
        <f>_xlfn.XLOOKUP($L159,MD_Cost_Center[Mã Cost Center],MD_Cost_Center[Ngành-Tách PET-Xơ sợi])</f>
        <v>Chung-PET</v>
      </c>
      <c r="T159" s="45">
        <v>45108</v>
      </c>
      <c r="U159" s="46">
        <v>46204</v>
      </c>
      <c r="V159" s="47">
        <v>144</v>
      </c>
      <c r="W159" s="47">
        <v>365416370</v>
      </c>
      <c r="X159" s="47">
        <v>-534234.4561403509</v>
      </c>
      <c r="Y159" s="47">
        <v>365416370</v>
      </c>
      <c r="Z159" s="47">
        <v>365416370</v>
      </c>
      <c r="AA159" s="47">
        <v>365416370</v>
      </c>
      <c r="AB159" s="47">
        <v>365416370</v>
      </c>
      <c r="AC159" s="47">
        <v>365416370</v>
      </c>
      <c r="AD159" s="47">
        <v>365416370</v>
      </c>
      <c r="AE159" s="47">
        <v>365416370</v>
      </c>
      <c r="AF159" s="47">
        <v>365416370</v>
      </c>
      <c r="AG159" s="47">
        <v>365416370</v>
      </c>
      <c r="AH159" s="47">
        <v>365416370</v>
      </c>
      <c r="AI159" s="47">
        <v>365416370</v>
      </c>
      <c r="AJ159" s="47">
        <v>365416370</v>
      </c>
      <c r="AK159" s="47">
        <v>365416370</v>
      </c>
      <c r="AL159" s="47">
        <v>-121805457</v>
      </c>
      <c r="AM159" s="47">
        <v>-304513642</v>
      </c>
      <c r="AN159" s="47">
        <v>-534234.4561403509</v>
      </c>
      <c r="AO159" s="47">
        <v>-534234.4561403509</v>
      </c>
      <c r="AP159" s="47">
        <v>-534234.4561403509</v>
      </c>
      <c r="AQ159" s="47">
        <v>-534234.4561403509</v>
      </c>
      <c r="AR159" s="47">
        <v>-534234.4561403509</v>
      </c>
      <c r="AS159" s="47">
        <v>-534234.4561403509</v>
      </c>
      <c r="AT159" s="47">
        <v>-534234.4561403509</v>
      </c>
      <c r="AU159" s="47">
        <v>-534234.4561403509</v>
      </c>
      <c r="AV159" s="47">
        <v>-534234.4561403509</v>
      </c>
      <c r="AW159" s="47">
        <v>-534234.4561403509</v>
      </c>
      <c r="AX159" s="47">
        <v>-534234.4561403509</v>
      </c>
      <c r="AY159" s="47">
        <v>-534234.4561403509</v>
      </c>
      <c r="AZ159" s="58">
        <f t="shared" si="9"/>
        <v>-6410813.4736842094</v>
      </c>
      <c r="BA159" s="47">
        <f>Y159+SUM($AM159:AM159)</f>
        <v>60902728</v>
      </c>
      <c r="BB159" s="48">
        <f>Z159+SUM($AM159:AN159)</f>
        <v>60368493.543859661</v>
      </c>
      <c r="BC159" s="48">
        <f>AA159+SUM($AM159:AO159)</f>
        <v>59834259.087719321</v>
      </c>
      <c r="BD159" s="48">
        <f>AB159+SUM($AM159:AP159)</f>
        <v>59300024.631578982</v>
      </c>
      <c r="BE159" s="48">
        <f>AC159+SUM($AM159:AQ159)</f>
        <v>58765790.175438643</v>
      </c>
      <c r="BF159" s="48">
        <f>AD159+SUM($AM159:AR159)</f>
        <v>58231555.719298303</v>
      </c>
      <c r="BG159" s="48">
        <f>AE159+SUM($AM159:AS159)</f>
        <v>57697321.263157964</v>
      </c>
      <c r="BH159" s="48">
        <f>AF159+SUM($AM159:AT159)</f>
        <v>57163086.807017624</v>
      </c>
      <c r="BI159" s="48">
        <f>AG159+SUM($AM159:AU159)</f>
        <v>56628852.350877285</v>
      </c>
      <c r="BJ159" s="48">
        <f>AH159+SUM($AM159:AV159)</f>
        <v>56094617.894736946</v>
      </c>
      <c r="BK159" s="48">
        <f>AI159+SUM($AM159:AW159)</f>
        <v>55560383.438596606</v>
      </c>
      <c r="BL159" s="48">
        <f>AJ159+SUM($AM159:AX159)</f>
        <v>55026148.982456267</v>
      </c>
      <c r="BM159" s="48">
        <f>AK159+SUM($AM159:AY159)</f>
        <v>54491914.526315928</v>
      </c>
      <c r="BO159" s="47"/>
    </row>
    <row r="160" spans="3:67" s="41" customFormat="1" hidden="1" x14ac:dyDescent="0.3">
      <c r="C160" s="41" t="s">
        <v>1340</v>
      </c>
      <c r="D160" s="42" t="s">
        <v>338</v>
      </c>
      <c r="E160" s="42" t="str">
        <f t="shared" si="7"/>
        <v>211</v>
      </c>
      <c r="F160" s="41" t="str">
        <f>_xlfn.XLOOKUP($D160,MD_Account_Asset_Type[Nhóm tài sản],MD_Account_Asset_Type[Tên Nhóm tài sản])</f>
        <v>Máy móc, thiết bị - SX 627</v>
      </c>
      <c r="G160" s="41" t="str">
        <f>_xlfn.XLOOKUP($D160,MD_Account_Asset_Type[Nhóm tài sản],MD_Account_Asset_Type[Tên nhóm TS-Rút gọn])</f>
        <v>Máy móc thiết bị</v>
      </c>
      <c r="H160" s="41" t="str">
        <f>_xlfn.XLOOKUP($D160,MD_Account_Asset_Type[Nhóm tài sản],MD_Account_Asset_Type[Tên nhóm TS-Rút gọn-v2])</f>
        <v>Máy móc thiết bị</v>
      </c>
      <c r="I160" s="43" t="s">
        <v>889</v>
      </c>
      <c r="J160" s="42" t="s">
        <v>651</v>
      </c>
      <c r="K160" s="41" t="s">
        <v>502</v>
      </c>
      <c r="L160" s="42" t="s">
        <v>48</v>
      </c>
      <c r="M160" s="42" t="s">
        <v>123</v>
      </c>
      <c r="N160" s="44">
        <v>0</v>
      </c>
      <c r="O160" s="44"/>
      <c r="P160" s="41" t="s">
        <v>462</v>
      </c>
      <c r="Q160" s="41" t="str">
        <f t="shared" si="8"/>
        <v>627</v>
      </c>
      <c r="R160" s="41" t="str">
        <f>_xlfn.XLOOKUP($L160,MD_Cost_Center[Mã Cost Center],MD_Cost_Center[Ngành])</f>
        <v>PET</v>
      </c>
      <c r="S160" s="41" t="str">
        <f>_xlfn.XLOOKUP($L160,MD_Cost_Center[Mã Cost Center],MD_Cost_Center[Ngành-Tách PET-Xơ sợi])</f>
        <v>Chung-PET</v>
      </c>
      <c r="T160" s="45">
        <v>45108</v>
      </c>
      <c r="U160" s="46">
        <v>46204</v>
      </c>
      <c r="V160" s="47">
        <v>144</v>
      </c>
      <c r="W160" s="47">
        <v>190093298</v>
      </c>
      <c r="X160" s="47">
        <v>-277914.17543859652</v>
      </c>
      <c r="Y160" s="47">
        <v>190093298</v>
      </c>
      <c r="Z160" s="47">
        <v>190093298</v>
      </c>
      <c r="AA160" s="47">
        <v>190093298</v>
      </c>
      <c r="AB160" s="47">
        <v>190093298</v>
      </c>
      <c r="AC160" s="47">
        <v>190093298</v>
      </c>
      <c r="AD160" s="47">
        <v>190093298</v>
      </c>
      <c r="AE160" s="47">
        <v>190093298</v>
      </c>
      <c r="AF160" s="47">
        <v>190093298</v>
      </c>
      <c r="AG160" s="47">
        <v>190093298</v>
      </c>
      <c r="AH160" s="47">
        <v>190093298</v>
      </c>
      <c r="AI160" s="47">
        <v>190093298</v>
      </c>
      <c r="AJ160" s="47">
        <v>190093298</v>
      </c>
      <c r="AK160" s="47">
        <v>190093298</v>
      </c>
      <c r="AL160" s="47">
        <v>-63364433</v>
      </c>
      <c r="AM160" s="47">
        <v>-158411082</v>
      </c>
      <c r="AN160" s="47">
        <v>-277914.17543859652</v>
      </c>
      <c r="AO160" s="47">
        <v>-277914.17543859652</v>
      </c>
      <c r="AP160" s="47">
        <v>-277914.17543859652</v>
      </c>
      <c r="AQ160" s="47">
        <v>-277914.17543859652</v>
      </c>
      <c r="AR160" s="47">
        <v>-277914.17543859652</v>
      </c>
      <c r="AS160" s="47">
        <v>-277914.17543859652</v>
      </c>
      <c r="AT160" s="47">
        <v>-277914.17543859652</v>
      </c>
      <c r="AU160" s="47">
        <v>-277914.17543859652</v>
      </c>
      <c r="AV160" s="47">
        <v>-277914.17543859652</v>
      </c>
      <c r="AW160" s="47">
        <v>-277914.17543859652</v>
      </c>
      <c r="AX160" s="47">
        <v>-277914.17543859652</v>
      </c>
      <c r="AY160" s="47">
        <v>-277914.17543859652</v>
      </c>
      <c r="AZ160" s="58">
        <f t="shared" si="9"/>
        <v>-3334970.1052631573</v>
      </c>
      <c r="BA160" s="47">
        <f>Y160+SUM($AM160:AM160)</f>
        <v>31682216</v>
      </c>
      <c r="BB160" s="48">
        <f>Z160+SUM($AM160:AN160)</f>
        <v>31404301.824561417</v>
      </c>
      <c r="BC160" s="48">
        <f>AA160+SUM($AM160:AO160)</f>
        <v>31126387.649122834</v>
      </c>
      <c r="BD160" s="48">
        <f>AB160+SUM($AM160:AP160)</f>
        <v>30848473.473684251</v>
      </c>
      <c r="BE160" s="48">
        <f>AC160+SUM($AM160:AQ160)</f>
        <v>30570559.298245668</v>
      </c>
      <c r="BF160" s="48">
        <f>AD160+SUM($AM160:AR160)</f>
        <v>30292645.122807086</v>
      </c>
      <c r="BG160" s="48">
        <f>AE160+SUM($AM160:AS160)</f>
        <v>30014730.947368503</v>
      </c>
      <c r="BH160" s="48">
        <f>AF160+SUM($AM160:AT160)</f>
        <v>29736816.77192992</v>
      </c>
      <c r="BI160" s="48">
        <f>AG160+SUM($AM160:AU160)</f>
        <v>29458902.596491337</v>
      </c>
      <c r="BJ160" s="48">
        <f>AH160+SUM($AM160:AV160)</f>
        <v>29180988.421052754</v>
      </c>
      <c r="BK160" s="48">
        <f>AI160+SUM($AM160:AW160)</f>
        <v>28903074.245614171</v>
      </c>
      <c r="BL160" s="48">
        <f>AJ160+SUM($AM160:AX160)</f>
        <v>28625160.070175588</v>
      </c>
      <c r="BM160" s="48">
        <f>AK160+SUM($AM160:AY160)</f>
        <v>28347245.894737005</v>
      </c>
      <c r="BO160" s="47"/>
    </row>
    <row r="161" spans="3:67" s="41" customFormat="1" hidden="1" x14ac:dyDescent="0.3">
      <c r="C161" s="41" t="s">
        <v>1340</v>
      </c>
      <c r="D161" s="42" t="s">
        <v>338</v>
      </c>
      <c r="E161" s="42" t="str">
        <f t="shared" si="7"/>
        <v>211</v>
      </c>
      <c r="F161" s="41" t="str">
        <f>_xlfn.XLOOKUP($D161,MD_Account_Asset_Type[Nhóm tài sản],MD_Account_Asset_Type[Tên Nhóm tài sản])</f>
        <v>Máy móc, thiết bị - SX 627</v>
      </c>
      <c r="G161" s="41" t="str">
        <f>_xlfn.XLOOKUP($D161,MD_Account_Asset_Type[Nhóm tài sản],MD_Account_Asset_Type[Tên nhóm TS-Rút gọn])</f>
        <v>Máy móc thiết bị</v>
      </c>
      <c r="H161" s="41" t="str">
        <f>_xlfn.XLOOKUP($D161,MD_Account_Asset_Type[Nhóm tài sản],MD_Account_Asset_Type[Tên nhóm TS-Rút gọn-v2])</f>
        <v>Máy móc thiết bị</v>
      </c>
      <c r="I161" s="43" t="s">
        <v>890</v>
      </c>
      <c r="J161" s="42" t="s">
        <v>652</v>
      </c>
      <c r="K161" s="41" t="s">
        <v>502</v>
      </c>
      <c r="L161" s="42" t="s">
        <v>48</v>
      </c>
      <c r="M161" s="42" t="s">
        <v>123</v>
      </c>
      <c r="N161" s="44">
        <v>0</v>
      </c>
      <c r="O161" s="44"/>
      <c r="P161" s="41" t="s">
        <v>462</v>
      </c>
      <c r="Q161" s="41" t="str">
        <f t="shared" si="8"/>
        <v>627</v>
      </c>
      <c r="R161" s="41" t="str">
        <f>_xlfn.XLOOKUP($L161,MD_Cost_Center[Mã Cost Center],MD_Cost_Center[Ngành])</f>
        <v>PET</v>
      </c>
      <c r="S161" s="41" t="str">
        <f>_xlfn.XLOOKUP($L161,MD_Cost_Center[Mã Cost Center],MD_Cost_Center[Ngành-Tách PET-Xơ sợi])</f>
        <v>Chung-PET</v>
      </c>
      <c r="T161" s="45">
        <v>45108</v>
      </c>
      <c r="U161" s="46">
        <v>46204</v>
      </c>
      <c r="V161" s="47">
        <v>144</v>
      </c>
      <c r="W161" s="47">
        <v>196041828</v>
      </c>
      <c r="X161" s="47">
        <v>-286610.85964912281</v>
      </c>
      <c r="Y161" s="47">
        <v>196041828</v>
      </c>
      <c r="Z161" s="47">
        <v>196041828</v>
      </c>
      <c r="AA161" s="47">
        <v>196041828</v>
      </c>
      <c r="AB161" s="47">
        <v>196041828</v>
      </c>
      <c r="AC161" s="47">
        <v>196041828</v>
      </c>
      <c r="AD161" s="47">
        <v>196041828</v>
      </c>
      <c r="AE161" s="47">
        <v>196041828</v>
      </c>
      <c r="AF161" s="47">
        <v>196041828</v>
      </c>
      <c r="AG161" s="47">
        <v>196041828</v>
      </c>
      <c r="AH161" s="47">
        <v>196041828</v>
      </c>
      <c r="AI161" s="47">
        <v>196041828</v>
      </c>
      <c r="AJ161" s="47">
        <v>196041828</v>
      </c>
      <c r="AK161" s="47">
        <v>196041828</v>
      </c>
      <c r="AL161" s="47">
        <v>-65347276</v>
      </c>
      <c r="AM161" s="47">
        <v>-163368190</v>
      </c>
      <c r="AN161" s="47">
        <v>-286610.85964912281</v>
      </c>
      <c r="AO161" s="47">
        <v>-286610.85964912281</v>
      </c>
      <c r="AP161" s="47">
        <v>-286610.85964912281</v>
      </c>
      <c r="AQ161" s="47">
        <v>-286610.85964912281</v>
      </c>
      <c r="AR161" s="47">
        <v>-286610.85964912281</v>
      </c>
      <c r="AS161" s="47">
        <v>-286610.85964912281</v>
      </c>
      <c r="AT161" s="47">
        <v>-286610.85964912281</v>
      </c>
      <c r="AU161" s="47">
        <v>-286610.85964912281</v>
      </c>
      <c r="AV161" s="47">
        <v>-286610.85964912281</v>
      </c>
      <c r="AW161" s="47">
        <v>-286610.85964912281</v>
      </c>
      <c r="AX161" s="47">
        <v>-286610.85964912281</v>
      </c>
      <c r="AY161" s="47">
        <v>-286610.85964912281</v>
      </c>
      <c r="AZ161" s="58">
        <f t="shared" si="9"/>
        <v>-3439330.3157894728</v>
      </c>
      <c r="BA161" s="47">
        <f>Y161+SUM($AM161:AM161)</f>
        <v>32673638</v>
      </c>
      <c r="BB161" s="48">
        <f>Z161+SUM($AM161:AN161)</f>
        <v>32387027.140350878</v>
      </c>
      <c r="BC161" s="48">
        <f>AA161+SUM($AM161:AO161)</f>
        <v>32100416.280701756</v>
      </c>
      <c r="BD161" s="48">
        <f>AB161+SUM($AM161:AP161)</f>
        <v>31813805.421052635</v>
      </c>
      <c r="BE161" s="48">
        <f>AC161+SUM($AM161:AQ161)</f>
        <v>31527194.561403513</v>
      </c>
      <c r="BF161" s="48">
        <f>AD161+SUM($AM161:AR161)</f>
        <v>31240583.701754391</v>
      </c>
      <c r="BG161" s="48">
        <f>AE161+SUM($AM161:AS161)</f>
        <v>30953972.842105269</v>
      </c>
      <c r="BH161" s="48">
        <f>AF161+SUM($AM161:AT161)</f>
        <v>30667361.982456148</v>
      </c>
      <c r="BI161" s="48">
        <f>AG161+SUM($AM161:AU161)</f>
        <v>30380751.122807026</v>
      </c>
      <c r="BJ161" s="48">
        <f>AH161+SUM($AM161:AV161)</f>
        <v>30094140.263157904</v>
      </c>
      <c r="BK161" s="48">
        <f>AI161+SUM($AM161:AW161)</f>
        <v>29807529.403508782</v>
      </c>
      <c r="BL161" s="48">
        <f>AJ161+SUM($AM161:AX161)</f>
        <v>29520918.543859661</v>
      </c>
      <c r="BM161" s="48">
        <f>AK161+SUM($AM161:AY161)</f>
        <v>29234307.684210539</v>
      </c>
      <c r="BO161" s="47"/>
    </row>
    <row r="162" spans="3:67" s="41" customFormat="1" hidden="1" x14ac:dyDescent="0.3">
      <c r="C162" s="41" t="s">
        <v>1340</v>
      </c>
      <c r="D162" s="42" t="s">
        <v>338</v>
      </c>
      <c r="E162" s="42" t="str">
        <f t="shared" si="7"/>
        <v>211</v>
      </c>
      <c r="F162" s="41" t="str">
        <f>_xlfn.XLOOKUP($D162,MD_Account_Asset_Type[Nhóm tài sản],MD_Account_Asset_Type[Tên Nhóm tài sản])</f>
        <v>Máy móc, thiết bị - SX 627</v>
      </c>
      <c r="G162" s="41" t="str">
        <f>_xlfn.XLOOKUP($D162,MD_Account_Asset_Type[Nhóm tài sản],MD_Account_Asset_Type[Tên nhóm TS-Rút gọn])</f>
        <v>Máy móc thiết bị</v>
      </c>
      <c r="H162" s="41" t="str">
        <f>_xlfn.XLOOKUP($D162,MD_Account_Asset_Type[Nhóm tài sản],MD_Account_Asset_Type[Tên nhóm TS-Rút gọn-v2])</f>
        <v>Máy móc thiết bị</v>
      </c>
      <c r="I162" s="43" t="s">
        <v>891</v>
      </c>
      <c r="J162" s="42" t="s">
        <v>653</v>
      </c>
      <c r="K162" s="41" t="s">
        <v>502</v>
      </c>
      <c r="L162" s="42" t="s">
        <v>48</v>
      </c>
      <c r="M162" s="42" t="s">
        <v>123</v>
      </c>
      <c r="N162" s="44">
        <v>0</v>
      </c>
      <c r="O162" s="44"/>
      <c r="P162" s="41" t="s">
        <v>462</v>
      </c>
      <c r="Q162" s="41" t="str">
        <f t="shared" si="8"/>
        <v>627</v>
      </c>
      <c r="R162" s="41" t="str">
        <f>_xlfn.XLOOKUP($L162,MD_Cost_Center[Mã Cost Center],MD_Cost_Center[Ngành])</f>
        <v>PET</v>
      </c>
      <c r="S162" s="41" t="str">
        <f>_xlfn.XLOOKUP($L162,MD_Cost_Center[Mã Cost Center],MD_Cost_Center[Ngành-Tách PET-Xơ sợi])</f>
        <v>Chung-PET</v>
      </c>
      <c r="T162" s="45">
        <v>45139</v>
      </c>
      <c r="U162" s="46">
        <v>46235</v>
      </c>
      <c r="V162" s="47">
        <v>144</v>
      </c>
      <c r="W162" s="47">
        <v>63755169</v>
      </c>
      <c r="X162" s="47">
        <v>-107798.59130434782</v>
      </c>
      <c r="Y162" s="47">
        <v>63755169</v>
      </c>
      <c r="Z162" s="47">
        <v>63755169</v>
      </c>
      <c r="AA162" s="47">
        <v>63755169</v>
      </c>
      <c r="AB162" s="47">
        <v>63755169</v>
      </c>
      <c r="AC162" s="47">
        <v>63755169</v>
      </c>
      <c r="AD162" s="47">
        <v>63755169</v>
      </c>
      <c r="AE162" s="47">
        <v>63755169</v>
      </c>
      <c r="AF162" s="47">
        <v>63755169</v>
      </c>
      <c r="AG162" s="47">
        <v>63755169</v>
      </c>
      <c r="AH162" s="47">
        <v>63755169</v>
      </c>
      <c r="AI162" s="47">
        <v>63755169</v>
      </c>
      <c r="AJ162" s="47">
        <v>63755169</v>
      </c>
      <c r="AK162" s="47">
        <v>63755169</v>
      </c>
      <c r="AL162" s="47">
        <v>-21251723</v>
      </c>
      <c r="AM162" s="47">
        <v>-51358331</v>
      </c>
      <c r="AN162" s="47">
        <v>-107798.59130434782</v>
      </c>
      <c r="AO162" s="47">
        <v>-107798.59130434782</v>
      </c>
      <c r="AP162" s="47">
        <v>-107798.59130434782</v>
      </c>
      <c r="AQ162" s="47">
        <v>-107798.59130434782</v>
      </c>
      <c r="AR162" s="47">
        <v>-107798.59130434782</v>
      </c>
      <c r="AS162" s="47">
        <v>-107798.59130434782</v>
      </c>
      <c r="AT162" s="47">
        <v>-107798.59130434782</v>
      </c>
      <c r="AU162" s="47">
        <v>-107798.59130434782</v>
      </c>
      <c r="AV162" s="47">
        <v>-107798.59130434782</v>
      </c>
      <c r="AW162" s="47">
        <v>-107798.59130434782</v>
      </c>
      <c r="AX162" s="47">
        <v>-107798.59130434782</v>
      </c>
      <c r="AY162" s="47">
        <v>-107798.59130434782</v>
      </c>
      <c r="AZ162" s="58">
        <f t="shared" si="9"/>
        <v>-1293583.095652174</v>
      </c>
      <c r="BA162" s="47">
        <f>Y162+SUM($AM162:AM162)</f>
        <v>12396838</v>
      </c>
      <c r="BB162" s="48">
        <f>Z162+SUM($AM162:AN162)</f>
        <v>12289039.408695653</v>
      </c>
      <c r="BC162" s="48">
        <f>AA162+SUM($AM162:AO162)</f>
        <v>12181240.817391306</v>
      </c>
      <c r="BD162" s="48">
        <f>AB162+SUM($AM162:AP162)</f>
        <v>12073442.226086959</v>
      </c>
      <c r="BE162" s="48">
        <f>AC162+SUM($AM162:AQ162)</f>
        <v>11965643.634782612</v>
      </c>
      <c r="BF162" s="48">
        <f>AD162+SUM($AM162:AR162)</f>
        <v>11857845.043478265</v>
      </c>
      <c r="BG162" s="48">
        <f>AE162+SUM($AM162:AS162)</f>
        <v>11750046.452173918</v>
      </c>
      <c r="BH162" s="48">
        <f>AF162+SUM($AM162:AT162)</f>
        <v>11642247.860869572</v>
      </c>
      <c r="BI162" s="48">
        <f>AG162+SUM($AM162:AU162)</f>
        <v>11534449.269565225</v>
      </c>
      <c r="BJ162" s="48">
        <f>AH162+SUM($AM162:AV162)</f>
        <v>11426650.678260878</v>
      </c>
      <c r="BK162" s="48">
        <f>AI162+SUM($AM162:AW162)</f>
        <v>11318852.086956531</v>
      </c>
      <c r="BL162" s="48">
        <f>AJ162+SUM($AM162:AX162)</f>
        <v>11211053.495652184</v>
      </c>
      <c r="BM162" s="48">
        <f>AK162+SUM($AM162:AY162)</f>
        <v>11103254.904347837</v>
      </c>
      <c r="BO162" s="47"/>
    </row>
    <row r="163" spans="3:67" s="41" customFormat="1" hidden="1" x14ac:dyDescent="0.3">
      <c r="C163" s="41" t="s">
        <v>1340</v>
      </c>
      <c r="D163" s="42" t="s">
        <v>338</v>
      </c>
      <c r="E163" s="42" t="str">
        <f t="shared" si="7"/>
        <v>211</v>
      </c>
      <c r="F163" s="41" t="str">
        <f>_xlfn.XLOOKUP($D163,MD_Account_Asset_Type[Nhóm tài sản],MD_Account_Asset_Type[Tên Nhóm tài sản])</f>
        <v>Máy móc, thiết bị - SX 627</v>
      </c>
      <c r="G163" s="41" t="str">
        <f>_xlfn.XLOOKUP($D163,MD_Account_Asset_Type[Nhóm tài sản],MD_Account_Asset_Type[Tên nhóm TS-Rút gọn])</f>
        <v>Máy móc thiết bị</v>
      </c>
      <c r="H163" s="41" t="str">
        <f>_xlfn.XLOOKUP($D163,MD_Account_Asset_Type[Nhóm tài sản],MD_Account_Asset_Type[Tên nhóm TS-Rút gọn-v2])</f>
        <v>Máy móc thiết bị</v>
      </c>
      <c r="I163" s="43" t="s">
        <v>892</v>
      </c>
      <c r="J163" s="42" t="s">
        <v>654</v>
      </c>
      <c r="K163" s="41" t="s">
        <v>502</v>
      </c>
      <c r="L163" s="42" t="s">
        <v>48</v>
      </c>
      <c r="M163" s="42" t="s">
        <v>123</v>
      </c>
      <c r="N163" s="44">
        <v>0</v>
      </c>
      <c r="O163" s="44"/>
      <c r="P163" s="41" t="s">
        <v>462</v>
      </c>
      <c r="Q163" s="41" t="str">
        <f t="shared" si="8"/>
        <v>627</v>
      </c>
      <c r="R163" s="41" t="str">
        <f>_xlfn.XLOOKUP($L163,MD_Cost_Center[Mã Cost Center],MD_Cost_Center[Ngành])</f>
        <v>PET</v>
      </c>
      <c r="S163" s="41" t="str">
        <f>_xlfn.XLOOKUP($L163,MD_Cost_Center[Mã Cost Center],MD_Cost_Center[Ngành-Tách PET-Xơ sợi])</f>
        <v>Chung-PET</v>
      </c>
      <c r="T163" s="45">
        <v>45146</v>
      </c>
      <c r="U163" s="46">
        <v>46242</v>
      </c>
      <c r="V163" s="47">
        <v>144</v>
      </c>
      <c r="W163" s="47">
        <v>360577908</v>
      </c>
      <c r="X163" s="47">
        <v>-609672.7913043478</v>
      </c>
      <c r="Y163" s="47">
        <v>360577908</v>
      </c>
      <c r="Z163" s="47">
        <v>360577908</v>
      </c>
      <c r="AA163" s="47">
        <v>360577908</v>
      </c>
      <c r="AB163" s="47">
        <v>360577908</v>
      </c>
      <c r="AC163" s="47">
        <v>360577908</v>
      </c>
      <c r="AD163" s="47">
        <v>360577908</v>
      </c>
      <c r="AE163" s="47">
        <v>360577908</v>
      </c>
      <c r="AF163" s="47">
        <v>360577908</v>
      </c>
      <c r="AG163" s="47">
        <v>360577908</v>
      </c>
      <c r="AH163" s="47">
        <v>360577908</v>
      </c>
      <c r="AI163" s="47">
        <v>360577908</v>
      </c>
      <c r="AJ163" s="47">
        <v>360577908</v>
      </c>
      <c r="AK163" s="47">
        <v>360577908</v>
      </c>
      <c r="AL163" s="47">
        <v>-120192636</v>
      </c>
      <c r="AM163" s="47">
        <v>-290465537</v>
      </c>
      <c r="AN163" s="47">
        <v>-609672.7913043478</v>
      </c>
      <c r="AO163" s="47">
        <v>-609672.7913043478</v>
      </c>
      <c r="AP163" s="47">
        <v>-609672.7913043478</v>
      </c>
      <c r="AQ163" s="47">
        <v>-609672.7913043478</v>
      </c>
      <c r="AR163" s="47">
        <v>-609672.7913043478</v>
      </c>
      <c r="AS163" s="47">
        <v>-609672.7913043478</v>
      </c>
      <c r="AT163" s="47">
        <v>-609672.7913043478</v>
      </c>
      <c r="AU163" s="47">
        <v>-609672.7913043478</v>
      </c>
      <c r="AV163" s="47">
        <v>-609672.7913043478</v>
      </c>
      <c r="AW163" s="47">
        <v>-609672.7913043478</v>
      </c>
      <c r="AX163" s="47">
        <v>-609672.7913043478</v>
      </c>
      <c r="AY163" s="47">
        <v>-609672.7913043478</v>
      </c>
      <c r="AZ163" s="58">
        <f t="shared" si="9"/>
        <v>-7316073.4956521755</v>
      </c>
      <c r="BA163" s="47">
        <f>Y163+SUM($AM163:AM163)</f>
        <v>70112371</v>
      </c>
      <c r="BB163" s="48">
        <f>Z163+SUM($AM163:AN163)</f>
        <v>69502698.20869565</v>
      </c>
      <c r="BC163" s="48">
        <f>AA163+SUM($AM163:AO163)</f>
        <v>68893025.4173913</v>
      </c>
      <c r="BD163" s="48">
        <f>AB163+SUM($AM163:AP163)</f>
        <v>68283352.62608695</v>
      </c>
      <c r="BE163" s="48">
        <f>AC163+SUM($AM163:AQ163)</f>
        <v>67673679.8347826</v>
      </c>
      <c r="BF163" s="48">
        <f>AD163+SUM($AM163:AR163)</f>
        <v>67064007.043478251</v>
      </c>
      <c r="BG163" s="48">
        <f>AE163+SUM($AM163:AS163)</f>
        <v>66454334.252173901</v>
      </c>
      <c r="BH163" s="48">
        <f>AF163+SUM($AM163:AT163)</f>
        <v>65844661.460869551</v>
      </c>
      <c r="BI163" s="48">
        <f>AG163+SUM($AM163:AU163)</f>
        <v>65234988.669565201</v>
      </c>
      <c r="BJ163" s="48">
        <f>AH163+SUM($AM163:AV163)</f>
        <v>64625315.878260851</v>
      </c>
      <c r="BK163" s="48">
        <f>AI163+SUM($AM163:AW163)</f>
        <v>64015643.086956501</v>
      </c>
      <c r="BL163" s="48">
        <f>AJ163+SUM($AM163:AX163)</f>
        <v>63405970.295652151</v>
      </c>
      <c r="BM163" s="48">
        <f>AK163+SUM($AM163:AY163)</f>
        <v>62796297.504347801</v>
      </c>
      <c r="BO163" s="47"/>
    </row>
    <row r="164" spans="3:67" s="41" customFormat="1" hidden="1" x14ac:dyDescent="0.3">
      <c r="C164" s="41" t="s">
        <v>1340</v>
      </c>
      <c r="D164" s="42" t="s">
        <v>338</v>
      </c>
      <c r="E164" s="42" t="str">
        <f t="shared" si="7"/>
        <v>211</v>
      </c>
      <c r="F164" s="41" t="str">
        <f>_xlfn.XLOOKUP($D164,MD_Account_Asset_Type[Nhóm tài sản],MD_Account_Asset_Type[Tên Nhóm tài sản])</f>
        <v>Máy móc, thiết bị - SX 627</v>
      </c>
      <c r="G164" s="41" t="str">
        <f>_xlfn.XLOOKUP($D164,MD_Account_Asset_Type[Nhóm tài sản],MD_Account_Asset_Type[Tên nhóm TS-Rút gọn])</f>
        <v>Máy móc thiết bị</v>
      </c>
      <c r="H164" s="41" t="str">
        <f>_xlfn.XLOOKUP($D164,MD_Account_Asset_Type[Nhóm tài sản],MD_Account_Asset_Type[Tên nhóm TS-Rút gọn-v2])</f>
        <v>Máy móc thiết bị</v>
      </c>
      <c r="I164" s="43" t="s">
        <v>893</v>
      </c>
      <c r="J164" s="42" t="s">
        <v>655</v>
      </c>
      <c r="K164" s="41" t="s">
        <v>502</v>
      </c>
      <c r="L164" s="42" t="s">
        <v>48</v>
      </c>
      <c r="M164" s="42" t="s">
        <v>123</v>
      </c>
      <c r="N164" s="44">
        <v>0</v>
      </c>
      <c r="O164" s="44"/>
      <c r="P164" s="41" t="s">
        <v>462</v>
      </c>
      <c r="Q164" s="41" t="str">
        <f t="shared" si="8"/>
        <v>627</v>
      </c>
      <c r="R164" s="41" t="str">
        <f>_xlfn.XLOOKUP($L164,MD_Cost_Center[Mã Cost Center],MD_Cost_Center[Ngành])</f>
        <v>PET</v>
      </c>
      <c r="S164" s="41" t="str">
        <f>_xlfn.XLOOKUP($L164,MD_Cost_Center[Mã Cost Center],MD_Cost_Center[Ngành-Tách PET-Xơ sợi])</f>
        <v>Chung-PET</v>
      </c>
      <c r="T164" s="45">
        <v>45139</v>
      </c>
      <c r="U164" s="46">
        <v>46235</v>
      </c>
      <c r="V164" s="47">
        <v>144</v>
      </c>
      <c r="W164" s="47">
        <v>729100000</v>
      </c>
      <c r="X164" s="47">
        <v>-1232777.7826086956</v>
      </c>
      <c r="Y164" s="47">
        <v>729100000</v>
      </c>
      <c r="Z164" s="47">
        <v>729100000</v>
      </c>
      <c r="AA164" s="47">
        <v>729100000</v>
      </c>
      <c r="AB164" s="47">
        <v>729100000</v>
      </c>
      <c r="AC164" s="47">
        <v>729100000</v>
      </c>
      <c r="AD164" s="47">
        <v>729100000</v>
      </c>
      <c r="AE164" s="47">
        <v>729100000</v>
      </c>
      <c r="AF164" s="47">
        <v>729100000</v>
      </c>
      <c r="AG164" s="47">
        <v>729100000</v>
      </c>
      <c r="AH164" s="47">
        <v>729100000</v>
      </c>
      <c r="AI164" s="47">
        <v>729100000</v>
      </c>
      <c r="AJ164" s="47">
        <v>729100000</v>
      </c>
      <c r="AK164" s="47">
        <v>729100000</v>
      </c>
      <c r="AL164" s="47">
        <v>-243033333</v>
      </c>
      <c r="AM164" s="47">
        <v>-587330555</v>
      </c>
      <c r="AN164" s="47">
        <v>-1232777.7826086956</v>
      </c>
      <c r="AO164" s="47">
        <v>-1232777.7826086956</v>
      </c>
      <c r="AP164" s="47">
        <v>-1232777.7826086956</v>
      </c>
      <c r="AQ164" s="47">
        <v>-1232777.7826086956</v>
      </c>
      <c r="AR164" s="47">
        <v>-1232777.7826086956</v>
      </c>
      <c r="AS164" s="47">
        <v>-1232777.7826086956</v>
      </c>
      <c r="AT164" s="47">
        <v>-1232777.7826086956</v>
      </c>
      <c r="AU164" s="47">
        <v>-1232777.7826086956</v>
      </c>
      <c r="AV164" s="47">
        <v>-1232777.7826086956</v>
      </c>
      <c r="AW164" s="47">
        <v>-1232777.7826086956</v>
      </c>
      <c r="AX164" s="47">
        <v>-1232777.7826086956</v>
      </c>
      <c r="AY164" s="47">
        <v>-1232777.7826086956</v>
      </c>
      <c r="AZ164" s="58">
        <f t="shared" si="9"/>
        <v>-14793333.391304346</v>
      </c>
      <c r="BA164" s="47">
        <f>Y164+SUM($AM164:AM164)</f>
        <v>141769445</v>
      </c>
      <c r="BB164" s="48">
        <f>Z164+SUM($AM164:AN164)</f>
        <v>140536667.21739125</v>
      </c>
      <c r="BC164" s="48">
        <f>AA164+SUM($AM164:AO164)</f>
        <v>139303889.43478251</v>
      </c>
      <c r="BD164" s="48">
        <f>AB164+SUM($AM164:AP164)</f>
        <v>138071111.65217376</v>
      </c>
      <c r="BE164" s="48">
        <f>AC164+SUM($AM164:AQ164)</f>
        <v>136838333.86956501</v>
      </c>
      <c r="BF164" s="48">
        <f>AD164+SUM($AM164:AR164)</f>
        <v>135605556.08695626</v>
      </c>
      <c r="BG164" s="48">
        <f>AE164+SUM($AM164:AS164)</f>
        <v>134372778.30434752</v>
      </c>
      <c r="BH164" s="48">
        <f>AF164+SUM($AM164:AT164)</f>
        <v>133140000.52173877</v>
      </c>
      <c r="BI164" s="48">
        <f>AG164+SUM($AM164:AU164)</f>
        <v>131907222.73913002</v>
      </c>
      <c r="BJ164" s="48">
        <f>AH164+SUM($AM164:AV164)</f>
        <v>130674444.95652127</v>
      </c>
      <c r="BK164" s="48">
        <f>AI164+SUM($AM164:AW164)</f>
        <v>129441667.17391253</v>
      </c>
      <c r="BL164" s="48">
        <f>AJ164+SUM($AM164:AX164)</f>
        <v>128208889.39130378</v>
      </c>
      <c r="BM164" s="48">
        <f>AK164+SUM($AM164:AY164)</f>
        <v>126976111.60869503</v>
      </c>
      <c r="BO164" s="47"/>
    </row>
    <row r="165" spans="3:67" s="41" customFormat="1" hidden="1" x14ac:dyDescent="0.3">
      <c r="C165" s="41" t="s">
        <v>1340</v>
      </c>
      <c r="D165" s="42" t="s">
        <v>338</v>
      </c>
      <c r="E165" s="42" t="str">
        <f t="shared" si="7"/>
        <v>211</v>
      </c>
      <c r="F165" s="41" t="str">
        <f>_xlfn.XLOOKUP($D165,MD_Account_Asset_Type[Nhóm tài sản],MD_Account_Asset_Type[Tên Nhóm tài sản])</f>
        <v>Máy móc, thiết bị - SX 627</v>
      </c>
      <c r="G165" s="41" t="str">
        <f>_xlfn.XLOOKUP($D165,MD_Account_Asset_Type[Nhóm tài sản],MD_Account_Asset_Type[Tên nhóm TS-Rút gọn])</f>
        <v>Máy móc thiết bị</v>
      </c>
      <c r="H165" s="41" t="str">
        <f>_xlfn.XLOOKUP($D165,MD_Account_Asset_Type[Nhóm tài sản],MD_Account_Asset_Type[Tên nhóm TS-Rút gọn-v2])</f>
        <v>Máy móc thiết bị</v>
      </c>
      <c r="I165" s="43" t="s">
        <v>894</v>
      </c>
      <c r="J165" s="42" t="s">
        <v>656</v>
      </c>
      <c r="K165" s="41" t="s">
        <v>502</v>
      </c>
      <c r="L165" s="42" t="s">
        <v>48</v>
      </c>
      <c r="M165" s="42" t="s">
        <v>123</v>
      </c>
      <c r="N165" s="44">
        <v>0</v>
      </c>
      <c r="O165" s="44"/>
      <c r="P165" s="41" t="s">
        <v>462</v>
      </c>
      <c r="Q165" s="41" t="str">
        <f t="shared" si="8"/>
        <v>627</v>
      </c>
      <c r="R165" s="41" t="str">
        <f>_xlfn.XLOOKUP($L165,MD_Cost_Center[Mã Cost Center],MD_Cost_Center[Ngành])</f>
        <v>PET</v>
      </c>
      <c r="S165" s="41" t="str">
        <f>_xlfn.XLOOKUP($L165,MD_Cost_Center[Mã Cost Center],MD_Cost_Center[Ngành-Tách PET-Xơ sợi])</f>
        <v>Chung-PET</v>
      </c>
      <c r="T165" s="45">
        <v>45139</v>
      </c>
      <c r="U165" s="46">
        <v>46235</v>
      </c>
      <c r="V165" s="47">
        <v>144</v>
      </c>
      <c r="W165" s="47">
        <v>460772000</v>
      </c>
      <c r="X165" s="47">
        <v>-779083.08695652173</v>
      </c>
      <c r="Y165" s="47">
        <v>460772000</v>
      </c>
      <c r="Z165" s="47">
        <v>460772000</v>
      </c>
      <c r="AA165" s="47">
        <v>460772000</v>
      </c>
      <c r="AB165" s="47">
        <v>460772000</v>
      </c>
      <c r="AC165" s="47">
        <v>460772000</v>
      </c>
      <c r="AD165" s="47">
        <v>460772000</v>
      </c>
      <c r="AE165" s="47">
        <v>460772000</v>
      </c>
      <c r="AF165" s="47">
        <v>460772000</v>
      </c>
      <c r="AG165" s="47">
        <v>460772000</v>
      </c>
      <c r="AH165" s="47">
        <v>460772000</v>
      </c>
      <c r="AI165" s="47">
        <v>460772000</v>
      </c>
      <c r="AJ165" s="47">
        <v>460772000</v>
      </c>
      <c r="AK165" s="47">
        <v>460772000</v>
      </c>
      <c r="AL165" s="47">
        <v>-153590667</v>
      </c>
      <c r="AM165" s="47">
        <v>-371177445</v>
      </c>
      <c r="AN165" s="47">
        <v>-779083.08695652173</v>
      </c>
      <c r="AO165" s="47">
        <v>-779083.08695652173</v>
      </c>
      <c r="AP165" s="47">
        <v>-779083.08695652173</v>
      </c>
      <c r="AQ165" s="47">
        <v>-779083.08695652173</v>
      </c>
      <c r="AR165" s="47">
        <v>-779083.08695652173</v>
      </c>
      <c r="AS165" s="47">
        <v>-779083.08695652173</v>
      </c>
      <c r="AT165" s="47">
        <v>-779083.08695652173</v>
      </c>
      <c r="AU165" s="47">
        <v>-779083.08695652173</v>
      </c>
      <c r="AV165" s="47">
        <v>-779083.08695652173</v>
      </c>
      <c r="AW165" s="47">
        <v>-779083.08695652173</v>
      </c>
      <c r="AX165" s="47">
        <v>-779083.08695652173</v>
      </c>
      <c r="AY165" s="47">
        <v>-779083.08695652173</v>
      </c>
      <c r="AZ165" s="58">
        <f t="shared" si="9"/>
        <v>-9348997.0434782598</v>
      </c>
      <c r="BA165" s="47">
        <f>Y165+SUM($AM165:AM165)</f>
        <v>89594555</v>
      </c>
      <c r="BB165" s="48">
        <f>Z165+SUM($AM165:AN165)</f>
        <v>88815471.913043499</v>
      </c>
      <c r="BC165" s="48">
        <f>AA165+SUM($AM165:AO165)</f>
        <v>88036388.826086998</v>
      </c>
      <c r="BD165" s="48">
        <f>AB165+SUM($AM165:AP165)</f>
        <v>87257305.739130497</v>
      </c>
      <c r="BE165" s="48">
        <f>AC165+SUM($AM165:AQ165)</f>
        <v>86478222.652173996</v>
      </c>
      <c r="BF165" s="48">
        <f>AD165+SUM($AM165:AR165)</f>
        <v>85699139.565217495</v>
      </c>
      <c r="BG165" s="48">
        <f>AE165+SUM($AM165:AS165)</f>
        <v>84920056.478260994</v>
      </c>
      <c r="BH165" s="48">
        <f>AF165+SUM($AM165:AT165)</f>
        <v>84140973.391304493</v>
      </c>
      <c r="BI165" s="48">
        <f>AG165+SUM($AM165:AU165)</f>
        <v>83361890.304347992</v>
      </c>
      <c r="BJ165" s="48">
        <f>AH165+SUM($AM165:AV165)</f>
        <v>82582807.217391491</v>
      </c>
      <c r="BK165" s="48">
        <f>AI165+SUM($AM165:AW165)</f>
        <v>81803724.13043499</v>
      </c>
      <c r="BL165" s="48">
        <f>AJ165+SUM($AM165:AX165)</f>
        <v>81024641.043478489</v>
      </c>
      <c r="BM165" s="48">
        <f>AK165+SUM($AM165:AY165)</f>
        <v>80245557.956521988</v>
      </c>
      <c r="BO165" s="47"/>
    </row>
    <row r="166" spans="3:67" s="41" customFormat="1" hidden="1" x14ac:dyDescent="0.3">
      <c r="C166" s="41" t="s">
        <v>1340</v>
      </c>
      <c r="D166" s="42" t="s">
        <v>338</v>
      </c>
      <c r="E166" s="42" t="str">
        <f t="shared" si="7"/>
        <v>211</v>
      </c>
      <c r="F166" s="41" t="str">
        <f>_xlfn.XLOOKUP($D166,MD_Account_Asset_Type[Nhóm tài sản],MD_Account_Asset_Type[Tên Nhóm tài sản])</f>
        <v>Máy móc, thiết bị - SX 627</v>
      </c>
      <c r="G166" s="41" t="str">
        <f>_xlfn.XLOOKUP($D166,MD_Account_Asset_Type[Nhóm tài sản],MD_Account_Asset_Type[Tên nhóm TS-Rút gọn])</f>
        <v>Máy móc thiết bị</v>
      </c>
      <c r="H166" s="41" t="str">
        <f>_xlfn.XLOOKUP($D166,MD_Account_Asset_Type[Nhóm tài sản],MD_Account_Asset_Type[Tên nhóm TS-Rút gọn-v2])</f>
        <v>Máy móc thiết bị</v>
      </c>
      <c r="I166" s="43" t="s">
        <v>895</v>
      </c>
      <c r="J166" s="42" t="s">
        <v>657</v>
      </c>
      <c r="K166" s="41" t="s">
        <v>502</v>
      </c>
      <c r="L166" s="42" t="s">
        <v>56</v>
      </c>
      <c r="M166" s="42" t="s">
        <v>131</v>
      </c>
      <c r="N166" s="44" t="s">
        <v>249</v>
      </c>
      <c r="O166" s="44"/>
      <c r="P166" s="41" t="s">
        <v>462</v>
      </c>
      <c r="Q166" s="41" t="str">
        <f t="shared" si="8"/>
        <v>627</v>
      </c>
      <c r="R166" s="41" t="str">
        <f>_xlfn.XLOOKUP($L166,MD_Cost_Center[Mã Cost Center],MD_Cost_Center[Ngành])</f>
        <v>PET</v>
      </c>
      <c r="S166" s="41" t="str">
        <f>_xlfn.XLOOKUP($L166,MD_Cost_Center[Mã Cost Center],MD_Cost_Center[Ngành-Tách PET-Xơ sợi])</f>
        <v>Chung-PET</v>
      </c>
      <c r="T166" s="45">
        <v>45170</v>
      </c>
      <c r="U166" s="46">
        <v>46997</v>
      </c>
      <c r="V166" s="47">
        <v>144</v>
      </c>
      <c r="W166" s="47">
        <v>98000000</v>
      </c>
      <c r="X166" s="47">
        <v>-450574.71551724139</v>
      </c>
      <c r="Y166" s="47">
        <v>98000000</v>
      </c>
      <c r="Z166" s="47">
        <v>98000000</v>
      </c>
      <c r="AA166" s="47">
        <v>98000000</v>
      </c>
      <c r="AB166" s="47">
        <v>98000000</v>
      </c>
      <c r="AC166" s="47">
        <v>98000000</v>
      </c>
      <c r="AD166" s="47">
        <v>98000000</v>
      </c>
      <c r="AE166" s="47">
        <v>98000000</v>
      </c>
      <c r="AF166" s="47">
        <v>98000000</v>
      </c>
      <c r="AG166" s="47">
        <v>98000000</v>
      </c>
      <c r="AH166" s="47">
        <v>98000000</v>
      </c>
      <c r="AI166" s="47">
        <v>98000000</v>
      </c>
      <c r="AJ166" s="47">
        <v>98000000</v>
      </c>
      <c r="AK166" s="47">
        <v>98000000</v>
      </c>
      <c r="AL166" s="47">
        <v>-19600000</v>
      </c>
      <c r="AM166" s="47">
        <v>-45733333</v>
      </c>
      <c r="AN166" s="47">
        <v>-450574.71551724139</v>
      </c>
      <c r="AO166" s="47">
        <v>-450574.71551724139</v>
      </c>
      <c r="AP166" s="47">
        <v>-450574.71551724139</v>
      </c>
      <c r="AQ166" s="47">
        <v>-450574.71551724139</v>
      </c>
      <c r="AR166" s="47">
        <v>-450574.71551724139</v>
      </c>
      <c r="AS166" s="47">
        <v>-450574.71551724139</v>
      </c>
      <c r="AT166" s="47">
        <v>-450574.71551724139</v>
      </c>
      <c r="AU166" s="47">
        <v>-450574.71551724139</v>
      </c>
      <c r="AV166" s="47">
        <v>-450574.71551724139</v>
      </c>
      <c r="AW166" s="47">
        <v>-450574.71551724139</v>
      </c>
      <c r="AX166" s="47">
        <v>-450574.71551724139</v>
      </c>
      <c r="AY166" s="47">
        <v>-450574.71551724139</v>
      </c>
      <c r="AZ166" s="58">
        <f t="shared" si="9"/>
        <v>-5406896.5862068972</v>
      </c>
      <c r="BA166" s="47">
        <f>Y166+SUM($AM166:AM166)</f>
        <v>52266667</v>
      </c>
      <c r="BB166" s="48">
        <f>Z166+SUM($AM166:AN166)</f>
        <v>51816092.284482762</v>
      </c>
      <c r="BC166" s="48">
        <f>AA166+SUM($AM166:AO166)</f>
        <v>51365517.568965524</v>
      </c>
      <c r="BD166" s="48">
        <f>AB166+SUM($AM166:AP166)</f>
        <v>50914942.853448287</v>
      </c>
      <c r="BE166" s="48">
        <f>AC166+SUM($AM166:AQ166)</f>
        <v>50464368.137931049</v>
      </c>
      <c r="BF166" s="48">
        <f>AD166+SUM($AM166:AR166)</f>
        <v>50013793.422413811</v>
      </c>
      <c r="BG166" s="48">
        <f>AE166+SUM($AM166:AS166)</f>
        <v>49563218.706896573</v>
      </c>
      <c r="BH166" s="48">
        <f>AF166+SUM($AM166:AT166)</f>
        <v>49112643.991379336</v>
      </c>
      <c r="BI166" s="48">
        <f>AG166+SUM($AM166:AU166)</f>
        <v>48662069.275862098</v>
      </c>
      <c r="BJ166" s="48">
        <f>AH166+SUM($AM166:AV166)</f>
        <v>48211494.56034486</v>
      </c>
      <c r="BK166" s="48">
        <f>AI166+SUM($AM166:AW166)</f>
        <v>47760919.844827622</v>
      </c>
      <c r="BL166" s="48">
        <f>AJ166+SUM($AM166:AX166)</f>
        <v>47310345.129310384</v>
      </c>
      <c r="BM166" s="48">
        <f>AK166+SUM($AM166:AY166)</f>
        <v>46859770.413793147</v>
      </c>
      <c r="BO166" s="47"/>
    </row>
    <row r="167" spans="3:67" s="41" customFormat="1" hidden="1" x14ac:dyDescent="0.3">
      <c r="C167" s="41" t="s">
        <v>1340</v>
      </c>
      <c r="D167" s="42" t="s">
        <v>338</v>
      </c>
      <c r="E167" s="42" t="str">
        <f t="shared" si="7"/>
        <v>211</v>
      </c>
      <c r="F167" s="41" t="str">
        <f>_xlfn.XLOOKUP($D167,MD_Account_Asset_Type[Nhóm tài sản],MD_Account_Asset_Type[Tên Nhóm tài sản])</f>
        <v>Máy móc, thiết bị - SX 627</v>
      </c>
      <c r="G167" s="41" t="str">
        <f>_xlfn.XLOOKUP($D167,MD_Account_Asset_Type[Nhóm tài sản],MD_Account_Asset_Type[Tên nhóm TS-Rút gọn])</f>
        <v>Máy móc thiết bị</v>
      </c>
      <c r="H167" s="41" t="str">
        <f>_xlfn.XLOOKUP($D167,MD_Account_Asset_Type[Nhóm tài sản],MD_Account_Asset_Type[Tên nhóm TS-Rút gọn-v2])</f>
        <v>Máy móc thiết bị</v>
      </c>
      <c r="I167" s="43" t="s">
        <v>896</v>
      </c>
      <c r="J167" s="42" t="s">
        <v>658</v>
      </c>
      <c r="K167" s="41" t="s">
        <v>502</v>
      </c>
      <c r="L167" s="42" t="s">
        <v>56</v>
      </c>
      <c r="M167" s="42" t="s">
        <v>131</v>
      </c>
      <c r="N167" s="44" t="s">
        <v>249</v>
      </c>
      <c r="O167" s="44"/>
      <c r="P167" s="41" t="s">
        <v>462</v>
      </c>
      <c r="Q167" s="41" t="str">
        <f t="shared" si="8"/>
        <v>627</v>
      </c>
      <c r="R167" s="41" t="str">
        <f>_xlfn.XLOOKUP($L167,MD_Cost_Center[Mã Cost Center],MD_Cost_Center[Ngành])</f>
        <v>PET</v>
      </c>
      <c r="S167" s="41" t="str">
        <f>_xlfn.XLOOKUP($L167,MD_Cost_Center[Mã Cost Center],MD_Cost_Center[Ngành-Tách PET-Xơ sợi])</f>
        <v>Chung-PET</v>
      </c>
      <c r="T167" s="45">
        <v>45170</v>
      </c>
      <c r="U167" s="46">
        <v>46997</v>
      </c>
      <c r="V167" s="47">
        <v>144</v>
      </c>
      <c r="W167" s="47">
        <v>91000000</v>
      </c>
      <c r="X167" s="47">
        <v>-418390.80172413791</v>
      </c>
      <c r="Y167" s="47">
        <v>91000000</v>
      </c>
      <c r="Z167" s="47">
        <v>91000000</v>
      </c>
      <c r="AA167" s="47">
        <v>91000000</v>
      </c>
      <c r="AB167" s="47">
        <v>91000000</v>
      </c>
      <c r="AC167" s="47">
        <v>91000000</v>
      </c>
      <c r="AD167" s="47">
        <v>91000000</v>
      </c>
      <c r="AE167" s="47">
        <v>91000000</v>
      </c>
      <c r="AF167" s="47">
        <v>91000000</v>
      </c>
      <c r="AG167" s="47">
        <v>91000000</v>
      </c>
      <c r="AH167" s="47">
        <v>91000000</v>
      </c>
      <c r="AI167" s="47">
        <v>91000000</v>
      </c>
      <c r="AJ167" s="47">
        <v>91000000</v>
      </c>
      <c r="AK167" s="47">
        <v>91000000</v>
      </c>
      <c r="AL167" s="47">
        <v>-18200000</v>
      </c>
      <c r="AM167" s="47">
        <v>-42466667</v>
      </c>
      <c r="AN167" s="47">
        <v>-418390.80172413791</v>
      </c>
      <c r="AO167" s="47">
        <v>-418390.80172413791</v>
      </c>
      <c r="AP167" s="47">
        <v>-418390.80172413791</v>
      </c>
      <c r="AQ167" s="47">
        <v>-418390.80172413791</v>
      </c>
      <c r="AR167" s="47">
        <v>-418390.80172413791</v>
      </c>
      <c r="AS167" s="47">
        <v>-418390.80172413791</v>
      </c>
      <c r="AT167" s="47">
        <v>-418390.80172413791</v>
      </c>
      <c r="AU167" s="47">
        <v>-418390.80172413791</v>
      </c>
      <c r="AV167" s="47">
        <v>-418390.80172413791</v>
      </c>
      <c r="AW167" s="47">
        <v>-418390.80172413791</v>
      </c>
      <c r="AX167" s="47">
        <v>-418390.80172413791</v>
      </c>
      <c r="AY167" s="47">
        <v>-418390.80172413791</v>
      </c>
      <c r="AZ167" s="58">
        <f t="shared" si="9"/>
        <v>-5020689.6206896538</v>
      </c>
      <c r="BA167" s="47">
        <f>Y167+SUM($AM167:AM167)</f>
        <v>48533333</v>
      </c>
      <c r="BB167" s="48">
        <f>Z167+SUM($AM167:AN167)</f>
        <v>48114942.198275864</v>
      </c>
      <c r="BC167" s="48">
        <f>AA167+SUM($AM167:AO167)</f>
        <v>47696551.396551728</v>
      </c>
      <c r="BD167" s="48">
        <f>AB167+SUM($AM167:AP167)</f>
        <v>47278160.594827592</v>
      </c>
      <c r="BE167" s="48">
        <f>AC167+SUM($AM167:AQ167)</f>
        <v>46859769.793103456</v>
      </c>
      <c r="BF167" s="48">
        <f>AD167+SUM($AM167:AR167)</f>
        <v>46441378.991379321</v>
      </c>
      <c r="BG167" s="48">
        <f>AE167+SUM($AM167:AS167)</f>
        <v>46022988.189655185</v>
      </c>
      <c r="BH167" s="48">
        <f>AF167+SUM($AM167:AT167)</f>
        <v>45604597.387931049</v>
      </c>
      <c r="BI167" s="48">
        <f>AG167+SUM($AM167:AU167)</f>
        <v>45186206.586206913</v>
      </c>
      <c r="BJ167" s="48">
        <f>AH167+SUM($AM167:AV167)</f>
        <v>44767815.784482777</v>
      </c>
      <c r="BK167" s="48">
        <f>AI167+SUM($AM167:AW167)</f>
        <v>44349424.982758641</v>
      </c>
      <c r="BL167" s="48">
        <f>AJ167+SUM($AM167:AX167)</f>
        <v>43931034.181034505</v>
      </c>
      <c r="BM167" s="48">
        <f>AK167+SUM($AM167:AY167)</f>
        <v>43512643.379310369</v>
      </c>
      <c r="BO167" s="47"/>
    </row>
    <row r="168" spans="3:67" s="41" customFormat="1" hidden="1" x14ac:dyDescent="0.3">
      <c r="C168" s="41" t="s">
        <v>1340</v>
      </c>
      <c r="D168" s="42" t="s">
        <v>338</v>
      </c>
      <c r="E168" s="42" t="str">
        <f t="shared" si="7"/>
        <v>211</v>
      </c>
      <c r="F168" s="41" t="str">
        <f>_xlfn.XLOOKUP($D168,MD_Account_Asset_Type[Nhóm tài sản],MD_Account_Asset_Type[Tên Nhóm tài sản])</f>
        <v>Máy móc, thiết bị - SX 627</v>
      </c>
      <c r="G168" s="41" t="str">
        <f>_xlfn.XLOOKUP($D168,MD_Account_Asset_Type[Nhóm tài sản],MD_Account_Asset_Type[Tên nhóm TS-Rút gọn])</f>
        <v>Máy móc thiết bị</v>
      </c>
      <c r="H168" s="41" t="str">
        <f>_xlfn.XLOOKUP($D168,MD_Account_Asset_Type[Nhóm tài sản],MD_Account_Asset_Type[Tên nhóm TS-Rút gọn-v2])</f>
        <v>Máy móc thiết bị</v>
      </c>
      <c r="I168" s="43" t="s">
        <v>897</v>
      </c>
      <c r="J168" s="42" t="s">
        <v>659</v>
      </c>
      <c r="K168" s="41" t="s">
        <v>502</v>
      </c>
      <c r="L168" s="42" t="s">
        <v>48</v>
      </c>
      <c r="M168" s="42" t="s">
        <v>123</v>
      </c>
      <c r="N168" s="44">
        <v>0</v>
      </c>
      <c r="O168" s="44"/>
      <c r="P168" s="41" t="s">
        <v>462</v>
      </c>
      <c r="Q168" s="41" t="str">
        <f t="shared" si="8"/>
        <v>627</v>
      </c>
      <c r="R168" s="41" t="str">
        <f>_xlfn.XLOOKUP($L168,MD_Cost_Center[Mã Cost Center],MD_Cost_Center[Ngành])</f>
        <v>PET</v>
      </c>
      <c r="S168" s="41" t="str">
        <f>_xlfn.XLOOKUP($L168,MD_Cost_Center[Mã Cost Center],MD_Cost_Center[Ngành-Tách PET-Xơ sợi])</f>
        <v>Chung-PET</v>
      </c>
      <c r="T168" s="45">
        <v>45170</v>
      </c>
      <c r="U168" s="46">
        <v>46997</v>
      </c>
      <c r="V168" s="47">
        <v>144</v>
      </c>
      <c r="W168" s="47">
        <v>2396767041</v>
      </c>
      <c r="X168" s="47">
        <v>-11019618.586206896</v>
      </c>
      <c r="Y168" s="47">
        <v>2396767041</v>
      </c>
      <c r="Z168" s="47">
        <v>2396767041</v>
      </c>
      <c r="AA168" s="47">
        <v>2396767041</v>
      </c>
      <c r="AB168" s="47">
        <v>2396767041</v>
      </c>
      <c r="AC168" s="47">
        <v>2396767041</v>
      </c>
      <c r="AD168" s="47">
        <v>2396767041</v>
      </c>
      <c r="AE168" s="47">
        <v>2396767041</v>
      </c>
      <c r="AF168" s="47">
        <v>2396767041</v>
      </c>
      <c r="AG168" s="47">
        <v>2396767041</v>
      </c>
      <c r="AH168" s="47">
        <v>2396767041</v>
      </c>
      <c r="AI168" s="47">
        <v>2396767041</v>
      </c>
      <c r="AJ168" s="47">
        <v>2396767041</v>
      </c>
      <c r="AK168" s="47">
        <v>2396767041</v>
      </c>
      <c r="AL168" s="47">
        <v>-479353408</v>
      </c>
      <c r="AM168" s="47">
        <v>-1118491285</v>
      </c>
      <c r="AN168" s="47">
        <v>-11019618.586206896</v>
      </c>
      <c r="AO168" s="47">
        <v>-11019618.586206896</v>
      </c>
      <c r="AP168" s="47">
        <v>-11019618.586206896</v>
      </c>
      <c r="AQ168" s="47">
        <v>-11019618.586206896</v>
      </c>
      <c r="AR168" s="47">
        <v>-11019618.586206896</v>
      </c>
      <c r="AS168" s="47">
        <v>-11019618.586206896</v>
      </c>
      <c r="AT168" s="47">
        <v>-11019618.586206896</v>
      </c>
      <c r="AU168" s="47">
        <v>-11019618.586206896</v>
      </c>
      <c r="AV168" s="47">
        <v>-11019618.586206896</v>
      </c>
      <c r="AW168" s="47">
        <v>-11019618.586206896</v>
      </c>
      <c r="AX168" s="47">
        <v>-11019618.586206896</v>
      </c>
      <c r="AY168" s="47">
        <v>-11019618.586206896</v>
      </c>
      <c r="AZ168" s="58">
        <f t="shared" si="9"/>
        <v>-132235423.03448276</v>
      </c>
      <c r="BA168" s="47">
        <f>Y168+SUM($AM168:AM168)</f>
        <v>1278275756</v>
      </c>
      <c r="BB168" s="48">
        <f>Z168+SUM($AM168:AN168)</f>
        <v>1267256137.4137931</v>
      </c>
      <c r="BC168" s="48">
        <f>AA168+SUM($AM168:AO168)</f>
        <v>1256236518.8275862</v>
      </c>
      <c r="BD168" s="48">
        <f>AB168+SUM($AM168:AP168)</f>
        <v>1245216900.2413793</v>
      </c>
      <c r="BE168" s="48">
        <f>AC168+SUM($AM168:AQ168)</f>
        <v>1234197281.6551723</v>
      </c>
      <c r="BF168" s="48">
        <f>AD168+SUM($AM168:AR168)</f>
        <v>1223177663.0689654</v>
      </c>
      <c r="BG168" s="48">
        <f>AE168+SUM($AM168:AS168)</f>
        <v>1212158044.4827585</v>
      </c>
      <c r="BH168" s="48">
        <f>AF168+SUM($AM168:AT168)</f>
        <v>1201138425.8965516</v>
      </c>
      <c r="BI168" s="48">
        <f>AG168+SUM($AM168:AU168)</f>
        <v>1190118807.3103447</v>
      </c>
      <c r="BJ168" s="48">
        <f>AH168+SUM($AM168:AV168)</f>
        <v>1179099188.7241378</v>
      </c>
      <c r="BK168" s="48">
        <f>AI168+SUM($AM168:AW168)</f>
        <v>1168079570.1379309</v>
      </c>
      <c r="BL168" s="48">
        <f>AJ168+SUM($AM168:AX168)</f>
        <v>1157059951.551724</v>
      </c>
      <c r="BM168" s="48">
        <f>AK168+SUM($AM168:AY168)</f>
        <v>1146040332.965517</v>
      </c>
      <c r="BO168" s="47"/>
    </row>
    <row r="169" spans="3:67" s="41" customFormat="1" hidden="1" x14ac:dyDescent="0.3">
      <c r="C169" s="41" t="s">
        <v>1340</v>
      </c>
      <c r="D169" s="42" t="s">
        <v>338</v>
      </c>
      <c r="E169" s="42" t="str">
        <f t="shared" si="7"/>
        <v>211</v>
      </c>
      <c r="F169" s="41" t="str">
        <f>_xlfn.XLOOKUP($D169,MD_Account_Asset_Type[Nhóm tài sản],MD_Account_Asset_Type[Tên Nhóm tài sản])</f>
        <v>Máy móc, thiết bị - SX 627</v>
      </c>
      <c r="G169" s="41" t="str">
        <f>_xlfn.XLOOKUP($D169,MD_Account_Asset_Type[Nhóm tài sản],MD_Account_Asset_Type[Tên nhóm TS-Rút gọn])</f>
        <v>Máy móc thiết bị</v>
      </c>
      <c r="H169" s="41" t="str">
        <f>_xlfn.XLOOKUP($D169,MD_Account_Asset_Type[Nhóm tài sản],MD_Account_Asset_Type[Tên nhóm TS-Rút gọn-v2])</f>
        <v>Máy móc thiết bị</v>
      </c>
      <c r="I169" s="43" t="s">
        <v>898</v>
      </c>
      <c r="J169" s="42" t="s">
        <v>660</v>
      </c>
      <c r="K169" s="41" t="s">
        <v>502</v>
      </c>
      <c r="L169" s="42" t="s">
        <v>48</v>
      </c>
      <c r="M169" s="42" t="s">
        <v>123</v>
      </c>
      <c r="N169" s="44">
        <v>0</v>
      </c>
      <c r="O169" s="44"/>
      <c r="P169" s="41" t="s">
        <v>462</v>
      </c>
      <c r="Q169" s="41" t="str">
        <f t="shared" si="8"/>
        <v>627</v>
      </c>
      <c r="R169" s="41" t="str">
        <f>_xlfn.XLOOKUP($L169,MD_Cost_Center[Mã Cost Center],MD_Cost_Center[Ngành])</f>
        <v>PET</v>
      </c>
      <c r="S169" s="41" t="str">
        <f>_xlfn.XLOOKUP($L169,MD_Cost_Center[Mã Cost Center],MD_Cost_Center[Ngành-Tách PET-Xơ sợi])</f>
        <v>Chung-PET</v>
      </c>
      <c r="T169" s="45">
        <v>45170</v>
      </c>
      <c r="U169" s="46">
        <v>46997</v>
      </c>
      <c r="V169" s="47">
        <v>144</v>
      </c>
      <c r="W169" s="47">
        <v>3033103521</v>
      </c>
      <c r="X169" s="47">
        <v>-13945736.301724138</v>
      </c>
      <c r="Y169" s="47">
        <v>3033103521</v>
      </c>
      <c r="Z169" s="47">
        <v>3033103521</v>
      </c>
      <c r="AA169" s="47">
        <v>3033103521</v>
      </c>
      <c r="AB169" s="47">
        <v>3033103521</v>
      </c>
      <c r="AC169" s="47">
        <v>3033103521</v>
      </c>
      <c r="AD169" s="47">
        <v>3033103521</v>
      </c>
      <c r="AE169" s="47">
        <v>3033103521</v>
      </c>
      <c r="AF169" s="47">
        <v>3033103521</v>
      </c>
      <c r="AG169" s="47">
        <v>3033103521</v>
      </c>
      <c r="AH169" s="47">
        <v>3033103521</v>
      </c>
      <c r="AI169" s="47">
        <v>3033103521</v>
      </c>
      <c r="AJ169" s="47">
        <v>3033103521</v>
      </c>
      <c r="AK169" s="47">
        <v>3033103521</v>
      </c>
      <c r="AL169" s="47">
        <v>-606639529</v>
      </c>
      <c r="AM169" s="47">
        <v>-1415398110</v>
      </c>
      <c r="AN169" s="47">
        <v>-13945736.301724138</v>
      </c>
      <c r="AO169" s="47">
        <v>-13945736.301724138</v>
      </c>
      <c r="AP169" s="47">
        <v>-13945736.301724138</v>
      </c>
      <c r="AQ169" s="47">
        <v>-13945736.301724138</v>
      </c>
      <c r="AR169" s="47">
        <v>-13945736.301724138</v>
      </c>
      <c r="AS169" s="47">
        <v>-13945736.301724138</v>
      </c>
      <c r="AT169" s="47">
        <v>-13945736.301724138</v>
      </c>
      <c r="AU169" s="47">
        <v>-13945736.301724138</v>
      </c>
      <c r="AV169" s="47">
        <v>-13945736.301724138</v>
      </c>
      <c r="AW169" s="47">
        <v>-13945736.301724138</v>
      </c>
      <c r="AX169" s="47">
        <v>-13945736.301724138</v>
      </c>
      <c r="AY169" s="47">
        <v>-13945736.301724138</v>
      </c>
      <c r="AZ169" s="58">
        <f t="shared" si="9"/>
        <v>-167348835.62068966</v>
      </c>
      <c r="BA169" s="47">
        <f>Y169+SUM($AM169:AM169)</f>
        <v>1617705411</v>
      </c>
      <c r="BB169" s="48">
        <f>Z169+SUM($AM169:AN169)</f>
        <v>1603759674.6982758</v>
      </c>
      <c r="BC169" s="48">
        <f>AA169+SUM($AM169:AO169)</f>
        <v>1589813938.3965516</v>
      </c>
      <c r="BD169" s="48">
        <f>AB169+SUM($AM169:AP169)</f>
        <v>1575868202.0948274</v>
      </c>
      <c r="BE169" s="48">
        <f>AC169+SUM($AM169:AQ169)</f>
        <v>1561922465.7931032</v>
      </c>
      <c r="BF169" s="48">
        <f>AD169+SUM($AM169:AR169)</f>
        <v>1547976729.491379</v>
      </c>
      <c r="BG169" s="48">
        <f>AE169+SUM($AM169:AS169)</f>
        <v>1534030993.1896548</v>
      </c>
      <c r="BH169" s="48">
        <f>AF169+SUM($AM169:AT169)</f>
        <v>1520085256.8879306</v>
      </c>
      <c r="BI169" s="48">
        <f>AG169+SUM($AM169:AU169)</f>
        <v>1506139520.5862064</v>
      </c>
      <c r="BJ169" s="48">
        <f>AH169+SUM($AM169:AV169)</f>
        <v>1492193784.2844822</v>
      </c>
      <c r="BK169" s="48">
        <f>AI169+SUM($AM169:AW169)</f>
        <v>1478248047.982758</v>
      </c>
      <c r="BL169" s="48">
        <f>AJ169+SUM($AM169:AX169)</f>
        <v>1464302311.6810338</v>
      </c>
      <c r="BM169" s="48">
        <f>AK169+SUM($AM169:AY169)</f>
        <v>1450356575.3793097</v>
      </c>
      <c r="BO169" s="47"/>
    </row>
    <row r="170" spans="3:67" s="41" customFormat="1" hidden="1" x14ac:dyDescent="0.3">
      <c r="C170" s="41" t="s">
        <v>1340</v>
      </c>
      <c r="D170" s="42" t="s">
        <v>338</v>
      </c>
      <c r="E170" s="42" t="str">
        <f t="shared" si="7"/>
        <v>211</v>
      </c>
      <c r="F170" s="41" t="str">
        <f>_xlfn.XLOOKUP($D170,MD_Account_Asset_Type[Nhóm tài sản],MD_Account_Asset_Type[Tên Nhóm tài sản])</f>
        <v>Máy móc, thiết bị - SX 627</v>
      </c>
      <c r="G170" s="41" t="str">
        <f>_xlfn.XLOOKUP($D170,MD_Account_Asset_Type[Nhóm tài sản],MD_Account_Asset_Type[Tên nhóm TS-Rút gọn])</f>
        <v>Máy móc thiết bị</v>
      </c>
      <c r="H170" s="41" t="str">
        <f>_xlfn.XLOOKUP($D170,MD_Account_Asset_Type[Nhóm tài sản],MD_Account_Asset_Type[Tên nhóm TS-Rút gọn-v2])</f>
        <v>Máy móc thiết bị</v>
      </c>
      <c r="I170" s="43" t="s">
        <v>899</v>
      </c>
      <c r="J170" s="42" t="s">
        <v>661</v>
      </c>
      <c r="K170" s="41" t="s">
        <v>502</v>
      </c>
      <c r="L170" s="42" t="s">
        <v>48</v>
      </c>
      <c r="M170" s="42" t="s">
        <v>123</v>
      </c>
      <c r="N170" s="44">
        <v>0</v>
      </c>
      <c r="O170" s="44"/>
      <c r="P170" s="41" t="s">
        <v>462</v>
      </c>
      <c r="Q170" s="41" t="str">
        <f t="shared" si="8"/>
        <v>627</v>
      </c>
      <c r="R170" s="41" t="str">
        <f>_xlfn.XLOOKUP($L170,MD_Cost_Center[Mã Cost Center],MD_Cost_Center[Ngành])</f>
        <v>PET</v>
      </c>
      <c r="S170" s="41" t="str">
        <f>_xlfn.XLOOKUP($L170,MD_Cost_Center[Mã Cost Center],MD_Cost_Center[Ngành-Tách PET-Xơ sợi])</f>
        <v>Chung-PET</v>
      </c>
      <c r="T170" s="45">
        <v>45170</v>
      </c>
      <c r="U170" s="46">
        <v>46997</v>
      </c>
      <c r="V170" s="47">
        <v>144</v>
      </c>
      <c r="W170" s="47">
        <v>2381394958</v>
      </c>
      <c r="X170" s="47">
        <v>-10948942.336206896</v>
      </c>
      <c r="Y170" s="47">
        <v>2381394958</v>
      </c>
      <c r="Z170" s="47">
        <v>2381394958</v>
      </c>
      <c r="AA170" s="47">
        <v>2381394958</v>
      </c>
      <c r="AB170" s="47">
        <v>2381394958</v>
      </c>
      <c r="AC170" s="47">
        <v>2381394958</v>
      </c>
      <c r="AD170" s="47">
        <v>2381394958</v>
      </c>
      <c r="AE170" s="47">
        <v>2381394958</v>
      </c>
      <c r="AF170" s="47">
        <v>2381394958</v>
      </c>
      <c r="AG170" s="47">
        <v>2381394958</v>
      </c>
      <c r="AH170" s="47">
        <v>2381394958</v>
      </c>
      <c r="AI170" s="47">
        <v>2381394958</v>
      </c>
      <c r="AJ170" s="47">
        <v>2381394958</v>
      </c>
      <c r="AK170" s="47">
        <v>2381394958</v>
      </c>
      <c r="AL170" s="47">
        <v>-476278991</v>
      </c>
      <c r="AM170" s="47">
        <v>-1111317647</v>
      </c>
      <c r="AN170" s="47">
        <v>-10948942.336206896</v>
      </c>
      <c r="AO170" s="47">
        <v>-10948942.336206896</v>
      </c>
      <c r="AP170" s="47">
        <v>-10948942.336206896</v>
      </c>
      <c r="AQ170" s="47">
        <v>-10948942.336206896</v>
      </c>
      <c r="AR170" s="47">
        <v>-10948942.336206896</v>
      </c>
      <c r="AS170" s="47">
        <v>-10948942.336206896</v>
      </c>
      <c r="AT170" s="47">
        <v>-10948942.336206896</v>
      </c>
      <c r="AU170" s="47">
        <v>-10948942.336206896</v>
      </c>
      <c r="AV170" s="47">
        <v>-10948942.336206896</v>
      </c>
      <c r="AW170" s="47">
        <v>-10948942.336206896</v>
      </c>
      <c r="AX170" s="47">
        <v>-10948942.336206896</v>
      </c>
      <c r="AY170" s="47">
        <v>-10948942.336206896</v>
      </c>
      <c r="AZ170" s="58">
        <f t="shared" si="9"/>
        <v>-131387308.03448276</v>
      </c>
      <c r="BA170" s="47">
        <f>Y170+SUM($AM170:AM170)</f>
        <v>1270077311</v>
      </c>
      <c r="BB170" s="48">
        <f>Z170+SUM($AM170:AN170)</f>
        <v>1259128368.6637931</v>
      </c>
      <c r="BC170" s="48">
        <f>AA170+SUM($AM170:AO170)</f>
        <v>1248179426.3275862</v>
      </c>
      <c r="BD170" s="48">
        <f>AB170+SUM($AM170:AP170)</f>
        <v>1237230483.9913793</v>
      </c>
      <c r="BE170" s="48">
        <f>AC170+SUM($AM170:AQ170)</f>
        <v>1226281541.6551723</v>
      </c>
      <c r="BF170" s="48">
        <f>AD170+SUM($AM170:AR170)</f>
        <v>1215332599.3189654</v>
      </c>
      <c r="BG170" s="48">
        <f>AE170+SUM($AM170:AS170)</f>
        <v>1204383656.9827585</v>
      </c>
      <c r="BH170" s="48">
        <f>AF170+SUM($AM170:AT170)</f>
        <v>1193434714.6465516</v>
      </c>
      <c r="BI170" s="48">
        <f>AG170+SUM($AM170:AU170)</f>
        <v>1182485772.3103447</v>
      </c>
      <c r="BJ170" s="48">
        <f>AH170+SUM($AM170:AV170)</f>
        <v>1171536829.9741378</v>
      </c>
      <c r="BK170" s="48">
        <f>AI170+SUM($AM170:AW170)</f>
        <v>1160587887.6379309</v>
      </c>
      <c r="BL170" s="48">
        <f>AJ170+SUM($AM170:AX170)</f>
        <v>1149638945.301724</v>
      </c>
      <c r="BM170" s="48">
        <f>AK170+SUM($AM170:AY170)</f>
        <v>1138690002.965517</v>
      </c>
      <c r="BO170" s="47"/>
    </row>
    <row r="171" spans="3:67" s="41" customFormat="1" hidden="1" x14ac:dyDescent="0.3">
      <c r="C171" s="41" t="s">
        <v>1340</v>
      </c>
      <c r="D171" s="42" t="s">
        <v>338</v>
      </c>
      <c r="E171" s="42" t="str">
        <f t="shared" si="7"/>
        <v>211</v>
      </c>
      <c r="F171" s="41" t="str">
        <f>_xlfn.XLOOKUP($D171,MD_Account_Asset_Type[Nhóm tài sản],MD_Account_Asset_Type[Tên Nhóm tài sản])</f>
        <v>Máy móc, thiết bị - SX 627</v>
      </c>
      <c r="G171" s="41" t="str">
        <f>_xlfn.XLOOKUP($D171,MD_Account_Asset_Type[Nhóm tài sản],MD_Account_Asset_Type[Tên nhóm TS-Rút gọn])</f>
        <v>Máy móc thiết bị</v>
      </c>
      <c r="H171" s="41" t="str">
        <f>_xlfn.XLOOKUP($D171,MD_Account_Asset_Type[Nhóm tài sản],MD_Account_Asset_Type[Tên nhóm TS-Rút gọn-v2])</f>
        <v>Máy móc thiết bị</v>
      </c>
      <c r="I171" s="43" t="s">
        <v>900</v>
      </c>
      <c r="J171" s="42" t="s">
        <v>662</v>
      </c>
      <c r="K171" s="41" t="s">
        <v>502</v>
      </c>
      <c r="L171" s="42" t="s">
        <v>48</v>
      </c>
      <c r="M171" s="42" t="s">
        <v>123</v>
      </c>
      <c r="N171" s="44">
        <v>0</v>
      </c>
      <c r="O171" s="44"/>
      <c r="P171" s="41" t="s">
        <v>462</v>
      </c>
      <c r="Q171" s="41" t="str">
        <f t="shared" si="8"/>
        <v>627</v>
      </c>
      <c r="R171" s="41" t="str">
        <f>_xlfn.XLOOKUP($L171,MD_Cost_Center[Mã Cost Center],MD_Cost_Center[Ngành])</f>
        <v>PET</v>
      </c>
      <c r="S171" s="41" t="str">
        <f>_xlfn.XLOOKUP($L171,MD_Cost_Center[Mã Cost Center],MD_Cost_Center[Ngành-Tách PET-Xơ sợi])</f>
        <v>Chung-PET</v>
      </c>
      <c r="T171" s="45">
        <v>45170</v>
      </c>
      <c r="U171" s="46">
        <v>46997</v>
      </c>
      <c r="V171" s="47">
        <v>144</v>
      </c>
      <c r="W171" s="47">
        <v>1272618024</v>
      </c>
      <c r="X171" s="47">
        <v>-5851117.3448275859</v>
      </c>
      <c r="Y171" s="47">
        <v>1272618024</v>
      </c>
      <c r="Z171" s="47">
        <v>1272618024</v>
      </c>
      <c r="AA171" s="47">
        <v>1272618024</v>
      </c>
      <c r="AB171" s="47">
        <v>1272618024</v>
      </c>
      <c r="AC171" s="47">
        <v>1272618024</v>
      </c>
      <c r="AD171" s="47">
        <v>1272618024</v>
      </c>
      <c r="AE171" s="47">
        <v>1272618024</v>
      </c>
      <c r="AF171" s="47">
        <v>1272618024</v>
      </c>
      <c r="AG171" s="47">
        <v>1272618024</v>
      </c>
      <c r="AH171" s="47">
        <v>1272618024</v>
      </c>
      <c r="AI171" s="47">
        <v>1272618024</v>
      </c>
      <c r="AJ171" s="47">
        <v>1272618024</v>
      </c>
      <c r="AK171" s="47">
        <v>1272618024</v>
      </c>
      <c r="AL171" s="47">
        <v>-254523605</v>
      </c>
      <c r="AM171" s="47">
        <v>-593888412</v>
      </c>
      <c r="AN171" s="47">
        <v>-5851117.3448275859</v>
      </c>
      <c r="AO171" s="47">
        <v>-5851117.3448275859</v>
      </c>
      <c r="AP171" s="47">
        <v>-5851117.3448275859</v>
      </c>
      <c r="AQ171" s="47">
        <v>-5851117.3448275859</v>
      </c>
      <c r="AR171" s="47">
        <v>-5851117.3448275859</v>
      </c>
      <c r="AS171" s="47">
        <v>-5851117.3448275859</v>
      </c>
      <c r="AT171" s="47">
        <v>-5851117.3448275859</v>
      </c>
      <c r="AU171" s="47">
        <v>-5851117.3448275859</v>
      </c>
      <c r="AV171" s="47">
        <v>-5851117.3448275859</v>
      </c>
      <c r="AW171" s="47">
        <v>-5851117.3448275859</v>
      </c>
      <c r="AX171" s="47">
        <v>-5851117.3448275859</v>
      </c>
      <c r="AY171" s="47">
        <v>-5851117.3448275859</v>
      </c>
      <c r="AZ171" s="58">
        <f t="shared" si="9"/>
        <v>-70213408.137931034</v>
      </c>
      <c r="BA171" s="47">
        <f>Y171+SUM($AM171:AM171)</f>
        <v>678729612</v>
      </c>
      <c r="BB171" s="48">
        <f>Z171+SUM($AM171:AN171)</f>
        <v>672878494.65517247</v>
      </c>
      <c r="BC171" s="48">
        <f>AA171+SUM($AM171:AO171)</f>
        <v>667027377.31034493</v>
      </c>
      <c r="BD171" s="48">
        <f>AB171+SUM($AM171:AP171)</f>
        <v>661176259.9655174</v>
      </c>
      <c r="BE171" s="48">
        <f>AC171+SUM($AM171:AQ171)</f>
        <v>655325142.62068987</v>
      </c>
      <c r="BF171" s="48">
        <f>AD171+SUM($AM171:AR171)</f>
        <v>649474025.27586234</v>
      </c>
      <c r="BG171" s="48">
        <f>AE171+SUM($AM171:AS171)</f>
        <v>643622907.9310348</v>
      </c>
      <c r="BH171" s="48">
        <f>AF171+SUM($AM171:AT171)</f>
        <v>637771790.58620727</v>
      </c>
      <c r="BI171" s="48">
        <f>AG171+SUM($AM171:AU171)</f>
        <v>631920673.24137974</v>
      </c>
      <c r="BJ171" s="48">
        <f>AH171+SUM($AM171:AV171)</f>
        <v>626069555.89655221</v>
      </c>
      <c r="BK171" s="48">
        <f>AI171+SUM($AM171:AW171)</f>
        <v>620218438.55172467</v>
      </c>
      <c r="BL171" s="48">
        <f>AJ171+SUM($AM171:AX171)</f>
        <v>614367321.20689714</v>
      </c>
      <c r="BM171" s="48">
        <f>AK171+SUM($AM171:AY171)</f>
        <v>608516203.86206961</v>
      </c>
      <c r="BO171" s="47"/>
    </row>
    <row r="172" spans="3:67" s="41" customFormat="1" hidden="1" x14ac:dyDescent="0.3">
      <c r="C172" s="41" t="s">
        <v>1340</v>
      </c>
      <c r="D172" s="42" t="s">
        <v>338</v>
      </c>
      <c r="E172" s="42" t="str">
        <f t="shared" si="7"/>
        <v>211</v>
      </c>
      <c r="F172" s="41" t="str">
        <f>_xlfn.XLOOKUP($D172,MD_Account_Asset_Type[Nhóm tài sản],MD_Account_Asset_Type[Tên Nhóm tài sản])</f>
        <v>Máy móc, thiết bị - SX 627</v>
      </c>
      <c r="G172" s="41" t="str">
        <f>_xlfn.XLOOKUP($D172,MD_Account_Asset_Type[Nhóm tài sản],MD_Account_Asset_Type[Tên nhóm TS-Rút gọn])</f>
        <v>Máy móc thiết bị</v>
      </c>
      <c r="H172" s="41" t="str">
        <f>_xlfn.XLOOKUP($D172,MD_Account_Asset_Type[Nhóm tài sản],MD_Account_Asset_Type[Tên nhóm TS-Rút gọn-v2])</f>
        <v>Máy móc thiết bị</v>
      </c>
      <c r="I172" s="43" t="s">
        <v>901</v>
      </c>
      <c r="J172" s="42" t="s">
        <v>663</v>
      </c>
      <c r="K172" s="41" t="s">
        <v>830</v>
      </c>
      <c r="L172" s="42" t="s">
        <v>48</v>
      </c>
      <c r="M172" s="42" t="s">
        <v>123</v>
      </c>
      <c r="N172" s="44">
        <v>0</v>
      </c>
      <c r="O172" s="44"/>
      <c r="P172" s="41" t="s">
        <v>462</v>
      </c>
      <c r="Q172" s="41" t="str">
        <f t="shared" si="8"/>
        <v>627</v>
      </c>
      <c r="R172" s="41" t="str">
        <f>_xlfn.XLOOKUP($L172,MD_Cost_Center[Mã Cost Center],MD_Cost_Center[Ngành])</f>
        <v>PET</v>
      </c>
      <c r="S172" s="41" t="str">
        <f>_xlfn.XLOOKUP($L172,MD_Cost_Center[Mã Cost Center],MD_Cost_Center[Ngành-Tách PET-Xơ sợi])</f>
        <v>Chung-PET</v>
      </c>
      <c r="T172" s="45">
        <v>45200</v>
      </c>
      <c r="U172" s="46">
        <v>47027</v>
      </c>
      <c r="V172" s="47">
        <v>144</v>
      </c>
      <c r="W172" s="47">
        <v>343273414</v>
      </c>
      <c r="X172" s="47">
        <v>-1613678.435897436</v>
      </c>
      <c r="Y172" s="47">
        <v>343273414</v>
      </c>
      <c r="Z172" s="47">
        <v>343273414</v>
      </c>
      <c r="AA172" s="47">
        <v>343273414</v>
      </c>
      <c r="AB172" s="47">
        <v>343273414</v>
      </c>
      <c r="AC172" s="47">
        <v>343273414</v>
      </c>
      <c r="AD172" s="47">
        <v>343273414</v>
      </c>
      <c r="AE172" s="47">
        <v>343273414</v>
      </c>
      <c r="AF172" s="47">
        <v>343273414</v>
      </c>
      <c r="AG172" s="47">
        <v>343273414</v>
      </c>
      <c r="AH172" s="47">
        <v>343273414</v>
      </c>
      <c r="AI172" s="47">
        <v>343273414</v>
      </c>
      <c r="AJ172" s="47">
        <v>343273414</v>
      </c>
      <c r="AK172" s="47">
        <v>343273414</v>
      </c>
      <c r="AL172" s="47">
        <v>-68654683</v>
      </c>
      <c r="AM172" s="47">
        <v>-154473037</v>
      </c>
      <c r="AN172" s="47">
        <v>-1613678.435897436</v>
      </c>
      <c r="AO172" s="47">
        <v>-1613678.435897436</v>
      </c>
      <c r="AP172" s="47">
        <v>-1613678.435897436</v>
      </c>
      <c r="AQ172" s="47">
        <v>-1613678.435897436</v>
      </c>
      <c r="AR172" s="47">
        <v>-1613678.435897436</v>
      </c>
      <c r="AS172" s="47">
        <v>-1613678.435897436</v>
      </c>
      <c r="AT172" s="47">
        <v>-1613678.435897436</v>
      </c>
      <c r="AU172" s="47">
        <v>-1613678.435897436</v>
      </c>
      <c r="AV172" s="47">
        <v>-1613678.435897436</v>
      </c>
      <c r="AW172" s="47">
        <v>-1613678.435897436</v>
      </c>
      <c r="AX172" s="47">
        <v>-1613678.435897436</v>
      </c>
      <c r="AY172" s="47">
        <v>-1613678.435897436</v>
      </c>
      <c r="AZ172" s="58">
        <f t="shared" si="9"/>
        <v>-19364141.230769232</v>
      </c>
      <c r="BA172" s="47">
        <f>Y172+SUM($AM172:AM172)</f>
        <v>188800377</v>
      </c>
      <c r="BB172" s="48">
        <f>Z172+SUM($AM172:AN172)</f>
        <v>187186698.56410256</v>
      </c>
      <c r="BC172" s="48">
        <f>AA172+SUM($AM172:AO172)</f>
        <v>185573020.12820512</v>
      </c>
      <c r="BD172" s="48">
        <f>AB172+SUM($AM172:AP172)</f>
        <v>183959341.69230768</v>
      </c>
      <c r="BE172" s="48">
        <f>AC172+SUM($AM172:AQ172)</f>
        <v>182345663.25641024</v>
      </c>
      <c r="BF172" s="48">
        <f>AD172+SUM($AM172:AR172)</f>
        <v>180731984.8205128</v>
      </c>
      <c r="BG172" s="48">
        <f>AE172+SUM($AM172:AS172)</f>
        <v>179118306.38461536</v>
      </c>
      <c r="BH172" s="48">
        <f>AF172+SUM($AM172:AT172)</f>
        <v>177504627.94871792</v>
      </c>
      <c r="BI172" s="48">
        <f>AG172+SUM($AM172:AU172)</f>
        <v>175890949.51282048</v>
      </c>
      <c r="BJ172" s="48">
        <f>AH172+SUM($AM172:AV172)</f>
        <v>174277271.07692304</v>
      </c>
      <c r="BK172" s="48">
        <f>AI172+SUM($AM172:AW172)</f>
        <v>172663592.6410256</v>
      </c>
      <c r="BL172" s="48">
        <f>AJ172+SUM($AM172:AX172)</f>
        <v>171049914.20512816</v>
      </c>
      <c r="BM172" s="48">
        <f>AK172+SUM($AM172:AY172)</f>
        <v>169436235.76923072</v>
      </c>
      <c r="BO172" s="47"/>
    </row>
    <row r="173" spans="3:67" s="41" customFormat="1" hidden="1" x14ac:dyDescent="0.3">
      <c r="C173" s="41" t="s">
        <v>1340</v>
      </c>
      <c r="D173" s="42" t="s">
        <v>338</v>
      </c>
      <c r="E173" s="42" t="str">
        <f t="shared" si="7"/>
        <v>211</v>
      </c>
      <c r="F173" s="41" t="str">
        <f>_xlfn.XLOOKUP($D173,MD_Account_Asset_Type[Nhóm tài sản],MD_Account_Asset_Type[Tên Nhóm tài sản])</f>
        <v>Máy móc, thiết bị - SX 627</v>
      </c>
      <c r="G173" s="41" t="str">
        <f>_xlfn.XLOOKUP($D173,MD_Account_Asset_Type[Nhóm tài sản],MD_Account_Asset_Type[Tên nhóm TS-Rút gọn])</f>
        <v>Máy móc thiết bị</v>
      </c>
      <c r="H173" s="41" t="str">
        <f>_xlfn.XLOOKUP($D173,MD_Account_Asset_Type[Nhóm tài sản],MD_Account_Asset_Type[Tên nhóm TS-Rút gọn-v2])</f>
        <v>Máy móc thiết bị</v>
      </c>
      <c r="I173" s="43" t="s">
        <v>902</v>
      </c>
      <c r="J173" s="42" t="s">
        <v>664</v>
      </c>
      <c r="K173" s="41" t="s">
        <v>830</v>
      </c>
      <c r="L173" s="42" t="s">
        <v>48</v>
      </c>
      <c r="M173" s="42" t="s">
        <v>123</v>
      </c>
      <c r="N173" s="44">
        <v>0</v>
      </c>
      <c r="O173" s="44"/>
      <c r="P173" s="41" t="s">
        <v>462</v>
      </c>
      <c r="Q173" s="41" t="str">
        <f t="shared" si="8"/>
        <v>627</v>
      </c>
      <c r="R173" s="41" t="str">
        <f>_xlfn.XLOOKUP($L173,MD_Cost_Center[Mã Cost Center],MD_Cost_Center[Ngành])</f>
        <v>PET</v>
      </c>
      <c r="S173" s="41" t="str">
        <f>_xlfn.XLOOKUP($L173,MD_Cost_Center[Mã Cost Center],MD_Cost_Center[Ngành-Tách PET-Xơ sợi])</f>
        <v>Chung-PET</v>
      </c>
      <c r="T173" s="45">
        <v>45200</v>
      </c>
      <c r="U173" s="46">
        <v>47027</v>
      </c>
      <c r="V173" s="47">
        <v>144</v>
      </c>
      <c r="W173" s="47">
        <v>46757482</v>
      </c>
      <c r="X173" s="47">
        <v>-219800.12820512822</v>
      </c>
      <c r="Y173" s="47">
        <v>46757482</v>
      </c>
      <c r="Z173" s="47">
        <v>46757482</v>
      </c>
      <c r="AA173" s="47">
        <v>46757482</v>
      </c>
      <c r="AB173" s="47">
        <v>46757482</v>
      </c>
      <c r="AC173" s="47">
        <v>46757482</v>
      </c>
      <c r="AD173" s="47">
        <v>46757482</v>
      </c>
      <c r="AE173" s="47">
        <v>46757482</v>
      </c>
      <c r="AF173" s="47">
        <v>46757482</v>
      </c>
      <c r="AG173" s="47">
        <v>46757482</v>
      </c>
      <c r="AH173" s="47">
        <v>46757482</v>
      </c>
      <c r="AI173" s="47">
        <v>46757482</v>
      </c>
      <c r="AJ173" s="47">
        <v>46757482</v>
      </c>
      <c r="AK173" s="47">
        <v>46757482</v>
      </c>
      <c r="AL173" s="47">
        <v>-9351497</v>
      </c>
      <c r="AM173" s="47">
        <v>-21040867</v>
      </c>
      <c r="AN173" s="47">
        <v>-219800.12820512822</v>
      </c>
      <c r="AO173" s="47">
        <v>-219800.12820512822</v>
      </c>
      <c r="AP173" s="47">
        <v>-219800.12820512822</v>
      </c>
      <c r="AQ173" s="47">
        <v>-219800.12820512822</v>
      </c>
      <c r="AR173" s="47">
        <v>-219800.12820512822</v>
      </c>
      <c r="AS173" s="47">
        <v>-219800.12820512822</v>
      </c>
      <c r="AT173" s="47">
        <v>-219800.12820512822</v>
      </c>
      <c r="AU173" s="47">
        <v>-219800.12820512822</v>
      </c>
      <c r="AV173" s="47">
        <v>-219800.12820512822</v>
      </c>
      <c r="AW173" s="47">
        <v>-219800.12820512822</v>
      </c>
      <c r="AX173" s="47">
        <v>-219800.12820512822</v>
      </c>
      <c r="AY173" s="47">
        <v>-219800.12820512822</v>
      </c>
      <c r="AZ173" s="58">
        <f t="shared" si="9"/>
        <v>-2637601.538461538</v>
      </c>
      <c r="BA173" s="47">
        <f>Y173+SUM($AM173:AM173)</f>
        <v>25716615</v>
      </c>
      <c r="BB173" s="48">
        <f>Z173+SUM($AM173:AN173)</f>
        <v>25496814.871794872</v>
      </c>
      <c r="BC173" s="48">
        <f>AA173+SUM($AM173:AO173)</f>
        <v>25277014.743589744</v>
      </c>
      <c r="BD173" s="48">
        <f>AB173+SUM($AM173:AP173)</f>
        <v>25057214.615384616</v>
      </c>
      <c r="BE173" s="48">
        <f>AC173+SUM($AM173:AQ173)</f>
        <v>24837414.487179488</v>
      </c>
      <c r="BF173" s="48">
        <f>AD173+SUM($AM173:AR173)</f>
        <v>24617614.35897436</v>
      </c>
      <c r="BG173" s="48">
        <f>AE173+SUM($AM173:AS173)</f>
        <v>24397814.230769232</v>
      </c>
      <c r="BH173" s="48">
        <f>AF173+SUM($AM173:AT173)</f>
        <v>24178014.102564104</v>
      </c>
      <c r="BI173" s="48">
        <f>AG173+SUM($AM173:AU173)</f>
        <v>23958213.974358976</v>
      </c>
      <c r="BJ173" s="48">
        <f>AH173+SUM($AM173:AV173)</f>
        <v>23738413.846153848</v>
      </c>
      <c r="BK173" s="48">
        <f>AI173+SUM($AM173:AW173)</f>
        <v>23518613.71794872</v>
      </c>
      <c r="BL173" s="48">
        <f>AJ173+SUM($AM173:AX173)</f>
        <v>23298813.589743592</v>
      </c>
      <c r="BM173" s="48">
        <f>AK173+SUM($AM173:AY173)</f>
        <v>23079013.461538464</v>
      </c>
      <c r="BO173" s="47"/>
    </row>
    <row r="174" spans="3:67" s="41" customFormat="1" hidden="1" x14ac:dyDescent="0.3">
      <c r="C174" s="41" t="s">
        <v>1340</v>
      </c>
      <c r="D174" s="42" t="s">
        <v>338</v>
      </c>
      <c r="E174" s="42" t="str">
        <f t="shared" si="7"/>
        <v>211</v>
      </c>
      <c r="F174" s="41" t="str">
        <f>_xlfn.XLOOKUP($D174,MD_Account_Asset_Type[Nhóm tài sản],MD_Account_Asset_Type[Tên Nhóm tài sản])</f>
        <v>Máy móc, thiết bị - SX 627</v>
      </c>
      <c r="G174" s="41" t="str">
        <f>_xlfn.XLOOKUP($D174,MD_Account_Asset_Type[Nhóm tài sản],MD_Account_Asset_Type[Tên nhóm TS-Rút gọn])</f>
        <v>Máy móc thiết bị</v>
      </c>
      <c r="H174" s="41" t="str">
        <f>_xlfn.XLOOKUP($D174,MD_Account_Asset_Type[Nhóm tài sản],MD_Account_Asset_Type[Tên nhóm TS-Rút gọn-v2])</f>
        <v>Máy móc thiết bị</v>
      </c>
      <c r="I174" s="43" t="s">
        <v>903</v>
      </c>
      <c r="J174" s="42" t="s">
        <v>665</v>
      </c>
      <c r="K174" s="41" t="s">
        <v>830</v>
      </c>
      <c r="L174" s="42" t="s">
        <v>48</v>
      </c>
      <c r="M174" s="42" t="s">
        <v>123</v>
      </c>
      <c r="N174" s="44">
        <v>0</v>
      </c>
      <c r="O174" s="44"/>
      <c r="P174" s="41" t="s">
        <v>462</v>
      </c>
      <c r="Q174" s="41" t="str">
        <f t="shared" si="8"/>
        <v>627</v>
      </c>
      <c r="R174" s="41" t="str">
        <f>_xlfn.XLOOKUP($L174,MD_Cost_Center[Mã Cost Center],MD_Cost_Center[Ngành])</f>
        <v>PET</v>
      </c>
      <c r="S174" s="41" t="str">
        <f>_xlfn.XLOOKUP($L174,MD_Cost_Center[Mã Cost Center],MD_Cost_Center[Ngành-Tách PET-Xơ sợi])</f>
        <v>Chung-PET</v>
      </c>
      <c r="T174" s="45">
        <v>45200</v>
      </c>
      <c r="U174" s="46">
        <v>47027</v>
      </c>
      <c r="V174" s="47">
        <v>144</v>
      </c>
      <c r="W174" s="47">
        <v>409250000</v>
      </c>
      <c r="X174" s="47">
        <v>-1923824.7863247863</v>
      </c>
      <c r="Y174" s="47">
        <v>409250000</v>
      </c>
      <c r="Z174" s="47">
        <v>409250000</v>
      </c>
      <c r="AA174" s="47">
        <v>409250000</v>
      </c>
      <c r="AB174" s="47">
        <v>409250000</v>
      </c>
      <c r="AC174" s="47">
        <v>409250000</v>
      </c>
      <c r="AD174" s="47">
        <v>409250000</v>
      </c>
      <c r="AE174" s="47">
        <v>409250000</v>
      </c>
      <c r="AF174" s="47">
        <v>409250000</v>
      </c>
      <c r="AG174" s="47">
        <v>409250000</v>
      </c>
      <c r="AH174" s="47">
        <v>409250000</v>
      </c>
      <c r="AI174" s="47">
        <v>409250000</v>
      </c>
      <c r="AJ174" s="47">
        <v>409250000</v>
      </c>
      <c r="AK174" s="47">
        <v>409250000</v>
      </c>
      <c r="AL174" s="47">
        <v>-81850000</v>
      </c>
      <c r="AM174" s="47">
        <v>-184162500</v>
      </c>
      <c r="AN174" s="47">
        <v>-1923824.7863247863</v>
      </c>
      <c r="AO174" s="47">
        <v>-1923824.7863247863</v>
      </c>
      <c r="AP174" s="47">
        <v>-1923824.7863247863</v>
      </c>
      <c r="AQ174" s="47">
        <v>-1923824.7863247863</v>
      </c>
      <c r="AR174" s="47">
        <v>-1923824.7863247863</v>
      </c>
      <c r="AS174" s="47">
        <v>-1923824.7863247863</v>
      </c>
      <c r="AT174" s="47">
        <v>-1923824.7863247863</v>
      </c>
      <c r="AU174" s="47">
        <v>-1923824.7863247863</v>
      </c>
      <c r="AV174" s="47">
        <v>-1923824.7863247863</v>
      </c>
      <c r="AW174" s="47">
        <v>-1923824.7863247863</v>
      </c>
      <c r="AX174" s="47">
        <v>-1923824.7863247863</v>
      </c>
      <c r="AY174" s="47">
        <v>-1923824.7863247863</v>
      </c>
      <c r="AZ174" s="58">
        <f t="shared" si="9"/>
        <v>-23085897.43589744</v>
      </c>
      <c r="BA174" s="47">
        <f>Y174+SUM($AM174:AM174)</f>
        <v>225087500</v>
      </c>
      <c r="BB174" s="48">
        <f>Z174+SUM($AM174:AN174)</f>
        <v>223163675.2136752</v>
      </c>
      <c r="BC174" s="48">
        <f>AA174+SUM($AM174:AO174)</f>
        <v>221239850.4273504</v>
      </c>
      <c r="BD174" s="48">
        <f>AB174+SUM($AM174:AP174)</f>
        <v>219316025.6410256</v>
      </c>
      <c r="BE174" s="48">
        <f>AC174+SUM($AM174:AQ174)</f>
        <v>217392200.8547008</v>
      </c>
      <c r="BF174" s="48">
        <f>AD174+SUM($AM174:AR174)</f>
        <v>215468376.068376</v>
      </c>
      <c r="BG174" s="48">
        <f>AE174+SUM($AM174:AS174)</f>
        <v>213544551.28205121</v>
      </c>
      <c r="BH174" s="48">
        <f>AF174+SUM($AM174:AT174)</f>
        <v>211620726.49572641</v>
      </c>
      <c r="BI174" s="48">
        <f>AG174+SUM($AM174:AU174)</f>
        <v>209696901.70940161</v>
      </c>
      <c r="BJ174" s="48">
        <f>AH174+SUM($AM174:AV174)</f>
        <v>207773076.92307681</v>
      </c>
      <c r="BK174" s="48">
        <f>AI174+SUM($AM174:AW174)</f>
        <v>205849252.13675201</v>
      </c>
      <c r="BL174" s="48">
        <f>AJ174+SUM($AM174:AX174)</f>
        <v>203925427.35042721</v>
      </c>
      <c r="BM174" s="48">
        <f>AK174+SUM($AM174:AY174)</f>
        <v>202001602.56410241</v>
      </c>
      <c r="BO174" s="47"/>
    </row>
    <row r="175" spans="3:67" s="41" customFormat="1" hidden="1" x14ac:dyDescent="0.3">
      <c r="C175" s="41" t="s">
        <v>1340</v>
      </c>
      <c r="D175" s="42" t="s">
        <v>338</v>
      </c>
      <c r="E175" s="42" t="str">
        <f t="shared" si="7"/>
        <v>211</v>
      </c>
      <c r="F175" s="41" t="str">
        <f>_xlfn.XLOOKUP($D175,MD_Account_Asset_Type[Nhóm tài sản],MD_Account_Asset_Type[Tên Nhóm tài sản])</f>
        <v>Máy móc, thiết bị - SX 627</v>
      </c>
      <c r="G175" s="41" t="str">
        <f>_xlfn.XLOOKUP($D175,MD_Account_Asset_Type[Nhóm tài sản],MD_Account_Asset_Type[Tên nhóm TS-Rút gọn])</f>
        <v>Máy móc thiết bị</v>
      </c>
      <c r="H175" s="41" t="str">
        <f>_xlfn.XLOOKUP($D175,MD_Account_Asset_Type[Nhóm tài sản],MD_Account_Asset_Type[Tên nhóm TS-Rút gọn-v2])</f>
        <v>Máy móc thiết bị</v>
      </c>
      <c r="I175" s="43" t="s">
        <v>904</v>
      </c>
      <c r="J175" s="42" t="s">
        <v>666</v>
      </c>
      <c r="K175" s="41" t="s">
        <v>830</v>
      </c>
      <c r="L175" s="42" t="s">
        <v>46</v>
      </c>
      <c r="M175" s="42" t="s">
        <v>121</v>
      </c>
      <c r="N175" s="44">
        <v>0</v>
      </c>
      <c r="O175" s="44"/>
      <c r="P175" s="41" t="s">
        <v>462</v>
      </c>
      <c r="Q175" s="41" t="str">
        <f t="shared" si="8"/>
        <v>627</v>
      </c>
      <c r="R175" s="41" t="str">
        <f>_xlfn.XLOOKUP($L175,MD_Cost_Center[Mã Cost Center],MD_Cost_Center[Ngành])</f>
        <v>Chung</v>
      </c>
      <c r="S175" s="41" t="str">
        <f>_xlfn.XLOOKUP($L175,MD_Cost_Center[Mã Cost Center],MD_Cost_Center[Ngành-Tách PET-Xơ sợi])</f>
        <v>Chung</v>
      </c>
      <c r="T175" s="45">
        <v>45200</v>
      </c>
      <c r="U175" s="46">
        <v>47027</v>
      </c>
      <c r="V175" s="47">
        <v>144</v>
      </c>
      <c r="W175" s="47">
        <v>366850000</v>
      </c>
      <c r="X175" s="47">
        <v>-1724508.547008547</v>
      </c>
      <c r="Y175" s="47">
        <v>366850000</v>
      </c>
      <c r="Z175" s="47">
        <v>366850000</v>
      </c>
      <c r="AA175" s="47">
        <v>366850000</v>
      </c>
      <c r="AB175" s="47">
        <v>366850000</v>
      </c>
      <c r="AC175" s="47">
        <v>366850000</v>
      </c>
      <c r="AD175" s="47">
        <v>366850000</v>
      </c>
      <c r="AE175" s="47">
        <v>366850000</v>
      </c>
      <c r="AF175" s="47">
        <v>366850000</v>
      </c>
      <c r="AG175" s="47">
        <v>366850000</v>
      </c>
      <c r="AH175" s="47">
        <v>366850000</v>
      </c>
      <c r="AI175" s="47">
        <v>366850000</v>
      </c>
      <c r="AJ175" s="47">
        <v>366850000</v>
      </c>
      <c r="AK175" s="47">
        <v>366850000</v>
      </c>
      <c r="AL175" s="47">
        <v>-73370000</v>
      </c>
      <c r="AM175" s="47">
        <v>-165082500</v>
      </c>
      <c r="AN175" s="47">
        <v>-1724508.547008547</v>
      </c>
      <c r="AO175" s="47">
        <v>-1724508.547008547</v>
      </c>
      <c r="AP175" s="47">
        <v>-1724508.547008547</v>
      </c>
      <c r="AQ175" s="47">
        <v>-1724508.547008547</v>
      </c>
      <c r="AR175" s="47">
        <v>-1724508.547008547</v>
      </c>
      <c r="AS175" s="47">
        <v>-1724508.547008547</v>
      </c>
      <c r="AT175" s="47">
        <v>-1724508.547008547</v>
      </c>
      <c r="AU175" s="47">
        <v>-1724508.547008547</v>
      </c>
      <c r="AV175" s="47">
        <v>-1724508.547008547</v>
      </c>
      <c r="AW175" s="47">
        <v>-1724508.547008547</v>
      </c>
      <c r="AX175" s="47">
        <v>-1724508.547008547</v>
      </c>
      <c r="AY175" s="47">
        <v>-1724508.547008547</v>
      </c>
      <c r="AZ175" s="58">
        <f t="shared" si="9"/>
        <v>-20694102.564102571</v>
      </c>
      <c r="BA175" s="47">
        <f>Y175+SUM($AM175:AM175)</f>
        <v>201767500</v>
      </c>
      <c r="BB175" s="48">
        <f>Z175+SUM($AM175:AN175)</f>
        <v>200042991.45299146</v>
      </c>
      <c r="BC175" s="48">
        <f>AA175+SUM($AM175:AO175)</f>
        <v>198318482.90598291</v>
      </c>
      <c r="BD175" s="48">
        <f>AB175+SUM($AM175:AP175)</f>
        <v>196593974.35897437</v>
      </c>
      <c r="BE175" s="48">
        <f>AC175+SUM($AM175:AQ175)</f>
        <v>194869465.81196582</v>
      </c>
      <c r="BF175" s="48">
        <f>AD175+SUM($AM175:AR175)</f>
        <v>193144957.26495728</v>
      </c>
      <c r="BG175" s="48">
        <f>AE175+SUM($AM175:AS175)</f>
        <v>191420448.71794873</v>
      </c>
      <c r="BH175" s="48">
        <f>AF175+SUM($AM175:AT175)</f>
        <v>189695940.17094019</v>
      </c>
      <c r="BI175" s="48">
        <f>AG175+SUM($AM175:AU175)</f>
        <v>187971431.62393165</v>
      </c>
      <c r="BJ175" s="48">
        <f>AH175+SUM($AM175:AV175)</f>
        <v>186246923.0769231</v>
      </c>
      <c r="BK175" s="48">
        <f>AI175+SUM($AM175:AW175)</f>
        <v>184522414.52991456</v>
      </c>
      <c r="BL175" s="48">
        <f>AJ175+SUM($AM175:AX175)</f>
        <v>182797905.98290601</v>
      </c>
      <c r="BM175" s="48">
        <f>AK175+SUM($AM175:AY175)</f>
        <v>181073397.43589747</v>
      </c>
      <c r="BO175" s="47"/>
    </row>
    <row r="176" spans="3:67" s="41" customFormat="1" hidden="1" x14ac:dyDescent="0.3">
      <c r="C176" s="41" t="s">
        <v>1340</v>
      </c>
      <c r="D176" s="42" t="s">
        <v>338</v>
      </c>
      <c r="E176" s="42" t="str">
        <f t="shared" si="7"/>
        <v>211</v>
      </c>
      <c r="F176" s="41" t="str">
        <f>_xlfn.XLOOKUP($D176,MD_Account_Asset_Type[Nhóm tài sản],MD_Account_Asset_Type[Tên Nhóm tài sản])</f>
        <v>Máy móc, thiết bị - SX 627</v>
      </c>
      <c r="G176" s="41" t="str">
        <f>_xlfn.XLOOKUP($D176,MD_Account_Asset_Type[Nhóm tài sản],MD_Account_Asset_Type[Tên nhóm TS-Rút gọn])</f>
        <v>Máy móc thiết bị</v>
      </c>
      <c r="H176" s="41" t="str">
        <f>_xlfn.XLOOKUP($D176,MD_Account_Asset_Type[Nhóm tài sản],MD_Account_Asset_Type[Tên nhóm TS-Rút gọn-v2])</f>
        <v>Máy móc thiết bị</v>
      </c>
      <c r="I176" s="43" t="s">
        <v>905</v>
      </c>
      <c r="J176" s="42" t="s">
        <v>667</v>
      </c>
      <c r="K176" s="41" t="s">
        <v>830</v>
      </c>
      <c r="L176" s="42" t="s">
        <v>45</v>
      </c>
      <c r="M176" s="42" t="s">
        <v>120</v>
      </c>
      <c r="N176" s="44">
        <v>0</v>
      </c>
      <c r="O176" s="44"/>
      <c r="P176" s="41" t="s">
        <v>462</v>
      </c>
      <c r="Q176" s="41" t="str">
        <f t="shared" si="8"/>
        <v>627</v>
      </c>
      <c r="R176" s="41" t="str">
        <f>_xlfn.XLOOKUP($L176,MD_Cost_Center[Mã Cost Center],MD_Cost_Center[Ngành])</f>
        <v>Chung</v>
      </c>
      <c r="S176" s="41" t="str">
        <f>_xlfn.XLOOKUP($L176,MD_Cost_Center[Mã Cost Center],MD_Cost_Center[Ngành-Tách PET-Xơ sợi])</f>
        <v>Chung</v>
      </c>
      <c r="T176" s="45">
        <v>45231</v>
      </c>
      <c r="U176" s="46">
        <v>48884</v>
      </c>
      <c r="V176" s="47">
        <v>144</v>
      </c>
      <c r="W176" s="47">
        <v>1782611000</v>
      </c>
      <c r="X176" s="47">
        <v>-11833717.093220338</v>
      </c>
      <c r="Y176" s="47">
        <v>1782611000</v>
      </c>
      <c r="Z176" s="47">
        <v>1782611000</v>
      </c>
      <c r="AA176" s="47">
        <v>1782611000</v>
      </c>
      <c r="AB176" s="47">
        <v>1782611000</v>
      </c>
      <c r="AC176" s="47">
        <v>1782611000</v>
      </c>
      <c r="AD176" s="47">
        <v>1782611000</v>
      </c>
      <c r="AE176" s="47">
        <v>1782611000</v>
      </c>
      <c r="AF176" s="47">
        <v>1782611000</v>
      </c>
      <c r="AG176" s="47">
        <v>1782611000</v>
      </c>
      <c r="AH176" s="47">
        <v>1782611000</v>
      </c>
      <c r="AI176" s="47">
        <v>1782611000</v>
      </c>
      <c r="AJ176" s="47">
        <v>1782611000</v>
      </c>
      <c r="AK176" s="47">
        <v>1782611000</v>
      </c>
      <c r="AL176" s="47">
        <v>-178261100</v>
      </c>
      <c r="AM176" s="47">
        <v>-386232383</v>
      </c>
      <c r="AN176" s="47">
        <v>-11833717.093220338</v>
      </c>
      <c r="AO176" s="47">
        <v>-11833717.093220338</v>
      </c>
      <c r="AP176" s="47">
        <v>-11833717.093220338</v>
      </c>
      <c r="AQ176" s="47">
        <v>-11833717.093220338</v>
      </c>
      <c r="AR176" s="47">
        <v>-11833717.093220338</v>
      </c>
      <c r="AS176" s="47">
        <v>-11833717.093220338</v>
      </c>
      <c r="AT176" s="47">
        <v>-11833717.093220338</v>
      </c>
      <c r="AU176" s="47">
        <v>-11833717.093220338</v>
      </c>
      <c r="AV176" s="47">
        <v>-11833717.093220338</v>
      </c>
      <c r="AW176" s="47">
        <v>-11833717.093220338</v>
      </c>
      <c r="AX176" s="47">
        <v>-11833717.093220338</v>
      </c>
      <c r="AY176" s="47">
        <v>-11833717.093220338</v>
      </c>
      <c r="AZ176" s="58">
        <f t="shared" si="9"/>
        <v>-142004605.11864406</v>
      </c>
      <c r="BA176" s="47">
        <f>Y176+SUM($AM176:AM176)</f>
        <v>1396378617</v>
      </c>
      <c r="BB176" s="48">
        <f>Z176+SUM($AM176:AN176)</f>
        <v>1384544899.9067798</v>
      </c>
      <c r="BC176" s="48">
        <f>AA176+SUM($AM176:AO176)</f>
        <v>1372711182.8135593</v>
      </c>
      <c r="BD176" s="48">
        <f>AB176+SUM($AM176:AP176)</f>
        <v>1360877465.7203388</v>
      </c>
      <c r="BE176" s="48">
        <f>AC176+SUM($AM176:AQ176)</f>
        <v>1349043748.6271186</v>
      </c>
      <c r="BF176" s="48">
        <f>AD176+SUM($AM176:AR176)</f>
        <v>1337210031.5338984</v>
      </c>
      <c r="BG176" s="48">
        <f>AE176+SUM($AM176:AS176)</f>
        <v>1325376314.4406779</v>
      </c>
      <c r="BH176" s="48">
        <f>AF176+SUM($AM176:AT176)</f>
        <v>1313542597.3474574</v>
      </c>
      <c r="BI176" s="48">
        <f>AG176+SUM($AM176:AU176)</f>
        <v>1301708880.2542372</v>
      </c>
      <c r="BJ176" s="48">
        <f>AH176+SUM($AM176:AV176)</f>
        <v>1289875163.1610169</v>
      </c>
      <c r="BK176" s="48">
        <f>AI176+SUM($AM176:AW176)</f>
        <v>1278041446.0677965</v>
      </c>
      <c r="BL176" s="48">
        <f>AJ176+SUM($AM176:AX176)</f>
        <v>1266207728.974576</v>
      </c>
      <c r="BM176" s="48">
        <f>AK176+SUM($AM176:AY176)</f>
        <v>1254374011.8813558</v>
      </c>
      <c r="BO176" s="47"/>
    </row>
    <row r="177" spans="3:67" s="41" customFormat="1" hidden="1" x14ac:dyDescent="0.3">
      <c r="C177" s="41" t="s">
        <v>1340</v>
      </c>
      <c r="D177" s="42" t="s">
        <v>338</v>
      </c>
      <c r="E177" s="42" t="str">
        <f t="shared" si="7"/>
        <v>211</v>
      </c>
      <c r="F177" s="41" t="str">
        <f>_xlfn.XLOOKUP($D177,MD_Account_Asset_Type[Nhóm tài sản],MD_Account_Asset_Type[Tên Nhóm tài sản])</f>
        <v>Máy móc, thiết bị - SX 627</v>
      </c>
      <c r="G177" s="41" t="str">
        <f>_xlfn.XLOOKUP($D177,MD_Account_Asset_Type[Nhóm tài sản],MD_Account_Asset_Type[Tên nhóm TS-Rút gọn])</f>
        <v>Máy móc thiết bị</v>
      </c>
      <c r="H177" s="41" t="str">
        <f>_xlfn.XLOOKUP($D177,MD_Account_Asset_Type[Nhóm tài sản],MD_Account_Asset_Type[Tên nhóm TS-Rút gọn-v2])</f>
        <v>Máy móc thiết bị</v>
      </c>
      <c r="I177" s="43" t="s">
        <v>906</v>
      </c>
      <c r="J177" s="42" t="s">
        <v>668</v>
      </c>
      <c r="K177" s="41" t="s">
        <v>830</v>
      </c>
      <c r="L177" s="42" t="s">
        <v>64</v>
      </c>
      <c r="M177" s="42" t="s">
        <v>139</v>
      </c>
      <c r="N177" s="44" t="s">
        <v>257</v>
      </c>
      <c r="O177" s="44"/>
      <c r="P177" s="41" t="s">
        <v>462</v>
      </c>
      <c r="Q177" s="41" t="str">
        <f t="shared" si="8"/>
        <v>627</v>
      </c>
      <c r="R177" s="41" t="str">
        <f>_xlfn.XLOOKUP($L177,MD_Cost_Center[Mã Cost Center],MD_Cost_Center[Ngành])</f>
        <v>PET</v>
      </c>
      <c r="S177" s="41" t="str">
        <f>_xlfn.XLOOKUP($L177,MD_Cost_Center[Mã Cost Center],MD_Cost_Center[Ngành-Tách PET-Xơ sợi])</f>
        <v>Chung-PET</v>
      </c>
      <c r="T177" s="45">
        <v>45231</v>
      </c>
      <c r="U177" s="46">
        <v>47058</v>
      </c>
      <c r="V177" s="47">
        <v>144</v>
      </c>
      <c r="W177" s="47">
        <v>596514760</v>
      </c>
      <c r="X177" s="47">
        <v>-2864618.9067796608</v>
      </c>
      <c r="Y177" s="47">
        <v>596514760</v>
      </c>
      <c r="Z177" s="47">
        <v>596514760</v>
      </c>
      <c r="AA177" s="47">
        <v>596514760</v>
      </c>
      <c r="AB177" s="47">
        <v>596514760</v>
      </c>
      <c r="AC177" s="47">
        <v>596514760</v>
      </c>
      <c r="AD177" s="47">
        <v>596514760</v>
      </c>
      <c r="AE177" s="47">
        <v>596514760</v>
      </c>
      <c r="AF177" s="47">
        <v>596514760</v>
      </c>
      <c r="AG177" s="47">
        <v>596514760</v>
      </c>
      <c r="AH177" s="47">
        <v>596514760</v>
      </c>
      <c r="AI177" s="47">
        <v>596514760</v>
      </c>
      <c r="AJ177" s="47">
        <v>596514760</v>
      </c>
      <c r="AK177" s="47">
        <v>596514760</v>
      </c>
      <c r="AL177" s="47">
        <v>-119302952</v>
      </c>
      <c r="AM177" s="47">
        <v>-258489729</v>
      </c>
      <c r="AN177" s="47">
        <v>-2864618.9067796608</v>
      </c>
      <c r="AO177" s="47">
        <v>-2864618.9067796608</v>
      </c>
      <c r="AP177" s="47">
        <v>-2864618.9067796608</v>
      </c>
      <c r="AQ177" s="47">
        <v>-2864618.9067796608</v>
      </c>
      <c r="AR177" s="47">
        <v>-2864618.9067796608</v>
      </c>
      <c r="AS177" s="47">
        <v>-2864618.9067796608</v>
      </c>
      <c r="AT177" s="47">
        <v>-2864618.9067796608</v>
      </c>
      <c r="AU177" s="47">
        <v>-2864618.9067796608</v>
      </c>
      <c r="AV177" s="47">
        <v>-2864618.9067796608</v>
      </c>
      <c r="AW177" s="47">
        <v>-2864618.9067796608</v>
      </c>
      <c r="AX177" s="47">
        <v>-2864618.9067796608</v>
      </c>
      <c r="AY177" s="47">
        <v>-2864618.9067796608</v>
      </c>
      <c r="AZ177" s="58">
        <f t="shared" si="9"/>
        <v>-34375426.881355934</v>
      </c>
      <c r="BA177" s="47">
        <f>Y177+SUM($AM177:AM177)</f>
        <v>338025031</v>
      </c>
      <c r="BB177" s="48">
        <f>Z177+SUM($AM177:AN177)</f>
        <v>335160412.09322035</v>
      </c>
      <c r="BC177" s="48">
        <f>AA177+SUM($AM177:AO177)</f>
        <v>332295793.18644071</v>
      </c>
      <c r="BD177" s="48">
        <f>AB177+SUM($AM177:AP177)</f>
        <v>329431174.27966106</v>
      </c>
      <c r="BE177" s="48">
        <f>AC177+SUM($AM177:AQ177)</f>
        <v>326566555.37288141</v>
      </c>
      <c r="BF177" s="48">
        <f>AD177+SUM($AM177:AR177)</f>
        <v>323701936.46610177</v>
      </c>
      <c r="BG177" s="48">
        <f>AE177+SUM($AM177:AS177)</f>
        <v>320837317.55932212</v>
      </c>
      <c r="BH177" s="48">
        <f>AF177+SUM($AM177:AT177)</f>
        <v>317972698.65254247</v>
      </c>
      <c r="BI177" s="48">
        <f>AG177+SUM($AM177:AU177)</f>
        <v>315108079.74576283</v>
      </c>
      <c r="BJ177" s="48">
        <f>AH177+SUM($AM177:AV177)</f>
        <v>312243460.83898318</v>
      </c>
      <c r="BK177" s="48">
        <f>AI177+SUM($AM177:AW177)</f>
        <v>309378841.93220353</v>
      </c>
      <c r="BL177" s="48">
        <f>AJ177+SUM($AM177:AX177)</f>
        <v>306514223.02542388</v>
      </c>
      <c r="BM177" s="48">
        <f>AK177+SUM($AM177:AY177)</f>
        <v>303649604.11864424</v>
      </c>
      <c r="BO177" s="47"/>
    </row>
    <row r="178" spans="3:67" s="41" customFormat="1" hidden="1" x14ac:dyDescent="0.3">
      <c r="C178" s="41" t="s">
        <v>1340</v>
      </c>
      <c r="D178" s="42" t="s">
        <v>338</v>
      </c>
      <c r="E178" s="42" t="str">
        <f t="shared" si="7"/>
        <v>211</v>
      </c>
      <c r="F178" s="41" t="str">
        <f>_xlfn.XLOOKUP($D178,MD_Account_Asset_Type[Nhóm tài sản],MD_Account_Asset_Type[Tên Nhóm tài sản])</f>
        <v>Máy móc, thiết bị - SX 627</v>
      </c>
      <c r="G178" s="41" t="str">
        <f>_xlfn.XLOOKUP($D178,MD_Account_Asset_Type[Nhóm tài sản],MD_Account_Asset_Type[Tên nhóm TS-Rút gọn])</f>
        <v>Máy móc thiết bị</v>
      </c>
      <c r="H178" s="41" t="str">
        <f>_xlfn.XLOOKUP($D178,MD_Account_Asset_Type[Nhóm tài sản],MD_Account_Asset_Type[Tên nhóm TS-Rút gọn-v2])</f>
        <v>Máy móc thiết bị</v>
      </c>
      <c r="I178" s="43" t="s">
        <v>907</v>
      </c>
      <c r="J178" s="42" t="s">
        <v>669</v>
      </c>
      <c r="K178" s="41" t="s">
        <v>830</v>
      </c>
      <c r="L178" s="42" t="s">
        <v>45</v>
      </c>
      <c r="M178" s="42" t="s">
        <v>120</v>
      </c>
      <c r="N178" s="44">
        <v>0</v>
      </c>
      <c r="O178" s="44"/>
      <c r="P178" s="41" t="s">
        <v>462</v>
      </c>
      <c r="Q178" s="41" t="str">
        <f t="shared" si="8"/>
        <v>627</v>
      </c>
      <c r="R178" s="41" t="str">
        <f>_xlfn.XLOOKUP($L178,MD_Cost_Center[Mã Cost Center],MD_Cost_Center[Ngành])</f>
        <v>Chung</v>
      </c>
      <c r="S178" s="41" t="str">
        <f>_xlfn.XLOOKUP($L178,MD_Cost_Center[Mã Cost Center],MD_Cost_Center[Ngành-Tách PET-Xơ sợi])</f>
        <v>Chung</v>
      </c>
      <c r="T178" s="45">
        <v>45231</v>
      </c>
      <c r="U178" s="46">
        <v>48153</v>
      </c>
      <c r="V178" s="47">
        <v>144</v>
      </c>
      <c r="W178" s="47">
        <v>208093649</v>
      </c>
      <c r="X178" s="47">
        <v>-1285889.4322033899</v>
      </c>
      <c r="Y178" s="47">
        <v>208093649</v>
      </c>
      <c r="Z178" s="47">
        <v>208093649</v>
      </c>
      <c r="AA178" s="47">
        <v>208093649</v>
      </c>
      <c r="AB178" s="47">
        <v>208093649</v>
      </c>
      <c r="AC178" s="47">
        <v>208093649</v>
      </c>
      <c r="AD178" s="47">
        <v>208093649</v>
      </c>
      <c r="AE178" s="47">
        <v>208093649</v>
      </c>
      <c r="AF178" s="47">
        <v>208093649</v>
      </c>
      <c r="AG178" s="47">
        <v>208093649</v>
      </c>
      <c r="AH178" s="47">
        <v>208093649</v>
      </c>
      <c r="AI178" s="47">
        <v>208093649</v>
      </c>
      <c r="AJ178" s="47">
        <v>208093649</v>
      </c>
      <c r="AK178" s="47">
        <v>208093649</v>
      </c>
      <c r="AL178" s="47">
        <v>-26011706</v>
      </c>
      <c r="AM178" s="47">
        <v>-56358696</v>
      </c>
      <c r="AN178" s="47">
        <v>-1285889.4322033899</v>
      </c>
      <c r="AO178" s="47">
        <v>-1285889.4322033899</v>
      </c>
      <c r="AP178" s="47">
        <v>-1285889.4322033899</v>
      </c>
      <c r="AQ178" s="47">
        <v>-1285889.4322033899</v>
      </c>
      <c r="AR178" s="47">
        <v>-1285889.4322033899</v>
      </c>
      <c r="AS178" s="47">
        <v>-1285889.4322033899</v>
      </c>
      <c r="AT178" s="47">
        <v>-1285889.4322033899</v>
      </c>
      <c r="AU178" s="47">
        <v>-1285889.4322033899</v>
      </c>
      <c r="AV178" s="47">
        <v>-1285889.4322033899</v>
      </c>
      <c r="AW178" s="47">
        <v>-1285889.4322033899</v>
      </c>
      <c r="AX178" s="47">
        <v>-1285889.4322033899</v>
      </c>
      <c r="AY178" s="47">
        <v>-1285889.4322033899</v>
      </c>
      <c r="AZ178" s="58">
        <f t="shared" si="9"/>
        <v>-15430673.186440678</v>
      </c>
      <c r="BA178" s="47">
        <f>Y178+SUM($AM178:AM178)</f>
        <v>151734953</v>
      </c>
      <c r="BB178" s="48">
        <f>Z178+SUM($AM178:AN178)</f>
        <v>150449063.56779662</v>
      </c>
      <c r="BC178" s="48">
        <f>AA178+SUM($AM178:AO178)</f>
        <v>149163174.13559324</v>
      </c>
      <c r="BD178" s="48">
        <f>AB178+SUM($AM178:AP178)</f>
        <v>147877284.70338982</v>
      </c>
      <c r="BE178" s="48">
        <f>AC178+SUM($AM178:AQ178)</f>
        <v>146591395.27118644</v>
      </c>
      <c r="BF178" s="48">
        <f>AD178+SUM($AM178:AR178)</f>
        <v>145305505.83898306</v>
      </c>
      <c r="BG178" s="48">
        <f>AE178+SUM($AM178:AS178)</f>
        <v>144019616.40677965</v>
      </c>
      <c r="BH178" s="48">
        <f>AF178+SUM($AM178:AT178)</f>
        <v>142733726.97457626</v>
      </c>
      <c r="BI178" s="48">
        <f>AG178+SUM($AM178:AU178)</f>
        <v>141447837.54237288</v>
      </c>
      <c r="BJ178" s="48">
        <f>AH178+SUM($AM178:AV178)</f>
        <v>140161948.11016947</v>
      </c>
      <c r="BK178" s="48">
        <f>AI178+SUM($AM178:AW178)</f>
        <v>138876058.67796609</v>
      </c>
      <c r="BL178" s="48">
        <f>AJ178+SUM($AM178:AX178)</f>
        <v>137590169.24576271</v>
      </c>
      <c r="BM178" s="48">
        <f>AK178+SUM($AM178:AY178)</f>
        <v>136304279.81355929</v>
      </c>
      <c r="BO178" s="47"/>
    </row>
    <row r="179" spans="3:67" s="41" customFormat="1" hidden="1" x14ac:dyDescent="0.3">
      <c r="C179" s="41" t="s">
        <v>1340</v>
      </c>
      <c r="D179" s="42" t="s">
        <v>338</v>
      </c>
      <c r="E179" s="42" t="str">
        <f t="shared" si="7"/>
        <v>211</v>
      </c>
      <c r="F179" s="41" t="str">
        <f>_xlfn.XLOOKUP($D179,MD_Account_Asset_Type[Nhóm tài sản],MD_Account_Asset_Type[Tên Nhóm tài sản])</f>
        <v>Máy móc, thiết bị - SX 627</v>
      </c>
      <c r="G179" s="41" t="str">
        <f>_xlfn.XLOOKUP($D179,MD_Account_Asset_Type[Nhóm tài sản],MD_Account_Asset_Type[Tên nhóm TS-Rút gọn])</f>
        <v>Máy móc thiết bị</v>
      </c>
      <c r="H179" s="41" t="str">
        <f>_xlfn.XLOOKUP($D179,MD_Account_Asset_Type[Nhóm tài sản],MD_Account_Asset_Type[Tên nhóm TS-Rút gọn-v2])</f>
        <v>Máy móc thiết bị</v>
      </c>
      <c r="I179" s="43" t="s">
        <v>908</v>
      </c>
      <c r="J179" s="42" t="s">
        <v>670</v>
      </c>
      <c r="K179" s="41" t="s">
        <v>830</v>
      </c>
      <c r="L179" s="42" t="s">
        <v>90</v>
      </c>
      <c r="M179" s="42" t="s">
        <v>165</v>
      </c>
      <c r="N179" s="44">
        <v>0</v>
      </c>
      <c r="O179" s="44"/>
      <c r="P179" s="41" t="s">
        <v>462</v>
      </c>
      <c r="Q179" s="41" t="str">
        <f t="shared" si="8"/>
        <v>627</v>
      </c>
      <c r="R179" s="41" t="str">
        <f>_xlfn.XLOOKUP($L179,MD_Cost_Center[Mã Cost Center],MD_Cost_Center[Ngành])</f>
        <v>HD/PP</v>
      </c>
      <c r="S179" s="41" t="str">
        <f>_xlfn.XLOOKUP($L179,MD_Cost_Center[Mã Cost Center],MD_Cost_Center[Ngành-Tách PET-Xơ sợi])</f>
        <v>HD/PP</v>
      </c>
      <c r="T179" s="45">
        <v>45231</v>
      </c>
      <c r="U179" s="46">
        <v>48153</v>
      </c>
      <c r="V179" s="47">
        <v>144</v>
      </c>
      <c r="W179" s="47">
        <v>673291026</v>
      </c>
      <c r="X179" s="47">
        <v>-4160520.118644068</v>
      </c>
      <c r="Y179" s="47">
        <v>673291026</v>
      </c>
      <c r="Z179" s="47">
        <v>673291026</v>
      </c>
      <c r="AA179" s="47">
        <v>673291026</v>
      </c>
      <c r="AB179" s="47">
        <v>673291026</v>
      </c>
      <c r="AC179" s="47">
        <v>673291026</v>
      </c>
      <c r="AD179" s="47">
        <v>673291026</v>
      </c>
      <c r="AE179" s="47">
        <v>673291026</v>
      </c>
      <c r="AF179" s="47">
        <v>673291026</v>
      </c>
      <c r="AG179" s="47">
        <v>673291026</v>
      </c>
      <c r="AH179" s="47">
        <v>673291026</v>
      </c>
      <c r="AI179" s="47">
        <v>673291026</v>
      </c>
      <c r="AJ179" s="47">
        <v>673291026</v>
      </c>
      <c r="AK179" s="47">
        <v>673291026</v>
      </c>
      <c r="AL179" s="47">
        <v>-84161378</v>
      </c>
      <c r="AM179" s="47">
        <v>-182349652</v>
      </c>
      <c r="AN179" s="47">
        <v>-4160520.118644068</v>
      </c>
      <c r="AO179" s="47">
        <v>-4160520.118644068</v>
      </c>
      <c r="AP179" s="47">
        <v>-4160520.118644068</v>
      </c>
      <c r="AQ179" s="47">
        <v>-4160520.118644068</v>
      </c>
      <c r="AR179" s="47">
        <v>-4160520.118644068</v>
      </c>
      <c r="AS179" s="47">
        <v>-4160520.118644068</v>
      </c>
      <c r="AT179" s="47">
        <v>-4160520.118644068</v>
      </c>
      <c r="AU179" s="47">
        <v>-4160520.118644068</v>
      </c>
      <c r="AV179" s="47">
        <v>-4160520.118644068</v>
      </c>
      <c r="AW179" s="47">
        <v>-4160520.118644068</v>
      </c>
      <c r="AX179" s="47">
        <v>-4160520.118644068</v>
      </c>
      <c r="AY179" s="47">
        <v>-4160520.118644068</v>
      </c>
      <c r="AZ179" s="58">
        <f t="shared" si="9"/>
        <v>-49926241.423728801</v>
      </c>
      <c r="BA179" s="47">
        <f>Y179+SUM($AM179:AM179)</f>
        <v>490941374</v>
      </c>
      <c r="BB179" s="48">
        <f>Z179+SUM($AM179:AN179)</f>
        <v>486780853.88135594</v>
      </c>
      <c r="BC179" s="48">
        <f>AA179+SUM($AM179:AO179)</f>
        <v>482620333.76271188</v>
      </c>
      <c r="BD179" s="48">
        <f>AB179+SUM($AM179:AP179)</f>
        <v>478459813.64406782</v>
      </c>
      <c r="BE179" s="48">
        <f>AC179+SUM($AM179:AQ179)</f>
        <v>474299293.52542377</v>
      </c>
      <c r="BF179" s="48">
        <f>AD179+SUM($AM179:AR179)</f>
        <v>470138773.40677971</v>
      </c>
      <c r="BG179" s="48">
        <f>AE179+SUM($AM179:AS179)</f>
        <v>465978253.28813565</v>
      </c>
      <c r="BH179" s="48">
        <f>AF179+SUM($AM179:AT179)</f>
        <v>461817733.16949159</v>
      </c>
      <c r="BI179" s="48">
        <f>AG179+SUM($AM179:AU179)</f>
        <v>457657213.05084753</v>
      </c>
      <c r="BJ179" s="48">
        <f>AH179+SUM($AM179:AV179)</f>
        <v>453496692.93220347</v>
      </c>
      <c r="BK179" s="48">
        <f>AI179+SUM($AM179:AW179)</f>
        <v>449336172.81355941</v>
      </c>
      <c r="BL179" s="48">
        <f>AJ179+SUM($AM179:AX179)</f>
        <v>445175652.69491535</v>
      </c>
      <c r="BM179" s="48">
        <f>AK179+SUM($AM179:AY179)</f>
        <v>441015132.5762713</v>
      </c>
      <c r="BO179" s="47"/>
    </row>
    <row r="180" spans="3:67" s="41" customFormat="1" hidden="1" x14ac:dyDescent="0.3">
      <c r="C180" s="41" t="s">
        <v>1340</v>
      </c>
      <c r="D180" s="42" t="s">
        <v>338</v>
      </c>
      <c r="E180" s="42" t="str">
        <f t="shared" si="7"/>
        <v>211</v>
      </c>
      <c r="F180" s="41" t="str">
        <f>_xlfn.XLOOKUP($D180,MD_Account_Asset_Type[Nhóm tài sản],MD_Account_Asset_Type[Tên Nhóm tài sản])</f>
        <v>Máy móc, thiết bị - SX 627</v>
      </c>
      <c r="G180" s="41" t="str">
        <f>_xlfn.XLOOKUP($D180,MD_Account_Asset_Type[Nhóm tài sản],MD_Account_Asset_Type[Tên nhóm TS-Rút gọn])</f>
        <v>Máy móc thiết bị</v>
      </c>
      <c r="H180" s="41" t="str">
        <f>_xlfn.XLOOKUP($D180,MD_Account_Asset_Type[Nhóm tài sản],MD_Account_Asset_Type[Tên nhóm TS-Rút gọn-v2])</f>
        <v>Máy móc thiết bị</v>
      </c>
      <c r="I180" s="43" t="s">
        <v>909</v>
      </c>
      <c r="J180" s="42" t="s">
        <v>671</v>
      </c>
      <c r="K180" s="41" t="s">
        <v>830</v>
      </c>
      <c r="L180" s="42" t="s">
        <v>48</v>
      </c>
      <c r="M180" s="42" t="s">
        <v>123</v>
      </c>
      <c r="N180" s="44">
        <v>0</v>
      </c>
      <c r="O180" s="44"/>
      <c r="P180" s="41" t="s">
        <v>462</v>
      </c>
      <c r="Q180" s="41" t="str">
        <f t="shared" si="8"/>
        <v>627</v>
      </c>
      <c r="R180" s="41" t="str">
        <f>_xlfn.XLOOKUP($L180,MD_Cost_Center[Mã Cost Center],MD_Cost_Center[Ngành])</f>
        <v>PET</v>
      </c>
      <c r="S180" s="41" t="str">
        <f>_xlfn.XLOOKUP($L180,MD_Cost_Center[Mã Cost Center],MD_Cost_Center[Ngành-Tách PET-Xơ sợi])</f>
        <v>Chung-PET</v>
      </c>
      <c r="T180" s="45">
        <v>45231</v>
      </c>
      <c r="U180" s="46">
        <v>48153</v>
      </c>
      <c r="V180" s="47">
        <v>144</v>
      </c>
      <c r="W180" s="47">
        <v>374180000</v>
      </c>
      <c r="X180" s="47">
        <v>-2312199.8559322036</v>
      </c>
      <c r="Y180" s="47">
        <v>374180000</v>
      </c>
      <c r="Z180" s="47">
        <v>374180000</v>
      </c>
      <c r="AA180" s="47">
        <v>374180000</v>
      </c>
      <c r="AB180" s="47">
        <v>374180000</v>
      </c>
      <c r="AC180" s="47">
        <v>374180000</v>
      </c>
      <c r="AD180" s="47">
        <v>374180000</v>
      </c>
      <c r="AE180" s="47">
        <v>374180000</v>
      </c>
      <c r="AF180" s="47">
        <v>374180000</v>
      </c>
      <c r="AG180" s="47">
        <v>374180000</v>
      </c>
      <c r="AH180" s="47">
        <v>374180000</v>
      </c>
      <c r="AI180" s="47">
        <v>374180000</v>
      </c>
      <c r="AJ180" s="47">
        <v>374180000</v>
      </c>
      <c r="AK180" s="47">
        <v>374180000</v>
      </c>
      <c r="AL180" s="47">
        <v>-46772500</v>
      </c>
      <c r="AM180" s="47">
        <v>-101340417</v>
      </c>
      <c r="AN180" s="47">
        <v>-2312199.8559322036</v>
      </c>
      <c r="AO180" s="47">
        <v>-2312199.8559322036</v>
      </c>
      <c r="AP180" s="47">
        <v>-2312199.8559322036</v>
      </c>
      <c r="AQ180" s="47">
        <v>-2312199.8559322036</v>
      </c>
      <c r="AR180" s="47">
        <v>-2312199.8559322036</v>
      </c>
      <c r="AS180" s="47">
        <v>-2312199.8559322036</v>
      </c>
      <c r="AT180" s="47">
        <v>-2312199.8559322036</v>
      </c>
      <c r="AU180" s="47">
        <v>-2312199.8559322036</v>
      </c>
      <c r="AV180" s="47">
        <v>-2312199.8559322036</v>
      </c>
      <c r="AW180" s="47">
        <v>-2312199.8559322036</v>
      </c>
      <c r="AX180" s="47">
        <v>-2312199.8559322036</v>
      </c>
      <c r="AY180" s="47">
        <v>-2312199.8559322036</v>
      </c>
      <c r="AZ180" s="58">
        <f t="shared" si="9"/>
        <v>-27746398.271186437</v>
      </c>
      <c r="BA180" s="47">
        <f>Y180+SUM($AM180:AM180)</f>
        <v>272839583</v>
      </c>
      <c r="BB180" s="48">
        <f>Z180+SUM($AM180:AN180)</f>
        <v>270527383.14406776</v>
      </c>
      <c r="BC180" s="48">
        <f>AA180+SUM($AM180:AO180)</f>
        <v>268215183.28813559</v>
      </c>
      <c r="BD180" s="48">
        <f>AB180+SUM($AM180:AP180)</f>
        <v>265902983.43220338</v>
      </c>
      <c r="BE180" s="48">
        <f>AC180+SUM($AM180:AQ180)</f>
        <v>263590783.57627118</v>
      </c>
      <c r="BF180" s="48">
        <f>AD180+SUM($AM180:AR180)</f>
        <v>261278583.72033897</v>
      </c>
      <c r="BG180" s="48">
        <f>AE180+SUM($AM180:AS180)</f>
        <v>258966383.86440676</v>
      </c>
      <c r="BH180" s="48">
        <f>AF180+SUM($AM180:AT180)</f>
        <v>256654184.00847456</v>
      </c>
      <c r="BI180" s="48">
        <f>AG180+SUM($AM180:AU180)</f>
        <v>254341984.15254235</v>
      </c>
      <c r="BJ180" s="48">
        <f>AH180+SUM($AM180:AV180)</f>
        <v>252029784.29661015</v>
      </c>
      <c r="BK180" s="48">
        <f>AI180+SUM($AM180:AW180)</f>
        <v>249717584.44067794</v>
      </c>
      <c r="BL180" s="48">
        <f>AJ180+SUM($AM180:AX180)</f>
        <v>247405384.58474573</v>
      </c>
      <c r="BM180" s="48">
        <f>AK180+SUM($AM180:AY180)</f>
        <v>245093184.72881353</v>
      </c>
      <c r="BO180" s="47"/>
    </row>
    <row r="181" spans="3:67" s="41" customFormat="1" hidden="1" x14ac:dyDescent="0.3">
      <c r="C181" s="41" t="s">
        <v>1340</v>
      </c>
      <c r="D181" s="42" t="s">
        <v>338</v>
      </c>
      <c r="E181" s="42" t="str">
        <f t="shared" si="7"/>
        <v>211</v>
      </c>
      <c r="F181" s="41" t="str">
        <f>_xlfn.XLOOKUP($D181,MD_Account_Asset_Type[Nhóm tài sản],MD_Account_Asset_Type[Tên Nhóm tài sản])</f>
        <v>Máy móc, thiết bị - SX 627</v>
      </c>
      <c r="G181" s="41" t="str">
        <f>_xlfn.XLOOKUP($D181,MD_Account_Asset_Type[Nhóm tài sản],MD_Account_Asset_Type[Tên nhóm TS-Rút gọn])</f>
        <v>Máy móc thiết bị</v>
      </c>
      <c r="H181" s="41" t="str">
        <f>_xlfn.XLOOKUP($D181,MD_Account_Asset_Type[Nhóm tài sản],MD_Account_Asset_Type[Tên nhóm TS-Rút gọn-v2])</f>
        <v>Máy móc thiết bị</v>
      </c>
      <c r="I181" s="43" t="s">
        <v>910</v>
      </c>
      <c r="J181" s="42" t="s">
        <v>672</v>
      </c>
      <c r="K181" s="41" t="s">
        <v>830</v>
      </c>
      <c r="L181" s="42" t="s">
        <v>73</v>
      </c>
      <c r="M181" s="42" t="s">
        <v>148</v>
      </c>
      <c r="N181" s="44" t="s">
        <v>266</v>
      </c>
      <c r="O181" s="44"/>
      <c r="P181" s="41" t="s">
        <v>462</v>
      </c>
      <c r="Q181" s="41" t="str">
        <f t="shared" si="8"/>
        <v>627</v>
      </c>
      <c r="R181" s="41" t="str">
        <f>_xlfn.XLOOKUP($L181,MD_Cost_Center[Mã Cost Center],MD_Cost_Center[Ngành])</f>
        <v>HD/PP</v>
      </c>
      <c r="S181" s="41" t="str">
        <f>_xlfn.XLOOKUP($L181,MD_Cost_Center[Mã Cost Center],MD_Cost_Center[Ngành-Tách PET-Xơ sợi])</f>
        <v>HD/PP</v>
      </c>
      <c r="T181" s="45">
        <v>45261</v>
      </c>
      <c r="U181" s="46">
        <v>47088</v>
      </c>
      <c r="V181" s="47">
        <v>144</v>
      </c>
      <c r="W181" s="47">
        <v>1798575168</v>
      </c>
      <c r="X181" s="47">
        <v>-8816544.9411764704</v>
      </c>
      <c r="Y181" s="47">
        <v>1798575168</v>
      </c>
      <c r="Z181" s="47">
        <v>1798575168</v>
      </c>
      <c r="AA181" s="47">
        <v>1798575168</v>
      </c>
      <c r="AB181" s="47">
        <v>1798575168</v>
      </c>
      <c r="AC181" s="47">
        <v>1798575168</v>
      </c>
      <c r="AD181" s="47">
        <v>1798575168</v>
      </c>
      <c r="AE181" s="47">
        <v>1798575168</v>
      </c>
      <c r="AF181" s="47">
        <v>1798575168</v>
      </c>
      <c r="AG181" s="47">
        <v>1798575168</v>
      </c>
      <c r="AH181" s="47">
        <v>1798575168</v>
      </c>
      <c r="AI181" s="47">
        <v>1798575168</v>
      </c>
      <c r="AJ181" s="47">
        <v>1798575168</v>
      </c>
      <c r="AK181" s="47">
        <v>1798575168</v>
      </c>
      <c r="AL181" s="47">
        <v>-359715033</v>
      </c>
      <c r="AM181" s="47">
        <v>-749406320</v>
      </c>
      <c r="AN181" s="47">
        <v>-8816544.9411764704</v>
      </c>
      <c r="AO181" s="47">
        <v>-8816544.9411764704</v>
      </c>
      <c r="AP181" s="47">
        <v>-8816544.9411764704</v>
      </c>
      <c r="AQ181" s="47">
        <v>-8816544.9411764704</v>
      </c>
      <c r="AR181" s="47">
        <v>-8816544.9411764704</v>
      </c>
      <c r="AS181" s="47">
        <v>-8816544.9411764704</v>
      </c>
      <c r="AT181" s="47">
        <v>-8816544.9411764704</v>
      </c>
      <c r="AU181" s="47">
        <v>-8816544.9411764704</v>
      </c>
      <c r="AV181" s="47">
        <v>-8816544.9411764704</v>
      </c>
      <c r="AW181" s="47">
        <v>-8816544.9411764704</v>
      </c>
      <c r="AX181" s="47">
        <v>-8816544.9411764704</v>
      </c>
      <c r="AY181" s="47">
        <v>-8816544.9411764704</v>
      </c>
      <c r="AZ181" s="58">
        <f t="shared" si="9"/>
        <v>-105798539.29411767</v>
      </c>
      <c r="BA181" s="47">
        <f>Y181+SUM($AM181:AM181)</f>
        <v>1049168848</v>
      </c>
      <c r="BB181" s="48">
        <f>Z181+SUM($AM181:AN181)</f>
        <v>1040352303.0588236</v>
      </c>
      <c r="BC181" s="48">
        <f>AA181+SUM($AM181:AO181)</f>
        <v>1031535758.1176472</v>
      </c>
      <c r="BD181" s="48">
        <f>AB181+SUM($AM181:AP181)</f>
        <v>1022719213.1764708</v>
      </c>
      <c r="BE181" s="48">
        <f>AC181+SUM($AM181:AQ181)</f>
        <v>1013902668.2352943</v>
      </c>
      <c r="BF181" s="48">
        <f>AD181+SUM($AM181:AR181)</f>
        <v>1005086123.2941179</v>
      </c>
      <c r="BG181" s="48">
        <f>AE181+SUM($AM181:AS181)</f>
        <v>996269578.35294151</v>
      </c>
      <c r="BH181" s="48">
        <f>AF181+SUM($AM181:AT181)</f>
        <v>987453033.4117651</v>
      </c>
      <c r="BI181" s="48">
        <f>AG181+SUM($AM181:AU181)</f>
        <v>978636488.47058868</v>
      </c>
      <c r="BJ181" s="48">
        <f>AH181+SUM($AM181:AV181)</f>
        <v>969819943.52941227</v>
      </c>
      <c r="BK181" s="48">
        <f>AI181+SUM($AM181:AW181)</f>
        <v>961003398.58823586</v>
      </c>
      <c r="BL181" s="48">
        <f>AJ181+SUM($AM181:AX181)</f>
        <v>952186853.64705944</v>
      </c>
      <c r="BM181" s="48">
        <f>AK181+SUM($AM181:AY181)</f>
        <v>943370308.70588303</v>
      </c>
      <c r="BO181" s="47"/>
    </row>
    <row r="182" spans="3:67" s="41" customFormat="1" hidden="1" x14ac:dyDescent="0.3">
      <c r="C182" s="41" t="s">
        <v>1340</v>
      </c>
      <c r="D182" s="42" t="s">
        <v>338</v>
      </c>
      <c r="E182" s="42" t="str">
        <f t="shared" si="7"/>
        <v>211</v>
      </c>
      <c r="F182" s="41" t="str">
        <f>_xlfn.XLOOKUP($D182,MD_Account_Asset_Type[Nhóm tài sản],MD_Account_Asset_Type[Tên Nhóm tài sản])</f>
        <v>Máy móc, thiết bị - SX 627</v>
      </c>
      <c r="G182" s="41" t="str">
        <f>_xlfn.XLOOKUP($D182,MD_Account_Asset_Type[Nhóm tài sản],MD_Account_Asset_Type[Tên nhóm TS-Rút gọn])</f>
        <v>Máy móc thiết bị</v>
      </c>
      <c r="H182" s="41" t="str">
        <f>_xlfn.XLOOKUP($D182,MD_Account_Asset_Type[Nhóm tài sản],MD_Account_Asset_Type[Tên nhóm TS-Rút gọn-v2])</f>
        <v>Máy móc thiết bị</v>
      </c>
      <c r="I182" s="43" t="s">
        <v>911</v>
      </c>
      <c r="J182" s="42" t="s">
        <v>673</v>
      </c>
      <c r="K182" s="41" t="s">
        <v>830</v>
      </c>
      <c r="L182" s="42" t="s">
        <v>48</v>
      </c>
      <c r="M182" s="42" t="s">
        <v>123</v>
      </c>
      <c r="N182" s="44">
        <v>0</v>
      </c>
      <c r="O182" s="44"/>
      <c r="P182" s="41" t="s">
        <v>462</v>
      </c>
      <c r="Q182" s="41" t="str">
        <f t="shared" si="8"/>
        <v>627</v>
      </c>
      <c r="R182" s="41" t="str">
        <f>_xlfn.XLOOKUP($L182,MD_Cost_Center[Mã Cost Center],MD_Cost_Center[Ngành])</f>
        <v>PET</v>
      </c>
      <c r="S182" s="41" t="str">
        <f>_xlfn.XLOOKUP($L182,MD_Cost_Center[Mã Cost Center],MD_Cost_Center[Ngành-Tách PET-Xơ sợi])</f>
        <v>Chung-PET</v>
      </c>
      <c r="T182" s="45">
        <v>45261</v>
      </c>
      <c r="U182" s="46">
        <v>47088</v>
      </c>
      <c r="V182" s="47">
        <v>144</v>
      </c>
      <c r="W182" s="47">
        <v>411877593</v>
      </c>
      <c r="X182" s="47">
        <v>-2020703.7563025211</v>
      </c>
      <c r="Y182" s="47">
        <v>411877593</v>
      </c>
      <c r="Z182" s="47">
        <v>411877593</v>
      </c>
      <c r="AA182" s="47">
        <v>411877593</v>
      </c>
      <c r="AB182" s="47">
        <v>411877593</v>
      </c>
      <c r="AC182" s="47">
        <v>411877593</v>
      </c>
      <c r="AD182" s="47">
        <v>411877593</v>
      </c>
      <c r="AE182" s="47">
        <v>411877593</v>
      </c>
      <c r="AF182" s="47">
        <v>411877593</v>
      </c>
      <c r="AG182" s="47">
        <v>411877593</v>
      </c>
      <c r="AH182" s="47">
        <v>411877593</v>
      </c>
      <c r="AI182" s="47">
        <v>411877593</v>
      </c>
      <c r="AJ182" s="47">
        <v>411877593</v>
      </c>
      <c r="AK182" s="47">
        <v>411877593</v>
      </c>
      <c r="AL182" s="47">
        <v>-82444713</v>
      </c>
      <c r="AM182" s="47">
        <v>-171413846</v>
      </c>
      <c r="AN182" s="47">
        <v>-2020703.7563025211</v>
      </c>
      <c r="AO182" s="47">
        <v>-2020703.7563025211</v>
      </c>
      <c r="AP182" s="47">
        <v>-2020703.7563025211</v>
      </c>
      <c r="AQ182" s="47">
        <v>-2020703.7563025211</v>
      </c>
      <c r="AR182" s="47">
        <v>-2020703.7563025211</v>
      </c>
      <c r="AS182" s="47">
        <v>-2020703.7563025211</v>
      </c>
      <c r="AT182" s="47">
        <v>-2020703.7563025211</v>
      </c>
      <c r="AU182" s="47">
        <v>-2020703.7563025211</v>
      </c>
      <c r="AV182" s="47">
        <v>-2020703.7563025211</v>
      </c>
      <c r="AW182" s="47">
        <v>-2020703.7563025211</v>
      </c>
      <c r="AX182" s="47">
        <v>-2020703.7563025211</v>
      </c>
      <c r="AY182" s="47">
        <v>-2020703.7563025211</v>
      </c>
      <c r="AZ182" s="58">
        <f t="shared" si="9"/>
        <v>-24248445.075630251</v>
      </c>
      <c r="BA182" s="47">
        <f>Y182+SUM($AM182:AM182)</f>
        <v>240463747</v>
      </c>
      <c r="BB182" s="48">
        <f>Z182+SUM($AM182:AN182)</f>
        <v>238443043.24369746</v>
      </c>
      <c r="BC182" s="48">
        <f>AA182+SUM($AM182:AO182)</f>
        <v>236422339.48739493</v>
      </c>
      <c r="BD182" s="48">
        <f>AB182+SUM($AM182:AP182)</f>
        <v>234401635.73109239</v>
      </c>
      <c r="BE182" s="48">
        <f>AC182+SUM($AM182:AQ182)</f>
        <v>232380931.97478986</v>
      </c>
      <c r="BF182" s="48">
        <f>AD182+SUM($AM182:AR182)</f>
        <v>230360228.21848732</v>
      </c>
      <c r="BG182" s="48">
        <f>AE182+SUM($AM182:AS182)</f>
        <v>228339524.46218479</v>
      </c>
      <c r="BH182" s="48">
        <f>AF182+SUM($AM182:AT182)</f>
        <v>226318820.70588225</v>
      </c>
      <c r="BI182" s="48">
        <f>AG182+SUM($AM182:AU182)</f>
        <v>224298116.94957972</v>
      </c>
      <c r="BJ182" s="48">
        <f>AH182+SUM($AM182:AV182)</f>
        <v>222277413.19327718</v>
      </c>
      <c r="BK182" s="48">
        <f>AI182+SUM($AM182:AW182)</f>
        <v>220256709.43697464</v>
      </c>
      <c r="BL182" s="48">
        <f>AJ182+SUM($AM182:AX182)</f>
        <v>218236005.68067211</v>
      </c>
      <c r="BM182" s="48">
        <f>AK182+SUM($AM182:AY182)</f>
        <v>216215301.92436957</v>
      </c>
      <c r="BO182" s="47"/>
    </row>
    <row r="183" spans="3:67" s="41" customFormat="1" hidden="1" x14ac:dyDescent="0.3">
      <c r="C183" s="41" t="s">
        <v>1340</v>
      </c>
      <c r="D183" s="42" t="s">
        <v>338</v>
      </c>
      <c r="E183" s="42" t="str">
        <f t="shared" si="7"/>
        <v>211</v>
      </c>
      <c r="F183" s="41" t="str">
        <f>_xlfn.XLOOKUP($D183,MD_Account_Asset_Type[Nhóm tài sản],MD_Account_Asset_Type[Tên Nhóm tài sản])</f>
        <v>Máy móc, thiết bị - SX 627</v>
      </c>
      <c r="G183" s="41" t="str">
        <f>_xlfn.XLOOKUP($D183,MD_Account_Asset_Type[Nhóm tài sản],MD_Account_Asset_Type[Tên nhóm TS-Rút gọn])</f>
        <v>Máy móc thiết bị</v>
      </c>
      <c r="H183" s="41" t="str">
        <f>_xlfn.XLOOKUP($D183,MD_Account_Asset_Type[Nhóm tài sản],MD_Account_Asset_Type[Tên nhóm TS-Rút gọn-v2])</f>
        <v>Máy móc thiết bị</v>
      </c>
      <c r="I183" s="43" t="s">
        <v>912</v>
      </c>
      <c r="J183" s="42" t="s">
        <v>674</v>
      </c>
      <c r="K183" s="41" t="s">
        <v>830</v>
      </c>
      <c r="L183" s="42" t="s">
        <v>48</v>
      </c>
      <c r="M183" s="42" t="s">
        <v>123</v>
      </c>
      <c r="N183" s="44">
        <v>0</v>
      </c>
      <c r="O183" s="44"/>
      <c r="P183" s="41" t="s">
        <v>462</v>
      </c>
      <c r="Q183" s="41" t="str">
        <f t="shared" si="8"/>
        <v>627</v>
      </c>
      <c r="R183" s="41" t="str">
        <f>_xlfn.XLOOKUP($L183,MD_Cost_Center[Mã Cost Center],MD_Cost_Center[Ngành])</f>
        <v>PET</v>
      </c>
      <c r="S183" s="41" t="str">
        <f>_xlfn.XLOOKUP($L183,MD_Cost_Center[Mã Cost Center],MD_Cost_Center[Ngành-Tách PET-Xơ sợi])</f>
        <v>Chung-PET</v>
      </c>
      <c r="T183" s="45">
        <v>45261</v>
      </c>
      <c r="U183" s="46">
        <v>48183</v>
      </c>
      <c r="V183" s="47">
        <v>144</v>
      </c>
      <c r="W183" s="47">
        <v>187287621</v>
      </c>
      <c r="X183" s="47">
        <v>-1164122.3193277312</v>
      </c>
      <c r="Y183" s="47">
        <v>187287621</v>
      </c>
      <c r="Z183" s="47">
        <v>187287621</v>
      </c>
      <c r="AA183" s="47">
        <v>187287621</v>
      </c>
      <c r="AB183" s="47">
        <v>187287621</v>
      </c>
      <c r="AC183" s="47">
        <v>187287621</v>
      </c>
      <c r="AD183" s="47">
        <v>187287621</v>
      </c>
      <c r="AE183" s="47">
        <v>187287621</v>
      </c>
      <c r="AF183" s="47">
        <v>187287621</v>
      </c>
      <c r="AG183" s="47">
        <v>187287621</v>
      </c>
      <c r="AH183" s="47">
        <v>187287621</v>
      </c>
      <c r="AI183" s="47">
        <v>187287621</v>
      </c>
      <c r="AJ183" s="47">
        <v>187287621</v>
      </c>
      <c r="AK183" s="47">
        <v>187287621</v>
      </c>
      <c r="AL183" s="47">
        <v>-23413615</v>
      </c>
      <c r="AM183" s="47">
        <v>-48757065</v>
      </c>
      <c r="AN183" s="47">
        <v>-1164122.3193277312</v>
      </c>
      <c r="AO183" s="47">
        <v>-1164122.3193277312</v>
      </c>
      <c r="AP183" s="47">
        <v>-1164122.3193277312</v>
      </c>
      <c r="AQ183" s="47">
        <v>-1164122.3193277312</v>
      </c>
      <c r="AR183" s="47">
        <v>-1164122.3193277312</v>
      </c>
      <c r="AS183" s="47">
        <v>-1164122.3193277312</v>
      </c>
      <c r="AT183" s="47">
        <v>-1164122.3193277312</v>
      </c>
      <c r="AU183" s="47">
        <v>-1164122.3193277312</v>
      </c>
      <c r="AV183" s="47">
        <v>-1164122.3193277312</v>
      </c>
      <c r="AW183" s="47">
        <v>-1164122.3193277312</v>
      </c>
      <c r="AX183" s="47">
        <v>-1164122.3193277312</v>
      </c>
      <c r="AY183" s="47">
        <v>-1164122.3193277312</v>
      </c>
      <c r="AZ183" s="58">
        <f t="shared" si="9"/>
        <v>-13969467.83193277</v>
      </c>
      <c r="BA183" s="47">
        <f>Y183+SUM($AM183:AM183)</f>
        <v>138530556</v>
      </c>
      <c r="BB183" s="48">
        <f>Z183+SUM($AM183:AN183)</f>
        <v>137366433.68067226</v>
      </c>
      <c r="BC183" s="48">
        <f>AA183+SUM($AM183:AO183)</f>
        <v>136202311.36134452</v>
      </c>
      <c r="BD183" s="48">
        <f>AB183+SUM($AM183:AP183)</f>
        <v>135038189.0420168</v>
      </c>
      <c r="BE183" s="48">
        <f>AC183+SUM($AM183:AQ183)</f>
        <v>133874066.72268906</v>
      </c>
      <c r="BF183" s="48">
        <f>AD183+SUM($AM183:AR183)</f>
        <v>132709944.40336132</v>
      </c>
      <c r="BG183" s="48">
        <f>AE183+SUM($AM183:AS183)</f>
        <v>131545822.08403359</v>
      </c>
      <c r="BH183" s="48">
        <f>AF183+SUM($AM183:AT183)</f>
        <v>130381699.76470587</v>
      </c>
      <c r="BI183" s="48">
        <f>AG183+SUM($AM183:AU183)</f>
        <v>129217577.44537812</v>
      </c>
      <c r="BJ183" s="48">
        <f>AH183+SUM($AM183:AV183)</f>
        <v>128053455.12605038</v>
      </c>
      <c r="BK183" s="48">
        <f>AI183+SUM($AM183:AW183)</f>
        <v>126889332.80672266</v>
      </c>
      <c r="BL183" s="48">
        <f>AJ183+SUM($AM183:AX183)</f>
        <v>125725210.48739493</v>
      </c>
      <c r="BM183" s="48">
        <f>AK183+SUM($AM183:AY183)</f>
        <v>124561088.16806719</v>
      </c>
      <c r="BO183" s="47"/>
    </row>
    <row r="184" spans="3:67" s="41" customFormat="1" hidden="1" x14ac:dyDescent="0.3">
      <c r="C184" s="41" t="s">
        <v>1340</v>
      </c>
      <c r="D184" s="42" t="s">
        <v>338</v>
      </c>
      <c r="E184" s="42" t="str">
        <f t="shared" si="7"/>
        <v>211</v>
      </c>
      <c r="F184" s="41" t="str">
        <f>_xlfn.XLOOKUP($D184,MD_Account_Asset_Type[Nhóm tài sản],MD_Account_Asset_Type[Tên Nhóm tài sản])</f>
        <v>Máy móc, thiết bị - SX 627</v>
      </c>
      <c r="G184" s="41" t="str">
        <f>_xlfn.XLOOKUP($D184,MD_Account_Asset_Type[Nhóm tài sản],MD_Account_Asset_Type[Tên nhóm TS-Rút gọn])</f>
        <v>Máy móc thiết bị</v>
      </c>
      <c r="H184" s="41" t="str">
        <f>_xlfn.XLOOKUP($D184,MD_Account_Asset_Type[Nhóm tài sản],MD_Account_Asset_Type[Tên nhóm TS-Rút gọn-v2])</f>
        <v>Máy móc thiết bị</v>
      </c>
      <c r="I184" s="43" t="s">
        <v>913</v>
      </c>
      <c r="J184" s="42" t="s">
        <v>675</v>
      </c>
      <c r="K184" s="41" t="s">
        <v>502</v>
      </c>
      <c r="L184" s="42" t="s">
        <v>46</v>
      </c>
      <c r="M184" s="42" t="s">
        <v>121</v>
      </c>
      <c r="N184" s="44">
        <v>0</v>
      </c>
      <c r="O184" s="44"/>
      <c r="P184" s="41" t="s">
        <v>462</v>
      </c>
      <c r="Q184" s="41" t="str">
        <f t="shared" si="8"/>
        <v>627</v>
      </c>
      <c r="R184" s="41" t="str">
        <f>_xlfn.XLOOKUP($L184,MD_Cost_Center[Mã Cost Center],MD_Cost_Center[Ngành])</f>
        <v>Chung</v>
      </c>
      <c r="S184" s="41" t="str">
        <f>_xlfn.XLOOKUP($L184,MD_Cost_Center[Mã Cost Center],MD_Cost_Center[Ngành-Tách PET-Xơ sợi])</f>
        <v>Chung</v>
      </c>
      <c r="T184" s="45">
        <v>45444</v>
      </c>
      <c r="U184" s="46">
        <v>46539</v>
      </c>
      <c r="V184" s="47">
        <v>144</v>
      </c>
      <c r="W184" s="47">
        <v>48500000</v>
      </c>
      <c r="X184" s="47">
        <v>-183222.22399999999</v>
      </c>
      <c r="Y184" s="47">
        <v>48500000</v>
      </c>
      <c r="Z184" s="47">
        <v>48500000</v>
      </c>
      <c r="AA184" s="47">
        <v>48500000</v>
      </c>
      <c r="AB184" s="47">
        <v>48500000</v>
      </c>
      <c r="AC184" s="47">
        <v>48500000</v>
      </c>
      <c r="AD184" s="47">
        <v>48500000</v>
      </c>
      <c r="AE184" s="47">
        <v>48500000</v>
      </c>
      <c r="AF184" s="47">
        <v>48500000</v>
      </c>
      <c r="AG184" s="47">
        <v>48500000</v>
      </c>
      <c r="AH184" s="47">
        <v>48500000</v>
      </c>
      <c r="AI184" s="47">
        <v>48500000</v>
      </c>
      <c r="AJ184" s="47">
        <v>48500000</v>
      </c>
      <c r="AK184" s="47">
        <v>48500000</v>
      </c>
      <c r="AL184" s="47">
        <v>-16166666</v>
      </c>
      <c r="AM184" s="47">
        <v>-25597222</v>
      </c>
      <c r="AN184" s="47">
        <v>-183222.22399999999</v>
      </c>
      <c r="AO184" s="47">
        <v>-183222.22399999999</v>
      </c>
      <c r="AP184" s="47">
        <v>-183222.22399999999</v>
      </c>
      <c r="AQ184" s="47">
        <v>-183222.22399999999</v>
      </c>
      <c r="AR184" s="47">
        <v>-183222.22399999999</v>
      </c>
      <c r="AS184" s="47">
        <v>-183222.22399999999</v>
      </c>
      <c r="AT184" s="47">
        <v>-183222.22399999999</v>
      </c>
      <c r="AU184" s="47">
        <v>-183222.22399999999</v>
      </c>
      <c r="AV184" s="47">
        <v>-183222.22399999999</v>
      </c>
      <c r="AW184" s="47">
        <v>-183222.22399999999</v>
      </c>
      <c r="AX184" s="47">
        <v>-183222.22399999999</v>
      </c>
      <c r="AY184" s="47">
        <v>-183222.22399999999</v>
      </c>
      <c r="AZ184" s="58">
        <f t="shared" si="9"/>
        <v>-2198666.6879999996</v>
      </c>
      <c r="BA184" s="47">
        <f>Y184+SUM($AM184:AM184)</f>
        <v>22902778</v>
      </c>
      <c r="BB184" s="48">
        <f>Z184+SUM($AM184:AN184)</f>
        <v>22719555.776000001</v>
      </c>
      <c r="BC184" s="48">
        <f>AA184+SUM($AM184:AO184)</f>
        <v>22536333.552000001</v>
      </c>
      <c r="BD184" s="48">
        <f>AB184+SUM($AM184:AP184)</f>
        <v>22353111.328000002</v>
      </c>
      <c r="BE184" s="48">
        <f>AC184+SUM($AM184:AQ184)</f>
        <v>22169889.104000002</v>
      </c>
      <c r="BF184" s="48">
        <f>AD184+SUM($AM184:AR184)</f>
        <v>21986666.880000003</v>
      </c>
      <c r="BG184" s="48">
        <f>AE184+SUM($AM184:AS184)</f>
        <v>21803444.656000003</v>
      </c>
      <c r="BH184" s="48">
        <f>AF184+SUM($AM184:AT184)</f>
        <v>21620222.432000004</v>
      </c>
      <c r="BI184" s="48">
        <f>AG184+SUM($AM184:AU184)</f>
        <v>21437000.208000004</v>
      </c>
      <c r="BJ184" s="48">
        <f>AH184+SUM($AM184:AV184)</f>
        <v>21253777.984000005</v>
      </c>
      <c r="BK184" s="48">
        <f>AI184+SUM($AM184:AW184)</f>
        <v>21070555.760000005</v>
      </c>
      <c r="BL184" s="48">
        <f>AJ184+SUM($AM184:AX184)</f>
        <v>20887333.536000006</v>
      </c>
      <c r="BM184" s="48">
        <f>AK184+SUM($AM184:AY184)</f>
        <v>20704111.312000006</v>
      </c>
      <c r="BO184" s="47"/>
    </row>
    <row r="185" spans="3:67" s="41" customFormat="1" hidden="1" x14ac:dyDescent="0.3">
      <c r="C185" s="41" t="s">
        <v>1340</v>
      </c>
      <c r="D185" s="42" t="s">
        <v>338</v>
      </c>
      <c r="E185" s="42" t="str">
        <f t="shared" si="7"/>
        <v>211</v>
      </c>
      <c r="F185" s="41" t="str">
        <f>_xlfn.XLOOKUP($D185,MD_Account_Asset_Type[Nhóm tài sản],MD_Account_Asset_Type[Tên Nhóm tài sản])</f>
        <v>Máy móc, thiết bị - SX 627</v>
      </c>
      <c r="G185" s="41" t="str">
        <f>_xlfn.XLOOKUP($D185,MD_Account_Asset_Type[Nhóm tài sản],MD_Account_Asset_Type[Tên nhóm TS-Rút gọn])</f>
        <v>Máy móc thiết bị</v>
      </c>
      <c r="H185" s="41" t="str">
        <f>_xlfn.XLOOKUP($D185,MD_Account_Asset_Type[Nhóm tài sản],MD_Account_Asset_Type[Tên nhóm TS-Rút gọn-v2])</f>
        <v>Máy móc thiết bị</v>
      </c>
      <c r="I185" s="43" t="s">
        <v>914</v>
      </c>
      <c r="J185" s="42" t="s">
        <v>676</v>
      </c>
      <c r="K185" s="41" t="s">
        <v>502</v>
      </c>
      <c r="L185" s="42" t="s">
        <v>91</v>
      </c>
      <c r="M185" s="42" t="s">
        <v>166</v>
      </c>
      <c r="N185" s="44">
        <v>0</v>
      </c>
      <c r="O185" s="44"/>
      <c r="P185" s="41" t="s">
        <v>462</v>
      </c>
      <c r="Q185" s="41" t="str">
        <f t="shared" si="8"/>
        <v>627</v>
      </c>
      <c r="R185" s="41" t="str">
        <f>_xlfn.XLOOKUP($L185,MD_Cost_Center[Mã Cost Center],MD_Cost_Center[Ngành])</f>
        <v>HD/PP</v>
      </c>
      <c r="S185" s="41" t="str">
        <f>_xlfn.XLOOKUP($L185,MD_Cost_Center[Mã Cost Center],MD_Cost_Center[Ngành-Tách PET-Xơ sợi])</f>
        <v>HD/PP</v>
      </c>
      <c r="T185" s="45">
        <v>45444</v>
      </c>
      <c r="U185" s="46">
        <v>47270</v>
      </c>
      <c r="V185" s="47">
        <v>144</v>
      </c>
      <c r="W185" s="47">
        <v>40000000</v>
      </c>
      <c r="X185" s="47">
        <v>-218666.66399999999</v>
      </c>
      <c r="Y185" s="47">
        <v>40000000</v>
      </c>
      <c r="Z185" s="47">
        <v>40000000</v>
      </c>
      <c r="AA185" s="47">
        <v>40000000</v>
      </c>
      <c r="AB185" s="47">
        <v>40000000</v>
      </c>
      <c r="AC185" s="47">
        <v>40000000</v>
      </c>
      <c r="AD185" s="47">
        <v>40000000</v>
      </c>
      <c r="AE185" s="47">
        <v>40000000</v>
      </c>
      <c r="AF185" s="47">
        <v>40000000</v>
      </c>
      <c r="AG185" s="47">
        <v>40000000</v>
      </c>
      <c r="AH185" s="47">
        <v>40000000</v>
      </c>
      <c r="AI185" s="47">
        <v>40000000</v>
      </c>
      <c r="AJ185" s="47">
        <v>40000000</v>
      </c>
      <c r="AK185" s="47">
        <v>40000000</v>
      </c>
      <c r="AL185" s="47">
        <v>-8000000</v>
      </c>
      <c r="AM185" s="47">
        <v>-12666667</v>
      </c>
      <c r="AN185" s="47">
        <v>-218666.66399999999</v>
      </c>
      <c r="AO185" s="47">
        <v>-218666.66399999999</v>
      </c>
      <c r="AP185" s="47">
        <v>-218666.66399999999</v>
      </c>
      <c r="AQ185" s="47">
        <v>-218666.66399999999</v>
      </c>
      <c r="AR185" s="47">
        <v>-218666.66399999999</v>
      </c>
      <c r="AS185" s="47">
        <v>-218666.66399999999</v>
      </c>
      <c r="AT185" s="47">
        <v>-218666.66399999999</v>
      </c>
      <c r="AU185" s="47">
        <v>-218666.66399999999</v>
      </c>
      <c r="AV185" s="47">
        <v>-218666.66399999999</v>
      </c>
      <c r="AW185" s="47">
        <v>-218666.66399999999</v>
      </c>
      <c r="AX185" s="47">
        <v>-218666.66399999999</v>
      </c>
      <c r="AY185" s="47">
        <v>-218666.66399999999</v>
      </c>
      <c r="AZ185" s="58">
        <f t="shared" si="9"/>
        <v>-2623999.9679999989</v>
      </c>
      <c r="BA185" s="47">
        <f>Y185+SUM($AM185:AM185)</f>
        <v>27333333</v>
      </c>
      <c r="BB185" s="48">
        <f>Z185+SUM($AM185:AN185)</f>
        <v>27114666.335999999</v>
      </c>
      <c r="BC185" s="48">
        <f>AA185+SUM($AM185:AO185)</f>
        <v>26895999.671999998</v>
      </c>
      <c r="BD185" s="48">
        <f>AB185+SUM($AM185:AP185)</f>
        <v>26677333.007999998</v>
      </c>
      <c r="BE185" s="48">
        <f>AC185+SUM($AM185:AQ185)</f>
        <v>26458666.343999997</v>
      </c>
      <c r="BF185" s="48">
        <f>AD185+SUM($AM185:AR185)</f>
        <v>26239999.679999996</v>
      </c>
      <c r="BG185" s="48">
        <f>AE185+SUM($AM185:AS185)</f>
        <v>26021333.015999995</v>
      </c>
      <c r="BH185" s="48">
        <f>AF185+SUM($AM185:AT185)</f>
        <v>25802666.351999994</v>
      </c>
      <c r="BI185" s="48">
        <f>AG185+SUM($AM185:AU185)</f>
        <v>25583999.687999994</v>
      </c>
      <c r="BJ185" s="48">
        <f>AH185+SUM($AM185:AV185)</f>
        <v>25365333.023999993</v>
      </c>
      <c r="BK185" s="48">
        <f>AI185+SUM($AM185:AW185)</f>
        <v>25146666.359999992</v>
      </c>
      <c r="BL185" s="48">
        <f>AJ185+SUM($AM185:AX185)</f>
        <v>24927999.695999991</v>
      </c>
      <c r="BM185" s="48">
        <f>AK185+SUM($AM185:AY185)</f>
        <v>24709333.03199999</v>
      </c>
      <c r="BO185" s="47"/>
    </row>
    <row r="186" spans="3:67" s="41" customFormat="1" hidden="1" x14ac:dyDescent="0.3">
      <c r="C186" s="41" t="s">
        <v>1340</v>
      </c>
      <c r="D186" s="42" t="s">
        <v>338</v>
      </c>
      <c r="E186" s="42" t="str">
        <f t="shared" si="7"/>
        <v>211</v>
      </c>
      <c r="F186" s="41" t="str">
        <f>_xlfn.XLOOKUP($D186,MD_Account_Asset_Type[Nhóm tài sản],MD_Account_Asset_Type[Tên Nhóm tài sản])</f>
        <v>Máy móc, thiết bị - SX 627</v>
      </c>
      <c r="G186" s="41" t="str">
        <f>_xlfn.XLOOKUP($D186,MD_Account_Asset_Type[Nhóm tài sản],MD_Account_Asset_Type[Tên nhóm TS-Rút gọn])</f>
        <v>Máy móc thiết bị</v>
      </c>
      <c r="H186" s="41" t="str">
        <f>_xlfn.XLOOKUP($D186,MD_Account_Asset_Type[Nhóm tài sản],MD_Account_Asset_Type[Tên nhóm TS-Rút gọn-v2])</f>
        <v>Máy móc thiết bị</v>
      </c>
      <c r="I186" s="43" t="s">
        <v>915</v>
      </c>
      <c r="J186" s="42" t="s">
        <v>677</v>
      </c>
      <c r="K186" s="41" t="s">
        <v>502</v>
      </c>
      <c r="L186" s="42" t="s">
        <v>48</v>
      </c>
      <c r="M186" s="42" t="s">
        <v>123</v>
      </c>
      <c r="N186" s="44">
        <v>0</v>
      </c>
      <c r="O186" s="44"/>
      <c r="P186" s="41" t="s">
        <v>462</v>
      </c>
      <c r="Q186" s="41" t="str">
        <f t="shared" si="8"/>
        <v>627</v>
      </c>
      <c r="R186" s="41" t="str">
        <f>_xlfn.XLOOKUP($L186,MD_Cost_Center[Mã Cost Center],MD_Cost_Center[Ngành])</f>
        <v>PET</v>
      </c>
      <c r="S186" s="41" t="str">
        <f>_xlfn.XLOOKUP($L186,MD_Cost_Center[Mã Cost Center],MD_Cost_Center[Ngành-Tách PET-Xơ sợi])</f>
        <v>Chung-PET</v>
      </c>
      <c r="T186" s="45">
        <v>45383</v>
      </c>
      <c r="U186" s="46">
        <v>49035</v>
      </c>
      <c r="V186" s="47">
        <v>144</v>
      </c>
      <c r="W186" s="47">
        <v>6912429918</v>
      </c>
      <c r="X186" s="47">
        <v>-46363859.203252032</v>
      </c>
      <c r="Y186" s="47">
        <v>6912429918</v>
      </c>
      <c r="Z186" s="47">
        <v>6912429918</v>
      </c>
      <c r="AA186" s="47">
        <v>6912429918</v>
      </c>
      <c r="AB186" s="47">
        <v>6912429918</v>
      </c>
      <c r="AC186" s="47">
        <v>6912429918</v>
      </c>
      <c r="AD186" s="47">
        <v>6912429918</v>
      </c>
      <c r="AE186" s="47">
        <v>6912429918</v>
      </c>
      <c r="AF186" s="47">
        <v>6912429918</v>
      </c>
      <c r="AG186" s="47">
        <v>6912429918</v>
      </c>
      <c r="AH186" s="47">
        <v>6912429918</v>
      </c>
      <c r="AI186" s="47">
        <v>6912429918</v>
      </c>
      <c r="AJ186" s="47">
        <v>6912429918</v>
      </c>
      <c r="AK186" s="47">
        <v>6912429918</v>
      </c>
      <c r="AL186" s="47">
        <v>-691242992</v>
      </c>
      <c r="AM186" s="47">
        <v>-1209675236</v>
      </c>
      <c r="AN186" s="47">
        <v>-46363859.203252032</v>
      </c>
      <c r="AO186" s="47">
        <v>-46363859.203252032</v>
      </c>
      <c r="AP186" s="47">
        <v>-46363859.203252032</v>
      </c>
      <c r="AQ186" s="47">
        <v>-46363859.203252032</v>
      </c>
      <c r="AR186" s="47">
        <v>-46363859.203252032</v>
      </c>
      <c r="AS186" s="47">
        <v>-46363859.203252032</v>
      </c>
      <c r="AT186" s="47">
        <v>-46363859.203252032</v>
      </c>
      <c r="AU186" s="47">
        <v>-46363859.203252032</v>
      </c>
      <c r="AV186" s="47">
        <v>-46363859.203252032</v>
      </c>
      <c r="AW186" s="47">
        <v>-46363859.203252032</v>
      </c>
      <c r="AX186" s="47">
        <v>-46363859.203252032</v>
      </c>
      <c r="AY186" s="47">
        <v>-46363859.203252032</v>
      </c>
      <c r="AZ186" s="58">
        <f t="shared" si="9"/>
        <v>-556366310.43902433</v>
      </c>
      <c r="BA186" s="47">
        <f>Y186+SUM($AM186:AM186)</f>
        <v>5702754682</v>
      </c>
      <c r="BB186" s="48">
        <f>Z186+SUM($AM186:AN186)</f>
        <v>5656390822.7967482</v>
      </c>
      <c r="BC186" s="48">
        <f>AA186+SUM($AM186:AO186)</f>
        <v>5610026963.5934963</v>
      </c>
      <c r="BD186" s="48">
        <f>AB186+SUM($AM186:AP186)</f>
        <v>5563663104.3902435</v>
      </c>
      <c r="BE186" s="48">
        <f>AC186+SUM($AM186:AQ186)</f>
        <v>5517299245.1869917</v>
      </c>
      <c r="BF186" s="48">
        <f>AD186+SUM($AM186:AR186)</f>
        <v>5470935385.9837399</v>
      </c>
      <c r="BG186" s="48">
        <f>AE186+SUM($AM186:AS186)</f>
        <v>5424571526.7804871</v>
      </c>
      <c r="BH186" s="48">
        <f>AF186+SUM($AM186:AT186)</f>
        <v>5378207667.5772352</v>
      </c>
      <c r="BI186" s="48">
        <f>AG186+SUM($AM186:AU186)</f>
        <v>5331843808.3739834</v>
      </c>
      <c r="BJ186" s="48">
        <f>AH186+SUM($AM186:AV186)</f>
        <v>5285479949.1707315</v>
      </c>
      <c r="BK186" s="48">
        <f>AI186+SUM($AM186:AW186)</f>
        <v>5239116089.9674797</v>
      </c>
      <c r="BL186" s="48">
        <f>AJ186+SUM($AM186:AX186)</f>
        <v>5192752230.7642269</v>
      </c>
      <c r="BM186" s="48">
        <f>AK186+SUM($AM186:AY186)</f>
        <v>5146388371.5609751</v>
      </c>
      <c r="BO186" s="47"/>
    </row>
    <row r="187" spans="3:67" s="41" customFormat="1" hidden="1" x14ac:dyDescent="0.3">
      <c r="C187" s="41" t="s">
        <v>1340</v>
      </c>
      <c r="D187" s="42" t="s">
        <v>338</v>
      </c>
      <c r="E187" s="42" t="str">
        <f t="shared" si="7"/>
        <v>211</v>
      </c>
      <c r="F187" s="41" t="str">
        <f>_xlfn.XLOOKUP($D187,MD_Account_Asset_Type[Nhóm tài sản],MD_Account_Asset_Type[Tên Nhóm tài sản])</f>
        <v>Máy móc, thiết bị - SX 627</v>
      </c>
      <c r="G187" s="41" t="str">
        <f>_xlfn.XLOOKUP($D187,MD_Account_Asset_Type[Nhóm tài sản],MD_Account_Asset_Type[Tên nhóm TS-Rút gọn])</f>
        <v>Máy móc thiết bị</v>
      </c>
      <c r="H187" s="41" t="str">
        <f>_xlfn.XLOOKUP($D187,MD_Account_Asset_Type[Nhóm tài sản],MD_Account_Asset_Type[Tên nhóm TS-Rút gọn-v2])</f>
        <v>Máy móc thiết bị</v>
      </c>
      <c r="I187" s="43" t="s">
        <v>916</v>
      </c>
      <c r="J187" s="42" t="s">
        <v>678</v>
      </c>
      <c r="K187" s="41" t="s">
        <v>502</v>
      </c>
      <c r="L187" s="42" t="s">
        <v>48</v>
      </c>
      <c r="M187" s="42" t="s">
        <v>123</v>
      </c>
      <c r="N187" s="44">
        <v>0</v>
      </c>
      <c r="O187" s="44"/>
      <c r="P187" s="41" t="s">
        <v>462</v>
      </c>
      <c r="Q187" s="41" t="str">
        <f t="shared" si="8"/>
        <v>627</v>
      </c>
      <c r="R187" s="41" t="str">
        <f>_xlfn.XLOOKUP($L187,MD_Cost_Center[Mã Cost Center],MD_Cost_Center[Ngành])</f>
        <v>PET</v>
      </c>
      <c r="S187" s="41" t="str">
        <f>_xlfn.XLOOKUP($L187,MD_Cost_Center[Mã Cost Center],MD_Cost_Center[Ngành-Tách PET-Xơ sợi])</f>
        <v>Chung-PET</v>
      </c>
      <c r="T187" s="45">
        <v>45383</v>
      </c>
      <c r="U187" s="46">
        <v>47209</v>
      </c>
      <c r="V187" s="47">
        <v>144</v>
      </c>
      <c r="W187" s="47">
        <v>751500302</v>
      </c>
      <c r="X187" s="47">
        <v>-3971343.0650406503</v>
      </c>
      <c r="Y187" s="47">
        <v>751500302</v>
      </c>
      <c r="Z187" s="47">
        <v>751500302</v>
      </c>
      <c r="AA187" s="47">
        <v>751500302</v>
      </c>
      <c r="AB187" s="47">
        <v>751500302</v>
      </c>
      <c r="AC187" s="47">
        <v>751500302</v>
      </c>
      <c r="AD187" s="47">
        <v>751500302</v>
      </c>
      <c r="AE187" s="47">
        <v>751500302</v>
      </c>
      <c r="AF187" s="47">
        <v>751500302</v>
      </c>
      <c r="AG187" s="47">
        <v>751500302</v>
      </c>
      <c r="AH187" s="47">
        <v>751500302</v>
      </c>
      <c r="AI187" s="47">
        <v>751500302</v>
      </c>
      <c r="AJ187" s="47">
        <v>751500302</v>
      </c>
      <c r="AK187" s="47">
        <v>751500302</v>
      </c>
      <c r="AL187" s="47">
        <v>-150300060</v>
      </c>
      <c r="AM187" s="47">
        <v>-263025105</v>
      </c>
      <c r="AN187" s="47">
        <v>-3971343.0650406503</v>
      </c>
      <c r="AO187" s="47">
        <v>-3971343.0650406503</v>
      </c>
      <c r="AP187" s="47">
        <v>-3971343.0650406503</v>
      </c>
      <c r="AQ187" s="47">
        <v>-3971343.0650406503</v>
      </c>
      <c r="AR187" s="47">
        <v>-3971343.0650406503</v>
      </c>
      <c r="AS187" s="47">
        <v>-3971343.0650406503</v>
      </c>
      <c r="AT187" s="47">
        <v>-3971343.0650406503</v>
      </c>
      <c r="AU187" s="47">
        <v>-3971343.0650406503</v>
      </c>
      <c r="AV187" s="47">
        <v>-3971343.0650406503</v>
      </c>
      <c r="AW187" s="47">
        <v>-3971343.0650406503</v>
      </c>
      <c r="AX187" s="47">
        <v>-3971343.0650406503</v>
      </c>
      <c r="AY187" s="47">
        <v>-3971343.0650406503</v>
      </c>
      <c r="AZ187" s="58">
        <f t="shared" si="9"/>
        <v>-47656116.780487798</v>
      </c>
      <c r="BA187" s="47">
        <f>Y187+SUM($AM187:AM187)</f>
        <v>488475197</v>
      </c>
      <c r="BB187" s="48">
        <f>Z187+SUM($AM187:AN187)</f>
        <v>484503853.93495935</v>
      </c>
      <c r="BC187" s="48">
        <f>AA187+SUM($AM187:AO187)</f>
        <v>480532510.8699187</v>
      </c>
      <c r="BD187" s="48">
        <f>AB187+SUM($AM187:AP187)</f>
        <v>476561167.80487806</v>
      </c>
      <c r="BE187" s="48">
        <f>AC187+SUM($AM187:AQ187)</f>
        <v>472589824.73983741</v>
      </c>
      <c r="BF187" s="48">
        <f>AD187+SUM($AM187:AR187)</f>
        <v>468618481.67479676</v>
      </c>
      <c r="BG187" s="48">
        <f>AE187+SUM($AM187:AS187)</f>
        <v>464647138.60975611</v>
      </c>
      <c r="BH187" s="48">
        <f>AF187+SUM($AM187:AT187)</f>
        <v>460675795.54471546</v>
      </c>
      <c r="BI187" s="48">
        <f>AG187+SUM($AM187:AU187)</f>
        <v>456704452.47967482</v>
      </c>
      <c r="BJ187" s="48">
        <f>AH187+SUM($AM187:AV187)</f>
        <v>452733109.41463417</v>
      </c>
      <c r="BK187" s="48">
        <f>AI187+SUM($AM187:AW187)</f>
        <v>448761766.34959352</v>
      </c>
      <c r="BL187" s="48">
        <f>AJ187+SUM($AM187:AX187)</f>
        <v>444790423.28455287</v>
      </c>
      <c r="BM187" s="48">
        <f>AK187+SUM($AM187:AY187)</f>
        <v>440819080.21951222</v>
      </c>
      <c r="BO187" s="47"/>
    </row>
    <row r="188" spans="3:67" s="41" customFormat="1" hidden="1" x14ac:dyDescent="0.3">
      <c r="C188" s="41" t="s">
        <v>1340</v>
      </c>
      <c r="D188" s="42" t="s">
        <v>338</v>
      </c>
      <c r="E188" s="42" t="str">
        <f t="shared" si="7"/>
        <v>211</v>
      </c>
      <c r="F188" s="41" t="str">
        <f>_xlfn.XLOOKUP($D188,MD_Account_Asset_Type[Nhóm tài sản],MD_Account_Asset_Type[Tên Nhóm tài sản])</f>
        <v>Máy móc, thiết bị - SX 627</v>
      </c>
      <c r="G188" s="41" t="str">
        <f>_xlfn.XLOOKUP($D188,MD_Account_Asset_Type[Nhóm tài sản],MD_Account_Asset_Type[Tên nhóm TS-Rút gọn])</f>
        <v>Máy móc thiết bị</v>
      </c>
      <c r="H188" s="41" t="str">
        <f>_xlfn.XLOOKUP($D188,MD_Account_Asset_Type[Nhóm tài sản],MD_Account_Asset_Type[Tên nhóm TS-Rút gọn-v2])</f>
        <v>Máy móc thiết bị</v>
      </c>
      <c r="I188" s="43" t="s">
        <v>917</v>
      </c>
      <c r="J188" s="42" t="s">
        <v>679</v>
      </c>
      <c r="K188" s="41" t="s">
        <v>502</v>
      </c>
      <c r="L188" s="42" t="s">
        <v>48</v>
      </c>
      <c r="M188" s="42" t="s">
        <v>123</v>
      </c>
      <c r="N188" s="44">
        <v>0</v>
      </c>
      <c r="O188" s="44"/>
      <c r="P188" s="41" t="s">
        <v>462</v>
      </c>
      <c r="Q188" s="41" t="str">
        <f t="shared" si="8"/>
        <v>627</v>
      </c>
      <c r="R188" s="41" t="str">
        <f>_xlfn.XLOOKUP($L188,MD_Cost_Center[Mã Cost Center],MD_Cost_Center[Ngành])</f>
        <v>PET</v>
      </c>
      <c r="S188" s="41" t="str">
        <f>_xlfn.XLOOKUP($L188,MD_Cost_Center[Mã Cost Center],MD_Cost_Center[Ngành-Tách PET-Xơ sợi])</f>
        <v>Chung-PET</v>
      </c>
      <c r="T188" s="45">
        <v>45383</v>
      </c>
      <c r="U188" s="46">
        <v>46478</v>
      </c>
      <c r="V188" s="47">
        <v>144</v>
      </c>
      <c r="W188" s="47">
        <v>183912103</v>
      </c>
      <c r="X188" s="47">
        <v>-623008.47967479669</v>
      </c>
      <c r="Y188" s="47">
        <v>183912103</v>
      </c>
      <c r="Z188" s="47">
        <v>183912103</v>
      </c>
      <c r="AA188" s="47">
        <v>183912103</v>
      </c>
      <c r="AB188" s="47">
        <v>183912103</v>
      </c>
      <c r="AC188" s="47">
        <v>183912103</v>
      </c>
      <c r="AD188" s="47">
        <v>183912103</v>
      </c>
      <c r="AE188" s="47">
        <v>183912103</v>
      </c>
      <c r="AF188" s="47">
        <v>183912103</v>
      </c>
      <c r="AG188" s="47">
        <v>183912103</v>
      </c>
      <c r="AH188" s="47">
        <v>183912103</v>
      </c>
      <c r="AI188" s="47">
        <v>183912103</v>
      </c>
      <c r="AJ188" s="47">
        <v>183912103</v>
      </c>
      <c r="AK188" s="47">
        <v>183912103</v>
      </c>
      <c r="AL188" s="47">
        <v>-61304034</v>
      </c>
      <c r="AM188" s="47">
        <v>-107282060</v>
      </c>
      <c r="AN188" s="47">
        <v>-623008.47967479669</v>
      </c>
      <c r="AO188" s="47">
        <v>-623008.47967479669</v>
      </c>
      <c r="AP188" s="47">
        <v>-623008.47967479669</v>
      </c>
      <c r="AQ188" s="47">
        <v>-623008.47967479669</v>
      </c>
      <c r="AR188" s="47">
        <v>-623008.47967479669</v>
      </c>
      <c r="AS188" s="47">
        <v>-623008.47967479669</v>
      </c>
      <c r="AT188" s="47">
        <v>-623008.47967479669</v>
      </c>
      <c r="AU188" s="47">
        <v>-623008.47967479669</v>
      </c>
      <c r="AV188" s="47">
        <v>-623008.47967479669</v>
      </c>
      <c r="AW188" s="47">
        <v>-623008.47967479669</v>
      </c>
      <c r="AX188" s="47">
        <v>-623008.47967479669</v>
      </c>
      <c r="AY188" s="47">
        <v>-623008.47967479669</v>
      </c>
      <c r="AZ188" s="58">
        <f t="shared" si="9"/>
        <v>-7476101.7560975598</v>
      </c>
      <c r="BA188" s="47">
        <f>Y188+SUM($AM188:AM188)</f>
        <v>76630043</v>
      </c>
      <c r="BB188" s="48">
        <f>Z188+SUM($AM188:AN188)</f>
        <v>76007034.520325199</v>
      </c>
      <c r="BC188" s="48">
        <f>AA188+SUM($AM188:AO188)</f>
        <v>75384026.040650398</v>
      </c>
      <c r="BD188" s="48">
        <f>AB188+SUM($AM188:AP188)</f>
        <v>74761017.560975596</v>
      </c>
      <c r="BE188" s="48">
        <f>AC188+SUM($AM188:AQ188)</f>
        <v>74138009.081300795</v>
      </c>
      <c r="BF188" s="48">
        <f>AD188+SUM($AM188:AR188)</f>
        <v>73515000.601625994</v>
      </c>
      <c r="BG188" s="48">
        <f>AE188+SUM($AM188:AS188)</f>
        <v>72891992.121951193</v>
      </c>
      <c r="BH188" s="48">
        <f>AF188+SUM($AM188:AT188)</f>
        <v>72268983.642276391</v>
      </c>
      <c r="BI188" s="48">
        <f>AG188+SUM($AM188:AU188)</f>
        <v>71645975.16260159</v>
      </c>
      <c r="BJ188" s="48">
        <f>AH188+SUM($AM188:AV188)</f>
        <v>71022966.682926789</v>
      </c>
      <c r="BK188" s="48">
        <f>AI188+SUM($AM188:AW188)</f>
        <v>70399958.203251988</v>
      </c>
      <c r="BL188" s="48">
        <f>AJ188+SUM($AM188:AX188)</f>
        <v>69776949.723577186</v>
      </c>
      <c r="BM188" s="48">
        <f>AK188+SUM($AM188:AY188)</f>
        <v>69153941.243902385</v>
      </c>
      <c r="BO188" s="47"/>
    </row>
    <row r="189" spans="3:67" s="41" customFormat="1" hidden="1" x14ac:dyDescent="0.3">
      <c r="C189" s="41" t="s">
        <v>1340</v>
      </c>
      <c r="D189" s="42" t="s">
        <v>338</v>
      </c>
      <c r="E189" s="42" t="str">
        <f t="shared" si="7"/>
        <v>211</v>
      </c>
      <c r="F189" s="41" t="str">
        <f>_xlfn.XLOOKUP($D189,MD_Account_Asset_Type[Nhóm tài sản],MD_Account_Asset_Type[Tên Nhóm tài sản])</f>
        <v>Máy móc, thiết bị - SX 627</v>
      </c>
      <c r="G189" s="41" t="str">
        <f>_xlfn.XLOOKUP($D189,MD_Account_Asset_Type[Nhóm tài sản],MD_Account_Asset_Type[Tên nhóm TS-Rút gọn])</f>
        <v>Máy móc thiết bị</v>
      </c>
      <c r="H189" s="41" t="str">
        <f>_xlfn.XLOOKUP($D189,MD_Account_Asset_Type[Nhóm tài sản],MD_Account_Asset_Type[Tên nhóm TS-Rút gọn-v2])</f>
        <v>Máy móc thiết bị</v>
      </c>
      <c r="I189" s="43" t="s">
        <v>918</v>
      </c>
      <c r="J189" s="42" t="s">
        <v>680</v>
      </c>
      <c r="K189" s="41" t="s">
        <v>830</v>
      </c>
      <c r="L189" s="42" t="s">
        <v>45</v>
      </c>
      <c r="M189" s="42" t="s">
        <v>120</v>
      </c>
      <c r="N189" s="44">
        <v>0</v>
      </c>
      <c r="O189" s="44"/>
      <c r="P189" s="41" t="s">
        <v>462</v>
      </c>
      <c r="Q189" s="41" t="str">
        <f t="shared" si="8"/>
        <v>627</v>
      </c>
      <c r="R189" s="41" t="str">
        <f>_xlfn.XLOOKUP($L189,MD_Cost_Center[Mã Cost Center],MD_Cost_Center[Ngành])</f>
        <v>Chung</v>
      </c>
      <c r="S189" s="41" t="str">
        <f>_xlfn.XLOOKUP($L189,MD_Cost_Center[Mã Cost Center],MD_Cost_Center[Ngành-Tách PET-Xơ sợi])</f>
        <v>Chung</v>
      </c>
      <c r="T189" s="45">
        <v>45566</v>
      </c>
      <c r="U189" s="46">
        <v>46661</v>
      </c>
      <c r="V189" s="47">
        <v>144</v>
      </c>
      <c r="W189" s="47">
        <v>208587018</v>
      </c>
      <c r="X189" s="47">
        <v>-943222.94573643408</v>
      </c>
      <c r="Y189" s="47">
        <v>208587018</v>
      </c>
      <c r="Z189" s="47">
        <v>208587018</v>
      </c>
      <c r="AA189" s="47">
        <v>208587018</v>
      </c>
      <c r="AB189" s="47">
        <v>208587018</v>
      </c>
      <c r="AC189" s="47">
        <v>208587018</v>
      </c>
      <c r="AD189" s="47">
        <v>208587018</v>
      </c>
      <c r="AE189" s="47">
        <v>208587018</v>
      </c>
      <c r="AF189" s="47">
        <v>208587018</v>
      </c>
      <c r="AG189" s="47">
        <v>208587018</v>
      </c>
      <c r="AH189" s="47">
        <v>208587018</v>
      </c>
      <c r="AI189" s="47">
        <v>208587018</v>
      </c>
      <c r="AJ189" s="47">
        <v>208587018</v>
      </c>
      <c r="AK189" s="47">
        <v>208587018</v>
      </c>
      <c r="AL189" s="47">
        <v>-69529006</v>
      </c>
      <c r="AM189" s="47">
        <v>-86911258</v>
      </c>
      <c r="AN189" s="47">
        <v>-943222.94573643408</v>
      </c>
      <c r="AO189" s="47">
        <v>-943222.94573643408</v>
      </c>
      <c r="AP189" s="47">
        <v>-943222.94573643408</v>
      </c>
      <c r="AQ189" s="47">
        <v>-943222.94573643408</v>
      </c>
      <c r="AR189" s="47">
        <v>-943222.94573643408</v>
      </c>
      <c r="AS189" s="47">
        <v>-943222.94573643408</v>
      </c>
      <c r="AT189" s="47">
        <v>-943222.94573643408</v>
      </c>
      <c r="AU189" s="47">
        <v>-943222.94573643408</v>
      </c>
      <c r="AV189" s="47">
        <v>-943222.94573643408</v>
      </c>
      <c r="AW189" s="47">
        <v>-943222.94573643408</v>
      </c>
      <c r="AX189" s="47">
        <v>-943222.94573643408</v>
      </c>
      <c r="AY189" s="47">
        <v>-943222.94573643408</v>
      </c>
      <c r="AZ189" s="58">
        <f t="shared" si="9"/>
        <v>-11318675.34883721</v>
      </c>
      <c r="BA189" s="47">
        <f>Y189+SUM($AM189:AM189)</f>
        <v>121675760</v>
      </c>
      <c r="BB189" s="48">
        <f>Z189+SUM($AM189:AN189)</f>
        <v>120732537.05426356</v>
      </c>
      <c r="BC189" s="48">
        <f>AA189+SUM($AM189:AO189)</f>
        <v>119789314.10852712</v>
      </c>
      <c r="BD189" s="48">
        <f>AB189+SUM($AM189:AP189)</f>
        <v>118846091.16279069</v>
      </c>
      <c r="BE189" s="48">
        <f>AC189+SUM($AM189:AQ189)</f>
        <v>117902868.21705425</v>
      </c>
      <c r="BF189" s="48">
        <f>AD189+SUM($AM189:AR189)</f>
        <v>116959645.27131781</v>
      </c>
      <c r="BG189" s="48">
        <f>AE189+SUM($AM189:AS189)</f>
        <v>116016422.32558137</v>
      </c>
      <c r="BH189" s="48">
        <f>AF189+SUM($AM189:AT189)</f>
        <v>115073199.37984493</v>
      </c>
      <c r="BI189" s="48">
        <f>AG189+SUM($AM189:AU189)</f>
        <v>114129976.4341085</v>
      </c>
      <c r="BJ189" s="48">
        <f>AH189+SUM($AM189:AV189)</f>
        <v>113186753.48837206</v>
      </c>
      <c r="BK189" s="48">
        <f>AI189+SUM($AM189:AW189)</f>
        <v>112243530.54263562</v>
      </c>
      <c r="BL189" s="48">
        <f>AJ189+SUM($AM189:AX189)</f>
        <v>111300307.59689918</v>
      </c>
      <c r="BM189" s="48">
        <f>AK189+SUM($AM189:AY189)</f>
        <v>110357084.65116274</v>
      </c>
      <c r="BO189" s="47"/>
    </row>
    <row r="190" spans="3:67" s="41" customFormat="1" hidden="1" x14ac:dyDescent="0.3">
      <c r="C190" s="41" t="s">
        <v>1340</v>
      </c>
      <c r="D190" s="42" t="s">
        <v>338</v>
      </c>
      <c r="E190" s="42" t="str">
        <f t="shared" si="7"/>
        <v>211</v>
      </c>
      <c r="F190" s="41" t="str">
        <f>_xlfn.XLOOKUP($D190,MD_Account_Asset_Type[Nhóm tài sản],MD_Account_Asset_Type[Tên Nhóm tài sản])</f>
        <v>Máy móc, thiết bị - SX 627</v>
      </c>
      <c r="G190" s="41" t="str">
        <f>_xlfn.XLOOKUP($D190,MD_Account_Asset_Type[Nhóm tài sản],MD_Account_Asset_Type[Tên nhóm TS-Rút gọn])</f>
        <v>Máy móc thiết bị</v>
      </c>
      <c r="H190" s="41" t="str">
        <f>_xlfn.XLOOKUP($D190,MD_Account_Asset_Type[Nhóm tài sản],MD_Account_Asset_Type[Tên nhóm TS-Rút gọn-v2])</f>
        <v>Máy móc thiết bị</v>
      </c>
      <c r="I190" s="43" t="s">
        <v>919</v>
      </c>
      <c r="J190" s="42" t="s">
        <v>681</v>
      </c>
      <c r="K190" s="41" t="s">
        <v>502</v>
      </c>
      <c r="L190" s="42" t="s">
        <v>48</v>
      </c>
      <c r="M190" s="42" t="s">
        <v>123</v>
      </c>
      <c r="N190" s="44">
        <v>0</v>
      </c>
      <c r="O190" s="44"/>
      <c r="P190" s="41" t="s">
        <v>462</v>
      </c>
      <c r="Q190" s="41" t="str">
        <f t="shared" si="8"/>
        <v>627</v>
      </c>
      <c r="R190" s="41" t="str">
        <f>_xlfn.XLOOKUP($L190,MD_Cost_Center[Mã Cost Center],MD_Cost_Center[Ngành])</f>
        <v>PET</v>
      </c>
      <c r="S190" s="41" t="str">
        <f>_xlfn.XLOOKUP($L190,MD_Cost_Center[Mã Cost Center],MD_Cost_Center[Ngành-Tách PET-Xơ sợi])</f>
        <v>Chung-PET</v>
      </c>
      <c r="T190" s="45">
        <v>45383</v>
      </c>
      <c r="U190" s="46">
        <v>46478</v>
      </c>
      <c r="V190" s="47">
        <v>144</v>
      </c>
      <c r="W190" s="47">
        <v>82950000</v>
      </c>
      <c r="X190" s="47">
        <v>-280995.93495934957</v>
      </c>
      <c r="Y190" s="47">
        <v>82950000</v>
      </c>
      <c r="Z190" s="47">
        <v>82950000</v>
      </c>
      <c r="AA190" s="47">
        <v>82950000</v>
      </c>
      <c r="AB190" s="47">
        <v>82950000</v>
      </c>
      <c r="AC190" s="47">
        <v>82950000</v>
      </c>
      <c r="AD190" s="47">
        <v>82950000</v>
      </c>
      <c r="AE190" s="47">
        <v>82950000</v>
      </c>
      <c r="AF190" s="47">
        <v>82950000</v>
      </c>
      <c r="AG190" s="47">
        <v>82950000</v>
      </c>
      <c r="AH190" s="47">
        <v>82950000</v>
      </c>
      <c r="AI190" s="47">
        <v>82950000</v>
      </c>
      <c r="AJ190" s="47">
        <v>82950000</v>
      </c>
      <c r="AK190" s="47">
        <v>82950000</v>
      </c>
      <c r="AL190" s="47">
        <v>-27650000</v>
      </c>
      <c r="AM190" s="47">
        <v>-48387500</v>
      </c>
      <c r="AN190" s="47">
        <v>-280995.93495934957</v>
      </c>
      <c r="AO190" s="47">
        <v>-280995.93495934957</v>
      </c>
      <c r="AP190" s="47">
        <v>-280995.93495934957</v>
      </c>
      <c r="AQ190" s="47">
        <v>-280995.93495934957</v>
      </c>
      <c r="AR190" s="47">
        <v>-280995.93495934957</v>
      </c>
      <c r="AS190" s="47">
        <v>-280995.93495934957</v>
      </c>
      <c r="AT190" s="47">
        <v>-280995.93495934957</v>
      </c>
      <c r="AU190" s="47">
        <v>-280995.93495934957</v>
      </c>
      <c r="AV190" s="47">
        <v>-280995.93495934957</v>
      </c>
      <c r="AW190" s="47">
        <v>-280995.93495934957</v>
      </c>
      <c r="AX190" s="47">
        <v>-280995.93495934957</v>
      </c>
      <c r="AY190" s="47">
        <v>-280995.93495934957</v>
      </c>
      <c r="AZ190" s="58">
        <f t="shared" si="9"/>
        <v>-3371951.2195121958</v>
      </c>
      <c r="BA190" s="47">
        <f>Y190+SUM($AM190:AM190)</f>
        <v>34562500</v>
      </c>
      <c r="BB190" s="48">
        <f>Z190+SUM($AM190:AN190)</f>
        <v>34281504.065040648</v>
      </c>
      <c r="BC190" s="48">
        <f>AA190+SUM($AM190:AO190)</f>
        <v>34000508.130081296</v>
      </c>
      <c r="BD190" s="48">
        <f>AB190+SUM($AM190:AP190)</f>
        <v>33719512.195121944</v>
      </c>
      <c r="BE190" s="48">
        <f>AC190+SUM($AM190:AQ190)</f>
        <v>33438516.260162592</v>
      </c>
      <c r="BF190" s="48">
        <f>AD190+SUM($AM190:AR190)</f>
        <v>33157520.32520324</v>
      </c>
      <c r="BG190" s="48">
        <f>AE190+SUM($AM190:AS190)</f>
        <v>32876524.390243888</v>
      </c>
      <c r="BH190" s="48">
        <f>AF190+SUM($AM190:AT190)</f>
        <v>32595528.455284536</v>
      </c>
      <c r="BI190" s="48">
        <f>AG190+SUM($AM190:AU190)</f>
        <v>32314532.520325184</v>
      </c>
      <c r="BJ190" s="48">
        <f>AH190+SUM($AM190:AV190)</f>
        <v>32033536.585365832</v>
      </c>
      <c r="BK190" s="48">
        <f>AI190+SUM($AM190:AW190)</f>
        <v>31752540.65040648</v>
      </c>
      <c r="BL190" s="48">
        <f>AJ190+SUM($AM190:AX190)</f>
        <v>31471544.715447128</v>
      </c>
      <c r="BM190" s="48">
        <f>AK190+SUM($AM190:AY190)</f>
        <v>31190548.780487776</v>
      </c>
      <c r="BO190" s="47"/>
    </row>
    <row r="191" spans="3:67" s="41" customFormat="1" hidden="1" x14ac:dyDescent="0.3">
      <c r="C191" s="41" t="s">
        <v>1340</v>
      </c>
      <c r="D191" s="42" t="s">
        <v>338</v>
      </c>
      <c r="E191" s="42" t="str">
        <f t="shared" si="7"/>
        <v>211</v>
      </c>
      <c r="F191" s="41" t="str">
        <f>_xlfn.XLOOKUP($D191,MD_Account_Asset_Type[Nhóm tài sản],MD_Account_Asset_Type[Tên Nhóm tài sản])</f>
        <v>Máy móc, thiết bị - SX 627</v>
      </c>
      <c r="G191" s="41" t="str">
        <f>_xlfn.XLOOKUP($D191,MD_Account_Asset_Type[Nhóm tài sản],MD_Account_Asset_Type[Tên nhóm TS-Rút gọn])</f>
        <v>Máy móc thiết bị</v>
      </c>
      <c r="H191" s="41" t="str">
        <f>_xlfn.XLOOKUP($D191,MD_Account_Asset_Type[Nhóm tài sản],MD_Account_Asset_Type[Tên nhóm TS-Rút gọn-v2])</f>
        <v>Máy móc thiết bị</v>
      </c>
      <c r="I191" s="43" t="s">
        <v>920</v>
      </c>
      <c r="J191" s="42" t="s">
        <v>682</v>
      </c>
      <c r="K191" s="41" t="s">
        <v>502</v>
      </c>
      <c r="L191" s="42" t="s">
        <v>90</v>
      </c>
      <c r="M191" s="42" t="s">
        <v>165</v>
      </c>
      <c r="N191" s="44">
        <v>0</v>
      </c>
      <c r="O191" s="44"/>
      <c r="P191" s="41" t="s">
        <v>462</v>
      </c>
      <c r="Q191" s="41" t="str">
        <f t="shared" si="8"/>
        <v>627</v>
      </c>
      <c r="R191" s="41" t="str">
        <f>_xlfn.XLOOKUP($L191,MD_Cost_Center[Mã Cost Center],MD_Cost_Center[Ngành])</f>
        <v>HD/PP</v>
      </c>
      <c r="S191" s="41" t="str">
        <f>_xlfn.XLOOKUP($L191,MD_Cost_Center[Mã Cost Center],MD_Cost_Center[Ngành-Tách PET-Xơ sợi])</f>
        <v>HD/PP</v>
      </c>
      <c r="T191" s="45">
        <v>45413</v>
      </c>
      <c r="U191" s="46">
        <v>47239</v>
      </c>
      <c r="V191" s="47">
        <v>144</v>
      </c>
      <c r="W191" s="47">
        <v>1470802869</v>
      </c>
      <c r="X191" s="47">
        <v>-7907542.3064516131</v>
      </c>
      <c r="Y191" s="47">
        <v>1470802869</v>
      </c>
      <c r="Z191" s="47">
        <v>1470802869</v>
      </c>
      <c r="AA191" s="47">
        <v>1470802869</v>
      </c>
      <c r="AB191" s="47">
        <v>1470802869</v>
      </c>
      <c r="AC191" s="47">
        <v>1470802869</v>
      </c>
      <c r="AD191" s="47">
        <v>1470802869</v>
      </c>
      <c r="AE191" s="47">
        <v>1470802869</v>
      </c>
      <c r="AF191" s="47">
        <v>1470802869</v>
      </c>
      <c r="AG191" s="47">
        <v>1470802869</v>
      </c>
      <c r="AH191" s="47">
        <v>1470802869</v>
      </c>
      <c r="AI191" s="47">
        <v>1470802869</v>
      </c>
      <c r="AJ191" s="47">
        <v>1470802869</v>
      </c>
      <c r="AK191" s="47">
        <v>1470802869</v>
      </c>
      <c r="AL191" s="47">
        <v>-294160574</v>
      </c>
      <c r="AM191" s="47">
        <v>-490267623</v>
      </c>
      <c r="AN191" s="47">
        <v>-7907542.3064516131</v>
      </c>
      <c r="AO191" s="47">
        <v>-7907542.3064516131</v>
      </c>
      <c r="AP191" s="47">
        <v>-7907542.3064516131</v>
      </c>
      <c r="AQ191" s="47">
        <v>-7907542.3064516131</v>
      </c>
      <c r="AR191" s="47">
        <v>-7907542.3064516131</v>
      </c>
      <c r="AS191" s="47">
        <v>-7907542.3064516131</v>
      </c>
      <c r="AT191" s="47">
        <v>-7907542.3064516131</v>
      </c>
      <c r="AU191" s="47">
        <v>-7907542.3064516131</v>
      </c>
      <c r="AV191" s="47">
        <v>-7907542.3064516131</v>
      </c>
      <c r="AW191" s="47">
        <v>-7907542.3064516131</v>
      </c>
      <c r="AX191" s="47">
        <v>-7907542.3064516131</v>
      </c>
      <c r="AY191" s="47">
        <v>-7907542.3064516131</v>
      </c>
      <c r="AZ191" s="58">
        <f t="shared" si="9"/>
        <v>-94890507.677419364</v>
      </c>
      <c r="BA191" s="47">
        <f>Y191+SUM($AM191:AM191)</f>
        <v>980535246</v>
      </c>
      <c r="BB191" s="48">
        <f>Z191+SUM($AM191:AN191)</f>
        <v>972627703.69354844</v>
      </c>
      <c r="BC191" s="48">
        <f>AA191+SUM($AM191:AO191)</f>
        <v>964720161.38709676</v>
      </c>
      <c r="BD191" s="48">
        <f>AB191+SUM($AM191:AP191)</f>
        <v>956812619.08064508</v>
      </c>
      <c r="BE191" s="48">
        <f>AC191+SUM($AM191:AQ191)</f>
        <v>948905076.77419353</v>
      </c>
      <c r="BF191" s="48">
        <f>AD191+SUM($AM191:AR191)</f>
        <v>940997534.46774197</v>
      </c>
      <c r="BG191" s="48">
        <f>AE191+SUM($AM191:AS191)</f>
        <v>933089992.16129029</v>
      </c>
      <c r="BH191" s="48">
        <f>AF191+SUM($AM191:AT191)</f>
        <v>925182449.85483873</v>
      </c>
      <c r="BI191" s="48">
        <f>AG191+SUM($AM191:AU191)</f>
        <v>917274907.54838717</v>
      </c>
      <c r="BJ191" s="48">
        <f>AH191+SUM($AM191:AV191)</f>
        <v>909367365.24193561</v>
      </c>
      <c r="BK191" s="48">
        <f>AI191+SUM($AM191:AW191)</f>
        <v>901459822.93548405</v>
      </c>
      <c r="BL191" s="48">
        <f>AJ191+SUM($AM191:AX191)</f>
        <v>893552280.62903249</v>
      </c>
      <c r="BM191" s="48">
        <f>AK191+SUM($AM191:AY191)</f>
        <v>885644738.32258093</v>
      </c>
      <c r="BO191" s="47"/>
    </row>
    <row r="192" spans="3:67" s="41" customFormat="1" hidden="1" x14ac:dyDescent="0.3">
      <c r="C192" s="41" t="s">
        <v>1340</v>
      </c>
      <c r="D192" s="42" t="s">
        <v>338</v>
      </c>
      <c r="E192" s="42" t="str">
        <f t="shared" si="7"/>
        <v>211</v>
      </c>
      <c r="F192" s="41" t="str">
        <f>_xlfn.XLOOKUP($D192,MD_Account_Asset_Type[Nhóm tài sản],MD_Account_Asset_Type[Tên Nhóm tài sản])</f>
        <v>Máy móc, thiết bị - SX 627</v>
      </c>
      <c r="G192" s="41" t="str">
        <f>_xlfn.XLOOKUP($D192,MD_Account_Asset_Type[Nhóm tài sản],MD_Account_Asset_Type[Tên nhóm TS-Rút gọn])</f>
        <v>Máy móc thiết bị</v>
      </c>
      <c r="H192" s="41" t="str">
        <f>_xlfn.XLOOKUP($D192,MD_Account_Asset_Type[Nhóm tài sản],MD_Account_Asset_Type[Tên nhóm TS-Rút gọn-v2])</f>
        <v>Máy móc thiết bị</v>
      </c>
      <c r="I192" s="43" t="s">
        <v>921</v>
      </c>
      <c r="J192" s="42" t="s">
        <v>683</v>
      </c>
      <c r="K192" s="41" t="s">
        <v>502</v>
      </c>
      <c r="L192" s="42" t="s">
        <v>77</v>
      </c>
      <c r="M192" s="42" t="s">
        <v>152</v>
      </c>
      <c r="N192" s="44" t="s">
        <v>270</v>
      </c>
      <c r="O192" s="44"/>
      <c r="P192" s="41" t="s">
        <v>462</v>
      </c>
      <c r="Q192" s="41" t="str">
        <f t="shared" si="8"/>
        <v>627</v>
      </c>
      <c r="R192" s="41" t="str">
        <f>_xlfn.XLOOKUP($L192,MD_Cost_Center[Mã Cost Center],MD_Cost_Center[Ngành])</f>
        <v>HD/PP</v>
      </c>
      <c r="S192" s="41" t="str">
        <f>_xlfn.XLOOKUP($L192,MD_Cost_Center[Mã Cost Center],MD_Cost_Center[Ngành-Tách PET-Xơ sợi])</f>
        <v>HD/PP</v>
      </c>
      <c r="T192" s="45">
        <v>45474</v>
      </c>
      <c r="U192" s="46">
        <v>47300</v>
      </c>
      <c r="V192" s="47">
        <v>144</v>
      </c>
      <c r="W192" s="47">
        <v>700209603</v>
      </c>
      <c r="X192" s="47">
        <v>-3890053.3492063493</v>
      </c>
      <c r="Y192" s="47">
        <v>700209603</v>
      </c>
      <c r="Z192" s="47">
        <v>700209603</v>
      </c>
      <c r="AA192" s="47">
        <v>700209603</v>
      </c>
      <c r="AB192" s="47">
        <v>700209603</v>
      </c>
      <c r="AC192" s="47">
        <v>700209603</v>
      </c>
      <c r="AD192" s="47">
        <v>700209603</v>
      </c>
      <c r="AE192" s="47">
        <v>700209603</v>
      </c>
      <c r="AF192" s="47">
        <v>700209603</v>
      </c>
      <c r="AG192" s="47">
        <v>700209603</v>
      </c>
      <c r="AH192" s="47">
        <v>700209603</v>
      </c>
      <c r="AI192" s="47">
        <v>700209603</v>
      </c>
      <c r="AJ192" s="47">
        <v>700209603</v>
      </c>
      <c r="AK192" s="47">
        <v>700209603</v>
      </c>
      <c r="AL192" s="47">
        <v>-140041921</v>
      </c>
      <c r="AM192" s="47">
        <v>-210062881</v>
      </c>
      <c r="AN192" s="47">
        <v>-3890053.3492063493</v>
      </c>
      <c r="AO192" s="47">
        <v>-3890053.3492063493</v>
      </c>
      <c r="AP192" s="47">
        <v>-3890053.3492063493</v>
      </c>
      <c r="AQ192" s="47">
        <v>-3890053.3492063493</v>
      </c>
      <c r="AR192" s="47">
        <v>-3890053.3492063493</v>
      </c>
      <c r="AS192" s="47">
        <v>-3890053.3492063493</v>
      </c>
      <c r="AT192" s="47">
        <v>-3890053.3492063493</v>
      </c>
      <c r="AU192" s="47">
        <v>-3890053.3492063493</v>
      </c>
      <c r="AV192" s="47">
        <v>-3890053.3492063493</v>
      </c>
      <c r="AW192" s="47">
        <v>-3890053.3492063493</v>
      </c>
      <c r="AX192" s="47">
        <v>-3890053.3492063493</v>
      </c>
      <c r="AY192" s="47">
        <v>-3890053.3492063493</v>
      </c>
      <c r="AZ192" s="58">
        <f t="shared" si="9"/>
        <v>-46680640.190476201</v>
      </c>
      <c r="BA192" s="47">
        <f>Y192+SUM($AM192:AM192)</f>
        <v>490146722</v>
      </c>
      <c r="BB192" s="48">
        <f>Z192+SUM($AM192:AN192)</f>
        <v>486256668.65079367</v>
      </c>
      <c r="BC192" s="48">
        <f>AA192+SUM($AM192:AO192)</f>
        <v>482366615.30158728</v>
      </c>
      <c r="BD192" s="48">
        <f>AB192+SUM($AM192:AP192)</f>
        <v>478476561.9523809</v>
      </c>
      <c r="BE192" s="48">
        <f>AC192+SUM($AM192:AQ192)</f>
        <v>474586508.60317457</v>
      </c>
      <c r="BF192" s="48">
        <f>AD192+SUM($AM192:AR192)</f>
        <v>470696455.25396824</v>
      </c>
      <c r="BG192" s="48">
        <f>AE192+SUM($AM192:AS192)</f>
        <v>466806401.90476185</v>
      </c>
      <c r="BH192" s="48">
        <f>AF192+SUM($AM192:AT192)</f>
        <v>462916348.55555546</v>
      </c>
      <c r="BI192" s="48">
        <f>AG192+SUM($AM192:AU192)</f>
        <v>459026295.20634913</v>
      </c>
      <c r="BJ192" s="48">
        <f>AH192+SUM($AM192:AV192)</f>
        <v>455136241.85714281</v>
      </c>
      <c r="BK192" s="48">
        <f>AI192+SUM($AM192:AW192)</f>
        <v>451246188.50793642</v>
      </c>
      <c r="BL192" s="48">
        <f>AJ192+SUM($AM192:AX192)</f>
        <v>447356135.15873003</v>
      </c>
      <c r="BM192" s="48">
        <f>AK192+SUM($AM192:AY192)</f>
        <v>443466081.8095237</v>
      </c>
      <c r="BO192" s="47"/>
    </row>
    <row r="193" spans="3:67" s="41" customFormat="1" hidden="1" x14ac:dyDescent="0.3">
      <c r="C193" s="41" t="s">
        <v>1340</v>
      </c>
      <c r="D193" s="42" t="s">
        <v>338</v>
      </c>
      <c r="E193" s="42" t="str">
        <f t="shared" si="7"/>
        <v>211</v>
      </c>
      <c r="F193" s="41" t="str">
        <f>_xlfn.XLOOKUP($D193,MD_Account_Asset_Type[Nhóm tài sản],MD_Account_Asset_Type[Tên Nhóm tài sản])</f>
        <v>Máy móc, thiết bị - SX 627</v>
      </c>
      <c r="G193" s="41" t="str">
        <f>_xlfn.XLOOKUP($D193,MD_Account_Asset_Type[Nhóm tài sản],MD_Account_Asset_Type[Tên nhóm TS-Rút gọn])</f>
        <v>Máy móc thiết bị</v>
      </c>
      <c r="H193" s="41" t="str">
        <f>_xlfn.XLOOKUP($D193,MD_Account_Asset_Type[Nhóm tài sản],MD_Account_Asset_Type[Tên nhóm TS-Rút gọn-v2])</f>
        <v>Máy móc thiết bị</v>
      </c>
      <c r="I193" s="43" t="s">
        <v>922</v>
      </c>
      <c r="J193" s="42" t="s">
        <v>684</v>
      </c>
      <c r="K193" s="41" t="s">
        <v>502</v>
      </c>
      <c r="L193" s="42" t="s">
        <v>81</v>
      </c>
      <c r="M193" s="42" t="s">
        <v>156</v>
      </c>
      <c r="N193" s="44">
        <v>0</v>
      </c>
      <c r="O193" s="44"/>
      <c r="P193" s="41" t="s">
        <v>462</v>
      </c>
      <c r="Q193" s="41" t="str">
        <f t="shared" si="8"/>
        <v>627</v>
      </c>
      <c r="R193" s="41" t="str">
        <f>_xlfn.XLOOKUP($L193,MD_Cost_Center[Mã Cost Center],MD_Cost_Center[Ngành])</f>
        <v>PET</v>
      </c>
      <c r="S193" s="41" t="str">
        <f>_xlfn.XLOOKUP($L193,MD_Cost_Center[Mã Cost Center],MD_Cost_Center[Ngành-Tách PET-Xơ sợi])</f>
        <v>Chung</v>
      </c>
      <c r="T193" s="45">
        <v>45474</v>
      </c>
      <c r="U193" s="46">
        <v>47300</v>
      </c>
      <c r="V193" s="47">
        <v>144</v>
      </c>
      <c r="W193" s="47">
        <v>193200000</v>
      </c>
      <c r="X193" s="47">
        <v>-1073333.3333333333</v>
      </c>
      <c r="Y193" s="47">
        <v>193200000</v>
      </c>
      <c r="Z193" s="47">
        <v>193200000</v>
      </c>
      <c r="AA193" s="47">
        <v>193200000</v>
      </c>
      <c r="AB193" s="47">
        <v>193200000</v>
      </c>
      <c r="AC193" s="47">
        <v>193200000</v>
      </c>
      <c r="AD193" s="47">
        <v>193200000</v>
      </c>
      <c r="AE193" s="47">
        <v>193200000</v>
      </c>
      <c r="AF193" s="47">
        <v>193200000</v>
      </c>
      <c r="AG193" s="47">
        <v>193200000</v>
      </c>
      <c r="AH193" s="47">
        <v>193200000</v>
      </c>
      <c r="AI193" s="47">
        <v>193200000</v>
      </c>
      <c r="AJ193" s="47">
        <v>193200000</v>
      </c>
      <c r="AK193" s="47">
        <v>193200000</v>
      </c>
      <c r="AL193" s="47">
        <v>-38640000</v>
      </c>
      <c r="AM193" s="47">
        <v>-57960000</v>
      </c>
      <c r="AN193" s="47">
        <v>-1073333.3333333333</v>
      </c>
      <c r="AO193" s="47">
        <v>-1073333.3333333333</v>
      </c>
      <c r="AP193" s="47">
        <v>-1073333.3333333333</v>
      </c>
      <c r="AQ193" s="47">
        <v>-1073333.3333333333</v>
      </c>
      <c r="AR193" s="47">
        <v>-1073333.3333333333</v>
      </c>
      <c r="AS193" s="47">
        <v>-1073333.3333333333</v>
      </c>
      <c r="AT193" s="47">
        <v>-1073333.3333333333</v>
      </c>
      <c r="AU193" s="47">
        <v>-1073333.3333333333</v>
      </c>
      <c r="AV193" s="47">
        <v>-1073333.3333333333</v>
      </c>
      <c r="AW193" s="47">
        <v>-1073333.3333333333</v>
      </c>
      <c r="AX193" s="47">
        <v>-1073333.3333333333</v>
      </c>
      <c r="AY193" s="47">
        <v>-1073333.3333333333</v>
      </c>
      <c r="AZ193" s="58">
        <f t="shared" si="9"/>
        <v>-12880000.000000002</v>
      </c>
      <c r="BA193" s="47">
        <f>Y193+SUM($AM193:AM193)</f>
        <v>135240000</v>
      </c>
      <c r="BB193" s="48">
        <f>Z193+SUM($AM193:AN193)</f>
        <v>134166666.66666666</v>
      </c>
      <c r="BC193" s="48">
        <f>AA193+SUM($AM193:AO193)</f>
        <v>133093333.33333333</v>
      </c>
      <c r="BD193" s="48">
        <f>AB193+SUM($AM193:AP193)</f>
        <v>132020000</v>
      </c>
      <c r="BE193" s="48">
        <f>AC193+SUM($AM193:AQ193)</f>
        <v>130946666.66666666</v>
      </c>
      <c r="BF193" s="48">
        <f>AD193+SUM($AM193:AR193)</f>
        <v>129873333.33333331</v>
      </c>
      <c r="BG193" s="48">
        <f>AE193+SUM($AM193:AS193)</f>
        <v>128799999.99999999</v>
      </c>
      <c r="BH193" s="48">
        <f>AF193+SUM($AM193:AT193)</f>
        <v>127726666.66666666</v>
      </c>
      <c r="BI193" s="48">
        <f>AG193+SUM($AM193:AU193)</f>
        <v>126653333.33333331</v>
      </c>
      <c r="BJ193" s="48">
        <f>AH193+SUM($AM193:AV193)</f>
        <v>125579999.99999999</v>
      </c>
      <c r="BK193" s="48">
        <f>AI193+SUM($AM193:AW193)</f>
        <v>124506666.66666666</v>
      </c>
      <c r="BL193" s="48">
        <f>AJ193+SUM($AM193:AX193)</f>
        <v>123433333.33333333</v>
      </c>
      <c r="BM193" s="48">
        <f>AK193+SUM($AM193:AY193)</f>
        <v>122360000</v>
      </c>
      <c r="BO193" s="47"/>
    </row>
    <row r="194" spans="3:67" s="41" customFormat="1" hidden="1" x14ac:dyDescent="0.3">
      <c r="C194" s="41" t="s">
        <v>1340</v>
      </c>
      <c r="D194" s="42" t="s">
        <v>338</v>
      </c>
      <c r="E194" s="42" t="str">
        <f t="shared" si="7"/>
        <v>211</v>
      </c>
      <c r="F194" s="41" t="str">
        <f>_xlfn.XLOOKUP($D194,MD_Account_Asset_Type[Nhóm tài sản],MD_Account_Asset_Type[Tên Nhóm tài sản])</f>
        <v>Máy móc, thiết bị - SX 627</v>
      </c>
      <c r="G194" s="41" t="str">
        <f>_xlfn.XLOOKUP($D194,MD_Account_Asset_Type[Nhóm tài sản],MD_Account_Asset_Type[Tên nhóm TS-Rút gọn])</f>
        <v>Máy móc thiết bị</v>
      </c>
      <c r="H194" s="41" t="str">
        <f>_xlfn.XLOOKUP($D194,MD_Account_Asset_Type[Nhóm tài sản],MD_Account_Asset_Type[Tên nhóm TS-Rút gọn-v2])</f>
        <v>Máy móc thiết bị</v>
      </c>
      <c r="I194" s="43" t="s">
        <v>923</v>
      </c>
      <c r="J194" s="42" t="s">
        <v>685</v>
      </c>
      <c r="K194" s="41" t="s">
        <v>502</v>
      </c>
      <c r="L194" s="42" t="s">
        <v>46</v>
      </c>
      <c r="M194" s="42" t="s">
        <v>121</v>
      </c>
      <c r="N194" s="44">
        <v>0</v>
      </c>
      <c r="O194" s="44"/>
      <c r="P194" s="41" t="s">
        <v>462</v>
      </c>
      <c r="Q194" s="41" t="str">
        <f t="shared" si="8"/>
        <v>627</v>
      </c>
      <c r="R194" s="41" t="str">
        <f>_xlfn.XLOOKUP($L194,MD_Cost_Center[Mã Cost Center],MD_Cost_Center[Ngành])</f>
        <v>Chung</v>
      </c>
      <c r="S194" s="41" t="str">
        <f>_xlfn.XLOOKUP($L194,MD_Cost_Center[Mã Cost Center],MD_Cost_Center[Ngành-Tách PET-Xơ sợi])</f>
        <v>Chung</v>
      </c>
      <c r="T194" s="45">
        <v>45689</v>
      </c>
      <c r="U194" s="46">
        <v>46784</v>
      </c>
      <c r="V194" s="47">
        <v>144</v>
      </c>
      <c r="W194" s="47">
        <v>36200000</v>
      </c>
      <c r="X194" s="47">
        <v>-189014.20300751881</v>
      </c>
      <c r="Y194" s="47">
        <v>36200000</v>
      </c>
      <c r="Z194" s="47">
        <v>36200000</v>
      </c>
      <c r="AA194" s="47">
        <v>36200000</v>
      </c>
      <c r="AB194" s="47">
        <v>36200000</v>
      </c>
      <c r="AC194" s="47">
        <v>36200000</v>
      </c>
      <c r="AD194" s="47">
        <v>36200000</v>
      </c>
      <c r="AE194" s="47">
        <v>36200000</v>
      </c>
      <c r="AF194" s="47">
        <v>36200000</v>
      </c>
      <c r="AG194" s="47">
        <v>36200000</v>
      </c>
      <c r="AH194" s="47">
        <v>36200000</v>
      </c>
      <c r="AI194" s="47">
        <v>36200000</v>
      </c>
      <c r="AJ194" s="47">
        <v>36200000</v>
      </c>
      <c r="AK194" s="47">
        <v>36200000</v>
      </c>
      <c r="AL194" s="47">
        <v>-11061111</v>
      </c>
      <c r="AM194" s="47">
        <v>-11061111</v>
      </c>
      <c r="AN194" s="47">
        <v>-189014.20300751881</v>
      </c>
      <c r="AO194" s="47">
        <v>-189014.20300751881</v>
      </c>
      <c r="AP194" s="47">
        <v>-189014.20300751881</v>
      </c>
      <c r="AQ194" s="47">
        <v>-189014.20300751881</v>
      </c>
      <c r="AR194" s="47">
        <v>-189014.20300751881</v>
      </c>
      <c r="AS194" s="47">
        <v>-189014.20300751881</v>
      </c>
      <c r="AT194" s="47">
        <v>-189014.20300751881</v>
      </c>
      <c r="AU194" s="47">
        <v>-189014.20300751881</v>
      </c>
      <c r="AV194" s="47">
        <v>-189014.20300751881</v>
      </c>
      <c r="AW194" s="47">
        <v>-189014.20300751881</v>
      </c>
      <c r="AX194" s="47">
        <v>-189014.20300751881</v>
      </c>
      <c r="AY194" s="47">
        <v>-189014.20300751881</v>
      </c>
      <c r="AZ194" s="58">
        <f t="shared" si="9"/>
        <v>-2268170.4360902258</v>
      </c>
      <c r="BA194" s="47">
        <f>Y194+SUM($AM194:AM194)</f>
        <v>25138889</v>
      </c>
      <c r="BB194" s="48">
        <f>Z194+SUM($AM194:AN194)</f>
        <v>24949874.796992481</v>
      </c>
      <c r="BC194" s="48">
        <f>AA194+SUM($AM194:AO194)</f>
        <v>24760860.593984962</v>
      </c>
      <c r="BD194" s="48">
        <f>AB194+SUM($AM194:AP194)</f>
        <v>24571846.390977442</v>
      </c>
      <c r="BE194" s="48">
        <f>AC194+SUM($AM194:AQ194)</f>
        <v>24382832.187969923</v>
      </c>
      <c r="BF194" s="48">
        <f>AD194+SUM($AM194:AR194)</f>
        <v>24193817.984962404</v>
      </c>
      <c r="BG194" s="48">
        <f>AE194+SUM($AM194:AS194)</f>
        <v>24004803.781954885</v>
      </c>
      <c r="BH194" s="48">
        <f>AF194+SUM($AM194:AT194)</f>
        <v>23815789.578947365</v>
      </c>
      <c r="BI194" s="48">
        <f>AG194+SUM($AM194:AU194)</f>
        <v>23626775.375939846</v>
      </c>
      <c r="BJ194" s="48">
        <f>AH194+SUM($AM194:AV194)</f>
        <v>23437761.172932327</v>
      </c>
      <c r="BK194" s="48">
        <f>AI194+SUM($AM194:AW194)</f>
        <v>23248746.969924808</v>
      </c>
      <c r="BL194" s="48">
        <f>AJ194+SUM($AM194:AX194)</f>
        <v>23059732.766917288</v>
      </c>
      <c r="BM194" s="48">
        <f>AK194+SUM($AM194:AY194)</f>
        <v>22870718.563909769</v>
      </c>
      <c r="BO194" s="47"/>
    </row>
    <row r="195" spans="3:67" s="41" customFormat="1" hidden="1" x14ac:dyDescent="0.3">
      <c r="C195" s="41" t="s">
        <v>1340</v>
      </c>
      <c r="D195" s="42" t="s">
        <v>338</v>
      </c>
      <c r="E195" s="42" t="str">
        <f t="shared" si="7"/>
        <v>211</v>
      </c>
      <c r="F195" s="41" t="str">
        <f>_xlfn.XLOOKUP($D195,MD_Account_Asset_Type[Nhóm tài sản],MD_Account_Asset_Type[Tên Nhóm tài sản])</f>
        <v>Máy móc, thiết bị - SX 627</v>
      </c>
      <c r="G195" s="41" t="str">
        <f>_xlfn.XLOOKUP($D195,MD_Account_Asset_Type[Nhóm tài sản],MD_Account_Asset_Type[Tên nhóm TS-Rút gọn])</f>
        <v>Máy móc thiết bị</v>
      </c>
      <c r="H195" s="41" t="str">
        <f>_xlfn.XLOOKUP($D195,MD_Account_Asset_Type[Nhóm tài sản],MD_Account_Asset_Type[Tên nhóm TS-Rút gọn-v2])</f>
        <v>Máy móc thiết bị</v>
      </c>
      <c r="I195" s="43" t="s">
        <v>924</v>
      </c>
      <c r="J195" s="42" t="s">
        <v>686</v>
      </c>
      <c r="K195" s="41" t="s">
        <v>830</v>
      </c>
      <c r="L195" s="42" t="s">
        <v>74</v>
      </c>
      <c r="M195" s="42" t="s">
        <v>149</v>
      </c>
      <c r="N195" s="44" t="s">
        <v>267</v>
      </c>
      <c r="O195" s="44"/>
      <c r="P195" s="41" t="s">
        <v>462</v>
      </c>
      <c r="Q195" s="41" t="str">
        <f t="shared" si="8"/>
        <v>627</v>
      </c>
      <c r="R195" s="41" t="str">
        <f>_xlfn.XLOOKUP($L195,MD_Cost_Center[Mã Cost Center],MD_Cost_Center[Ngành])</f>
        <v>PET</v>
      </c>
      <c r="S195" s="41" t="str">
        <f>_xlfn.XLOOKUP($L195,MD_Cost_Center[Mã Cost Center],MD_Cost_Center[Ngành-Tách PET-Xơ sợi])</f>
        <v>Xơ sợi</v>
      </c>
      <c r="T195" s="45">
        <v>45536</v>
      </c>
      <c r="U195" s="46">
        <v>47362</v>
      </c>
      <c r="V195" s="47">
        <v>144</v>
      </c>
      <c r="W195" s="47">
        <v>1128375223</v>
      </c>
      <c r="X195" s="47">
        <v>-6464649.7109375</v>
      </c>
      <c r="Y195" s="47">
        <v>1128375223</v>
      </c>
      <c r="Z195" s="47">
        <v>1128375223</v>
      </c>
      <c r="AA195" s="47">
        <v>1128375223</v>
      </c>
      <c r="AB195" s="47">
        <v>1128375223</v>
      </c>
      <c r="AC195" s="47">
        <v>1128375223</v>
      </c>
      <c r="AD195" s="47">
        <v>1128375223</v>
      </c>
      <c r="AE195" s="47">
        <v>1128375223</v>
      </c>
      <c r="AF195" s="47">
        <v>1128375223</v>
      </c>
      <c r="AG195" s="47">
        <v>1128375223</v>
      </c>
      <c r="AH195" s="47">
        <v>1128375223</v>
      </c>
      <c r="AI195" s="47">
        <v>1128375223</v>
      </c>
      <c r="AJ195" s="47">
        <v>1128375223</v>
      </c>
      <c r="AK195" s="47">
        <v>1128375223</v>
      </c>
      <c r="AL195" s="47">
        <v>-225675045</v>
      </c>
      <c r="AM195" s="47">
        <v>-300900060</v>
      </c>
      <c r="AN195" s="47">
        <v>-6464649.7109375</v>
      </c>
      <c r="AO195" s="47">
        <v>-6464649.7109375</v>
      </c>
      <c r="AP195" s="47">
        <v>-6464649.7109375</v>
      </c>
      <c r="AQ195" s="47">
        <v>-6464649.7109375</v>
      </c>
      <c r="AR195" s="47">
        <v>-6464649.7109375</v>
      </c>
      <c r="AS195" s="47">
        <v>-6464649.7109375</v>
      </c>
      <c r="AT195" s="47">
        <v>-6464649.7109375</v>
      </c>
      <c r="AU195" s="47">
        <v>-6464649.7109375</v>
      </c>
      <c r="AV195" s="47">
        <v>-6464649.7109375</v>
      </c>
      <c r="AW195" s="47">
        <v>-6464649.7109375</v>
      </c>
      <c r="AX195" s="47">
        <v>-6464649.7109375</v>
      </c>
      <c r="AY195" s="47">
        <v>-6464649.7109375</v>
      </c>
      <c r="AZ195" s="58">
        <f t="shared" si="9"/>
        <v>-77575796.53125</v>
      </c>
      <c r="BA195" s="47">
        <f>Y195+SUM($AM195:AM195)</f>
        <v>827475163</v>
      </c>
      <c r="BB195" s="48">
        <f>Z195+SUM($AM195:AN195)</f>
        <v>821010513.2890625</v>
      </c>
      <c r="BC195" s="48">
        <f>AA195+SUM($AM195:AO195)</f>
        <v>814545863.578125</v>
      </c>
      <c r="BD195" s="48">
        <f>AB195+SUM($AM195:AP195)</f>
        <v>808081213.8671875</v>
      </c>
      <c r="BE195" s="48">
        <f>AC195+SUM($AM195:AQ195)</f>
        <v>801616564.15625</v>
      </c>
      <c r="BF195" s="48">
        <f>AD195+SUM($AM195:AR195)</f>
        <v>795151914.4453125</v>
      </c>
      <c r="BG195" s="48">
        <f>AE195+SUM($AM195:AS195)</f>
        <v>788687264.734375</v>
      </c>
      <c r="BH195" s="48">
        <f>AF195+SUM($AM195:AT195)</f>
        <v>782222615.0234375</v>
      </c>
      <c r="BI195" s="48">
        <f>AG195+SUM($AM195:AU195)</f>
        <v>775757965.3125</v>
      </c>
      <c r="BJ195" s="48">
        <f>AH195+SUM($AM195:AV195)</f>
        <v>769293315.6015625</v>
      </c>
      <c r="BK195" s="48">
        <f>AI195+SUM($AM195:AW195)</f>
        <v>762828665.890625</v>
      </c>
      <c r="BL195" s="48">
        <f>AJ195+SUM($AM195:AX195)</f>
        <v>756364016.1796875</v>
      </c>
      <c r="BM195" s="48">
        <f>AK195+SUM($AM195:AY195)</f>
        <v>749899366.46875</v>
      </c>
      <c r="BO195" s="47"/>
    </row>
    <row r="196" spans="3:67" s="41" customFormat="1" hidden="1" x14ac:dyDescent="0.3">
      <c r="C196" s="41" t="s">
        <v>1340</v>
      </c>
      <c r="D196" s="42" t="s">
        <v>338</v>
      </c>
      <c r="E196" s="42" t="str">
        <f t="shared" si="7"/>
        <v>211</v>
      </c>
      <c r="F196" s="41" t="str">
        <f>_xlfn.XLOOKUP($D196,MD_Account_Asset_Type[Nhóm tài sản],MD_Account_Asset_Type[Tên Nhóm tài sản])</f>
        <v>Máy móc, thiết bị - SX 627</v>
      </c>
      <c r="G196" s="41" t="str">
        <f>_xlfn.XLOOKUP($D196,MD_Account_Asset_Type[Nhóm tài sản],MD_Account_Asset_Type[Tên nhóm TS-Rút gọn])</f>
        <v>Máy móc thiết bị</v>
      </c>
      <c r="H196" s="41" t="str">
        <f>_xlfn.XLOOKUP($D196,MD_Account_Asset_Type[Nhóm tài sản],MD_Account_Asset_Type[Tên nhóm TS-Rút gọn-v2])</f>
        <v>Máy móc thiết bị</v>
      </c>
      <c r="I196" s="43" t="s">
        <v>925</v>
      </c>
      <c r="J196" s="42" t="s">
        <v>687</v>
      </c>
      <c r="K196" s="41" t="s">
        <v>830</v>
      </c>
      <c r="L196" s="42" t="s">
        <v>73</v>
      </c>
      <c r="M196" s="42" t="s">
        <v>148</v>
      </c>
      <c r="N196" s="44" t="s">
        <v>266</v>
      </c>
      <c r="O196" s="44"/>
      <c r="P196" s="41" t="s">
        <v>462</v>
      </c>
      <c r="Q196" s="41" t="str">
        <f t="shared" si="8"/>
        <v>627</v>
      </c>
      <c r="R196" s="41" t="str">
        <f>_xlfn.XLOOKUP($L196,MD_Cost_Center[Mã Cost Center],MD_Cost_Center[Ngành])</f>
        <v>HD/PP</v>
      </c>
      <c r="S196" s="41" t="str">
        <f>_xlfn.XLOOKUP($L196,MD_Cost_Center[Mã Cost Center],MD_Cost_Center[Ngành-Tách PET-Xơ sợi])</f>
        <v>HD/PP</v>
      </c>
      <c r="T196" s="45">
        <v>45536</v>
      </c>
      <c r="U196" s="46">
        <v>47362</v>
      </c>
      <c r="V196" s="47">
        <v>144</v>
      </c>
      <c r="W196" s="47">
        <v>936402136</v>
      </c>
      <c r="X196" s="47">
        <v>-5364803.90625</v>
      </c>
      <c r="Y196" s="47">
        <v>936402136</v>
      </c>
      <c r="Z196" s="47">
        <v>936402136</v>
      </c>
      <c r="AA196" s="47">
        <v>936402136</v>
      </c>
      <c r="AB196" s="47">
        <v>936402136</v>
      </c>
      <c r="AC196" s="47">
        <v>936402136</v>
      </c>
      <c r="AD196" s="47">
        <v>936402136</v>
      </c>
      <c r="AE196" s="47">
        <v>936402136</v>
      </c>
      <c r="AF196" s="47">
        <v>936402136</v>
      </c>
      <c r="AG196" s="47">
        <v>936402136</v>
      </c>
      <c r="AH196" s="47">
        <v>936402136</v>
      </c>
      <c r="AI196" s="47">
        <v>936402136</v>
      </c>
      <c r="AJ196" s="47">
        <v>936402136</v>
      </c>
      <c r="AK196" s="47">
        <v>936402136</v>
      </c>
      <c r="AL196" s="47">
        <v>-187280427</v>
      </c>
      <c r="AM196" s="47">
        <v>-249707236</v>
      </c>
      <c r="AN196" s="47">
        <v>-5364803.90625</v>
      </c>
      <c r="AO196" s="47">
        <v>-5364803.90625</v>
      </c>
      <c r="AP196" s="47">
        <v>-5364803.90625</v>
      </c>
      <c r="AQ196" s="47">
        <v>-5364803.90625</v>
      </c>
      <c r="AR196" s="47">
        <v>-5364803.90625</v>
      </c>
      <c r="AS196" s="47">
        <v>-5364803.90625</v>
      </c>
      <c r="AT196" s="47">
        <v>-5364803.90625</v>
      </c>
      <c r="AU196" s="47">
        <v>-5364803.90625</v>
      </c>
      <c r="AV196" s="47">
        <v>-5364803.90625</v>
      </c>
      <c r="AW196" s="47">
        <v>-5364803.90625</v>
      </c>
      <c r="AX196" s="47">
        <v>-5364803.90625</v>
      </c>
      <c r="AY196" s="47">
        <v>-5364803.90625</v>
      </c>
      <c r="AZ196" s="58">
        <f t="shared" si="9"/>
        <v>-64377646.875</v>
      </c>
      <c r="BA196" s="47">
        <f>Y196+SUM($AM196:AM196)</f>
        <v>686694900</v>
      </c>
      <c r="BB196" s="48">
        <f>Z196+SUM($AM196:AN196)</f>
        <v>681330096.09375</v>
      </c>
      <c r="BC196" s="48">
        <f>AA196+SUM($AM196:AO196)</f>
        <v>675965292.1875</v>
      </c>
      <c r="BD196" s="48">
        <f>AB196+SUM($AM196:AP196)</f>
        <v>670600488.28125</v>
      </c>
      <c r="BE196" s="48">
        <f>AC196+SUM($AM196:AQ196)</f>
        <v>665235684.375</v>
      </c>
      <c r="BF196" s="48">
        <f>AD196+SUM($AM196:AR196)</f>
        <v>659870880.46875</v>
      </c>
      <c r="BG196" s="48">
        <f>AE196+SUM($AM196:AS196)</f>
        <v>654506076.5625</v>
      </c>
      <c r="BH196" s="48">
        <f>AF196+SUM($AM196:AT196)</f>
        <v>649141272.65625</v>
      </c>
      <c r="BI196" s="48">
        <f>AG196+SUM($AM196:AU196)</f>
        <v>643776468.75</v>
      </c>
      <c r="BJ196" s="48">
        <f>AH196+SUM($AM196:AV196)</f>
        <v>638411664.84375</v>
      </c>
      <c r="BK196" s="48">
        <f>AI196+SUM($AM196:AW196)</f>
        <v>633046860.9375</v>
      </c>
      <c r="BL196" s="48">
        <f>AJ196+SUM($AM196:AX196)</f>
        <v>627682057.03125</v>
      </c>
      <c r="BM196" s="48">
        <f>AK196+SUM($AM196:AY196)</f>
        <v>622317253.125</v>
      </c>
      <c r="BO196" s="47"/>
    </row>
    <row r="197" spans="3:67" s="41" customFormat="1" hidden="1" x14ac:dyDescent="0.3">
      <c r="C197" s="41" t="s">
        <v>1340</v>
      </c>
      <c r="D197" s="42" t="s">
        <v>338</v>
      </c>
      <c r="E197" s="42" t="str">
        <f t="shared" si="7"/>
        <v>211</v>
      </c>
      <c r="F197" s="41" t="str">
        <f>_xlfn.XLOOKUP($D197,MD_Account_Asset_Type[Nhóm tài sản],MD_Account_Asset_Type[Tên Nhóm tài sản])</f>
        <v>Máy móc, thiết bị - SX 627</v>
      </c>
      <c r="G197" s="41" t="str">
        <f>_xlfn.XLOOKUP($D197,MD_Account_Asset_Type[Nhóm tài sản],MD_Account_Asset_Type[Tên nhóm TS-Rút gọn])</f>
        <v>Máy móc thiết bị</v>
      </c>
      <c r="H197" s="41" t="str">
        <f>_xlfn.XLOOKUP($D197,MD_Account_Asset_Type[Nhóm tài sản],MD_Account_Asset_Type[Tên nhóm TS-Rút gọn-v2])</f>
        <v>Máy móc thiết bị</v>
      </c>
      <c r="I197" s="43" t="s">
        <v>926</v>
      </c>
      <c r="J197" s="42" t="s">
        <v>688</v>
      </c>
      <c r="K197" s="41" t="s">
        <v>830</v>
      </c>
      <c r="L197" s="42" t="s">
        <v>95</v>
      </c>
      <c r="M197" s="42" t="s">
        <v>170</v>
      </c>
      <c r="N197" s="44" t="s">
        <v>281</v>
      </c>
      <c r="O197" s="44"/>
      <c r="P197" s="41" t="s">
        <v>462</v>
      </c>
      <c r="Q197" s="41" t="str">
        <f t="shared" si="8"/>
        <v>627</v>
      </c>
      <c r="R197" s="41" t="str">
        <f>_xlfn.XLOOKUP($L197,MD_Cost_Center[Mã Cost Center],MD_Cost_Center[Ngành])</f>
        <v>PET</v>
      </c>
      <c r="S197" s="41" t="str">
        <f>_xlfn.XLOOKUP($L197,MD_Cost_Center[Mã Cost Center],MD_Cost_Center[Ngành-Tách PET-Xơ sợi])</f>
        <v>Chung-PET</v>
      </c>
      <c r="T197" s="45">
        <v>45536</v>
      </c>
      <c r="U197" s="46">
        <v>47362</v>
      </c>
      <c r="V197" s="47">
        <v>144</v>
      </c>
      <c r="W197" s="47">
        <v>1896886694</v>
      </c>
      <c r="X197" s="47">
        <v>-10867580.015625</v>
      </c>
      <c r="Y197" s="47">
        <v>1896886694</v>
      </c>
      <c r="Z197" s="47">
        <v>1896886694</v>
      </c>
      <c r="AA197" s="47">
        <v>1896886694</v>
      </c>
      <c r="AB197" s="47">
        <v>1896886694</v>
      </c>
      <c r="AC197" s="47">
        <v>1896886694</v>
      </c>
      <c r="AD197" s="47">
        <v>1896886694</v>
      </c>
      <c r="AE197" s="47">
        <v>1896886694</v>
      </c>
      <c r="AF197" s="47">
        <v>1896886694</v>
      </c>
      <c r="AG197" s="47">
        <v>1896886694</v>
      </c>
      <c r="AH197" s="47">
        <v>1896886694</v>
      </c>
      <c r="AI197" s="47">
        <v>1896886694</v>
      </c>
      <c r="AJ197" s="47">
        <v>1896886694</v>
      </c>
      <c r="AK197" s="47">
        <v>1896886694</v>
      </c>
      <c r="AL197" s="47">
        <v>-379377339</v>
      </c>
      <c r="AM197" s="47">
        <v>-505836452</v>
      </c>
      <c r="AN197" s="47">
        <v>-10867580.015625</v>
      </c>
      <c r="AO197" s="47">
        <v>-10867580.015625</v>
      </c>
      <c r="AP197" s="47">
        <v>-10867580.015625</v>
      </c>
      <c r="AQ197" s="47">
        <v>-10867580.015625</v>
      </c>
      <c r="AR197" s="47">
        <v>-10867580.015625</v>
      </c>
      <c r="AS197" s="47">
        <v>-10867580.015625</v>
      </c>
      <c r="AT197" s="47">
        <v>-10867580.015625</v>
      </c>
      <c r="AU197" s="47">
        <v>-10867580.015625</v>
      </c>
      <c r="AV197" s="47">
        <v>-10867580.015625</v>
      </c>
      <c r="AW197" s="47">
        <v>-10867580.015625</v>
      </c>
      <c r="AX197" s="47">
        <v>-10867580.015625</v>
      </c>
      <c r="AY197" s="47">
        <v>-10867580.015625</v>
      </c>
      <c r="AZ197" s="58">
        <f t="shared" si="9"/>
        <v>-130410960.1875</v>
      </c>
      <c r="BA197" s="47">
        <f>Y197+SUM($AM197:AM197)</f>
        <v>1391050242</v>
      </c>
      <c r="BB197" s="48">
        <f>Z197+SUM($AM197:AN197)</f>
        <v>1380182661.984375</v>
      </c>
      <c r="BC197" s="48">
        <f>AA197+SUM($AM197:AO197)</f>
        <v>1369315081.96875</v>
      </c>
      <c r="BD197" s="48">
        <f>AB197+SUM($AM197:AP197)</f>
        <v>1358447501.953125</v>
      </c>
      <c r="BE197" s="48">
        <f>AC197+SUM($AM197:AQ197)</f>
        <v>1347579921.9375</v>
      </c>
      <c r="BF197" s="48">
        <f>AD197+SUM($AM197:AR197)</f>
        <v>1336712341.921875</v>
      </c>
      <c r="BG197" s="48">
        <f>AE197+SUM($AM197:AS197)</f>
        <v>1325844761.90625</v>
      </c>
      <c r="BH197" s="48">
        <f>AF197+SUM($AM197:AT197)</f>
        <v>1314977181.890625</v>
      </c>
      <c r="BI197" s="48">
        <f>AG197+SUM($AM197:AU197)</f>
        <v>1304109601.875</v>
      </c>
      <c r="BJ197" s="48">
        <f>AH197+SUM($AM197:AV197)</f>
        <v>1293242021.859375</v>
      </c>
      <c r="BK197" s="48">
        <f>AI197+SUM($AM197:AW197)</f>
        <v>1282374441.84375</v>
      </c>
      <c r="BL197" s="48">
        <f>AJ197+SUM($AM197:AX197)</f>
        <v>1271506861.828125</v>
      </c>
      <c r="BM197" s="48">
        <f>AK197+SUM($AM197:AY197)</f>
        <v>1260639281.8125</v>
      </c>
      <c r="BO197" s="47"/>
    </row>
    <row r="198" spans="3:67" s="41" customFormat="1" hidden="1" x14ac:dyDescent="0.3">
      <c r="C198" s="41" t="s">
        <v>1340</v>
      </c>
      <c r="D198" s="42" t="s">
        <v>338</v>
      </c>
      <c r="E198" s="42" t="str">
        <f t="shared" si="7"/>
        <v>211</v>
      </c>
      <c r="F198" s="41" t="str">
        <f>_xlfn.XLOOKUP($D198,MD_Account_Asset_Type[Nhóm tài sản],MD_Account_Asset_Type[Tên Nhóm tài sản])</f>
        <v>Máy móc, thiết bị - SX 627</v>
      </c>
      <c r="G198" s="41" t="str">
        <f>_xlfn.XLOOKUP($D198,MD_Account_Asset_Type[Nhóm tài sản],MD_Account_Asset_Type[Tên nhóm TS-Rút gọn])</f>
        <v>Máy móc thiết bị</v>
      </c>
      <c r="H198" s="41" t="str">
        <f>_xlfn.XLOOKUP($D198,MD_Account_Asset_Type[Nhóm tài sản],MD_Account_Asset_Type[Tên nhóm TS-Rút gọn-v2])</f>
        <v>Máy móc thiết bị</v>
      </c>
      <c r="I198" s="43" t="s">
        <v>927</v>
      </c>
      <c r="J198" s="42" t="s">
        <v>689</v>
      </c>
      <c r="K198" s="41" t="s">
        <v>830</v>
      </c>
      <c r="L198" s="42" t="s">
        <v>48</v>
      </c>
      <c r="M198" s="42" t="s">
        <v>123</v>
      </c>
      <c r="N198" s="44">
        <v>0</v>
      </c>
      <c r="O198" s="44"/>
      <c r="P198" s="41" t="s">
        <v>462</v>
      </c>
      <c r="Q198" s="41" t="str">
        <f t="shared" si="8"/>
        <v>627</v>
      </c>
      <c r="R198" s="41" t="str">
        <f>_xlfn.XLOOKUP($L198,MD_Cost_Center[Mã Cost Center],MD_Cost_Center[Ngành])</f>
        <v>PET</v>
      </c>
      <c r="S198" s="41" t="str">
        <f>_xlfn.XLOOKUP($L198,MD_Cost_Center[Mã Cost Center],MD_Cost_Center[Ngành-Tách PET-Xơ sợi])</f>
        <v>Chung-PET</v>
      </c>
      <c r="T198" s="45">
        <v>45536</v>
      </c>
      <c r="U198" s="46">
        <v>48458</v>
      </c>
      <c r="V198" s="47">
        <v>144</v>
      </c>
      <c r="W198" s="47">
        <v>7378320048</v>
      </c>
      <c r="X198" s="47">
        <v>-48035937.8125</v>
      </c>
      <c r="Y198" s="47">
        <v>7378320048</v>
      </c>
      <c r="Z198" s="47">
        <v>7378320048</v>
      </c>
      <c r="AA198" s="47">
        <v>7378320048</v>
      </c>
      <c r="AB198" s="47">
        <v>7378320048</v>
      </c>
      <c r="AC198" s="47">
        <v>7378320048</v>
      </c>
      <c r="AD198" s="47">
        <v>7378320048</v>
      </c>
      <c r="AE198" s="47">
        <v>7378320048</v>
      </c>
      <c r="AF198" s="47">
        <v>7378320048</v>
      </c>
      <c r="AG198" s="47">
        <v>7378320048</v>
      </c>
      <c r="AH198" s="47">
        <v>7378320048</v>
      </c>
      <c r="AI198" s="47">
        <v>7378320048</v>
      </c>
      <c r="AJ198" s="47">
        <v>7378320048</v>
      </c>
      <c r="AK198" s="47">
        <v>7378320048</v>
      </c>
      <c r="AL198" s="47">
        <v>-922290006</v>
      </c>
      <c r="AM198" s="47">
        <v>-1229720008</v>
      </c>
      <c r="AN198" s="47">
        <v>-48035937.8125</v>
      </c>
      <c r="AO198" s="47">
        <v>-48035937.8125</v>
      </c>
      <c r="AP198" s="47">
        <v>-48035937.8125</v>
      </c>
      <c r="AQ198" s="47">
        <v>-48035937.8125</v>
      </c>
      <c r="AR198" s="47">
        <v>-48035937.8125</v>
      </c>
      <c r="AS198" s="47">
        <v>-48035937.8125</v>
      </c>
      <c r="AT198" s="47">
        <v>-48035937.8125</v>
      </c>
      <c r="AU198" s="47">
        <v>-48035937.8125</v>
      </c>
      <c r="AV198" s="47">
        <v>-48035937.8125</v>
      </c>
      <c r="AW198" s="47">
        <v>-48035937.8125</v>
      </c>
      <c r="AX198" s="47">
        <v>-48035937.8125</v>
      </c>
      <c r="AY198" s="47">
        <v>-48035937.8125</v>
      </c>
      <c r="AZ198" s="58">
        <f t="shared" si="9"/>
        <v>-576431253.75</v>
      </c>
      <c r="BA198" s="47">
        <f>Y198+SUM($AM198:AM198)</f>
        <v>6148600040</v>
      </c>
      <c r="BB198" s="48">
        <f>Z198+SUM($AM198:AN198)</f>
        <v>6100564102.1875</v>
      </c>
      <c r="BC198" s="48">
        <f>AA198+SUM($AM198:AO198)</f>
        <v>6052528164.375</v>
      </c>
      <c r="BD198" s="48">
        <f>AB198+SUM($AM198:AP198)</f>
        <v>6004492226.5625</v>
      </c>
      <c r="BE198" s="48">
        <f>AC198+SUM($AM198:AQ198)</f>
        <v>5956456288.75</v>
      </c>
      <c r="BF198" s="48">
        <f>AD198+SUM($AM198:AR198)</f>
        <v>5908420350.9375</v>
      </c>
      <c r="BG198" s="48">
        <f>AE198+SUM($AM198:AS198)</f>
        <v>5860384413.125</v>
      </c>
      <c r="BH198" s="48">
        <f>AF198+SUM($AM198:AT198)</f>
        <v>5812348475.3125</v>
      </c>
      <c r="BI198" s="48">
        <f>AG198+SUM($AM198:AU198)</f>
        <v>5764312537.5</v>
      </c>
      <c r="BJ198" s="48">
        <f>AH198+SUM($AM198:AV198)</f>
        <v>5716276599.6875</v>
      </c>
      <c r="BK198" s="48">
        <f>AI198+SUM($AM198:AW198)</f>
        <v>5668240661.875</v>
      </c>
      <c r="BL198" s="48">
        <f>AJ198+SUM($AM198:AX198)</f>
        <v>5620204724.0625</v>
      </c>
      <c r="BM198" s="48">
        <f>AK198+SUM($AM198:AY198)</f>
        <v>5572168786.25</v>
      </c>
      <c r="BO198" s="47"/>
    </row>
    <row r="199" spans="3:67" s="41" customFormat="1" hidden="1" x14ac:dyDescent="0.3">
      <c r="C199" s="41" t="s">
        <v>1340</v>
      </c>
      <c r="D199" s="42" t="s">
        <v>338</v>
      </c>
      <c r="E199" s="42" t="str">
        <f t="shared" si="7"/>
        <v>211</v>
      </c>
      <c r="F199" s="41" t="str">
        <f>_xlfn.XLOOKUP($D199,MD_Account_Asset_Type[Nhóm tài sản],MD_Account_Asset_Type[Tên Nhóm tài sản])</f>
        <v>Máy móc, thiết bị - SX 627</v>
      </c>
      <c r="G199" s="41" t="str">
        <f>_xlfn.XLOOKUP($D199,MD_Account_Asset_Type[Nhóm tài sản],MD_Account_Asset_Type[Tên nhóm TS-Rút gọn])</f>
        <v>Máy móc thiết bị</v>
      </c>
      <c r="H199" s="41" t="str">
        <f>_xlfn.XLOOKUP($D199,MD_Account_Asset_Type[Nhóm tài sản],MD_Account_Asset_Type[Tên nhóm TS-Rút gọn-v2])</f>
        <v>Máy móc thiết bị</v>
      </c>
      <c r="I199" s="43" t="s">
        <v>928</v>
      </c>
      <c r="J199" s="42" t="s">
        <v>690</v>
      </c>
      <c r="K199" s="41" t="s">
        <v>830</v>
      </c>
      <c r="L199" s="42" t="s">
        <v>99</v>
      </c>
      <c r="M199" s="42" t="s">
        <v>174</v>
      </c>
      <c r="N199" s="44" t="s">
        <v>285</v>
      </c>
      <c r="O199" s="44"/>
      <c r="P199" s="41" t="s">
        <v>462</v>
      </c>
      <c r="Q199" s="41" t="str">
        <f t="shared" si="8"/>
        <v>627</v>
      </c>
      <c r="R199" s="41" t="str">
        <f>_xlfn.XLOOKUP($L199,MD_Cost_Center[Mã Cost Center],MD_Cost_Center[Ngành])</f>
        <v>HD/PP</v>
      </c>
      <c r="S199" s="41" t="str">
        <f>_xlfn.XLOOKUP($L199,MD_Cost_Center[Mã Cost Center],MD_Cost_Center[Ngành-Tách PET-Xơ sợi])</f>
        <v>HD/PP</v>
      </c>
      <c r="T199" s="45">
        <v>45627</v>
      </c>
      <c r="U199" s="46">
        <v>47453</v>
      </c>
      <c r="V199" s="47">
        <v>144</v>
      </c>
      <c r="W199" s="47">
        <v>737864468</v>
      </c>
      <c r="X199" s="47">
        <v>-4412166.6641221372</v>
      </c>
      <c r="Y199" s="47">
        <v>737864468</v>
      </c>
      <c r="Z199" s="47">
        <v>737864468</v>
      </c>
      <c r="AA199" s="47">
        <v>737864468</v>
      </c>
      <c r="AB199" s="47">
        <v>737864468</v>
      </c>
      <c r="AC199" s="47">
        <v>737864468</v>
      </c>
      <c r="AD199" s="47">
        <v>737864468</v>
      </c>
      <c r="AE199" s="47">
        <v>737864468</v>
      </c>
      <c r="AF199" s="47">
        <v>737864468</v>
      </c>
      <c r="AG199" s="47">
        <v>737864468</v>
      </c>
      <c r="AH199" s="47">
        <v>737864468</v>
      </c>
      <c r="AI199" s="47">
        <v>737864468</v>
      </c>
      <c r="AJ199" s="47">
        <v>737864468</v>
      </c>
      <c r="AK199" s="47">
        <v>737864468</v>
      </c>
      <c r="AL199" s="47">
        <v>-147572894</v>
      </c>
      <c r="AM199" s="47">
        <v>-159870635</v>
      </c>
      <c r="AN199" s="47">
        <v>-4412166.6641221372</v>
      </c>
      <c r="AO199" s="47">
        <v>-4412166.6641221372</v>
      </c>
      <c r="AP199" s="47">
        <v>-4412166.6641221372</v>
      </c>
      <c r="AQ199" s="47">
        <v>-4412166.6641221372</v>
      </c>
      <c r="AR199" s="47">
        <v>-4412166.6641221372</v>
      </c>
      <c r="AS199" s="47">
        <v>-4412166.6641221372</v>
      </c>
      <c r="AT199" s="47">
        <v>-4412166.6641221372</v>
      </c>
      <c r="AU199" s="47">
        <v>-4412166.6641221372</v>
      </c>
      <c r="AV199" s="47">
        <v>-4412166.6641221372</v>
      </c>
      <c r="AW199" s="47">
        <v>-4412166.6641221372</v>
      </c>
      <c r="AX199" s="47">
        <v>-4412166.6641221372</v>
      </c>
      <c r="AY199" s="47">
        <v>-4412166.6641221372</v>
      </c>
      <c r="AZ199" s="58">
        <f t="shared" si="9"/>
        <v>-52945999.969465636</v>
      </c>
      <c r="BA199" s="47">
        <f>Y199+SUM($AM199:AM199)</f>
        <v>577993833</v>
      </c>
      <c r="BB199" s="48">
        <f>Z199+SUM($AM199:AN199)</f>
        <v>573581666.3358779</v>
      </c>
      <c r="BC199" s="48">
        <f>AA199+SUM($AM199:AO199)</f>
        <v>569169499.67175579</v>
      </c>
      <c r="BD199" s="48">
        <f>AB199+SUM($AM199:AP199)</f>
        <v>564757333.00763357</v>
      </c>
      <c r="BE199" s="48">
        <f>AC199+SUM($AM199:AQ199)</f>
        <v>560345166.34351146</v>
      </c>
      <c r="BF199" s="48">
        <f>AD199+SUM($AM199:AR199)</f>
        <v>555932999.67938936</v>
      </c>
      <c r="BG199" s="48">
        <f>AE199+SUM($AM199:AS199)</f>
        <v>551520833.01526713</v>
      </c>
      <c r="BH199" s="48">
        <f>AF199+SUM($AM199:AT199)</f>
        <v>547108666.35114503</v>
      </c>
      <c r="BI199" s="48">
        <f>AG199+SUM($AM199:AU199)</f>
        <v>542696499.68702292</v>
      </c>
      <c r="BJ199" s="48">
        <f>AH199+SUM($AM199:AV199)</f>
        <v>538284333.02290082</v>
      </c>
      <c r="BK199" s="48">
        <f>AI199+SUM($AM199:AW199)</f>
        <v>533872166.35877866</v>
      </c>
      <c r="BL199" s="48">
        <f>AJ199+SUM($AM199:AX199)</f>
        <v>529459999.69465649</v>
      </c>
      <c r="BM199" s="48">
        <f>AK199+SUM($AM199:AY199)</f>
        <v>525047833.03053439</v>
      </c>
      <c r="BO199" s="47"/>
    </row>
    <row r="200" spans="3:67" s="41" customFormat="1" hidden="1" x14ac:dyDescent="0.3">
      <c r="C200" s="41" t="s">
        <v>1340</v>
      </c>
      <c r="D200" s="42" t="s">
        <v>338</v>
      </c>
      <c r="E200" s="42" t="str">
        <f t="shared" si="7"/>
        <v>211</v>
      </c>
      <c r="F200" s="41" t="str">
        <f>_xlfn.XLOOKUP($D200,MD_Account_Asset_Type[Nhóm tài sản],MD_Account_Asset_Type[Tên Nhóm tài sản])</f>
        <v>Máy móc, thiết bị - SX 627</v>
      </c>
      <c r="G200" s="41" t="str">
        <f>_xlfn.XLOOKUP($D200,MD_Account_Asset_Type[Nhóm tài sản],MD_Account_Asset_Type[Tên nhóm TS-Rút gọn])</f>
        <v>Máy móc thiết bị</v>
      </c>
      <c r="H200" s="41" t="str">
        <f>_xlfn.XLOOKUP($D200,MD_Account_Asset_Type[Nhóm tài sản],MD_Account_Asset_Type[Tên nhóm TS-Rút gọn-v2])</f>
        <v>Máy móc thiết bị</v>
      </c>
      <c r="I200" s="43" t="s">
        <v>929</v>
      </c>
      <c r="J200" s="42" t="s">
        <v>691</v>
      </c>
      <c r="K200" s="41" t="s">
        <v>830</v>
      </c>
      <c r="L200" s="42" t="s">
        <v>87</v>
      </c>
      <c r="M200" s="42" t="s">
        <v>162</v>
      </c>
      <c r="N200" s="44" t="s">
        <v>279</v>
      </c>
      <c r="O200" s="44"/>
      <c r="P200" s="41" t="s">
        <v>462</v>
      </c>
      <c r="Q200" s="41" t="str">
        <f t="shared" si="8"/>
        <v>627</v>
      </c>
      <c r="R200" s="41" t="str">
        <f>_xlfn.XLOOKUP($L200,MD_Cost_Center[Mã Cost Center],MD_Cost_Center[Ngành])</f>
        <v>PET</v>
      </c>
      <c r="S200" s="41" t="str">
        <f>_xlfn.XLOOKUP($L200,MD_Cost_Center[Mã Cost Center],MD_Cost_Center[Ngành-Tách PET-Xơ sợi])</f>
        <v>Chung-PET</v>
      </c>
      <c r="T200" s="45">
        <v>45627</v>
      </c>
      <c r="U200" s="46">
        <v>47453</v>
      </c>
      <c r="V200" s="47">
        <v>144</v>
      </c>
      <c r="W200" s="47">
        <v>621500000</v>
      </c>
      <c r="X200" s="47">
        <v>-3716348.6030534352</v>
      </c>
      <c r="Y200" s="47">
        <v>621500000</v>
      </c>
      <c r="Z200" s="47">
        <v>621500000</v>
      </c>
      <c r="AA200" s="47">
        <v>621500000</v>
      </c>
      <c r="AB200" s="47">
        <v>621500000</v>
      </c>
      <c r="AC200" s="47">
        <v>621500000</v>
      </c>
      <c r="AD200" s="47">
        <v>621500000</v>
      </c>
      <c r="AE200" s="47">
        <v>621500000</v>
      </c>
      <c r="AF200" s="47">
        <v>621500000</v>
      </c>
      <c r="AG200" s="47">
        <v>621500000</v>
      </c>
      <c r="AH200" s="47">
        <v>621500000</v>
      </c>
      <c r="AI200" s="47">
        <v>621500000</v>
      </c>
      <c r="AJ200" s="47">
        <v>621500000</v>
      </c>
      <c r="AK200" s="47">
        <v>621500000</v>
      </c>
      <c r="AL200" s="47">
        <v>-124300000</v>
      </c>
      <c r="AM200" s="47">
        <v>-134658333</v>
      </c>
      <c r="AN200" s="47">
        <v>-3716348.6030534352</v>
      </c>
      <c r="AO200" s="47">
        <v>-3716348.6030534352</v>
      </c>
      <c r="AP200" s="47">
        <v>-3716348.6030534352</v>
      </c>
      <c r="AQ200" s="47">
        <v>-3716348.6030534352</v>
      </c>
      <c r="AR200" s="47">
        <v>-3716348.6030534352</v>
      </c>
      <c r="AS200" s="47">
        <v>-3716348.6030534352</v>
      </c>
      <c r="AT200" s="47">
        <v>-3716348.6030534352</v>
      </c>
      <c r="AU200" s="47">
        <v>-3716348.6030534352</v>
      </c>
      <c r="AV200" s="47">
        <v>-3716348.6030534352</v>
      </c>
      <c r="AW200" s="47">
        <v>-3716348.6030534352</v>
      </c>
      <c r="AX200" s="47">
        <v>-3716348.6030534352</v>
      </c>
      <c r="AY200" s="47">
        <v>-3716348.6030534352</v>
      </c>
      <c r="AZ200" s="58">
        <f t="shared" si="9"/>
        <v>-44596183.236641221</v>
      </c>
      <c r="BA200" s="47">
        <f>Y200+SUM($AM200:AM200)</f>
        <v>486841667</v>
      </c>
      <c r="BB200" s="48">
        <f>Z200+SUM($AM200:AN200)</f>
        <v>483125318.39694655</v>
      </c>
      <c r="BC200" s="48">
        <f>AA200+SUM($AM200:AO200)</f>
        <v>479408969.79389316</v>
      </c>
      <c r="BD200" s="48">
        <f>AB200+SUM($AM200:AP200)</f>
        <v>475692621.19083977</v>
      </c>
      <c r="BE200" s="48">
        <f>AC200+SUM($AM200:AQ200)</f>
        <v>471976272.58778632</v>
      </c>
      <c r="BF200" s="48">
        <f>AD200+SUM($AM200:AR200)</f>
        <v>468259923.98473287</v>
      </c>
      <c r="BG200" s="48">
        <f>AE200+SUM($AM200:AS200)</f>
        <v>464543575.38167948</v>
      </c>
      <c r="BH200" s="48">
        <f>AF200+SUM($AM200:AT200)</f>
        <v>460827226.77862608</v>
      </c>
      <c r="BI200" s="48">
        <f>AG200+SUM($AM200:AU200)</f>
        <v>457110878.17557263</v>
      </c>
      <c r="BJ200" s="48">
        <f>AH200+SUM($AM200:AV200)</f>
        <v>453394529.57251918</v>
      </c>
      <c r="BK200" s="48">
        <f>AI200+SUM($AM200:AW200)</f>
        <v>449678180.96946579</v>
      </c>
      <c r="BL200" s="48">
        <f>AJ200+SUM($AM200:AX200)</f>
        <v>445961832.3664124</v>
      </c>
      <c r="BM200" s="48">
        <f>AK200+SUM($AM200:AY200)</f>
        <v>442245483.76335895</v>
      </c>
      <c r="BO200" s="47"/>
    </row>
    <row r="201" spans="3:67" s="41" customFormat="1" hidden="1" x14ac:dyDescent="0.3">
      <c r="C201" s="41" t="s">
        <v>1340</v>
      </c>
      <c r="D201" s="42" t="s">
        <v>338</v>
      </c>
      <c r="E201" s="42" t="str">
        <f t="shared" si="7"/>
        <v>211</v>
      </c>
      <c r="F201" s="41" t="str">
        <f>_xlfn.XLOOKUP($D201,MD_Account_Asset_Type[Nhóm tài sản],MD_Account_Asset_Type[Tên Nhóm tài sản])</f>
        <v>Máy móc, thiết bị - SX 627</v>
      </c>
      <c r="G201" s="41" t="str">
        <f>_xlfn.XLOOKUP($D201,MD_Account_Asset_Type[Nhóm tài sản],MD_Account_Asset_Type[Tên nhóm TS-Rút gọn])</f>
        <v>Máy móc thiết bị</v>
      </c>
      <c r="H201" s="41" t="str">
        <f>_xlfn.XLOOKUP($D201,MD_Account_Asset_Type[Nhóm tài sản],MD_Account_Asset_Type[Tên nhóm TS-Rút gọn-v2])</f>
        <v>Máy móc thiết bị</v>
      </c>
      <c r="I201" s="43" t="s">
        <v>930</v>
      </c>
      <c r="J201" s="42" t="s">
        <v>692</v>
      </c>
      <c r="K201" s="41" t="s">
        <v>830</v>
      </c>
      <c r="L201" s="42" t="s">
        <v>47</v>
      </c>
      <c r="M201" s="42" t="s">
        <v>122</v>
      </c>
      <c r="N201" s="44">
        <v>0</v>
      </c>
      <c r="O201" s="44"/>
      <c r="P201" s="41" t="s">
        <v>462</v>
      </c>
      <c r="Q201" s="41" t="str">
        <f t="shared" si="8"/>
        <v>627</v>
      </c>
      <c r="R201" s="41" t="str">
        <f>_xlfn.XLOOKUP($L201,MD_Cost_Center[Mã Cost Center],MD_Cost_Center[Ngành])</f>
        <v>Chung</v>
      </c>
      <c r="S201" s="41" t="str">
        <f>_xlfn.XLOOKUP($L201,MD_Cost_Center[Mã Cost Center],MD_Cost_Center[Ngành-Tách PET-Xơ sợi])</f>
        <v>Chung</v>
      </c>
      <c r="T201" s="45">
        <v>45627</v>
      </c>
      <c r="U201" s="46">
        <v>46722</v>
      </c>
      <c r="V201" s="47">
        <v>144</v>
      </c>
      <c r="W201" s="47">
        <v>87000000</v>
      </c>
      <c r="X201" s="47">
        <v>-424300.25190839695</v>
      </c>
      <c r="Y201" s="47">
        <v>87000000</v>
      </c>
      <c r="Z201" s="47">
        <v>87000000</v>
      </c>
      <c r="AA201" s="47">
        <v>87000000</v>
      </c>
      <c r="AB201" s="47">
        <v>87000000</v>
      </c>
      <c r="AC201" s="47">
        <v>87000000</v>
      </c>
      <c r="AD201" s="47">
        <v>87000000</v>
      </c>
      <c r="AE201" s="47">
        <v>87000000</v>
      </c>
      <c r="AF201" s="47">
        <v>87000000</v>
      </c>
      <c r="AG201" s="47">
        <v>87000000</v>
      </c>
      <c r="AH201" s="47">
        <v>87000000</v>
      </c>
      <c r="AI201" s="47">
        <v>87000000</v>
      </c>
      <c r="AJ201" s="47">
        <v>87000000</v>
      </c>
      <c r="AK201" s="47">
        <v>87000000</v>
      </c>
      <c r="AL201" s="47">
        <v>-29000000</v>
      </c>
      <c r="AM201" s="47">
        <v>-31416667</v>
      </c>
      <c r="AN201" s="47">
        <v>-424300.25190839695</v>
      </c>
      <c r="AO201" s="47">
        <v>-424300.25190839695</v>
      </c>
      <c r="AP201" s="47">
        <v>-424300.25190839695</v>
      </c>
      <c r="AQ201" s="47">
        <v>-424300.25190839695</v>
      </c>
      <c r="AR201" s="47">
        <v>-424300.25190839695</v>
      </c>
      <c r="AS201" s="47">
        <v>-424300.25190839695</v>
      </c>
      <c r="AT201" s="47">
        <v>-424300.25190839695</v>
      </c>
      <c r="AU201" s="47">
        <v>-424300.25190839695</v>
      </c>
      <c r="AV201" s="47">
        <v>-424300.25190839695</v>
      </c>
      <c r="AW201" s="47">
        <v>-424300.25190839695</v>
      </c>
      <c r="AX201" s="47">
        <v>-424300.25190839695</v>
      </c>
      <c r="AY201" s="47">
        <v>-424300.25190839695</v>
      </c>
      <c r="AZ201" s="58">
        <f t="shared" si="9"/>
        <v>-5091603.0229007639</v>
      </c>
      <c r="BA201" s="47">
        <f>Y201+SUM($AM201:AM201)</f>
        <v>55583333</v>
      </c>
      <c r="BB201" s="48">
        <f>Z201+SUM($AM201:AN201)</f>
        <v>55159032.748091608</v>
      </c>
      <c r="BC201" s="48">
        <f>AA201+SUM($AM201:AO201)</f>
        <v>54734732.496183209</v>
      </c>
      <c r="BD201" s="48">
        <f>AB201+SUM($AM201:AP201)</f>
        <v>54310432.24427481</v>
      </c>
      <c r="BE201" s="48">
        <f>AC201+SUM($AM201:AQ201)</f>
        <v>53886131.992366418</v>
      </c>
      <c r="BF201" s="48">
        <f>AD201+SUM($AM201:AR201)</f>
        <v>53461831.740458027</v>
      </c>
      <c r="BG201" s="48">
        <f>AE201+SUM($AM201:AS201)</f>
        <v>53037531.488549627</v>
      </c>
      <c r="BH201" s="48">
        <f>AF201+SUM($AM201:AT201)</f>
        <v>52613231.236641228</v>
      </c>
      <c r="BI201" s="48">
        <f>AG201+SUM($AM201:AU201)</f>
        <v>52188930.984732829</v>
      </c>
      <c r="BJ201" s="48">
        <f>AH201+SUM($AM201:AV201)</f>
        <v>51764630.73282443</v>
      </c>
      <c r="BK201" s="48">
        <f>AI201+SUM($AM201:AW201)</f>
        <v>51340330.480916031</v>
      </c>
      <c r="BL201" s="48">
        <f>AJ201+SUM($AM201:AX201)</f>
        <v>50916030.229007632</v>
      </c>
      <c r="BM201" s="48">
        <f>AK201+SUM($AM201:AY201)</f>
        <v>50491729.977099232</v>
      </c>
      <c r="BO201" s="47"/>
    </row>
    <row r="202" spans="3:67" s="41" customFormat="1" hidden="1" x14ac:dyDescent="0.3">
      <c r="C202" s="41" t="s">
        <v>1340</v>
      </c>
      <c r="D202" s="42" t="s">
        <v>338</v>
      </c>
      <c r="E202" s="42" t="str">
        <f t="shared" ref="E202:E265" si="10">MID($D202,2,3)</f>
        <v>211</v>
      </c>
      <c r="F202" s="41" t="str">
        <f>_xlfn.XLOOKUP($D202,MD_Account_Asset_Type[Nhóm tài sản],MD_Account_Asset_Type[Tên Nhóm tài sản])</f>
        <v>Máy móc, thiết bị - SX 627</v>
      </c>
      <c r="G202" s="41" t="str">
        <f>_xlfn.XLOOKUP($D202,MD_Account_Asset_Type[Nhóm tài sản],MD_Account_Asset_Type[Tên nhóm TS-Rút gọn])</f>
        <v>Máy móc thiết bị</v>
      </c>
      <c r="H202" s="41" t="str">
        <f>_xlfn.XLOOKUP($D202,MD_Account_Asset_Type[Nhóm tài sản],MD_Account_Asset_Type[Tên nhóm TS-Rút gọn-v2])</f>
        <v>Máy móc thiết bị</v>
      </c>
      <c r="I202" s="43" t="s">
        <v>931</v>
      </c>
      <c r="J202" s="42" t="s">
        <v>693</v>
      </c>
      <c r="K202" s="41" t="s">
        <v>830</v>
      </c>
      <c r="L202" s="42" t="s">
        <v>99</v>
      </c>
      <c r="M202" s="42" t="s">
        <v>174</v>
      </c>
      <c r="N202" s="44" t="s">
        <v>285</v>
      </c>
      <c r="O202" s="44"/>
      <c r="P202" s="41" t="s">
        <v>462</v>
      </c>
      <c r="Q202" s="41" t="str">
        <f t="shared" ref="Q202:Q262" si="11">LEFT($P202,3)</f>
        <v>627</v>
      </c>
      <c r="R202" s="41" t="str">
        <f>_xlfn.XLOOKUP($L202,MD_Cost_Center[Mã Cost Center],MD_Cost_Center[Ngành])</f>
        <v>HD/PP</v>
      </c>
      <c r="S202" s="41" t="str">
        <f>_xlfn.XLOOKUP($L202,MD_Cost_Center[Mã Cost Center],MD_Cost_Center[Ngành-Tách PET-Xơ sợi])</f>
        <v>HD/PP</v>
      </c>
      <c r="T202" s="45">
        <v>45658</v>
      </c>
      <c r="U202" s="46">
        <v>47484</v>
      </c>
      <c r="V202" s="47">
        <v>144</v>
      </c>
      <c r="W202" s="47">
        <v>154840000</v>
      </c>
      <c r="X202" s="47">
        <v>-938424.24242424243</v>
      </c>
      <c r="Y202" s="47">
        <v>154840000</v>
      </c>
      <c r="Z202" s="47">
        <v>154840000</v>
      </c>
      <c r="AA202" s="47">
        <v>154840000</v>
      </c>
      <c r="AB202" s="47">
        <v>154840000</v>
      </c>
      <c r="AC202" s="47">
        <v>154840000</v>
      </c>
      <c r="AD202" s="47">
        <v>154840000</v>
      </c>
      <c r="AE202" s="47">
        <v>154840000</v>
      </c>
      <c r="AF202" s="47">
        <v>154840000</v>
      </c>
      <c r="AG202" s="47">
        <v>154840000</v>
      </c>
      <c r="AH202" s="47">
        <v>154840000</v>
      </c>
      <c r="AI202" s="47">
        <v>154840000</v>
      </c>
      <c r="AJ202" s="47">
        <v>154840000</v>
      </c>
      <c r="AK202" s="47">
        <v>154840000</v>
      </c>
      <c r="AL202" s="47">
        <v>-30968000</v>
      </c>
      <c r="AM202" s="47">
        <v>-30968000</v>
      </c>
      <c r="AN202" s="47">
        <v>-938424.24242424243</v>
      </c>
      <c r="AO202" s="47">
        <v>-938424.24242424243</v>
      </c>
      <c r="AP202" s="47">
        <v>-938424.24242424243</v>
      </c>
      <c r="AQ202" s="47">
        <v>-938424.24242424243</v>
      </c>
      <c r="AR202" s="47">
        <v>-938424.24242424243</v>
      </c>
      <c r="AS202" s="47">
        <v>-938424.24242424243</v>
      </c>
      <c r="AT202" s="47">
        <v>-938424.24242424243</v>
      </c>
      <c r="AU202" s="47">
        <v>-938424.24242424243</v>
      </c>
      <c r="AV202" s="47">
        <v>-938424.24242424243</v>
      </c>
      <c r="AW202" s="47">
        <v>-938424.24242424243</v>
      </c>
      <c r="AX202" s="47">
        <v>-938424.24242424243</v>
      </c>
      <c r="AY202" s="47">
        <v>-938424.24242424243</v>
      </c>
      <c r="AZ202" s="58">
        <f t="shared" si="9"/>
        <v>-11261090.909090908</v>
      </c>
      <c r="BA202" s="47">
        <f>Y202+SUM($AM202:AM202)</f>
        <v>123872000</v>
      </c>
      <c r="BB202" s="48">
        <f>Z202+SUM($AM202:AN202)</f>
        <v>122933575.75757575</v>
      </c>
      <c r="BC202" s="48">
        <f>AA202+SUM($AM202:AO202)</f>
        <v>121995151.51515152</v>
      </c>
      <c r="BD202" s="48">
        <f>AB202+SUM($AM202:AP202)</f>
        <v>121056727.27272728</v>
      </c>
      <c r="BE202" s="48">
        <f>AC202+SUM($AM202:AQ202)</f>
        <v>120118303.03030303</v>
      </c>
      <c r="BF202" s="48">
        <f>AD202+SUM($AM202:AR202)</f>
        <v>119179878.78787878</v>
      </c>
      <c r="BG202" s="48">
        <f>AE202+SUM($AM202:AS202)</f>
        <v>118241454.54545455</v>
      </c>
      <c r="BH202" s="48">
        <f>AF202+SUM($AM202:AT202)</f>
        <v>117303030.30303031</v>
      </c>
      <c r="BI202" s="48">
        <f>AG202+SUM($AM202:AU202)</f>
        <v>116364606.06060606</v>
      </c>
      <c r="BJ202" s="48">
        <f>AH202+SUM($AM202:AV202)</f>
        <v>115426181.81818181</v>
      </c>
      <c r="BK202" s="48">
        <f>AI202+SUM($AM202:AW202)</f>
        <v>114487757.57575758</v>
      </c>
      <c r="BL202" s="48">
        <f>AJ202+SUM($AM202:AX202)</f>
        <v>113549333.33333334</v>
      </c>
      <c r="BM202" s="48">
        <f>AK202+SUM($AM202:AY202)</f>
        <v>112610909.09090909</v>
      </c>
      <c r="BO202" s="47"/>
    </row>
    <row r="203" spans="3:67" s="41" customFormat="1" hidden="1" x14ac:dyDescent="0.3">
      <c r="C203" s="41" t="s">
        <v>1340</v>
      </c>
      <c r="D203" s="42" t="s">
        <v>338</v>
      </c>
      <c r="E203" s="42" t="str">
        <f t="shared" si="10"/>
        <v>211</v>
      </c>
      <c r="F203" s="41" t="str">
        <f>_xlfn.XLOOKUP($D203,MD_Account_Asset_Type[Nhóm tài sản],MD_Account_Asset_Type[Tên Nhóm tài sản])</f>
        <v>Máy móc, thiết bị - SX 627</v>
      </c>
      <c r="G203" s="41" t="str">
        <f>_xlfn.XLOOKUP($D203,MD_Account_Asset_Type[Nhóm tài sản],MD_Account_Asset_Type[Tên nhóm TS-Rút gọn])</f>
        <v>Máy móc thiết bị</v>
      </c>
      <c r="H203" s="41" t="str">
        <f>_xlfn.XLOOKUP($D203,MD_Account_Asset_Type[Nhóm tài sản],MD_Account_Asset_Type[Tên nhóm TS-Rút gọn-v2])</f>
        <v>Máy móc thiết bị</v>
      </c>
      <c r="I203" s="43" t="s">
        <v>932</v>
      </c>
      <c r="J203" s="42" t="s">
        <v>694</v>
      </c>
      <c r="K203" s="41" t="s">
        <v>830</v>
      </c>
      <c r="L203" s="42" t="s">
        <v>99</v>
      </c>
      <c r="M203" s="42" t="s">
        <v>174</v>
      </c>
      <c r="N203" s="44" t="s">
        <v>285</v>
      </c>
      <c r="O203" s="44"/>
      <c r="P203" s="41" t="s">
        <v>462</v>
      </c>
      <c r="Q203" s="41" t="str">
        <f t="shared" si="11"/>
        <v>627</v>
      </c>
      <c r="R203" s="41" t="str">
        <f>_xlfn.XLOOKUP($L203,MD_Cost_Center[Mã Cost Center],MD_Cost_Center[Ngành])</f>
        <v>HD/PP</v>
      </c>
      <c r="S203" s="41" t="str">
        <f>_xlfn.XLOOKUP($L203,MD_Cost_Center[Mã Cost Center],MD_Cost_Center[Ngành-Tách PET-Xơ sợi])</f>
        <v>HD/PP</v>
      </c>
      <c r="T203" s="45">
        <v>45658</v>
      </c>
      <c r="U203" s="46">
        <v>47484</v>
      </c>
      <c r="V203" s="47">
        <v>144</v>
      </c>
      <c r="W203" s="47">
        <v>106820000</v>
      </c>
      <c r="X203" s="47">
        <v>-647393.93939393945</v>
      </c>
      <c r="Y203" s="47">
        <v>106820000</v>
      </c>
      <c r="Z203" s="47">
        <v>106820000</v>
      </c>
      <c r="AA203" s="47">
        <v>106820000</v>
      </c>
      <c r="AB203" s="47">
        <v>106820000</v>
      </c>
      <c r="AC203" s="47">
        <v>106820000</v>
      </c>
      <c r="AD203" s="47">
        <v>106820000</v>
      </c>
      <c r="AE203" s="47">
        <v>106820000</v>
      </c>
      <c r="AF203" s="47">
        <v>106820000</v>
      </c>
      <c r="AG203" s="47">
        <v>106820000</v>
      </c>
      <c r="AH203" s="47">
        <v>106820000</v>
      </c>
      <c r="AI203" s="47">
        <v>106820000</v>
      </c>
      <c r="AJ203" s="47">
        <v>106820000</v>
      </c>
      <c r="AK203" s="47">
        <v>106820000</v>
      </c>
      <c r="AL203" s="47">
        <v>-21364000</v>
      </c>
      <c r="AM203" s="47">
        <v>-21364000</v>
      </c>
      <c r="AN203" s="47">
        <v>-647393.93939393945</v>
      </c>
      <c r="AO203" s="47">
        <v>-647393.93939393945</v>
      </c>
      <c r="AP203" s="47">
        <v>-647393.93939393945</v>
      </c>
      <c r="AQ203" s="47">
        <v>-647393.93939393945</v>
      </c>
      <c r="AR203" s="47">
        <v>-647393.93939393945</v>
      </c>
      <c r="AS203" s="47">
        <v>-647393.93939393945</v>
      </c>
      <c r="AT203" s="47">
        <v>-647393.93939393945</v>
      </c>
      <c r="AU203" s="47">
        <v>-647393.93939393945</v>
      </c>
      <c r="AV203" s="47">
        <v>-647393.93939393945</v>
      </c>
      <c r="AW203" s="47">
        <v>-647393.93939393945</v>
      </c>
      <c r="AX203" s="47">
        <v>-647393.93939393945</v>
      </c>
      <c r="AY203" s="47">
        <v>-647393.93939393945</v>
      </c>
      <c r="AZ203" s="58">
        <f t="shared" si="9"/>
        <v>-7768727.2727272734</v>
      </c>
      <c r="BA203" s="47">
        <f>Y203+SUM($AM203:AM203)</f>
        <v>85456000</v>
      </c>
      <c r="BB203" s="48">
        <f>Z203+SUM($AM203:AN203)</f>
        <v>84808606.060606062</v>
      </c>
      <c r="BC203" s="48">
        <f>AA203+SUM($AM203:AO203)</f>
        <v>84161212.121212125</v>
      </c>
      <c r="BD203" s="48">
        <f>AB203+SUM($AM203:AP203)</f>
        <v>83513818.181818187</v>
      </c>
      <c r="BE203" s="48">
        <f>AC203+SUM($AM203:AQ203)</f>
        <v>82866424.24242425</v>
      </c>
      <c r="BF203" s="48">
        <f>AD203+SUM($AM203:AR203)</f>
        <v>82219030.303030312</v>
      </c>
      <c r="BG203" s="48">
        <f>AE203+SUM($AM203:AS203)</f>
        <v>81571636.363636374</v>
      </c>
      <c r="BH203" s="48">
        <f>AF203+SUM($AM203:AT203)</f>
        <v>80924242.424242437</v>
      </c>
      <c r="BI203" s="48">
        <f>AG203+SUM($AM203:AU203)</f>
        <v>80276848.484848499</v>
      </c>
      <c r="BJ203" s="48">
        <f>AH203+SUM($AM203:AV203)</f>
        <v>79629454.545454562</v>
      </c>
      <c r="BK203" s="48">
        <f>AI203+SUM($AM203:AW203)</f>
        <v>78982060.606060624</v>
      </c>
      <c r="BL203" s="48">
        <f>AJ203+SUM($AM203:AX203)</f>
        <v>78334666.666666687</v>
      </c>
      <c r="BM203" s="48">
        <f>AK203+SUM($AM203:AY203)</f>
        <v>77687272.727272749</v>
      </c>
      <c r="BO203" s="47"/>
    </row>
    <row r="204" spans="3:67" s="41" customFormat="1" hidden="1" x14ac:dyDescent="0.3">
      <c r="C204" s="41" t="s">
        <v>1340</v>
      </c>
      <c r="D204" s="42" t="s">
        <v>338</v>
      </c>
      <c r="E204" s="42" t="str">
        <f t="shared" si="10"/>
        <v>211</v>
      </c>
      <c r="F204" s="41" t="str">
        <f>_xlfn.XLOOKUP($D204,MD_Account_Asset_Type[Nhóm tài sản],MD_Account_Asset_Type[Tên Nhóm tài sản])</f>
        <v>Máy móc, thiết bị - SX 627</v>
      </c>
      <c r="G204" s="41" t="str">
        <f>_xlfn.XLOOKUP($D204,MD_Account_Asset_Type[Nhóm tài sản],MD_Account_Asset_Type[Tên nhóm TS-Rút gọn])</f>
        <v>Máy móc thiết bị</v>
      </c>
      <c r="H204" s="41" t="str">
        <f>_xlfn.XLOOKUP($D204,MD_Account_Asset_Type[Nhóm tài sản],MD_Account_Asset_Type[Tên nhóm TS-Rút gọn-v2])</f>
        <v>Máy móc thiết bị</v>
      </c>
      <c r="I204" s="43" t="s">
        <v>933</v>
      </c>
      <c r="J204" s="42" t="s">
        <v>695</v>
      </c>
      <c r="K204" s="41" t="s">
        <v>830</v>
      </c>
      <c r="L204" s="42" t="s">
        <v>71</v>
      </c>
      <c r="M204" s="42" t="s">
        <v>146</v>
      </c>
      <c r="N204" s="44" t="s">
        <v>264</v>
      </c>
      <c r="O204" s="44"/>
      <c r="P204" s="41" t="s">
        <v>462</v>
      </c>
      <c r="Q204" s="41" t="str">
        <f t="shared" si="11"/>
        <v>627</v>
      </c>
      <c r="R204" s="41" t="str">
        <f>_xlfn.XLOOKUP($L204,MD_Cost_Center[Mã Cost Center],MD_Cost_Center[Ngành])</f>
        <v>PET</v>
      </c>
      <c r="S204" s="41" t="str">
        <f>_xlfn.XLOOKUP($L204,MD_Cost_Center[Mã Cost Center],MD_Cost_Center[Ngành-Tách PET-Xơ sợi])</f>
        <v>Chung-PET</v>
      </c>
      <c r="T204" s="45">
        <v>45627</v>
      </c>
      <c r="U204" s="46">
        <v>48549</v>
      </c>
      <c r="V204" s="47">
        <v>144</v>
      </c>
      <c r="W204" s="47">
        <v>8047003036</v>
      </c>
      <c r="X204" s="47">
        <v>-52922848.190839693</v>
      </c>
      <c r="Y204" s="47">
        <v>8047003036</v>
      </c>
      <c r="Z204" s="47">
        <v>8047003036</v>
      </c>
      <c r="AA204" s="47">
        <v>8047003036</v>
      </c>
      <c r="AB204" s="47">
        <v>8047003036</v>
      </c>
      <c r="AC204" s="47">
        <v>8047003036</v>
      </c>
      <c r="AD204" s="47">
        <v>8047003036</v>
      </c>
      <c r="AE204" s="47">
        <v>8047003036</v>
      </c>
      <c r="AF204" s="47">
        <v>8047003036</v>
      </c>
      <c r="AG204" s="47">
        <v>8047003036</v>
      </c>
      <c r="AH204" s="47">
        <v>8047003036</v>
      </c>
      <c r="AI204" s="47">
        <v>8047003036</v>
      </c>
      <c r="AJ204" s="47">
        <v>8047003036</v>
      </c>
      <c r="AK204" s="47">
        <v>8047003036</v>
      </c>
      <c r="AL204" s="47">
        <v>-1002345992</v>
      </c>
      <c r="AM204" s="47">
        <v>-1114109923</v>
      </c>
      <c r="AN204" s="47">
        <v>-52922848.190839693</v>
      </c>
      <c r="AO204" s="47">
        <v>-52922848.190839693</v>
      </c>
      <c r="AP204" s="47">
        <v>-52922848.190839693</v>
      </c>
      <c r="AQ204" s="47">
        <v>-52922848.190839693</v>
      </c>
      <c r="AR204" s="47">
        <v>-52922848.190839693</v>
      </c>
      <c r="AS204" s="47">
        <v>-52922848.190839693</v>
      </c>
      <c r="AT204" s="47">
        <v>-52922848.190839693</v>
      </c>
      <c r="AU204" s="47">
        <v>-52922848.190839693</v>
      </c>
      <c r="AV204" s="47">
        <v>-52922848.190839693</v>
      </c>
      <c r="AW204" s="47">
        <v>-52922848.190839693</v>
      </c>
      <c r="AX204" s="47">
        <v>-52922848.190839693</v>
      </c>
      <c r="AY204" s="47">
        <v>-52922848.190839693</v>
      </c>
      <c r="AZ204" s="58">
        <f t="shared" si="9"/>
        <v>-635074178.29007638</v>
      </c>
      <c r="BA204" s="47">
        <f>Y204+SUM($AM204:AM204)</f>
        <v>6932893113</v>
      </c>
      <c r="BB204" s="48">
        <f>Z204+SUM($AM204:AN204)</f>
        <v>6879970264.8091602</v>
      </c>
      <c r="BC204" s="48">
        <f>AA204+SUM($AM204:AO204)</f>
        <v>6827047416.6183205</v>
      </c>
      <c r="BD204" s="48">
        <f>AB204+SUM($AM204:AP204)</f>
        <v>6774124568.4274807</v>
      </c>
      <c r="BE204" s="48">
        <f>AC204+SUM($AM204:AQ204)</f>
        <v>6721201720.2366409</v>
      </c>
      <c r="BF204" s="48">
        <f>AD204+SUM($AM204:AR204)</f>
        <v>6668278872.0458012</v>
      </c>
      <c r="BG204" s="48">
        <f>AE204+SUM($AM204:AS204)</f>
        <v>6615356023.8549614</v>
      </c>
      <c r="BH204" s="48">
        <f>AF204+SUM($AM204:AT204)</f>
        <v>6562433175.6641216</v>
      </c>
      <c r="BI204" s="48">
        <f>AG204+SUM($AM204:AU204)</f>
        <v>6509510327.4732819</v>
      </c>
      <c r="BJ204" s="48">
        <f>AH204+SUM($AM204:AV204)</f>
        <v>6456587479.2824421</v>
      </c>
      <c r="BK204" s="48">
        <f>AI204+SUM($AM204:AW204)</f>
        <v>6403664631.0916023</v>
      </c>
      <c r="BL204" s="48">
        <f>AJ204+SUM($AM204:AX204)</f>
        <v>6350741782.9007626</v>
      </c>
      <c r="BM204" s="48">
        <f>AK204+SUM($AM204:AY204)</f>
        <v>6297818934.7099228</v>
      </c>
      <c r="BO204" s="47"/>
    </row>
    <row r="205" spans="3:67" s="41" customFormat="1" hidden="1" x14ac:dyDescent="0.3">
      <c r="C205" s="41" t="s">
        <v>1340</v>
      </c>
      <c r="D205" s="42" t="s">
        <v>338</v>
      </c>
      <c r="E205" s="42" t="str">
        <f t="shared" si="10"/>
        <v>211</v>
      </c>
      <c r="F205" s="41" t="str">
        <f>_xlfn.XLOOKUP($D205,MD_Account_Asset_Type[Nhóm tài sản],MD_Account_Asset_Type[Tên Nhóm tài sản])</f>
        <v>Máy móc, thiết bị - SX 627</v>
      </c>
      <c r="G205" s="41" t="str">
        <f>_xlfn.XLOOKUP($D205,MD_Account_Asset_Type[Nhóm tài sản],MD_Account_Asset_Type[Tên nhóm TS-Rút gọn])</f>
        <v>Máy móc thiết bị</v>
      </c>
      <c r="H205" s="41" t="str">
        <f>_xlfn.XLOOKUP($D205,MD_Account_Asset_Type[Nhóm tài sản],MD_Account_Asset_Type[Tên nhóm TS-Rút gọn-v2])</f>
        <v>Máy móc thiết bị</v>
      </c>
      <c r="I205" s="43" t="s">
        <v>934</v>
      </c>
      <c r="J205" s="42" t="s">
        <v>696</v>
      </c>
      <c r="K205" s="41" t="s">
        <v>830</v>
      </c>
      <c r="L205" s="42" t="s">
        <v>70</v>
      </c>
      <c r="M205" s="42" t="s">
        <v>145</v>
      </c>
      <c r="N205" s="44" t="s">
        <v>263</v>
      </c>
      <c r="O205" s="44"/>
      <c r="P205" s="41" t="s">
        <v>462</v>
      </c>
      <c r="Q205" s="41" t="str">
        <f t="shared" si="11"/>
        <v>627</v>
      </c>
      <c r="R205" s="41" t="str">
        <f>_xlfn.XLOOKUP($L205,MD_Cost_Center[Mã Cost Center],MD_Cost_Center[Ngành])</f>
        <v>PET</v>
      </c>
      <c r="S205" s="41" t="str">
        <f>_xlfn.XLOOKUP($L205,MD_Cost_Center[Mã Cost Center],MD_Cost_Center[Ngành-Tách PET-Xơ sợi])</f>
        <v>Chung-PET</v>
      </c>
      <c r="T205" s="45">
        <v>45627</v>
      </c>
      <c r="U205" s="46">
        <v>48549</v>
      </c>
      <c r="V205" s="47">
        <v>144</v>
      </c>
      <c r="W205" s="47">
        <v>8047003036</v>
      </c>
      <c r="X205" s="47">
        <v>-52922848.190839693</v>
      </c>
      <c r="Y205" s="47">
        <v>8047003036</v>
      </c>
      <c r="Z205" s="47">
        <v>8047003036</v>
      </c>
      <c r="AA205" s="47">
        <v>8047003036</v>
      </c>
      <c r="AB205" s="47">
        <v>8047003036</v>
      </c>
      <c r="AC205" s="47">
        <v>8047003036</v>
      </c>
      <c r="AD205" s="47">
        <v>8047003036</v>
      </c>
      <c r="AE205" s="47">
        <v>8047003036</v>
      </c>
      <c r="AF205" s="47">
        <v>8047003036</v>
      </c>
      <c r="AG205" s="47">
        <v>8047003036</v>
      </c>
      <c r="AH205" s="47">
        <v>8047003036</v>
      </c>
      <c r="AI205" s="47">
        <v>8047003036</v>
      </c>
      <c r="AJ205" s="47">
        <v>8047003036</v>
      </c>
      <c r="AK205" s="47">
        <v>8047003036</v>
      </c>
      <c r="AL205" s="47">
        <v>-1002345992</v>
      </c>
      <c r="AM205" s="47">
        <v>-1114109923</v>
      </c>
      <c r="AN205" s="47">
        <v>-52922848.190839693</v>
      </c>
      <c r="AO205" s="47">
        <v>-52922848.190839693</v>
      </c>
      <c r="AP205" s="47">
        <v>-52922848.190839693</v>
      </c>
      <c r="AQ205" s="47">
        <v>-52922848.190839693</v>
      </c>
      <c r="AR205" s="47">
        <v>-52922848.190839693</v>
      </c>
      <c r="AS205" s="47">
        <v>-52922848.190839693</v>
      </c>
      <c r="AT205" s="47">
        <v>-52922848.190839693</v>
      </c>
      <c r="AU205" s="47">
        <v>-52922848.190839693</v>
      </c>
      <c r="AV205" s="47">
        <v>-52922848.190839693</v>
      </c>
      <c r="AW205" s="47">
        <v>-52922848.190839693</v>
      </c>
      <c r="AX205" s="47">
        <v>-52922848.190839693</v>
      </c>
      <c r="AY205" s="47">
        <v>-52922848.190839693</v>
      </c>
      <c r="AZ205" s="58">
        <f t="shared" si="9"/>
        <v>-635074178.29007638</v>
      </c>
      <c r="BA205" s="47">
        <f>Y205+SUM($AM205:AM205)</f>
        <v>6932893113</v>
      </c>
      <c r="BB205" s="48">
        <f>Z205+SUM($AM205:AN205)</f>
        <v>6879970264.8091602</v>
      </c>
      <c r="BC205" s="48">
        <f>AA205+SUM($AM205:AO205)</f>
        <v>6827047416.6183205</v>
      </c>
      <c r="BD205" s="48">
        <f>AB205+SUM($AM205:AP205)</f>
        <v>6774124568.4274807</v>
      </c>
      <c r="BE205" s="48">
        <f>AC205+SUM($AM205:AQ205)</f>
        <v>6721201720.2366409</v>
      </c>
      <c r="BF205" s="48">
        <f>AD205+SUM($AM205:AR205)</f>
        <v>6668278872.0458012</v>
      </c>
      <c r="BG205" s="48">
        <f>AE205+SUM($AM205:AS205)</f>
        <v>6615356023.8549614</v>
      </c>
      <c r="BH205" s="48">
        <f>AF205+SUM($AM205:AT205)</f>
        <v>6562433175.6641216</v>
      </c>
      <c r="BI205" s="48">
        <f>AG205+SUM($AM205:AU205)</f>
        <v>6509510327.4732819</v>
      </c>
      <c r="BJ205" s="48">
        <f>AH205+SUM($AM205:AV205)</f>
        <v>6456587479.2824421</v>
      </c>
      <c r="BK205" s="48">
        <f>AI205+SUM($AM205:AW205)</f>
        <v>6403664631.0916023</v>
      </c>
      <c r="BL205" s="48">
        <f>AJ205+SUM($AM205:AX205)</f>
        <v>6350741782.9007626</v>
      </c>
      <c r="BM205" s="48">
        <f>AK205+SUM($AM205:AY205)</f>
        <v>6297818934.7099228</v>
      </c>
      <c r="BO205" s="47"/>
    </row>
    <row r="206" spans="3:67" s="41" customFormat="1" hidden="1" x14ac:dyDescent="0.3">
      <c r="C206" s="41" t="s">
        <v>1340</v>
      </c>
      <c r="D206" s="42" t="s">
        <v>338</v>
      </c>
      <c r="E206" s="42" t="str">
        <f t="shared" si="10"/>
        <v>211</v>
      </c>
      <c r="F206" s="41" t="str">
        <f>_xlfn.XLOOKUP($D206,MD_Account_Asset_Type[Nhóm tài sản],MD_Account_Asset_Type[Tên Nhóm tài sản])</f>
        <v>Máy móc, thiết bị - SX 627</v>
      </c>
      <c r="G206" s="41" t="str">
        <f>_xlfn.XLOOKUP($D206,MD_Account_Asset_Type[Nhóm tài sản],MD_Account_Asset_Type[Tên nhóm TS-Rút gọn])</f>
        <v>Máy móc thiết bị</v>
      </c>
      <c r="H206" s="41" t="str">
        <f>_xlfn.XLOOKUP($D206,MD_Account_Asset_Type[Nhóm tài sản],MD_Account_Asset_Type[Tên nhóm TS-Rút gọn-v2])</f>
        <v>Máy móc thiết bị</v>
      </c>
      <c r="I206" s="43" t="s">
        <v>935</v>
      </c>
      <c r="J206" s="42" t="s">
        <v>697</v>
      </c>
      <c r="K206" s="41" t="s">
        <v>830</v>
      </c>
      <c r="L206" s="42" t="s">
        <v>101</v>
      </c>
      <c r="M206" s="42" t="s">
        <v>176</v>
      </c>
      <c r="N206" s="44" t="s">
        <v>287</v>
      </c>
      <c r="O206" s="44"/>
      <c r="P206" s="41" t="s">
        <v>462</v>
      </c>
      <c r="Q206" s="41" t="str">
        <f t="shared" si="11"/>
        <v>627</v>
      </c>
      <c r="R206" s="41" t="str">
        <f>_xlfn.XLOOKUP($L206,MD_Cost_Center[Mã Cost Center],MD_Cost_Center[Ngành])</f>
        <v>Chung</v>
      </c>
      <c r="S206" s="41" t="str">
        <f>_xlfn.XLOOKUP($L206,MD_Cost_Center[Mã Cost Center],MD_Cost_Center[Ngành-Tách PET-Xơ sợi])</f>
        <v>HD/PP</v>
      </c>
      <c r="T206" s="45">
        <v>45627</v>
      </c>
      <c r="U206" s="46">
        <v>46722</v>
      </c>
      <c r="V206" s="47">
        <v>144</v>
      </c>
      <c r="W206" s="47">
        <v>107136753</v>
      </c>
      <c r="X206" s="47">
        <v>-522507.48854961834</v>
      </c>
      <c r="Y206" s="47">
        <v>107136753</v>
      </c>
      <c r="Z206" s="47">
        <v>107136753</v>
      </c>
      <c r="AA206" s="47">
        <v>107136753</v>
      </c>
      <c r="AB206" s="47">
        <v>107136753</v>
      </c>
      <c r="AC206" s="47">
        <v>107136753</v>
      </c>
      <c r="AD206" s="47">
        <v>107136753</v>
      </c>
      <c r="AE206" s="47">
        <v>107136753</v>
      </c>
      <c r="AF206" s="47">
        <v>107136753</v>
      </c>
      <c r="AG206" s="47">
        <v>107136753</v>
      </c>
      <c r="AH206" s="47">
        <v>107136753</v>
      </c>
      <c r="AI206" s="47">
        <v>107136753</v>
      </c>
      <c r="AJ206" s="47">
        <v>107136753</v>
      </c>
      <c r="AK206" s="47">
        <v>107136753</v>
      </c>
      <c r="AL206" s="47">
        <v>-35712251</v>
      </c>
      <c r="AM206" s="47">
        <v>-38688272</v>
      </c>
      <c r="AN206" s="47">
        <v>-522507.48854961834</v>
      </c>
      <c r="AO206" s="47">
        <v>-522507.48854961834</v>
      </c>
      <c r="AP206" s="47">
        <v>-522507.48854961834</v>
      </c>
      <c r="AQ206" s="47">
        <v>-522507.48854961834</v>
      </c>
      <c r="AR206" s="47">
        <v>-522507.48854961834</v>
      </c>
      <c r="AS206" s="47">
        <v>-522507.48854961834</v>
      </c>
      <c r="AT206" s="47">
        <v>-522507.48854961834</v>
      </c>
      <c r="AU206" s="47">
        <v>-522507.48854961834</v>
      </c>
      <c r="AV206" s="47">
        <v>-522507.48854961834</v>
      </c>
      <c r="AW206" s="47">
        <v>-522507.48854961834</v>
      </c>
      <c r="AX206" s="47">
        <v>-522507.48854961834</v>
      </c>
      <c r="AY206" s="47">
        <v>-522507.48854961834</v>
      </c>
      <c r="AZ206" s="58">
        <f t="shared" si="9"/>
        <v>-6270089.8625954194</v>
      </c>
      <c r="BA206" s="47">
        <f>Y206+SUM($AM206:AM206)</f>
        <v>68448481</v>
      </c>
      <c r="BB206" s="48">
        <f>Z206+SUM($AM206:AN206)</f>
        <v>67925973.51145038</v>
      </c>
      <c r="BC206" s="48">
        <f>AA206+SUM($AM206:AO206)</f>
        <v>67403466.02290076</v>
      </c>
      <c r="BD206" s="48">
        <f>AB206+SUM($AM206:AP206)</f>
        <v>66880958.53435114</v>
      </c>
      <c r="BE206" s="48">
        <f>AC206+SUM($AM206:AQ206)</f>
        <v>66358451.04580152</v>
      </c>
      <c r="BF206" s="48">
        <f>AD206+SUM($AM206:AR206)</f>
        <v>65835943.5572519</v>
      </c>
      <c r="BG206" s="48">
        <f>AE206+SUM($AM206:AS206)</f>
        <v>65313436.068702281</v>
      </c>
      <c r="BH206" s="48">
        <f>AF206+SUM($AM206:AT206)</f>
        <v>64790928.580152661</v>
      </c>
      <c r="BI206" s="48">
        <f>AG206+SUM($AM206:AU206)</f>
        <v>64268421.091603041</v>
      </c>
      <c r="BJ206" s="48">
        <f>AH206+SUM($AM206:AV206)</f>
        <v>63745913.603053421</v>
      </c>
      <c r="BK206" s="48">
        <f>AI206+SUM($AM206:AW206)</f>
        <v>63223406.114503801</v>
      </c>
      <c r="BL206" s="48">
        <f>AJ206+SUM($AM206:AX206)</f>
        <v>62700898.625954181</v>
      </c>
      <c r="BM206" s="48">
        <f>AK206+SUM($AM206:AY206)</f>
        <v>62178391.137404561</v>
      </c>
      <c r="BO206" s="47"/>
    </row>
    <row r="207" spans="3:67" s="41" customFormat="1" hidden="1" x14ac:dyDescent="0.3">
      <c r="C207" s="41" t="s">
        <v>1340</v>
      </c>
      <c r="D207" s="42" t="s">
        <v>338</v>
      </c>
      <c r="E207" s="42" t="str">
        <f t="shared" si="10"/>
        <v>211</v>
      </c>
      <c r="F207" s="41" t="str">
        <f>_xlfn.XLOOKUP($D207,MD_Account_Asset_Type[Nhóm tài sản],MD_Account_Asset_Type[Tên Nhóm tài sản])</f>
        <v>Máy móc, thiết bị - SX 627</v>
      </c>
      <c r="G207" s="41" t="str">
        <f>_xlfn.XLOOKUP($D207,MD_Account_Asset_Type[Nhóm tài sản],MD_Account_Asset_Type[Tên nhóm TS-Rút gọn])</f>
        <v>Máy móc thiết bị</v>
      </c>
      <c r="H207" s="41" t="str">
        <f>_xlfn.XLOOKUP($D207,MD_Account_Asset_Type[Nhóm tài sản],MD_Account_Asset_Type[Tên nhóm TS-Rút gọn-v2])</f>
        <v>Máy móc thiết bị</v>
      </c>
      <c r="I207" s="43" t="s">
        <v>936</v>
      </c>
      <c r="J207" s="42" t="s">
        <v>698</v>
      </c>
      <c r="K207" s="41" t="s">
        <v>830</v>
      </c>
      <c r="L207" s="42" t="s">
        <v>100</v>
      </c>
      <c r="M207" s="42" t="s">
        <v>175</v>
      </c>
      <c r="N207" s="44" t="s">
        <v>286</v>
      </c>
      <c r="O207" s="44"/>
      <c r="P207" s="41" t="s">
        <v>462</v>
      </c>
      <c r="Q207" s="41" t="str">
        <f t="shared" si="11"/>
        <v>627</v>
      </c>
      <c r="R207" s="41" t="str">
        <f>_xlfn.XLOOKUP($L207,MD_Cost_Center[Mã Cost Center],MD_Cost_Center[Ngành])</f>
        <v>PET</v>
      </c>
      <c r="S207" s="41" t="str">
        <f>_xlfn.XLOOKUP($L207,MD_Cost_Center[Mã Cost Center],MD_Cost_Center[Ngành-Tách PET-Xơ sợi])</f>
        <v>Chung-PET</v>
      </c>
      <c r="T207" s="45">
        <v>45717</v>
      </c>
      <c r="U207" s="46">
        <v>47543</v>
      </c>
      <c r="V207" s="47">
        <v>144</v>
      </c>
      <c r="W207" s="47">
        <v>2745703965</v>
      </c>
      <c r="X207" s="47">
        <v>-17075273.410447761</v>
      </c>
      <c r="Y207" s="47">
        <v>2745703965</v>
      </c>
      <c r="Z207" s="47">
        <v>2745703965</v>
      </c>
      <c r="AA207" s="47">
        <v>2745703965</v>
      </c>
      <c r="AB207" s="47">
        <v>2745703965</v>
      </c>
      <c r="AC207" s="47">
        <v>2745703965</v>
      </c>
      <c r="AD207" s="47">
        <v>2745703965</v>
      </c>
      <c r="AE207" s="47">
        <v>2745703965</v>
      </c>
      <c r="AF207" s="47">
        <v>2745703965</v>
      </c>
      <c r="AG207" s="47">
        <v>2745703965</v>
      </c>
      <c r="AH207" s="47">
        <v>2745703965</v>
      </c>
      <c r="AI207" s="47">
        <v>2745703965</v>
      </c>
      <c r="AJ207" s="47">
        <v>2745703965</v>
      </c>
      <c r="AK207" s="47">
        <v>2745703965</v>
      </c>
      <c r="AL207" s="47">
        <v>-457617328</v>
      </c>
      <c r="AM207" s="47">
        <v>-457617328</v>
      </c>
      <c r="AN207" s="47">
        <v>-17075273.410447761</v>
      </c>
      <c r="AO207" s="47">
        <v>-17075273.410447761</v>
      </c>
      <c r="AP207" s="47">
        <v>-17075273.410447761</v>
      </c>
      <c r="AQ207" s="47">
        <v>-17075273.410447761</v>
      </c>
      <c r="AR207" s="47">
        <v>-17075273.410447761</v>
      </c>
      <c r="AS207" s="47">
        <v>-17075273.410447761</v>
      </c>
      <c r="AT207" s="47">
        <v>-17075273.410447761</v>
      </c>
      <c r="AU207" s="47">
        <v>-17075273.410447761</v>
      </c>
      <c r="AV207" s="47">
        <v>-17075273.410447761</v>
      </c>
      <c r="AW207" s="47">
        <v>-17075273.410447761</v>
      </c>
      <c r="AX207" s="47">
        <v>-17075273.410447761</v>
      </c>
      <c r="AY207" s="47">
        <v>-17075273.410447761</v>
      </c>
      <c r="AZ207" s="58">
        <f t="shared" si="9"/>
        <v>-204903280.9253732</v>
      </c>
      <c r="BA207" s="47">
        <f>Y207+SUM($AM207:AM207)</f>
        <v>2288086637</v>
      </c>
      <c r="BB207" s="48">
        <f>Z207+SUM($AM207:AN207)</f>
        <v>2271011363.5895524</v>
      </c>
      <c r="BC207" s="48">
        <f>AA207+SUM($AM207:AO207)</f>
        <v>2253936090.1791043</v>
      </c>
      <c r="BD207" s="48">
        <f>AB207+SUM($AM207:AP207)</f>
        <v>2236860816.7686567</v>
      </c>
      <c r="BE207" s="48">
        <f>AC207+SUM($AM207:AQ207)</f>
        <v>2219785543.3582087</v>
      </c>
      <c r="BF207" s="48">
        <f>AD207+SUM($AM207:AR207)</f>
        <v>2202710269.9477611</v>
      </c>
      <c r="BG207" s="48">
        <f>AE207+SUM($AM207:AS207)</f>
        <v>2185634996.5373135</v>
      </c>
      <c r="BH207" s="48">
        <f>AF207+SUM($AM207:AT207)</f>
        <v>2168559723.1268659</v>
      </c>
      <c r="BI207" s="48">
        <f>AG207+SUM($AM207:AU207)</f>
        <v>2151484449.7164183</v>
      </c>
      <c r="BJ207" s="48">
        <f>AH207+SUM($AM207:AV207)</f>
        <v>2134409176.3059702</v>
      </c>
      <c r="BK207" s="48">
        <f>AI207+SUM($AM207:AW207)</f>
        <v>2117333902.8955226</v>
      </c>
      <c r="BL207" s="48">
        <f>AJ207+SUM($AM207:AX207)</f>
        <v>2100258629.485075</v>
      </c>
      <c r="BM207" s="48">
        <f>AK207+SUM($AM207:AY207)</f>
        <v>2083183356.0746272</v>
      </c>
      <c r="BO207" s="47"/>
    </row>
    <row r="208" spans="3:67" s="41" customFormat="1" hidden="1" x14ac:dyDescent="0.3">
      <c r="C208" s="41" t="s">
        <v>1340</v>
      </c>
      <c r="D208" s="42" t="s">
        <v>338</v>
      </c>
      <c r="E208" s="42" t="str">
        <f t="shared" si="10"/>
        <v>211</v>
      </c>
      <c r="F208" s="41" t="str">
        <f>_xlfn.XLOOKUP($D208,MD_Account_Asset_Type[Nhóm tài sản],MD_Account_Asset_Type[Tên Nhóm tài sản])</f>
        <v>Máy móc, thiết bị - SX 627</v>
      </c>
      <c r="G208" s="41" t="str">
        <f>_xlfn.XLOOKUP($D208,MD_Account_Asset_Type[Nhóm tài sản],MD_Account_Asset_Type[Tên nhóm TS-Rút gọn])</f>
        <v>Máy móc thiết bị</v>
      </c>
      <c r="H208" s="41" t="str">
        <f>_xlfn.XLOOKUP($D208,MD_Account_Asset_Type[Nhóm tài sản],MD_Account_Asset_Type[Tên nhóm TS-Rút gọn-v2])</f>
        <v>Máy móc thiết bị</v>
      </c>
      <c r="I208" s="43" t="s">
        <v>937</v>
      </c>
      <c r="J208" s="42" t="s">
        <v>699</v>
      </c>
      <c r="K208" s="41" t="s">
        <v>830</v>
      </c>
      <c r="L208" s="42" t="s">
        <v>100</v>
      </c>
      <c r="M208" s="42" t="s">
        <v>175</v>
      </c>
      <c r="N208" s="44" t="s">
        <v>286</v>
      </c>
      <c r="O208" s="44"/>
      <c r="P208" s="41" t="s">
        <v>462</v>
      </c>
      <c r="Q208" s="41" t="str">
        <f t="shared" si="11"/>
        <v>627</v>
      </c>
      <c r="R208" s="41" t="str">
        <f>_xlfn.XLOOKUP($L208,MD_Cost_Center[Mã Cost Center],MD_Cost_Center[Ngành])</f>
        <v>PET</v>
      </c>
      <c r="S208" s="41" t="str">
        <f>_xlfn.XLOOKUP($L208,MD_Cost_Center[Mã Cost Center],MD_Cost_Center[Ngành-Tách PET-Xơ sợi])</f>
        <v>Chung-PET</v>
      </c>
      <c r="T208" s="45">
        <v>45717</v>
      </c>
      <c r="U208" s="46">
        <v>47543</v>
      </c>
      <c r="V208" s="47">
        <v>144</v>
      </c>
      <c r="W208" s="47">
        <v>1300467332</v>
      </c>
      <c r="X208" s="47">
        <v>-8087483.4104477614</v>
      </c>
      <c r="Y208" s="47">
        <v>1300467332</v>
      </c>
      <c r="Z208" s="47">
        <v>1300467332</v>
      </c>
      <c r="AA208" s="47">
        <v>1300467332</v>
      </c>
      <c r="AB208" s="47">
        <v>1300467332</v>
      </c>
      <c r="AC208" s="47">
        <v>1300467332</v>
      </c>
      <c r="AD208" s="47">
        <v>1300467332</v>
      </c>
      <c r="AE208" s="47">
        <v>1300467332</v>
      </c>
      <c r="AF208" s="47">
        <v>1300467332</v>
      </c>
      <c r="AG208" s="47">
        <v>1300467332</v>
      </c>
      <c r="AH208" s="47">
        <v>1300467332</v>
      </c>
      <c r="AI208" s="47">
        <v>1300467332</v>
      </c>
      <c r="AJ208" s="47">
        <v>1300467332</v>
      </c>
      <c r="AK208" s="47">
        <v>1300467332</v>
      </c>
      <c r="AL208" s="47">
        <v>-216744555</v>
      </c>
      <c r="AM208" s="47">
        <v>-216744555</v>
      </c>
      <c r="AN208" s="47">
        <v>-8087483.4104477614</v>
      </c>
      <c r="AO208" s="47">
        <v>-8087483.4104477614</v>
      </c>
      <c r="AP208" s="47">
        <v>-8087483.4104477614</v>
      </c>
      <c r="AQ208" s="47">
        <v>-8087483.4104477614</v>
      </c>
      <c r="AR208" s="47">
        <v>-8087483.4104477614</v>
      </c>
      <c r="AS208" s="47">
        <v>-8087483.4104477614</v>
      </c>
      <c r="AT208" s="47">
        <v>-8087483.4104477614</v>
      </c>
      <c r="AU208" s="47">
        <v>-8087483.4104477614</v>
      </c>
      <c r="AV208" s="47">
        <v>-8087483.4104477614</v>
      </c>
      <c r="AW208" s="47">
        <v>-8087483.4104477614</v>
      </c>
      <c r="AX208" s="47">
        <v>-8087483.4104477614</v>
      </c>
      <c r="AY208" s="47">
        <v>-8087483.4104477614</v>
      </c>
      <c r="AZ208" s="58">
        <f t="shared" si="9"/>
        <v>-97049800.925373137</v>
      </c>
      <c r="BA208" s="47">
        <f>Y208+SUM($AM208:AM208)</f>
        <v>1083722777</v>
      </c>
      <c r="BB208" s="48">
        <f>Z208+SUM($AM208:AN208)</f>
        <v>1075635293.5895522</v>
      </c>
      <c r="BC208" s="48">
        <f>AA208+SUM($AM208:AO208)</f>
        <v>1067547810.1791044</v>
      </c>
      <c r="BD208" s="48">
        <f>AB208+SUM($AM208:AP208)</f>
        <v>1059460326.7686567</v>
      </c>
      <c r="BE208" s="48">
        <f>AC208+SUM($AM208:AQ208)</f>
        <v>1051372843.3582089</v>
      </c>
      <c r="BF208" s="48">
        <f>AD208+SUM($AM208:AR208)</f>
        <v>1043285359.9477611</v>
      </c>
      <c r="BG208" s="48">
        <f>AE208+SUM($AM208:AS208)</f>
        <v>1035197876.5373133</v>
      </c>
      <c r="BH208" s="48">
        <f>AF208+SUM($AM208:AT208)</f>
        <v>1027110393.1268656</v>
      </c>
      <c r="BI208" s="48">
        <f>AG208+SUM($AM208:AU208)</f>
        <v>1019022909.7164178</v>
      </c>
      <c r="BJ208" s="48">
        <f>AH208+SUM($AM208:AV208)</f>
        <v>1010935426.30597</v>
      </c>
      <c r="BK208" s="48">
        <f>AI208+SUM($AM208:AW208)</f>
        <v>1002847942.8955222</v>
      </c>
      <c r="BL208" s="48">
        <f>AJ208+SUM($AM208:AX208)</f>
        <v>994760459.48507452</v>
      </c>
      <c r="BM208" s="48">
        <f>AK208+SUM($AM208:AY208)</f>
        <v>986672976.07462668</v>
      </c>
      <c r="BO208" s="47"/>
    </row>
    <row r="209" spans="3:67" s="41" customFormat="1" hidden="1" x14ac:dyDescent="0.3">
      <c r="C209" s="41" t="s">
        <v>1340</v>
      </c>
      <c r="D209" s="42" t="s">
        <v>338</v>
      </c>
      <c r="E209" s="42" t="str">
        <f t="shared" si="10"/>
        <v>211</v>
      </c>
      <c r="F209" s="41" t="str">
        <f>_xlfn.XLOOKUP($D209,MD_Account_Asset_Type[Nhóm tài sản],MD_Account_Asset_Type[Tên Nhóm tài sản])</f>
        <v>Máy móc, thiết bị - SX 627</v>
      </c>
      <c r="G209" s="41" t="str">
        <f>_xlfn.XLOOKUP($D209,MD_Account_Asset_Type[Nhóm tài sản],MD_Account_Asset_Type[Tên nhóm TS-Rút gọn])</f>
        <v>Máy móc thiết bị</v>
      </c>
      <c r="H209" s="41" t="str">
        <f>_xlfn.XLOOKUP($D209,MD_Account_Asset_Type[Nhóm tài sản],MD_Account_Asset_Type[Tên nhóm TS-Rút gọn-v2])</f>
        <v>Máy móc thiết bị</v>
      </c>
      <c r="I209" s="43" t="s">
        <v>938</v>
      </c>
      <c r="J209" s="42" t="s">
        <v>700</v>
      </c>
      <c r="K209" s="41" t="s">
        <v>830</v>
      </c>
      <c r="L209" s="42" t="s">
        <v>100</v>
      </c>
      <c r="M209" s="42" t="s">
        <v>175</v>
      </c>
      <c r="N209" s="44" t="s">
        <v>286</v>
      </c>
      <c r="O209" s="44"/>
      <c r="P209" s="41" t="s">
        <v>462</v>
      </c>
      <c r="Q209" s="41" t="str">
        <f t="shared" si="11"/>
        <v>627</v>
      </c>
      <c r="R209" s="41" t="str">
        <f>_xlfn.XLOOKUP($L209,MD_Cost_Center[Mã Cost Center],MD_Cost_Center[Ngành])</f>
        <v>PET</v>
      </c>
      <c r="S209" s="41" t="str">
        <f>_xlfn.XLOOKUP($L209,MD_Cost_Center[Mã Cost Center],MD_Cost_Center[Ngành-Tách PET-Xơ sợi])</f>
        <v>Chung-PET</v>
      </c>
      <c r="T209" s="45">
        <v>45717</v>
      </c>
      <c r="U209" s="46">
        <v>46813</v>
      </c>
      <c r="V209" s="47">
        <v>144</v>
      </c>
      <c r="W209" s="47">
        <v>486411454</v>
      </c>
      <c r="X209" s="47">
        <v>-2621620.6044776118</v>
      </c>
      <c r="Y209" s="47">
        <v>486411454</v>
      </c>
      <c r="Z209" s="47">
        <v>486411454</v>
      </c>
      <c r="AA209" s="47">
        <v>486411454</v>
      </c>
      <c r="AB209" s="47">
        <v>486411454</v>
      </c>
      <c r="AC209" s="47">
        <v>486411454</v>
      </c>
      <c r="AD209" s="47">
        <v>486411454</v>
      </c>
      <c r="AE209" s="47">
        <v>486411454</v>
      </c>
      <c r="AF209" s="47">
        <v>486411454</v>
      </c>
      <c r="AG209" s="47">
        <v>486411454</v>
      </c>
      <c r="AH209" s="47">
        <v>486411454</v>
      </c>
      <c r="AI209" s="47">
        <v>486411454</v>
      </c>
      <c r="AJ209" s="47">
        <v>486411454</v>
      </c>
      <c r="AK209" s="47">
        <v>486411454</v>
      </c>
      <c r="AL209" s="47">
        <v>-135114293</v>
      </c>
      <c r="AM209" s="47">
        <v>-135114293</v>
      </c>
      <c r="AN209" s="47">
        <v>-2621620.6044776118</v>
      </c>
      <c r="AO209" s="47">
        <v>-2621620.6044776118</v>
      </c>
      <c r="AP209" s="47">
        <v>-2621620.6044776118</v>
      </c>
      <c r="AQ209" s="47">
        <v>-2621620.6044776118</v>
      </c>
      <c r="AR209" s="47">
        <v>-2621620.6044776118</v>
      </c>
      <c r="AS209" s="47">
        <v>-2621620.6044776118</v>
      </c>
      <c r="AT209" s="47">
        <v>-2621620.6044776118</v>
      </c>
      <c r="AU209" s="47">
        <v>-2621620.6044776118</v>
      </c>
      <c r="AV209" s="47">
        <v>-2621620.6044776118</v>
      </c>
      <c r="AW209" s="47">
        <v>-2621620.6044776118</v>
      </c>
      <c r="AX209" s="47">
        <v>-2621620.6044776118</v>
      </c>
      <c r="AY209" s="47">
        <v>-2621620.6044776118</v>
      </c>
      <c r="AZ209" s="58">
        <f t="shared" si="9"/>
        <v>-31459447.253731336</v>
      </c>
      <c r="BA209" s="47">
        <f>Y209+SUM($AM209:AM209)</f>
        <v>351297161</v>
      </c>
      <c r="BB209" s="48">
        <f>Z209+SUM($AM209:AN209)</f>
        <v>348675540.39552236</v>
      </c>
      <c r="BC209" s="48">
        <f>AA209+SUM($AM209:AO209)</f>
        <v>346053919.79104477</v>
      </c>
      <c r="BD209" s="48">
        <f>AB209+SUM($AM209:AP209)</f>
        <v>343432299.18656719</v>
      </c>
      <c r="BE209" s="48">
        <f>AC209+SUM($AM209:AQ209)</f>
        <v>340810678.58208954</v>
      </c>
      <c r="BF209" s="48">
        <f>AD209+SUM($AM209:AR209)</f>
        <v>338189057.9776119</v>
      </c>
      <c r="BG209" s="48">
        <f>AE209+SUM($AM209:AS209)</f>
        <v>335567437.37313432</v>
      </c>
      <c r="BH209" s="48">
        <f>AF209+SUM($AM209:AT209)</f>
        <v>332945816.76865673</v>
      </c>
      <c r="BI209" s="48">
        <f>AG209+SUM($AM209:AU209)</f>
        <v>330324196.16417909</v>
      </c>
      <c r="BJ209" s="48">
        <f>AH209+SUM($AM209:AV209)</f>
        <v>327702575.55970144</v>
      </c>
      <c r="BK209" s="48">
        <f>AI209+SUM($AM209:AW209)</f>
        <v>325080954.95522386</v>
      </c>
      <c r="BL209" s="48">
        <f>AJ209+SUM($AM209:AX209)</f>
        <v>322459334.35074627</v>
      </c>
      <c r="BM209" s="48">
        <f>AK209+SUM($AM209:AY209)</f>
        <v>319837713.74626863</v>
      </c>
      <c r="BO209" s="47"/>
    </row>
    <row r="210" spans="3:67" s="41" customFormat="1" hidden="1" x14ac:dyDescent="0.3">
      <c r="C210" s="41" t="s">
        <v>1340</v>
      </c>
      <c r="D210" s="42" t="s">
        <v>338</v>
      </c>
      <c r="E210" s="42" t="str">
        <f t="shared" si="10"/>
        <v>211</v>
      </c>
      <c r="F210" s="41" t="str">
        <f>_xlfn.XLOOKUP($D210,MD_Account_Asset_Type[Nhóm tài sản],MD_Account_Asset_Type[Tên Nhóm tài sản])</f>
        <v>Máy móc, thiết bị - SX 627</v>
      </c>
      <c r="G210" s="41" t="str">
        <f>_xlfn.XLOOKUP($D210,MD_Account_Asset_Type[Nhóm tài sản],MD_Account_Asset_Type[Tên nhóm TS-Rút gọn])</f>
        <v>Máy móc thiết bị</v>
      </c>
      <c r="H210" s="41" t="str">
        <f>_xlfn.XLOOKUP($D210,MD_Account_Asset_Type[Nhóm tài sản],MD_Account_Asset_Type[Tên nhóm TS-Rút gọn-v2])</f>
        <v>Máy móc thiết bị</v>
      </c>
      <c r="I210" s="43" t="s">
        <v>939</v>
      </c>
      <c r="J210" s="42" t="s">
        <v>701</v>
      </c>
      <c r="K210" s="41" t="s">
        <v>830</v>
      </c>
      <c r="L210" s="42" t="s">
        <v>64</v>
      </c>
      <c r="M210" s="42" t="s">
        <v>139</v>
      </c>
      <c r="N210" s="44" t="s">
        <v>257</v>
      </c>
      <c r="O210" s="44"/>
      <c r="P210" s="41" t="s">
        <v>462</v>
      </c>
      <c r="Q210" s="41" t="str">
        <f t="shared" si="11"/>
        <v>627</v>
      </c>
      <c r="R210" s="41" t="str">
        <f>_xlfn.XLOOKUP($L210,MD_Cost_Center[Mã Cost Center],MD_Cost_Center[Ngành])</f>
        <v>PET</v>
      </c>
      <c r="S210" s="41" t="str">
        <f>_xlfn.XLOOKUP($L210,MD_Cost_Center[Mã Cost Center],MD_Cost_Center[Ngành-Tách PET-Xơ sợi])</f>
        <v>Chung-PET</v>
      </c>
      <c r="T210" s="45">
        <v>45717</v>
      </c>
      <c r="U210" s="46">
        <v>46813</v>
      </c>
      <c r="V210" s="47">
        <v>144</v>
      </c>
      <c r="W210" s="47">
        <v>432632369</v>
      </c>
      <c r="X210" s="47">
        <v>-2331766.5</v>
      </c>
      <c r="Y210" s="47">
        <v>432632369</v>
      </c>
      <c r="Z210" s="47">
        <v>432632369</v>
      </c>
      <c r="AA210" s="47">
        <v>432632369</v>
      </c>
      <c r="AB210" s="47">
        <v>432632369</v>
      </c>
      <c r="AC210" s="47">
        <v>432632369</v>
      </c>
      <c r="AD210" s="47">
        <v>432632369</v>
      </c>
      <c r="AE210" s="47">
        <v>432632369</v>
      </c>
      <c r="AF210" s="47">
        <v>432632369</v>
      </c>
      <c r="AG210" s="47">
        <v>432632369</v>
      </c>
      <c r="AH210" s="47">
        <v>432632369</v>
      </c>
      <c r="AI210" s="47">
        <v>432632369</v>
      </c>
      <c r="AJ210" s="47">
        <v>432632369</v>
      </c>
      <c r="AK210" s="47">
        <v>432632369</v>
      </c>
      <c r="AL210" s="47">
        <v>-120175658</v>
      </c>
      <c r="AM210" s="47">
        <v>-120175658</v>
      </c>
      <c r="AN210" s="47">
        <v>-2331766.5</v>
      </c>
      <c r="AO210" s="47">
        <v>-2331766.5</v>
      </c>
      <c r="AP210" s="47">
        <v>-2331766.5</v>
      </c>
      <c r="AQ210" s="47">
        <v>-2331766.5</v>
      </c>
      <c r="AR210" s="47">
        <v>-2331766.5</v>
      </c>
      <c r="AS210" s="47">
        <v>-2331766.5</v>
      </c>
      <c r="AT210" s="47">
        <v>-2331766.5</v>
      </c>
      <c r="AU210" s="47">
        <v>-2331766.5</v>
      </c>
      <c r="AV210" s="47">
        <v>-2331766.5</v>
      </c>
      <c r="AW210" s="47">
        <v>-2331766.5</v>
      </c>
      <c r="AX210" s="47">
        <v>-2331766.5</v>
      </c>
      <c r="AY210" s="47">
        <v>-2331766.5</v>
      </c>
      <c r="AZ210" s="58">
        <f t="shared" si="9"/>
        <v>-27981198</v>
      </c>
      <c r="BA210" s="47">
        <f>Y210+SUM($AM210:AM210)</f>
        <v>312456711</v>
      </c>
      <c r="BB210" s="48">
        <f>Z210+SUM($AM210:AN210)</f>
        <v>310124944.5</v>
      </c>
      <c r="BC210" s="48">
        <f>AA210+SUM($AM210:AO210)</f>
        <v>307793178</v>
      </c>
      <c r="BD210" s="48">
        <f>AB210+SUM($AM210:AP210)</f>
        <v>305461411.5</v>
      </c>
      <c r="BE210" s="48">
        <f>AC210+SUM($AM210:AQ210)</f>
        <v>303129645</v>
      </c>
      <c r="BF210" s="48">
        <f>AD210+SUM($AM210:AR210)</f>
        <v>300797878.5</v>
      </c>
      <c r="BG210" s="48">
        <f>AE210+SUM($AM210:AS210)</f>
        <v>298466112</v>
      </c>
      <c r="BH210" s="48">
        <f>AF210+SUM($AM210:AT210)</f>
        <v>296134345.5</v>
      </c>
      <c r="BI210" s="48">
        <f>AG210+SUM($AM210:AU210)</f>
        <v>293802579</v>
      </c>
      <c r="BJ210" s="48">
        <f>AH210+SUM($AM210:AV210)</f>
        <v>291470812.5</v>
      </c>
      <c r="BK210" s="48">
        <f>AI210+SUM($AM210:AW210)</f>
        <v>289139046</v>
      </c>
      <c r="BL210" s="48">
        <f>AJ210+SUM($AM210:AX210)</f>
        <v>286807279.5</v>
      </c>
      <c r="BM210" s="48">
        <f>AK210+SUM($AM210:AY210)</f>
        <v>284475513</v>
      </c>
      <c r="BO210" s="47"/>
    </row>
    <row r="211" spans="3:67" s="41" customFormat="1" hidden="1" x14ac:dyDescent="0.3">
      <c r="C211" s="41" t="s">
        <v>1340</v>
      </c>
      <c r="D211" s="42" t="s">
        <v>338</v>
      </c>
      <c r="E211" s="42" t="str">
        <f t="shared" si="10"/>
        <v>211</v>
      </c>
      <c r="F211" s="41" t="str">
        <f>_xlfn.XLOOKUP($D211,MD_Account_Asset_Type[Nhóm tài sản],MD_Account_Asset_Type[Tên Nhóm tài sản])</f>
        <v>Máy móc, thiết bị - SX 627</v>
      </c>
      <c r="G211" s="41" t="str">
        <f>_xlfn.XLOOKUP($D211,MD_Account_Asset_Type[Nhóm tài sản],MD_Account_Asset_Type[Tên nhóm TS-Rút gọn])</f>
        <v>Máy móc thiết bị</v>
      </c>
      <c r="H211" s="41" t="str">
        <f>_xlfn.XLOOKUP($D211,MD_Account_Asset_Type[Nhóm tài sản],MD_Account_Asset_Type[Tên nhóm TS-Rút gọn-v2])</f>
        <v>Máy móc thiết bị</v>
      </c>
      <c r="I211" s="43" t="s">
        <v>940</v>
      </c>
      <c r="J211" s="42" t="s">
        <v>702</v>
      </c>
      <c r="K211" s="41" t="s">
        <v>830</v>
      </c>
      <c r="L211" s="42" t="s">
        <v>59</v>
      </c>
      <c r="M211" s="42" t="s">
        <v>134</v>
      </c>
      <c r="N211" s="44" t="s">
        <v>252</v>
      </c>
      <c r="O211" s="44"/>
      <c r="P211" s="41" t="s">
        <v>462</v>
      </c>
      <c r="Q211" s="41" t="str">
        <f t="shared" si="11"/>
        <v>627</v>
      </c>
      <c r="R211" s="41" t="str">
        <f>_xlfn.XLOOKUP($L211,MD_Cost_Center[Mã Cost Center],MD_Cost_Center[Ngành])</f>
        <v>HD/PP</v>
      </c>
      <c r="S211" s="41" t="str">
        <f>_xlfn.XLOOKUP($L211,MD_Cost_Center[Mã Cost Center],MD_Cost_Center[Ngành-Tách PET-Xơ sợi])</f>
        <v>Chung-PET</v>
      </c>
      <c r="T211" s="45">
        <v>45748</v>
      </c>
      <c r="U211" s="46">
        <v>48670</v>
      </c>
      <c r="V211" s="47">
        <v>144</v>
      </c>
      <c r="W211" s="47">
        <v>6670000000</v>
      </c>
      <c r="X211" s="47">
        <v>-44775462.962962963</v>
      </c>
      <c r="Y211" s="47">
        <v>6670000000</v>
      </c>
      <c r="Z211" s="47">
        <v>6670000000</v>
      </c>
      <c r="AA211" s="47">
        <v>6670000000</v>
      </c>
      <c r="AB211" s="47">
        <v>6670000000</v>
      </c>
      <c r="AC211" s="47">
        <v>6670000000</v>
      </c>
      <c r="AD211" s="47">
        <v>6670000000</v>
      </c>
      <c r="AE211" s="47">
        <v>6670000000</v>
      </c>
      <c r="AF211" s="47">
        <v>6670000000</v>
      </c>
      <c r="AG211" s="47">
        <v>6670000000</v>
      </c>
      <c r="AH211" s="47">
        <v>6670000000</v>
      </c>
      <c r="AI211" s="47">
        <v>6670000000</v>
      </c>
      <c r="AJ211" s="47">
        <v>6670000000</v>
      </c>
      <c r="AK211" s="47">
        <v>6670000000</v>
      </c>
      <c r="AL211" s="47">
        <v>-625312500</v>
      </c>
      <c r="AM211" s="47">
        <v>-625312500</v>
      </c>
      <c r="AN211" s="47">
        <v>-44775462.962962963</v>
      </c>
      <c r="AO211" s="47">
        <v>-44775462.962962963</v>
      </c>
      <c r="AP211" s="47">
        <v>-44775462.962962963</v>
      </c>
      <c r="AQ211" s="47">
        <v>-44775462.962962963</v>
      </c>
      <c r="AR211" s="47">
        <v>-44775462.962962963</v>
      </c>
      <c r="AS211" s="47">
        <v>-44775462.962962963</v>
      </c>
      <c r="AT211" s="47">
        <v>-44775462.962962963</v>
      </c>
      <c r="AU211" s="47">
        <v>-44775462.962962963</v>
      </c>
      <c r="AV211" s="47">
        <v>-44775462.962962963</v>
      </c>
      <c r="AW211" s="47">
        <v>-44775462.962962963</v>
      </c>
      <c r="AX211" s="47">
        <v>-44775462.962962963</v>
      </c>
      <c r="AY211" s="47">
        <v>-44775462.962962963</v>
      </c>
      <c r="AZ211" s="58">
        <f t="shared" si="9"/>
        <v>-537305555.5555557</v>
      </c>
      <c r="BA211" s="47">
        <f>Y211+SUM($AM211:AM211)</f>
        <v>6044687500</v>
      </c>
      <c r="BB211" s="48">
        <f>Z211+SUM($AM211:AN211)</f>
        <v>5999912037.0370369</v>
      </c>
      <c r="BC211" s="48">
        <f>AA211+SUM($AM211:AO211)</f>
        <v>5955136574.0740738</v>
      </c>
      <c r="BD211" s="48">
        <f>AB211+SUM($AM211:AP211)</f>
        <v>5910361111.1111107</v>
      </c>
      <c r="BE211" s="48">
        <f>AC211+SUM($AM211:AQ211)</f>
        <v>5865585648.1481476</v>
      </c>
      <c r="BF211" s="48">
        <f>AD211+SUM($AM211:AR211)</f>
        <v>5820810185.1851854</v>
      </c>
      <c r="BG211" s="48">
        <f>AE211+SUM($AM211:AS211)</f>
        <v>5776034722.2222223</v>
      </c>
      <c r="BH211" s="48">
        <f>AF211+SUM($AM211:AT211)</f>
        <v>5731259259.2592592</v>
      </c>
      <c r="BI211" s="48">
        <f>AG211+SUM($AM211:AU211)</f>
        <v>5686483796.2962961</v>
      </c>
      <c r="BJ211" s="48">
        <f>AH211+SUM($AM211:AV211)</f>
        <v>5641708333.333333</v>
      </c>
      <c r="BK211" s="48">
        <f>AI211+SUM($AM211:AW211)</f>
        <v>5596932870.3703699</v>
      </c>
      <c r="BL211" s="48">
        <f>AJ211+SUM($AM211:AX211)</f>
        <v>5552157407.4074078</v>
      </c>
      <c r="BM211" s="48">
        <f>AK211+SUM($AM211:AY211)</f>
        <v>5507381944.4444447</v>
      </c>
      <c r="BO211" s="47"/>
    </row>
    <row r="212" spans="3:67" s="41" customFormat="1" hidden="1" x14ac:dyDescent="0.3">
      <c r="C212" s="41" t="s">
        <v>1340</v>
      </c>
      <c r="D212" s="42" t="s">
        <v>344</v>
      </c>
      <c r="E212" s="42" t="str">
        <f t="shared" si="10"/>
        <v>211</v>
      </c>
      <c r="F212" s="41" t="str">
        <f>_xlfn.XLOOKUP($D212,MD_Account_Asset_Type[Nhóm tài sản],MD_Account_Asset_Type[Tên Nhóm tài sản])</f>
        <v>Phương tiện vận tải , truyền dẫn - QL 642</v>
      </c>
      <c r="G212" s="41" t="str">
        <f>_xlfn.XLOOKUP($D212,MD_Account_Asset_Type[Nhóm tài sản],MD_Account_Asset_Type[Tên nhóm TS-Rút gọn])</f>
        <v>Phương tiện vận tải</v>
      </c>
      <c r="H212" s="41" t="str">
        <f>_xlfn.XLOOKUP($D212,MD_Account_Asset_Type[Nhóm tài sản],MD_Account_Asset_Type[Tên nhóm TS-Rút gọn-v2])</f>
        <v>Phương tiện vận tải</v>
      </c>
      <c r="I212" s="43" t="s">
        <v>1095</v>
      </c>
      <c r="J212" s="42" t="s">
        <v>703</v>
      </c>
      <c r="K212" s="41" t="s">
        <v>830</v>
      </c>
      <c r="L212" s="42" t="s">
        <v>36</v>
      </c>
      <c r="M212" s="42" t="s">
        <v>111</v>
      </c>
      <c r="N212" s="44">
        <v>0</v>
      </c>
      <c r="O212" s="44"/>
      <c r="P212" s="41" t="s">
        <v>473</v>
      </c>
      <c r="Q212" s="41" t="str">
        <f t="shared" si="11"/>
        <v>642</v>
      </c>
      <c r="R212" s="41" t="str">
        <f>_xlfn.XLOOKUP($L212,MD_Cost_Center[Mã Cost Center],MD_Cost_Center[Ngành])</f>
        <v>Chung</v>
      </c>
      <c r="S212" s="41" t="str">
        <f>_xlfn.XLOOKUP($L212,MD_Cost_Center[Mã Cost Center],MD_Cost_Center[Ngành-Tách PET-Xơ sợi])</f>
        <v>Chung</v>
      </c>
      <c r="T212" s="45">
        <v>44334</v>
      </c>
      <c r="U212" s="46">
        <v>47256</v>
      </c>
      <c r="V212" s="47">
        <v>120</v>
      </c>
      <c r="W212" s="47">
        <v>565832789</v>
      </c>
      <c r="X212" s="47">
        <v>-3683807.21875</v>
      </c>
      <c r="Y212" s="47">
        <v>565832789</v>
      </c>
      <c r="Z212" s="47">
        <v>565832789</v>
      </c>
      <c r="AA212" s="47">
        <v>565832789</v>
      </c>
      <c r="AB212" s="47">
        <v>565832789</v>
      </c>
      <c r="AC212" s="47">
        <v>565832789</v>
      </c>
      <c r="AD212" s="47">
        <v>565832789</v>
      </c>
      <c r="AE212" s="47">
        <v>565832789</v>
      </c>
      <c r="AF212" s="47">
        <v>565832789</v>
      </c>
      <c r="AG212" s="47">
        <v>565832789</v>
      </c>
      <c r="AH212" s="47">
        <v>565832789</v>
      </c>
      <c r="AI212" s="47">
        <v>565832789</v>
      </c>
      <c r="AJ212" s="47">
        <v>565832789</v>
      </c>
      <c r="AK212" s="47">
        <v>565832789</v>
      </c>
      <c r="AL212" s="47">
        <v>-70729098</v>
      </c>
      <c r="AM212" s="47">
        <v>-330069127</v>
      </c>
      <c r="AN212" s="47">
        <v>-3683807.21875</v>
      </c>
      <c r="AO212" s="47">
        <v>-3683807.21875</v>
      </c>
      <c r="AP212" s="47">
        <v>-3683807.21875</v>
      </c>
      <c r="AQ212" s="47">
        <v>-3683807.21875</v>
      </c>
      <c r="AR212" s="47">
        <v>-3683807.21875</v>
      </c>
      <c r="AS212" s="47">
        <v>-3683807.21875</v>
      </c>
      <c r="AT212" s="47">
        <v>-3683807.21875</v>
      </c>
      <c r="AU212" s="47">
        <v>-3683807.21875</v>
      </c>
      <c r="AV212" s="47">
        <v>-3683807.21875</v>
      </c>
      <c r="AW212" s="47">
        <v>-3683807.21875</v>
      </c>
      <c r="AX212" s="47">
        <v>-3683807.21875</v>
      </c>
      <c r="AY212" s="47">
        <v>-3683807.21875</v>
      </c>
      <c r="AZ212" s="58">
        <f t="shared" si="9"/>
        <v>-44205686.625</v>
      </c>
      <c r="BA212" s="47">
        <f>Y212+SUM($AM212:AM212)</f>
        <v>235763662</v>
      </c>
      <c r="BB212" s="48">
        <f>Z212+SUM($AM212:AN212)</f>
        <v>232079854.78125</v>
      </c>
      <c r="BC212" s="48">
        <f>AA212+SUM($AM212:AO212)</f>
        <v>228396047.5625</v>
      </c>
      <c r="BD212" s="48">
        <f>AB212+SUM($AM212:AP212)</f>
        <v>224712240.34375</v>
      </c>
      <c r="BE212" s="48">
        <f>AC212+SUM($AM212:AQ212)</f>
        <v>221028433.125</v>
      </c>
      <c r="BF212" s="48">
        <f>AD212+SUM($AM212:AR212)</f>
        <v>217344625.90625</v>
      </c>
      <c r="BG212" s="48">
        <f>AE212+SUM($AM212:AS212)</f>
        <v>213660818.6875</v>
      </c>
      <c r="BH212" s="48">
        <f>AF212+SUM($AM212:AT212)</f>
        <v>209977011.46875</v>
      </c>
      <c r="BI212" s="48">
        <f>AG212+SUM($AM212:AU212)</f>
        <v>206293204.25</v>
      </c>
      <c r="BJ212" s="48">
        <f>AH212+SUM($AM212:AV212)</f>
        <v>202609397.03125</v>
      </c>
      <c r="BK212" s="48">
        <f>AI212+SUM($AM212:AW212)</f>
        <v>198925589.8125</v>
      </c>
      <c r="BL212" s="48">
        <f>AJ212+SUM($AM212:AX212)</f>
        <v>195241782.59375</v>
      </c>
      <c r="BM212" s="48">
        <f>AK212+SUM($AM212:AY212)</f>
        <v>191557975.375</v>
      </c>
      <c r="BO212" s="47"/>
    </row>
    <row r="213" spans="3:67" s="41" customFormat="1" hidden="1" x14ac:dyDescent="0.3">
      <c r="C213" s="41" t="s">
        <v>1340</v>
      </c>
      <c r="D213" s="42" t="s">
        <v>344</v>
      </c>
      <c r="E213" s="42" t="str">
        <f t="shared" si="10"/>
        <v>211</v>
      </c>
      <c r="F213" s="41" t="str">
        <f>_xlfn.XLOOKUP($D213,MD_Account_Asset_Type[Nhóm tài sản],MD_Account_Asset_Type[Tên Nhóm tài sản])</f>
        <v>Phương tiện vận tải , truyền dẫn - QL 642</v>
      </c>
      <c r="G213" s="41" t="str">
        <f>_xlfn.XLOOKUP($D213,MD_Account_Asset_Type[Nhóm tài sản],MD_Account_Asset_Type[Tên nhóm TS-Rút gọn])</f>
        <v>Phương tiện vận tải</v>
      </c>
      <c r="H213" s="41" t="str">
        <f>_xlfn.XLOOKUP($D213,MD_Account_Asset_Type[Nhóm tài sản],MD_Account_Asset_Type[Tên nhóm TS-Rút gọn-v2])</f>
        <v>Phương tiện vận tải</v>
      </c>
      <c r="I213" s="43" t="s">
        <v>1096</v>
      </c>
      <c r="J213" s="42" t="s">
        <v>704</v>
      </c>
      <c r="K213" s="41" t="s">
        <v>830</v>
      </c>
      <c r="L213" s="42" t="s">
        <v>36</v>
      </c>
      <c r="M213" s="42" t="s">
        <v>111</v>
      </c>
      <c r="N213" s="44">
        <v>0</v>
      </c>
      <c r="O213" s="44"/>
      <c r="P213" s="41" t="s">
        <v>473</v>
      </c>
      <c r="Q213" s="41" t="str">
        <f t="shared" si="11"/>
        <v>642</v>
      </c>
      <c r="R213" s="41" t="str">
        <f>_xlfn.XLOOKUP($L213,MD_Cost_Center[Mã Cost Center],MD_Cost_Center[Ngành])</f>
        <v>Chung</v>
      </c>
      <c r="S213" s="41" t="str">
        <f>_xlfn.XLOOKUP($L213,MD_Cost_Center[Mã Cost Center],MD_Cost_Center[Ngành-Tách PET-Xơ sợi])</f>
        <v>Chung</v>
      </c>
      <c r="T213" s="45">
        <v>44986</v>
      </c>
      <c r="U213" s="46">
        <v>46082</v>
      </c>
      <c r="V213" s="47">
        <v>120</v>
      </c>
      <c r="W213" s="47">
        <v>280000000</v>
      </c>
      <c r="X213" s="47">
        <v>-180878.55813953487</v>
      </c>
      <c r="Y213" s="47">
        <v>280000000</v>
      </c>
      <c r="Z213" s="47">
        <v>280000000</v>
      </c>
      <c r="AA213" s="47">
        <v>280000000</v>
      </c>
      <c r="AB213" s="47">
        <v>280000000</v>
      </c>
      <c r="AC213" s="47">
        <v>280000000</v>
      </c>
      <c r="AD213" s="47">
        <v>280000000</v>
      </c>
      <c r="AE213" s="47">
        <v>280000000</v>
      </c>
      <c r="AF213" s="47">
        <v>280000000</v>
      </c>
      <c r="AG213" s="47">
        <v>280000000</v>
      </c>
      <c r="AH213" s="47">
        <v>280000000</v>
      </c>
      <c r="AI213" s="47">
        <v>280000000</v>
      </c>
      <c r="AJ213" s="47">
        <v>280000000</v>
      </c>
      <c r="AK213" s="47">
        <v>280000000</v>
      </c>
      <c r="AL213" s="47">
        <v>-93333333</v>
      </c>
      <c r="AM213" s="47">
        <v>-264444444</v>
      </c>
      <c r="AN213" s="47">
        <v>-180878.55813953487</v>
      </c>
      <c r="AO213" s="47">
        <v>-180878.55813953487</v>
      </c>
      <c r="AP213" s="47">
        <v>-180878.55813953487</v>
      </c>
      <c r="AQ213" s="47">
        <v>-180878.55813953487</v>
      </c>
      <c r="AR213" s="47">
        <v>-180878.55813953487</v>
      </c>
      <c r="AS213" s="47">
        <v>-180878.55813953487</v>
      </c>
      <c r="AT213" s="47">
        <v>-180878.55813953487</v>
      </c>
      <c r="AU213" s="47">
        <v>-180878.55813953487</v>
      </c>
      <c r="AV213" s="47">
        <v>-180878.55813953487</v>
      </c>
      <c r="AW213" s="47">
        <v>-180878.55813953487</v>
      </c>
      <c r="AX213" s="47">
        <v>-180878.55813953487</v>
      </c>
      <c r="AY213" s="47">
        <v>-180878.55813953487</v>
      </c>
      <c r="AZ213" s="58">
        <f t="shared" si="9"/>
        <v>-2170542.6976744183</v>
      </c>
      <c r="BA213" s="47">
        <f>Y213+SUM($AM213:AM213)</f>
        <v>15555556</v>
      </c>
      <c r="BB213" s="48">
        <f>Z213+SUM($AM213:AN213)</f>
        <v>15374677.441860467</v>
      </c>
      <c r="BC213" s="48">
        <f>AA213+SUM($AM213:AO213)</f>
        <v>15193798.883720934</v>
      </c>
      <c r="BD213" s="48">
        <f>AB213+SUM($AM213:AP213)</f>
        <v>15012920.325581402</v>
      </c>
      <c r="BE213" s="48">
        <f>AC213+SUM($AM213:AQ213)</f>
        <v>14832041.767441869</v>
      </c>
      <c r="BF213" s="48">
        <f>AD213+SUM($AM213:AR213)</f>
        <v>14651163.209302336</v>
      </c>
      <c r="BG213" s="48">
        <f>AE213+SUM($AM213:AS213)</f>
        <v>14470284.651162803</v>
      </c>
      <c r="BH213" s="48">
        <f>AF213+SUM($AM213:AT213)</f>
        <v>14289406.09302327</v>
      </c>
      <c r="BI213" s="48">
        <f>AG213+SUM($AM213:AU213)</f>
        <v>14108527.534883738</v>
      </c>
      <c r="BJ213" s="48">
        <f>AH213+SUM($AM213:AV213)</f>
        <v>13927648.976744205</v>
      </c>
      <c r="BK213" s="48">
        <f>AI213+SUM($AM213:AW213)</f>
        <v>13746770.418604672</v>
      </c>
      <c r="BL213" s="48">
        <f>AJ213+SUM($AM213:AX213)</f>
        <v>13565891.860465139</v>
      </c>
      <c r="BM213" s="48">
        <f>AK213+SUM($AM213:AY213)</f>
        <v>13385013.302325606</v>
      </c>
      <c r="BO213" s="47"/>
    </row>
    <row r="214" spans="3:67" s="41" customFormat="1" hidden="1" x14ac:dyDescent="0.3">
      <c r="C214" s="41" t="s">
        <v>1340</v>
      </c>
      <c r="D214" s="42" t="s">
        <v>344</v>
      </c>
      <c r="E214" s="42" t="str">
        <f t="shared" si="10"/>
        <v>211</v>
      </c>
      <c r="F214" s="41" t="str">
        <f>_xlfn.XLOOKUP($D214,MD_Account_Asset_Type[Nhóm tài sản],MD_Account_Asset_Type[Tên Nhóm tài sản])</f>
        <v>Phương tiện vận tải , truyền dẫn - QL 642</v>
      </c>
      <c r="G214" s="41" t="str">
        <f>_xlfn.XLOOKUP($D214,MD_Account_Asset_Type[Nhóm tài sản],MD_Account_Asset_Type[Tên nhóm TS-Rút gọn])</f>
        <v>Phương tiện vận tải</v>
      </c>
      <c r="H214" s="41" t="str">
        <f>_xlfn.XLOOKUP($D214,MD_Account_Asset_Type[Nhóm tài sản],MD_Account_Asset_Type[Tên nhóm TS-Rút gọn-v2])</f>
        <v>Phương tiện vận tải</v>
      </c>
      <c r="I214" s="43" t="s">
        <v>1097</v>
      </c>
      <c r="J214" s="42" t="s">
        <v>705</v>
      </c>
      <c r="K214" s="41" t="s">
        <v>830</v>
      </c>
      <c r="L214" s="42" t="s">
        <v>36</v>
      </c>
      <c r="M214" s="42" t="s">
        <v>111</v>
      </c>
      <c r="N214" s="44">
        <v>0</v>
      </c>
      <c r="O214" s="44"/>
      <c r="P214" s="41" t="s">
        <v>473</v>
      </c>
      <c r="Q214" s="41" t="str">
        <f t="shared" si="11"/>
        <v>642</v>
      </c>
      <c r="R214" s="41" t="str">
        <f>_xlfn.XLOOKUP($L214,MD_Cost_Center[Mã Cost Center],MD_Cost_Center[Ngành])</f>
        <v>Chung</v>
      </c>
      <c r="S214" s="41" t="str">
        <f>_xlfn.XLOOKUP($L214,MD_Cost_Center[Mã Cost Center],MD_Cost_Center[Ngành-Tách PET-Xơ sợi])</f>
        <v>Chung</v>
      </c>
      <c r="T214" s="45">
        <v>44986</v>
      </c>
      <c r="U214" s="46">
        <v>46082</v>
      </c>
      <c r="V214" s="47">
        <v>120</v>
      </c>
      <c r="W214" s="47">
        <v>210000000</v>
      </c>
      <c r="X214" s="47">
        <v>-135658.91860465117</v>
      </c>
      <c r="Y214" s="47">
        <v>210000000</v>
      </c>
      <c r="Z214" s="47">
        <v>210000000</v>
      </c>
      <c r="AA214" s="47">
        <v>210000000</v>
      </c>
      <c r="AB214" s="47">
        <v>210000000</v>
      </c>
      <c r="AC214" s="47">
        <v>210000000</v>
      </c>
      <c r="AD214" s="47">
        <v>210000000</v>
      </c>
      <c r="AE214" s="47">
        <v>210000000</v>
      </c>
      <c r="AF214" s="47">
        <v>210000000</v>
      </c>
      <c r="AG214" s="47">
        <v>210000000</v>
      </c>
      <c r="AH214" s="47">
        <v>210000000</v>
      </c>
      <c r="AI214" s="47">
        <v>210000000</v>
      </c>
      <c r="AJ214" s="47">
        <v>210000000</v>
      </c>
      <c r="AK214" s="47">
        <v>210000000</v>
      </c>
      <c r="AL214" s="47">
        <v>-70000000</v>
      </c>
      <c r="AM214" s="47">
        <v>-198333333</v>
      </c>
      <c r="AN214" s="47">
        <v>-135658.91860465117</v>
      </c>
      <c r="AO214" s="47">
        <v>-135658.91860465117</v>
      </c>
      <c r="AP214" s="47">
        <v>-135658.91860465117</v>
      </c>
      <c r="AQ214" s="47">
        <v>-135658.91860465117</v>
      </c>
      <c r="AR214" s="47">
        <v>-135658.91860465117</v>
      </c>
      <c r="AS214" s="47">
        <v>-135658.91860465117</v>
      </c>
      <c r="AT214" s="47">
        <v>-135658.91860465117</v>
      </c>
      <c r="AU214" s="47">
        <v>-135658.91860465117</v>
      </c>
      <c r="AV214" s="47">
        <v>-135658.91860465117</v>
      </c>
      <c r="AW214" s="47">
        <v>-135658.91860465117</v>
      </c>
      <c r="AX214" s="47">
        <v>-135658.91860465117</v>
      </c>
      <c r="AY214" s="47">
        <v>-135658.91860465117</v>
      </c>
      <c r="AZ214" s="58">
        <f t="shared" si="9"/>
        <v>-1627907.0232558146</v>
      </c>
      <c r="BA214" s="47">
        <f>Y214+SUM($AM214:AM214)</f>
        <v>11666667</v>
      </c>
      <c r="BB214" s="48">
        <f>Z214+SUM($AM214:AN214)</f>
        <v>11531008.081395358</v>
      </c>
      <c r="BC214" s="48">
        <f>AA214+SUM($AM214:AO214)</f>
        <v>11395349.162790716</v>
      </c>
      <c r="BD214" s="48">
        <f>AB214+SUM($AM214:AP214)</f>
        <v>11259690.244186074</v>
      </c>
      <c r="BE214" s="48">
        <f>AC214+SUM($AM214:AQ214)</f>
        <v>11124031.325581431</v>
      </c>
      <c r="BF214" s="48">
        <f>AD214+SUM($AM214:AR214)</f>
        <v>10988372.406976789</v>
      </c>
      <c r="BG214" s="48">
        <f>AE214+SUM($AM214:AS214)</f>
        <v>10852713.488372147</v>
      </c>
      <c r="BH214" s="48">
        <f>AF214+SUM($AM214:AT214)</f>
        <v>10717054.569767505</v>
      </c>
      <c r="BI214" s="48">
        <f>AG214+SUM($AM214:AU214)</f>
        <v>10581395.651162863</v>
      </c>
      <c r="BJ214" s="48">
        <f>AH214+SUM($AM214:AV214)</f>
        <v>10445736.732558221</v>
      </c>
      <c r="BK214" s="48">
        <f>AI214+SUM($AM214:AW214)</f>
        <v>10310077.813953578</v>
      </c>
      <c r="BL214" s="48">
        <f>AJ214+SUM($AM214:AX214)</f>
        <v>10174418.895348936</v>
      </c>
      <c r="BM214" s="48">
        <f>AK214+SUM($AM214:AY214)</f>
        <v>10038759.976744294</v>
      </c>
      <c r="BO214" s="47"/>
    </row>
    <row r="215" spans="3:67" s="41" customFormat="1" hidden="1" x14ac:dyDescent="0.3">
      <c r="C215" s="41" t="s">
        <v>1340</v>
      </c>
      <c r="D215" s="42" t="s">
        <v>342</v>
      </c>
      <c r="E215" s="42" t="str">
        <f t="shared" si="10"/>
        <v>211</v>
      </c>
      <c r="F215" s="41" t="str">
        <f>_xlfn.XLOOKUP($D215,MD_Account_Asset_Type[Nhóm tài sản],MD_Account_Asset_Type[Tên Nhóm tài sản])</f>
        <v>Phương tiện vận tải , truyền dẫn - SX 627</v>
      </c>
      <c r="G215" s="41" t="str">
        <f>_xlfn.XLOOKUP($D215,MD_Account_Asset_Type[Nhóm tài sản],MD_Account_Asset_Type[Tên nhóm TS-Rút gọn])</f>
        <v>Phương tiện vận tải</v>
      </c>
      <c r="H215" s="41" t="str">
        <f>_xlfn.XLOOKUP($D215,MD_Account_Asset_Type[Nhóm tài sản],MD_Account_Asset_Type[Tên nhóm TS-Rút gọn-v2])</f>
        <v>Phương tiện vận tải</v>
      </c>
      <c r="I215" s="43" t="s">
        <v>1068</v>
      </c>
      <c r="J215" s="42" t="s">
        <v>706</v>
      </c>
      <c r="K215" s="41" t="s">
        <v>830</v>
      </c>
      <c r="L215" s="42" t="s">
        <v>48</v>
      </c>
      <c r="M215" s="42" t="s">
        <v>123</v>
      </c>
      <c r="N215" s="44">
        <v>0</v>
      </c>
      <c r="O215" s="44"/>
      <c r="P215" s="41" t="s">
        <v>463</v>
      </c>
      <c r="Q215" s="41" t="str">
        <f t="shared" si="11"/>
        <v>627</v>
      </c>
      <c r="R215" s="41" t="str">
        <f>_xlfn.XLOOKUP($L215,MD_Cost_Center[Mã Cost Center],MD_Cost_Center[Ngành])</f>
        <v>PET</v>
      </c>
      <c r="S215" s="41" t="str">
        <f>_xlfn.XLOOKUP($L215,MD_Cost_Center[Mã Cost Center],MD_Cost_Center[Ngành-Tách PET-Xơ sợi])</f>
        <v>Chung-PET</v>
      </c>
      <c r="T215" s="45">
        <v>44414</v>
      </c>
      <c r="U215" s="46">
        <v>46240</v>
      </c>
      <c r="V215" s="47">
        <v>120</v>
      </c>
      <c r="W215" s="47">
        <v>125000000</v>
      </c>
      <c r="X215" s="47">
        <v>-217661.68656716417</v>
      </c>
      <c r="Y215" s="47">
        <v>125000000</v>
      </c>
      <c r="Z215" s="47">
        <v>125000000</v>
      </c>
      <c r="AA215" s="47">
        <v>125000000</v>
      </c>
      <c r="AB215" s="47">
        <v>125000000</v>
      </c>
      <c r="AC215" s="47">
        <v>125000000</v>
      </c>
      <c r="AD215" s="47">
        <v>125000000</v>
      </c>
      <c r="AE215" s="47">
        <v>125000000</v>
      </c>
      <c r="AF215" s="47">
        <v>125000000</v>
      </c>
      <c r="AG215" s="47">
        <v>125000000</v>
      </c>
      <c r="AH215" s="47">
        <v>125000000</v>
      </c>
      <c r="AI215" s="47">
        <v>125000000</v>
      </c>
      <c r="AJ215" s="47">
        <v>125000000</v>
      </c>
      <c r="AK215" s="47">
        <v>125000000</v>
      </c>
      <c r="AL215" s="47">
        <v>-25000000</v>
      </c>
      <c r="AM215" s="47">
        <v>-110416667</v>
      </c>
      <c r="AN215" s="47">
        <v>-217661.68656716417</v>
      </c>
      <c r="AO215" s="47">
        <v>-217661.68656716417</v>
      </c>
      <c r="AP215" s="47">
        <v>-217661.68656716417</v>
      </c>
      <c r="AQ215" s="47">
        <v>-217661.68656716417</v>
      </c>
      <c r="AR215" s="47">
        <v>-217661.68656716417</v>
      </c>
      <c r="AS215" s="47">
        <v>-217661.68656716417</v>
      </c>
      <c r="AT215" s="47">
        <v>-217661.68656716417</v>
      </c>
      <c r="AU215" s="47">
        <v>-217661.68656716417</v>
      </c>
      <c r="AV215" s="47">
        <v>-217661.68656716417</v>
      </c>
      <c r="AW215" s="47">
        <v>-217661.68656716417</v>
      </c>
      <c r="AX215" s="47">
        <v>-217661.68656716417</v>
      </c>
      <c r="AY215" s="47">
        <v>-217661.68656716417</v>
      </c>
      <c r="AZ215" s="58">
        <f t="shared" si="9"/>
        <v>-2611940.2388059702</v>
      </c>
      <c r="BA215" s="47">
        <f>Y215+SUM($AM215:AM215)</f>
        <v>14583333</v>
      </c>
      <c r="BB215" s="48">
        <f>Z215+SUM($AM215:AN215)</f>
        <v>14365671.313432842</v>
      </c>
      <c r="BC215" s="48">
        <f>AA215+SUM($AM215:AO215)</f>
        <v>14148009.626865685</v>
      </c>
      <c r="BD215" s="48">
        <f>AB215+SUM($AM215:AP215)</f>
        <v>13930347.940298527</v>
      </c>
      <c r="BE215" s="48">
        <f>AC215+SUM($AM215:AQ215)</f>
        <v>13712686.25373137</v>
      </c>
      <c r="BF215" s="48">
        <f>AD215+SUM($AM215:AR215)</f>
        <v>13495024.567164212</v>
      </c>
      <c r="BG215" s="48">
        <f>AE215+SUM($AM215:AS215)</f>
        <v>13277362.880597055</v>
      </c>
      <c r="BH215" s="48">
        <f>AF215+SUM($AM215:AT215)</f>
        <v>13059701.194029897</v>
      </c>
      <c r="BI215" s="48">
        <f>AG215+SUM($AM215:AU215)</f>
        <v>12842039.50746274</v>
      </c>
      <c r="BJ215" s="48">
        <f>AH215+SUM($AM215:AV215)</f>
        <v>12624377.820895582</v>
      </c>
      <c r="BK215" s="48">
        <f>AI215+SUM($AM215:AW215)</f>
        <v>12406716.134328425</v>
      </c>
      <c r="BL215" s="48">
        <f>AJ215+SUM($AM215:AX215)</f>
        <v>12189054.447761267</v>
      </c>
      <c r="BM215" s="48">
        <f>AK215+SUM($AM215:AY215)</f>
        <v>11971392.76119411</v>
      </c>
      <c r="BO215" s="47"/>
    </row>
    <row r="216" spans="3:67" s="41" customFormat="1" hidden="1" x14ac:dyDescent="0.3">
      <c r="C216" s="41" t="s">
        <v>1340</v>
      </c>
      <c r="D216" s="42" t="s">
        <v>342</v>
      </c>
      <c r="E216" s="42" t="str">
        <f t="shared" si="10"/>
        <v>211</v>
      </c>
      <c r="F216" s="41" t="str">
        <f>_xlfn.XLOOKUP($D216,MD_Account_Asset_Type[Nhóm tài sản],MD_Account_Asset_Type[Tên Nhóm tài sản])</f>
        <v>Phương tiện vận tải , truyền dẫn - SX 627</v>
      </c>
      <c r="G216" s="41" t="str">
        <f>_xlfn.XLOOKUP($D216,MD_Account_Asset_Type[Nhóm tài sản],MD_Account_Asset_Type[Tên nhóm TS-Rút gọn])</f>
        <v>Phương tiện vận tải</v>
      </c>
      <c r="H216" s="41" t="str">
        <f>_xlfn.XLOOKUP($D216,MD_Account_Asset_Type[Nhóm tài sản],MD_Account_Asset_Type[Tên nhóm TS-Rút gọn-v2])</f>
        <v>Phương tiện vận tải</v>
      </c>
      <c r="I216" s="43" t="s">
        <v>1069</v>
      </c>
      <c r="J216" s="42" t="s">
        <v>707</v>
      </c>
      <c r="K216" s="41" t="s">
        <v>830</v>
      </c>
      <c r="L216" s="42" t="s">
        <v>48</v>
      </c>
      <c r="M216" s="42" t="s">
        <v>123</v>
      </c>
      <c r="N216" s="44">
        <v>0</v>
      </c>
      <c r="O216" s="44"/>
      <c r="P216" s="41" t="s">
        <v>463</v>
      </c>
      <c r="Q216" s="41" t="str">
        <f t="shared" si="11"/>
        <v>627</v>
      </c>
      <c r="R216" s="41" t="str">
        <f>_xlfn.XLOOKUP($L216,MD_Cost_Center[Mã Cost Center],MD_Cost_Center[Ngành])</f>
        <v>PET</v>
      </c>
      <c r="S216" s="41" t="str">
        <f>_xlfn.XLOOKUP($L216,MD_Cost_Center[Mã Cost Center],MD_Cost_Center[Ngành-Tách PET-Xơ sợi])</f>
        <v>Chung-PET</v>
      </c>
      <c r="T216" s="45">
        <v>44501</v>
      </c>
      <c r="U216" s="46">
        <v>46692</v>
      </c>
      <c r="V216" s="47">
        <v>120</v>
      </c>
      <c r="W216" s="47">
        <v>127934000</v>
      </c>
      <c r="X216" s="47">
        <v>-558442.07142857148</v>
      </c>
      <c r="Y216" s="47">
        <v>127934000</v>
      </c>
      <c r="Z216" s="47">
        <v>127934000</v>
      </c>
      <c r="AA216" s="47">
        <v>127934000</v>
      </c>
      <c r="AB216" s="47">
        <v>127934000</v>
      </c>
      <c r="AC216" s="47">
        <v>127934000</v>
      </c>
      <c r="AD216" s="47">
        <v>127934000</v>
      </c>
      <c r="AE216" s="47">
        <v>127934000</v>
      </c>
      <c r="AF216" s="47">
        <v>127934000</v>
      </c>
      <c r="AG216" s="47">
        <v>127934000</v>
      </c>
      <c r="AH216" s="47">
        <v>127934000</v>
      </c>
      <c r="AI216" s="47">
        <v>127934000</v>
      </c>
      <c r="AJ216" s="47">
        <v>127934000</v>
      </c>
      <c r="AK216" s="47">
        <v>127934000</v>
      </c>
      <c r="AL216" s="47">
        <v>-21322333</v>
      </c>
      <c r="AM216" s="47">
        <v>-88843055</v>
      </c>
      <c r="AN216" s="47">
        <v>-558442.07142857148</v>
      </c>
      <c r="AO216" s="47">
        <v>-558442.07142857148</v>
      </c>
      <c r="AP216" s="47">
        <v>-558442.07142857148</v>
      </c>
      <c r="AQ216" s="47">
        <v>-558442.07142857148</v>
      </c>
      <c r="AR216" s="47">
        <v>-558442.07142857148</v>
      </c>
      <c r="AS216" s="47">
        <v>-558442.07142857148</v>
      </c>
      <c r="AT216" s="47">
        <v>-558442.07142857148</v>
      </c>
      <c r="AU216" s="47">
        <v>-558442.07142857148</v>
      </c>
      <c r="AV216" s="47">
        <v>-558442.07142857148</v>
      </c>
      <c r="AW216" s="47">
        <v>-558442.07142857148</v>
      </c>
      <c r="AX216" s="47">
        <v>-558442.07142857148</v>
      </c>
      <c r="AY216" s="47">
        <v>-558442.07142857148</v>
      </c>
      <c r="AZ216" s="58">
        <f t="shared" si="9"/>
        <v>-6701304.8571428591</v>
      </c>
      <c r="BA216" s="47">
        <f>Y216+SUM($AM216:AM216)</f>
        <v>39090945</v>
      </c>
      <c r="BB216" s="48">
        <f>Z216+SUM($AM216:AN216)</f>
        <v>38532502.928571433</v>
      </c>
      <c r="BC216" s="48">
        <f>AA216+SUM($AM216:AO216)</f>
        <v>37974060.857142866</v>
      </c>
      <c r="BD216" s="48">
        <f>AB216+SUM($AM216:AP216)</f>
        <v>37415618.785714298</v>
      </c>
      <c r="BE216" s="48">
        <f>AC216+SUM($AM216:AQ216)</f>
        <v>36857176.714285731</v>
      </c>
      <c r="BF216" s="48">
        <f>AD216+SUM($AM216:AR216)</f>
        <v>36298734.642857164</v>
      </c>
      <c r="BG216" s="48">
        <f>AE216+SUM($AM216:AS216)</f>
        <v>35740292.571428597</v>
      </c>
      <c r="BH216" s="48">
        <f>AF216+SUM($AM216:AT216)</f>
        <v>35181850.50000003</v>
      </c>
      <c r="BI216" s="48">
        <f>AG216+SUM($AM216:AU216)</f>
        <v>34623408.428571463</v>
      </c>
      <c r="BJ216" s="48">
        <f>AH216+SUM($AM216:AV216)</f>
        <v>34064966.357142895</v>
      </c>
      <c r="BK216" s="48">
        <f>AI216+SUM($AM216:AW216)</f>
        <v>33506524.285714328</v>
      </c>
      <c r="BL216" s="48">
        <f>AJ216+SUM($AM216:AX216)</f>
        <v>32948082.214285761</v>
      </c>
      <c r="BM216" s="48">
        <f>AK216+SUM($AM216:AY216)</f>
        <v>32389640.142857194</v>
      </c>
      <c r="BO216" s="47"/>
    </row>
    <row r="217" spans="3:67" s="41" customFormat="1" hidden="1" x14ac:dyDescent="0.3">
      <c r="C217" s="41" t="s">
        <v>1340</v>
      </c>
      <c r="D217" s="42" t="s">
        <v>342</v>
      </c>
      <c r="E217" s="42" t="str">
        <f t="shared" si="10"/>
        <v>211</v>
      </c>
      <c r="F217" s="41" t="str">
        <f>_xlfn.XLOOKUP($D217,MD_Account_Asset_Type[Nhóm tài sản],MD_Account_Asset_Type[Tên Nhóm tài sản])</f>
        <v>Phương tiện vận tải , truyền dẫn - SX 627</v>
      </c>
      <c r="G217" s="41" t="str">
        <f>_xlfn.XLOOKUP($D217,MD_Account_Asset_Type[Nhóm tài sản],MD_Account_Asset_Type[Tên nhóm TS-Rút gọn])</f>
        <v>Phương tiện vận tải</v>
      </c>
      <c r="H217" s="41" t="str">
        <f>_xlfn.XLOOKUP($D217,MD_Account_Asset_Type[Nhóm tài sản],MD_Account_Asset_Type[Tên nhóm TS-Rút gọn-v2])</f>
        <v>Phương tiện vận tải</v>
      </c>
      <c r="I217" s="43" t="s">
        <v>1070</v>
      </c>
      <c r="J217" s="42" t="s">
        <v>708</v>
      </c>
      <c r="K217" s="41" t="s">
        <v>830</v>
      </c>
      <c r="L217" s="42" t="s">
        <v>53</v>
      </c>
      <c r="M217" s="42" t="s">
        <v>128</v>
      </c>
      <c r="N217" s="44" t="s">
        <v>246</v>
      </c>
      <c r="O217" s="44"/>
      <c r="P217" s="41" t="s">
        <v>463</v>
      </c>
      <c r="Q217" s="41" t="str">
        <f t="shared" si="11"/>
        <v>627</v>
      </c>
      <c r="R217" s="41" t="str">
        <f>_xlfn.XLOOKUP($L217,MD_Cost_Center[Mã Cost Center],MD_Cost_Center[Ngành])</f>
        <v>HD/PP</v>
      </c>
      <c r="S217" s="41" t="str">
        <f>_xlfn.XLOOKUP($L217,MD_Cost_Center[Mã Cost Center],MD_Cost_Center[Ngành-Tách PET-Xơ sợi])</f>
        <v>HD/PP</v>
      </c>
      <c r="T217" s="45">
        <v>44510</v>
      </c>
      <c r="U217" s="46">
        <v>46701</v>
      </c>
      <c r="V217" s="47">
        <v>120</v>
      </c>
      <c r="W217" s="47">
        <v>165000000</v>
      </c>
      <c r="X217" s="47">
        <v>-720238.1</v>
      </c>
      <c r="Y217" s="47">
        <v>165000000</v>
      </c>
      <c r="Z217" s="47">
        <v>165000000</v>
      </c>
      <c r="AA217" s="47">
        <v>165000000</v>
      </c>
      <c r="AB217" s="47">
        <v>165000000</v>
      </c>
      <c r="AC217" s="47">
        <v>165000000</v>
      </c>
      <c r="AD217" s="47">
        <v>165000000</v>
      </c>
      <c r="AE217" s="47">
        <v>165000000</v>
      </c>
      <c r="AF217" s="47">
        <v>165000000</v>
      </c>
      <c r="AG217" s="47">
        <v>165000000</v>
      </c>
      <c r="AH217" s="47">
        <v>165000000</v>
      </c>
      <c r="AI217" s="47">
        <v>165000000</v>
      </c>
      <c r="AJ217" s="47">
        <v>165000000</v>
      </c>
      <c r="AK217" s="47">
        <v>165000000</v>
      </c>
      <c r="AL217" s="47">
        <v>-27500000</v>
      </c>
      <c r="AM217" s="47">
        <v>-114583333</v>
      </c>
      <c r="AN217" s="47">
        <v>-720238.1</v>
      </c>
      <c r="AO217" s="47">
        <v>-720238.1</v>
      </c>
      <c r="AP217" s="47">
        <v>-720238.1</v>
      </c>
      <c r="AQ217" s="47">
        <v>-720238.1</v>
      </c>
      <c r="AR217" s="47">
        <v>-720238.1</v>
      </c>
      <c r="AS217" s="47">
        <v>-720238.1</v>
      </c>
      <c r="AT217" s="47">
        <v>-720238.1</v>
      </c>
      <c r="AU217" s="47">
        <v>-720238.1</v>
      </c>
      <c r="AV217" s="47">
        <v>-720238.1</v>
      </c>
      <c r="AW217" s="47">
        <v>-720238.1</v>
      </c>
      <c r="AX217" s="47">
        <v>-720238.1</v>
      </c>
      <c r="AY217" s="47">
        <v>-720238.1</v>
      </c>
      <c r="AZ217" s="58">
        <f t="shared" si="9"/>
        <v>-8642857.1999999974</v>
      </c>
      <c r="BA217" s="47">
        <f>Y217+SUM($AM217:AM217)</f>
        <v>50416667</v>
      </c>
      <c r="BB217" s="48">
        <f>Z217+SUM($AM217:AN217)</f>
        <v>49696428.900000006</v>
      </c>
      <c r="BC217" s="48">
        <f>AA217+SUM($AM217:AO217)</f>
        <v>48976190.800000012</v>
      </c>
      <c r="BD217" s="48">
        <f>AB217+SUM($AM217:AP217)</f>
        <v>48255952.700000018</v>
      </c>
      <c r="BE217" s="48">
        <f>AC217+SUM($AM217:AQ217)</f>
        <v>47535714.600000024</v>
      </c>
      <c r="BF217" s="48">
        <f>AD217+SUM($AM217:AR217)</f>
        <v>46815476.50000003</v>
      </c>
      <c r="BG217" s="48">
        <f>AE217+SUM($AM217:AS217)</f>
        <v>46095238.400000036</v>
      </c>
      <c r="BH217" s="48">
        <f>AF217+SUM($AM217:AT217)</f>
        <v>45375000.300000042</v>
      </c>
      <c r="BI217" s="48">
        <f>AG217+SUM($AM217:AU217)</f>
        <v>44654762.200000048</v>
      </c>
      <c r="BJ217" s="48">
        <f>AH217+SUM($AM217:AV217)</f>
        <v>43934524.100000054</v>
      </c>
      <c r="BK217" s="48">
        <f>AI217+SUM($AM217:AW217)</f>
        <v>43214286.00000006</v>
      </c>
      <c r="BL217" s="48">
        <f>AJ217+SUM($AM217:AX217)</f>
        <v>42494047.900000066</v>
      </c>
      <c r="BM217" s="48">
        <f>AK217+SUM($AM217:AY217)</f>
        <v>41773809.800000072</v>
      </c>
      <c r="BO217" s="47"/>
    </row>
    <row r="218" spans="3:67" s="41" customFormat="1" hidden="1" x14ac:dyDescent="0.3">
      <c r="C218" s="41" t="s">
        <v>1340</v>
      </c>
      <c r="D218" s="42" t="s">
        <v>342</v>
      </c>
      <c r="E218" s="42" t="str">
        <f t="shared" si="10"/>
        <v>211</v>
      </c>
      <c r="F218" s="41" t="str">
        <f>_xlfn.XLOOKUP($D218,MD_Account_Asset_Type[Nhóm tài sản],MD_Account_Asset_Type[Tên Nhóm tài sản])</f>
        <v>Phương tiện vận tải , truyền dẫn - SX 627</v>
      </c>
      <c r="G218" s="41" t="str">
        <f>_xlfn.XLOOKUP($D218,MD_Account_Asset_Type[Nhóm tài sản],MD_Account_Asset_Type[Tên nhóm TS-Rút gọn])</f>
        <v>Phương tiện vận tải</v>
      </c>
      <c r="H218" s="41" t="str">
        <f>_xlfn.XLOOKUP($D218,MD_Account_Asset_Type[Nhóm tài sản],MD_Account_Asset_Type[Tên nhóm TS-Rút gọn-v2])</f>
        <v>Phương tiện vận tải</v>
      </c>
      <c r="I218" s="43" t="s">
        <v>1071</v>
      </c>
      <c r="J218" s="42" t="s">
        <v>709</v>
      </c>
      <c r="K218" s="41" t="s">
        <v>830</v>
      </c>
      <c r="L218" s="42" t="s">
        <v>51</v>
      </c>
      <c r="M218" s="42" t="s">
        <v>126</v>
      </c>
      <c r="N218" s="44" t="s">
        <v>244</v>
      </c>
      <c r="O218" s="44"/>
      <c r="P218" s="41" t="s">
        <v>463</v>
      </c>
      <c r="Q218" s="41" t="str">
        <f t="shared" si="11"/>
        <v>627</v>
      </c>
      <c r="R218" s="41" t="str">
        <f>_xlfn.XLOOKUP($L218,MD_Cost_Center[Mã Cost Center],MD_Cost_Center[Ngành])</f>
        <v>PET</v>
      </c>
      <c r="S218" s="41" t="str">
        <f>_xlfn.XLOOKUP($L218,MD_Cost_Center[Mã Cost Center],MD_Cost_Center[Ngành-Tách PET-Xơ sợi])</f>
        <v>Chung-PET</v>
      </c>
      <c r="T218" s="45">
        <v>44593</v>
      </c>
      <c r="U218" s="46">
        <v>46419</v>
      </c>
      <c r="V218" s="47">
        <v>120</v>
      </c>
      <c r="W218" s="47">
        <v>122500000</v>
      </c>
      <c r="X218" s="47">
        <v>-449604.74025974027</v>
      </c>
      <c r="Y218" s="47">
        <v>122500000</v>
      </c>
      <c r="Z218" s="47">
        <v>122500000</v>
      </c>
      <c r="AA218" s="47">
        <v>122500000</v>
      </c>
      <c r="AB218" s="47">
        <v>122500000</v>
      </c>
      <c r="AC218" s="47">
        <v>122500000</v>
      </c>
      <c r="AD218" s="47">
        <v>122500000</v>
      </c>
      <c r="AE218" s="47">
        <v>122500000</v>
      </c>
      <c r="AF218" s="47">
        <v>122500000</v>
      </c>
      <c r="AG218" s="47">
        <v>122500000</v>
      </c>
      <c r="AH218" s="47">
        <v>122500000</v>
      </c>
      <c r="AI218" s="47">
        <v>122500000</v>
      </c>
      <c r="AJ218" s="47">
        <v>122500000</v>
      </c>
      <c r="AK218" s="47">
        <v>122500000</v>
      </c>
      <c r="AL218" s="47">
        <v>-31956522</v>
      </c>
      <c r="AM218" s="47">
        <v>-87880435</v>
      </c>
      <c r="AN218" s="47">
        <v>-449604.74025974027</v>
      </c>
      <c r="AO218" s="47">
        <v>-449604.74025974027</v>
      </c>
      <c r="AP218" s="47">
        <v>-449604.74025974027</v>
      </c>
      <c r="AQ218" s="47">
        <v>-449604.74025974027</v>
      </c>
      <c r="AR218" s="47">
        <v>-449604.74025974027</v>
      </c>
      <c r="AS218" s="47">
        <v>-449604.74025974027</v>
      </c>
      <c r="AT218" s="47">
        <v>-449604.74025974027</v>
      </c>
      <c r="AU218" s="47">
        <v>-449604.74025974027</v>
      </c>
      <c r="AV218" s="47">
        <v>-449604.74025974027</v>
      </c>
      <c r="AW218" s="47">
        <v>-449604.74025974027</v>
      </c>
      <c r="AX218" s="47">
        <v>-449604.74025974027</v>
      </c>
      <c r="AY218" s="47">
        <v>-449604.74025974027</v>
      </c>
      <c r="AZ218" s="58">
        <f t="shared" si="9"/>
        <v>-5395256.8831168851</v>
      </c>
      <c r="BA218" s="47">
        <f>Y218+SUM($AM218:AM218)</f>
        <v>34619565</v>
      </c>
      <c r="BB218" s="48">
        <f>Z218+SUM($AM218:AN218)</f>
        <v>34169960.259740263</v>
      </c>
      <c r="BC218" s="48">
        <f>AA218+SUM($AM218:AO218)</f>
        <v>33720355.519480526</v>
      </c>
      <c r="BD218" s="48">
        <f>AB218+SUM($AM218:AP218)</f>
        <v>33270750.77922079</v>
      </c>
      <c r="BE218" s="48">
        <f>AC218+SUM($AM218:AQ218)</f>
        <v>32821146.038961053</v>
      </c>
      <c r="BF218" s="48">
        <f>AD218+SUM($AM218:AR218)</f>
        <v>32371541.298701316</v>
      </c>
      <c r="BG218" s="48">
        <f>AE218+SUM($AM218:AS218)</f>
        <v>31921936.558441579</v>
      </c>
      <c r="BH218" s="48">
        <f>AF218+SUM($AM218:AT218)</f>
        <v>31472331.818181843</v>
      </c>
      <c r="BI218" s="48">
        <f>AG218+SUM($AM218:AU218)</f>
        <v>31022727.077922106</v>
      </c>
      <c r="BJ218" s="48">
        <f>AH218+SUM($AM218:AV218)</f>
        <v>30573122.337662369</v>
      </c>
      <c r="BK218" s="48">
        <f>AI218+SUM($AM218:AW218)</f>
        <v>30123517.597402632</v>
      </c>
      <c r="BL218" s="48">
        <f>AJ218+SUM($AM218:AX218)</f>
        <v>29673912.857142895</v>
      </c>
      <c r="BM218" s="48">
        <f>AK218+SUM($AM218:AY218)</f>
        <v>29224308.116883159</v>
      </c>
      <c r="BO218" s="47"/>
    </row>
    <row r="219" spans="3:67" s="41" customFormat="1" hidden="1" x14ac:dyDescent="0.3">
      <c r="C219" s="41" t="s">
        <v>1340</v>
      </c>
      <c r="D219" s="42" t="s">
        <v>342</v>
      </c>
      <c r="E219" s="42" t="str">
        <f t="shared" si="10"/>
        <v>211</v>
      </c>
      <c r="F219" s="41" t="str">
        <f>_xlfn.XLOOKUP($D219,MD_Account_Asset_Type[Nhóm tài sản],MD_Account_Asset_Type[Tên Nhóm tài sản])</f>
        <v>Phương tiện vận tải , truyền dẫn - SX 627</v>
      </c>
      <c r="G219" s="41" t="str">
        <f>_xlfn.XLOOKUP($D219,MD_Account_Asset_Type[Nhóm tài sản],MD_Account_Asset_Type[Tên nhóm TS-Rút gọn])</f>
        <v>Phương tiện vận tải</v>
      </c>
      <c r="H219" s="41" t="str">
        <f>_xlfn.XLOOKUP($D219,MD_Account_Asset_Type[Nhóm tài sản],MD_Account_Asset_Type[Tên nhóm TS-Rút gọn-v2])</f>
        <v>Phương tiện vận tải</v>
      </c>
      <c r="I219" s="43" t="s">
        <v>1072</v>
      </c>
      <c r="J219" s="42" t="s">
        <v>710</v>
      </c>
      <c r="K219" s="41" t="s">
        <v>830</v>
      </c>
      <c r="L219" s="42" t="s">
        <v>46</v>
      </c>
      <c r="M219" s="42" t="s">
        <v>121</v>
      </c>
      <c r="N219" s="44">
        <v>0</v>
      </c>
      <c r="O219" s="44"/>
      <c r="P219" s="41" t="s">
        <v>463</v>
      </c>
      <c r="Q219" s="41" t="str">
        <f t="shared" si="11"/>
        <v>627</v>
      </c>
      <c r="R219" s="41" t="str">
        <f>_xlfn.XLOOKUP($L219,MD_Cost_Center[Mã Cost Center],MD_Cost_Center[Ngành])</f>
        <v>Chung</v>
      </c>
      <c r="S219" s="41" t="str">
        <f>_xlfn.XLOOKUP($L219,MD_Cost_Center[Mã Cost Center],MD_Cost_Center[Ngành-Tách PET-Xơ sợi])</f>
        <v>Chung</v>
      </c>
      <c r="T219" s="45">
        <v>44634</v>
      </c>
      <c r="U219" s="46">
        <v>46826</v>
      </c>
      <c r="V219" s="47">
        <v>120</v>
      </c>
      <c r="W219" s="47">
        <v>85000000</v>
      </c>
      <c r="X219" s="47">
        <v>-414789.78378378379</v>
      </c>
      <c r="Y219" s="47">
        <v>85000000</v>
      </c>
      <c r="Z219" s="47">
        <v>85000000</v>
      </c>
      <c r="AA219" s="47">
        <v>85000000</v>
      </c>
      <c r="AB219" s="47">
        <v>85000000</v>
      </c>
      <c r="AC219" s="47">
        <v>85000000</v>
      </c>
      <c r="AD219" s="47">
        <v>85000000</v>
      </c>
      <c r="AE219" s="47">
        <v>85000000</v>
      </c>
      <c r="AF219" s="47">
        <v>85000000</v>
      </c>
      <c r="AG219" s="47">
        <v>85000000</v>
      </c>
      <c r="AH219" s="47">
        <v>85000000</v>
      </c>
      <c r="AI219" s="47">
        <v>85000000</v>
      </c>
      <c r="AJ219" s="47">
        <v>85000000</v>
      </c>
      <c r="AK219" s="47">
        <v>85000000</v>
      </c>
      <c r="AL219" s="47">
        <v>-14166667</v>
      </c>
      <c r="AM219" s="47">
        <v>-54305556</v>
      </c>
      <c r="AN219" s="47">
        <v>-414789.78378378379</v>
      </c>
      <c r="AO219" s="47">
        <v>-414789.78378378379</v>
      </c>
      <c r="AP219" s="47">
        <v>-414789.78378378379</v>
      </c>
      <c r="AQ219" s="47">
        <v>-414789.78378378379</v>
      </c>
      <c r="AR219" s="47">
        <v>-414789.78378378379</v>
      </c>
      <c r="AS219" s="47">
        <v>-414789.78378378379</v>
      </c>
      <c r="AT219" s="47">
        <v>-414789.78378378379</v>
      </c>
      <c r="AU219" s="47">
        <v>-414789.78378378379</v>
      </c>
      <c r="AV219" s="47">
        <v>-414789.78378378379</v>
      </c>
      <c r="AW219" s="47">
        <v>-414789.78378378379</v>
      </c>
      <c r="AX219" s="47">
        <v>-414789.78378378379</v>
      </c>
      <c r="AY219" s="47">
        <v>-414789.78378378379</v>
      </c>
      <c r="AZ219" s="58">
        <f t="shared" ref="AZ219:AZ276" si="12">SUM(AN219:AY219)</f>
        <v>-4977477.405405405</v>
      </c>
      <c r="BA219" s="47">
        <f>Y219+SUM($AM219:AM219)</f>
        <v>30694444</v>
      </c>
      <c r="BB219" s="48">
        <f>Z219+SUM($AM219:AN219)</f>
        <v>30279654.216216214</v>
      </c>
      <c r="BC219" s="48">
        <f>AA219+SUM($AM219:AO219)</f>
        <v>29864864.432432428</v>
      </c>
      <c r="BD219" s="48">
        <f>AB219+SUM($AM219:AP219)</f>
        <v>29450074.648648642</v>
      </c>
      <c r="BE219" s="48">
        <f>AC219+SUM($AM219:AQ219)</f>
        <v>29035284.864864856</v>
      </c>
      <c r="BF219" s="48">
        <f>AD219+SUM($AM219:AR219)</f>
        <v>28620495.08108107</v>
      </c>
      <c r="BG219" s="48">
        <f>AE219+SUM($AM219:AS219)</f>
        <v>28205705.297297284</v>
      </c>
      <c r="BH219" s="48">
        <f>AF219+SUM($AM219:AT219)</f>
        <v>27790915.513513498</v>
      </c>
      <c r="BI219" s="48">
        <f>AG219+SUM($AM219:AU219)</f>
        <v>27376125.729729712</v>
      </c>
      <c r="BJ219" s="48">
        <f>AH219+SUM($AM219:AV219)</f>
        <v>26961335.945945926</v>
      </c>
      <c r="BK219" s="48">
        <f>AI219+SUM($AM219:AW219)</f>
        <v>26546546.16216214</v>
      </c>
      <c r="BL219" s="48">
        <f>AJ219+SUM($AM219:AX219)</f>
        <v>26131756.378378354</v>
      </c>
      <c r="BM219" s="48">
        <f>AK219+SUM($AM219:AY219)</f>
        <v>25716966.594594568</v>
      </c>
      <c r="BO219" s="47"/>
    </row>
    <row r="220" spans="3:67" s="41" customFormat="1" hidden="1" x14ac:dyDescent="0.3">
      <c r="C220" s="41" t="s">
        <v>1340</v>
      </c>
      <c r="D220" s="42" t="s">
        <v>342</v>
      </c>
      <c r="E220" s="42" t="str">
        <f t="shared" si="10"/>
        <v>211</v>
      </c>
      <c r="F220" s="41" t="str">
        <f>_xlfn.XLOOKUP($D220,MD_Account_Asset_Type[Nhóm tài sản],MD_Account_Asset_Type[Tên Nhóm tài sản])</f>
        <v>Phương tiện vận tải , truyền dẫn - SX 627</v>
      </c>
      <c r="G220" s="41" t="str">
        <f>_xlfn.XLOOKUP($D220,MD_Account_Asset_Type[Nhóm tài sản],MD_Account_Asset_Type[Tên nhóm TS-Rút gọn])</f>
        <v>Phương tiện vận tải</v>
      </c>
      <c r="H220" s="41" t="str">
        <f>_xlfn.XLOOKUP($D220,MD_Account_Asset_Type[Nhóm tài sản],MD_Account_Asset_Type[Tên nhóm TS-Rút gọn-v2])</f>
        <v>Phương tiện vận tải</v>
      </c>
      <c r="I220" s="43" t="s">
        <v>1073</v>
      </c>
      <c r="J220" s="42" t="s">
        <v>711</v>
      </c>
      <c r="K220" s="41" t="s">
        <v>830</v>
      </c>
      <c r="L220" s="42" t="s">
        <v>51</v>
      </c>
      <c r="M220" s="42" t="s">
        <v>126</v>
      </c>
      <c r="N220" s="44" t="s">
        <v>244</v>
      </c>
      <c r="O220" s="44"/>
      <c r="P220" s="41" t="s">
        <v>463</v>
      </c>
      <c r="Q220" s="41" t="str">
        <f t="shared" si="11"/>
        <v>627</v>
      </c>
      <c r="R220" s="41" t="str">
        <f>_xlfn.XLOOKUP($L220,MD_Cost_Center[Mã Cost Center],MD_Cost_Center[Ngành])</f>
        <v>PET</v>
      </c>
      <c r="S220" s="41" t="str">
        <f>_xlfn.XLOOKUP($L220,MD_Cost_Center[Mã Cost Center],MD_Cost_Center[Ngành-Tách PET-Xơ sợi])</f>
        <v>Chung-PET</v>
      </c>
      <c r="T220" s="45">
        <v>44673</v>
      </c>
      <c r="U220" s="46">
        <v>46865</v>
      </c>
      <c r="V220" s="47">
        <v>120</v>
      </c>
      <c r="W220" s="47">
        <v>600000000</v>
      </c>
      <c r="X220" s="47">
        <v>-3000000</v>
      </c>
      <c r="Y220" s="47">
        <v>600000000</v>
      </c>
      <c r="Z220" s="47">
        <v>600000000</v>
      </c>
      <c r="AA220" s="47">
        <v>600000000</v>
      </c>
      <c r="AB220" s="47">
        <v>600000000</v>
      </c>
      <c r="AC220" s="47">
        <v>600000000</v>
      </c>
      <c r="AD220" s="47">
        <v>600000000</v>
      </c>
      <c r="AE220" s="47">
        <v>600000000</v>
      </c>
      <c r="AF220" s="47">
        <v>600000000</v>
      </c>
      <c r="AG220" s="47">
        <v>600000000</v>
      </c>
      <c r="AH220" s="47">
        <v>600000000</v>
      </c>
      <c r="AI220" s="47">
        <v>600000000</v>
      </c>
      <c r="AJ220" s="47">
        <v>600000000</v>
      </c>
      <c r="AK220" s="47">
        <v>600000000</v>
      </c>
      <c r="AL220" s="47">
        <v>-100000000</v>
      </c>
      <c r="AM220" s="47">
        <v>-375000000</v>
      </c>
      <c r="AN220" s="47">
        <v>-3000000</v>
      </c>
      <c r="AO220" s="47">
        <v>-3000000</v>
      </c>
      <c r="AP220" s="47">
        <v>-3000000</v>
      </c>
      <c r="AQ220" s="47">
        <v>-3000000</v>
      </c>
      <c r="AR220" s="47">
        <v>-3000000</v>
      </c>
      <c r="AS220" s="47">
        <v>-3000000</v>
      </c>
      <c r="AT220" s="47">
        <v>-3000000</v>
      </c>
      <c r="AU220" s="47">
        <v>-3000000</v>
      </c>
      <c r="AV220" s="47">
        <v>-3000000</v>
      </c>
      <c r="AW220" s="47">
        <v>-3000000</v>
      </c>
      <c r="AX220" s="47">
        <v>-3000000</v>
      </c>
      <c r="AY220" s="47">
        <v>-3000000</v>
      </c>
      <c r="AZ220" s="58">
        <f t="shared" si="12"/>
        <v>-36000000</v>
      </c>
      <c r="BA220" s="47">
        <f>Y220+SUM($AM220:AM220)</f>
        <v>225000000</v>
      </c>
      <c r="BB220" s="48">
        <f>Z220+SUM($AM220:AN220)</f>
        <v>222000000</v>
      </c>
      <c r="BC220" s="48">
        <f>AA220+SUM($AM220:AO220)</f>
        <v>219000000</v>
      </c>
      <c r="BD220" s="48">
        <f>AB220+SUM($AM220:AP220)</f>
        <v>216000000</v>
      </c>
      <c r="BE220" s="48">
        <f>AC220+SUM($AM220:AQ220)</f>
        <v>213000000</v>
      </c>
      <c r="BF220" s="48">
        <f>AD220+SUM($AM220:AR220)</f>
        <v>210000000</v>
      </c>
      <c r="BG220" s="48">
        <f>AE220+SUM($AM220:AS220)</f>
        <v>207000000</v>
      </c>
      <c r="BH220" s="48">
        <f>AF220+SUM($AM220:AT220)</f>
        <v>204000000</v>
      </c>
      <c r="BI220" s="48">
        <f>AG220+SUM($AM220:AU220)</f>
        <v>201000000</v>
      </c>
      <c r="BJ220" s="48">
        <f>AH220+SUM($AM220:AV220)</f>
        <v>198000000</v>
      </c>
      <c r="BK220" s="48">
        <f>AI220+SUM($AM220:AW220)</f>
        <v>195000000</v>
      </c>
      <c r="BL220" s="48">
        <f>AJ220+SUM($AM220:AX220)</f>
        <v>192000000</v>
      </c>
      <c r="BM220" s="48">
        <f>AK220+SUM($AM220:AY220)</f>
        <v>189000000</v>
      </c>
      <c r="BO220" s="47"/>
    </row>
    <row r="221" spans="3:67" s="41" customFormat="1" hidden="1" x14ac:dyDescent="0.3">
      <c r="C221" s="41" t="s">
        <v>1340</v>
      </c>
      <c r="D221" s="42" t="s">
        <v>342</v>
      </c>
      <c r="E221" s="42" t="str">
        <f t="shared" si="10"/>
        <v>211</v>
      </c>
      <c r="F221" s="41" t="str">
        <f>_xlfn.XLOOKUP($D221,MD_Account_Asset_Type[Nhóm tài sản],MD_Account_Asset_Type[Tên Nhóm tài sản])</f>
        <v>Phương tiện vận tải , truyền dẫn - SX 627</v>
      </c>
      <c r="G221" s="41" t="str">
        <f>_xlfn.XLOOKUP($D221,MD_Account_Asset_Type[Nhóm tài sản],MD_Account_Asset_Type[Tên nhóm TS-Rút gọn])</f>
        <v>Phương tiện vận tải</v>
      </c>
      <c r="H221" s="41" t="str">
        <f>_xlfn.XLOOKUP($D221,MD_Account_Asset_Type[Nhóm tài sản],MD_Account_Asset_Type[Tên nhóm TS-Rút gọn-v2])</f>
        <v>Phương tiện vận tải</v>
      </c>
      <c r="I221" s="43" t="s">
        <v>1074</v>
      </c>
      <c r="J221" s="42" t="s">
        <v>712</v>
      </c>
      <c r="K221" s="41" t="s">
        <v>830</v>
      </c>
      <c r="L221" s="42" t="s">
        <v>51</v>
      </c>
      <c r="M221" s="42" t="s">
        <v>126</v>
      </c>
      <c r="N221" s="44" t="s">
        <v>244</v>
      </c>
      <c r="O221" s="44"/>
      <c r="P221" s="41" t="s">
        <v>463</v>
      </c>
      <c r="Q221" s="41" t="str">
        <f t="shared" si="11"/>
        <v>627</v>
      </c>
      <c r="R221" s="41" t="str">
        <f>_xlfn.XLOOKUP($L221,MD_Cost_Center[Mã Cost Center],MD_Cost_Center[Ngành])</f>
        <v>PET</v>
      </c>
      <c r="S221" s="41" t="str">
        <f>_xlfn.XLOOKUP($L221,MD_Cost_Center[Mã Cost Center],MD_Cost_Center[Ngành-Tách PET-Xơ sợi])</f>
        <v>Chung-PET</v>
      </c>
      <c r="T221" s="45">
        <v>44673</v>
      </c>
      <c r="U221" s="46">
        <v>46865</v>
      </c>
      <c r="V221" s="47">
        <v>120</v>
      </c>
      <c r="W221" s="47">
        <v>162000000</v>
      </c>
      <c r="X221" s="47">
        <v>-810000</v>
      </c>
      <c r="Y221" s="47">
        <v>162000000</v>
      </c>
      <c r="Z221" s="47">
        <v>162000000</v>
      </c>
      <c r="AA221" s="47">
        <v>162000000</v>
      </c>
      <c r="AB221" s="47">
        <v>162000000</v>
      </c>
      <c r="AC221" s="47">
        <v>162000000</v>
      </c>
      <c r="AD221" s="47">
        <v>162000000</v>
      </c>
      <c r="AE221" s="47">
        <v>162000000</v>
      </c>
      <c r="AF221" s="47">
        <v>162000000</v>
      </c>
      <c r="AG221" s="47">
        <v>162000000</v>
      </c>
      <c r="AH221" s="47">
        <v>162000000</v>
      </c>
      <c r="AI221" s="47">
        <v>162000000</v>
      </c>
      <c r="AJ221" s="47">
        <v>162000000</v>
      </c>
      <c r="AK221" s="47">
        <v>162000000</v>
      </c>
      <c r="AL221" s="47">
        <v>-27000000</v>
      </c>
      <c r="AM221" s="47">
        <v>-101250000</v>
      </c>
      <c r="AN221" s="47">
        <v>-810000</v>
      </c>
      <c r="AO221" s="47">
        <v>-810000</v>
      </c>
      <c r="AP221" s="47">
        <v>-810000</v>
      </c>
      <c r="AQ221" s="47">
        <v>-810000</v>
      </c>
      <c r="AR221" s="47">
        <v>-810000</v>
      </c>
      <c r="AS221" s="47">
        <v>-810000</v>
      </c>
      <c r="AT221" s="47">
        <v>-810000</v>
      </c>
      <c r="AU221" s="47">
        <v>-810000</v>
      </c>
      <c r="AV221" s="47">
        <v>-810000</v>
      </c>
      <c r="AW221" s="47">
        <v>-810000</v>
      </c>
      <c r="AX221" s="47">
        <v>-810000</v>
      </c>
      <c r="AY221" s="47">
        <v>-810000</v>
      </c>
      <c r="AZ221" s="58">
        <f t="shared" si="12"/>
        <v>-9720000</v>
      </c>
      <c r="BA221" s="47">
        <f>Y221+SUM($AM221:AM221)</f>
        <v>60750000</v>
      </c>
      <c r="BB221" s="48">
        <f>Z221+SUM($AM221:AN221)</f>
        <v>59940000</v>
      </c>
      <c r="BC221" s="48">
        <f>AA221+SUM($AM221:AO221)</f>
        <v>59130000</v>
      </c>
      <c r="BD221" s="48">
        <f>AB221+SUM($AM221:AP221)</f>
        <v>58320000</v>
      </c>
      <c r="BE221" s="48">
        <f>AC221+SUM($AM221:AQ221)</f>
        <v>57510000</v>
      </c>
      <c r="BF221" s="48">
        <f>AD221+SUM($AM221:AR221)</f>
        <v>56700000</v>
      </c>
      <c r="BG221" s="48">
        <f>AE221+SUM($AM221:AS221)</f>
        <v>55890000</v>
      </c>
      <c r="BH221" s="48">
        <f>AF221+SUM($AM221:AT221)</f>
        <v>55080000</v>
      </c>
      <c r="BI221" s="48">
        <f>AG221+SUM($AM221:AU221)</f>
        <v>54270000</v>
      </c>
      <c r="BJ221" s="48">
        <f>AH221+SUM($AM221:AV221)</f>
        <v>53460000</v>
      </c>
      <c r="BK221" s="48">
        <f>AI221+SUM($AM221:AW221)</f>
        <v>52650000</v>
      </c>
      <c r="BL221" s="48">
        <f>AJ221+SUM($AM221:AX221)</f>
        <v>51840000</v>
      </c>
      <c r="BM221" s="48">
        <f>AK221+SUM($AM221:AY221)</f>
        <v>51030000</v>
      </c>
      <c r="BO221" s="47"/>
    </row>
    <row r="222" spans="3:67" s="41" customFormat="1" hidden="1" x14ac:dyDescent="0.3">
      <c r="C222" s="41" t="s">
        <v>1340</v>
      </c>
      <c r="D222" s="42" t="s">
        <v>342</v>
      </c>
      <c r="E222" s="42" t="str">
        <f t="shared" si="10"/>
        <v>211</v>
      </c>
      <c r="F222" s="41" t="str">
        <f>_xlfn.XLOOKUP($D222,MD_Account_Asset_Type[Nhóm tài sản],MD_Account_Asset_Type[Tên Nhóm tài sản])</f>
        <v>Phương tiện vận tải , truyền dẫn - SX 627</v>
      </c>
      <c r="G222" s="41" t="str">
        <f>_xlfn.XLOOKUP($D222,MD_Account_Asset_Type[Nhóm tài sản],MD_Account_Asset_Type[Tên nhóm TS-Rút gọn])</f>
        <v>Phương tiện vận tải</v>
      </c>
      <c r="H222" s="41" t="str">
        <f>_xlfn.XLOOKUP($D222,MD_Account_Asset_Type[Nhóm tài sản],MD_Account_Asset_Type[Tên nhóm TS-Rút gọn-v2])</f>
        <v>Phương tiện vận tải</v>
      </c>
      <c r="I222" s="43" t="s">
        <v>1075</v>
      </c>
      <c r="J222" s="42" t="s">
        <v>713</v>
      </c>
      <c r="K222" s="41" t="s">
        <v>830</v>
      </c>
      <c r="L222" s="42" t="s">
        <v>48</v>
      </c>
      <c r="M222" s="42" t="s">
        <v>123</v>
      </c>
      <c r="N222" s="44">
        <v>0</v>
      </c>
      <c r="O222" s="44"/>
      <c r="P222" s="41" t="s">
        <v>463</v>
      </c>
      <c r="Q222" s="41" t="str">
        <f t="shared" si="11"/>
        <v>627</v>
      </c>
      <c r="R222" s="41" t="str">
        <f>_xlfn.XLOOKUP($L222,MD_Cost_Center[Mã Cost Center],MD_Cost_Center[Ngành])</f>
        <v>PET</v>
      </c>
      <c r="S222" s="41" t="str">
        <f>_xlfn.XLOOKUP($L222,MD_Cost_Center[Mã Cost Center],MD_Cost_Center[Ngành-Tách PET-Xơ sợi])</f>
        <v>Chung-PET</v>
      </c>
      <c r="T222" s="45">
        <v>44757</v>
      </c>
      <c r="U222" s="46">
        <v>47679</v>
      </c>
      <c r="V222" s="47">
        <v>120</v>
      </c>
      <c r="W222" s="47">
        <v>1191602171</v>
      </c>
      <c r="X222" s="47">
        <v>-8593284.897435898</v>
      </c>
      <c r="Y222" s="47">
        <v>1191602171</v>
      </c>
      <c r="Z222" s="47">
        <v>1191602171</v>
      </c>
      <c r="AA222" s="47">
        <v>1191602171</v>
      </c>
      <c r="AB222" s="47">
        <v>1191602171</v>
      </c>
      <c r="AC222" s="47">
        <v>1191602171</v>
      </c>
      <c r="AD222" s="47">
        <v>1191602171</v>
      </c>
      <c r="AE222" s="47">
        <v>1191602171</v>
      </c>
      <c r="AF222" s="47">
        <v>1191602171</v>
      </c>
      <c r="AG222" s="47">
        <v>1191602171</v>
      </c>
      <c r="AH222" s="47">
        <v>1191602171</v>
      </c>
      <c r="AI222" s="47">
        <v>1191602171</v>
      </c>
      <c r="AJ222" s="47">
        <v>1191602171</v>
      </c>
      <c r="AK222" s="47">
        <v>1191602171</v>
      </c>
      <c r="AL222" s="47">
        <v>-148950271</v>
      </c>
      <c r="AM222" s="47">
        <v>-521325949</v>
      </c>
      <c r="AN222" s="47">
        <v>-8593284.897435898</v>
      </c>
      <c r="AO222" s="47">
        <v>-8593284.897435898</v>
      </c>
      <c r="AP222" s="47">
        <v>-8593284.897435898</v>
      </c>
      <c r="AQ222" s="47">
        <v>-8593284.897435898</v>
      </c>
      <c r="AR222" s="47">
        <v>-8593284.897435898</v>
      </c>
      <c r="AS222" s="47">
        <v>-8593284.897435898</v>
      </c>
      <c r="AT222" s="47">
        <v>-8593284.897435898</v>
      </c>
      <c r="AU222" s="47">
        <v>-8593284.897435898</v>
      </c>
      <c r="AV222" s="47">
        <v>-8593284.897435898</v>
      </c>
      <c r="AW222" s="47">
        <v>-8593284.897435898</v>
      </c>
      <c r="AX222" s="47">
        <v>-8593284.897435898</v>
      </c>
      <c r="AY222" s="47">
        <v>-8593284.897435898</v>
      </c>
      <c r="AZ222" s="58">
        <f t="shared" si="12"/>
        <v>-103119418.7692308</v>
      </c>
      <c r="BA222" s="47">
        <f>Y222+SUM($AM222:AM222)</f>
        <v>670276222</v>
      </c>
      <c r="BB222" s="48">
        <f>Z222+SUM($AM222:AN222)</f>
        <v>661682937.1025641</v>
      </c>
      <c r="BC222" s="48">
        <f>AA222+SUM($AM222:AO222)</f>
        <v>653089652.20512819</v>
      </c>
      <c r="BD222" s="48">
        <f>AB222+SUM($AM222:AP222)</f>
        <v>644496367.30769229</v>
      </c>
      <c r="BE222" s="48">
        <f>AC222+SUM($AM222:AQ222)</f>
        <v>635903082.41025639</v>
      </c>
      <c r="BF222" s="48">
        <f>AD222+SUM($AM222:AR222)</f>
        <v>627309797.51282048</v>
      </c>
      <c r="BG222" s="48">
        <f>AE222+SUM($AM222:AS222)</f>
        <v>618716512.61538458</v>
      </c>
      <c r="BH222" s="48">
        <f>AF222+SUM($AM222:AT222)</f>
        <v>610123227.71794868</v>
      </c>
      <c r="BI222" s="48">
        <f>AG222+SUM($AM222:AU222)</f>
        <v>601529942.82051277</v>
      </c>
      <c r="BJ222" s="48">
        <f>AH222+SUM($AM222:AV222)</f>
        <v>592936657.92307687</v>
      </c>
      <c r="BK222" s="48">
        <f>AI222+SUM($AM222:AW222)</f>
        <v>584343373.02564096</v>
      </c>
      <c r="BL222" s="48">
        <f>AJ222+SUM($AM222:AX222)</f>
        <v>575750088.12820506</v>
      </c>
      <c r="BM222" s="48">
        <f>AK222+SUM($AM222:AY222)</f>
        <v>567156803.23076916</v>
      </c>
      <c r="BO222" s="47"/>
    </row>
    <row r="223" spans="3:67" s="41" customFormat="1" hidden="1" x14ac:dyDescent="0.3">
      <c r="C223" s="41" t="s">
        <v>1340</v>
      </c>
      <c r="D223" s="42" t="s">
        <v>342</v>
      </c>
      <c r="E223" s="42" t="str">
        <f t="shared" si="10"/>
        <v>211</v>
      </c>
      <c r="F223" s="41" t="str">
        <f>_xlfn.XLOOKUP($D223,MD_Account_Asset_Type[Nhóm tài sản],MD_Account_Asset_Type[Tên Nhóm tài sản])</f>
        <v>Phương tiện vận tải , truyền dẫn - SX 627</v>
      </c>
      <c r="G223" s="41" t="str">
        <f>_xlfn.XLOOKUP($D223,MD_Account_Asset_Type[Nhóm tài sản],MD_Account_Asset_Type[Tên nhóm TS-Rút gọn])</f>
        <v>Phương tiện vận tải</v>
      </c>
      <c r="H223" s="41" t="str">
        <f>_xlfn.XLOOKUP($D223,MD_Account_Asset_Type[Nhóm tài sản],MD_Account_Asset_Type[Tên nhóm TS-Rút gọn-v2])</f>
        <v>Phương tiện vận tải</v>
      </c>
      <c r="I223" s="43" t="s">
        <v>1076</v>
      </c>
      <c r="J223" s="42" t="s">
        <v>714</v>
      </c>
      <c r="K223" s="41" t="s">
        <v>830</v>
      </c>
      <c r="L223" s="42" t="s">
        <v>61</v>
      </c>
      <c r="M223" s="42" t="s">
        <v>136</v>
      </c>
      <c r="N223" s="44" t="s">
        <v>254</v>
      </c>
      <c r="O223" s="44"/>
      <c r="P223" s="41" t="s">
        <v>463</v>
      </c>
      <c r="Q223" s="41" t="str">
        <f t="shared" si="11"/>
        <v>627</v>
      </c>
      <c r="R223" s="41" t="str">
        <f>_xlfn.XLOOKUP($L223,MD_Cost_Center[Mã Cost Center],MD_Cost_Center[Ngành])</f>
        <v>PET</v>
      </c>
      <c r="S223" s="41" t="str">
        <f>_xlfn.XLOOKUP($L223,MD_Cost_Center[Mã Cost Center],MD_Cost_Center[Ngành-Tách PET-Xơ sợi])</f>
        <v>Chung-PET</v>
      </c>
      <c r="T223" s="45">
        <v>44722</v>
      </c>
      <c r="U223" s="46">
        <v>46548</v>
      </c>
      <c r="V223" s="47">
        <v>120</v>
      </c>
      <c r="W223" s="47">
        <v>472000000</v>
      </c>
      <c r="X223" s="47">
        <v>-1736796.5324675324</v>
      </c>
      <c r="Y223" s="47">
        <v>472000000</v>
      </c>
      <c r="Z223" s="47">
        <v>472000000</v>
      </c>
      <c r="AA223" s="47">
        <v>472000000</v>
      </c>
      <c r="AB223" s="47">
        <v>472000000</v>
      </c>
      <c r="AC223" s="47">
        <v>472000000</v>
      </c>
      <c r="AD223" s="47">
        <v>472000000</v>
      </c>
      <c r="AE223" s="47">
        <v>472000000</v>
      </c>
      <c r="AF223" s="47">
        <v>472000000</v>
      </c>
      <c r="AG223" s="47">
        <v>472000000</v>
      </c>
      <c r="AH223" s="47">
        <v>472000000</v>
      </c>
      <c r="AI223" s="47">
        <v>472000000</v>
      </c>
      <c r="AJ223" s="47">
        <v>472000000</v>
      </c>
      <c r="AK223" s="47">
        <v>472000000</v>
      </c>
      <c r="AL223" s="47">
        <v>-94400000</v>
      </c>
      <c r="AM223" s="47">
        <v>-338266667</v>
      </c>
      <c r="AN223" s="47">
        <v>-1736796.5324675324</v>
      </c>
      <c r="AO223" s="47">
        <v>-1736796.5324675324</v>
      </c>
      <c r="AP223" s="47">
        <v>-1736796.5324675324</v>
      </c>
      <c r="AQ223" s="47">
        <v>-1736796.5324675324</v>
      </c>
      <c r="AR223" s="47">
        <v>-1736796.5324675324</v>
      </c>
      <c r="AS223" s="47">
        <v>-1736796.5324675324</v>
      </c>
      <c r="AT223" s="47">
        <v>-1736796.5324675324</v>
      </c>
      <c r="AU223" s="47">
        <v>-1736796.5324675324</v>
      </c>
      <c r="AV223" s="47">
        <v>-1736796.5324675324</v>
      </c>
      <c r="AW223" s="47">
        <v>-1736796.5324675324</v>
      </c>
      <c r="AX223" s="47">
        <v>-1736796.5324675324</v>
      </c>
      <c r="AY223" s="47">
        <v>-1736796.5324675324</v>
      </c>
      <c r="AZ223" s="58">
        <f t="shared" si="12"/>
        <v>-20841558.389610391</v>
      </c>
      <c r="BA223" s="47">
        <f>Y223+SUM($AM223:AM223)</f>
        <v>133733333</v>
      </c>
      <c r="BB223" s="48">
        <f>Z223+SUM($AM223:AN223)</f>
        <v>131996536.46753246</v>
      </c>
      <c r="BC223" s="48">
        <f>AA223+SUM($AM223:AO223)</f>
        <v>130259739.93506491</v>
      </c>
      <c r="BD223" s="48">
        <f>AB223+SUM($AM223:AP223)</f>
        <v>128522943.40259737</v>
      </c>
      <c r="BE223" s="48">
        <f>AC223+SUM($AM223:AQ223)</f>
        <v>126786146.87012982</v>
      </c>
      <c r="BF223" s="48">
        <f>AD223+SUM($AM223:AR223)</f>
        <v>125049350.33766228</v>
      </c>
      <c r="BG223" s="48">
        <f>AE223+SUM($AM223:AS223)</f>
        <v>123312553.80519474</v>
      </c>
      <c r="BH223" s="48">
        <f>AF223+SUM($AM223:AT223)</f>
        <v>121575757.27272719</v>
      </c>
      <c r="BI223" s="48">
        <f>AG223+SUM($AM223:AU223)</f>
        <v>119838960.74025965</v>
      </c>
      <c r="BJ223" s="48">
        <f>AH223+SUM($AM223:AV223)</f>
        <v>118102164.2077921</v>
      </c>
      <c r="BK223" s="48">
        <f>AI223+SUM($AM223:AW223)</f>
        <v>116365367.67532456</v>
      </c>
      <c r="BL223" s="48">
        <f>AJ223+SUM($AM223:AX223)</f>
        <v>114628571.14285702</v>
      </c>
      <c r="BM223" s="48">
        <f>AK223+SUM($AM223:AY223)</f>
        <v>112891774.61038947</v>
      </c>
      <c r="BO223" s="47"/>
    </row>
    <row r="224" spans="3:67" s="41" customFormat="1" hidden="1" x14ac:dyDescent="0.3">
      <c r="C224" s="41" t="s">
        <v>1340</v>
      </c>
      <c r="D224" s="42" t="s">
        <v>342</v>
      </c>
      <c r="E224" s="42" t="str">
        <f t="shared" si="10"/>
        <v>211</v>
      </c>
      <c r="F224" s="41" t="str">
        <f>_xlfn.XLOOKUP($D224,MD_Account_Asset_Type[Nhóm tài sản],MD_Account_Asset_Type[Tên Nhóm tài sản])</f>
        <v>Phương tiện vận tải , truyền dẫn - SX 627</v>
      </c>
      <c r="G224" s="41" t="str">
        <f>_xlfn.XLOOKUP($D224,MD_Account_Asset_Type[Nhóm tài sản],MD_Account_Asset_Type[Tên nhóm TS-Rút gọn])</f>
        <v>Phương tiện vận tải</v>
      </c>
      <c r="H224" s="41" t="str">
        <f>_xlfn.XLOOKUP($D224,MD_Account_Asset_Type[Nhóm tài sản],MD_Account_Asset_Type[Tên nhóm TS-Rút gọn-v2])</f>
        <v>Phương tiện vận tải</v>
      </c>
      <c r="I224" s="43" t="s">
        <v>1077</v>
      </c>
      <c r="J224" s="42" t="s">
        <v>715</v>
      </c>
      <c r="K224" s="41" t="s">
        <v>830</v>
      </c>
      <c r="L224" s="42" t="s">
        <v>48</v>
      </c>
      <c r="M224" s="42" t="s">
        <v>123</v>
      </c>
      <c r="N224" s="44">
        <v>0</v>
      </c>
      <c r="O224" s="44"/>
      <c r="P224" s="41" t="s">
        <v>463</v>
      </c>
      <c r="Q224" s="41" t="str">
        <f t="shared" si="11"/>
        <v>627</v>
      </c>
      <c r="R224" s="41" t="str">
        <f>_xlfn.XLOOKUP($L224,MD_Cost_Center[Mã Cost Center],MD_Cost_Center[Ngành])</f>
        <v>PET</v>
      </c>
      <c r="S224" s="41" t="str">
        <f>_xlfn.XLOOKUP($L224,MD_Cost_Center[Mã Cost Center],MD_Cost_Center[Ngành-Tách PET-Xơ sợi])</f>
        <v>Chung-PET</v>
      </c>
      <c r="T224" s="45">
        <v>44873</v>
      </c>
      <c r="U224" s="46">
        <v>47795</v>
      </c>
      <c r="V224" s="47">
        <v>120</v>
      </c>
      <c r="W224" s="47">
        <v>1309027251</v>
      </c>
      <c r="X224" s="47">
        <v>-9644763.7926829271</v>
      </c>
      <c r="Y224" s="47">
        <v>1309027251</v>
      </c>
      <c r="Z224" s="47">
        <v>1309027251</v>
      </c>
      <c r="AA224" s="47">
        <v>1309027251</v>
      </c>
      <c r="AB224" s="47">
        <v>1309027251</v>
      </c>
      <c r="AC224" s="47">
        <v>1309027251</v>
      </c>
      <c r="AD224" s="47">
        <v>1309027251</v>
      </c>
      <c r="AE224" s="47">
        <v>1309027251</v>
      </c>
      <c r="AF224" s="47">
        <v>1309027251</v>
      </c>
      <c r="AG224" s="47">
        <v>1309027251</v>
      </c>
      <c r="AH224" s="47">
        <v>1309027251</v>
      </c>
      <c r="AI224" s="47">
        <v>1309027251</v>
      </c>
      <c r="AJ224" s="47">
        <v>1309027251</v>
      </c>
      <c r="AK224" s="47">
        <v>1309027251</v>
      </c>
      <c r="AL224" s="47">
        <v>-163628407</v>
      </c>
      <c r="AM224" s="47">
        <v>-518156620</v>
      </c>
      <c r="AN224" s="47">
        <v>-9644763.7926829271</v>
      </c>
      <c r="AO224" s="47">
        <v>-9644763.7926829271</v>
      </c>
      <c r="AP224" s="47">
        <v>-9644763.7926829271</v>
      </c>
      <c r="AQ224" s="47">
        <v>-9644763.7926829271</v>
      </c>
      <c r="AR224" s="47">
        <v>-9644763.7926829271</v>
      </c>
      <c r="AS224" s="47">
        <v>-9644763.7926829271</v>
      </c>
      <c r="AT224" s="47">
        <v>-9644763.7926829271</v>
      </c>
      <c r="AU224" s="47">
        <v>-9644763.7926829271</v>
      </c>
      <c r="AV224" s="47">
        <v>-9644763.7926829271</v>
      </c>
      <c r="AW224" s="47">
        <v>-9644763.7926829271</v>
      </c>
      <c r="AX224" s="47">
        <v>-9644763.7926829271</v>
      </c>
      <c r="AY224" s="47">
        <v>-9644763.7926829271</v>
      </c>
      <c r="AZ224" s="58">
        <f t="shared" si="12"/>
        <v>-115737165.51219516</v>
      </c>
      <c r="BA224" s="47">
        <f>Y224+SUM($AM224:AM224)</f>
        <v>790870631</v>
      </c>
      <c r="BB224" s="48">
        <f>Z224+SUM($AM224:AN224)</f>
        <v>781225867.20731711</v>
      </c>
      <c r="BC224" s="48">
        <f>AA224+SUM($AM224:AO224)</f>
        <v>771581103.41463411</v>
      </c>
      <c r="BD224" s="48">
        <f>AB224+SUM($AM224:AP224)</f>
        <v>761936339.62195122</v>
      </c>
      <c r="BE224" s="48">
        <f>AC224+SUM($AM224:AQ224)</f>
        <v>752291575.82926834</v>
      </c>
      <c r="BF224" s="48">
        <f>AD224+SUM($AM224:AR224)</f>
        <v>742646812.03658545</v>
      </c>
      <c r="BG224" s="48">
        <f>AE224+SUM($AM224:AS224)</f>
        <v>733002048.24390256</v>
      </c>
      <c r="BH224" s="48">
        <f>AF224+SUM($AM224:AT224)</f>
        <v>723357284.45121968</v>
      </c>
      <c r="BI224" s="48">
        <f>AG224+SUM($AM224:AU224)</f>
        <v>713712520.65853679</v>
      </c>
      <c r="BJ224" s="48">
        <f>AH224+SUM($AM224:AV224)</f>
        <v>704067756.86585391</v>
      </c>
      <c r="BK224" s="48">
        <f>AI224+SUM($AM224:AW224)</f>
        <v>694422993.07317102</v>
      </c>
      <c r="BL224" s="48">
        <f>AJ224+SUM($AM224:AX224)</f>
        <v>684778229.28048813</v>
      </c>
      <c r="BM224" s="48">
        <f>AK224+SUM($AM224:AY224)</f>
        <v>675133465.48780525</v>
      </c>
      <c r="BO224" s="47"/>
    </row>
    <row r="225" spans="3:67" s="41" customFormat="1" hidden="1" x14ac:dyDescent="0.3">
      <c r="C225" s="41" t="s">
        <v>1340</v>
      </c>
      <c r="D225" s="42" t="s">
        <v>342</v>
      </c>
      <c r="E225" s="42" t="str">
        <f t="shared" si="10"/>
        <v>211</v>
      </c>
      <c r="F225" s="41" t="str">
        <f>_xlfn.XLOOKUP($D225,MD_Account_Asset_Type[Nhóm tài sản],MD_Account_Asset_Type[Tên Nhóm tài sản])</f>
        <v>Phương tiện vận tải , truyền dẫn - SX 627</v>
      </c>
      <c r="G225" s="41" t="str">
        <f>_xlfn.XLOOKUP($D225,MD_Account_Asset_Type[Nhóm tài sản],MD_Account_Asset_Type[Tên nhóm TS-Rút gọn])</f>
        <v>Phương tiện vận tải</v>
      </c>
      <c r="H225" s="41" t="str">
        <f>_xlfn.XLOOKUP($D225,MD_Account_Asset_Type[Nhóm tài sản],MD_Account_Asset_Type[Tên nhóm TS-Rút gọn-v2])</f>
        <v>Phương tiện vận tải</v>
      </c>
      <c r="I225" s="43" t="s">
        <v>1078</v>
      </c>
      <c r="J225" s="42" t="s">
        <v>716</v>
      </c>
      <c r="K225" s="41" t="s">
        <v>830</v>
      </c>
      <c r="L225" s="42" t="s">
        <v>48</v>
      </c>
      <c r="M225" s="42" t="s">
        <v>123</v>
      </c>
      <c r="N225" s="44">
        <v>0</v>
      </c>
      <c r="O225" s="44"/>
      <c r="P225" s="41" t="s">
        <v>463</v>
      </c>
      <c r="Q225" s="41" t="str">
        <f t="shared" si="11"/>
        <v>627</v>
      </c>
      <c r="R225" s="41" t="str">
        <f>_xlfn.XLOOKUP($L225,MD_Cost_Center[Mã Cost Center],MD_Cost_Center[Ngành])</f>
        <v>PET</v>
      </c>
      <c r="S225" s="41" t="str">
        <f>_xlfn.XLOOKUP($L225,MD_Cost_Center[Mã Cost Center],MD_Cost_Center[Ngành-Tách PET-Xơ sợi])</f>
        <v>Chung-PET</v>
      </c>
      <c r="T225" s="45">
        <v>44873</v>
      </c>
      <c r="U225" s="46">
        <v>47795</v>
      </c>
      <c r="V225" s="47">
        <v>120</v>
      </c>
      <c r="W225" s="47">
        <v>1309027247</v>
      </c>
      <c r="X225" s="47">
        <v>-9644763.7560975607</v>
      </c>
      <c r="Y225" s="47">
        <v>1309027247</v>
      </c>
      <c r="Z225" s="47">
        <v>1309027247</v>
      </c>
      <c r="AA225" s="47">
        <v>1309027247</v>
      </c>
      <c r="AB225" s="47">
        <v>1309027247</v>
      </c>
      <c r="AC225" s="47">
        <v>1309027247</v>
      </c>
      <c r="AD225" s="47">
        <v>1309027247</v>
      </c>
      <c r="AE225" s="47">
        <v>1309027247</v>
      </c>
      <c r="AF225" s="47">
        <v>1309027247</v>
      </c>
      <c r="AG225" s="47">
        <v>1309027247</v>
      </c>
      <c r="AH225" s="47">
        <v>1309027247</v>
      </c>
      <c r="AI225" s="47">
        <v>1309027247</v>
      </c>
      <c r="AJ225" s="47">
        <v>1309027247</v>
      </c>
      <c r="AK225" s="47">
        <v>1309027247</v>
      </c>
      <c r="AL225" s="47">
        <v>-163628406</v>
      </c>
      <c r="AM225" s="47">
        <v>-518156619</v>
      </c>
      <c r="AN225" s="47">
        <v>-9644763.7560975607</v>
      </c>
      <c r="AO225" s="47">
        <v>-9644763.7560975607</v>
      </c>
      <c r="AP225" s="47">
        <v>-9644763.7560975607</v>
      </c>
      <c r="AQ225" s="47">
        <v>-9644763.7560975607</v>
      </c>
      <c r="AR225" s="47">
        <v>-9644763.7560975607</v>
      </c>
      <c r="AS225" s="47">
        <v>-9644763.7560975607</v>
      </c>
      <c r="AT225" s="47">
        <v>-9644763.7560975607</v>
      </c>
      <c r="AU225" s="47">
        <v>-9644763.7560975607</v>
      </c>
      <c r="AV225" s="47">
        <v>-9644763.7560975607</v>
      </c>
      <c r="AW225" s="47">
        <v>-9644763.7560975607</v>
      </c>
      <c r="AX225" s="47">
        <v>-9644763.7560975607</v>
      </c>
      <c r="AY225" s="47">
        <v>-9644763.7560975607</v>
      </c>
      <c r="AZ225" s="58">
        <f t="shared" si="12"/>
        <v>-115737165.07317071</v>
      </c>
      <c r="BA225" s="47">
        <f>Y225+SUM($AM225:AM225)</f>
        <v>790870628</v>
      </c>
      <c r="BB225" s="48">
        <f>Z225+SUM($AM225:AN225)</f>
        <v>781225864.24390244</v>
      </c>
      <c r="BC225" s="48">
        <f>AA225+SUM($AM225:AO225)</f>
        <v>771581100.48780489</v>
      </c>
      <c r="BD225" s="48">
        <f>AB225+SUM($AM225:AP225)</f>
        <v>761936336.73170733</v>
      </c>
      <c r="BE225" s="48">
        <f>AC225+SUM($AM225:AQ225)</f>
        <v>752291572.97560978</v>
      </c>
      <c r="BF225" s="48">
        <f>AD225+SUM($AM225:AR225)</f>
        <v>742646809.21951222</v>
      </c>
      <c r="BG225" s="48">
        <f>AE225+SUM($AM225:AS225)</f>
        <v>733002045.46341467</v>
      </c>
      <c r="BH225" s="48">
        <f>AF225+SUM($AM225:AT225)</f>
        <v>723357281.70731711</v>
      </c>
      <c r="BI225" s="48">
        <f>AG225+SUM($AM225:AU225)</f>
        <v>713712517.95121956</v>
      </c>
      <c r="BJ225" s="48">
        <f>AH225+SUM($AM225:AV225)</f>
        <v>704067754.195122</v>
      </c>
      <c r="BK225" s="48">
        <f>AI225+SUM($AM225:AW225)</f>
        <v>694422990.43902445</v>
      </c>
      <c r="BL225" s="48">
        <f>AJ225+SUM($AM225:AX225)</f>
        <v>684778226.68292689</v>
      </c>
      <c r="BM225" s="48">
        <f>AK225+SUM($AM225:AY225)</f>
        <v>675133462.92682934</v>
      </c>
      <c r="BO225" s="47"/>
    </row>
    <row r="226" spans="3:67" s="41" customFormat="1" hidden="1" x14ac:dyDescent="0.3">
      <c r="C226" s="41" t="s">
        <v>1340</v>
      </c>
      <c r="D226" s="42" t="s">
        <v>342</v>
      </c>
      <c r="E226" s="42" t="str">
        <f t="shared" si="10"/>
        <v>211</v>
      </c>
      <c r="F226" s="41" t="str">
        <f>_xlfn.XLOOKUP($D226,MD_Account_Asset_Type[Nhóm tài sản],MD_Account_Asset_Type[Tên Nhóm tài sản])</f>
        <v>Phương tiện vận tải , truyền dẫn - SX 627</v>
      </c>
      <c r="G226" s="41" t="str">
        <f>_xlfn.XLOOKUP($D226,MD_Account_Asset_Type[Nhóm tài sản],MD_Account_Asset_Type[Tên nhóm TS-Rút gọn])</f>
        <v>Phương tiện vận tải</v>
      </c>
      <c r="H226" s="41" t="str">
        <f>_xlfn.XLOOKUP($D226,MD_Account_Asset_Type[Nhóm tài sản],MD_Account_Asset_Type[Tên nhóm TS-Rút gọn-v2])</f>
        <v>Phương tiện vận tải</v>
      </c>
      <c r="I226" s="43" t="s">
        <v>1079</v>
      </c>
      <c r="J226" s="42" t="s">
        <v>717</v>
      </c>
      <c r="K226" s="41" t="s">
        <v>830</v>
      </c>
      <c r="L226" s="42" t="s">
        <v>48</v>
      </c>
      <c r="M226" s="42" t="s">
        <v>123</v>
      </c>
      <c r="N226" s="44">
        <v>0</v>
      </c>
      <c r="O226" s="44"/>
      <c r="P226" s="41" t="s">
        <v>463</v>
      </c>
      <c r="Q226" s="41" t="str">
        <f t="shared" si="11"/>
        <v>627</v>
      </c>
      <c r="R226" s="41" t="str">
        <f>_xlfn.XLOOKUP($L226,MD_Cost_Center[Mã Cost Center],MD_Cost_Center[Ngành])</f>
        <v>PET</v>
      </c>
      <c r="S226" s="41" t="str">
        <f>_xlfn.XLOOKUP($L226,MD_Cost_Center[Mã Cost Center],MD_Cost_Center[Ngành-Tách PET-Xơ sợi])</f>
        <v>Chung-PET</v>
      </c>
      <c r="T226" s="45">
        <v>44896</v>
      </c>
      <c r="U226" s="46">
        <v>46722</v>
      </c>
      <c r="V226" s="47">
        <v>120</v>
      </c>
      <c r="W226" s="47">
        <v>450000000</v>
      </c>
      <c r="X226" s="47">
        <v>-2124384.2380952379</v>
      </c>
      <c r="Y226" s="47">
        <v>450000000</v>
      </c>
      <c r="Z226" s="47">
        <v>450000000</v>
      </c>
      <c r="AA226" s="47">
        <v>450000000</v>
      </c>
      <c r="AB226" s="47">
        <v>450000000</v>
      </c>
      <c r="AC226" s="47">
        <v>450000000</v>
      </c>
      <c r="AD226" s="47">
        <v>450000000</v>
      </c>
      <c r="AE226" s="47">
        <v>450000000</v>
      </c>
      <c r="AF226" s="47">
        <v>450000000</v>
      </c>
      <c r="AG226" s="47">
        <v>450000000</v>
      </c>
      <c r="AH226" s="47">
        <v>450000000</v>
      </c>
      <c r="AI226" s="47">
        <v>450000000</v>
      </c>
      <c r="AJ226" s="47">
        <v>450000000</v>
      </c>
      <c r="AK226" s="47">
        <v>450000000</v>
      </c>
      <c r="AL226" s="47">
        <v>-93103448</v>
      </c>
      <c r="AM226" s="47">
        <v>-271551724</v>
      </c>
      <c r="AN226" s="47">
        <v>-2124384.2380952379</v>
      </c>
      <c r="AO226" s="47">
        <v>-2124384.2380952379</v>
      </c>
      <c r="AP226" s="47">
        <v>-2124384.2380952379</v>
      </c>
      <c r="AQ226" s="47">
        <v>-2124384.2380952379</v>
      </c>
      <c r="AR226" s="47">
        <v>-2124384.2380952379</v>
      </c>
      <c r="AS226" s="47">
        <v>-2124384.2380952379</v>
      </c>
      <c r="AT226" s="47">
        <v>-2124384.2380952379</v>
      </c>
      <c r="AU226" s="47">
        <v>-2124384.2380952379</v>
      </c>
      <c r="AV226" s="47">
        <v>-2124384.2380952379</v>
      </c>
      <c r="AW226" s="47">
        <v>-2124384.2380952379</v>
      </c>
      <c r="AX226" s="47">
        <v>-2124384.2380952379</v>
      </c>
      <c r="AY226" s="47">
        <v>-2124384.2380952379</v>
      </c>
      <c r="AZ226" s="58">
        <f t="shared" si="12"/>
        <v>-25492610.857142862</v>
      </c>
      <c r="BA226" s="47">
        <f>Y226+SUM($AM226:AM226)</f>
        <v>178448276</v>
      </c>
      <c r="BB226" s="48">
        <f>Z226+SUM($AM226:AN226)</f>
        <v>176323891.76190478</v>
      </c>
      <c r="BC226" s="48">
        <f>AA226+SUM($AM226:AO226)</f>
        <v>174199507.52380955</v>
      </c>
      <c r="BD226" s="48">
        <f>AB226+SUM($AM226:AP226)</f>
        <v>172075123.28571433</v>
      </c>
      <c r="BE226" s="48">
        <f>AC226+SUM($AM226:AQ226)</f>
        <v>169950739.0476191</v>
      </c>
      <c r="BF226" s="48">
        <f>AD226+SUM($AM226:AR226)</f>
        <v>167826354.80952388</v>
      </c>
      <c r="BG226" s="48">
        <f>AE226+SUM($AM226:AS226)</f>
        <v>165701970.57142866</v>
      </c>
      <c r="BH226" s="48">
        <f>AF226+SUM($AM226:AT226)</f>
        <v>163577586.33333343</v>
      </c>
      <c r="BI226" s="48">
        <f>AG226+SUM($AM226:AU226)</f>
        <v>161453202.09523821</v>
      </c>
      <c r="BJ226" s="48">
        <f>AH226+SUM($AM226:AV226)</f>
        <v>159328817.85714298</v>
      </c>
      <c r="BK226" s="48">
        <f>AI226+SUM($AM226:AW226)</f>
        <v>157204433.61904776</v>
      </c>
      <c r="BL226" s="48">
        <f>AJ226+SUM($AM226:AX226)</f>
        <v>155080049.38095254</v>
      </c>
      <c r="BM226" s="48">
        <f>AK226+SUM($AM226:AY226)</f>
        <v>152955665.14285731</v>
      </c>
      <c r="BO226" s="47"/>
    </row>
    <row r="227" spans="3:67" s="41" customFormat="1" hidden="1" x14ac:dyDescent="0.3">
      <c r="C227" s="41" t="s">
        <v>1340</v>
      </c>
      <c r="D227" s="42" t="s">
        <v>342</v>
      </c>
      <c r="E227" s="42" t="str">
        <f t="shared" si="10"/>
        <v>211</v>
      </c>
      <c r="F227" s="41" t="str">
        <f>_xlfn.XLOOKUP($D227,MD_Account_Asset_Type[Nhóm tài sản],MD_Account_Asset_Type[Tên Nhóm tài sản])</f>
        <v>Phương tiện vận tải , truyền dẫn - SX 627</v>
      </c>
      <c r="G227" s="41" t="str">
        <f>_xlfn.XLOOKUP($D227,MD_Account_Asset_Type[Nhóm tài sản],MD_Account_Asset_Type[Tên nhóm TS-Rút gọn])</f>
        <v>Phương tiện vận tải</v>
      </c>
      <c r="H227" s="41" t="str">
        <f>_xlfn.XLOOKUP($D227,MD_Account_Asset_Type[Nhóm tài sản],MD_Account_Asset_Type[Tên nhóm TS-Rút gọn-v2])</f>
        <v>Phương tiện vận tải</v>
      </c>
      <c r="I227" s="43" t="s">
        <v>1080</v>
      </c>
      <c r="J227" s="42" t="s">
        <v>718</v>
      </c>
      <c r="K227" s="41" t="s">
        <v>830</v>
      </c>
      <c r="L227" s="42" t="s">
        <v>48</v>
      </c>
      <c r="M227" s="42" t="s">
        <v>123</v>
      </c>
      <c r="N227" s="44">
        <v>0</v>
      </c>
      <c r="O227" s="44"/>
      <c r="P227" s="41" t="s">
        <v>463</v>
      </c>
      <c r="Q227" s="41" t="str">
        <f t="shared" si="11"/>
        <v>627</v>
      </c>
      <c r="R227" s="41" t="str">
        <f>_xlfn.XLOOKUP($L227,MD_Cost_Center[Mã Cost Center],MD_Cost_Center[Ngành])</f>
        <v>PET</v>
      </c>
      <c r="S227" s="41" t="str">
        <f>_xlfn.XLOOKUP($L227,MD_Cost_Center[Mã Cost Center],MD_Cost_Center[Ngành-Tách PET-Xơ sợi])</f>
        <v>Chung-PET</v>
      </c>
      <c r="T227" s="45">
        <v>45028</v>
      </c>
      <c r="U227" s="46">
        <v>48681</v>
      </c>
      <c r="V227" s="47">
        <v>120</v>
      </c>
      <c r="W227" s="47">
        <v>515000000</v>
      </c>
      <c r="X227" s="47">
        <v>-4291666.666666667</v>
      </c>
      <c r="Y227" s="47">
        <v>515000000</v>
      </c>
      <c r="Z227" s="47">
        <v>515000000</v>
      </c>
      <c r="AA227" s="47">
        <v>515000000</v>
      </c>
      <c r="AB227" s="47">
        <v>515000000</v>
      </c>
      <c r="AC227" s="47">
        <v>515000000</v>
      </c>
      <c r="AD227" s="47">
        <v>515000000</v>
      </c>
      <c r="AE227" s="47">
        <v>515000000</v>
      </c>
      <c r="AF227" s="47">
        <v>515000000</v>
      </c>
      <c r="AG227" s="47">
        <v>515000000</v>
      </c>
      <c r="AH227" s="47">
        <v>515000000</v>
      </c>
      <c r="AI227" s="47">
        <v>515000000</v>
      </c>
      <c r="AJ227" s="47">
        <v>515000000</v>
      </c>
      <c r="AK227" s="47">
        <v>515000000</v>
      </c>
      <c r="AL227" s="47">
        <v>-51500000</v>
      </c>
      <c r="AM227" s="47">
        <v>-141625000</v>
      </c>
      <c r="AN227" s="47">
        <v>-4291666.666666667</v>
      </c>
      <c r="AO227" s="47">
        <v>-4291666.666666667</v>
      </c>
      <c r="AP227" s="47">
        <v>-4291666.666666667</v>
      </c>
      <c r="AQ227" s="47">
        <v>-4291666.666666667</v>
      </c>
      <c r="AR227" s="47">
        <v>-4291666.666666667</v>
      </c>
      <c r="AS227" s="47">
        <v>-4291666.666666667</v>
      </c>
      <c r="AT227" s="47">
        <v>-4291666.666666667</v>
      </c>
      <c r="AU227" s="47">
        <v>-4291666.666666667</v>
      </c>
      <c r="AV227" s="47">
        <v>-4291666.666666667</v>
      </c>
      <c r="AW227" s="47">
        <v>-4291666.666666667</v>
      </c>
      <c r="AX227" s="47">
        <v>-4291666.666666667</v>
      </c>
      <c r="AY227" s="47">
        <v>-4291666.666666667</v>
      </c>
      <c r="AZ227" s="58">
        <f t="shared" si="12"/>
        <v>-51499999.999999993</v>
      </c>
      <c r="BA227" s="47">
        <f>Y227+SUM($AM227:AM227)</f>
        <v>373375000</v>
      </c>
      <c r="BB227" s="48">
        <f>Z227+SUM($AM227:AN227)</f>
        <v>369083333.33333337</v>
      </c>
      <c r="BC227" s="48">
        <f>AA227+SUM($AM227:AO227)</f>
        <v>364791666.66666669</v>
      </c>
      <c r="BD227" s="48">
        <f>AB227+SUM($AM227:AP227)</f>
        <v>360500000</v>
      </c>
      <c r="BE227" s="48">
        <f>AC227+SUM($AM227:AQ227)</f>
        <v>356208333.33333337</v>
      </c>
      <c r="BF227" s="48">
        <f>AD227+SUM($AM227:AR227)</f>
        <v>351916666.66666675</v>
      </c>
      <c r="BG227" s="48">
        <f>AE227+SUM($AM227:AS227)</f>
        <v>347625000.00000006</v>
      </c>
      <c r="BH227" s="48">
        <f>AF227+SUM($AM227:AT227)</f>
        <v>343333333.33333337</v>
      </c>
      <c r="BI227" s="48">
        <f>AG227+SUM($AM227:AU227)</f>
        <v>339041666.66666675</v>
      </c>
      <c r="BJ227" s="48">
        <f>AH227+SUM($AM227:AV227)</f>
        <v>334750000.00000012</v>
      </c>
      <c r="BK227" s="48">
        <f>AI227+SUM($AM227:AW227)</f>
        <v>330458333.33333343</v>
      </c>
      <c r="BL227" s="48">
        <f>AJ227+SUM($AM227:AX227)</f>
        <v>326166666.66666675</v>
      </c>
      <c r="BM227" s="48">
        <f>AK227+SUM($AM227:AY227)</f>
        <v>321875000.00000012</v>
      </c>
      <c r="BO227" s="47"/>
    </row>
    <row r="228" spans="3:67" s="41" customFormat="1" hidden="1" x14ac:dyDescent="0.3">
      <c r="C228" s="41" t="s">
        <v>1340</v>
      </c>
      <c r="D228" s="42" t="s">
        <v>342</v>
      </c>
      <c r="E228" s="42" t="str">
        <f t="shared" si="10"/>
        <v>211</v>
      </c>
      <c r="F228" s="41" t="str">
        <f>_xlfn.XLOOKUP($D228,MD_Account_Asset_Type[Nhóm tài sản],MD_Account_Asset_Type[Tên Nhóm tài sản])</f>
        <v>Phương tiện vận tải , truyền dẫn - SX 627</v>
      </c>
      <c r="G228" s="41" t="str">
        <f>_xlfn.XLOOKUP($D228,MD_Account_Asset_Type[Nhóm tài sản],MD_Account_Asset_Type[Tên nhóm TS-Rút gọn])</f>
        <v>Phương tiện vận tải</v>
      </c>
      <c r="H228" s="41" t="str">
        <f>_xlfn.XLOOKUP($D228,MD_Account_Asset_Type[Nhóm tài sản],MD_Account_Asset_Type[Tên nhóm TS-Rút gọn-v2])</f>
        <v>Phương tiện vận tải</v>
      </c>
      <c r="I228" s="43" t="s">
        <v>1081</v>
      </c>
      <c r="J228" s="42" t="s">
        <v>719</v>
      </c>
      <c r="K228" s="41" t="s">
        <v>830</v>
      </c>
      <c r="L228" s="42" t="s">
        <v>48</v>
      </c>
      <c r="M228" s="42" t="s">
        <v>123</v>
      </c>
      <c r="N228" s="44">
        <v>0</v>
      </c>
      <c r="O228" s="44"/>
      <c r="P228" s="41" t="s">
        <v>463</v>
      </c>
      <c r="Q228" s="41" t="str">
        <f t="shared" si="11"/>
        <v>627</v>
      </c>
      <c r="R228" s="41" t="str">
        <f>_xlfn.XLOOKUP($L228,MD_Cost_Center[Mã Cost Center],MD_Cost_Center[Ngành])</f>
        <v>PET</v>
      </c>
      <c r="S228" s="41" t="str">
        <f>_xlfn.XLOOKUP($L228,MD_Cost_Center[Mã Cost Center],MD_Cost_Center[Ngành-Tách PET-Xơ sợi])</f>
        <v>Chung-PET</v>
      </c>
      <c r="T228" s="45">
        <v>45028</v>
      </c>
      <c r="U228" s="46">
        <v>48681</v>
      </c>
      <c r="V228" s="47">
        <v>120</v>
      </c>
      <c r="W228" s="47">
        <v>465000000</v>
      </c>
      <c r="X228" s="47">
        <v>-3875000</v>
      </c>
      <c r="Y228" s="47">
        <v>465000000</v>
      </c>
      <c r="Z228" s="47">
        <v>465000000</v>
      </c>
      <c r="AA228" s="47">
        <v>465000000</v>
      </c>
      <c r="AB228" s="47">
        <v>465000000</v>
      </c>
      <c r="AC228" s="47">
        <v>465000000</v>
      </c>
      <c r="AD228" s="47">
        <v>465000000</v>
      </c>
      <c r="AE228" s="47">
        <v>465000000</v>
      </c>
      <c r="AF228" s="47">
        <v>465000000</v>
      </c>
      <c r="AG228" s="47">
        <v>465000000</v>
      </c>
      <c r="AH228" s="47">
        <v>465000000</v>
      </c>
      <c r="AI228" s="47">
        <v>465000000</v>
      </c>
      <c r="AJ228" s="47">
        <v>465000000</v>
      </c>
      <c r="AK228" s="47">
        <v>465000000</v>
      </c>
      <c r="AL228" s="47">
        <v>-46500000</v>
      </c>
      <c r="AM228" s="47">
        <v>-127875000</v>
      </c>
      <c r="AN228" s="47">
        <v>-3875000</v>
      </c>
      <c r="AO228" s="47">
        <v>-3875000</v>
      </c>
      <c r="AP228" s="47">
        <v>-3875000</v>
      </c>
      <c r="AQ228" s="47">
        <v>-3875000</v>
      </c>
      <c r="AR228" s="47">
        <v>-3875000</v>
      </c>
      <c r="AS228" s="47">
        <v>-3875000</v>
      </c>
      <c r="AT228" s="47">
        <v>-3875000</v>
      </c>
      <c r="AU228" s="47">
        <v>-3875000</v>
      </c>
      <c r="AV228" s="47">
        <v>-3875000</v>
      </c>
      <c r="AW228" s="47">
        <v>-3875000</v>
      </c>
      <c r="AX228" s="47">
        <v>-3875000</v>
      </c>
      <c r="AY228" s="47">
        <v>-3875000</v>
      </c>
      <c r="AZ228" s="58">
        <f t="shared" si="12"/>
        <v>-46500000</v>
      </c>
      <c r="BA228" s="47">
        <f>Y228+SUM($AM228:AM228)</f>
        <v>337125000</v>
      </c>
      <c r="BB228" s="48">
        <f>Z228+SUM($AM228:AN228)</f>
        <v>333250000</v>
      </c>
      <c r="BC228" s="48">
        <f>AA228+SUM($AM228:AO228)</f>
        <v>329375000</v>
      </c>
      <c r="BD228" s="48">
        <f>AB228+SUM($AM228:AP228)</f>
        <v>325500000</v>
      </c>
      <c r="BE228" s="48">
        <f>AC228+SUM($AM228:AQ228)</f>
        <v>321625000</v>
      </c>
      <c r="BF228" s="48">
        <f>AD228+SUM($AM228:AR228)</f>
        <v>317750000</v>
      </c>
      <c r="BG228" s="48">
        <f>AE228+SUM($AM228:AS228)</f>
        <v>313875000</v>
      </c>
      <c r="BH228" s="48">
        <f>AF228+SUM($AM228:AT228)</f>
        <v>310000000</v>
      </c>
      <c r="BI228" s="48">
        <f>AG228+SUM($AM228:AU228)</f>
        <v>306125000</v>
      </c>
      <c r="BJ228" s="48">
        <f>AH228+SUM($AM228:AV228)</f>
        <v>302250000</v>
      </c>
      <c r="BK228" s="48">
        <f>AI228+SUM($AM228:AW228)</f>
        <v>298375000</v>
      </c>
      <c r="BL228" s="48">
        <f>AJ228+SUM($AM228:AX228)</f>
        <v>294500000</v>
      </c>
      <c r="BM228" s="48">
        <f>AK228+SUM($AM228:AY228)</f>
        <v>290625000</v>
      </c>
      <c r="BO228" s="47"/>
    </row>
    <row r="229" spans="3:67" s="41" customFormat="1" hidden="1" x14ac:dyDescent="0.3">
      <c r="C229" s="41" t="s">
        <v>1340</v>
      </c>
      <c r="D229" s="42" t="s">
        <v>342</v>
      </c>
      <c r="E229" s="42" t="str">
        <f t="shared" si="10"/>
        <v>211</v>
      </c>
      <c r="F229" s="41" t="str">
        <f>_xlfn.XLOOKUP($D229,MD_Account_Asset_Type[Nhóm tài sản],MD_Account_Asset_Type[Tên Nhóm tài sản])</f>
        <v>Phương tiện vận tải , truyền dẫn - SX 627</v>
      </c>
      <c r="G229" s="41" t="str">
        <f>_xlfn.XLOOKUP($D229,MD_Account_Asset_Type[Nhóm tài sản],MD_Account_Asset_Type[Tên nhóm TS-Rút gọn])</f>
        <v>Phương tiện vận tải</v>
      </c>
      <c r="H229" s="41" t="str">
        <f>_xlfn.XLOOKUP($D229,MD_Account_Asset_Type[Nhóm tài sản],MD_Account_Asset_Type[Tên nhóm TS-Rút gọn-v2])</f>
        <v>Phương tiện vận tải</v>
      </c>
      <c r="I229" s="43" t="s">
        <v>1082</v>
      </c>
      <c r="J229" s="42" t="s">
        <v>720</v>
      </c>
      <c r="K229" s="41" t="s">
        <v>830</v>
      </c>
      <c r="L229" s="42" t="s">
        <v>48</v>
      </c>
      <c r="M229" s="42" t="s">
        <v>123</v>
      </c>
      <c r="N229" s="44">
        <v>0</v>
      </c>
      <c r="O229" s="44"/>
      <c r="P229" s="41" t="s">
        <v>463</v>
      </c>
      <c r="Q229" s="41" t="str">
        <f t="shared" si="11"/>
        <v>627</v>
      </c>
      <c r="R229" s="41" t="str">
        <f>_xlfn.XLOOKUP($L229,MD_Cost_Center[Mã Cost Center],MD_Cost_Center[Ngành])</f>
        <v>PET</v>
      </c>
      <c r="S229" s="41" t="str">
        <f>_xlfn.XLOOKUP($L229,MD_Cost_Center[Mã Cost Center],MD_Cost_Center[Ngành-Tách PET-Xơ sợi])</f>
        <v>Chung-PET</v>
      </c>
      <c r="T229" s="45">
        <v>45028</v>
      </c>
      <c r="U229" s="46">
        <v>47220</v>
      </c>
      <c r="V229" s="47">
        <v>120</v>
      </c>
      <c r="W229" s="47">
        <v>465000000</v>
      </c>
      <c r="X229" s="47">
        <v>-2895114.9425287358</v>
      </c>
      <c r="Y229" s="47">
        <v>465000000</v>
      </c>
      <c r="Z229" s="47">
        <v>465000000</v>
      </c>
      <c r="AA229" s="47">
        <v>465000000</v>
      </c>
      <c r="AB229" s="47">
        <v>465000000</v>
      </c>
      <c r="AC229" s="47">
        <v>465000000</v>
      </c>
      <c r="AD229" s="47">
        <v>465000000</v>
      </c>
      <c r="AE229" s="47">
        <v>465000000</v>
      </c>
      <c r="AF229" s="47">
        <v>465000000</v>
      </c>
      <c r="AG229" s="47">
        <v>465000000</v>
      </c>
      <c r="AH229" s="47">
        <v>465000000</v>
      </c>
      <c r="AI229" s="47">
        <v>465000000</v>
      </c>
      <c r="AJ229" s="47">
        <v>465000000</v>
      </c>
      <c r="AK229" s="47">
        <v>465000000</v>
      </c>
      <c r="AL229" s="47">
        <v>-77500000</v>
      </c>
      <c r="AM229" s="47">
        <v>-213125000</v>
      </c>
      <c r="AN229" s="47">
        <v>-2895114.9425287358</v>
      </c>
      <c r="AO229" s="47">
        <v>-2895114.9425287358</v>
      </c>
      <c r="AP229" s="47">
        <v>-2895114.9425287358</v>
      </c>
      <c r="AQ229" s="47">
        <v>-2895114.9425287358</v>
      </c>
      <c r="AR229" s="47">
        <v>-2895114.9425287358</v>
      </c>
      <c r="AS229" s="47">
        <v>-2895114.9425287358</v>
      </c>
      <c r="AT229" s="47">
        <v>-2895114.9425287358</v>
      </c>
      <c r="AU229" s="47">
        <v>-2895114.9425287358</v>
      </c>
      <c r="AV229" s="47">
        <v>-2895114.9425287358</v>
      </c>
      <c r="AW229" s="47">
        <v>-2895114.9425287358</v>
      </c>
      <c r="AX229" s="47">
        <v>-2895114.9425287358</v>
      </c>
      <c r="AY229" s="47">
        <v>-2895114.9425287358</v>
      </c>
      <c r="AZ229" s="58">
        <f t="shared" si="12"/>
        <v>-34741379.31034483</v>
      </c>
      <c r="BA229" s="47">
        <f>Y229+SUM($AM229:AM229)</f>
        <v>251875000</v>
      </c>
      <c r="BB229" s="48">
        <f>Z229+SUM($AM229:AN229)</f>
        <v>248979885.05747128</v>
      </c>
      <c r="BC229" s="48">
        <f>AA229+SUM($AM229:AO229)</f>
        <v>246084770.11494255</v>
      </c>
      <c r="BD229" s="48">
        <f>AB229+SUM($AM229:AP229)</f>
        <v>243189655.17241383</v>
      </c>
      <c r="BE229" s="48">
        <f>AC229+SUM($AM229:AQ229)</f>
        <v>240294540.2298851</v>
      </c>
      <c r="BF229" s="48">
        <f>AD229+SUM($AM229:AR229)</f>
        <v>237399425.28735638</v>
      </c>
      <c r="BG229" s="48">
        <f>AE229+SUM($AM229:AS229)</f>
        <v>234504310.34482765</v>
      </c>
      <c r="BH229" s="48">
        <f>AF229+SUM($AM229:AT229)</f>
        <v>231609195.40229893</v>
      </c>
      <c r="BI229" s="48">
        <f>AG229+SUM($AM229:AU229)</f>
        <v>228714080.4597702</v>
      </c>
      <c r="BJ229" s="48">
        <f>AH229+SUM($AM229:AV229)</f>
        <v>225818965.51724148</v>
      </c>
      <c r="BK229" s="48">
        <f>AI229+SUM($AM229:AW229)</f>
        <v>222923850.57471275</v>
      </c>
      <c r="BL229" s="48">
        <f>AJ229+SUM($AM229:AX229)</f>
        <v>220028735.63218403</v>
      </c>
      <c r="BM229" s="48">
        <f>AK229+SUM($AM229:AY229)</f>
        <v>217133620.6896553</v>
      </c>
      <c r="BO229" s="47"/>
    </row>
    <row r="230" spans="3:67" s="41" customFormat="1" hidden="1" x14ac:dyDescent="0.3">
      <c r="C230" s="41" t="s">
        <v>1340</v>
      </c>
      <c r="D230" s="42" t="s">
        <v>342</v>
      </c>
      <c r="E230" s="42" t="str">
        <f t="shared" si="10"/>
        <v>211</v>
      </c>
      <c r="F230" s="41" t="str">
        <f>_xlfn.XLOOKUP($D230,MD_Account_Asset_Type[Nhóm tài sản],MD_Account_Asset_Type[Tên Nhóm tài sản])</f>
        <v>Phương tiện vận tải , truyền dẫn - SX 627</v>
      </c>
      <c r="G230" s="41" t="str">
        <f>_xlfn.XLOOKUP($D230,MD_Account_Asset_Type[Nhóm tài sản],MD_Account_Asset_Type[Tên nhóm TS-Rút gọn])</f>
        <v>Phương tiện vận tải</v>
      </c>
      <c r="H230" s="41" t="str">
        <f>_xlfn.XLOOKUP($D230,MD_Account_Asset_Type[Nhóm tài sản],MD_Account_Asset_Type[Tên nhóm TS-Rút gọn-v2])</f>
        <v>Phương tiện vận tải</v>
      </c>
      <c r="I230" s="43" t="s">
        <v>1083</v>
      </c>
      <c r="J230" s="42" t="s">
        <v>721</v>
      </c>
      <c r="K230" s="41" t="s">
        <v>830</v>
      </c>
      <c r="L230" s="42" t="s">
        <v>48</v>
      </c>
      <c r="M230" s="42" t="s">
        <v>123</v>
      </c>
      <c r="N230" s="44">
        <v>0</v>
      </c>
      <c r="O230" s="44"/>
      <c r="P230" s="41" t="s">
        <v>463</v>
      </c>
      <c r="Q230" s="41" t="str">
        <f t="shared" si="11"/>
        <v>627</v>
      </c>
      <c r="R230" s="41" t="str">
        <f>_xlfn.XLOOKUP($L230,MD_Cost_Center[Mã Cost Center],MD_Cost_Center[Ngành])</f>
        <v>PET</v>
      </c>
      <c r="S230" s="41" t="str">
        <f>_xlfn.XLOOKUP($L230,MD_Cost_Center[Mã Cost Center],MD_Cost_Center[Ngành-Tách PET-Xơ sợi])</f>
        <v>Chung-PET</v>
      </c>
      <c r="T230" s="45">
        <v>45028</v>
      </c>
      <c r="U230" s="46">
        <v>47220</v>
      </c>
      <c r="V230" s="47">
        <v>120</v>
      </c>
      <c r="W230" s="47">
        <v>515000000</v>
      </c>
      <c r="X230" s="47">
        <v>-3206417.632183908</v>
      </c>
      <c r="Y230" s="47">
        <v>515000000</v>
      </c>
      <c r="Z230" s="47">
        <v>515000000</v>
      </c>
      <c r="AA230" s="47">
        <v>515000000</v>
      </c>
      <c r="AB230" s="47">
        <v>515000000</v>
      </c>
      <c r="AC230" s="47">
        <v>515000000</v>
      </c>
      <c r="AD230" s="47">
        <v>515000000</v>
      </c>
      <c r="AE230" s="47">
        <v>515000000</v>
      </c>
      <c r="AF230" s="47">
        <v>515000000</v>
      </c>
      <c r="AG230" s="47">
        <v>515000000</v>
      </c>
      <c r="AH230" s="47">
        <v>515000000</v>
      </c>
      <c r="AI230" s="47">
        <v>515000000</v>
      </c>
      <c r="AJ230" s="47">
        <v>515000000</v>
      </c>
      <c r="AK230" s="47">
        <v>515000000</v>
      </c>
      <c r="AL230" s="47">
        <v>-85833333</v>
      </c>
      <c r="AM230" s="47">
        <v>-236041666</v>
      </c>
      <c r="AN230" s="47">
        <v>-3206417.632183908</v>
      </c>
      <c r="AO230" s="47">
        <v>-3206417.632183908</v>
      </c>
      <c r="AP230" s="47">
        <v>-3206417.632183908</v>
      </c>
      <c r="AQ230" s="47">
        <v>-3206417.632183908</v>
      </c>
      <c r="AR230" s="47">
        <v>-3206417.632183908</v>
      </c>
      <c r="AS230" s="47">
        <v>-3206417.632183908</v>
      </c>
      <c r="AT230" s="47">
        <v>-3206417.632183908</v>
      </c>
      <c r="AU230" s="47">
        <v>-3206417.632183908</v>
      </c>
      <c r="AV230" s="47">
        <v>-3206417.632183908</v>
      </c>
      <c r="AW230" s="47">
        <v>-3206417.632183908</v>
      </c>
      <c r="AX230" s="47">
        <v>-3206417.632183908</v>
      </c>
      <c r="AY230" s="47">
        <v>-3206417.632183908</v>
      </c>
      <c r="AZ230" s="58">
        <f t="shared" si="12"/>
        <v>-38477011.586206906</v>
      </c>
      <c r="BA230" s="47">
        <f>Y230+SUM($AM230:AM230)</f>
        <v>278958334</v>
      </c>
      <c r="BB230" s="48">
        <f>Z230+SUM($AM230:AN230)</f>
        <v>275751916.36781609</v>
      </c>
      <c r="BC230" s="48">
        <f>AA230+SUM($AM230:AO230)</f>
        <v>272545498.73563218</v>
      </c>
      <c r="BD230" s="48">
        <f>AB230+SUM($AM230:AP230)</f>
        <v>269339081.10344827</v>
      </c>
      <c r="BE230" s="48">
        <f>AC230+SUM($AM230:AQ230)</f>
        <v>266132663.47126436</v>
      </c>
      <c r="BF230" s="48">
        <f>AD230+SUM($AM230:AR230)</f>
        <v>262926245.83908045</v>
      </c>
      <c r="BG230" s="48">
        <f>AE230+SUM($AM230:AS230)</f>
        <v>259719828.20689654</v>
      </c>
      <c r="BH230" s="48">
        <f>AF230+SUM($AM230:AT230)</f>
        <v>256513410.57471263</v>
      </c>
      <c r="BI230" s="48">
        <f>AG230+SUM($AM230:AU230)</f>
        <v>253306992.94252872</v>
      </c>
      <c r="BJ230" s="48">
        <f>AH230+SUM($AM230:AV230)</f>
        <v>250100575.31034482</v>
      </c>
      <c r="BK230" s="48">
        <f>AI230+SUM($AM230:AW230)</f>
        <v>246894157.67816091</v>
      </c>
      <c r="BL230" s="48">
        <f>AJ230+SUM($AM230:AX230)</f>
        <v>243687740.045977</v>
      </c>
      <c r="BM230" s="48">
        <f>AK230+SUM($AM230:AY230)</f>
        <v>240481322.41379309</v>
      </c>
      <c r="BO230" s="47"/>
    </row>
    <row r="231" spans="3:67" s="41" customFormat="1" hidden="1" x14ac:dyDescent="0.3">
      <c r="C231" s="41" t="s">
        <v>1340</v>
      </c>
      <c r="D231" s="42" t="s">
        <v>342</v>
      </c>
      <c r="E231" s="42" t="str">
        <f t="shared" si="10"/>
        <v>211</v>
      </c>
      <c r="F231" s="41" t="str">
        <f>_xlfn.XLOOKUP($D231,MD_Account_Asset_Type[Nhóm tài sản],MD_Account_Asset_Type[Tên Nhóm tài sản])</f>
        <v>Phương tiện vận tải , truyền dẫn - SX 627</v>
      </c>
      <c r="G231" s="41" t="str">
        <f>_xlfn.XLOOKUP($D231,MD_Account_Asset_Type[Nhóm tài sản],MD_Account_Asset_Type[Tên nhóm TS-Rút gọn])</f>
        <v>Phương tiện vận tải</v>
      </c>
      <c r="H231" s="41" t="str">
        <f>_xlfn.XLOOKUP($D231,MD_Account_Asset_Type[Nhóm tài sản],MD_Account_Asset_Type[Tên nhóm TS-Rút gọn-v2])</f>
        <v>Phương tiện vận tải</v>
      </c>
      <c r="I231" s="43" t="s">
        <v>1084</v>
      </c>
      <c r="J231" s="42" t="s">
        <v>722</v>
      </c>
      <c r="K231" s="41" t="s">
        <v>502</v>
      </c>
      <c r="L231" s="42" t="s">
        <v>48</v>
      </c>
      <c r="M231" s="42" t="s">
        <v>123</v>
      </c>
      <c r="N231" s="44">
        <v>0</v>
      </c>
      <c r="O231" s="44"/>
      <c r="P231" s="41" t="s">
        <v>463</v>
      </c>
      <c r="Q231" s="41" t="str">
        <f t="shared" si="11"/>
        <v>627</v>
      </c>
      <c r="R231" s="41" t="str">
        <f>_xlfn.XLOOKUP($L231,MD_Cost_Center[Mã Cost Center],MD_Cost_Center[Ngành])</f>
        <v>PET</v>
      </c>
      <c r="S231" s="41" t="str">
        <f>_xlfn.XLOOKUP($L231,MD_Cost_Center[Mã Cost Center],MD_Cost_Center[Ngành-Tách PET-Xơ sợi])</f>
        <v>Chung-PET</v>
      </c>
      <c r="T231" s="45">
        <v>45444</v>
      </c>
      <c r="U231" s="46">
        <v>47270</v>
      </c>
      <c r="V231" s="47">
        <v>120</v>
      </c>
      <c r="W231" s="47">
        <v>37962963</v>
      </c>
      <c r="X231" s="47">
        <v>-256845.12871287129</v>
      </c>
      <c r="Y231" s="47">
        <v>37962963</v>
      </c>
      <c r="Z231" s="47">
        <v>37962963</v>
      </c>
      <c r="AA231" s="47">
        <v>37962963</v>
      </c>
      <c r="AB231" s="47">
        <v>37962963</v>
      </c>
      <c r="AC231" s="47">
        <v>37962963</v>
      </c>
      <c r="AD231" s="47">
        <v>37962963</v>
      </c>
      <c r="AE231" s="47">
        <v>37962963</v>
      </c>
      <c r="AF231" s="47">
        <v>37962963</v>
      </c>
      <c r="AG231" s="47">
        <v>37962963</v>
      </c>
      <c r="AH231" s="47">
        <v>37962963</v>
      </c>
      <c r="AI231" s="47">
        <v>37962963</v>
      </c>
      <c r="AJ231" s="47">
        <v>37962963</v>
      </c>
      <c r="AK231" s="47">
        <v>37962963</v>
      </c>
      <c r="AL231" s="47">
        <v>-7592593</v>
      </c>
      <c r="AM231" s="47">
        <v>-12021605</v>
      </c>
      <c r="AN231" s="47">
        <v>-256845.12871287129</v>
      </c>
      <c r="AO231" s="47">
        <v>-256845.12871287129</v>
      </c>
      <c r="AP231" s="47">
        <v>-256845.12871287129</v>
      </c>
      <c r="AQ231" s="47">
        <v>-256845.12871287129</v>
      </c>
      <c r="AR231" s="47">
        <v>-256845.12871287129</v>
      </c>
      <c r="AS231" s="47">
        <v>-256845.12871287129</v>
      </c>
      <c r="AT231" s="47">
        <v>-256845.12871287129</v>
      </c>
      <c r="AU231" s="47">
        <v>-256845.12871287129</v>
      </c>
      <c r="AV231" s="47">
        <v>-256845.12871287129</v>
      </c>
      <c r="AW231" s="47">
        <v>-256845.12871287129</v>
      </c>
      <c r="AX231" s="47">
        <v>-256845.12871287129</v>
      </c>
      <c r="AY231" s="47">
        <v>-256845.12871287129</v>
      </c>
      <c r="AZ231" s="58">
        <f t="shared" si="12"/>
        <v>-3082141.5445544552</v>
      </c>
      <c r="BA231" s="47">
        <f>Y231+SUM($AM231:AM231)</f>
        <v>25941358</v>
      </c>
      <c r="BB231" s="48">
        <f>Z231+SUM($AM231:AN231)</f>
        <v>25684512.87128713</v>
      </c>
      <c r="BC231" s="48">
        <f>AA231+SUM($AM231:AO231)</f>
        <v>25427667.742574256</v>
      </c>
      <c r="BD231" s="48">
        <f>AB231+SUM($AM231:AP231)</f>
        <v>25170822.613861382</v>
      </c>
      <c r="BE231" s="48">
        <f>AC231+SUM($AM231:AQ231)</f>
        <v>24913977.485148512</v>
      </c>
      <c r="BF231" s="48">
        <f>AD231+SUM($AM231:AR231)</f>
        <v>24657132.356435642</v>
      </c>
      <c r="BG231" s="48">
        <f>AE231+SUM($AM231:AS231)</f>
        <v>24400287.227722768</v>
      </c>
      <c r="BH231" s="48">
        <f>AF231+SUM($AM231:AT231)</f>
        <v>24143442.099009894</v>
      </c>
      <c r="BI231" s="48">
        <f>AG231+SUM($AM231:AU231)</f>
        <v>23886596.970297024</v>
      </c>
      <c r="BJ231" s="48">
        <f>AH231+SUM($AM231:AV231)</f>
        <v>23629751.841584153</v>
      </c>
      <c r="BK231" s="48">
        <f>AI231+SUM($AM231:AW231)</f>
        <v>23372906.71287128</v>
      </c>
      <c r="BL231" s="48">
        <f>AJ231+SUM($AM231:AX231)</f>
        <v>23116061.584158406</v>
      </c>
      <c r="BM231" s="48">
        <f>AK231+SUM($AM231:AY231)</f>
        <v>22859216.455445535</v>
      </c>
      <c r="BO231" s="47"/>
    </row>
    <row r="232" spans="3:67" s="41" customFormat="1" hidden="1" x14ac:dyDescent="0.3">
      <c r="C232" s="41" t="s">
        <v>1340</v>
      </c>
      <c r="D232" s="42" t="s">
        <v>342</v>
      </c>
      <c r="E232" s="42" t="str">
        <f t="shared" si="10"/>
        <v>211</v>
      </c>
      <c r="F232" s="41" t="str">
        <f>_xlfn.XLOOKUP($D232,MD_Account_Asset_Type[Nhóm tài sản],MD_Account_Asset_Type[Tên Nhóm tài sản])</f>
        <v>Phương tiện vận tải , truyền dẫn - SX 627</v>
      </c>
      <c r="G232" s="41" t="str">
        <f>_xlfn.XLOOKUP($D232,MD_Account_Asset_Type[Nhóm tài sản],MD_Account_Asset_Type[Tên nhóm TS-Rút gọn])</f>
        <v>Phương tiện vận tải</v>
      </c>
      <c r="H232" s="41" t="str">
        <f>_xlfn.XLOOKUP($D232,MD_Account_Asset_Type[Nhóm tài sản],MD_Account_Asset_Type[Tên nhóm TS-Rút gọn-v2])</f>
        <v>Phương tiện vận tải</v>
      </c>
      <c r="I232" s="43" t="s">
        <v>1085</v>
      </c>
      <c r="J232" s="42" t="s">
        <v>723</v>
      </c>
      <c r="K232" s="41" t="s">
        <v>502</v>
      </c>
      <c r="L232" s="42" t="s">
        <v>48</v>
      </c>
      <c r="M232" s="42" t="s">
        <v>123</v>
      </c>
      <c r="N232" s="44">
        <v>0</v>
      </c>
      <c r="O232" s="44"/>
      <c r="P232" s="41" t="s">
        <v>463</v>
      </c>
      <c r="Q232" s="41" t="str">
        <f t="shared" si="11"/>
        <v>627</v>
      </c>
      <c r="R232" s="41" t="str">
        <f>_xlfn.XLOOKUP($L232,MD_Cost_Center[Mã Cost Center],MD_Cost_Center[Ngành])</f>
        <v>PET</v>
      </c>
      <c r="S232" s="41" t="str">
        <f>_xlfn.XLOOKUP($L232,MD_Cost_Center[Mã Cost Center],MD_Cost_Center[Ngành-Tách PET-Xơ sợi])</f>
        <v>Chung-PET</v>
      </c>
      <c r="T232" s="45">
        <v>45444</v>
      </c>
      <c r="U232" s="46">
        <v>47270</v>
      </c>
      <c r="V232" s="47">
        <v>120</v>
      </c>
      <c r="W232" s="47">
        <v>37962963</v>
      </c>
      <c r="X232" s="47">
        <v>-256845.12871287129</v>
      </c>
      <c r="Y232" s="47">
        <v>37962963</v>
      </c>
      <c r="Z232" s="47">
        <v>37962963</v>
      </c>
      <c r="AA232" s="47">
        <v>37962963</v>
      </c>
      <c r="AB232" s="47">
        <v>37962963</v>
      </c>
      <c r="AC232" s="47">
        <v>37962963</v>
      </c>
      <c r="AD232" s="47">
        <v>37962963</v>
      </c>
      <c r="AE232" s="47">
        <v>37962963</v>
      </c>
      <c r="AF232" s="47">
        <v>37962963</v>
      </c>
      <c r="AG232" s="47">
        <v>37962963</v>
      </c>
      <c r="AH232" s="47">
        <v>37962963</v>
      </c>
      <c r="AI232" s="47">
        <v>37962963</v>
      </c>
      <c r="AJ232" s="47">
        <v>37962963</v>
      </c>
      <c r="AK232" s="47">
        <v>37962963</v>
      </c>
      <c r="AL232" s="47">
        <v>-7592593</v>
      </c>
      <c r="AM232" s="47">
        <v>-12021605</v>
      </c>
      <c r="AN232" s="47">
        <v>-256845.12871287129</v>
      </c>
      <c r="AO232" s="47">
        <v>-256845.12871287129</v>
      </c>
      <c r="AP232" s="47">
        <v>-256845.12871287129</v>
      </c>
      <c r="AQ232" s="47">
        <v>-256845.12871287129</v>
      </c>
      <c r="AR232" s="47">
        <v>-256845.12871287129</v>
      </c>
      <c r="AS232" s="47">
        <v>-256845.12871287129</v>
      </c>
      <c r="AT232" s="47">
        <v>-256845.12871287129</v>
      </c>
      <c r="AU232" s="47">
        <v>-256845.12871287129</v>
      </c>
      <c r="AV232" s="47">
        <v>-256845.12871287129</v>
      </c>
      <c r="AW232" s="47">
        <v>-256845.12871287129</v>
      </c>
      <c r="AX232" s="47">
        <v>-256845.12871287129</v>
      </c>
      <c r="AY232" s="47">
        <v>-256845.12871287129</v>
      </c>
      <c r="AZ232" s="58">
        <f t="shared" si="12"/>
        <v>-3082141.5445544552</v>
      </c>
      <c r="BA232" s="47">
        <f>Y232+SUM($AM232:AM232)</f>
        <v>25941358</v>
      </c>
      <c r="BB232" s="48">
        <f>Z232+SUM($AM232:AN232)</f>
        <v>25684512.87128713</v>
      </c>
      <c r="BC232" s="48">
        <f>AA232+SUM($AM232:AO232)</f>
        <v>25427667.742574256</v>
      </c>
      <c r="BD232" s="48">
        <f>AB232+SUM($AM232:AP232)</f>
        <v>25170822.613861382</v>
      </c>
      <c r="BE232" s="48">
        <f>AC232+SUM($AM232:AQ232)</f>
        <v>24913977.485148512</v>
      </c>
      <c r="BF232" s="48">
        <f>AD232+SUM($AM232:AR232)</f>
        <v>24657132.356435642</v>
      </c>
      <c r="BG232" s="48">
        <f>AE232+SUM($AM232:AS232)</f>
        <v>24400287.227722768</v>
      </c>
      <c r="BH232" s="48">
        <f>AF232+SUM($AM232:AT232)</f>
        <v>24143442.099009894</v>
      </c>
      <c r="BI232" s="48">
        <f>AG232+SUM($AM232:AU232)</f>
        <v>23886596.970297024</v>
      </c>
      <c r="BJ232" s="48">
        <f>AH232+SUM($AM232:AV232)</f>
        <v>23629751.841584153</v>
      </c>
      <c r="BK232" s="48">
        <f>AI232+SUM($AM232:AW232)</f>
        <v>23372906.71287128</v>
      </c>
      <c r="BL232" s="48">
        <f>AJ232+SUM($AM232:AX232)</f>
        <v>23116061.584158406</v>
      </c>
      <c r="BM232" s="48">
        <f>AK232+SUM($AM232:AY232)</f>
        <v>22859216.455445535</v>
      </c>
      <c r="BO232" s="47"/>
    </row>
    <row r="233" spans="3:67" s="41" customFormat="1" hidden="1" x14ac:dyDescent="0.3">
      <c r="C233" s="41" t="s">
        <v>1340</v>
      </c>
      <c r="D233" s="42" t="s">
        <v>342</v>
      </c>
      <c r="E233" s="42" t="str">
        <f t="shared" si="10"/>
        <v>211</v>
      </c>
      <c r="F233" s="41" t="str">
        <f>_xlfn.XLOOKUP($D233,MD_Account_Asset_Type[Nhóm tài sản],MD_Account_Asset_Type[Tên Nhóm tài sản])</f>
        <v>Phương tiện vận tải , truyền dẫn - SX 627</v>
      </c>
      <c r="G233" s="41" t="str">
        <f>_xlfn.XLOOKUP($D233,MD_Account_Asset_Type[Nhóm tài sản],MD_Account_Asset_Type[Tên nhóm TS-Rút gọn])</f>
        <v>Phương tiện vận tải</v>
      </c>
      <c r="H233" s="41" t="str">
        <f>_xlfn.XLOOKUP($D233,MD_Account_Asset_Type[Nhóm tài sản],MD_Account_Asset_Type[Tên nhóm TS-Rút gọn-v2])</f>
        <v>Phương tiện vận tải</v>
      </c>
      <c r="I233" s="43" t="s">
        <v>1086</v>
      </c>
      <c r="J233" s="42" t="s">
        <v>724</v>
      </c>
      <c r="K233" s="41" t="s">
        <v>502</v>
      </c>
      <c r="L233" s="42" t="s">
        <v>45</v>
      </c>
      <c r="M233" s="42" t="s">
        <v>120</v>
      </c>
      <c r="N233" s="44">
        <v>0</v>
      </c>
      <c r="O233" s="44"/>
      <c r="P233" s="41" t="s">
        <v>463</v>
      </c>
      <c r="Q233" s="41" t="str">
        <f t="shared" si="11"/>
        <v>627</v>
      </c>
      <c r="R233" s="41" t="str">
        <f>_xlfn.XLOOKUP($L233,MD_Cost_Center[Mã Cost Center],MD_Cost_Center[Ngành])</f>
        <v>Chung</v>
      </c>
      <c r="S233" s="41" t="str">
        <f>_xlfn.XLOOKUP($L233,MD_Cost_Center[Mã Cost Center],MD_Cost_Center[Ngành-Tách PET-Xơ sợi])</f>
        <v>Chung</v>
      </c>
      <c r="T233" s="45">
        <v>45627</v>
      </c>
      <c r="U233" s="46">
        <v>47453</v>
      </c>
      <c r="V233" s="47">
        <v>120</v>
      </c>
      <c r="W233" s="47">
        <v>116500000</v>
      </c>
      <c r="X233" s="47">
        <v>-852881.61682242993</v>
      </c>
      <c r="Y233" s="47">
        <v>116500000</v>
      </c>
      <c r="Z233" s="47">
        <v>116500000</v>
      </c>
      <c r="AA233" s="47">
        <v>116500000</v>
      </c>
      <c r="AB233" s="47">
        <v>116500000</v>
      </c>
      <c r="AC233" s="47">
        <v>116500000</v>
      </c>
      <c r="AD233" s="47">
        <v>116500000</v>
      </c>
      <c r="AE233" s="47">
        <v>116500000</v>
      </c>
      <c r="AF233" s="47">
        <v>116500000</v>
      </c>
      <c r="AG233" s="47">
        <v>116500000</v>
      </c>
      <c r="AH233" s="47">
        <v>116500000</v>
      </c>
      <c r="AI233" s="47">
        <v>116500000</v>
      </c>
      <c r="AJ233" s="47">
        <v>116500000</v>
      </c>
      <c r="AK233" s="47">
        <v>116500000</v>
      </c>
      <c r="AL233" s="47">
        <v>-23300000</v>
      </c>
      <c r="AM233" s="47">
        <v>-25241667</v>
      </c>
      <c r="AN233" s="47">
        <v>-852881.61682242993</v>
      </c>
      <c r="AO233" s="47">
        <v>-852881.61682242993</v>
      </c>
      <c r="AP233" s="47">
        <v>-852881.61682242993</v>
      </c>
      <c r="AQ233" s="47">
        <v>-852881.61682242993</v>
      </c>
      <c r="AR233" s="47">
        <v>-852881.61682242993</v>
      </c>
      <c r="AS233" s="47">
        <v>-852881.61682242993</v>
      </c>
      <c r="AT233" s="47">
        <v>-852881.61682242993</v>
      </c>
      <c r="AU233" s="47">
        <v>-852881.61682242993</v>
      </c>
      <c r="AV233" s="47">
        <v>-852881.61682242993</v>
      </c>
      <c r="AW233" s="47">
        <v>-852881.61682242993</v>
      </c>
      <c r="AX233" s="47">
        <v>-852881.61682242993</v>
      </c>
      <c r="AY233" s="47">
        <v>-852881.61682242993</v>
      </c>
      <c r="AZ233" s="58">
        <f t="shared" si="12"/>
        <v>-10234579.401869159</v>
      </c>
      <c r="BA233" s="47">
        <f>Y233+SUM($AM233:AM233)</f>
        <v>91258333</v>
      </c>
      <c r="BB233" s="48">
        <f>Z233+SUM($AM233:AN233)</f>
        <v>90405451.383177578</v>
      </c>
      <c r="BC233" s="48">
        <f>AA233+SUM($AM233:AO233)</f>
        <v>89552569.766355142</v>
      </c>
      <c r="BD233" s="48">
        <f>AB233+SUM($AM233:AP233)</f>
        <v>88699688.149532706</v>
      </c>
      <c r="BE233" s="48">
        <f>AC233+SUM($AM233:AQ233)</f>
        <v>87846806.532710284</v>
      </c>
      <c r="BF233" s="48">
        <f>AD233+SUM($AM233:AR233)</f>
        <v>86993924.915887862</v>
      </c>
      <c r="BG233" s="48">
        <f>AE233+SUM($AM233:AS233)</f>
        <v>86141043.299065426</v>
      </c>
      <c r="BH233" s="48">
        <f>AF233+SUM($AM233:AT233)</f>
        <v>85288161.68224299</v>
      </c>
      <c r="BI233" s="48">
        <f>AG233+SUM($AM233:AU233)</f>
        <v>84435280.065420568</v>
      </c>
      <c r="BJ233" s="48">
        <f>AH233+SUM($AM233:AV233)</f>
        <v>83582398.448598146</v>
      </c>
      <c r="BK233" s="48">
        <f>AI233+SUM($AM233:AW233)</f>
        <v>82729516.83177571</v>
      </c>
      <c r="BL233" s="48">
        <f>AJ233+SUM($AM233:AX233)</f>
        <v>81876635.214953274</v>
      </c>
      <c r="BM233" s="48">
        <f>AK233+SUM($AM233:AY233)</f>
        <v>81023753.598130852</v>
      </c>
      <c r="BO233" s="47"/>
    </row>
    <row r="234" spans="3:67" s="41" customFormat="1" hidden="1" x14ac:dyDescent="0.3">
      <c r="C234" s="41" t="s">
        <v>1340</v>
      </c>
      <c r="D234" s="42" t="s">
        <v>342</v>
      </c>
      <c r="E234" s="42" t="str">
        <f t="shared" si="10"/>
        <v>211</v>
      </c>
      <c r="F234" s="41" t="str">
        <f>_xlfn.XLOOKUP($D234,MD_Account_Asset_Type[Nhóm tài sản],MD_Account_Asset_Type[Tên Nhóm tài sản])</f>
        <v>Phương tiện vận tải , truyền dẫn - SX 627</v>
      </c>
      <c r="G234" s="41" t="str">
        <f>_xlfn.XLOOKUP($D234,MD_Account_Asset_Type[Nhóm tài sản],MD_Account_Asset_Type[Tên nhóm TS-Rút gọn])</f>
        <v>Phương tiện vận tải</v>
      </c>
      <c r="H234" s="41" t="str">
        <f>_xlfn.XLOOKUP($D234,MD_Account_Asset_Type[Nhóm tài sản],MD_Account_Asset_Type[Tên nhóm TS-Rút gọn-v2])</f>
        <v>Phương tiện vận tải</v>
      </c>
      <c r="I234" s="43" t="s">
        <v>1087</v>
      </c>
      <c r="J234" s="42" t="s">
        <v>725</v>
      </c>
      <c r="K234" s="41" t="s">
        <v>830</v>
      </c>
      <c r="L234" s="42" t="s">
        <v>48</v>
      </c>
      <c r="M234" s="42" t="s">
        <v>123</v>
      </c>
      <c r="N234" s="44">
        <v>0</v>
      </c>
      <c r="O234" s="44"/>
      <c r="P234" s="41" t="s">
        <v>463</v>
      </c>
      <c r="Q234" s="41" t="str">
        <f t="shared" si="11"/>
        <v>627</v>
      </c>
      <c r="R234" s="41" t="str">
        <f>_xlfn.XLOOKUP($L234,MD_Cost_Center[Mã Cost Center],MD_Cost_Center[Ngành])</f>
        <v>PET</v>
      </c>
      <c r="S234" s="41" t="str">
        <f>_xlfn.XLOOKUP($L234,MD_Cost_Center[Mã Cost Center],MD_Cost_Center[Ngành-Tách PET-Xơ sợi])</f>
        <v>Chung-PET</v>
      </c>
      <c r="T234" s="45">
        <v>45748</v>
      </c>
      <c r="U234" s="46">
        <v>47574</v>
      </c>
      <c r="V234" s="47">
        <v>120</v>
      </c>
      <c r="W234" s="47">
        <v>290000000</v>
      </c>
      <c r="X234" s="47">
        <v>-2220720.7207207209</v>
      </c>
      <c r="Y234" s="47">
        <v>290000000</v>
      </c>
      <c r="Z234" s="47">
        <v>290000000</v>
      </c>
      <c r="AA234" s="47">
        <v>290000000</v>
      </c>
      <c r="AB234" s="47">
        <v>290000000</v>
      </c>
      <c r="AC234" s="47">
        <v>290000000</v>
      </c>
      <c r="AD234" s="47">
        <v>290000000</v>
      </c>
      <c r="AE234" s="47">
        <v>290000000</v>
      </c>
      <c r="AF234" s="47">
        <v>290000000</v>
      </c>
      <c r="AG234" s="47">
        <v>290000000</v>
      </c>
      <c r="AH234" s="47">
        <v>290000000</v>
      </c>
      <c r="AI234" s="47">
        <v>290000000</v>
      </c>
      <c r="AJ234" s="47">
        <v>290000000</v>
      </c>
      <c r="AK234" s="47">
        <v>290000000</v>
      </c>
      <c r="AL234" s="47">
        <v>-43500000</v>
      </c>
      <c r="AM234" s="47">
        <v>-43500000</v>
      </c>
      <c r="AN234" s="47">
        <v>-2220720.7207207209</v>
      </c>
      <c r="AO234" s="47">
        <v>-2220720.7207207209</v>
      </c>
      <c r="AP234" s="47">
        <v>-2220720.7207207209</v>
      </c>
      <c r="AQ234" s="47">
        <v>-2220720.7207207209</v>
      </c>
      <c r="AR234" s="47">
        <v>-2220720.7207207209</v>
      </c>
      <c r="AS234" s="47">
        <v>-2220720.7207207209</v>
      </c>
      <c r="AT234" s="47">
        <v>-2220720.7207207209</v>
      </c>
      <c r="AU234" s="47">
        <v>-2220720.7207207209</v>
      </c>
      <c r="AV234" s="47">
        <v>-2220720.7207207209</v>
      </c>
      <c r="AW234" s="47">
        <v>-2220720.7207207209</v>
      </c>
      <c r="AX234" s="47">
        <v>-2220720.7207207209</v>
      </c>
      <c r="AY234" s="47">
        <v>-2220720.7207207209</v>
      </c>
      <c r="AZ234" s="58">
        <f t="shared" si="12"/>
        <v>-26648648.648648646</v>
      </c>
      <c r="BA234" s="47">
        <f>Y234+SUM($AM234:AM234)</f>
        <v>246500000</v>
      </c>
      <c r="BB234" s="48">
        <f>Z234+SUM($AM234:AN234)</f>
        <v>244279279.27927929</v>
      </c>
      <c r="BC234" s="48">
        <f>AA234+SUM($AM234:AO234)</f>
        <v>242058558.55855855</v>
      </c>
      <c r="BD234" s="48">
        <f>AB234+SUM($AM234:AP234)</f>
        <v>239837837.83783782</v>
      </c>
      <c r="BE234" s="48">
        <f>AC234+SUM($AM234:AQ234)</f>
        <v>237617117.11711711</v>
      </c>
      <c r="BF234" s="48">
        <f>AD234+SUM($AM234:AR234)</f>
        <v>235396396.3963964</v>
      </c>
      <c r="BG234" s="48">
        <f>AE234+SUM($AM234:AS234)</f>
        <v>233175675.67567566</v>
      </c>
      <c r="BH234" s="48">
        <f>AF234+SUM($AM234:AT234)</f>
        <v>230954954.95495492</v>
      </c>
      <c r="BI234" s="48">
        <f>AG234+SUM($AM234:AU234)</f>
        <v>228734234.23423421</v>
      </c>
      <c r="BJ234" s="48">
        <f>AH234+SUM($AM234:AV234)</f>
        <v>226513513.51351351</v>
      </c>
      <c r="BK234" s="48">
        <f>AI234+SUM($AM234:AW234)</f>
        <v>224292792.79279277</v>
      </c>
      <c r="BL234" s="48">
        <f>AJ234+SUM($AM234:AX234)</f>
        <v>222072072.07207203</v>
      </c>
      <c r="BM234" s="48">
        <f>AK234+SUM($AM234:AY234)</f>
        <v>219851351.35135132</v>
      </c>
      <c r="BO234" s="47"/>
    </row>
    <row r="235" spans="3:67" s="41" customFormat="1" hidden="1" x14ac:dyDescent="0.3">
      <c r="C235" s="41" t="s">
        <v>1340</v>
      </c>
      <c r="D235" s="42" t="s">
        <v>342</v>
      </c>
      <c r="E235" s="42" t="str">
        <f t="shared" si="10"/>
        <v>211</v>
      </c>
      <c r="F235" s="41" t="str">
        <f>_xlfn.XLOOKUP($D235,MD_Account_Asset_Type[Nhóm tài sản],MD_Account_Asset_Type[Tên Nhóm tài sản])</f>
        <v>Phương tiện vận tải , truyền dẫn - SX 627</v>
      </c>
      <c r="G235" s="41" t="str">
        <f>_xlfn.XLOOKUP($D235,MD_Account_Asset_Type[Nhóm tài sản],MD_Account_Asset_Type[Tên nhóm TS-Rút gọn])</f>
        <v>Phương tiện vận tải</v>
      </c>
      <c r="H235" s="41" t="str">
        <f>_xlfn.XLOOKUP($D235,MD_Account_Asset_Type[Nhóm tài sản],MD_Account_Asset_Type[Tên nhóm TS-Rút gọn-v2])</f>
        <v>Phương tiện vận tải</v>
      </c>
      <c r="I235" s="43" t="s">
        <v>1088</v>
      </c>
      <c r="J235" s="42" t="s">
        <v>726</v>
      </c>
      <c r="K235" s="41" t="s">
        <v>830</v>
      </c>
      <c r="L235" s="42" t="s">
        <v>46</v>
      </c>
      <c r="M235" s="42" t="s">
        <v>121</v>
      </c>
      <c r="N235" s="44">
        <v>0</v>
      </c>
      <c r="O235" s="44"/>
      <c r="P235" s="41" t="s">
        <v>463</v>
      </c>
      <c r="Q235" s="41" t="str">
        <f t="shared" si="11"/>
        <v>627</v>
      </c>
      <c r="R235" s="41" t="str">
        <f>_xlfn.XLOOKUP($L235,MD_Cost_Center[Mã Cost Center],MD_Cost_Center[Ngành])</f>
        <v>Chung</v>
      </c>
      <c r="S235" s="41" t="str">
        <f>_xlfn.XLOOKUP($L235,MD_Cost_Center[Mã Cost Center],MD_Cost_Center[Ngành-Tách PET-Xơ sợi])</f>
        <v>Chung</v>
      </c>
      <c r="T235" s="45">
        <v>45839</v>
      </c>
      <c r="U235" s="46">
        <v>48030</v>
      </c>
      <c r="V235" s="47">
        <v>120</v>
      </c>
      <c r="W235" s="47">
        <v>70750000</v>
      </c>
      <c r="X235" s="47">
        <v>-568896.20175438595</v>
      </c>
      <c r="Y235" s="47">
        <v>70750000</v>
      </c>
      <c r="Z235" s="47">
        <v>70750000</v>
      </c>
      <c r="AA235" s="47">
        <v>70750000</v>
      </c>
      <c r="AB235" s="47">
        <v>70750000</v>
      </c>
      <c r="AC235" s="47">
        <v>70750000</v>
      </c>
      <c r="AD235" s="47">
        <v>70750000</v>
      </c>
      <c r="AE235" s="47">
        <v>70750000</v>
      </c>
      <c r="AF235" s="47">
        <v>70750000</v>
      </c>
      <c r="AG235" s="47">
        <v>70750000</v>
      </c>
      <c r="AH235" s="47">
        <v>70750000</v>
      </c>
      <c r="AI235" s="47">
        <v>70750000</v>
      </c>
      <c r="AJ235" s="47">
        <v>70750000</v>
      </c>
      <c r="AK235" s="47">
        <v>70750000</v>
      </c>
      <c r="AL235" s="47">
        <v>-5895833</v>
      </c>
      <c r="AM235" s="47">
        <v>-5895833</v>
      </c>
      <c r="AN235" s="47">
        <v>-568896.20175438595</v>
      </c>
      <c r="AO235" s="47">
        <v>-568896.20175438595</v>
      </c>
      <c r="AP235" s="47">
        <v>-568896.20175438595</v>
      </c>
      <c r="AQ235" s="47">
        <v>-568896.20175438595</v>
      </c>
      <c r="AR235" s="47">
        <v>-568896.20175438595</v>
      </c>
      <c r="AS235" s="47">
        <v>-568896.20175438595</v>
      </c>
      <c r="AT235" s="47">
        <v>-568896.20175438595</v>
      </c>
      <c r="AU235" s="47">
        <v>-568896.20175438595</v>
      </c>
      <c r="AV235" s="47">
        <v>-568896.20175438595</v>
      </c>
      <c r="AW235" s="47">
        <v>-568896.20175438595</v>
      </c>
      <c r="AX235" s="47">
        <v>-568896.20175438595</v>
      </c>
      <c r="AY235" s="47">
        <v>-568896.20175438595</v>
      </c>
      <c r="AZ235" s="58">
        <f t="shared" si="12"/>
        <v>-6826754.4210526301</v>
      </c>
      <c r="BA235" s="47">
        <f>Y235+SUM($AM235:AM235)</f>
        <v>64854167</v>
      </c>
      <c r="BB235" s="48">
        <f>Z235+SUM($AM235:AN235)</f>
        <v>64285270.798245616</v>
      </c>
      <c r="BC235" s="48">
        <f>AA235+SUM($AM235:AO235)</f>
        <v>63716374.596491233</v>
      </c>
      <c r="BD235" s="48">
        <f>AB235+SUM($AM235:AP235)</f>
        <v>63147478.394736841</v>
      </c>
      <c r="BE235" s="48">
        <f>AC235+SUM($AM235:AQ235)</f>
        <v>62578582.192982458</v>
      </c>
      <c r="BF235" s="48">
        <f>AD235+SUM($AM235:AR235)</f>
        <v>62009685.991228074</v>
      </c>
      <c r="BG235" s="48">
        <f>AE235+SUM($AM235:AS235)</f>
        <v>61440789.789473683</v>
      </c>
      <c r="BH235" s="48">
        <f>AF235+SUM($AM235:AT235)</f>
        <v>60871893.587719299</v>
      </c>
      <c r="BI235" s="48">
        <f>AG235+SUM($AM235:AU235)</f>
        <v>60302997.385964915</v>
      </c>
      <c r="BJ235" s="48">
        <f>AH235+SUM($AM235:AV235)</f>
        <v>59734101.184210531</v>
      </c>
      <c r="BK235" s="48">
        <f>AI235+SUM($AM235:AW235)</f>
        <v>59165204.982456148</v>
      </c>
      <c r="BL235" s="48">
        <f>AJ235+SUM($AM235:AX235)</f>
        <v>58596308.780701756</v>
      </c>
      <c r="BM235" s="48">
        <f>AK235+SUM($AM235:AY235)</f>
        <v>58027412.578947373</v>
      </c>
      <c r="BO235" s="47"/>
    </row>
    <row r="236" spans="3:67" s="41" customFormat="1" hidden="1" x14ac:dyDescent="0.3">
      <c r="C236" s="41" t="s">
        <v>1340</v>
      </c>
      <c r="D236" s="42" t="s">
        <v>342</v>
      </c>
      <c r="E236" s="42" t="str">
        <f t="shared" si="10"/>
        <v>211</v>
      </c>
      <c r="F236" s="41" t="str">
        <f>_xlfn.XLOOKUP($D236,MD_Account_Asset_Type[Nhóm tài sản],MD_Account_Asset_Type[Tên Nhóm tài sản])</f>
        <v>Phương tiện vận tải , truyền dẫn - SX 627</v>
      </c>
      <c r="G236" s="41" t="str">
        <f>_xlfn.XLOOKUP($D236,MD_Account_Asset_Type[Nhóm tài sản],MD_Account_Asset_Type[Tên nhóm TS-Rút gọn])</f>
        <v>Phương tiện vận tải</v>
      </c>
      <c r="H236" s="41" t="str">
        <f>_xlfn.XLOOKUP($D236,MD_Account_Asset_Type[Nhóm tài sản],MD_Account_Asset_Type[Tên nhóm TS-Rút gọn-v2])</f>
        <v>Phương tiện vận tải</v>
      </c>
      <c r="I236" s="43" t="s">
        <v>1089</v>
      </c>
      <c r="J236" s="42" t="s">
        <v>727</v>
      </c>
      <c r="K236" s="41" t="s">
        <v>830</v>
      </c>
      <c r="L236" s="42" t="s">
        <v>48</v>
      </c>
      <c r="M236" s="42" t="s">
        <v>123</v>
      </c>
      <c r="N236" s="44">
        <v>0</v>
      </c>
      <c r="O236" s="44"/>
      <c r="P236" s="41" t="s">
        <v>463</v>
      </c>
      <c r="Q236" s="41" t="str">
        <f t="shared" si="11"/>
        <v>627</v>
      </c>
      <c r="R236" s="41" t="str">
        <f>_xlfn.XLOOKUP($L236,MD_Cost_Center[Mã Cost Center],MD_Cost_Center[Ngành])</f>
        <v>PET</v>
      </c>
      <c r="S236" s="41" t="str">
        <f>_xlfn.XLOOKUP($L236,MD_Cost_Center[Mã Cost Center],MD_Cost_Center[Ngành-Tách PET-Xơ sợi])</f>
        <v>Chung-PET</v>
      </c>
      <c r="T236" s="45">
        <v>45748</v>
      </c>
      <c r="U236" s="46">
        <v>47574</v>
      </c>
      <c r="V236" s="47">
        <v>120</v>
      </c>
      <c r="W236" s="47">
        <v>37962963</v>
      </c>
      <c r="X236" s="47">
        <v>-290707.3783783784</v>
      </c>
      <c r="Y236" s="47">
        <v>37962963</v>
      </c>
      <c r="Z236" s="47">
        <v>37962963</v>
      </c>
      <c r="AA236" s="47">
        <v>37962963</v>
      </c>
      <c r="AB236" s="47">
        <v>37962963</v>
      </c>
      <c r="AC236" s="47">
        <v>37962963</v>
      </c>
      <c r="AD236" s="47">
        <v>37962963</v>
      </c>
      <c r="AE236" s="47">
        <v>37962963</v>
      </c>
      <c r="AF236" s="47">
        <v>37962963</v>
      </c>
      <c r="AG236" s="47">
        <v>37962963</v>
      </c>
      <c r="AH236" s="47">
        <v>37962963</v>
      </c>
      <c r="AI236" s="47">
        <v>37962963</v>
      </c>
      <c r="AJ236" s="47">
        <v>37962963</v>
      </c>
      <c r="AK236" s="47">
        <v>37962963</v>
      </c>
      <c r="AL236" s="47">
        <v>-5694444</v>
      </c>
      <c r="AM236" s="47">
        <v>-5694444</v>
      </c>
      <c r="AN236" s="47">
        <v>-290707.3783783784</v>
      </c>
      <c r="AO236" s="47">
        <v>-290707.3783783784</v>
      </c>
      <c r="AP236" s="47">
        <v>-290707.3783783784</v>
      </c>
      <c r="AQ236" s="47">
        <v>-290707.3783783784</v>
      </c>
      <c r="AR236" s="47">
        <v>-290707.3783783784</v>
      </c>
      <c r="AS236" s="47">
        <v>-290707.3783783784</v>
      </c>
      <c r="AT236" s="47">
        <v>-290707.3783783784</v>
      </c>
      <c r="AU236" s="47">
        <v>-290707.3783783784</v>
      </c>
      <c r="AV236" s="47">
        <v>-290707.3783783784</v>
      </c>
      <c r="AW236" s="47">
        <v>-290707.3783783784</v>
      </c>
      <c r="AX236" s="47">
        <v>-290707.3783783784</v>
      </c>
      <c r="AY236" s="47">
        <v>-290707.3783783784</v>
      </c>
      <c r="AZ236" s="58">
        <f t="shared" si="12"/>
        <v>-3488488.5405405401</v>
      </c>
      <c r="BA236" s="47">
        <f>Y236+SUM($AM236:AM236)</f>
        <v>32268519</v>
      </c>
      <c r="BB236" s="48">
        <f>Z236+SUM($AM236:AN236)</f>
        <v>31977811.621621624</v>
      </c>
      <c r="BC236" s="48">
        <f>AA236+SUM($AM236:AO236)</f>
        <v>31687104.243243244</v>
      </c>
      <c r="BD236" s="48">
        <f>AB236+SUM($AM236:AP236)</f>
        <v>31396396.864864863</v>
      </c>
      <c r="BE236" s="48">
        <f>AC236+SUM($AM236:AQ236)</f>
        <v>31105689.486486487</v>
      </c>
      <c r="BF236" s="48">
        <f>AD236+SUM($AM236:AR236)</f>
        <v>30814982.108108111</v>
      </c>
      <c r="BG236" s="48">
        <f>AE236+SUM($AM236:AS236)</f>
        <v>30524274.729729731</v>
      </c>
      <c r="BH236" s="48">
        <f>AF236+SUM($AM236:AT236)</f>
        <v>30233567.351351351</v>
      </c>
      <c r="BI236" s="48">
        <f>AG236+SUM($AM236:AU236)</f>
        <v>29942859.972972974</v>
      </c>
      <c r="BJ236" s="48">
        <f>AH236+SUM($AM236:AV236)</f>
        <v>29652152.594594598</v>
      </c>
      <c r="BK236" s="48">
        <f>AI236+SUM($AM236:AW236)</f>
        <v>29361445.216216218</v>
      </c>
      <c r="BL236" s="48">
        <f>AJ236+SUM($AM236:AX236)</f>
        <v>29070737.837837838</v>
      </c>
      <c r="BM236" s="48">
        <f>AK236+SUM($AM236:AY236)</f>
        <v>28780030.459459461</v>
      </c>
      <c r="BO236" s="47"/>
    </row>
    <row r="237" spans="3:67" s="41" customFormat="1" hidden="1" x14ac:dyDescent="0.3">
      <c r="C237" s="41" t="s">
        <v>1340</v>
      </c>
      <c r="D237" s="42" t="s">
        <v>342</v>
      </c>
      <c r="E237" s="42" t="str">
        <f t="shared" si="10"/>
        <v>211</v>
      </c>
      <c r="F237" s="41" t="str">
        <f>_xlfn.XLOOKUP($D237,MD_Account_Asset_Type[Nhóm tài sản],MD_Account_Asset_Type[Tên Nhóm tài sản])</f>
        <v>Phương tiện vận tải , truyền dẫn - SX 627</v>
      </c>
      <c r="G237" s="41" t="str">
        <f>_xlfn.XLOOKUP($D237,MD_Account_Asset_Type[Nhóm tài sản],MD_Account_Asset_Type[Tên nhóm TS-Rút gọn])</f>
        <v>Phương tiện vận tải</v>
      </c>
      <c r="H237" s="41" t="str">
        <f>_xlfn.XLOOKUP($D237,MD_Account_Asset_Type[Nhóm tài sản],MD_Account_Asset_Type[Tên nhóm TS-Rút gọn-v2])</f>
        <v>Phương tiện vận tải</v>
      </c>
      <c r="I237" s="43" t="s">
        <v>1090</v>
      </c>
      <c r="J237" s="42" t="s">
        <v>728</v>
      </c>
      <c r="K237" s="41" t="s">
        <v>830</v>
      </c>
      <c r="L237" s="42" t="s">
        <v>91</v>
      </c>
      <c r="M237" s="42" t="s">
        <v>166</v>
      </c>
      <c r="N237" s="44">
        <v>0</v>
      </c>
      <c r="O237" s="44"/>
      <c r="P237" s="41" t="s">
        <v>463</v>
      </c>
      <c r="Q237" s="41" t="str">
        <f t="shared" si="11"/>
        <v>627</v>
      </c>
      <c r="R237" s="41" t="str">
        <f>_xlfn.XLOOKUP($L237,MD_Cost_Center[Mã Cost Center],MD_Cost_Center[Ngành])</f>
        <v>HD/PP</v>
      </c>
      <c r="S237" s="41" t="str">
        <f>_xlfn.XLOOKUP($L237,MD_Cost_Center[Mã Cost Center],MD_Cost_Center[Ngành-Tách PET-Xơ sợi])</f>
        <v>HD/PP</v>
      </c>
      <c r="T237" s="45">
        <v>45778</v>
      </c>
      <c r="U237" s="46">
        <v>46874</v>
      </c>
      <c r="V237" s="47">
        <v>120</v>
      </c>
      <c r="W237" s="47">
        <v>37962963</v>
      </c>
      <c r="X237" s="47">
        <v>-263631.6875</v>
      </c>
      <c r="Y237" s="47">
        <v>37962963</v>
      </c>
      <c r="Z237" s="47">
        <v>37962963</v>
      </c>
      <c r="AA237" s="47">
        <v>37962963</v>
      </c>
      <c r="AB237" s="47">
        <v>37962963</v>
      </c>
      <c r="AC237" s="47">
        <v>37962963</v>
      </c>
      <c r="AD237" s="47">
        <v>37962963</v>
      </c>
      <c r="AE237" s="47">
        <v>37962963</v>
      </c>
      <c r="AF237" s="47">
        <v>37962963</v>
      </c>
      <c r="AG237" s="47">
        <v>37962963</v>
      </c>
      <c r="AH237" s="47">
        <v>37962963</v>
      </c>
      <c r="AI237" s="47">
        <v>37962963</v>
      </c>
      <c r="AJ237" s="47">
        <v>37962963</v>
      </c>
      <c r="AK237" s="47">
        <v>37962963</v>
      </c>
      <c r="AL237" s="47">
        <v>-8436214</v>
      </c>
      <c r="AM237" s="47">
        <v>-8436214</v>
      </c>
      <c r="AN237" s="47">
        <v>-263631.6875</v>
      </c>
      <c r="AO237" s="47">
        <v>-263631.6875</v>
      </c>
      <c r="AP237" s="47">
        <v>-263631.6875</v>
      </c>
      <c r="AQ237" s="47">
        <v>-263631.6875</v>
      </c>
      <c r="AR237" s="47">
        <v>-263631.6875</v>
      </c>
      <c r="AS237" s="47">
        <v>-263631.6875</v>
      </c>
      <c r="AT237" s="47">
        <v>-263631.6875</v>
      </c>
      <c r="AU237" s="47">
        <v>-263631.6875</v>
      </c>
      <c r="AV237" s="47">
        <v>-263631.6875</v>
      </c>
      <c r="AW237" s="47">
        <v>-263631.6875</v>
      </c>
      <c r="AX237" s="47">
        <v>-263631.6875</v>
      </c>
      <c r="AY237" s="47">
        <v>-263631.6875</v>
      </c>
      <c r="AZ237" s="58">
        <f t="shared" si="12"/>
        <v>-3163580.25</v>
      </c>
      <c r="BA237" s="47">
        <f>Y237+SUM($AM237:AM237)</f>
        <v>29526749</v>
      </c>
      <c r="BB237" s="48">
        <f>Z237+SUM($AM237:AN237)</f>
        <v>29263117.3125</v>
      </c>
      <c r="BC237" s="48">
        <f>AA237+SUM($AM237:AO237)</f>
        <v>28999485.625</v>
      </c>
      <c r="BD237" s="48">
        <f>AB237+SUM($AM237:AP237)</f>
        <v>28735853.9375</v>
      </c>
      <c r="BE237" s="48">
        <f>AC237+SUM($AM237:AQ237)</f>
        <v>28472222.25</v>
      </c>
      <c r="BF237" s="48">
        <f>AD237+SUM($AM237:AR237)</f>
        <v>28208590.5625</v>
      </c>
      <c r="BG237" s="48">
        <f>AE237+SUM($AM237:AS237)</f>
        <v>27944958.875</v>
      </c>
      <c r="BH237" s="48">
        <f>AF237+SUM($AM237:AT237)</f>
        <v>27681327.1875</v>
      </c>
      <c r="BI237" s="48">
        <f>AG237+SUM($AM237:AU237)</f>
        <v>27417695.5</v>
      </c>
      <c r="BJ237" s="48">
        <f>AH237+SUM($AM237:AV237)</f>
        <v>27154063.8125</v>
      </c>
      <c r="BK237" s="48">
        <f>AI237+SUM($AM237:AW237)</f>
        <v>26890432.125</v>
      </c>
      <c r="BL237" s="48">
        <f>AJ237+SUM($AM237:AX237)</f>
        <v>26626800.4375</v>
      </c>
      <c r="BM237" s="48">
        <f>AK237+SUM($AM237:AY237)</f>
        <v>26363168.75</v>
      </c>
      <c r="BO237" s="47"/>
    </row>
    <row r="238" spans="3:67" s="41" customFormat="1" hidden="1" x14ac:dyDescent="0.3">
      <c r="C238" s="41" t="s">
        <v>1340</v>
      </c>
      <c r="D238" s="42" t="s">
        <v>342</v>
      </c>
      <c r="E238" s="42" t="str">
        <f t="shared" si="10"/>
        <v>211</v>
      </c>
      <c r="F238" s="41" t="str">
        <f>_xlfn.XLOOKUP($D238,MD_Account_Asset_Type[Nhóm tài sản],MD_Account_Asset_Type[Tên Nhóm tài sản])</f>
        <v>Phương tiện vận tải , truyền dẫn - SX 627</v>
      </c>
      <c r="G238" s="41" t="str">
        <f>_xlfn.XLOOKUP($D238,MD_Account_Asset_Type[Nhóm tài sản],MD_Account_Asset_Type[Tên nhóm TS-Rút gọn])</f>
        <v>Phương tiện vận tải</v>
      </c>
      <c r="H238" s="41" t="str">
        <f>_xlfn.XLOOKUP($D238,MD_Account_Asset_Type[Nhóm tài sản],MD_Account_Asset_Type[Tên nhóm TS-Rút gọn-v2])</f>
        <v>Phương tiện vận tải</v>
      </c>
      <c r="I238" s="43" t="s">
        <v>1091</v>
      </c>
      <c r="J238" s="42" t="s">
        <v>729</v>
      </c>
      <c r="K238" s="41" t="s">
        <v>830</v>
      </c>
      <c r="L238" s="42" t="s">
        <v>91</v>
      </c>
      <c r="M238" s="42" t="s">
        <v>166</v>
      </c>
      <c r="N238" s="44">
        <v>0</v>
      </c>
      <c r="O238" s="44"/>
      <c r="P238" s="41" t="s">
        <v>463</v>
      </c>
      <c r="Q238" s="41" t="str">
        <f t="shared" si="11"/>
        <v>627</v>
      </c>
      <c r="R238" s="41" t="str">
        <f>_xlfn.XLOOKUP($L238,MD_Cost_Center[Mã Cost Center],MD_Cost_Center[Ngành])</f>
        <v>HD/PP</v>
      </c>
      <c r="S238" s="41" t="str">
        <f>_xlfn.XLOOKUP($L238,MD_Cost_Center[Mã Cost Center],MD_Cost_Center[Ngành-Tách PET-Xơ sợi])</f>
        <v>HD/PP</v>
      </c>
      <c r="T238" s="45">
        <v>45778</v>
      </c>
      <c r="U238" s="46">
        <v>46874</v>
      </c>
      <c r="V238" s="47">
        <v>120</v>
      </c>
      <c r="W238" s="47">
        <v>37962963</v>
      </c>
      <c r="X238" s="47">
        <v>-263631.6875</v>
      </c>
      <c r="Y238" s="47">
        <v>37962963</v>
      </c>
      <c r="Z238" s="47">
        <v>37962963</v>
      </c>
      <c r="AA238" s="47">
        <v>37962963</v>
      </c>
      <c r="AB238" s="47">
        <v>37962963</v>
      </c>
      <c r="AC238" s="47">
        <v>37962963</v>
      </c>
      <c r="AD238" s="47">
        <v>37962963</v>
      </c>
      <c r="AE238" s="47">
        <v>37962963</v>
      </c>
      <c r="AF238" s="47">
        <v>37962963</v>
      </c>
      <c r="AG238" s="47">
        <v>37962963</v>
      </c>
      <c r="AH238" s="47">
        <v>37962963</v>
      </c>
      <c r="AI238" s="47">
        <v>37962963</v>
      </c>
      <c r="AJ238" s="47">
        <v>37962963</v>
      </c>
      <c r="AK238" s="47">
        <v>37962963</v>
      </c>
      <c r="AL238" s="47">
        <v>-8436214</v>
      </c>
      <c r="AM238" s="47">
        <v>-8436214</v>
      </c>
      <c r="AN238" s="47">
        <v>-263631.6875</v>
      </c>
      <c r="AO238" s="47">
        <v>-263631.6875</v>
      </c>
      <c r="AP238" s="47">
        <v>-263631.6875</v>
      </c>
      <c r="AQ238" s="47">
        <v>-263631.6875</v>
      </c>
      <c r="AR238" s="47">
        <v>-263631.6875</v>
      </c>
      <c r="AS238" s="47">
        <v>-263631.6875</v>
      </c>
      <c r="AT238" s="47">
        <v>-263631.6875</v>
      </c>
      <c r="AU238" s="47">
        <v>-263631.6875</v>
      </c>
      <c r="AV238" s="47">
        <v>-263631.6875</v>
      </c>
      <c r="AW238" s="47">
        <v>-263631.6875</v>
      </c>
      <c r="AX238" s="47">
        <v>-263631.6875</v>
      </c>
      <c r="AY238" s="47">
        <v>-263631.6875</v>
      </c>
      <c r="AZ238" s="58">
        <f t="shared" si="12"/>
        <v>-3163580.25</v>
      </c>
      <c r="BA238" s="47">
        <f>Y238+SUM($AM238:AM238)</f>
        <v>29526749</v>
      </c>
      <c r="BB238" s="48">
        <f>Z238+SUM($AM238:AN238)</f>
        <v>29263117.3125</v>
      </c>
      <c r="BC238" s="48">
        <f>AA238+SUM($AM238:AO238)</f>
        <v>28999485.625</v>
      </c>
      <c r="BD238" s="48">
        <f>AB238+SUM($AM238:AP238)</f>
        <v>28735853.9375</v>
      </c>
      <c r="BE238" s="48">
        <f>AC238+SUM($AM238:AQ238)</f>
        <v>28472222.25</v>
      </c>
      <c r="BF238" s="48">
        <f>AD238+SUM($AM238:AR238)</f>
        <v>28208590.5625</v>
      </c>
      <c r="BG238" s="48">
        <f>AE238+SUM($AM238:AS238)</f>
        <v>27944958.875</v>
      </c>
      <c r="BH238" s="48">
        <f>AF238+SUM($AM238:AT238)</f>
        <v>27681327.1875</v>
      </c>
      <c r="BI238" s="48">
        <f>AG238+SUM($AM238:AU238)</f>
        <v>27417695.5</v>
      </c>
      <c r="BJ238" s="48">
        <f>AH238+SUM($AM238:AV238)</f>
        <v>27154063.8125</v>
      </c>
      <c r="BK238" s="48">
        <f>AI238+SUM($AM238:AW238)</f>
        <v>26890432.125</v>
      </c>
      <c r="BL238" s="48">
        <f>AJ238+SUM($AM238:AX238)</f>
        <v>26626800.4375</v>
      </c>
      <c r="BM238" s="48">
        <f>AK238+SUM($AM238:AY238)</f>
        <v>26363168.75</v>
      </c>
      <c r="BO238" s="47"/>
    </row>
    <row r="239" spans="3:67" s="41" customFormat="1" hidden="1" x14ac:dyDescent="0.3">
      <c r="C239" s="41" t="s">
        <v>1340</v>
      </c>
      <c r="D239" s="42" t="s">
        <v>342</v>
      </c>
      <c r="E239" s="42" t="str">
        <f t="shared" si="10"/>
        <v>211</v>
      </c>
      <c r="F239" s="41" t="str">
        <f>_xlfn.XLOOKUP($D239,MD_Account_Asset_Type[Nhóm tài sản],MD_Account_Asset_Type[Tên Nhóm tài sản])</f>
        <v>Phương tiện vận tải , truyền dẫn - SX 627</v>
      </c>
      <c r="G239" s="41" t="str">
        <f>_xlfn.XLOOKUP($D239,MD_Account_Asset_Type[Nhóm tài sản],MD_Account_Asset_Type[Tên nhóm TS-Rút gọn])</f>
        <v>Phương tiện vận tải</v>
      </c>
      <c r="H239" s="41" t="str">
        <f>_xlfn.XLOOKUP($D239,MD_Account_Asset_Type[Nhóm tài sản],MD_Account_Asset_Type[Tên nhóm TS-Rút gọn-v2])</f>
        <v>Phương tiện vận tải</v>
      </c>
      <c r="I239" s="43" t="s">
        <v>1092</v>
      </c>
      <c r="J239" s="42" t="s">
        <v>730</v>
      </c>
      <c r="K239" s="41" t="s">
        <v>830</v>
      </c>
      <c r="L239" s="42" t="s">
        <v>48</v>
      </c>
      <c r="M239" s="42" t="s">
        <v>123</v>
      </c>
      <c r="N239" s="44">
        <v>0</v>
      </c>
      <c r="O239" s="44"/>
      <c r="P239" s="41" t="s">
        <v>463</v>
      </c>
      <c r="Q239" s="41" t="str">
        <f t="shared" si="11"/>
        <v>627</v>
      </c>
      <c r="R239" s="41" t="str">
        <f>_xlfn.XLOOKUP($L239,MD_Cost_Center[Mã Cost Center],MD_Cost_Center[Ngành])</f>
        <v>PET</v>
      </c>
      <c r="S239" s="41" t="str">
        <f>_xlfn.XLOOKUP($L239,MD_Cost_Center[Mã Cost Center],MD_Cost_Center[Ngành-Tách PET-Xơ sợi])</f>
        <v>Chung-PET</v>
      </c>
      <c r="T239" s="45">
        <v>45839</v>
      </c>
      <c r="U239" s="46">
        <v>46935</v>
      </c>
      <c r="V239" s="47">
        <v>120</v>
      </c>
      <c r="W239" s="47">
        <v>37962963</v>
      </c>
      <c r="X239" s="47">
        <v>-277507.03508771933</v>
      </c>
      <c r="Y239" s="47">
        <v>37962963</v>
      </c>
      <c r="Z239" s="47">
        <v>37962963</v>
      </c>
      <c r="AA239" s="47">
        <v>37962963</v>
      </c>
      <c r="AB239" s="47">
        <v>37962963</v>
      </c>
      <c r="AC239" s="47">
        <v>37962963</v>
      </c>
      <c r="AD239" s="47">
        <v>37962963</v>
      </c>
      <c r="AE239" s="47">
        <v>37962963</v>
      </c>
      <c r="AF239" s="47">
        <v>37962963</v>
      </c>
      <c r="AG239" s="47">
        <v>37962963</v>
      </c>
      <c r="AH239" s="47">
        <v>37962963</v>
      </c>
      <c r="AI239" s="47">
        <v>37962963</v>
      </c>
      <c r="AJ239" s="47">
        <v>37962963</v>
      </c>
      <c r="AK239" s="47">
        <v>37962963</v>
      </c>
      <c r="AL239" s="47">
        <v>-6327161</v>
      </c>
      <c r="AM239" s="47">
        <v>-6327161</v>
      </c>
      <c r="AN239" s="47">
        <v>-277507.03508771933</v>
      </c>
      <c r="AO239" s="47">
        <v>-277507.03508771933</v>
      </c>
      <c r="AP239" s="47">
        <v>-277507.03508771933</v>
      </c>
      <c r="AQ239" s="47">
        <v>-277507.03508771933</v>
      </c>
      <c r="AR239" s="47">
        <v>-277507.03508771933</v>
      </c>
      <c r="AS239" s="47">
        <v>-277507.03508771933</v>
      </c>
      <c r="AT239" s="47">
        <v>-277507.03508771933</v>
      </c>
      <c r="AU239" s="47">
        <v>-277507.03508771933</v>
      </c>
      <c r="AV239" s="47">
        <v>-277507.03508771933</v>
      </c>
      <c r="AW239" s="47">
        <v>-277507.03508771933</v>
      </c>
      <c r="AX239" s="47">
        <v>-277507.03508771933</v>
      </c>
      <c r="AY239" s="47">
        <v>-277507.03508771933</v>
      </c>
      <c r="AZ239" s="58">
        <f t="shared" si="12"/>
        <v>-3330084.4210526329</v>
      </c>
      <c r="BA239" s="47">
        <f>Y239+SUM($AM239:AM239)</f>
        <v>31635802</v>
      </c>
      <c r="BB239" s="48">
        <f>Z239+SUM($AM239:AN239)</f>
        <v>31358294.96491228</v>
      </c>
      <c r="BC239" s="48">
        <f>AA239+SUM($AM239:AO239)</f>
        <v>31080787.929824561</v>
      </c>
      <c r="BD239" s="48">
        <f>AB239+SUM($AM239:AP239)</f>
        <v>30803280.894736841</v>
      </c>
      <c r="BE239" s="48">
        <f>AC239+SUM($AM239:AQ239)</f>
        <v>30525773.859649122</v>
      </c>
      <c r="BF239" s="48">
        <f>AD239+SUM($AM239:AR239)</f>
        <v>30248266.824561402</v>
      </c>
      <c r="BG239" s="48">
        <f>AE239+SUM($AM239:AS239)</f>
        <v>29970759.789473683</v>
      </c>
      <c r="BH239" s="48">
        <f>AF239+SUM($AM239:AT239)</f>
        <v>29693252.754385963</v>
      </c>
      <c r="BI239" s="48">
        <f>AG239+SUM($AM239:AU239)</f>
        <v>29415745.719298244</v>
      </c>
      <c r="BJ239" s="48">
        <f>AH239+SUM($AM239:AV239)</f>
        <v>29138238.684210524</v>
      </c>
      <c r="BK239" s="48">
        <f>AI239+SUM($AM239:AW239)</f>
        <v>28860731.649122804</v>
      </c>
      <c r="BL239" s="48">
        <f>AJ239+SUM($AM239:AX239)</f>
        <v>28583224.614035085</v>
      </c>
      <c r="BM239" s="48">
        <f>AK239+SUM($AM239:AY239)</f>
        <v>28305717.578947365</v>
      </c>
      <c r="BO239" s="47"/>
    </row>
    <row r="240" spans="3:67" s="41" customFormat="1" hidden="1" x14ac:dyDescent="0.3">
      <c r="C240" s="41" t="s">
        <v>1340</v>
      </c>
      <c r="D240" s="42" t="s">
        <v>342</v>
      </c>
      <c r="E240" s="42" t="str">
        <f t="shared" si="10"/>
        <v>211</v>
      </c>
      <c r="F240" s="41" t="str">
        <f>_xlfn.XLOOKUP($D240,MD_Account_Asset_Type[Nhóm tài sản],MD_Account_Asset_Type[Tên Nhóm tài sản])</f>
        <v>Phương tiện vận tải , truyền dẫn - SX 627</v>
      </c>
      <c r="G240" s="41" t="str">
        <f>_xlfn.XLOOKUP($D240,MD_Account_Asset_Type[Nhóm tài sản],MD_Account_Asset_Type[Tên nhóm TS-Rút gọn])</f>
        <v>Phương tiện vận tải</v>
      </c>
      <c r="H240" s="41" t="str">
        <f>_xlfn.XLOOKUP($D240,MD_Account_Asset_Type[Nhóm tài sản],MD_Account_Asset_Type[Tên nhóm TS-Rút gọn-v2])</f>
        <v>Phương tiện vận tải</v>
      </c>
      <c r="I240" s="43" t="s">
        <v>1093</v>
      </c>
      <c r="J240" s="42" t="s">
        <v>731</v>
      </c>
      <c r="K240" s="41" t="s">
        <v>830</v>
      </c>
      <c r="L240" s="42" t="s">
        <v>48</v>
      </c>
      <c r="M240" s="42" t="s">
        <v>123</v>
      </c>
      <c r="N240" s="44">
        <v>0</v>
      </c>
      <c r="O240" s="44"/>
      <c r="P240" s="41" t="s">
        <v>463</v>
      </c>
      <c r="Q240" s="41" t="str">
        <f t="shared" si="11"/>
        <v>627</v>
      </c>
      <c r="R240" s="41" t="str">
        <f>_xlfn.XLOOKUP($L240,MD_Cost_Center[Mã Cost Center],MD_Cost_Center[Ngành])</f>
        <v>PET</v>
      </c>
      <c r="S240" s="41" t="str">
        <f>_xlfn.XLOOKUP($L240,MD_Cost_Center[Mã Cost Center],MD_Cost_Center[Ngành-Tách PET-Xơ sợi])</f>
        <v>Chung-PET</v>
      </c>
      <c r="T240" s="45">
        <v>45839</v>
      </c>
      <c r="U240" s="46">
        <v>46935</v>
      </c>
      <c r="V240" s="47">
        <v>120</v>
      </c>
      <c r="W240" s="47">
        <v>37962963</v>
      </c>
      <c r="X240" s="47">
        <v>-277507.03508771933</v>
      </c>
      <c r="Y240" s="47">
        <v>37962963</v>
      </c>
      <c r="Z240" s="47">
        <v>37962963</v>
      </c>
      <c r="AA240" s="47">
        <v>37962963</v>
      </c>
      <c r="AB240" s="47">
        <v>37962963</v>
      </c>
      <c r="AC240" s="47">
        <v>37962963</v>
      </c>
      <c r="AD240" s="47">
        <v>37962963</v>
      </c>
      <c r="AE240" s="47">
        <v>37962963</v>
      </c>
      <c r="AF240" s="47">
        <v>37962963</v>
      </c>
      <c r="AG240" s="47">
        <v>37962963</v>
      </c>
      <c r="AH240" s="47">
        <v>37962963</v>
      </c>
      <c r="AI240" s="47">
        <v>37962963</v>
      </c>
      <c r="AJ240" s="47">
        <v>37962963</v>
      </c>
      <c r="AK240" s="47">
        <v>37962963</v>
      </c>
      <c r="AL240" s="47">
        <v>-6327161</v>
      </c>
      <c r="AM240" s="47">
        <v>-6327161</v>
      </c>
      <c r="AN240" s="47">
        <v>-277507.03508771933</v>
      </c>
      <c r="AO240" s="47">
        <v>-277507.03508771933</v>
      </c>
      <c r="AP240" s="47">
        <v>-277507.03508771933</v>
      </c>
      <c r="AQ240" s="47">
        <v>-277507.03508771933</v>
      </c>
      <c r="AR240" s="47">
        <v>-277507.03508771933</v>
      </c>
      <c r="AS240" s="47">
        <v>-277507.03508771933</v>
      </c>
      <c r="AT240" s="47">
        <v>-277507.03508771933</v>
      </c>
      <c r="AU240" s="47">
        <v>-277507.03508771933</v>
      </c>
      <c r="AV240" s="47">
        <v>-277507.03508771933</v>
      </c>
      <c r="AW240" s="47">
        <v>-277507.03508771933</v>
      </c>
      <c r="AX240" s="47">
        <v>-277507.03508771933</v>
      </c>
      <c r="AY240" s="47">
        <v>-277507.03508771933</v>
      </c>
      <c r="AZ240" s="58">
        <f t="shared" si="12"/>
        <v>-3330084.4210526329</v>
      </c>
      <c r="BA240" s="47">
        <f>Y240+SUM($AM240:AM240)</f>
        <v>31635802</v>
      </c>
      <c r="BB240" s="48">
        <f>Z240+SUM($AM240:AN240)</f>
        <v>31358294.96491228</v>
      </c>
      <c r="BC240" s="48">
        <f>AA240+SUM($AM240:AO240)</f>
        <v>31080787.929824561</v>
      </c>
      <c r="BD240" s="48">
        <f>AB240+SUM($AM240:AP240)</f>
        <v>30803280.894736841</v>
      </c>
      <c r="BE240" s="48">
        <f>AC240+SUM($AM240:AQ240)</f>
        <v>30525773.859649122</v>
      </c>
      <c r="BF240" s="48">
        <f>AD240+SUM($AM240:AR240)</f>
        <v>30248266.824561402</v>
      </c>
      <c r="BG240" s="48">
        <f>AE240+SUM($AM240:AS240)</f>
        <v>29970759.789473683</v>
      </c>
      <c r="BH240" s="48">
        <f>AF240+SUM($AM240:AT240)</f>
        <v>29693252.754385963</v>
      </c>
      <c r="BI240" s="48">
        <f>AG240+SUM($AM240:AU240)</f>
        <v>29415745.719298244</v>
      </c>
      <c r="BJ240" s="48">
        <f>AH240+SUM($AM240:AV240)</f>
        <v>29138238.684210524</v>
      </c>
      <c r="BK240" s="48">
        <f>AI240+SUM($AM240:AW240)</f>
        <v>28860731.649122804</v>
      </c>
      <c r="BL240" s="48">
        <f>AJ240+SUM($AM240:AX240)</f>
        <v>28583224.614035085</v>
      </c>
      <c r="BM240" s="48">
        <f>AK240+SUM($AM240:AY240)</f>
        <v>28305717.578947365</v>
      </c>
      <c r="BO240" s="47"/>
    </row>
    <row r="241" spans="3:67" s="41" customFormat="1" hidden="1" x14ac:dyDescent="0.3">
      <c r="C241" s="41" t="s">
        <v>1340</v>
      </c>
      <c r="D241" s="42" t="s">
        <v>342</v>
      </c>
      <c r="E241" s="42" t="str">
        <f t="shared" si="10"/>
        <v>211</v>
      </c>
      <c r="F241" s="41" t="str">
        <f>_xlfn.XLOOKUP($D241,MD_Account_Asset_Type[Nhóm tài sản],MD_Account_Asset_Type[Tên Nhóm tài sản])</f>
        <v>Phương tiện vận tải , truyền dẫn - SX 627</v>
      </c>
      <c r="G241" s="41" t="str">
        <f>_xlfn.XLOOKUP($D241,MD_Account_Asset_Type[Nhóm tài sản],MD_Account_Asset_Type[Tên nhóm TS-Rút gọn])</f>
        <v>Phương tiện vận tải</v>
      </c>
      <c r="H241" s="41" t="str">
        <f>_xlfn.XLOOKUP($D241,MD_Account_Asset_Type[Nhóm tài sản],MD_Account_Asset_Type[Tên nhóm TS-Rút gọn-v2])</f>
        <v>Phương tiện vận tải</v>
      </c>
      <c r="I241" s="43" t="s">
        <v>1094</v>
      </c>
      <c r="J241" s="42" t="s">
        <v>732</v>
      </c>
      <c r="K241" s="41" t="s">
        <v>830</v>
      </c>
      <c r="L241" s="42" t="s">
        <v>48</v>
      </c>
      <c r="M241" s="42" t="s">
        <v>123</v>
      </c>
      <c r="N241" s="44">
        <v>0</v>
      </c>
      <c r="O241" s="44"/>
      <c r="P241" s="41" t="s">
        <v>463</v>
      </c>
      <c r="Q241" s="41" t="str">
        <f t="shared" si="11"/>
        <v>627</v>
      </c>
      <c r="R241" s="41" t="str">
        <f>_xlfn.XLOOKUP($L241,MD_Cost_Center[Mã Cost Center],MD_Cost_Center[Ngành])</f>
        <v>PET</v>
      </c>
      <c r="S241" s="41" t="str">
        <f>_xlfn.XLOOKUP($L241,MD_Cost_Center[Mã Cost Center],MD_Cost_Center[Ngành-Tách PET-Xơ sợi])</f>
        <v>Chung-PET</v>
      </c>
      <c r="T241" s="45">
        <v>45839</v>
      </c>
      <c r="U241" s="46">
        <v>46935</v>
      </c>
      <c r="V241" s="47">
        <v>120</v>
      </c>
      <c r="W241" s="47">
        <v>39000000</v>
      </c>
      <c r="X241" s="47">
        <v>-285087.71929824562</v>
      </c>
      <c r="Y241" s="47">
        <v>39000000</v>
      </c>
      <c r="Z241" s="47">
        <v>39000000</v>
      </c>
      <c r="AA241" s="47">
        <v>39000000</v>
      </c>
      <c r="AB241" s="47">
        <v>39000000</v>
      </c>
      <c r="AC241" s="47">
        <v>39000000</v>
      </c>
      <c r="AD241" s="47">
        <v>39000000</v>
      </c>
      <c r="AE241" s="47">
        <v>39000000</v>
      </c>
      <c r="AF241" s="47">
        <v>39000000</v>
      </c>
      <c r="AG241" s="47">
        <v>39000000</v>
      </c>
      <c r="AH241" s="47">
        <v>39000000</v>
      </c>
      <c r="AI241" s="47">
        <v>39000000</v>
      </c>
      <c r="AJ241" s="47">
        <v>39000000</v>
      </c>
      <c r="AK241" s="47">
        <v>39000000</v>
      </c>
      <c r="AL241" s="47">
        <v>-6500000</v>
      </c>
      <c r="AM241" s="47">
        <v>-6500000</v>
      </c>
      <c r="AN241" s="47">
        <v>-285087.71929824562</v>
      </c>
      <c r="AO241" s="47">
        <v>-285087.71929824562</v>
      </c>
      <c r="AP241" s="47">
        <v>-285087.71929824562</v>
      </c>
      <c r="AQ241" s="47">
        <v>-285087.71929824562</v>
      </c>
      <c r="AR241" s="47">
        <v>-285087.71929824562</v>
      </c>
      <c r="AS241" s="47">
        <v>-285087.71929824562</v>
      </c>
      <c r="AT241" s="47">
        <v>-285087.71929824562</v>
      </c>
      <c r="AU241" s="47">
        <v>-285087.71929824562</v>
      </c>
      <c r="AV241" s="47">
        <v>-285087.71929824562</v>
      </c>
      <c r="AW241" s="47">
        <v>-285087.71929824562</v>
      </c>
      <c r="AX241" s="47">
        <v>-285087.71929824562</v>
      </c>
      <c r="AY241" s="47">
        <v>-285087.71929824562</v>
      </c>
      <c r="AZ241" s="58">
        <f t="shared" si="12"/>
        <v>-3421052.6315789465</v>
      </c>
      <c r="BA241" s="47">
        <f>Y241+SUM($AM241:AM241)</f>
        <v>32500000</v>
      </c>
      <c r="BB241" s="48">
        <f>Z241+SUM($AM241:AN241)</f>
        <v>32214912.280701756</v>
      </c>
      <c r="BC241" s="48">
        <f>AA241+SUM($AM241:AO241)</f>
        <v>31929824.561403509</v>
      </c>
      <c r="BD241" s="48">
        <f>AB241+SUM($AM241:AP241)</f>
        <v>31644736.842105262</v>
      </c>
      <c r="BE241" s="48">
        <f>AC241+SUM($AM241:AQ241)</f>
        <v>31359649.122807018</v>
      </c>
      <c r="BF241" s="48">
        <f>AD241+SUM($AM241:AR241)</f>
        <v>31074561.403508775</v>
      </c>
      <c r="BG241" s="48">
        <f>AE241+SUM($AM241:AS241)</f>
        <v>30789473.684210528</v>
      </c>
      <c r="BH241" s="48">
        <f>AF241+SUM($AM241:AT241)</f>
        <v>30504385.96491228</v>
      </c>
      <c r="BI241" s="48">
        <f>AG241+SUM($AM241:AU241)</f>
        <v>30219298.245614037</v>
      </c>
      <c r="BJ241" s="48">
        <f>AH241+SUM($AM241:AV241)</f>
        <v>29934210.526315793</v>
      </c>
      <c r="BK241" s="48">
        <f>AI241+SUM($AM241:AW241)</f>
        <v>29649122.807017546</v>
      </c>
      <c r="BL241" s="48">
        <f>AJ241+SUM($AM241:AX241)</f>
        <v>29364035.087719299</v>
      </c>
      <c r="BM241" s="48">
        <f>AK241+SUM($AM241:AY241)</f>
        <v>29078947.368421055</v>
      </c>
      <c r="BO241" s="47"/>
    </row>
    <row r="242" spans="3:67" s="41" customFormat="1" hidden="1" x14ac:dyDescent="0.3">
      <c r="C242" s="41" t="s">
        <v>1340</v>
      </c>
      <c r="D242" s="42" t="s">
        <v>347</v>
      </c>
      <c r="E242" s="42" t="str">
        <f t="shared" si="10"/>
        <v>211</v>
      </c>
      <c r="F242" s="41" t="str">
        <f>_xlfn.XLOOKUP($D242,MD_Account_Asset_Type[Nhóm tài sản],MD_Account_Asset_Type[Tên Nhóm tài sản])</f>
        <v>Thiết bị, dụng cụ quản lý - QL 642</v>
      </c>
      <c r="G242" s="41" t="str">
        <f>_xlfn.XLOOKUP($D242,MD_Account_Asset_Type[Nhóm tài sản],MD_Account_Asset_Type[Tên nhóm TS-Rút gọn])</f>
        <v>Thiết bị quản lý</v>
      </c>
      <c r="H242" s="41" t="str">
        <f>_xlfn.XLOOKUP($D242,MD_Account_Asset_Type[Nhóm tài sản],MD_Account_Asset_Type[Tên nhóm TS-Rút gọn-v2])</f>
        <v>Thiết bị quản lý</v>
      </c>
      <c r="I242" s="43" t="s">
        <v>1114</v>
      </c>
      <c r="J242" s="42" t="s">
        <v>733</v>
      </c>
      <c r="K242" s="41" t="s">
        <v>830</v>
      </c>
      <c r="L242" s="42" t="s">
        <v>36</v>
      </c>
      <c r="M242" s="42" t="s">
        <v>111</v>
      </c>
      <c r="N242" s="44">
        <v>0</v>
      </c>
      <c r="O242" s="44"/>
      <c r="P242" s="41" t="s">
        <v>474</v>
      </c>
      <c r="Q242" s="41" t="str">
        <f t="shared" si="11"/>
        <v>642</v>
      </c>
      <c r="R242" s="41" t="str">
        <f>_xlfn.XLOOKUP($L242,MD_Cost_Center[Mã Cost Center],MD_Cost_Center[Ngành])</f>
        <v>Chung</v>
      </c>
      <c r="S242" s="41" t="str">
        <f>_xlfn.XLOOKUP($L242,MD_Cost_Center[Mã Cost Center],MD_Cost_Center[Ngành-Tách PET-Xơ sợi])</f>
        <v>Chung</v>
      </c>
      <c r="T242" s="45">
        <v>44699</v>
      </c>
      <c r="U242" s="46">
        <v>46525</v>
      </c>
      <c r="V242" s="47">
        <v>120</v>
      </c>
      <c r="W242" s="47">
        <v>35838000</v>
      </c>
      <c r="X242" s="47">
        <v>-125747.36842105263</v>
      </c>
      <c r="Y242" s="47">
        <v>35838000</v>
      </c>
      <c r="Z242" s="47">
        <v>35838000</v>
      </c>
      <c r="AA242" s="47">
        <v>35838000</v>
      </c>
      <c r="AB242" s="47">
        <v>35838000</v>
      </c>
      <c r="AC242" s="47">
        <v>35838000</v>
      </c>
      <c r="AD242" s="47">
        <v>35838000</v>
      </c>
      <c r="AE242" s="47">
        <v>35838000</v>
      </c>
      <c r="AF242" s="47">
        <v>35838000</v>
      </c>
      <c r="AG242" s="47">
        <v>35838000</v>
      </c>
      <c r="AH242" s="47">
        <v>35838000</v>
      </c>
      <c r="AI242" s="47">
        <v>35838000</v>
      </c>
      <c r="AJ242" s="47">
        <v>35838000</v>
      </c>
      <c r="AK242" s="47">
        <v>35838000</v>
      </c>
      <c r="AL242" s="47">
        <v>-7167600</v>
      </c>
      <c r="AM242" s="47">
        <v>-26281200</v>
      </c>
      <c r="AN242" s="47">
        <v>-125747.36842105263</v>
      </c>
      <c r="AO242" s="47">
        <v>-125747.36842105263</v>
      </c>
      <c r="AP242" s="47">
        <v>-125747.36842105263</v>
      </c>
      <c r="AQ242" s="47">
        <v>-125747.36842105263</v>
      </c>
      <c r="AR242" s="47">
        <v>-125747.36842105263</v>
      </c>
      <c r="AS242" s="47">
        <v>-125747.36842105263</v>
      </c>
      <c r="AT242" s="47">
        <v>-125747.36842105263</v>
      </c>
      <c r="AU242" s="47">
        <v>-125747.36842105263</v>
      </c>
      <c r="AV242" s="47">
        <v>-125747.36842105263</v>
      </c>
      <c r="AW242" s="47">
        <v>-125747.36842105263</v>
      </c>
      <c r="AX242" s="47">
        <v>-125747.36842105263</v>
      </c>
      <c r="AY242" s="47">
        <v>-125747.36842105263</v>
      </c>
      <c r="AZ242" s="58">
        <f t="shared" si="12"/>
        <v>-1508968.4210526312</v>
      </c>
      <c r="BA242" s="47">
        <f>Y242+SUM($AM242:AM242)</f>
        <v>9556800</v>
      </c>
      <c r="BB242" s="48">
        <f>Z242+SUM($AM242:AN242)</f>
        <v>9431052.6315789483</v>
      </c>
      <c r="BC242" s="48">
        <f>AA242+SUM($AM242:AO242)</f>
        <v>9305305.2631578967</v>
      </c>
      <c r="BD242" s="48">
        <f>AB242+SUM($AM242:AP242)</f>
        <v>9179557.894736845</v>
      </c>
      <c r="BE242" s="48">
        <f>AC242+SUM($AM242:AQ242)</f>
        <v>9053810.5263157934</v>
      </c>
      <c r="BF242" s="48">
        <f>AD242+SUM($AM242:AR242)</f>
        <v>8928063.1578947417</v>
      </c>
      <c r="BG242" s="48">
        <f>AE242+SUM($AM242:AS242)</f>
        <v>8802315.7894736901</v>
      </c>
      <c r="BH242" s="48">
        <f>AF242+SUM($AM242:AT242)</f>
        <v>8676568.4210526384</v>
      </c>
      <c r="BI242" s="48">
        <f>AG242+SUM($AM242:AU242)</f>
        <v>8550821.0526315868</v>
      </c>
      <c r="BJ242" s="48">
        <f>AH242+SUM($AM242:AV242)</f>
        <v>8425073.6842105351</v>
      </c>
      <c r="BK242" s="48">
        <f>AI242+SUM($AM242:AW242)</f>
        <v>8299326.3157894835</v>
      </c>
      <c r="BL242" s="48">
        <f>AJ242+SUM($AM242:AX242)</f>
        <v>8173578.9473684318</v>
      </c>
      <c r="BM242" s="48">
        <f>AK242+SUM($AM242:AY242)</f>
        <v>8047831.5789473802</v>
      </c>
      <c r="BO242" s="47"/>
    </row>
    <row r="243" spans="3:67" s="41" customFormat="1" hidden="1" x14ac:dyDescent="0.3">
      <c r="C243" s="41" t="s">
        <v>1340</v>
      </c>
      <c r="D243" s="42" t="s">
        <v>347</v>
      </c>
      <c r="E243" s="42" t="str">
        <f t="shared" si="10"/>
        <v>211</v>
      </c>
      <c r="F243" s="41" t="str">
        <f>_xlfn.XLOOKUP($D243,MD_Account_Asset_Type[Nhóm tài sản],MD_Account_Asset_Type[Tên Nhóm tài sản])</f>
        <v>Thiết bị, dụng cụ quản lý - QL 642</v>
      </c>
      <c r="G243" s="41" t="str">
        <f>_xlfn.XLOOKUP($D243,MD_Account_Asset_Type[Nhóm tài sản],MD_Account_Asset_Type[Tên nhóm TS-Rút gọn])</f>
        <v>Thiết bị quản lý</v>
      </c>
      <c r="H243" s="41" t="str">
        <f>_xlfn.XLOOKUP($D243,MD_Account_Asset_Type[Nhóm tài sản],MD_Account_Asset_Type[Tên nhóm TS-Rút gọn-v2])</f>
        <v>Thiết bị quản lý</v>
      </c>
      <c r="I243" s="43" t="s">
        <v>1119</v>
      </c>
      <c r="J243" s="42" t="s">
        <v>734</v>
      </c>
      <c r="K243" s="41" t="s">
        <v>830</v>
      </c>
      <c r="L243" s="42" t="s">
        <v>36</v>
      </c>
      <c r="M243" s="42" t="s">
        <v>111</v>
      </c>
      <c r="N243" s="44">
        <v>0</v>
      </c>
      <c r="O243" s="44"/>
      <c r="P243" s="41" t="s">
        <v>474</v>
      </c>
      <c r="Q243" s="41" t="str">
        <f t="shared" si="11"/>
        <v>642</v>
      </c>
      <c r="R243" s="41" t="str">
        <f>_xlfn.XLOOKUP($L243,MD_Cost_Center[Mã Cost Center],MD_Cost_Center[Ngành])</f>
        <v>Chung</v>
      </c>
      <c r="S243" s="41" t="str">
        <f>_xlfn.XLOOKUP($L243,MD_Cost_Center[Mã Cost Center],MD_Cost_Center[Ngành-Tách PET-Xơ sợi])</f>
        <v>Chung</v>
      </c>
      <c r="T243" s="45">
        <v>45017</v>
      </c>
      <c r="U243" s="46">
        <v>46113</v>
      </c>
      <c r="V243" s="47">
        <v>120</v>
      </c>
      <c r="W243" s="47">
        <v>110306000</v>
      </c>
      <c r="X243" s="47">
        <v>-105657.091954023</v>
      </c>
      <c r="Y243" s="47">
        <v>110306000</v>
      </c>
      <c r="Z243" s="47">
        <v>110306000</v>
      </c>
      <c r="AA243" s="47">
        <v>110306000</v>
      </c>
      <c r="AB243" s="47">
        <v>110306000</v>
      </c>
      <c r="AC243" s="47">
        <v>110306000</v>
      </c>
      <c r="AD243" s="47">
        <v>110306000</v>
      </c>
      <c r="AE243" s="47">
        <v>110306000</v>
      </c>
      <c r="AF243" s="47">
        <v>110306000</v>
      </c>
      <c r="AG243" s="47">
        <v>110306000</v>
      </c>
      <c r="AH243" s="47">
        <v>110306000</v>
      </c>
      <c r="AI243" s="47">
        <v>110306000</v>
      </c>
      <c r="AJ243" s="47">
        <v>110306000</v>
      </c>
      <c r="AK243" s="47">
        <v>110306000</v>
      </c>
      <c r="AL243" s="47">
        <v>-36768666</v>
      </c>
      <c r="AM243" s="47">
        <v>-101113833</v>
      </c>
      <c r="AN243" s="47">
        <v>-105657.091954023</v>
      </c>
      <c r="AO243" s="47">
        <v>-105657.091954023</v>
      </c>
      <c r="AP243" s="47">
        <v>-105657.091954023</v>
      </c>
      <c r="AQ243" s="47">
        <v>-105657.091954023</v>
      </c>
      <c r="AR243" s="47">
        <v>-105657.091954023</v>
      </c>
      <c r="AS243" s="47">
        <v>-105657.091954023</v>
      </c>
      <c r="AT243" s="47">
        <v>-105657.091954023</v>
      </c>
      <c r="AU243" s="47">
        <v>-105657.091954023</v>
      </c>
      <c r="AV243" s="47">
        <v>-105657.091954023</v>
      </c>
      <c r="AW243" s="47">
        <v>-105657.091954023</v>
      </c>
      <c r="AX243" s="47">
        <v>-105657.091954023</v>
      </c>
      <c r="AY243" s="47">
        <v>-105657.091954023</v>
      </c>
      <c r="AZ243" s="58">
        <f t="shared" si="12"/>
        <v>-1267885.1034482759</v>
      </c>
      <c r="BA243" s="47">
        <f>Y243+SUM($AM243:AM243)</f>
        <v>9192167</v>
      </c>
      <c r="BB243" s="48">
        <f>Z243+SUM($AM243:AN243)</f>
        <v>9086509.9080459774</v>
      </c>
      <c r="BC243" s="48">
        <f>AA243+SUM($AM243:AO243)</f>
        <v>8980852.8160919547</v>
      </c>
      <c r="BD243" s="48">
        <f>AB243+SUM($AM243:AP243)</f>
        <v>8875195.7241379321</v>
      </c>
      <c r="BE243" s="48">
        <f>AC243+SUM($AM243:AQ243)</f>
        <v>8769538.6321839094</v>
      </c>
      <c r="BF243" s="48">
        <f>AD243+SUM($AM243:AR243)</f>
        <v>8663881.5402298868</v>
      </c>
      <c r="BG243" s="48">
        <f>AE243+SUM($AM243:AS243)</f>
        <v>8558224.4482758641</v>
      </c>
      <c r="BH243" s="48">
        <f>AF243+SUM($AM243:AT243)</f>
        <v>8452567.3563218415</v>
      </c>
      <c r="BI243" s="48">
        <f>AG243+SUM($AM243:AU243)</f>
        <v>8346910.2643678188</v>
      </c>
      <c r="BJ243" s="48">
        <f>AH243+SUM($AM243:AV243)</f>
        <v>8241253.1724137962</v>
      </c>
      <c r="BK243" s="48">
        <f>AI243+SUM($AM243:AW243)</f>
        <v>8135596.0804597735</v>
      </c>
      <c r="BL243" s="48">
        <f>AJ243+SUM($AM243:AX243)</f>
        <v>8029938.9885057509</v>
      </c>
      <c r="BM243" s="48">
        <f>AK243+SUM($AM243:AY243)</f>
        <v>7924281.8965517282</v>
      </c>
      <c r="BO243" s="47"/>
    </row>
    <row r="244" spans="3:67" s="41" customFormat="1" hidden="1" x14ac:dyDescent="0.3">
      <c r="C244" s="41" t="s">
        <v>1340</v>
      </c>
      <c r="D244" s="42" t="s">
        <v>347</v>
      </c>
      <c r="E244" s="42" t="str">
        <f t="shared" si="10"/>
        <v>211</v>
      </c>
      <c r="F244" s="41" t="str">
        <f>_xlfn.XLOOKUP($D244,MD_Account_Asset_Type[Nhóm tài sản],MD_Account_Asset_Type[Tên Nhóm tài sản])</f>
        <v>Thiết bị, dụng cụ quản lý - QL 642</v>
      </c>
      <c r="G244" s="41" t="str">
        <f>_xlfn.XLOOKUP($D244,MD_Account_Asset_Type[Nhóm tài sản],MD_Account_Asset_Type[Tên nhóm TS-Rút gọn])</f>
        <v>Thiết bị quản lý</v>
      </c>
      <c r="H244" s="41" t="str">
        <f>_xlfn.XLOOKUP($D244,MD_Account_Asset_Type[Nhóm tài sản],MD_Account_Asset_Type[Tên nhóm TS-Rút gọn-v2])</f>
        <v>Thiết bị quản lý</v>
      </c>
      <c r="I244" s="43" t="s">
        <v>1120</v>
      </c>
      <c r="J244" s="42" t="s">
        <v>735</v>
      </c>
      <c r="K244" s="41" t="s">
        <v>502</v>
      </c>
      <c r="L244" s="42" t="s">
        <v>36</v>
      </c>
      <c r="M244" s="42" t="s">
        <v>111</v>
      </c>
      <c r="N244" s="44">
        <v>0</v>
      </c>
      <c r="O244" s="44"/>
      <c r="P244" s="41" t="s">
        <v>474</v>
      </c>
      <c r="Q244" s="41" t="str">
        <f t="shared" si="11"/>
        <v>642</v>
      </c>
      <c r="R244" s="41" t="str">
        <f>_xlfn.XLOOKUP($L244,MD_Cost_Center[Mã Cost Center],MD_Cost_Center[Ngành])</f>
        <v>Chung</v>
      </c>
      <c r="S244" s="41" t="str">
        <f>_xlfn.XLOOKUP($L244,MD_Cost_Center[Mã Cost Center],MD_Cost_Center[Ngành-Tách PET-Xơ sợi])</f>
        <v>Chung</v>
      </c>
      <c r="T244" s="45">
        <v>45748</v>
      </c>
      <c r="U244" s="46">
        <v>47574</v>
      </c>
      <c r="V244" s="47">
        <v>120</v>
      </c>
      <c r="W244" s="47">
        <v>34926000</v>
      </c>
      <c r="X244" s="47">
        <v>-267451.35135135136</v>
      </c>
      <c r="Y244" s="47">
        <v>34926000</v>
      </c>
      <c r="Z244" s="47">
        <v>34926000</v>
      </c>
      <c r="AA244" s="47">
        <v>34926000</v>
      </c>
      <c r="AB244" s="47">
        <v>34926000</v>
      </c>
      <c r="AC244" s="47">
        <v>34926000</v>
      </c>
      <c r="AD244" s="47">
        <v>34926000</v>
      </c>
      <c r="AE244" s="47">
        <v>34926000</v>
      </c>
      <c r="AF244" s="47">
        <v>34926000</v>
      </c>
      <c r="AG244" s="47">
        <v>34926000</v>
      </c>
      <c r="AH244" s="47">
        <v>34926000</v>
      </c>
      <c r="AI244" s="47">
        <v>34926000</v>
      </c>
      <c r="AJ244" s="47">
        <v>34926000</v>
      </c>
      <c r="AK244" s="47">
        <v>34926000</v>
      </c>
      <c r="AL244" s="47">
        <v>-5238900</v>
      </c>
      <c r="AM244" s="47">
        <v>-5238900</v>
      </c>
      <c r="AN244" s="47">
        <v>-267451.35135135136</v>
      </c>
      <c r="AO244" s="47">
        <v>-267451.35135135136</v>
      </c>
      <c r="AP244" s="47">
        <v>-267451.35135135136</v>
      </c>
      <c r="AQ244" s="47">
        <v>-267451.35135135136</v>
      </c>
      <c r="AR244" s="47">
        <v>-267451.35135135136</v>
      </c>
      <c r="AS244" s="47">
        <v>-267451.35135135136</v>
      </c>
      <c r="AT244" s="47">
        <v>-267451.35135135136</v>
      </c>
      <c r="AU244" s="47">
        <v>-267451.35135135136</v>
      </c>
      <c r="AV244" s="47">
        <v>-267451.35135135136</v>
      </c>
      <c r="AW244" s="47">
        <v>-267451.35135135136</v>
      </c>
      <c r="AX244" s="47">
        <v>-267451.35135135136</v>
      </c>
      <c r="AY244" s="47">
        <v>-267451.35135135136</v>
      </c>
      <c r="AZ244" s="58">
        <f t="shared" si="12"/>
        <v>-3209416.2162162173</v>
      </c>
      <c r="BA244" s="47">
        <f>Y244+SUM($AM244:AM244)</f>
        <v>29687100</v>
      </c>
      <c r="BB244" s="48">
        <f>Z244+SUM($AM244:AN244)</f>
        <v>29419648.648648649</v>
      </c>
      <c r="BC244" s="48">
        <f>AA244+SUM($AM244:AO244)</f>
        <v>29152197.297297299</v>
      </c>
      <c r="BD244" s="48">
        <f>AB244+SUM($AM244:AP244)</f>
        <v>28884745.945945945</v>
      </c>
      <c r="BE244" s="48">
        <f>AC244+SUM($AM244:AQ244)</f>
        <v>28617294.594594594</v>
      </c>
      <c r="BF244" s="48">
        <f>AD244+SUM($AM244:AR244)</f>
        <v>28349843.243243244</v>
      </c>
      <c r="BG244" s="48">
        <f>AE244+SUM($AM244:AS244)</f>
        <v>28082391.891891889</v>
      </c>
      <c r="BH244" s="48">
        <f>AF244+SUM($AM244:AT244)</f>
        <v>27814940.540540539</v>
      </c>
      <c r="BI244" s="48">
        <f>AG244+SUM($AM244:AU244)</f>
        <v>27547489.189189188</v>
      </c>
      <c r="BJ244" s="48">
        <f>AH244+SUM($AM244:AV244)</f>
        <v>27280037.837837838</v>
      </c>
      <c r="BK244" s="48">
        <f>AI244+SUM($AM244:AW244)</f>
        <v>27012586.486486487</v>
      </c>
      <c r="BL244" s="48">
        <f>AJ244+SUM($AM244:AX244)</f>
        <v>26745135.135135133</v>
      </c>
      <c r="BM244" s="48">
        <f>AK244+SUM($AM244:AY244)</f>
        <v>26477683.783783782</v>
      </c>
      <c r="BO244" s="47"/>
    </row>
    <row r="245" spans="3:67" s="41" customFormat="1" hidden="1" x14ac:dyDescent="0.3">
      <c r="C245" s="41" t="s">
        <v>1340</v>
      </c>
      <c r="D245" s="42" t="s">
        <v>347</v>
      </c>
      <c r="E245" s="42" t="str">
        <f t="shared" si="10"/>
        <v>211</v>
      </c>
      <c r="F245" s="41" t="str">
        <f>_xlfn.XLOOKUP($D245,MD_Account_Asset_Type[Nhóm tài sản],MD_Account_Asset_Type[Tên Nhóm tài sản])</f>
        <v>Thiết bị, dụng cụ quản lý - QL 642</v>
      </c>
      <c r="G245" s="41" t="str">
        <f>_xlfn.XLOOKUP($D245,MD_Account_Asset_Type[Nhóm tài sản],MD_Account_Asset_Type[Tên nhóm TS-Rút gọn])</f>
        <v>Thiết bị quản lý</v>
      </c>
      <c r="H245" s="41" t="str">
        <f>_xlfn.XLOOKUP($D245,MD_Account_Asset_Type[Nhóm tài sản],MD_Account_Asset_Type[Tên nhóm TS-Rút gọn-v2])</f>
        <v>Thiết bị quản lý</v>
      </c>
      <c r="I245" s="43" t="s">
        <v>1121</v>
      </c>
      <c r="J245" s="42" t="s">
        <v>736</v>
      </c>
      <c r="K245" s="41" t="s">
        <v>830</v>
      </c>
      <c r="L245" s="42" t="s">
        <v>36</v>
      </c>
      <c r="M245" s="42" t="s">
        <v>111</v>
      </c>
      <c r="N245" s="44">
        <v>0</v>
      </c>
      <c r="O245" s="44"/>
      <c r="P245" s="41" t="s">
        <v>474</v>
      </c>
      <c r="Q245" s="41" t="str">
        <f t="shared" si="11"/>
        <v>642</v>
      </c>
      <c r="R245" s="41" t="str">
        <f>_xlfn.XLOOKUP($L245,MD_Cost_Center[Mã Cost Center],MD_Cost_Center[Ngành])</f>
        <v>Chung</v>
      </c>
      <c r="S245" s="41" t="str">
        <f>_xlfn.XLOOKUP($L245,MD_Cost_Center[Mã Cost Center],MD_Cost_Center[Ngành-Tách PET-Xơ sợi])</f>
        <v>Chung</v>
      </c>
      <c r="T245" s="45">
        <v>45627</v>
      </c>
      <c r="U245" s="46">
        <v>46722</v>
      </c>
      <c r="V245" s="47">
        <v>120</v>
      </c>
      <c r="W245" s="47">
        <v>261270972</v>
      </c>
      <c r="X245" s="47">
        <v>-1560029.1682242991</v>
      </c>
      <c r="Y245" s="47">
        <v>261270972</v>
      </c>
      <c r="Z245" s="47">
        <v>261270972</v>
      </c>
      <c r="AA245" s="47">
        <v>261270972</v>
      </c>
      <c r="AB245" s="47">
        <v>261270972</v>
      </c>
      <c r="AC245" s="47">
        <v>261270972</v>
      </c>
      <c r="AD245" s="47">
        <v>261270972</v>
      </c>
      <c r="AE245" s="47">
        <v>261270972</v>
      </c>
      <c r="AF245" s="47">
        <v>261270972</v>
      </c>
      <c r="AG245" s="47">
        <v>261270972</v>
      </c>
      <c r="AH245" s="47">
        <v>261270972</v>
      </c>
      <c r="AI245" s="47">
        <v>261270972</v>
      </c>
      <c r="AJ245" s="47">
        <v>261270972</v>
      </c>
      <c r="AK245" s="47">
        <v>261270972</v>
      </c>
      <c r="AL245" s="47">
        <v>-87090324</v>
      </c>
      <c r="AM245" s="47">
        <v>-94347851</v>
      </c>
      <c r="AN245" s="47">
        <v>-1560029.1682242991</v>
      </c>
      <c r="AO245" s="47">
        <v>-1560029.1682242991</v>
      </c>
      <c r="AP245" s="47">
        <v>-1560029.1682242991</v>
      </c>
      <c r="AQ245" s="47">
        <v>-1560029.1682242991</v>
      </c>
      <c r="AR245" s="47">
        <v>-1560029.1682242991</v>
      </c>
      <c r="AS245" s="47">
        <v>-1560029.1682242991</v>
      </c>
      <c r="AT245" s="47">
        <v>-1560029.1682242991</v>
      </c>
      <c r="AU245" s="47">
        <v>-1560029.1682242991</v>
      </c>
      <c r="AV245" s="47">
        <v>-1560029.1682242991</v>
      </c>
      <c r="AW245" s="47">
        <v>-1560029.1682242991</v>
      </c>
      <c r="AX245" s="47">
        <v>-1560029.1682242991</v>
      </c>
      <c r="AY245" s="47">
        <v>-1560029.1682242991</v>
      </c>
      <c r="AZ245" s="58">
        <f t="shared" si="12"/>
        <v>-18720350.018691588</v>
      </c>
      <c r="BA245" s="47">
        <f>Y245+SUM($AM245:AM245)</f>
        <v>166923121</v>
      </c>
      <c r="BB245" s="48">
        <f>Z245+SUM($AM245:AN245)</f>
        <v>165363091.8317757</v>
      </c>
      <c r="BC245" s="48">
        <f>AA245+SUM($AM245:AO245)</f>
        <v>163803062.66355139</v>
      </c>
      <c r="BD245" s="48">
        <f>AB245+SUM($AM245:AP245)</f>
        <v>162243033.49532709</v>
      </c>
      <c r="BE245" s="48">
        <f>AC245+SUM($AM245:AQ245)</f>
        <v>160683004.32710278</v>
      </c>
      <c r="BF245" s="48">
        <f>AD245+SUM($AM245:AR245)</f>
        <v>159122975.15887848</v>
      </c>
      <c r="BG245" s="48">
        <f>AE245+SUM($AM245:AS245)</f>
        <v>157562945.99065417</v>
      </c>
      <c r="BH245" s="48">
        <f>AF245+SUM($AM245:AT245)</f>
        <v>156002916.82242987</v>
      </c>
      <c r="BI245" s="48">
        <f>AG245+SUM($AM245:AU245)</f>
        <v>154442887.65420556</v>
      </c>
      <c r="BJ245" s="48">
        <f>AH245+SUM($AM245:AV245)</f>
        <v>152882858.48598126</v>
      </c>
      <c r="BK245" s="48">
        <f>AI245+SUM($AM245:AW245)</f>
        <v>151322829.31775695</v>
      </c>
      <c r="BL245" s="48">
        <f>AJ245+SUM($AM245:AX245)</f>
        <v>149762800.14953265</v>
      </c>
      <c r="BM245" s="48">
        <f>AK245+SUM($AM245:AY245)</f>
        <v>148202770.98130834</v>
      </c>
      <c r="BO245" s="47"/>
    </row>
    <row r="246" spans="3:67" s="41" customFormat="1" hidden="1" x14ac:dyDescent="0.3">
      <c r="C246" s="41" t="s">
        <v>1340</v>
      </c>
      <c r="D246" s="42" t="s">
        <v>347</v>
      </c>
      <c r="E246" s="42" t="str">
        <f t="shared" si="10"/>
        <v>211</v>
      </c>
      <c r="F246" s="41" t="str">
        <f>_xlfn.XLOOKUP($D246,MD_Account_Asset_Type[Nhóm tài sản],MD_Account_Asset_Type[Tên Nhóm tài sản])</f>
        <v>Thiết bị, dụng cụ quản lý - QL 642</v>
      </c>
      <c r="G246" s="41" t="str">
        <f>_xlfn.XLOOKUP($D246,MD_Account_Asset_Type[Nhóm tài sản],MD_Account_Asset_Type[Tên nhóm TS-Rút gọn])</f>
        <v>Thiết bị quản lý</v>
      </c>
      <c r="H246" s="41" t="str">
        <f>_xlfn.XLOOKUP($D246,MD_Account_Asset_Type[Nhóm tài sản],MD_Account_Asset_Type[Tên nhóm TS-Rút gọn-v2])</f>
        <v>Thiết bị quản lý</v>
      </c>
      <c r="I246" s="43" t="s">
        <v>1122</v>
      </c>
      <c r="J246" s="42" t="s">
        <v>737</v>
      </c>
      <c r="K246" s="41" t="s">
        <v>830</v>
      </c>
      <c r="L246" s="42" t="s">
        <v>36</v>
      </c>
      <c r="M246" s="42" t="s">
        <v>111</v>
      </c>
      <c r="N246" s="44">
        <v>0</v>
      </c>
      <c r="O246" s="44"/>
      <c r="P246" s="41" t="s">
        <v>474</v>
      </c>
      <c r="Q246" s="41" t="str">
        <f t="shared" si="11"/>
        <v>642</v>
      </c>
      <c r="R246" s="41" t="str">
        <f>_xlfn.XLOOKUP($L246,MD_Cost_Center[Mã Cost Center],MD_Cost_Center[Ngành])</f>
        <v>Chung</v>
      </c>
      <c r="S246" s="41" t="str">
        <f>_xlfn.XLOOKUP($L246,MD_Cost_Center[Mã Cost Center],MD_Cost_Center[Ngành-Tách PET-Xơ sợi])</f>
        <v>Chung</v>
      </c>
      <c r="T246" s="45">
        <v>45627</v>
      </c>
      <c r="U246" s="46">
        <v>46722</v>
      </c>
      <c r="V246" s="47">
        <v>120</v>
      </c>
      <c r="W246" s="47">
        <v>351402508</v>
      </c>
      <c r="X246" s="47">
        <v>-2098197.7383177569</v>
      </c>
      <c r="Y246" s="47">
        <v>351402508</v>
      </c>
      <c r="Z246" s="47">
        <v>351402508</v>
      </c>
      <c r="AA246" s="47">
        <v>351402508</v>
      </c>
      <c r="AB246" s="47">
        <v>351402508</v>
      </c>
      <c r="AC246" s="47">
        <v>351402508</v>
      </c>
      <c r="AD246" s="47">
        <v>351402508</v>
      </c>
      <c r="AE246" s="47">
        <v>351402508</v>
      </c>
      <c r="AF246" s="47">
        <v>351402508</v>
      </c>
      <c r="AG246" s="47">
        <v>351402508</v>
      </c>
      <c r="AH246" s="47">
        <v>351402508</v>
      </c>
      <c r="AI246" s="47">
        <v>351402508</v>
      </c>
      <c r="AJ246" s="47">
        <v>351402508</v>
      </c>
      <c r="AK246" s="47">
        <v>351402508</v>
      </c>
      <c r="AL246" s="47">
        <v>-117134169</v>
      </c>
      <c r="AM246" s="47">
        <v>-126895350</v>
      </c>
      <c r="AN246" s="47">
        <v>-2098197.7383177569</v>
      </c>
      <c r="AO246" s="47">
        <v>-2098197.7383177569</v>
      </c>
      <c r="AP246" s="47">
        <v>-2098197.7383177569</v>
      </c>
      <c r="AQ246" s="47">
        <v>-2098197.7383177569</v>
      </c>
      <c r="AR246" s="47">
        <v>-2098197.7383177569</v>
      </c>
      <c r="AS246" s="47">
        <v>-2098197.7383177569</v>
      </c>
      <c r="AT246" s="47">
        <v>-2098197.7383177569</v>
      </c>
      <c r="AU246" s="47">
        <v>-2098197.7383177569</v>
      </c>
      <c r="AV246" s="47">
        <v>-2098197.7383177569</v>
      </c>
      <c r="AW246" s="47">
        <v>-2098197.7383177569</v>
      </c>
      <c r="AX246" s="47">
        <v>-2098197.7383177569</v>
      </c>
      <c r="AY246" s="47">
        <v>-2098197.7383177569</v>
      </c>
      <c r="AZ246" s="58">
        <f t="shared" si="12"/>
        <v>-25178372.85981309</v>
      </c>
      <c r="BA246" s="47">
        <f>Y246+SUM($AM246:AM246)</f>
        <v>224507158</v>
      </c>
      <c r="BB246" s="48">
        <f>Z246+SUM($AM246:AN246)</f>
        <v>222408960.26168224</v>
      </c>
      <c r="BC246" s="48">
        <f>AA246+SUM($AM246:AO246)</f>
        <v>220310762.52336448</v>
      </c>
      <c r="BD246" s="48">
        <f>AB246+SUM($AM246:AP246)</f>
        <v>218212564.78504673</v>
      </c>
      <c r="BE246" s="48">
        <f>AC246+SUM($AM246:AQ246)</f>
        <v>216114367.04672897</v>
      </c>
      <c r="BF246" s="48">
        <f>AD246+SUM($AM246:AR246)</f>
        <v>214016169.30841121</v>
      </c>
      <c r="BG246" s="48">
        <f>AE246+SUM($AM246:AS246)</f>
        <v>211917971.57009345</v>
      </c>
      <c r="BH246" s="48">
        <f>AF246+SUM($AM246:AT246)</f>
        <v>209819773.8317757</v>
      </c>
      <c r="BI246" s="48">
        <f>AG246+SUM($AM246:AU246)</f>
        <v>207721576.09345794</v>
      </c>
      <c r="BJ246" s="48">
        <f>AH246+SUM($AM246:AV246)</f>
        <v>205623378.35514018</v>
      </c>
      <c r="BK246" s="48">
        <f>AI246+SUM($AM246:AW246)</f>
        <v>203525180.61682242</v>
      </c>
      <c r="BL246" s="48">
        <f>AJ246+SUM($AM246:AX246)</f>
        <v>201426982.87850466</v>
      </c>
      <c r="BM246" s="48">
        <f>AK246+SUM($AM246:AY246)</f>
        <v>199328785.14018691</v>
      </c>
      <c r="BO246" s="47"/>
    </row>
    <row r="247" spans="3:67" s="41" customFormat="1" hidden="1" x14ac:dyDescent="0.3">
      <c r="C247" s="41" t="s">
        <v>1340</v>
      </c>
      <c r="D247" s="42" t="s">
        <v>347</v>
      </c>
      <c r="E247" s="42" t="str">
        <f t="shared" si="10"/>
        <v>211</v>
      </c>
      <c r="F247" s="41" t="str">
        <f>_xlfn.XLOOKUP($D247,MD_Account_Asset_Type[Nhóm tài sản],MD_Account_Asset_Type[Tên Nhóm tài sản])</f>
        <v>Thiết bị, dụng cụ quản lý - QL 642</v>
      </c>
      <c r="G247" s="41" t="str">
        <f>_xlfn.XLOOKUP($D247,MD_Account_Asset_Type[Nhóm tài sản],MD_Account_Asset_Type[Tên nhóm TS-Rút gọn])</f>
        <v>Thiết bị quản lý</v>
      </c>
      <c r="H247" s="41" t="str">
        <f>_xlfn.XLOOKUP($D247,MD_Account_Asset_Type[Nhóm tài sản],MD_Account_Asset_Type[Tên nhóm TS-Rút gọn-v2])</f>
        <v>Thiết bị quản lý</v>
      </c>
      <c r="I247" s="43" t="s">
        <v>1123</v>
      </c>
      <c r="J247" s="42" t="s">
        <v>738</v>
      </c>
      <c r="K247" s="41" t="s">
        <v>830</v>
      </c>
      <c r="L247" s="42" t="s">
        <v>33</v>
      </c>
      <c r="M247" s="42" t="s">
        <v>108</v>
      </c>
      <c r="N247" s="44">
        <v>0</v>
      </c>
      <c r="O247" s="44"/>
      <c r="P247" s="41" t="s">
        <v>474</v>
      </c>
      <c r="Q247" s="41" t="str">
        <f t="shared" si="11"/>
        <v>642</v>
      </c>
      <c r="R247" s="41" t="str">
        <f>_xlfn.XLOOKUP($L247,MD_Cost_Center[Mã Cost Center],MD_Cost_Center[Ngành])</f>
        <v>Chung</v>
      </c>
      <c r="S247" s="41" t="str">
        <f>_xlfn.XLOOKUP($L247,MD_Cost_Center[Mã Cost Center],MD_Cost_Center[Ngành-Tách PET-Xơ sợi])</f>
        <v>Chung</v>
      </c>
      <c r="T247" s="45">
        <v>45901</v>
      </c>
      <c r="U247" s="46">
        <v>47727</v>
      </c>
      <c r="V247" s="47">
        <v>120</v>
      </c>
      <c r="W247" s="47">
        <v>33150000</v>
      </c>
      <c r="X247" s="47">
        <v>-266724.13793103449</v>
      </c>
      <c r="Y247" s="47">
        <v>33150000</v>
      </c>
      <c r="Z247" s="47">
        <v>33150000</v>
      </c>
      <c r="AA247" s="47">
        <v>33150000</v>
      </c>
      <c r="AB247" s="47">
        <v>33150000</v>
      </c>
      <c r="AC247" s="47">
        <v>33150000</v>
      </c>
      <c r="AD247" s="47">
        <v>33150000</v>
      </c>
      <c r="AE247" s="47">
        <v>33150000</v>
      </c>
      <c r="AF247" s="47">
        <v>33150000</v>
      </c>
      <c r="AG247" s="47">
        <v>33150000</v>
      </c>
      <c r="AH247" s="47">
        <v>33150000</v>
      </c>
      <c r="AI247" s="47">
        <v>33150000</v>
      </c>
      <c r="AJ247" s="47">
        <v>33150000</v>
      </c>
      <c r="AK247" s="47">
        <v>33150000</v>
      </c>
      <c r="AL247" s="47">
        <v>-2210000</v>
      </c>
      <c r="AM247" s="47">
        <v>-2210000</v>
      </c>
      <c r="AN247" s="47">
        <v>-266724.13793103449</v>
      </c>
      <c r="AO247" s="47">
        <v>-266724.13793103449</v>
      </c>
      <c r="AP247" s="47">
        <v>-266724.13793103449</v>
      </c>
      <c r="AQ247" s="47">
        <v>-266724.13793103449</v>
      </c>
      <c r="AR247" s="47">
        <v>-266724.13793103449</v>
      </c>
      <c r="AS247" s="47">
        <v>-266724.13793103449</v>
      </c>
      <c r="AT247" s="47">
        <v>-266724.13793103449</v>
      </c>
      <c r="AU247" s="47">
        <v>-266724.13793103449</v>
      </c>
      <c r="AV247" s="47">
        <v>-266724.13793103449</v>
      </c>
      <c r="AW247" s="47">
        <v>-266724.13793103449</v>
      </c>
      <c r="AX247" s="47">
        <v>-266724.13793103449</v>
      </c>
      <c r="AY247" s="47">
        <v>-266724.13793103449</v>
      </c>
      <c r="AZ247" s="58">
        <f t="shared" si="12"/>
        <v>-3200689.6551724137</v>
      </c>
      <c r="BA247" s="47">
        <f>Y247+SUM($AM247:AM247)</f>
        <v>30940000</v>
      </c>
      <c r="BB247" s="48">
        <f>Z247+SUM($AM247:AN247)</f>
        <v>30673275.862068966</v>
      </c>
      <c r="BC247" s="48">
        <f>AA247+SUM($AM247:AO247)</f>
        <v>30406551.724137932</v>
      </c>
      <c r="BD247" s="48">
        <f>AB247+SUM($AM247:AP247)</f>
        <v>30139827.586206898</v>
      </c>
      <c r="BE247" s="48">
        <f>AC247+SUM($AM247:AQ247)</f>
        <v>29873103.448275864</v>
      </c>
      <c r="BF247" s="48">
        <f>AD247+SUM($AM247:AR247)</f>
        <v>29606379.310344826</v>
      </c>
      <c r="BG247" s="48">
        <f>AE247+SUM($AM247:AS247)</f>
        <v>29339655.172413792</v>
      </c>
      <c r="BH247" s="48">
        <f>AF247+SUM($AM247:AT247)</f>
        <v>29072931.034482758</v>
      </c>
      <c r="BI247" s="48">
        <f>AG247+SUM($AM247:AU247)</f>
        <v>28806206.896551725</v>
      </c>
      <c r="BJ247" s="48">
        <f>AH247+SUM($AM247:AV247)</f>
        <v>28539482.758620691</v>
      </c>
      <c r="BK247" s="48">
        <f>AI247+SUM($AM247:AW247)</f>
        <v>28272758.620689653</v>
      </c>
      <c r="BL247" s="48">
        <f>AJ247+SUM($AM247:AX247)</f>
        <v>28006034.482758619</v>
      </c>
      <c r="BM247" s="48">
        <f>AK247+SUM($AM247:AY247)</f>
        <v>27739310.344827585</v>
      </c>
      <c r="BO247" s="47"/>
    </row>
    <row r="248" spans="3:67" s="41" customFormat="1" hidden="1" x14ac:dyDescent="0.3">
      <c r="C248" s="41" t="s">
        <v>1340</v>
      </c>
      <c r="D248" s="42" t="s">
        <v>347</v>
      </c>
      <c r="E248" s="42" t="str">
        <f t="shared" si="10"/>
        <v>211</v>
      </c>
      <c r="F248" s="41" t="str">
        <f>_xlfn.XLOOKUP($D248,MD_Account_Asset_Type[Nhóm tài sản],MD_Account_Asset_Type[Tên Nhóm tài sản])</f>
        <v>Thiết bị, dụng cụ quản lý - QL 642</v>
      </c>
      <c r="G248" s="41" t="str">
        <f>_xlfn.XLOOKUP($D248,MD_Account_Asset_Type[Nhóm tài sản],MD_Account_Asset_Type[Tên nhóm TS-Rút gọn])</f>
        <v>Thiết bị quản lý</v>
      </c>
      <c r="H248" s="41" t="str">
        <f>_xlfn.XLOOKUP($D248,MD_Account_Asset_Type[Nhóm tài sản],MD_Account_Asset_Type[Tên nhóm TS-Rút gọn-v2])</f>
        <v>Thiết bị quản lý</v>
      </c>
      <c r="I248" s="43" t="s">
        <v>1124</v>
      </c>
      <c r="J248" s="42" t="s">
        <v>739</v>
      </c>
      <c r="K248" s="41" t="s">
        <v>830</v>
      </c>
      <c r="L248" s="42" t="s">
        <v>103</v>
      </c>
      <c r="M248" s="42" t="s">
        <v>178</v>
      </c>
      <c r="N248" s="44">
        <v>0</v>
      </c>
      <c r="O248" s="44"/>
      <c r="P248" s="41" t="s">
        <v>474</v>
      </c>
      <c r="Q248" s="41" t="str">
        <f t="shared" si="11"/>
        <v>642</v>
      </c>
      <c r="R248" s="41" t="str">
        <f>_xlfn.XLOOKUP($L248,MD_Cost_Center[Mã Cost Center],MD_Cost_Center[Ngành])</f>
        <v>Chung</v>
      </c>
      <c r="S248" s="41" t="str">
        <f>_xlfn.XLOOKUP($L248,MD_Cost_Center[Mã Cost Center],MD_Cost_Center[Ngành-Tách PET-Xơ sợi])</f>
        <v>Chung</v>
      </c>
      <c r="T248" s="45">
        <v>45901</v>
      </c>
      <c r="U248" s="46">
        <v>47696</v>
      </c>
      <c r="V248" s="47">
        <v>120</v>
      </c>
      <c r="W248" s="47">
        <v>47500000</v>
      </c>
      <c r="X248" s="47">
        <v>-382183.9051724138</v>
      </c>
      <c r="Y248" s="47">
        <v>47500000</v>
      </c>
      <c r="Z248" s="47">
        <v>47500000</v>
      </c>
      <c r="AA248" s="47">
        <v>47500000</v>
      </c>
      <c r="AB248" s="47">
        <v>47500000</v>
      </c>
      <c r="AC248" s="47">
        <v>47500000</v>
      </c>
      <c r="AD248" s="47">
        <v>47500000</v>
      </c>
      <c r="AE248" s="47">
        <v>47500000</v>
      </c>
      <c r="AF248" s="47">
        <v>47500000</v>
      </c>
      <c r="AG248" s="47">
        <v>47500000</v>
      </c>
      <c r="AH248" s="47">
        <v>47500000</v>
      </c>
      <c r="AI248" s="47">
        <v>47500000</v>
      </c>
      <c r="AJ248" s="47">
        <v>47500000</v>
      </c>
      <c r="AK248" s="47">
        <v>47500000</v>
      </c>
      <c r="AL248" s="47">
        <v>-3166667</v>
      </c>
      <c r="AM248" s="47">
        <v>-3166667</v>
      </c>
      <c r="AN248" s="47">
        <v>-382183.9051724138</v>
      </c>
      <c r="AO248" s="47">
        <v>-382183.9051724138</v>
      </c>
      <c r="AP248" s="47">
        <v>-382183.9051724138</v>
      </c>
      <c r="AQ248" s="47">
        <v>-382183.9051724138</v>
      </c>
      <c r="AR248" s="47">
        <v>-382183.9051724138</v>
      </c>
      <c r="AS248" s="47">
        <v>-382183.9051724138</v>
      </c>
      <c r="AT248" s="47">
        <v>-382183.9051724138</v>
      </c>
      <c r="AU248" s="47">
        <v>-382183.9051724138</v>
      </c>
      <c r="AV248" s="47">
        <v>-382183.9051724138</v>
      </c>
      <c r="AW248" s="47">
        <v>-382183.9051724138</v>
      </c>
      <c r="AX248" s="47">
        <v>-382183.9051724138</v>
      </c>
      <c r="AY248" s="47">
        <v>-382183.9051724138</v>
      </c>
      <c r="AZ248" s="58">
        <f t="shared" si="12"/>
        <v>-4586206.8620689651</v>
      </c>
      <c r="BA248" s="47">
        <f>Y248+SUM($AM248:AM248)</f>
        <v>44333333</v>
      </c>
      <c r="BB248" s="48">
        <f>Z248+SUM($AM248:AN248)</f>
        <v>43951149.094827585</v>
      </c>
      <c r="BC248" s="48">
        <f>AA248+SUM($AM248:AO248)</f>
        <v>43568965.18965517</v>
      </c>
      <c r="BD248" s="48">
        <f>AB248+SUM($AM248:AP248)</f>
        <v>43186781.284482762</v>
      </c>
      <c r="BE248" s="48">
        <f>AC248+SUM($AM248:AQ248)</f>
        <v>42804597.379310347</v>
      </c>
      <c r="BF248" s="48">
        <f>AD248+SUM($AM248:AR248)</f>
        <v>42422413.474137932</v>
      </c>
      <c r="BG248" s="48">
        <f>AE248+SUM($AM248:AS248)</f>
        <v>42040229.568965517</v>
      </c>
      <c r="BH248" s="48">
        <f>AF248+SUM($AM248:AT248)</f>
        <v>41658045.663793102</v>
      </c>
      <c r="BI248" s="48">
        <f>AG248+SUM($AM248:AU248)</f>
        <v>41275861.758620687</v>
      </c>
      <c r="BJ248" s="48">
        <f>AH248+SUM($AM248:AV248)</f>
        <v>40893677.853448272</v>
      </c>
      <c r="BK248" s="48">
        <f>AI248+SUM($AM248:AW248)</f>
        <v>40511493.948275857</v>
      </c>
      <c r="BL248" s="48">
        <f>AJ248+SUM($AM248:AX248)</f>
        <v>40129310.043103442</v>
      </c>
      <c r="BM248" s="48">
        <f>AK248+SUM($AM248:AY248)</f>
        <v>39747126.137931034</v>
      </c>
      <c r="BO248" s="47"/>
    </row>
    <row r="249" spans="3:67" s="41" customFormat="1" hidden="1" x14ac:dyDescent="0.3">
      <c r="C249" s="41" t="s">
        <v>1340</v>
      </c>
      <c r="D249" s="42" t="s">
        <v>347</v>
      </c>
      <c r="E249" s="42" t="str">
        <f t="shared" si="10"/>
        <v>211</v>
      </c>
      <c r="F249" s="41" t="str">
        <f>_xlfn.XLOOKUP($D249,MD_Account_Asset_Type[Nhóm tài sản],MD_Account_Asset_Type[Tên Nhóm tài sản])</f>
        <v>Thiết bị, dụng cụ quản lý - QL 642</v>
      </c>
      <c r="G249" s="41" t="str">
        <f>_xlfn.XLOOKUP($D249,MD_Account_Asset_Type[Nhóm tài sản],MD_Account_Asset_Type[Tên nhóm TS-Rút gọn])</f>
        <v>Thiết bị quản lý</v>
      </c>
      <c r="H249" s="41" t="str">
        <f>_xlfn.XLOOKUP($D249,MD_Account_Asset_Type[Nhóm tài sản],MD_Account_Asset_Type[Tên nhóm TS-Rút gọn-v2])</f>
        <v>Thiết bị quản lý</v>
      </c>
      <c r="I249" s="43" t="s">
        <v>1125</v>
      </c>
      <c r="J249" s="42" t="s">
        <v>740</v>
      </c>
      <c r="K249" s="41" t="s">
        <v>830</v>
      </c>
      <c r="L249" s="42" t="s">
        <v>36</v>
      </c>
      <c r="M249" s="42" t="s">
        <v>111</v>
      </c>
      <c r="N249" s="44">
        <v>0</v>
      </c>
      <c r="O249" s="44"/>
      <c r="P249" s="41" t="s">
        <v>474</v>
      </c>
      <c r="Q249" s="41" t="str">
        <f t="shared" si="11"/>
        <v>642</v>
      </c>
      <c r="R249" s="41" t="str">
        <f>_xlfn.XLOOKUP($L249,MD_Cost_Center[Mã Cost Center],MD_Cost_Center[Ngành])</f>
        <v>Chung</v>
      </c>
      <c r="S249" s="41" t="str">
        <f>_xlfn.XLOOKUP($L249,MD_Cost_Center[Mã Cost Center],MD_Cost_Center[Ngành-Tách PET-Xơ sợi])</f>
        <v>Chung</v>
      </c>
      <c r="T249" s="45">
        <v>45931</v>
      </c>
      <c r="U249" s="46">
        <v>47757</v>
      </c>
      <c r="V249" s="47">
        <v>120</v>
      </c>
      <c r="W249" s="47">
        <v>76531000</v>
      </c>
      <c r="X249" s="47">
        <v>-621405.5555555555</v>
      </c>
      <c r="Y249" s="47">
        <v>76531000</v>
      </c>
      <c r="Z249" s="47">
        <v>76531000</v>
      </c>
      <c r="AA249" s="47">
        <v>76531000</v>
      </c>
      <c r="AB249" s="47">
        <v>76531000</v>
      </c>
      <c r="AC249" s="47">
        <v>76531000</v>
      </c>
      <c r="AD249" s="47">
        <v>76531000</v>
      </c>
      <c r="AE249" s="47">
        <v>76531000</v>
      </c>
      <c r="AF249" s="47">
        <v>76531000</v>
      </c>
      <c r="AG249" s="47">
        <v>76531000</v>
      </c>
      <c r="AH249" s="47">
        <v>76531000</v>
      </c>
      <c r="AI249" s="47">
        <v>76531000</v>
      </c>
      <c r="AJ249" s="47">
        <v>76531000</v>
      </c>
      <c r="AK249" s="47">
        <v>76531000</v>
      </c>
      <c r="AL249" s="47">
        <v>-3826550</v>
      </c>
      <c r="AM249" s="47">
        <v>-3826550</v>
      </c>
      <c r="AN249" s="47">
        <v>-621405.5555555555</v>
      </c>
      <c r="AO249" s="47">
        <v>-621405.5555555555</v>
      </c>
      <c r="AP249" s="47">
        <v>-621405.5555555555</v>
      </c>
      <c r="AQ249" s="47">
        <v>-621405.5555555555</v>
      </c>
      <c r="AR249" s="47">
        <v>-621405.5555555555</v>
      </c>
      <c r="AS249" s="47">
        <v>-621405.5555555555</v>
      </c>
      <c r="AT249" s="47">
        <v>-621405.5555555555</v>
      </c>
      <c r="AU249" s="47">
        <v>-621405.5555555555</v>
      </c>
      <c r="AV249" s="47">
        <v>-621405.5555555555</v>
      </c>
      <c r="AW249" s="47">
        <v>-621405.5555555555</v>
      </c>
      <c r="AX249" s="47">
        <v>-621405.5555555555</v>
      </c>
      <c r="AY249" s="47">
        <v>-621405.5555555555</v>
      </c>
      <c r="AZ249" s="58">
        <f t="shared" si="12"/>
        <v>-7456866.6666666679</v>
      </c>
      <c r="BA249" s="47">
        <f>Y249+SUM($AM249:AM249)</f>
        <v>72704450</v>
      </c>
      <c r="BB249" s="48">
        <f>Z249+SUM($AM249:AN249)</f>
        <v>72083044.444444448</v>
      </c>
      <c r="BC249" s="48">
        <f>AA249+SUM($AM249:AO249)</f>
        <v>71461638.888888896</v>
      </c>
      <c r="BD249" s="48">
        <f>AB249+SUM($AM249:AP249)</f>
        <v>70840233.333333328</v>
      </c>
      <c r="BE249" s="48">
        <f>AC249+SUM($AM249:AQ249)</f>
        <v>70218827.777777776</v>
      </c>
      <c r="BF249" s="48">
        <f>AD249+SUM($AM249:AR249)</f>
        <v>69597422.222222224</v>
      </c>
      <c r="BG249" s="48">
        <f>AE249+SUM($AM249:AS249)</f>
        <v>68976016.666666657</v>
      </c>
      <c r="BH249" s="48">
        <f>AF249+SUM($AM249:AT249)</f>
        <v>68354611.111111104</v>
      </c>
      <c r="BI249" s="48">
        <f>AG249+SUM($AM249:AU249)</f>
        <v>67733205.555555552</v>
      </c>
      <c r="BJ249" s="48">
        <f>AH249+SUM($AM249:AV249)</f>
        <v>67111800</v>
      </c>
      <c r="BK249" s="48">
        <f>AI249+SUM($AM249:AW249)</f>
        <v>66490394.44444444</v>
      </c>
      <c r="BL249" s="48">
        <f>AJ249+SUM($AM249:AX249)</f>
        <v>65868988.888888881</v>
      </c>
      <c r="BM249" s="48">
        <f>AK249+SUM($AM249:AY249)</f>
        <v>65247583.333333328</v>
      </c>
      <c r="BO249" s="47"/>
    </row>
    <row r="250" spans="3:67" s="41" customFormat="1" hidden="1" x14ac:dyDescent="0.3">
      <c r="C250" s="41" t="s">
        <v>1340</v>
      </c>
      <c r="D250" s="42" t="s">
        <v>345</v>
      </c>
      <c r="E250" s="42" t="str">
        <f t="shared" si="10"/>
        <v>211</v>
      </c>
      <c r="F250" s="41" t="str">
        <f>_xlfn.XLOOKUP($D250,MD_Account_Asset_Type[Nhóm tài sản],MD_Account_Asset_Type[Tên Nhóm tài sản])</f>
        <v>Thiết bị, dụng cụ quản lý - SX 627</v>
      </c>
      <c r="G250" s="41" t="str">
        <f>_xlfn.XLOOKUP($D250,MD_Account_Asset_Type[Nhóm tài sản],MD_Account_Asset_Type[Tên nhóm TS-Rút gọn])</f>
        <v>Thiết bị quản lý</v>
      </c>
      <c r="H250" s="41" t="str">
        <f>_xlfn.XLOOKUP($D250,MD_Account_Asset_Type[Nhóm tài sản],MD_Account_Asset_Type[Tên nhóm TS-Rút gọn-v2])</f>
        <v>Thiết bị quản lý</v>
      </c>
      <c r="I250" s="43" t="s">
        <v>1098</v>
      </c>
      <c r="J250" s="42" t="s">
        <v>741</v>
      </c>
      <c r="K250" s="41" t="s">
        <v>830</v>
      </c>
      <c r="L250" s="42" t="s">
        <v>48</v>
      </c>
      <c r="M250" s="42" t="s">
        <v>123</v>
      </c>
      <c r="N250" s="44">
        <v>0</v>
      </c>
      <c r="O250" s="44"/>
      <c r="P250" s="41" t="s">
        <v>464</v>
      </c>
      <c r="Q250" s="41" t="str">
        <f t="shared" si="11"/>
        <v>627</v>
      </c>
      <c r="R250" s="41" t="str">
        <f>_xlfn.XLOOKUP($L250,MD_Cost_Center[Mã Cost Center],MD_Cost_Center[Ngành])</f>
        <v>PET</v>
      </c>
      <c r="S250" s="41" t="str">
        <f>_xlfn.XLOOKUP($L250,MD_Cost_Center[Mã Cost Center],MD_Cost_Center[Ngành-Tách PET-Xơ sợi])</f>
        <v>Chung-PET</v>
      </c>
      <c r="T250" s="45">
        <v>44515</v>
      </c>
      <c r="U250" s="46">
        <v>46341</v>
      </c>
      <c r="V250" s="47">
        <v>120</v>
      </c>
      <c r="W250" s="47">
        <v>53350000</v>
      </c>
      <c r="X250" s="47">
        <v>-127023.81428571428</v>
      </c>
      <c r="Y250" s="47">
        <v>53350000</v>
      </c>
      <c r="Z250" s="47">
        <v>53350000</v>
      </c>
      <c r="AA250" s="47">
        <v>53350000</v>
      </c>
      <c r="AB250" s="47">
        <v>53350000</v>
      </c>
      <c r="AC250" s="47">
        <v>53350000</v>
      </c>
      <c r="AD250" s="47">
        <v>53350000</v>
      </c>
      <c r="AE250" s="47">
        <v>53350000</v>
      </c>
      <c r="AF250" s="47">
        <v>53350000</v>
      </c>
      <c r="AG250" s="47">
        <v>53350000</v>
      </c>
      <c r="AH250" s="47">
        <v>53350000</v>
      </c>
      <c r="AI250" s="47">
        <v>53350000</v>
      </c>
      <c r="AJ250" s="47">
        <v>53350000</v>
      </c>
      <c r="AK250" s="47">
        <v>53350000</v>
      </c>
      <c r="AL250" s="47">
        <v>-10670000</v>
      </c>
      <c r="AM250" s="47">
        <v>-44458333</v>
      </c>
      <c r="AN250" s="47">
        <v>-127023.81428571428</v>
      </c>
      <c r="AO250" s="47">
        <v>-127023.81428571428</v>
      </c>
      <c r="AP250" s="47">
        <v>-127023.81428571428</v>
      </c>
      <c r="AQ250" s="47">
        <v>-127023.81428571428</v>
      </c>
      <c r="AR250" s="47">
        <v>-127023.81428571428</v>
      </c>
      <c r="AS250" s="47">
        <v>-127023.81428571428</v>
      </c>
      <c r="AT250" s="47">
        <v>-127023.81428571428</v>
      </c>
      <c r="AU250" s="47">
        <v>-127023.81428571428</v>
      </c>
      <c r="AV250" s="47">
        <v>-127023.81428571428</v>
      </c>
      <c r="AW250" s="47">
        <v>-127023.81428571428</v>
      </c>
      <c r="AX250" s="47">
        <v>-127023.81428571428</v>
      </c>
      <c r="AY250" s="47">
        <v>-127023.81428571428</v>
      </c>
      <c r="AZ250" s="58">
        <f t="shared" si="12"/>
        <v>-1524285.7714285711</v>
      </c>
      <c r="BA250" s="47">
        <f>Y250+SUM($AM250:AM250)</f>
        <v>8891667</v>
      </c>
      <c r="BB250" s="48">
        <f>Z250+SUM($AM250:AN250)</f>
        <v>8764643.1857142821</v>
      </c>
      <c r="BC250" s="48">
        <f>AA250+SUM($AM250:AO250)</f>
        <v>8637619.3714285642</v>
      </c>
      <c r="BD250" s="48">
        <f>AB250+SUM($AM250:AP250)</f>
        <v>8510595.5571428463</v>
      </c>
      <c r="BE250" s="48">
        <f>AC250+SUM($AM250:AQ250)</f>
        <v>8383571.7428571284</v>
      </c>
      <c r="BF250" s="48">
        <f>AD250+SUM($AM250:AR250)</f>
        <v>8256547.9285714105</v>
      </c>
      <c r="BG250" s="48">
        <f>AE250+SUM($AM250:AS250)</f>
        <v>8129524.1142856926</v>
      </c>
      <c r="BH250" s="48">
        <f>AF250+SUM($AM250:AT250)</f>
        <v>8002500.2999999747</v>
      </c>
      <c r="BI250" s="48">
        <f>AG250+SUM($AM250:AU250)</f>
        <v>7875476.4857142568</v>
      </c>
      <c r="BJ250" s="48">
        <f>AH250+SUM($AM250:AV250)</f>
        <v>7748452.6714285389</v>
      </c>
      <c r="BK250" s="48">
        <f>AI250+SUM($AM250:AW250)</f>
        <v>7621428.857142821</v>
      </c>
      <c r="BL250" s="48">
        <f>AJ250+SUM($AM250:AX250)</f>
        <v>7494405.042857103</v>
      </c>
      <c r="BM250" s="48">
        <f>AK250+SUM($AM250:AY250)</f>
        <v>7367381.2285713851</v>
      </c>
      <c r="BO250" s="47"/>
    </row>
    <row r="251" spans="3:67" s="41" customFormat="1" hidden="1" x14ac:dyDescent="0.3">
      <c r="C251" s="41" t="s">
        <v>1340</v>
      </c>
      <c r="D251" s="42" t="s">
        <v>345</v>
      </c>
      <c r="E251" s="42" t="str">
        <f t="shared" si="10"/>
        <v>211</v>
      </c>
      <c r="F251" s="41" t="str">
        <f>_xlfn.XLOOKUP($D251,MD_Account_Asset_Type[Nhóm tài sản],MD_Account_Asset_Type[Tên Nhóm tài sản])</f>
        <v>Thiết bị, dụng cụ quản lý - SX 627</v>
      </c>
      <c r="G251" s="41" t="str">
        <f>_xlfn.XLOOKUP($D251,MD_Account_Asset_Type[Nhóm tài sản],MD_Account_Asset_Type[Tên nhóm TS-Rút gọn])</f>
        <v>Thiết bị quản lý</v>
      </c>
      <c r="H251" s="41" t="str">
        <f>_xlfn.XLOOKUP($D251,MD_Account_Asset_Type[Nhóm tài sản],MD_Account_Asset_Type[Tên nhóm TS-Rút gọn-v2])</f>
        <v>Thiết bị quản lý</v>
      </c>
      <c r="I251" s="43" t="s">
        <v>1101</v>
      </c>
      <c r="J251" s="42" t="s">
        <v>742</v>
      </c>
      <c r="K251" s="41" t="s">
        <v>830</v>
      </c>
      <c r="L251" s="42" t="s">
        <v>46</v>
      </c>
      <c r="M251" s="42" t="s">
        <v>121</v>
      </c>
      <c r="N251" s="44">
        <v>0</v>
      </c>
      <c r="O251" s="44"/>
      <c r="P251" s="41" t="s">
        <v>464</v>
      </c>
      <c r="Q251" s="41" t="str">
        <f t="shared" si="11"/>
        <v>627</v>
      </c>
      <c r="R251" s="41" t="str">
        <f>_xlfn.XLOOKUP($L251,MD_Cost_Center[Mã Cost Center],MD_Cost_Center[Ngành])</f>
        <v>Chung</v>
      </c>
      <c r="S251" s="41" t="str">
        <f>_xlfn.XLOOKUP($L251,MD_Cost_Center[Mã Cost Center],MD_Cost_Center[Ngành-Tách PET-Xơ sợi])</f>
        <v>Chung</v>
      </c>
      <c r="T251" s="45">
        <v>45231</v>
      </c>
      <c r="U251" s="46">
        <v>47058</v>
      </c>
      <c r="V251" s="47">
        <v>120</v>
      </c>
      <c r="W251" s="47">
        <v>110912800</v>
      </c>
      <c r="X251" s="47">
        <v>-668623.26595744677</v>
      </c>
      <c r="Y251" s="47">
        <v>110912800</v>
      </c>
      <c r="Z251" s="47">
        <v>110912800</v>
      </c>
      <c r="AA251" s="47">
        <v>110912800</v>
      </c>
      <c r="AB251" s="47">
        <v>110912800</v>
      </c>
      <c r="AC251" s="47">
        <v>110912800</v>
      </c>
      <c r="AD251" s="47">
        <v>110912800</v>
      </c>
      <c r="AE251" s="47">
        <v>110912800</v>
      </c>
      <c r="AF251" s="47">
        <v>110912800</v>
      </c>
      <c r="AG251" s="47">
        <v>110912800</v>
      </c>
      <c r="AH251" s="47">
        <v>110912800</v>
      </c>
      <c r="AI251" s="47">
        <v>110912800</v>
      </c>
      <c r="AJ251" s="47">
        <v>110912800</v>
      </c>
      <c r="AK251" s="47">
        <v>110912800</v>
      </c>
      <c r="AL251" s="47">
        <v>-22182560</v>
      </c>
      <c r="AM251" s="47">
        <v>-48062213</v>
      </c>
      <c r="AN251" s="47">
        <v>-668623.26595744677</v>
      </c>
      <c r="AO251" s="47">
        <v>-668623.26595744677</v>
      </c>
      <c r="AP251" s="47">
        <v>-668623.26595744677</v>
      </c>
      <c r="AQ251" s="47">
        <v>-668623.26595744677</v>
      </c>
      <c r="AR251" s="47">
        <v>-668623.26595744677</v>
      </c>
      <c r="AS251" s="47">
        <v>-668623.26595744677</v>
      </c>
      <c r="AT251" s="47">
        <v>-668623.26595744677</v>
      </c>
      <c r="AU251" s="47">
        <v>-668623.26595744677</v>
      </c>
      <c r="AV251" s="47">
        <v>-668623.26595744677</v>
      </c>
      <c r="AW251" s="47">
        <v>-668623.26595744677</v>
      </c>
      <c r="AX251" s="47">
        <v>-668623.26595744677</v>
      </c>
      <c r="AY251" s="47">
        <v>-668623.26595744677</v>
      </c>
      <c r="AZ251" s="58">
        <f t="shared" si="12"/>
        <v>-8023479.1914893612</v>
      </c>
      <c r="BA251" s="47">
        <f>Y251+SUM($AM251:AM251)</f>
        <v>62850587</v>
      </c>
      <c r="BB251" s="48">
        <f>Z251+SUM($AM251:AN251)</f>
        <v>62181963.734042555</v>
      </c>
      <c r="BC251" s="48">
        <f>AA251+SUM($AM251:AO251)</f>
        <v>61513340.46808511</v>
      </c>
      <c r="BD251" s="48">
        <f>AB251+SUM($AM251:AP251)</f>
        <v>60844717.202127665</v>
      </c>
      <c r="BE251" s="48">
        <f>AC251+SUM($AM251:AQ251)</f>
        <v>60176093.93617022</v>
      </c>
      <c r="BF251" s="48">
        <f>AD251+SUM($AM251:AR251)</f>
        <v>59507470.670212775</v>
      </c>
      <c r="BG251" s="48">
        <f>AE251+SUM($AM251:AS251)</f>
        <v>58838847.404255331</v>
      </c>
      <c r="BH251" s="48">
        <f>AF251+SUM($AM251:AT251)</f>
        <v>58170224.138297886</v>
      </c>
      <c r="BI251" s="48">
        <f>AG251+SUM($AM251:AU251)</f>
        <v>57501600.872340441</v>
      </c>
      <c r="BJ251" s="48">
        <f>AH251+SUM($AM251:AV251)</f>
        <v>56832977.606382996</v>
      </c>
      <c r="BK251" s="48">
        <f>AI251+SUM($AM251:AW251)</f>
        <v>56164354.340425551</v>
      </c>
      <c r="BL251" s="48">
        <f>AJ251+SUM($AM251:AX251)</f>
        <v>55495731.074468106</v>
      </c>
      <c r="BM251" s="48">
        <f>AK251+SUM($AM251:AY251)</f>
        <v>54827107.808510661</v>
      </c>
      <c r="BO251" s="47"/>
    </row>
    <row r="252" spans="3:67" s="41" customFormat="1" hidden="1" x14ac:dyDescent="0.3">
      <c r="C252" s="41" t="s">
        <v>1340</v>
      </c>
      <c r="D252" s="42" t="s">
        <v>345</v>
      </c>
      <c r="E252" s="42" t="str">
        <f t="shared" si="10"/>
        <v>211</v>
      </c>
      <c r="F252" s="41" t="str">
        <f>_xlfn.XLOOKUP($D252,MD_Account_Asset_Type[Nhóm tài sản],MD_Account_Asset_Type[Tên Nhóm tài sản])</f>
        <v>Thiết bị, dụng cụ quản lý - SX 627</v>
      </c>
      <c r="G252" s="41" t="str">
        <f>_xlfn.XLOOKUP($D252,MD_Account_Asset_Type[Nhóm tài sản],MD_Account_Asset_Type[Tên nhóm TS-Rút gọn])</f>
        <v>Thiết bị quản lý</v>
      </c>
      <c r="H252" s="41" t="str">
        <f>_xlfn.XLOOKUP($D252,MD_Account_Asset_Type[Nhóm tài sản],MD_Account_Asset_Type[Tên nhóm TS-Rút gọn-v2])</f>
        <v>Thiết bị quản lý</v>
      </c>
      <c r="I252" s="43" t="s">
        <v>1102</v>
      </c>
      <c r="J252" s="42" t="s">
        <v>743</v>
      </c>
      <c r="K252" s="41" t="s">
        <v>502</v>
      </c>
      <c r="L252" s="42" t="s">
        <v>45</v>
      </c>
      <c r="M252" s="42" t="s">
        <v>120</v>
      </c>
      <c r="N252" s="44">
        <v>0</v>
      </c>
      <c r="O252" s="44"/>
      <c r="P252" s="41" t="s">
        <v>464</v>
      </c>
      <c r="Q252" s="41" t="str">
        <f t="shared" si="11"/>
        <v>627</v>
      </c>
      <c r="R252" s="41" t="str">
        <f>_xlfn.XLOOKUP($L252,MD_Cost_Center[Mã Cost Center],MD_Cost_Center[Ngành])</f>
        <v>Chung</v>
      </c>
      <c r="S252" s="41" t="str">
        <f>_xlfn.XLOOKUP($L252,MD_Cost_Center[Mã Cost Center],MD_Cost_Center[Ngành-Tách PET-Xơ sợi])</f>
        <v>Chung</v>
      </c>
      <c r="T252" s="45">
        <v>45566</v>
      </c>
      <c r="U252" s="46">
        <v>46661</v>
      </c>
      <c r="V252" s="47">
        <v>120</v>
      </c>
      <c r="W252" s="47">
        <v>49000000</v>
      </c>
      <c r="X252" s="47">
        <v>-272222.22857142857</v>
      </c>
      <c r="Y252" s="47">
        <v>49000000</v>
      </c>
      <c r="Z252" s="47">
        <v>49000000</v>
      </c>
      <c r="AA252" s="47">
        <v>49000000</v>
      </c>
      <c r="AB252" s="47">
        <v>49000000</v>
      </c>
      <c r="AC252" s="47">
        <v>49000000</v>
      </c>
      <c r="AD252" s="47">
        <v>49000000</v>
      </c>
      <c r="AE252" s="47">
        <v>49000000</v>
      </c>
      <c r="AF252" s="47">
        <v>49000000</v>
      </c>
      <c r="AG252" s="47">
        <v>49000000</v>
      </c>
      <c r="AH252" s="47">
        <v>49000000</v>
      </c>
      <c r="AI252" s="47">
        <v>49000000</v>
      </c>
      <c r="AJ252" s="47">
        <v>49000000</v>
      </c>
      <c r="AK252" s="47">
        <v>49000000</v>
      </c>
      <c r="AL252" s="47">
        <v>-16333333</v>
      </c>
      <c r="AM252" s="47">
        <v>-20416666</v>
      </c>
      <c r="AN252" s="47">
        <v>-272222.22857142857</v>
      </c>
      <c r="AO252" s="47">
        <v>-272222.22857142857</v>
      </c>
      <c r="AP252" s="47">
        <v>-272222.22857142857</v>
      </c>
      <c r="AQ252" s="47">
        <v>-272222.22857142857</v>
      </c>
      <c r="AR252" s="47">
        <v>-272222.22857142857</v>
      </c>
      <c r="AS252" s="47">
        <v>-272222.22857142857</v>
      </c>
      <c r="AT252" s="47">
        <v>-272222.22857142857</v>
      </c>
      <c r="AU252" s="47">
        <v>-272222.22857142857</v>
      </c>
      <c r="AV252" s="47">
        <v>-272222.22857142857</v>
      </c>
      <c r="AW252" s="47">
        <v>-272222.22857142857</v>
      </c>
      <c r="AX252" s="47">
        <v>-272222.22857142857</v>
      </c>
      <c r="AY252" s="47">
        <v>-272222.22857142857</v>
      </c>
      <c r="AZ252" s="58">
        <f t="shared" si="12"/>
        <v>-3266666.7428571419</v>
      </c>
      <c r="BA252" s="47">
        <f>Y252+SUM($AM252:AM252)</f>
        <v>28583334</v>
      </c>
      <c r="BB252" s="48">
        <f>Z252+SUM($AM252:AN252)</f>
        <v>28311111.77142857</v>
      </c>
      <c r="BC252" s="48">
        <f>AA252+SUM($AM252:AO252)</f>
        <v>28038889.54285714</v>
      </c>
      <c r="BD252" s="48">
        <f>AB252+SUM($AM252:AP252)</f>
        <v>27766667.31428571</v>
      </c>
      <c r="BE252" s="48">
        <f>AC252+SUM($AM252:AQ252)</f>
        <v>27494445.085714281</v>
      </c>
      <c r="BF252" s="48">
        <f>AD252+SUM($AM252:AR252)</f>
        <v>27222222.857142851</v>
      </c>
      <c r="BG252" s="48">
        <f>AE252+SUM($AM252:AS252)</f>
        <v>26950000.628571421</v>
      </c>
      <c r="BH252" s="48">
        <f>AF252+SUM($AM252:AT252)</f>
        <v>26677778.399999991</v>
      </c>
      <c r="BI252" s="48">
        <f>AG252+SUM($AM252:AU252)</f>
        <v>26405556.171428561</v>
      </c>
      <c r="BJ252" s="48">
        <f>AH252+SUM($AM252:AV252)</f>
        <v>26133333.942857131</v>
      </c>
      <c r="BK252" s="48">
        <f>AI252+SUM($AM252:AW252)</f>
        <v>25861111.714285702</v>
      </c>
      <c r="BL252" s="48">
        <f>AJ252+SUM($AM252:AX252)</f>
        <v>25588889.485714272</v>
      </c>
      <c r="BM252" s="48">
        <f>AK252+SUM($AM252:AY252)</f>
        <v>25316667.257142842</v>
      </c>
      <c r="BO252" s="47"/>
    </row>
    <row r="253" spans="3:67" s="41" customFormat="1" hidden="1" x14ac:dyDescent="0.3">
      <c r="C253" s="41" t="s">
        <v>1340</v>
      </c>
      <c r="D253" s="42" t="s">
        <v>345</v>
      </c>
      <c r="E253" s="42" t="str">
        <f t="shared" si="10"/>
        <v>211</v>
      </c>
      <c r="F253" s="41" t="str">
        <f>_xlfn.XLOOKUP($D253,MD_Account_Asset_Type[Nhóm tài sản],MD_Account_Asset_Type[Tên Nhóm tài sản])</f>
        <v>Thiết bị, dụng cụ quản lý - SX 627</v>
      </c>
      <c r="G253" s="41" t="str">
        <f>_xlfn.XLOOKUP($D253,MD_Account_Asset_Type[Nhóm tài sản],MD_Account_Asset_Type[Tên nhóm TS-Rút gọn])</f>
        <v>Thiết bị quản lý</v>
      </c>
      <c r="H253" s="41" t="str">
        <f>_xlfn.XLOOKUP($D253,MD_Account_Asset_Type[Nhóm tài sản],MD_Account_Asset_Type[Tên nhóm TS-Rút gọn-v2])</f>
        <v>Thiết bị quản lý</v>
      </c>
      <c r="I253" s="43" t="s">
        <v>1103</v>
      </c>
      <c r="J253" s="42" t="s">
        <v>744</v>
      </c>
      <c r="K253" s="41" t="s">
        <v>830</v>
      </c>
      <c r="L253" s="42" t="s">
        <v>48</v>
      </c>
      <c r="M253" s="42" t="s">
        <v>123</v>
      </c>
      <c r="N253" s="44">
        <v>0</v>
      </c>
      <c r="O253" s="44"/>
      <c r="P253" s="41" t="s">
        <v>464</v>
      </c>
      <c r="Q253" s="41" t="str">
        <f t="shared" si="11"/>
        <v>627</v>
      </c>
      <c r="R253" s="41" t="str">
        <f>_xlfn.XLOOKUP($L253,MD_Cost_Center[Mã Cost Center],MD_Cost_Center[Ngành])</f>
        <v>PET</v>
      </c>
      <c r="S253" s="41" t="str">
        <f>_xlfn.XLOOKUP($L253,MD_Cost_Center[Mã Cost Center],MD_Cost_Center[Ngành-Tách PET-Xơ sợi])</f>
        <v>Chung-PET</v>
      </c>
      <c r="T253" s="45">
        <v>45627</v>
      </c>
      <c r="U253" s="46">
        <v>46722</v>
      </c>
      <c r="V253" s="47">
        <v>120</v>
      </c>
      <c r="W253" s="47">
        <v>85000000</v>
      </c>
      <c r="X253" s="47">
        <v>-507528.56074766355</v>
      </c>
      <c r="Y253" s="47">
        <v>85000000</v>
      </c>
      <c r="Z253" s="47">
        <v>85000000</v>
      </c>
      <c r="AA253" s="47">
        <v>85000000</v>
      </c>
      <c r="AB253" s="47">
        <v>85000000</v>
      </c>
      <c r="AC253" s="47">
        <v>85000000</v>
      </c>
      <c r="AD253" s="47">
        <v>85000000</v>
      </c>
      <c r="AE253" s="47">
        <v>85000000</v>
      </c>
      <c r="AF253" s="47">
        <v>85000000</v>
      </c>
      <c r="AG253" s="47">
        <v>85000000</v>
      </c>
      <c r="AH253" s="47">
        <v>85000000</v>
      </c>
      <c r="AI253" s="47">
        <v>85000000</v>
      </c>
      <c r="AJ253" s="47">
        <v>85000000</v>
      </c>
      <c r="AK253" s="47">
        <v>85000000</v>
      </c>
      <c r="AL253" s="47">
        <v>-28333333</v>
      </c>
      <c r="AM253" s="47">
        <v>-30694444</v>
      </c>
      <c r="AN253" s="47">
        <v>-507528.56074766355</v>
      </c>
      <c r="AO253" s="47">
        <v>-507528.56074766355</v>
      </c>
      <c r="AP253" s="47">
        <v>-507528.56074766355</v>
      </c>
      <c r="AQ253" s="47">
        <v>-507528.56074766355</v>
      </c>
      <c r="AR253" s="47">
        <v>-507528.56074766355</v>
      </c>
      <c r="AS253" s="47">
        <v>-507528.56074766355</v>
      </c>
      <c r="AT253" s="47">
        <v>-507528.56074766355</v>
      </c>
      <c r="AU253" s="47">
        <v>-507528.56074766355</v>
      </c>
      <c r="AV253" s="47">
        <v>-507528.56074766355</v>
      </c>
      <c r="AW253" s="47">
        <v>-507528.56074766355</v>
      </c>
      <c r="AX253" s="47">
        <v>-507528.56074766355</v>
      </c>
      <c r="AY253" s="47">
        <v>-507528.56074766355</v>
      </c>
      <c r="AZ253" s="58">
        <f t="shared" si="12"/>
        <v>-6090342.7289719628</v>
      </c>
      <c r="BA253" s="47">
        <f>Y253+SUM($AM253:AM253)</f>
        <v>54305556</v>
      </c>
      <c r="BB253" s="48">
        <f>Z253+SUM($AM253:AN253)</f>
        <v>53798027.439252332</v>
      </c>
      <c r="BC253" s="48">
        <f>AA253+SUM($AM253:AO253)</f>
        <v>53290498.878504671</v>
      </c>
      <c r="BD253" s="48">
        <f>AB253+SUM($AM253:AP253)</f>
        <v>52782970.31775701</v>
      </c>
      <c r="BE253" s="48">
        <f>AC253+SUM($AM253:AQ253)</f>
        <v>52275441.757009342</v>
      </c>
      <c r="BF253" s="48">
        <f>AD253+SUM($AM253:AR253)</f>
        <v>51767913.196261674</v>
      </c>
      <c r="BG253" s="48">
        <f>AE253+SUM($AM253:AS253)</f>
        <v>51260384.635514013</v>
      </c>
      <c r="BH253" s="48">
        <f>AF253+SUM($AM253:AT253)</f>
        <v>50752856.074766353</v>
      </c>
      <c r="BI253" s="48">
        <f>AG253+SUM($AM253:AU253)</f>
        <v>50245327.514018692</v>
      </c>
      <c r="BJ253" s="48">
        <f>AH253+SUM($AM253:AV253)</f>
        <v>49737798.953271031</v>
      </c>
      <c r="BK253" s="48">
        <f>AI253+SUM($AM253:AW253)</f>
        <v>49230270.392523371</v>
      </c>
      <c r="BL253" s="48">
        <f>AJ253+SUM($AM253:AX253)</f>
        <v>48722741.83177571</v>
      </c>
      <c r="BM253" s="48">
        <f>AK253+SUM($AM253:AY253)</f>
        <v>48215213.271028049</v>
      </c>
      <c r="BO253" s="47"/>
    </row>
    <row r="254" spans="3:67" s="41" customFormat="1" hidden="1" x14ac:dyDescent="0.3">
      <c r="C254" s="41" t="s">
        <v>1340</v>
      </c>
      <c r="D254" s="42" t="s">
        <v>345</v>
      </c>
      <c r="E254" s="42" t="str">
        <f t="shared" si="10"/>
        <v>211</v>
      </c>
      <c r="F254" s="41" t="str">
        <f>_xlfn.XLOOKUP($D254,MD_Account_Asset_Type[Nhóm tài sản],MD_Account_Asset_Type[Tên Nhóm tài sản])</f>
        <v>Thiết bị, dụng cụ quản lý - SX 627</v>
      </c>
      <c r="G254" s="41" t="str">
        <f>_xlfn.XLOOKUP($D254,MD_Account_Asset_Type[Nhóm tài sản],MD_Account_Asset_Type[Tên nhóm TS-Rút gọn])</f>
        <v>Thiết bị quản lý</v>
      </c>
      <c r="H254" s="41" t="str">
        <f>_xlfn.XLOOKUP($D254,MD_Account_Asset_Type[Nhóm tài sản],MD_Account_Asset_Type[Tên nhóm TS-Rút gọn-v2])</f>
        <v>Thiết bị quản lý</v>
      </c>
      <c r="I254" s="43" t="s">
        <v>1104</v>
      </c>
      <c r="J254" s="42" t="s">
        <v>745</v>
      </c>
      <c r="K254" s="41" t="s">
        <v>830</v>
      </c>
      <c r="L254" s="42" t="s">
        <v>90</v>
      </c>
      <c r="M254" s="42" t="s">
        <v>165</v>
      </c>
      <c r="N254" s="44">
        <v>0</v>
      </c>
      <c r="O254" s="44"/>
      <c r="P254" s="41" t="s">
        <v>464</v>
      </c>
      <c r="Q254" s="41" t="str">
        <f t="shared" si="11"/>
        <v>627</v>
      </c>
      <c r="R254" s="41" t="str">
        <f>_xlfn.XLOOKUP($L254,MD_Cost_Center[Mã Cost Center],MD_Cost_Center[Ngành])</f>
        <v>HD/PP</v>
      </c>
      <c r="S254" s="41" t="str">
        <f>_xlfn.XLOOKUP($L254,MD_Cost_Center[Mã Cost Center],MD_Cost_Center[Ngành-Tách PET-Xơ sợi])</f>
        <v>HD/PP</v>
      </c>
      <c r="T254" s="45">
        <v>45689</v>
      </c>
      <c r="U254" s="46">
        <v>47635</v>
      </c>
      <c r="V254" s="47">
        <v>120</v>
      </c>
      <c r="W254" s="47">
        <v>34221000</v>
      </c>
      <c r="X254" s="47">
        <v>-271460.28947368421</v>
      </c>
      <c r="Y254" s="47">
        <v>34221000</v>
      </c>
      <c r="Z254" s="47">
        <v>34221000</v>
      </c>
      <c r="AA254" s="47">
        <v>34221000</v>
      </c>
      <c r="AB254" s="47">
        <v>34221000</v>
      </c>
      <c r="AC254" s="47">
        <v>34221000</v>
      </c>
      <c r="AD254" s="47">
        <v>34221000</v>
      </c>
      <c r="AE254" s="47">
        <v>34221000</v>
      </c>
      <c r="AF254" s="47">
        <v>34221000</v>
      </c>
      <c r="AG254" s="47">
        <v>34221000</v>
      </c>
      <c r="AH254" s="47">
        <v>34221000</v>
      </c>
      <c r="AI254" s="47">
        <v>34221000</v>
      </c>
      <c r="AJ254" s="47">
        <v>34221000</v>
      </c>
      <c r="AK254" s="47">
        <v>34221000</v>
      </c>
      <c r="AL254" s="47">
        <v>-3274527</v>
      </c>
      <c r="AM254" s="47">
        <v>-3274527</v>
      </c>
      <c r="AN254" s="47">
        <v>-271460.28947368421</v>
      </c>
      <c r="AO254" s="47">
        <v>-271460.28947368421</v>
      </c>
      <c r="AP254" s="47">
        <v>-271460.28947368421</v>
      </c>
      <c r="AQ254" s="47">
        <v>-271460.28947368421</v>
      </c>
      <c r="AR254" s="47">
        <v>-271460.28947368421</v>
      </c>
      <c r="AS254" s="47">
        <v>-271460.28947368421</v>
      </c>
      <c r="AT254" s="47">
        <v>-271460.28947368421</v>
      </c>
      <c r="AU254" s="47">
        <v>-271460.28947368421</v>
      </c>
      <c r="AV254" s="47">
        <v>-271460.28947368421</v>
      </c>
      <c r="AW254" s="47">
        <v>-271460.28947368421</v>
      </c>
      <c r="AX254" s="47">
        <v>-271460.28947368421</v>
      </c>
      <c r="AY254" s="47">
        <v>-271460.28947368421</v>
      </c>
      <c r="AZ254" s="58">
        <f t="shared" si="12"/>
        <v>-3257523.4736842099</v>
      </c>
      <c r="BA254" s="47">
        <f>Y254+SUM($AM254:AM254)</f>
        <v>30946473</v>
      </c>
      <c r="BB254" s="48">
        <f>Z254+SUM($AM254:AN254)</f>
        <v>30675012.710526317</v>
      </c>
      <c r="BC254" s="48">
        <f>AA254+SUM($AM254:AO254)</f>
        <v>30403552.421052631</v>
      </c>
      <c r="BD254" s="48">
        <f>AB254+SUM($AM254:AP254)</f>
        <v>30132092.131578948</v>
      </c>
      <c r="BE254" s="48">
        <f>AC254+SUM($AM254:AQ254)</f>
        <v>29860631.842105262</v>
      </c>
      <c r="BF254" s="48">
        <f>AD254+SUM($AM254:AR254)</f>
        <v>29589171.552631579</v>
      </c>
      <c r="BG254" s="48">
        <f>AE254+SUM($AM254:AS254)</f>
        <v>29317711.263157897</v>
      </c>
      <c r="BH254" s="48">
        <f>AF254+SUM($AM254:AT254)</f>
        <v>29046250.97368421</v>
      </c>
      <c r="BI254" s="48">
        <f>AG254+SUM($AM254:AU254)</f>
        <v>28774790.684210524</v>
      </c>
      <c r="BJ254" s="48">
        <f>AH254+SUM($AM254:AV254)</f>
        <v>28503330.394736841</v>
      </c>
      <c r="BK254" s="48">
        <f>AI254+SUM($AM254:AW254)</f>
        <v>28231870.105263159</v>
      </c>
      <c r="BL254" s="48">
        <f>AJ254+SUM($AM254:AX254)</f>
        <v>27960409.815789472</v>
      </c>
      <c r="BM254" s="48">
        <f>AK254+SUM($AM254:AY254)</f>
        <v>27688949.526315786</v>
      </c>
      <c r="BO254" s="47"/>
    </row>
    <row r="255" spans="3:67" s="41" customFormat="1" hidden="1" x14ac:dyDescent="0.3">
      <c r="C255" s="41" t="s">
        <v>1340</v>
      </c>
      <c r="D255" s="42" t="s">
        <v>345</v>
      </c>
      <c r="E255" s="42" t="str">
        <f t="shared" si="10"/>
        <v>211</v>
      </c>
      <c r="F255" s="41" t="str">
        <f>_xlfn.XLOOKUP($D255,MD_Account_Asset_Type[Nhóm tài sản],MD_Account_Asset_Type[Tên Nhóm tài sản])</f>
        <v>Thiết bị, dụng cụ quản lý - SX 627</v>
      </c>
      <c r="G255" s="41" t="str">
        <f>_xlfn.XLOOKUP($D255,MD_Account_Asset_Type[Nhóm tài sản],MD_Account_Asset_Type[Tên nhóm TS-Rút gọn])</f>
        <v>Thiết bị quản lý</v>
      </c>
      <c r="H255" s="41" t="str">
        <f>_xlfn.XLOOKUP($D255,MD_Account_Asset_Type[Nhóm tài sản],MD_Account_Asset_Type[Tên nhóm TS-Rút gọn-v2])</f>
        <v>Thiết bị quản lý</v>
      </c>
      <c r="I255" s="43" t="s">
        <v>1105</v>
      </c>
      <c r="J255" s="42" t="s">
        <v>746</v>
      </c>
      <c r="K255" s="41" t="s">
        <v>830</v>
      </c>
      <c r="L255" s="42" t="s">
        <v>48</v>
      </c>
      <c r="M255" s="42" t="s">
        <v>123</v>
      </c>
      <c r="N255" s="44">
        <v>0</v>
      </c>
      <c r="O255" s="44"/>
      <c r="P255" s="41" t="s">
        <v>464</v>
      </c>
      <c r="Q255" s="41" t="str">
        <f t="shared" si="11"/>
        <v>627</v>
      </c>
      <c r="R255" s="41" t="str">
        <f>_xlfn.XLOOKUP($L255,MD_Cost_Center[Mã Cost Center],MD_Cost_Center[Ngành])</f>
        <v>PET</v>
      </c>
      <c r="S255" s="41" t="str">
        <f>_xlfn.XLOOKUP($L255,MD_Cost_Center[Mã Cost Center],MD_Cost_Center[Ngành-Tách PET-Xơ sợi])</f>
        <v>Chung-PET</v>
      </c>
      <c r="T255" s="45">
        <v>45901</v>
      </c>
      <c r="U255" s="46">
        <v>47727</v>
      </c>
      <c r="V255" s="47">
        <v>120</v>
      </c>
      <c r="W255" s="47">
        <v>162458000</v>
      </c>
      <c r="X255" s="47">
        <v>-1307133.3362068965</v>
      </c>
      <c r="Y255" s="47">
        <v>162458000</v>
      </c>
      <c r="Z255" s="47">
        <v>162458000</v>
      </c>
      <c r="AA255" s="47">
        <v>162458000</v>
      </c>
      <c r="AB255" s="47">
        <v>162458000</v>
      </c>
      <c r="AC255" s="47">
        <v>162458000</v>
      </c>
      <c r="AD255" s="47">
        <v>162458000</v>
      </c>
      <c r="AE255" s="47">
        <v>162458000</v>
      </c>
      <c r="AF255" s="47">
        <v>162458000</v>
      </c>
      <c r="AG255" s="47">
        <v>162458000</v>
      </c>
      <c r="AH255" s="47">
        <v>162458000</v>
      </c>
      <c r="AI255" s="47">
        <v>162458000</v>
      </c>
      <c r="AJ255" s="47">
        <v>162458000</v>
      </c>
      <c r="AK255" s="47">
        <v>162458000</v>
      </c>
      <c r="AL255" s="47">
        <v>-10830533</v>
      </c>
      <c r="AM255" s="47">
        <v>-10830533</v>
      </c>
      <c r="AN255" s="47">
        <v>-1307133.3362068965</v>
      </c>
      <c r="AO255" s="47">
        <v>-1307133.3362068965</v>
      </c>
      <c r="AP255" s="47">
        <v>-1307133.3362068965</v>
      </c>
      <c r="AQ255" s="47">
        <v>-1307133.3362068965</v>
      </c>
      <c r="AR255" s="47">
        <v>-1307133.3362068965</v>
      </c>
      <c r="AS255" s="47">
        <v>-1307133.3362068965</v>
      </c>
      <c r="AT255" s="47">
        <v>-1307133.3362068965</v>
      </c>
      <c r="AU255" s="47">
        <v>-1307133.3362068965</v>
      </c>
      <c r="AV255" s="47">
        <v>-1307133.3362068965</v>
      </c>
      <c r="AW255" s="47">
        <v>-1307133.3362068965</v>
      </c>
      <c r="AX255" s="47">
        <v>-1307133.3362068965</v>
      </c>
      <c r="AY255" s="47">
        <v>-1307133.3362068965</v>
      </c>
      <c r="AZ255" s="58">
        <f t="shared" si="12"/>
        <v>-15685600.034482757</v>
      </c>
      <c r="BA255" s="47">
        <f>Y255+SUM($AM255:AM255)</f>
        <v>151627467</v>
      </c>
      <c r="BB255" s="48">
        <f>Z255+SUM($AM255:AN255)</f>
        <v>150320333.66379312</v>
      </c>
      <c r="BC255" s="48">
        <f>AA255+SUM($AM255:AO255)</f>
        <v>149013200.3275862</v>
      </c>
      <c r="BD255" s="48">
        <f>AB255+SUM($AM255:AP255)</f>
        <v>147706066.99137932</v>
      </c>
      <c r="BE255" s="48">
        <f>AC255+SUM($AM255:AQ255)</f>
        <v>146398933.65517241</v>
      </c>
      <c r="BF255" s="48">
        <f>AD255+SUM($AM255:AR255)</f>
        <v>145091800.31896552</v>
      </c>
      <c r="BG255" s="48">
        <f>AE255+SUM($AM255:AS255)</f>
        <v>143784666.98275861</v>
      </c>
      <c r="BH255" s="48">
        <f>AF255+SUM($AM255:AT255)</f>
        <v>142477533.64655173</v>
      </c>
      <c r="BI255" s="48">
        <f>AG255+SUM($AM255:AU255)</f>
        <v>141170400.31034482</v>
      </c>
      <c r="BJ255" s="48">
        <f>AH255+SUM($AM255:AV255)</f>
        <v>139863266.97413793</v>
      </c>
      <c r="BK255" s="48">
        <f>AI255+SUM($AM255:AW255)</f>
        <v>138556133.63793102</v>
      </c>
      <c r="BL255" s="48">
        <f>AJ255+SUM($AM255:AX255)</f>
        <v>137249000.30172414</v>
      </c>
      <c r="BM255" s="48">
        <f>AK255+SUM($AM255:AY255)</f>
        <v>135941866.96551722</v>
      </c>
      <c r="BO255" s="47"/>
    </row>
    <row r="256" spans="3:67" s="41" customFormat="1" hidden="1" x14ac:dyDescent="0.3">
      <c r="C256" s="41" t="s">
        <v>1340</v>
      </c>
      <c r="D256" s="42" t="s">
        <v>348</v>
      </c>
      <c r="E256" s="42" t="str">
        <f t="shared" si="10"/>
        <v>211</v>
      </c>
      <c r="F256" s="41" t="str">
        <f>_xlfn.XLOOKUP($D256,MD_Account_Asset_Type[Nhóm tài sản],MD_Account_Asset_Type[Tên Nhóm tài sản])</f>
        <v>Cây lâu năm, súc vật làm việc và cho sản phẩm - QL 642</v>
      </c>
      <c r="G256" s="41" t="str">
        <f>_xlfn.XLOOKUP($D256,MD_Account_Asset_Type[Nhóm tài sản],MD_Account_Asset_Type[Tên nhóm TS-Rút gọn])</f>
        <v>Khác</v>
      </c>
      <c r="H256" s="41" t="str">
        <f>_xlfn.XLOOKUP($D256,MD_Account_Asset_Type[Nhóm tài sản],MD_Account_Asset_Type[Tên nhóm TS-Rút gọn-v2])</f>
        <v>TSCĐHH-Khác</v>
      </c>
      <c r="I256" s="43" t="s">
        <v>1126</v>
      </c>
      <c r="J256" s="42" t="s">
        <v>747</v>
      </c>
      <c r="K256" s="41" t="s">
        <v>830</v>
      </c>
      <c r="L256" s="42" t="s">
        <v>36</v>
      </c>
      <c r="M256" s="42" t="s">
        <v>111</v>
      </c>
      <c r="N256" s="44">
        <v>0</v>
      </c>
      <c r="O256" s="44"/>
      <c r="P256" s="41" t="s">
        <v>475</v>
      </c>
      <c r="Q256" s="41" t="str">
        <f t="shared" si="11"/>
        <v>642</v>
      </c>
      <c r="R256" s="41" t="str">
        <f>_xlfn.XLOOKUP($L256,MD_Cost_Center[Mã Cost Center],MD_Cost_Center[Ngành])</f>
        <v>Chung</v>
      </c>
      <c r="S256" s="41" t="str">
        <f>_xlfn.XLOOKUP($L256,MD_Cost_Center[Mã Cost Center],MD_Cost_Center[Ngành-Tách PET-Xơ sợi])</f>
        <v>Chung</v>
      </c>
      <c r="T256" s="45">
        <v>44896</v>
      </c>
      <c r="U256" s="46">
        <v>45992</v>
      </c>
      <c r="V256" s="47">
        <v>180</v>
      </c>
      <c r="W256" s="47">
        <v>322740000</v>
      </c>
      <c r="X256" s="47">
        <v>0</v>
      </c>
      <c r="Y256" s="47">
        <v>322740000</v>
      </c>
      <c r="Z256" s="47">
        <v>322740000</v>
      </c>
      <c r="AA256" s="47">
        <v>322740000</v>
      </c>
      <c r="AB256" s="47">
        <v>322740000</v>
      </c>
      <c r="AC256" s="47">
        <v>322740000</v>
      </c>
      <c r="AD256" s="47">
        <v>322740000</v>
      </c>
      <c r="AE256" s="47">
        <v>322740000</v>
      </c>
      <c r="AF256" s="47">
        <v>322740000</v>
      </c>
      <c r="AG256" s="47">
        <v>322740000</v>
      </c>
      <c r="AH256" s="47">
        <v>322740000</v>
      </c>
      <c r="AI256" s="47">
        <v>322740000</v>
      </c>
      <c r="AJ256" s="47">
        <v>322740000</v>
      </c>
      <c r="AK256" s="47">
        <v>322740000</v>
      </c>
      <c r="AL256" s="47">
        <v>-98615000</v>
      </c>
      <c r="AM256" s="47">
        <v>-322740000</v>
      </c>
      <c r="AN256" s="47">
        <v>0</v>
      </c>
      <c r="AO256" s="47">
        <v>0</v>
      </c>
      <c r="AP256" s="47">
        <v>0</v>
      </c>
      <c r="AQ256" s="47">
        <v>0</v>
      </c>
      <c r="AR256" s="47">
        <v>0</v>
      </c>
      <c r="AS256" s="47">
        <v>0</v>
      </c>
      <c r="AT256" s="47">
        <v>0</v>
      </c>
      <c r="AU256" s="47">
        <v>0</v>
      </c>
      <c r="AV256" s="47">
        <v>0</v>
      </c>
      <c r="AW256" s="47">
        <v>0</v>
      </c>
      <c r="AX256" s="47">
        <v>0</v>
      </c>
      <c r="AY256" s="47">
        <v>0</v>
      </c>
      <c r="AZ256" s="58">
        <f t="shared" si="12"/>
        <v>0</v>
      </c>
      <c r="BA256" s="47">
        <f>Y256+SUM($AM256:AM256)</f>
        <v>0</v>
      </c>
      <c r="BB256" s="48">
        <f>Z256+SUM($AM256:AN256)</f>
        <v>0</v>
      </c>
      <c r="BC256" s="48">
        <f>AA256+SUM($AM256:AO256)</f>
        <v>0</v>
      </c>
      <c r="BD256" s="48">
        <f>AB256+SUM($AM256:AP256)</f>
        <v>0</v>
      </c>
      <c r="BE256" s="48">
        <f>AC256+SUM($AM256:AQ256)</f>
        <v>0</v>
      </c>
      <c r="BF256" s="48">
        <f>AD256+SUM($AM256:AR256)</f>
        <v>0</v>
      </c>
      <c r="BG256" s="48">
        <f>AE256+SUM($AM256:AS256)</f>
        <v>0</v>
      </c>
      <c r="BH256" s="48">
        <f>AF256+SUM($AM256:AT256)</f>
        <v>0</v>
      </c>
      <c r="BI256" s="48">
        <f>AG256+SUM($AM256:AU256)</f>
        <v>0</v>
      </c>
      <c r="BJ256" s="48">
        <f>AH256+SUM($AM256:AV256)</f>
        <v>0</v>
      </c>
      <c r="BK256" s="48">
        <f>AI256+SUM($AM256:AW256)</f>
        <v>0</v>
      </c>
      <c r="BL256" s="48">
        <f>AJ256+SUM($AM256:AX256)</f>
        <v>0</v>
      </c>
      <c r="BM256" s="48">
        <f>AK256+SUM($AM256:AY256)</f>
        <v>0</v>
      </c>
      <c r="BO256" s="47"/>
    </row>
    <row r="257" spans="3:67" s="41" customFormat="1" hidden="1" x14ac:dyDescent="0.3">
      <c r="C257" s="41" t="s">
        <v>1340</v>
      </c>
      <c r="D257" s="42" t="s">
        <v>352</v>
      </c>
      <c r="E257" s="42" t="str">
        <f t="shared" si="10"/>
        <v>211</v>
      </c>
      <c r="F257" s="41" t="str">
        <f>_xlfn.XLOOKUP($D257,MD_Account_Asset_Type[Nhóm tài sản],MD_Account_Asset_Type[Tên Nhóm tài sản])</f>
        <v>TSCĐ khác - QL 642</v>
      </c>
      <c r="G257" s="41" t="str">
        <f>_xlfn.XLOOKUP($D257,MD_Account_Asset_Type[Nhóm tài sản],MD_Account_Asset_Type[Tên nhóm TS-Rút gọn])</f>
        <v>Khác</v>
      </c>
      <c r="H257" s="41" t="str">
        <f>_xlfn.XLOOKUP($D257,MD_Account_Asset_Type[Nhóm tài sản],MD_Account_Asset_Type[Tên nhóm TS-Rút gọn-v2])</f>
        <v>TSCĐHH-Khác</v>
      </c>
      <c r="I257" s="43" t="s">
        <v>1153</v>
      </c>
      <c r="J257" s="42" t="s">
        <v>749</v>
      </c>
      <c r="K257" s="41" t="s">
        <v>830</v>
      </c>
      <c r="L257" s="42" t="s">
        <v>36</v>
      </c>
      <c r="M257" s="42" t="s">
        <v>111</v>
      </c>
      <c r="N257" s="44">
        <v>0</v>
      </c>
      <c r="O257" s="44"/>
      <c r="P257" s="41" t="s">
        <v>476</v>
      </c>
      <c r="Q257" s="41" t="str">
        <f t="shared" si="11"/>
        <v>642</v>
      </c>
      <c r="R257" s="41" t="str">
        <f>_xlfn.XLOOKUP($L257,MD_Cost_Center[Mã Cost Center],MD_Cost_Center[Ngành])</f>
        <v>Chung</v>
      </c>
      <c r="S257" s="41" t="str">
        <f>_xlfn.XLOOKUP($L257,MD_Cost_Center[Mã Cost Center],MD_Cost_Center[Ngành-Tách PET-Xơ sợi])</f>
        <v>Chung</v>
      </c>
      <c r="T257" s="45">
        <v>45017</v>
      </c>
      <c r="U257" s="46">
        <v>46113</v>
      </c>
      <c r="V257" s="47">
        <v>300</v>
      </c>
      <c r="W257" s="47">
        <v>807761229</v>
      </c>
      <c r="X257" s="47">
        <v>-252110.24719101124</v>
      </c>
      <c r="Y257" s="47">
        <v>807761229</v>
      </c>
      <c r="Z257" s="47">
        <v>807761229</v>
      </c>
      <c r="AA257" s="47">
        <v>807761229</v>
      </c>
      <c r="AB257" s="47">
        <v>807761229</v>
      </c>
      <c r="AC257" s="47">
        <v>807761229</v>
      </c>
      <c r="AD257" s="47">
        <v>807761229</v>
      </c>
      <c r="AE257" s="47">
        <v>807761229</v>
      </c>
      <c r="AF257" s="47">
        <v>807761229</v>
      </c>
      <c r="AG257" s="47">
        <v>807761229</v>
      </c>
      <c r="AH257" s="47">
        <v>807761229</v>
      </c>
      <c r="AI257" s="47">
        <v>807761229</v>
      </c>
      <c r="AJ257" s="47">
        <v>807761229</v>
      </c>
      <c r="AK257" s="47">
        <v>807761229</v>
      </c>
      <c r="AL257" s="47">
        <v>-269253743</v>
      </c>
      <c r="AM257" s="47">
        <v>-740447793</v>
      </c>
      <c r="AN257" s="47">
        <v>-252110.24719101124</v>
      </c>
      <c r="AO257" s="47">
        <v>-252110.24719101124</v>
      </c>
      <c r="AP257" s="47">
        <v>-252110.24719101124</v>
      </c>
      <c r="AQ257" s="47">
        <v>-252110.24719101124</v>
      </c>
      <c r="AR257" s="47">
        <v>-252110.24719101124</v>
      </c>
      <c r="AS257" s="47">
        <v>-252110.24719101124</v>
      </c>
      <c r="AT257" s="47">
        <v>-252110.24719101124</v>
      </c>
      <c r="AU257" s="47">
        <v>-252110.24719101124</v>
      </c>
      <c r="AV257" s="47">
        <v>-252110.24719101124</v>
      </c>
      <c r="AW257" s="47">
        <v>-252110.24719101124</v>
      </c>
      <c r="AX257" s="47">
        <v>-252110.24719101124</v>
      </c>
      <c r="AY257" s="47">
        <v>-252110.24719101124</v>
      </c>
      <c r="AZ257" s="58">
        <f t="shared" si="12"/>
        <v>-3025322.9662921354</v>
      </c>
      <c r="BA257" s="47">
        <f>Y257+SUM($AM257:AM257)</f>
        <v>67313436</v>
      </c>
      <c r="BB257" s="48">
        <f>Z257+SUM($AM257:AN257)</f>
        <v>67061325.752809048</v>
      </c>
      <c r="BC257" s="48">
        <f>AA257+SUM($AM257:AO257)</f>
        <v>66809215.505618095</v>
      </c>
      <c r="BD257" s="48">
        <f>AB257+SUM($AM257:AP257)</f>
        <v>66557105.258427143</v>
      </c>
      <c r="BE257" s="48">
        <f>AC257+SUM($AM257:AQ257)</f>
        <v>66304995.011236191</v>
      </c>
      <c r="BF257" s="48">
        <f>AD257+SUM($AM257:AR257)</f>
        <v>66052884.764045238</v>
      </c>
      <c r="BG257" s="48">
        <f>AE257+SUM($AM257:AS257)</f>
        <v>65800774.516854286</v>
      </c>
      <c r="BH257" s="48">
        <f>AF257+SUM($AM257:AT257)</f>
        <v>65548664.269663334</v>
      </c>
      <c r="BI257" s="48">
        <f>AG257+SUM($AM257:AU257)</f>
        <v>65296554.022472382</v>
      </c>
      <c r="BJ257" s="48">
        <f>AH257+SUM($AM257:AV257)</f>
        <v>65044443.775281429</v>
      </c>
      <c r="BK257" s="48">
        <f>AI257+SUM($AM257:AW257)</f>
        <v>64792333.528090477</v>
      </c>
      <c r="BL257" s="48">
        <f>AJ257+SUM($AM257:AX257)</f>
        <v>64540223.280899525</v>
      </c>
      <c r="BM257" s="48">
        <f>AK257+SUM($AM257:AY257)</f>
        <v>64288113.033708572</v>
      </c>
      <c r="BO257" s="47"/>
    </row>
    <row r="258" spans="3:67" s="41" customFormat="1" hidden="1" x14ac:dyDescent="0.3">
      <c r="C258" s="41" t="s">
        <v>1340</v>
      </c>
      <c r="D258" s="42" t="s">
        <v>352</v>
      </c>
      <c r="E258" s="42" t="str">
        <f t="shared" si="10"/>
        <v>211</v>
      </c>
      <c r="F258" s="41" t="str">
        <f>_xlfn.XLOOKUP($D258,MD_Account_Asset_Type[Nhóm tài sản],MD_Account_Asset_Type[Tên Nhóm tài sản])</f>
        <v>TSCĐ khác - QL 642</v>
      </c>
      <c r="G258" s="41" t="str">
        <f>_xlfn.XLOOKUP($D258,MD_Account_Asset_Type[Nhóm tài sản],MD_Account_Asset_Type[Tên nhóm TS-Rút gọn])</f>
        <v>Khác</v>
      </c>
      <c r="H258" s="41" t="str">
        <f>_xlfn.XLOOKUP($D258,MD_Account_Asset_Type[Nhóm tài sản],MD_Account_Asset_Type[Tên nhóm TS-Rút gọn-v2])</f>
        <v>TSCĐHH-Khác</v>
      </c>
      <c r="I258" s="43" t="s">
        <v>1154</v>
      </c>
      <c r="J258" s="42" t="s">
        <v>750</v>
      </c>
      <c r="K258" s="41" t="s">
        <v>502</v>
      </c>
      <c r="L258" s="42" t="s">
        <v>36</v>
      </c>
      <c r="M258" s="42" t="s">
        <v>111</v>
      </c>
      <c r="N258" s="44">
        <v>0</v>
      </c>
      <c r="O258" s="44"/>
      <c r="P258" s="41" t="s">
        <v>476</v>
      </c>
      <c r="Q258" s="41" t="str">
        <f t="shared" si="11"/>
        <v>642</v>
      </c>
      <c r="R258" s="41" t="str">
        <f>_xlfn.XLOOKUP($L258,MD_Cost_Center[Mã Cost Center],MD_Cost_Center[Ngành])</f>
        <v>Chung</v>
      </c>
      <c r="S258" s="41" t="str">
        <f>_xlfn.XLOOKUP($L258,MD_Cost_Center[Mã Cost Center],MD_Cost_Center[Ngành-Tách PET-Xơ sợi])</f>
        <v>Chung</v>
      </c>
      <c r="T258" s="45">
        <v>45108</v>
      </c>
      <c r="U258" s="46">
        <v>46204</v>
      </c>
      <c r="V258" s="47">
        <v>300</v>
      </c>
      <c r="W258" s="47">
        <v>59068700</v>
      </c>
      <c r="X258" s="47">
        <v>-36462.159259259257</v>
      </c>
      <c r="Y258" s="47">
        <v>59068700</v>
      </c>
      <c r="Z258" s="47">
        <v>59068700</v>
      </c>
      <c r="AA258" s="47">
        <v>59068700</v>
      </c>
      <c r="AB258" s="47">
        <v>59068700</v>
      </c>
      <c r="AC258" s="47">
        <v>59068700</v>
      </c>
      <c r="AD258" s="47">
        <v>59068700</v>
      </c>
      <c r="AE258" s="47">
        <v>59068700</v>
      </c>
      <c r="AF258" s="47">
        <v>59068700</v>
      </c>
      <c r="AG258" s="47">
        <v>59068700</v>
      </c>
      <c r="AH258" s="47">
        <v>59068700</v>
      </c>
      <c r="AI258" s="47">
        <v>59068700</v>
      </c>
      <c r="AJ258" s="47">
        <v>59068700</v>
      </c>
      <c r="AK258" s="47">
        <v>59068700</v>
      </c>
      <c r="AL258" s="47">
        <v>-19689567</v>
      </c>
      <c r="AM258" s="47">
        <v>-49223917</v>
      </c>
      <c r="AN258" s="47">
        <v>-36462.159259259257</v>
      </c>
      <c r="AO258" s="47">
        <v>-36462.159259259257</v>
      </c>
      <c r="AP258" s="47">
        <v>-36462.159259259257</v>
      </c>
      <c r="AQ258" s="47">
        <v>-36462.159259259257</v>
      </c>
      <c r="AR258" s="47">
        <v>-36462.159259259257</v>
      </c>
      <c r="AS258" s="47">
        <v>-36462.159259259257</v>
      </c>
      <c r="AT258" s="47">
        <v>-36462.159259259257</v>
      </c>
      <c r="AU258" s="47">
        <v>-36462.159259259257</v>
      </c>
      <c r="AV258" s="47">
        <v>-36462.159259259257</v>
      </c>
      <c r="AW258" s="47">
        <v>-36462.159259259257</v>
      </c>
      <c r="AX258" s="47">
        <v>-36462.159259259257</v>
      </c>
      <c r="AY258" s="47">
        <v>-36462.159259259257</v>
      </c>
      <c r="AZ258" s="58">
        <f t="shared" si="12"/>
        <v>-437545.911111111</v>
      </c>
      <c r="BA258" s="47">
        <f>Y258+SUM($AM258:AM258)</f>
        <v>9844783</v>
      </c>
      <c r="BB258" s="48">
        <f>Z258+SUM($AM258:AN258)</f>
        <v>9808320.8407407403</v>
      </c>
      <c r="BC258" s="48">
        <f>AA258+SUM($AM258:AO258)</f>
        <v>9771858.6814814806</v>
      </c>
      <c r="BD258" s="48">
        <f>AB258+SUM($AM258:AP258)</f>
        <v>9735396.5222222209</v>
      </c>
      <c r="BE258" s="48">
        <f>AC258+SUM($AM258:AQ258)</f>
        <v>9698934.3629629612</v>
      </c>
      <c r="BF258" s="48">
        <f>AD258+SUM($AM258:AR258)</f>
        <v>9662472.2037037015</v>
      </c>
      <c r="BG258" s="48">
        <f>AE258+SUM($AM258:AS258)</f>
        <v>9626010.0444444418</v>
      </c>
      <c r="BH258" s="48">
        <f>AF258+SUM($AM258:AT258)</f>
        <v>9589547.8851851821</v>
      </c>
      <c r="BI258" s="48">
        <f>AG258+SUM($AM258:AU258)</f>
        <v>9553085.7259259224</v>
      </c>
      <c r="BJ258" s="48">
        <f>AH258+SUM($AM258:AV258)</f>
        <v>9516623.5666666627</v>
      </c>
      <c r="BK258" s="48">
        <f>AI258+SUM($AM258:AW258)</f>
        <v>9480161.407407403</v>
      </c>
      <c r="BL258" s="48">
        <f>AJ258+SUM($AM258:AX258)</f>
        <v>9443699.2481481433</v>
      </c>
      <c r="BM258" s="48">
        <f>AK258+SUM($AM258:AY258)</f>
        <v>9407237.0888888836</v>
      </c>
      <c r="BO258" s="47"/>
    </row>
    <row r="259" spans="3:67" s="41" customFormat="1" hidden="1" x14ac:dyDescent="0.3">
      <c r="C259" s="41" t="s">
        <v>1340</v>
      </c>
      <c r="D259" s="42" t="s">
        <v>352</v>
      </c>
      <c r="E259" s="42" t="str">
        <f t="shared" si="10"/>
        <v>211</v>
      </c>
      <c r="F259" s="41" t="str">
        <f>_xlfn.XLOOKUP($D259,MD_Account_Asset_Type[Nhóm tài sản],MD_Account_Asset_Type[Tên Nhóm tài sản])</f>
        <v>TSCĐ khác - QL 642</v>
      </c>
      <c r="G259" s="41" t="str">
        <f>_xlfn.XLOOKUP($D259,MD_Account_Asset_Type[Nhóm tài sản],MD_Account_Asset_Type[Tên nhóm TS-Rút gọn])</f>
        <v>Khác</v>
      </c>
      <c r="H259" s="41" t="str">
        <f>_xlfn.XLOOKUP($D259,MD_Account_Asset_Type[Nhóm tài sản],MD_Account_Asset_Type[Tên nhóm TS-Rút gọn-v2])</f>
        <v>TSCĐHH-Khác</v>
      </c>
      <c r="I259" s="43" t="s">
        <v>1156</v>
      </c>
      <c r="J259" s="42" t="s">
        <v>752</v>
      </c>
      <c r="K259" s="41" t="s">
        <v>502</v>
      </c>
      <c r="L259" s="42" t="s">
        <v>36</v>
      </c>
      <c r="M259" s="42" t="s">
        <v>111</v>
      </c>
      <c r="N259" s="44">
        <v>0</v>
      </c>
      <c r="O259" s="44"/>
      <c r="P259" s="41" t="s">
        <v>476</v>
      </c>
      <c r="Q259" s="41" t="str">
        <f t="shared" si="11"/>
        <v>642</v>
      </c>
      <c r="R259" s="41" t="str">
        <f>_xlfn.XLOOKUP($L259,MD_Cost_Center[Mã Cost Center],MD_Cost_Center[Ngành])</f>
        <v>Chung</v>
      </c>
      <c r="S259" s="41" t="str">
        <f>_xlfn.XLOOKUP($L259,MD_Cost_Center[Mã Cost Center],MD_Cost_Center[Ngành-Tách PET-Xơ sợi])</f>
        <v>Chung</v>
      </c>
      <c r="T259" s="45">
        <v>45170</v>
      </c>
      <c r="U259" s="46">
        <v>46997</v>
      </c>
      <c r="V259" s="47">
        <v>300</v>
      </c>
      <c r="W259" s="47">
        <v>261991507</v>
      </c>
      <c r="X259" s="47">
        <v>-513708.8382352941</v>
      </c>
      <c r="Y259" s="47">
        <v>261991507</v>
      </c>
      <c r="Z259" s="47">
        <v>261991507</v>
      </c>
      <c r="AA259" s="47">
        <v>261991507</v>
      </c>
      <c r="AB259" s="47">
        <v>261991507</v>
      </c>
      <c r="AC259" s="47">
        <v>261991507</v>
      </c>
      <c r="AD259" s="47">
        <v>261991507</v>
      </c>
      <c r="AE259" s="47">
        <v>261991507</v>
      </c>
      <c r="AF259" s="47">
        <v>261991507</v>
      </c>
      <c r="AG259" s="47">
        <v>261991507</v>
      </c>
      <c r="AH259" s="47">
        <v>261991507</v>
      </c>
      <c r="AI259" s="47">
        <v>261991507</v>
      </c>
      <c r="AJ259" s="47">
        <v>261991507</v>
      </c>
      <c r="AK259" s="47">
        <v>261991507</v>
      </c>
      <c r="AL259" s="47">
        <v>-52398301</v>
      </c>
      <c r="AM259" s="47">
        <v>-122262703</v>
      </c>
      <c r="AN259" s="47">
        <v>-513708.8382352941</v>
      </c>
      <c r="AO259" s="47">
        <v>-513708.8382352941</v>
      </c>
      <c r="AP259" s="47">
        <v>-513708.8382352941</v>
      </c>
      <c r="AQ259" s="47">
        <v>-513708.8382352941</v>
      </c>
      <c r="AR259" s="47">
        <v>-513708.8382352941</v>
      </c>
      <c r="AS259" s="47">
        <v>-513708.8382352941</v>
      </c>
      <c r="AT259" s="47">
        <v>-513708.8382352941</v>
      </c>
      <c r="AU259" s="47">
        <v>-513708.8382352941</v>
      </c>
      <c r="AV259" s="47">
        <v>-513708.8382352941</v>
      </c>
      <c r="AW259" s="47">
        <v>-513708.8382352941</v>
      </c>
      <c r="AX259" s="47">
        <v>-513708.8382352941</v>
      </c>
      <c r="AY259" s="47">
        <v>-513708.8382352941</v>
      </c>
      <c r="AZ259" s="58">
        <f t="shared" si="12"/>
        <v>-6164506.0588235296</v>
      </c>
      <c r="BA259" s="47">
        <f>Y259+SUM($AM259:AM259)</f>
        <v>139728804</v>
      </c>
      <c r="BB259" s="48">
        <f>Z259+SUM($AM259:AN259)</f>
        <v>139215095.16176471</v>
      </c>
      <c r="BC259" s="48">
        <f>AA259+SUM($AM259:AO259)</f>
        <v>138701386.32352942</v>
      </c>
      <c r="BD259" s="48">
        <f>AB259+SUM($AM259:AP259)</f>
        <v>138187677.48529413</v>
      </c>
      <c r="BE259" s="48">
        <f>AC259+SUM($AM259:AQ259)</f>
        <v>137673968.64705884</v>
      </c>
      <c r="BF259" s="48">
        <f>AD259+SUM($AM259:AR259)</f>
        <v>137160259.80882356</v>
      </c>
      <c r="BG259" s="48">
        <f>AE259+SUM($AM259:AS259)</f>
        <v>136646550.97058827</v>
      </c>
      <c r="BH259" s="48">
        <f>AF259+SUM($AM259:AT259)</f>
        <v>136132842.13235298</v>
      </c>
      <c r="BI259" s="48">
        <f>AG259+SUM($AM259:AU259)</f>
        <v>135619133.29411769</v>
      </c>
      <c r="BJ259" s="48">
        <f>AH259+SUM($AM259:AV259)</f>
        <v>135105424.4558824</v>
      </c>
      <c r="BK259" s="48">
        <f>AI259+SUM($AM259:AW259)</f>
        <v>134591715.61764711</v>
      </c>
      <c r="BL259" s="48">
        <f>AJ259+SUM($AM259:AX259)</f>
        <v>134078006.77941182</v>
      </c>
      <c r="BM259" s="48">
        <f>AK259+SUM($AM259:AY259)</f>
        <v>133564297.94117653</v>
      </c>
      <c r="BO259" s="47"/>
    </row>
    <row r="260" spans="3:67" s="41" customFormat="1" hidden="1" x14ac:dyDescent="0.3">
      <c r="C260" s="41" t="s">
        <v>1340</v>
      </c>
      <c r="D260" s="42" t="s">
        <v>352</v>
      </c>
      <c r="E260" s="42" t="str">
        <f t="shared" si="10"/>
        <v>211</v>
      </c>
      <c r="F260" s="41" t="str">
        <f>_xlfn.XLOOKUP($D260,MD_Account_Asset_Type[Nhóm tài sản],MD_Account_Asset_Type[Tên Nhóm tài sản])</f>
        <v>TSCĐ khác - QL 642</v>
      </c>
      <c r="G260" s="41" t="str">
        <f>_xlfn.XLOOKUP($D260,MD_Account_Asset_Type[Nhóm tài sản],MD_Account_Asset_Type[Tên nhóm TS-Rút gọn])</f>
        <v>Khác</v>
      </c>
      <c r="H260" s="41" t="str">
        <f>_xlfn.XLOOKUP($D260,MD_Account_Asset_Type[Nhóm tài sản],MD_Account_Asset_Type[Tên nhóm TS-Rút gọn-v2])</f>
        <v>TSCĐHH-Khác</v>
      </c>
      <c r="I260" s="43" t="s">
        <v>1157</v>
      </c>
      <c r="J260" s="42" t="s">
        <v>753</v>
      </c>
      <c r="K260" s="41" t="s">
        <v>502</v>
      </c>
      <c r="L260" s="42" t="s">
        <v>33</v>
      </c>
      <c r="M260" s="42" t="s">
        <v>108</v>
      </c>
      <c r="N260" s="44">
        <v>0</v>
      </c>
      <c r="O260" s="44"/>
      <c r="P260" s="41" t="s">
        <v>476</v>
      </c>
      <c r="Q260" s="41" t="str">
        <f t="shared" si="11"/>
        <v>642</v>
      </c>
      <c r="R260" s="41" t="str">
        <f>_xlfn.XLOOKUP($L260,MD_Cost_Center[Mã Cost Center],MD_Cost_Center[Ngành])</f>
        <v>Chung</v>
      </c>
      <c r="S260" s="41" t="str">
        <f>_xlfn.XLOOKUP($L260,MD_Cost_Center[Mã Cost Center],MD_Cost_Center[Ngành-Tách PET-Xơ sợi])</f>
        <v>Chung</v>
      </c>
      <c r="T260" s="45">
        <v>45383</v>
      </c>
      <c r="U260" s="46">
        <v>47209</v>
      </c>
      <c r="V260" s="47">
        <v>300</v>
      </c>
      <c r="W260" s="47">
        <v>235000000</v>
      </c>
      <c r="X260" s="47">
        <v>-547491.03942652326</v>
      </c>
      <c r="Y260" s="47">
        <v>235000000</v>
      </c>
      <c r="Z260" s="47">
        <v>235000000</v>
      </c>
      <c r="AA260" s="47">
        <v>235000000</v>
      </c>
      <c r="AB260" s="47">
        <v>235000000</v>
      </c>
      <c r="AC260" s="47">
        <v>235000000</v>
      </c>
      <c r="AD260" s="47">
        <v>235000000</v>
      </c>
      <c r="AE260" s="47">
        <v>235000000</v>
      </c>
      <c r="AF260" s="47">
        <v>235000000</v>
      </c>
      <c r="AG260" s="47">
        <v>235000000</v>
      </c>
      <c r="AH260" s="47">
        <v>235000000</v>
      </c>
      <c r="AI260" s="47">
        <v>235000000</v>
      </c>
      <c r="AJ260" s="47">
        <v>235000000</v>
      </c>
      <c r="AK260" s="47">
        <v>235000000</v>
      </c>
      <c r="AL260" s="47">
        <v>-47000000</v>
      </c>
      <c r="AM260" s="47">
        <v>-82250000</v>
      </c>
      <c r="AN260" s="47">
        <v>-547491.03942652326</v>
      </c>
      <c r="AO260" s="47">
        <v>-547491.03942652326</v>
      </c>
      <c r="AP260" s="47">
        <v>-547491.03942652326</v>
      </c>
      <c r="AQ260" s="47">
        <v>-547491.03942652326</v>
      </c>
      <c r="AR260" s="47">
        <v>-547491.03942652326</v>
      </c>
      <c r="AS260" s="47">
        <v>-547491.03942652326</v>
      </c>
      <c r="AT260" s="47">
        <v>-547491.03942652326</v>
      </c>
      <c r="AU260" s="47">
        <v>-547491.03942652326</v>
      </c>
      <c r="AV260" s="47">
        <v>-547491.03942652326</v>
      </c>
      <c r="AW260" s="47">
        <v>-547491.03942652326</v>
      </c>
      <c r="AX260" s="47">
        <v>-547491.03942652326</v>
      </c>
      <c r="AY260" s="47">
        <v>-547491.03942652326</v>
      </c>
      <c r="AZ260" s="58">
        <f t="shared" si="12"/>
        <v>-6569892.4731182791</v>
      </c>
      <c r="BA260" s="47">
        <f>Y260+SUM($AM260:AM260)</f>
        <v>152750000</v>
      </c>
      <c r="BB260" s="48">
        <f>Z260+SUM($AM260:AN260)</f>
        <v>152202508.96057349</v>
      </c>
      <c r="BC260" s="48">
        <f>AA260+SUM($AM260:AO260)</f>
        <v>151655017.92114696</v>
      </c>
      <c r="BD260" s="48">
        <f>AB260+SUM($AM260:AP260)</f>
        <v>151107526.88172042</v>
      </c>
      <c r="BE260" s="48">
        <f>AC260+SUM($AM260:AQ260)</f>
        <v>150560035.84229392</v>
      </c>
      <c r="BF260" s="48">
        <f>AD260+SUM($AM260:AR260)</f>
        <v>150012544.80286741</v>
      </c>
      <c r="BG260" s="48">
        <f>AE260+SUM($AM260:AS260)</f>
        <v>149465053.76344088</v>
      </c>
      <c r="BH260" s="48">
        <f>AF260+SUM($AM260:AT260)</f>
        <v>148917562.72401434</v>
      </c>
      <c r="BI260" s="48">
        <f>AG260+SUM($AM260:AU260)</f>
        <v>148370071.68458784</v>
      </c>
      <c r="BJ260" s="48">
        <f>AH260+SUM($AM260:AV260)</f>
        <v>147822580.64516133</v>
      </c>
      <c r="BK260" s="48">
        <f>AI260+SUM($AM260:AW260)</f>
        <v>147275089.6057348</v>
      </c>
      <c r="BL260" s="48">
        <f>AJ260+SUM($AM260:AX260)</f>
        <v>146727598.56630826</v>
      </c>
      <c r="BM260" s="48">
        <f>AK260+SUM($AM260:AY260)</f>
        <v>146180107.52688175</v>
      </c>
      <c r="BO260" s="47"/>
    </row>
    <row r="261" spans="3:67" s="41" customFormat="1" hidden="1" x14ac:dyDescent="0.3">
      <c r="C261" s="41" t="s">
        <v>1340</v>
      </c>
      <c r="D261" s="42" t="s">
        <v>352</v>
      </c>
      <c r="E261" s="42" t="str">
        <f t="shared" si="10"/>
        <v>211</v>
      </c>
      <c r="F261" s="41" t="str">
        <f>_xlfn.XLOOKUP($D261,MD_Account_Asset_Type[Nhóm tài sản],MD_Account_Asset_Type[Tên Nhóm tài sản])</f>
        <v>TSCĐ khác - QL 642</v>
      </c>
      <c r="G261" s="41" t="str">
        <f>_xlfn.XLOOKUP($D261,MD_Account_Asset_Type[Nhóm tài sản],MD_Account_Asset_Type[Tên nhóm TS-Rút gọn])</f>
        <v>Khác</v>
      </c>
      <c r="H261" s="41" t="str">
        <f>_xlfn.XLOOKUP($D261,MD_Account_Asset_Type[Nhóm tài sản],MD_Account_Asset_Type[Tên nhóm TS-Rút gọn-v2])</f>
        <v>TSCĐHH-Khác</v>
      </c>
      <c r="I261" s="43" t="s">
        <v>1158</v>
      </c>
      <c r="J261" s="42" t="s">
        <v>754</v>
      </c>
      <c r="K261" s="41" t="s">
        <v>502</v>
      </c>
      <c r="L261" s="42" t="s">
        <v>33</v>
      </c>
      <c r="M261" s="42" t="s">
        <v>108</v>
      </c>
      <c r="N261" s="44">
        <v>0</v>
      </c>
      <c r="O261" s="44"/>
      <c r="P261" s="41" t="s">
        <v>476</v>
      </c>
      <c r="Q261" s="41" t="str">
        <f t="shared" si="11"/>
        <v>642</v>
      </c>
      <c r="R261" s="41" t="str">
        <f>_xlfn.XLOOKUP($L261,MD_Cost_Center[Mã Cost Center],MD_Cost_Center[Ngành])</f>
        <v>Chung</v>
      </c>
      <c r="S261" s="41" t="str">
        <f>_xlfn.XLOOKUP($L261,MD_Cost_Center[Mã Cost Center],MD_Cost_Center[Ngành-Tách PET-Xơ sợi])</f>
        <v>Chung</v>
      </c>
      <c r="T261" s="45">
        <v>45383</v>
      </c>
      <c r="U261" s="46">
        <v>47209</v>
      </c>
      <c r="V261" s="47">
        <v>300</v>
      </c>
      <c r="W261" s="47">
        <v>188000000</v>
      </c>
      <c r="X261" s="47">
        <v>-437992.83154121862</v>
      </c>
      <c r="Y261" s="47">
        <v>188000000</v>
      </c>
      <c r="Z261" s="47">
        <v>188000000</v>
      </c>
      <c r="AA261" s="47">
        <v>188000000</v>
      </c>
      <c r="AB261" s="47">
        <v>188000000</v>
      </c>
      <c r="AC261" s="47">
        <v>188000000</v>
      </c>
      <c r="AD261" s="47">
        <v>188000000</v>
      </c>
      <c r="AE261" s="47">
        <v>188000000</v>
      </c>
      <c r="AF261" s="47">
        <v>188000000</v>
      </c>
      <c r="AG261" s="47">
        <v>188000000</v>
      </c>
      <c r="AH261" s="47">
        <v>188000000</v>
      </c>
      <c r="AI261" s="47">
        <v>188000000</v>
      </c>
      <c r="AJ261" s="47">
        <v>188000000</v>
      </c>
      <c r="AK261" s="47">
        <v>188000000</v>
      </c>
      <c r="AL261" s="47">
        <v>-37600000</v>
      </c>
      <c r="AM261" s="47">
        <v>-65800000</v>
      </c>
      <c r="AN261" s="47">
        <v>-437992.83154121862</v>
      </c>
      <c r="AO261" s="47">
        <v>-437992.83154121862</v>
      </c>
      <c r="AP261" s="47">
        <v>-437992.83154121862</v>
      </c>
      <c r="AQ261" s="47">
        <v>-437992.83154121862</v>
      </c>
      <c r="AR261" s="47">
        <v>-437992.83154121862</v>
      </c>
      <c r="AS261" s="47">
        <v>-437992.83154121862</v>
      </c>
      <c r="AT261" s="47">
        <v>-437992.83154121862</v>
      </c>
      <c r="AU261" s="47">
        <v>-437992.83154121862</v>
      </c>
      <c r="AV261" s="47">
        <v>-437992.83154121862</v>
      </c>
      <c r="AW261" s="47">
        <v>-437992.83154121862</v>
      </c>
      <c r="AX261" s="47">
        <v>-437992.83154121862</v>
      </c>
      <c r="AY261" s="47">
        <v>-437992.83154121862</v>
      </c>
      <c r="AZ261" s="58">
        <f t="shared" si="12"/>
        <v>-5255913.9784946246</v>
      </c>
      <c r="BA261" s="47">
        <f>Y261+SUM($AM261:AM261)</f>
        <v>122200000</v>
      </c>
      <c r="BB261" s="48">
        <f>Z261+SUM($AM261:AN261)</f>
        <v>121762007.16845879</v>
      </c>
      <c r="BC261" s="48">
        <f>AA261+SUM($AM261:AO261)</f>
        <v>121324014.33691756</v>
      </c>
      <c r="BD261" s="48">
        <f>AB261+SUM($AM261:AP261)</f>
        <v>120886021.50537634</v>
      </c>
      <c r="BE261" s="48">
        <f>AC261+SUM($AM261:AQ261)</f>
        <v>120448028.67383511</v>
      </c>
      <c r="BF261" s="48">
        <f>AD261+SUM($AM261:AR261)</f>
        <v>120010035.84229389</v>
      </c>
      <c r="BG261" s="48">
        <f>AE261+SUM($AM261:AS261)</f>
        <v>119572043.01075266</v>
      </c>
      <c r="BH261" s="48">
        <f>AF261+SUM($AM261:AT261)</f>
        <v>119134050.17921144</v>
      </c>
      <c r="BI261" s="48">
        <f>AG261+SUM($AM261:AU261)</f>
        <v>118696057.34767021</v>
      </c>
      <c r="BJ261" s="48">
        <f>AH261+SUM($AM261:AV261)</f>
        <v>118258064.51612899</v>
      </c>
      <c r="BK261" s="48">
        <f>AI261+SUM($AM261:AW261)</f>
        <v>117820071.68458776</v>
      </c>
      <c r="BL261" s="48">
        <f>AJ261+SUM($AM261:AX261)</f>
        <v>117382078.85304654</v>
      </c>
      <c r="BM261" s="48">
        <f>AK261+SUM($AM261:AY261)</f>
        <v>116944086.02150531</v>
      </c>
      <c r="BO261" s="47"/>
    </row>
    <row r="262" spans="3:67" s="41" customFormat="1" hidden="1" x14ac:dyDescent="0.3">
      <c r="C262" s="41" t="s">
        <v>1340</v>
      </c>
      <c r="D262" s="42" t="s">
        <v>352</v>
      </c>
      <c r="E262" s="42" t="str">
        <f t="shared" si="10"/>
        <v>211</v>
      </c>
      <c r="F262" s="41" t="str">
        <f>_xlfn.XLOOKUP($D262,MD_Account_Asset_Type[Nhóm tài sản],MD_Account_Asset_Type[Tên Nhóm tài sản])</f>
        <v>TSCĐ khác - QL 642</v>
      </c>
      <c r="G262" s="41" t="str">
        <f>_xlfn.XLOOKUP($D262,MD_Account_Asset_Type[Nhóm tài sản],MD_Account_Asset_Type[Tên nhóm TS-Rút gọn])</f>
        <v>Khác</v>
      </c>
      <c r="H262" s="41" t="str">
        <f>_xlfn.XLOOKUP($D262,MD_Account_Asset_Type[Nhóm tài sản],MD_Account_Asset_Type[Tên nhóm TS-Rút gọn-v2])</f>
        <v>TSCĐHH-Khác</v>
      </c>
      <c r="I262" s="43" t="s">
        <v>1159</v>
      </c>
      <c r="J262" s="42" t="s">
        <v>755</v>
      </c>
      <c r="K262" s="41" t="s">
        <v>502</v>
      </c>
      <c r="L262" s="42" t="s">
        <v>33</v>
      </c>
      <c r="M262" s="42" t="s">
        <v>108</v>
      </c>
      <c r="N262" s="44">
        <v>0</v>
      </c>
      <c r="O262" s="44"/>
      <c r="P262" s="41" t="s">
        <v>476</v>
      </c>
      <c r="Q262" s="41" t="str">
        <f t="shared" si="11"/>
        <v>642</v>
      </c>
      <c r="R262" s="41" t="str">
        <f>_xlfn.XLOOKUP($L262,MD_Cost_Center[Mã Cost Center],MD_Cost_Center[Ngành])</f>
        <v>Chung</v>
      </c>
      <c r="S262" s="41" t="str">
        <f>_xlfn.XLOOKUP($L262,MD_Cost_Center[Mã Cost Center],MD_Cost_Center[Ngành-Tách PET-Xơ sợi])</f>
        <v>Chung</v>
      </c>
      <c r="T262" s="45">
        <v>45383</v>
      </c>
      <c r="U262" s="46">
        <v>47209</v>
      </c>
      <c r="V262" s="47">
        <v>300</v>
      </c>
      <c r="W262" s="47">
        <v>211500000</v>
      </c>
      <c r="X262" s="47">
        <v>-492741.93548387097</v>
      </c>
      <c r="Y262" s="47">
        <v>211500000</v>
      </c>
      <c r="Z262" s="47">
        <v>211500000</v>
      </c>
      <c r="AA262" s="47">
        <v>211500000</v>
      </c>
      <c r="AB262" s="47">
        <v>211500000</v>
      </c>
      <c r="AC262" s="47">
        <v>211500000</v>
      </c>
      <c r="AD262" s="47">
        <v>211500000</v>
      </c>
      <c r="AE262" s="47">
        <v>211500000</v>
      </c>
      <c r="AF262" s="47">
        <v>211500000</v>
      </c>
      <c r="AG262" s="47">
        <v>211500000</v>
      </c>
      <c r="AH262" s="47">
        <v>211500000</v>
      </c>
      <c r="AI262" s="47">
        <v>211500000</v>
      </c>
      <c r="AJ262" s="47">
        <v>211500000</v>
      </c>
      <c r="AK262" s="47">
        <v>211500000</v>
      </c>
      <c r="AL262" s="47">
        <v>-42300000</v>
      </c>
      <c r="AM262" s="47">
        <v>-74025000</v>
      </c>
      <c r="AN262" s="47">
        <v>-492741.93548387097</v>
      </c>
      <c r="AO262" s="47">
        <v>-492741.93548387097</v>
      </c>
      <c r="AP262" s="47">
        <v>-492741.93548387097</v>
      </c>
      <c r="AQ262" s="47">
        <v>-492741.93548387097</v>
      </c>
      <c r="AR262" s="47">
        <v>-492741.93548387097</v>
      </c>
      <c r="AS262" s="47">
        <v>-492741.93548387097</v>
      </c>
      <c r="AT262" s="47">
        <v>-492741.93548387097</v>
      </c>
      <c r="AU262" s="47">
        <v>-492741.93548387097</v>
      </c>
      <c r="AV262" s="47">
        <v>-492741.93548387097</v>
      </c>
      <c r="AW262" s="47">
        <v>-492741.93548387097</v>
      </c>
      <c r="AX262" s="47">
        <v>-492741.93548387097</v>
      </c>
      <c r="AY262" s="47">
        <v>-492741.93548387097</v>
      </c>
      <c r="AZ262" s="58">
        <f t="shared" si="12"/>
        <v>-5912903.2258064514</v>
      </c>
      <c r="BA262" s="47">
        <f>Y262+SUM($AM262:AM262)</f>
        <v>137475000</v>
      </c>
      <c r="BB262" s="48">
        <f>Z262+SUM($AM262:AN262)</f>
        <v>136982258.06451613</v>
      </c>
      <c r="BC262" s="48">
        <f>AA262+SUM($AM262:AO262)</f>
        <v>136489516.12903225</v>
      </c>
      <c r="BD262" s="48">
        <f>AB262+SUM($AM262:AP262)</f>
        <v>135996774.19354838</v>
      </c>
      <c r="BE262" s="48">
        <f>AC262+SUM($AM262:AQ262)</f>
        <v>135504032.25806451</v>
      </c>
      <c r="BF262" s="48">
        <f>AD262+SUM($AM262:AR262)</f>
        <v>135011290.32258064</v>
      </c>
      <c r="BG262" s="48">
        <f>AE262+SUM($AM262:AS262)</f>
        <v>134518548.38709676</v>
      </c>
      <c r="BH262" s="48">
        <f>AF262+SUM($AM262:AT262)</f>
        <v>134025806.45161289</v>
      </c>
      <c r="BI262" s="48">
        <f>AG262+SUM($AM262:AU262)</f>
        <v>133533064.51612902</v>
      </c>
      <c r="BJ262" s="48">
        <f>AH262+SUM($AM262:AV262)</f>
        <v>133040322.58064514</v>
      </c>
      <c r="BK262" s="48">
        <f>AI262+SUM($AM262:AW262)</f>
        <v>132547580.64516127</v>
      </c>
      <c r="BL262" s="48">
        <f>AJ262+SUM($AM262:AX262)</f>
        <v>132054838.7096774</v>
      </c>
      <c r="BM262" s="48">
        <f>AK262+SUM($AM262:AY262)</f>
        <v>131562096.77419353</v>
      </c>
      <c r="BO262" s="47"/>
    </row>
    <row r="263" spans="3:67" s="41" customFormat="1" hidden="1" x14ac:dyDescent="0.3">
      <c r="C263" s="41" t="s">
        <v>1340</v>
      </c>
      <c r="D263" s="42" t="s">
        <v>350</v>
      </c>
      <c r="E263" s="42" t="str">
        <f t="shared" si="10"/>
        <v>211</v>
      </c>
      <c r="F263" s="41" t="str">
        <f>_xlfn.XLOOKUP($D263,MD_Account_Asset_Type[Nhóm tài sản],MD_Account_Asset_Type[Tên Nhóm tài sản])</f>
        <v>TSCĐ khác - SX 627</v>
      </c>
      <c r="G263" s="41" t="str">
        <f>_xlfn.XLOOKUP($D263,MD_Account_Asset_Type[Nhóm tài sản],MD_Account_Asset_Type[Tên nhóm TS-Rút gọn])</f>
        <v>Khác</v>
      </c>
      <c r="H263" s="41" t="str">
        <f>_xlfn.XLOOKUP($D263,MD_Account_Asset_Type[Nhóm tài sản],MD_Account_Asset_Type[Tên nhóm TS-Rút gọn-v2])</f>
        <v>TSCĐHH-Khác</v>
      </c>
      <c r="I263" s="43" t="s">
        <v>1133</v>
      </c>
      <c r="J263" s="42" t="s">
        <v>760</v>
      </c>
      <c r="K263" s="41" t="s">
        <v>502</v>
      </c>
      <c r="L263" s="42" t="s">
        <v>48</v>
      </c>
      <c r="M263" s="42" t="s">
        <v>123</v>
      </c>
      <c r="N263" s="44">
        <v>0</v>
      </c>
      <c r="O263" s="44"/>
      <c r="P263" s="41" t="s">
        <v>466</v>
      </c>
      <c r="Q263" s="41" t="str">
        <f t="shared" ref="Q263:Q323" si="13">LEFT($P263,3)</f>
        <v>627</v>
      </c>
      <c r="R263" s="41" t="str">
        <f>_xlfn.XLOOKUP($L263,MD_Cost_Center[Mã Cost Center],MD_Cost_Center[Ngành])</f>
        <v>PET</v>
      </c>
      <c r="S263" s="41" t="str">
        <f>_xlfn.XLOOKUP($L263,MD_Cost_Center[Mã Cost Center],MD_Cost_Center[Ngành-Tách PET-Xơ sợi])</f>
        <v>Chung-PET</v>
      </c>
      <c r="T263" s="45">
        <v>45108</v>
      </c>
      <c r="U263" s="46">
        <v>46204</v>
      </c>
      <c r="V263" s="47">
        <v>300</v>
      </c>
      <c r="W263" s="47">
        <v>102096978</v>
      </c>
      <c r="X263" s="47">
        <v>-63022.825925925928</v>
      </c>
      <c r="Y263" s="47">
        <v>102096978</v>
      </c>
      <c r="Z263" s="47">
        <v>102096978</v>
      </c>
      <c r="AA263" s="47">
        <v>102096978</v>
      </c>
      <c r="AB263" s="47">
        <v>102096978</v>
      </c>
      <c r="AC263" s="47">
        <v>102096978</v>
      </c>
      <c r="AD263" s="47">
        <v>102096978</v>
      </c>
      <c r="AE263" s="47">
        <v>102096978</v>
      </c>
      <c r="AF263" s="47">
        <v>102096978</v>
      </c>
      <c r="AG263" s="47">
        <v>102096978</v>
      </c>
      <c r="AH263" s="47">
        <v>102096978</v>
      </c>
      <c r="AI263" s="47">
        <v>102096978</v>
      </c>
      <c r="AJ263" s="47">
        <v>102096978</v>
      </c>
      <c r="AK263" s="47">
        <v>102096978</v>
      </c>
      <c r="AL263" s="47">
        <v>-34032326</v>
      </c>
      <c r="AM263" s="47">
        <v>-85080815</v>
      </c>
      <c r="AN263" s="47">
        <v>-63022.825925925928</v>
      </c>
      <c r="AO263" s="47">
        <v>-63022.825925925928</v>
      </c>
      <c r="AP263" s="47">
        <v>-63022.825925925928</v>
      </c>
      <c r="AQ263" s="47">
        <v>-63022.825925925928</v>
      </c>
      <c r="AR263" s="47">
        <v>-63022.825925925928</v>
      </c>
      <c r="AS263" s="47">
        <v>-63022.825925925928</v>
      </c>
      <c r="AT263" s="47">
        <v>-63022.825925925928</v>
      </c>
      <c r="AU263" s="47">
        <v>-63022.825925925928</v>
      </c>
      <c r="AV263" s="47">
        <v>-63022.825925925928</v>
      </c>
      <c r="AW263" s="47">
        <v>-63022.825925925928</v>
      </c>
      <c r="AX263" s="47">
        <v>-63022.825925925928</v>
      </c>
      <c r="AY263" s="47">
        <v>-63022.825925925928</v>
      </c>
      <c r="AZ263" s="58">
        <f t="shared" si="12"/>
        <v>-756273.91111111129</v>
      </c>
      <c r="BA263" s="47">
        <f>Y263+SUM($AM263:AM263)</f>
        <v>17016163</v>
      </c>
      <c r="BB263" s="48">
        <f>Z263+SUM($AM263:AN263)</f>
        <v>16953140.174074069</v>
      </c>
      <c r="BC263" s="48">
        <f>AA263+SUM($AM263:AO263)</f>
        <v>16890117.348148137</v>
      </c>
      <c r="BD263" s="48">
        <f>AB263+SUM($AM263:AP263)</f>
        <v>16827094.522222206</v>
      </c>
      <c r="BE263" s="48">
        <f>AC263+SUM($AM263:AQ263)</f>
        <v>16764071.696296275</v>
      </c>
      <c r="BF263" s="48">
        <f>AD263+SUM($AM263:AR263)</f>
        <v>16701048.870370343</v>
      </c>
      <c r="BG263" s="48">
        <f>AE263+SUM($AM263:AS263)</f>
        <v>16638026.044444412</v>
      </c>
      <c r="BH263" s="48">
        <f>AF263+SUM($AM263:AT263)</f>
        <v>16575003.218518481</v>
      </c>
      <c r="BI263" s="48">
        <f>AG263+SUM($AM263:AU263)</f>
        <v>16511980.392592549</v>
      </c>
      <c r="BJ263" s="48">
        <f>AH263+SUM($AM263:AV263)</f>
        <v>16448957.566666618</v>
      </c>
      <c r="BK263" s="48">
        <f>AI263+SUM($AM263:AW263)</f>
        <v>16385934.740740687</v>
      </c>
      <c r="BL263" s="48">
        <f>AJ263+SUM($AM263:AX263)</f>
        <v>16322911.914814755</v>
      </c>
      <c r="BM263" s="48">
        <f>AK263+SUM($AM263:AY263)</f>
        <v>16259889.088888824</v>
      </c>
      <c r="BO263" s="47"/>
    </row>
    <row r="264" spans="3:67" s="41" customFormat="1" hidden="1" x14ac:dyDescent="0.3">
      <c r="C264" s="41" t="s">
        <v>1340</v>
      </c>
      <c r="D264" s="42" t="s">
        <v>350</v>
      </c>
      <c r="E264" s="42" t="str">
        <f t="shared" si="10"/>
        <v>211</v>
      </c>
      <c r="F264" s="41" t="str">
        <f>_xlfn.XLOOKUP($D264,MD_Account_Asset_Type[Nhóm tài sản],MD_Account_Asset_Type[Tên Nhóm tài sản])</f>
        <v>TSCĐ khác - SX 627</v>
      </c>
      <c r="G264" s="41" t="str">
        <f>_xlfn.XLOOKUP($D264,MD_Account_Asset_Type[Nhóm tài sản],MD_Account_Asset_Type[Tên nhóm TS-Rút gọn])</f>
        <v>Khác</v>
      </c>
      <c r="H264" s="41" t="str">
        <f>_xlfn.XLOOKUP($D264,MD_Account_Asset_Type[Nhóm tài sản],MD_Account_Asset_Type[Tên nhóm TS-Rút gọn-v2])</f>
        <v>TSCĐHH-Khác</v>
      </c>
      <c r="I264" s="43" t="s">
        <v>1134</v>
      </c>
      <c r="J264" s="42" t="s">
        <v>761</v>
      </c>
      <c r="K264" s="41" t="s">
        <v>502</v>
      </c>
      <c r="L264" s="42" t="s">
        <v>48</v>
      </c>
      <c r="M264" s="42" t="s">
        <v>123</v>
      </c>
      <c r="N264" s="44">
        <v>0</v>
      </c>
      <c r="O264" s="44"/>
      <c r="P264" s="41" t="s">
        <v>466</v>
      </c>
      <c r="Q264" s="41" t="str">
        <f t="shared" si="13"/>
        <v>627</v>
      </c>
      <c r="R264" s="41" t="str">
        <f>_xlfn.XLOOKUP($L264,MD_Cost_Center[Mã Cost Center],MD_Cost_Center[Ngành])</f>
        <v>PET</v>
      </c>
      <c r="S264" s="41" t="str">
        <f>_xlfn.XLOOKUP($L264,MD_Cost_Center[Mã Cost Center],MD_Cost_Center[Ngành-Tách PET-Xơ sợi])</f>
        <v>Chung-PET</v>
      </c>
      <c r="T264" s="45">
        <v>45108</v>
      </c>
      <c r="U264" s="46">
        <v>46204</v>
      </c>
      <c r="V264" s="47">
        <v>300</v>
      </c>
      <c r="W264" s="47">
        <v>195672934</v>
      </c>
      <c r="X264" s="47">
        <v>-120785.76296296297</v>
      </c>
      <c r="Y264" s="47">
        <v>195672934</v>
      </c>
      <c r="Z264" s="47">
        <v>195672934</v>
      </c>
      <c r="AA264" s="47">
        <v>195672934</v>
      </c>
      <c r="AB264" s="47">
        <v>195672934</v>
      </c>
      <c r="AC264" s="47">
        <v>195672934</v>
      </c>
      <c r="AD264" s="47">
        <v>195672934</v>
      </c>
      <c r="AE264" s="47">
        <v>195672934</v>
      </c>
      <c r="AF264" s="47">
        <v>195672934</v>
      </c>
      <c r="AG264" s="47">
        <v>195672934</v>
      </c>
      <c r="AH264" s="47">
        <v>195672934</v>
      </c>
      <c r="AI264" s="47">
        <v>195672934</v>
      </c>
      <c r="AJ264" s="47">
        <v>195672934</v>
      </c>
      <c r="AK264" s="47">
        <v>195672934</v>
      </c>
      <c r="AL264" s="47">
        <v>-65224311</v>
      </c>
      <c r="AM264" s="47">
        <v>-163060778</v>
      </c>
      <c r="AN264" s="47">
        <v>-120785.76296296297</v>
      </c>
      <c r="AO264" s="47">
        <v>-120785.76296296297</v>
      </c>
      <c r="AP264" s="47">
        <v>-120785.76296296297</v>
      </c>
      <c r="AQ264" s="47">
        <v>-120785.76296296297</v>
      </c>
      <c r="AR264" s="47">
        <v>-120785.76296296297</v>
      </c>
      <c r="AS264" s="47">
        <v>-120785.76296296297</v>
      </c>
      <c r="AT264" s="47">
        <v>-120785.76296296297</v>
      </c>
      <c r="AU264" s="47">
        <v>-120785.76296296297</v>
      </c>
      <c r="AV264" s="47">
        <v>-120785.76296296297</v>
      </c>
      <c r="AW264" s="47">
        <v>-120785.76296296297</v>
      </c>
      <c r="AX264" s="47">
        <v>-120785.76296296297</v>
      </c>
      <c r="AY264" s="47">
        <v>-120785.76296296297</v>
      </c>
      <c r="AZ264" s="58">
        <f t="shared" si="12"/>
        <v>-1449429.1555555556</v>
      </c>
      <c r="BA264" s="47">
        <f>Y264+SUM($AM264:AM264)</f>
        <v>32612156</v>
      </c>
      <c r="BB264" s="48">
        <f>Z264+SUM($AM264:AN264)</f>
        <v>32491370.237037033</v>
      </c>
      <c r="BC264" s="48">
        <f>AA264+SUM($AM264:AO264)</f>
        <v>32370584.474074066</v>
      </c>
      <c r="BD264" s="48">
        <f>AB264+SUM($AM264:AP264)</f>
        <v>32249798.711111099</v>
      </c>
      <c r="BE264" s="48">
        <f>AC264+SUM($AM264:AQ264)</f>
        <v>32129012.948148131</v>
      </c>
      <c r="BF264" s="48">
        <f>AD264+SUM($AM264:AR264)</f>
        <v>32008227.185185164</v>
      </c>
      <c r="BG264" s="48">
        <f>AE264+SUM($AM264:AS264)</f>
        <v>31887441.422222197</v>
      </c>
      <c r="BH264" s="48">
        <f>AF264+SUM($AM264:AT264)</f>
        <v>31766655.65925923</v>
      </c>
      <c r="BI264" s="48">
        <f>AG264+SUM($AM264:AU264)</f>
        <v>31645869.896296263</v>
      </c>
      <c r="BJ264" s="48">
        <f>AH264+SUM($AM264:AV264)</f>
        <v>31525084.133333296</v>
      </c>
      <c r="BK264" s="48">
        <f>AI264+SUM($AM264:AW264)</f>
        <v>31404298.370370328</v>
      </c>
      <c r="BL264" s="48">
        <f>AJ264+SUM($AM264:AX264)</f>
        <v>31283512.607407361</v>
      </c>
      <c r="BM264" s="48">
        <f>AK264+SUM($AM264:AY264)</f>
        <v>31162726.844444394</v>
      </c>
      <c r="BO264" s="47"/>
    </row>
    <row r="265" spans="3:67" s="41" customFormat="1" hidden="1" x14ac:dyDescent="0.3">
      <c r="C265" s="41" t="s">
        <v>1340</v>
      </c>
      <c r="D265" s="42" t="s">
        <v>350</v>
      </c>
      <c r="E265" s="42" t="str">
        <f t="shared" si="10"/>
        <v>211</v>
      </c>
      <c r="F265" s="41" t="str">
        <f>_xlfn.XLOOKUP($D265,MD_Account_Asset_Type[Nhóm tài sản],MD_Account_Asset_Type[Tên Nhóm tài sản])</f>
        <v>TSCĐ khác - SX 627</v>
      </c>
      <c r="G265" s="41" t="str">
        <f>_xlfn.XLOOKUP($D265,MD_Account_Asset_Type[Nhóm tài sản],MD_Account_Asset_Type[Tên nhóm TS-Rút gọn])</f>
        <v>Khác</v>
      </c>
      <c r="H265" s="41" t="str">
        <f>_xlfn.XLOOKUP($D265,MD_Account_Asset_Type[Nhóm tài sản],MD_Account_Asset_Type[Tên nhóm TS-Rút gọn-v2])</f>
        <v>TSCĐHH-Khác</v>
      </c>
      <c r="I265" s="43" t="s">
        <v>1135</v>
      </c>
      <c r="J265" s="42" t="s">
        <v>762</v>
      </c>
      <c r="K265" s="41" t="s">
        <v>502</v>
      </c>
      <c r="L265" s="42" t="s">
        <v>48</v>
      </c>
      <c r="M265" s="42" t="s">
        <v>123</v>
      </c>
      <c r="N265" s="44">
        <v>0</v>
      </c>
      <c r="O265" s="44"/>
      <c r="P265" s="41" t="s">
        <v>466</v>
      </c>
      <c r="Q265" s="41" t="str">
        <f t="shared" si="13"/>
        <v>627</v>
      </c>
      <c r="R265" s="41" t="str">
        <f>_xlfn.XLOOKUP($L265,MD_Cost_Center[Mã Cost Center],MD_Cost_Center[Ngành])</f>
        <v>PET</v>
      </c>
      <c r="S265" s="41" t="str">
        <f>_xlfn.XLOOKUP($L265,MD_Cost_Center[Mã Cost Center],MD_Cost_Center[Ngành-Tách PET-Xơ sợi])</f>
        <v>Chung-PET</v>
      </c>
      <c r="T265" s="45">
        <v>45108</v>
      </c>
      <c r="U265" s="46">
        <v>46204</v>
      </c>
      <c r="V265" s="47">
        <v>300</v>
      </c>
      <c r="W265" s="47">
        <v>53030000</v>
      </c>
      <c r="X265" s="47">
        <v>-32734.566666666666</v>
      </c>
      <c r="Y265" s="47">
        <v>53030000</v>
      </c>
      <c r="Z265" s="47">
        <v>53030000</v>
      </c>
      <c r="AA265" s="47">
        <v>53030000</v>
      </c>
      <c r="AB265" s="47">
        <v>53030000</v>
      </c>
      <c r="AC265" s="47">
        <v>53030000</v>
      </c>
      <c r="AD265" s="47">
        <v>53030000</v>
      </c>
      <c r="AE265" s="47">
        <v>53030000</v>
      </c>
      <c r="AF265" s="47">
        <v>53030000</v>
      </c>
      <c r="AG265" s="47">
        <v>53030000</v>
      </c>
      <c r="AH265" s="47">
        <v>53030000</v>
      </c>
      <c r="AI265" s="47">
        <v>53030000</v>
      </c>
      <c r="AJ265" s="47">
        <v>53030000</v>
      </c>
      <c r="AK265" s="47">
        <v>53030000</v>
      </c>
      <c r="AL265" s="47">
        <v>-17676667</v>
      </c>
      <c r="AM265" s="47">
        <v>-44191667</v>
      </c>
      <c r="AN265" s="47">
        <v>-32734.566666666666</v>
      </c>
      <c r="AO265" s="47">
        <v>-32734.566666666666</v>
      </c>
      <c r="AP265" s="47">
        <v>-32734.566666666666</v>
      </c>
      <c r="AQ265" s="47">
        <v>-32734.566666666666</v>
      </c>
      <c r="AR265" s="47">
        <v>-32734.566666666666</v>
      </c>
      <c r="AS265" s="47">
        <v>-32734.566666666666</v>
      </c>
      <c r="AT265" s="47">
        <v>-32734.566666666666</v>
      </c>
      <c r="AU265" s="47">
        <v>-32734.566666666666</v>
      </c>
      <c r="AV265" s="47">
        <v>-32734.566666666666</v>
      </c>
      <c r="AW265" s="47">
        <v>-32734.566666666666</v>
      </c>
      <c r="AX265" s="47">
        <v>-32734.566666666666</v>
      </c>
      <c r="AY265" s="47">
        <v>-32734.566666666666</v>
      </c>
      <c r="AZ265" s="58">
        <f t="shared" si="12"/>
        <v>-392814.79999999987</v>
      </c>
      <c r="BA265" s="47">
        <f>Y265+SUM($AM265:AM265)</f>
        <v>8838333</v>
      </c>
      <c r="BB265" s="48">
        <f>Z265+SUM($AM265:AN265)</f>
        <v>8805598.4333333299</v>
      </c>
      <c r="BC265" s="48">
        <f>AA265+SUM($AM265:AO265)</f>
        <v>8772863.8666666597</v>
      </c>
      <c r="BD265" s="48">
        <f>AB265+SUM($AM265:AP265)</f>
        <v>8740129.2999999896</v>
      </c>
      <c r="BE265" s="48">
        <f>AC265+SUM($AM265:AQ265)</f>
        <v>8707394.7333333194</v>
      </c>
      <c r="BF265" s="48">
        <f>AD265+SUM($AM265:AR265)</f>
        <v>8674660.1666666493</v>
      </c>
      <c r="BG265" s="48">
        <f>AE265+SUM($AM265:AS265)</f>
        <v>8641925.5999999791</v>
      </c>
      <c r="BH265" s="48">
        <f>AF265+SUM($AM265:AT265)</f>
        <v>8609191.033333309</v>
      </c>
      <c r="BI265" s="48">
        <f>AG265+SUM($AM265:AU265)</f>
        <v>8576456.4666666389</v>
      </c>
      <c r="BJ265" s="48">
        <f>AH265+SUM($AM265:AV265)</f>
        <v>8543721.8999999687</v>
      </c>
      <c r="BK265" s="48">
        <f>AI265+SUM($AM265:AW265)</f>
        <v>8510987.3333332986</v>
      </c>
      <c r="BL265" s="48">
        <f>AJ265+SUM($AM265:AX265)</f>
        <v>8478252.7666666284</v>
      </c>
      <c r="BM265" s="48">
        <f>AK265+SUM($AM265:AY265)</f>
        <v>8445518.1999999583</v>
      </c>
      <c r="BO265" s="47"/>
    </row>
    <row r="266" spans="3:67" s="41" customFormat="1" hidden="1" x14ac:dyDescent="0.3">
      <c r="C266" s="41" t="s">
        <v>1340</v>
      </c>
      <c r="D266" s="42" t="s">
        <v>350</v>
      </c>
      <c r="E266" s="42" t="str">
        <f t="shared" ref="E266:E329" si="14">MID($D266,2,3)</f>
        <v>211</v>
      </c>
      <c r="F266" s="41" t="str">
        <f>_xlfn.XLOOKUP($D266,MD_Account_Asset_Type[Nhóm tài sản],MD_Account_Asset_Type[Tên Nhóm tài sản])</f>
        <v>TSCĐ khác - SX 627</v>
      </c>
      <c r="G266" s="41" t="str">
        <f>_xlfn.XLOOKUP($D266,MD_Account_Asset_Type[Nhóm tài sản],MD_Account_Asset_Type[Tên nhóm TS-Rút gọn])</f>
        <v>Khác</v>
      </c>
      <c r="H266" s="41" t="str">
        <f>_xlfn.XLOOKUP($D266,MD_Account_Asset_Type[Nhóm tài sản],MD_Account_Asset_Type[Tên nhóm TS-Rút gọn-v2])</f>
        <v>TSCĐHH-Khác</v>
      </c>
      <c r="I266" s="43" t="s">
        <v>1136</v>
      </c>
      <c r="J266" s="42" t="s">
        <v>763</v>
      </c>
      <c r="K266" s="41" t="s">
        <v>502</v>
      </c>
      <c r="L266" s="42" t="s">
        <v>48</v>
      </c>
      <c r="M266" s="42" t="s">
        <v>123</v>
      </c>
      <c r="N266" s="44">
        <v>0</v>
      </c>
      <c r="O266" s="44"/>
      <c r="P266" s="41" t="s">
        <v>466</v>
      </c>
      <c r="Q266" s="41" t="str">
        <f t="shared" si="13"/>
        <v>627</v>
      </c>
      <c r="R266" s="41" t="str">
        <f>_xlfn.XLOOKUP($L266,MD_Cost_Center[Mã Cost Center],MD_Cost_Center[Ngành])</f>
        <v>PET</v>
      </c>
      <c r="S266" s="41" t="str">
        <f>_xlfn.XLOOKUP($L266,MD_Cost_Center[Mã Cost Center],MD_Cost_Center[Ngành-Tách PET-Xơ sợi])</f>
        <v>Chung-PET</v>
      </c>
      <c r="T266" s="45">
        <v>45141</v>
      </c>
      <c r="U266" s="46">
        <v>46237</v>
      </c>
      <c r="V266" s="47">
        <v>300</v>
      </c>
      <c r="W266" s="47">
        <v>81154545</v>
      </c>
      <c r="X266" s="47">
        <v>-58228.966789667895</v>
      </c>
      <c r="Y266" s="47">
        <v>81154545</v>
      </c>
      <c r="Z266" s="47">
        <v>81154545</v>
      </c>
      <c r="AA266" s="47">
        <v>81154545</v>
      </c>
      <c r="AB266" s="47">
        <v>81154545</v>
      </c>
      <c r="AC266" s="47">
        <v>81154545</v>
      </c>
      <c r="AD266" s="47">
        <v>81154545</v>
      </c>
      <c r="AE266" s="47">
        <v>81154545</v>
      </c>
      <c r="AF266" s="47">
        <v>81154545</v>
      </c>
      <c r="AG266" s="47">
        <v>81154545</v>
      </c>
      <c r="AH266" s="47">
        <v>81154545</v>
      </c>
      <c r="AI266" s="47">
        <v>81154545</v>
      </c>
      <c r="AJ266" s="47">
        <v>81154545</v>
      </c>
      <c r="AK266" s="47">
        <v>81154545</v>
      </c>
      <c r="AL266" s="47">
        <v>-27051515</v>
      </c>
      <c r="AM266" s="47">
        <v>-65374495</v>
      </c>
      <c r="AN266" s="47">
        <v>-58228.966789667895</v>
      </c>
      <c r="AO266" s="47">
        <v>-58228.966789667895</v>
      </c>
      <c r="AP266" s="47">
        <v>-58228.966789667895</v>
      </c>
      <c r="AQ266" s="47">
        <v>-58228.966789667895</v>
      </c>
      <c r="AR266" s="47">
        <v>-58228.966789667895</v>
      </c>
      <c r="AS266" s="47">
        <v>-58228.966789667895</v>
      </c>
      <c r="AT266" s="47">
        <v>-58228.966789667895</v>
      </c>
      <c r="AU266" s="47">
        <v>-58228.966789667895</v>
      </c>
      <c r="AV266" s="47">
        <v>-58228.966789667895</v>
      </c>
      <c r="AW266" s="47">
        <v>-58228.966789667895</v>
      </c>
      <c r="AX266" s="47">
        <v>-58228.966789667895</v>
      </c>
      <c r="AY266" s="47">
        <v>-58228.966789667895</v>
      </c>
      <c r="AZ266" s="58">
        <f t="shared" si="12"/>
        <v>-698747.60147601459</v>
      </c>
      <c r="BA266" s="47">
        <f>Y266+SUM($AM266:AM266)</f>
        <v>15780050</v>
      </c>
      <c r="BB266" s="48">
        <f>Z266+SUM($AM266:AN266)</f>
        <v>15721821.03321033</v>
      </c>
      <c r="BC266" s="48">
        <f>AA266+SUM($AM266:AO266)</f>
        <v>15663592.066420659</v>
      </c>
      <c r="BD266" s="48">
        <f>AB266+SUM($AM266:AP266)</f>
        <v>15605363.099630989</v>
      </c>
      <c r="BE266" s="48">
        <f>AC266+SUM($AM266:AQ266)</f>
        <v>15547134.132841319</v>
      </c>
      <c r="BF266" s="48">
        <f>AD266+SUM($AM266:AR266)</f>
        <v>15488905.166051649</v>
      </c>
      <c r="BG266" s="48">
        <f>AE266+SUM($AM266:AS266)</f>
        <v>15430676.199261978</v>
      </c>
      <c r="BH266" s="48">
        <f>AF266+SUM($AM266:AT266)</f>
        <v>15372447.232472308</v>
      </c>
      <c r="BI266" s="48">
        <f>AG266+SUM($AM266:AU266)</f>
        <v>15314218.265682638</v>
      </c>
      <c r="BJ266" s="48">
        <f>AH266+SUM($AM266:AV266)</f>
        <v>15255989.298892967</v>
      </c>
      <c r="BK266" s="48">
        <f>AI266+SUM($AM266:AW266)</f>
        <v>15197760.332103297</v>
      </c>
      <c r="BL266" s="48">
        <f>AJ266+SUM($AM266:AX266)</f>
        <v>15139531.365313627</v>
      </c>
      <c r="BM266" s="48">
        <f>AK266+SUM($AM266:AY266)</f>
        <v>15081302.398523957</v>
      </c>
      <c r="BO266" s="47"/>
    </row>
    <row r="267" spans="3:67" s="41" customFormat="1" hidden="1" x14ac:dyDescent="0.3">
      <c r="C267" s="41" t="s">
        <v>1340</v>
      </c>
      <c r="D267" s="42" t="s">
        <v>350</v>
      </c>
      <c r="E267" s="42" t="str">
        <f t="shared" si="14"/>
        <v>211</v>
      </c>
      <c r="F267" s="41" t="str">
        <f>_xlfn.XLOOKUP($D267,MD_Account_Asset_Type[Nhóm tài sản],MD_Account_Asset_Type[Tên Nhóm tài sản])</f>
        <v>TSCĐ khác - SX 627</v>
      </c>
      <c r="G267" s="41" t="str">
        <f>_xlfn.XLOOKUP($D267,MD_Account_Asset_Type[Nhóm tài sản],MD_Account_Asset_Type[Tên nhóm TS-Rút gọn])</f>
        <v>Khác</v>
      </c>
      <c r="H267" s="41" t="str">
        <f>_xlfn.XLOOKUP($D267,MD_Account_Asset_Type[Nhóm tài sản],MD_Account_Asset_Type[Tên nhóm TS-Rút gọn-v2])</f>
        <v>TSCĐHH-Khác</v>
      </c>
      <c r="I267" s="43" t="s">
        <v>1137</v>
      </c>
      <c r="J267" s="42" t="s">
        <v>764</v>
      </c>
      <c r="K267" s="41" t="s">
        <v>502</v>
      </c>
      <c r="L267" s="42" t="s">
        <v>48</v>
      </c>
      <c r="M267" s="42" t="s">
        <v>123</v>
      </c>
      <c r="N267" s="44">
        <v>0</v>
      </c>
      <c r="O267" s="44"/>
      <c r="P267" s="41" t="s">
        <v>466</v>
      </c>
      <c r="Q267" s="41" t="str">
        <f t="shared" si="13"/>
        <v>627</v>
      </c>
      <c r="R267" s="41" t="str">
        <f>_xlfn.XLOOKUP($L267,MD_Cost_Center[Mã Cost Center],MD_Cost_Center[Ngành])</f>
        <v>PET</v>
      </c>
      <c r="S267" s="41" t="str">
        <f>_xlfn.XLOOKUP($L267,MD_Cost_Center[Mã Cost Center],MD_Cost_Center[Ngành-Tách PET-Xơ sợi])</f>
        <v>Chung-PET</v>
      </c>
      <c r="T267" s="45">
        <v>45170</v>
      </c>
      <c r="U267" s="46">
        <v>50649</v>
      </c>
      <c r="V267" s="47">
        <v>300</v>
      </c>
      <c r="W267" s="47">
        <v>6445602086</v>
      </c>
      <c r="X267" s="47">
        <v>-20010856.147058822</v>
      </c>
      <c r="Y267" s="47">
        <v>6445602086</v>
      </c>
      <c r="Z267" s="47">
        <v>6445602086</v>
      </c>
      <c r="AA267" s="47">
        <v>6445602086</v>
      </c>
      <c r="AB267" s="47">
        <v>6445602086</v>
      </c>
      <c r="AC267" s="47">
        <v>6445602086</v>
      </c>
      <c r="AD267" s="47">
        <v>6445602086</v>
      </c>
      <c r="AE267" s="47">
        <v>6445602086</v>
      </c>
      <c r="AF267" s="47">
        <v>6445602086</v>
      </c>
      <c r="AG267" s="47">
        <v>6445602086</v>
      </c>
      <c r="AH267" s="47">
        <v>6445602086</v>
      </c>
      <c r="AI267" s="47">
        <v>6445602086</v>
      </c>
      <c r="AJ267" s="47">
        <v>6445602086</v>
      </c>
      <c r="AK267" s="47">
        <v>6445602086</v>
      </c>
      <c r="AL267" s="47">
        <v>-429706806</v>
      </c>
      <c r="AM267" s="47">
        <v>-1002649214</v>
      </c>
      <c r="AN267" s="47">
        <v>-20010856.147058822</v>
      </c>
      <c r="AO267" s="47">
        <v>-20010856.147058822</v>
      </c>
      <c r="AP267" s="47">
        <v>-20010856.147058822</v>
      </c>
      <c r="AQ267" s="47">
        <v>-20010856.147058822</v>
      </c>
      <c r="AR267" s="47">
        <v>-20010856.147058822</v>
      </c>
      <c r="AS267" s="47">
        <v>-20010856.147058822</v>
      </c>
      <c r="AT267" s="47">
        <v>-20010856.147058822</v>
      </c>
      <c r="AU267" s="47">
        <v>-20010856.147058822</v>
      </c>
      <c r="AV267" s="47">
        <v>-20010856.147058822</v>
      </c>
      <c r="AW267" s="47">
        <v>-20010856.147058822</v>
      </c>
      <c r="AX267" s="47">
        <v>-20010856.147058822</v>
      </c>
      <c r="AY267" s="47">
        <v>-20010856.147058822</v>
      </c>
      <c r="AZ267" s="58">
        <f t="shared" si="12"/>
        <v>-240130273.76470581</v>
      </c>
      <c r="BA267" s="47">
        <f>Y267+SUM($AM267:AM267)</f>
        <v>5442952872</v>
      </c>
      <c r="BB267" s="48">
        <f>Z267+SUM($AM267:AN267)</f>
        <v>5422942015.8529415</v>
      </c>
      <c r="BC267" s="48">
        <f>AA267+SUM($AM267:AO267)</f>
        <v>5402931159.7058821</v>
      </c>
      <c r="BD267" s="48">
        <f>AB267+SUM($AM267:AP267)</f>
        <v>5382920303.5588236</v>
      </c>
      <c r="BE267" s="48">
        <f>AC267+SUM($AM267:AQ267)</f>
        <v>5362909447.4117641</v>
      </c>
      <c r="BF267" s="48">
        <f>AD267+SUM($AM267:AR267)</f>
        <v>5342898591.2647057</v>
      </c>
      <c r="BG267" s="48">
        <f>AE267+SUM($AM267:AS267)</f>
        <v>5322887735.1176472</v>
      </c>
      <c r="BH267" s="48">
        <f>AF267+SUM($AM267:AT267)</f>
        <v>5302876878.9705887</v>
      </c>
      <c r="BI267" s="48">
        <f>AG267+SUM($AM267:AU267)</f>
        <v>5282866022.8235302</v>
      </c>
      <c r="BJ267" s="48">
        <f>AH267+SUM($AM267:AV267)</f>
        <v>5262855166.6764708</v>
      </c>
      <c r="BK267" s="48">
        <f>AI267+SUM($AM267:AW267)</f>
        <v>5242844310.5294123</v>
      </c>
      <c r="BL267" s="48">
        <f>AJ267+SUM($AM267:AX267)</f>
        <v>5222833454.3823538</v>
      </c>
      <c r="BM267" s="48">
        <f>AK267+SUM($AM267:AY267)</f>
        <v>5202822598.2352943</v>
      </c>
      <c r="BO267" s="47"/>
    </row>
    <row r="268" spans="3:67" s="41" customFormat="1" hidden="1" x14ac:dyDescent="0.3">
      <c r="C268" s="41" t="s">
        <v>1340</v>
      </c>
      <c r="D268" s="42" t="s">
        <v>350</v>
      </c>
      <c r="E268" s="42" t="str">
        <f t="shared" si="14"/>
        <v>211</v>
      </c>
      <c r="F268" s="41" t="str">
        <f>_xlfn.XLOOKUP($D268,MD_Account_Asset_Type[Nhóm tài sản],MD_Account_Asset_Type[Tên Nhóm tài sản])</f>
        <v>TSCĐ khác - SX 627</v>
      </c>
      <c r="G268" s="41" t="str">
        <f>_xlfn.XLOOKUP($D268,MD_Account_Asset_Type[Nhóm tài sản],MD_Account_Asset_Type[Tên nhóm TS-Rút gọn])</f>
        <v>Khác</v>
      </c>
      <c r="H268" s="41" t="str">
        <f>_xlfn.XLOOKUP($D268,MD_Account_Asset_Type[Nhóm tài sản],MD_Account_Asset_Type[Tên nhóm TS-Rút gọn-v2])</f>
        <v>TSCĐHH-Khác</v>
      </c>
      <c r="I268" s="43" t="s">
        <v>1138</v>
      </c>
      <c r="J268" s="42" t="s">
        <v>765</v>
      </c>
      <c r="K268" s="41" t="s">
        <v>502</v>
      </c>
      <c r="L268" s="42" t="s">
        <v>48</v>
      </c>
      <c r="M268" s="42" t="s">
        <v>123</v>
      </c>
      <c r="N268" s="44">
        <v>0</v>
      </c>
      <c r="O268" s="44"/>
      <c r="P268" s="41" t="s">
        <v>466</v>
      </c>
      <c r="Q268" s="41" t="str">
        <f t="shared" si="13"/>
        <v>627</v>
      </c>
      <c r="R268" s="41" t="str">
        <f>_xlfn.XLOOKUP($L268,MD_Cost_Center[Mã Cost Center],MD_Cost_Center[Ngành])</f>
        <v>PET</v>
      </c>
      <c r="S268" s="41" t="str">
        <f>_xlfn.XLOOKUP($L268,MD_Cost_Center[Mã Cost Center],MD_Cost_Center[Ngành-Tách PET-Xơ sợi])</f>
        <v>Chung-PET</v>
      </c>
      <c r="T268" s="45">
        <v>45323</v>
      </c>
      <c r="U268" s="46">
        <v>47150</v>
      </c>
      <c r="V268" s="47">
        <v>300</v>
      </c>
      <c r="W268" s="47">
        <v>62000000</v>
      </c>
      <c r="X268" s="47">
        <v>-138026.47292418772</v>
      </c>
      <c r="Y268" s="47">
        <v>62000000</v>
      </c>
      <c r="Z268" s="47">
        <v>62000000</v>
      </c>
      <c r="AA268" s="47">
        <v>62000000</v>
      </c>
      <c r="AB268" s="47">
        <v>62000000</v>
      </c>
      <c r="AC268" s="47">
        <v>62000000</v>
      </c>
      <c r="AD268" s="47">
        <v>62000000</v>
      </c>
      <c r="AE268" s="47">
        <v>62000000</v>
      </c>
      <c r="AF268" s="47">
        <v>62000000</v>
      </c>
      <c r="AG268" s="47">
        <v>62000000</v>
      </c>
      <c r="AH268" s="47">
        <v>62000000</v>
      </c>
      <c r="AI268" s="47">
        <v>62000000</v>
      </c>
      <c r="AJ268" s="47">
        <v>62000000</v>
      </c>
      <c r="AK268" s="47">
        <v>62000000</v>
      </c>
      <c r="AL268" s="47">
        <v>-12400000</v>
      </c>
      <c r="AM268" s="47">
        <v>-23766667</v>
      </c>
      <c r="AN268" s="47">
        <v>-138026.47292418772</v>
      </c>
      <c r="AO268" s="47">
        <v>-138026.47292418772</v>
      </c>
      <c r="AP268" s="47">
        <v>-138026.47292418772</v>
      </c>
      <c r="AQ268" s="47">
        <v>-138026.47292418772</v>
      </c>
      <c r="AR268" s="47">
        <v>-138026.47292418772</v>
      </c>
      <c r="AS268" s="47">
        <v>-138026.47292418772</v>
      </c>
      <c r="AT268" s="47">
        <v>-138026.47292418772</v>
      </c>
      <c r="AU268" s="47">
        <v>-138026.47292418772</v>
      </c>
      <c r="AV268" s="47">
        <v>-138026.47292418772</v>
      </c>
      <c r="AW268" s="47">
        <v>-138026.47292418772</v>
      </c>
      <c r="AX268" s="47">
        <v>-138026.47292418772</v>
      </c>
      <c r="AY268" s="47">
        <v>-138026.47292418772</v>
      </c>
      <c r="AZ268" s="58">
        <f t="shared" si="12"/>
        <v>-1656317.6750902531</v>
      </c>
      <c r="BA268" s="47">
        <f>Y268+SUM($AM268:AM268)</f>
        <v>38233333</v>
      </c>
      <c r="BB268" s="48">
        <f>Z268+SUM($AM268:AN268)</f>
        <v>38095306.527075812</v>
      </c>
      <c r="BC268" s="48">
        <f>AA268+SUM($AM268:AO268)</f>
        <v>37957280.054151624</v>
      </c>
      <c r="BD268" s="48">
        <f>AB268+SUM($AM268:AP268)</f>
        <v>37819253.581227437</v>
      </c>
      <c r="BE268" s="48">
        <f>AC268+SUM($AM268:AQ268)</f>
        <v>37681227.108303249</v>
      </c>
      <c r="BF268" s="48">
        <f>AD268+SUM($AM268:AR268)</f>
        <v>37543200.635379061</v>
      </c>
      <c r="BG268" s="48">
        <f>AE268+SUM($AM268:AS268)</f>
        <v>37405174.162454873</v>
      </c>
      <c r="BH268" s="48">
        <f>AF268+SUM($AM268:AT268)</f>
        <v>37267147.689530686</v>
      </c>
      <c r="BI268" s="48">
        <f>AG268+SUM($AM268:AU268)</f>
        <v>37129121.216606498</v>
      </c>
      <c r="BJ268" s="48">
        <f>AH268+SUM($AM268:AV268)</f>
        <v>36991094.74368231</v>
      </c>
      <c r="BK268" s="48">
        <f>AI268+SUM($AM268:AW268)</f>
        <v>36853068.270758122</v>
      </c>
      <c r="BL268" s="48">
        <f>AJ268+SUM($AM268:AX268)</f>
        <v>36715041.797833934</v>
      </c>
      <c r="BM268" s="48">
        <f>AK268+SUM($AM268:AY268)</f>
        <v>36577015.324909747</v>
      </c>
      <c r="BO268" s="47"/>
    </row>
    <row r="269" spans="3:67" s="41" customFormat="1" hidden="1" x14ac:dyDescent="0.3">
      <c r="C269" s="41" t="s">
        <v>1340</v>
      </c>
      <c r="D269" s="42" t="s">
        <v>350</v>
      </c>
      <c r="E269" s="42" t="str">
        <f t="shared" si="14"/>
        <v>211</v>
      </c>
      <c r="F269" s="41" t="str">
        <f>_xlfn.XLOOKUP($D269,MD_Account_Asset_Type[Nhóm tài sản],MD_Account_Asset_Type[Tên Nhóm tài sản])</f>
        <v>TSCĐ khác - SX 627</v>
      </c>
      <c r="G269" s="41" t="str">
        <f>_xlfn.XLOOKUP($D269,MD_Account_Asset_Type[Nhóm tài sản],MD_Account_Asset_Type[Tên nhóm TS-Rút gọn])</f>
        <v>Khác</v>
      </c>
      <c r="H269" s="41" t="str">
        <f>_xlfn.XLOOKUP($D269,MD_Account_Asset_Type[Nhóm tài sản],MD_Account_Asset_Type[Tên nhóm TS-Rút gọn-v2])</f>
        <v>TSCĐHH-Khác</v>
      </c>
      <c r="I269" s="43" t="s">
        <v>1139</v>
      </c>
      <c r="J269" s="42" t="s">
        <v>766</v>
      </c>
      <c r="K269" s="41" t="s">
        <v>502</v>
      </c>
      <c r="L269" s="42" t="s">
        <v>89</v>
      </c>
      <c r="M269" s="42" t="s">
        <v>164</v>
      </c>
      <c r="N269" s="44">
        <v>0</v>
      </c>
      <c r="O269" s="44"/>
      <c r="P269" s="41" t="s">
        <v>466</v>
      </c>
      <c r="Q269" s="41" t="str">
        <f t="shared" si="13"/>
        <v>627</v>
      </c>
      <c r="R269" s="41" t="str">
        <f>_xlfn.XLOOKUP($L269,MD_Cost_Center[Mã Cost Center],MD_Cost_Center[Ngành])</f>
        <v>HD/PP</v>
      </c>
      <c r="S269" s="41" t="str">
        <f>_xlfn.XLOOKUP($L269,MD_Cost_Center[Mã Cost Center],MD_Cost_Center[Ngành-Tách PET-Xơ sợi])</f>
        <v>HD/PP</v>
      </c>
      <c r="T269" s="45">
        <v>45323</v>
      </c>
      <c r="U269" s="46">
        <v>47150</v>
      </c>
      <c r="V269" s="47">
        <v>300</v>
      </c>
      <c r="W269" s="47">
        <v>82154641</v>
      </c>
      <c r="X269" s="47">
        <v>-182895.41155234657</v>
      </c>
      <c r="Y269" s="47">
        <v>82154641</v>
      </c>
      <c r="Z269" s="47">
        <v>82154641</v>
      </c>
      <c r="AA269" s="47">
        <v>82154641</v>
      </c>
      <c r="AB269" s="47">
        <v>82154641</v>
      </c>
      <c r="AC269" s="47">
        <v>82154641</v>
      </c>
      <c r="AD269" s="47">
        <v>82154641</v>
      </c>
      <c r="AE269" s="47">
        <v>82154641</v>
      </c>
      <c r="AF269" s="47">
        <v>82154641</v>
      </c>
      <c r="AG269" s="47">
        <v>82154641</v>
      </c>
      <c r="AH269" s="47">
        <v>82154641</v>
      </c>
      <c r="AI269" s="47">
        <v>82154641</v>
      </c>
      <c r="AJ269" s="47">
        <v>82154641</v>
      </c>
      <c r="AK269" s="47">
        <v>82154641</v>
      </c>
      <c r="AL269" s="47">
        <v>-16430928</v>
      </c>
      <c r="AM269" s="47">
        <v>-31492612</v>
      </c>
      <c r="AN269" s="47">
        <v>-182895.41155234657</v>
      </c>
      <c r="AO269" s="47">
        <v>-182895.41155234657</v>
      </c>
      <c r="AP269" s="47">
        <v>-182895.41155234657</v>
      </c>
      <c r="AQ269" s="47">
        <v>-182895.41155234657</v>
      </c>
      <c r="AR269" s="47">
        <v>-182895.41155234657</v>
      </c>
      <c r="AS269" s="47">
        <v>-182895.41155234657</v>
      </c>
      <c r="AT269" s="47">
        <v>-182895.41155234657</v>
      </c>
      <c r="AU269" s="47">
        <v>-182895.41155234657</v>
      </c>
      <c r="AV269" s="47">
        <v>-182895.41155234657</v>
      </c>
      <c r="AW269" s="47">
        <v>-182895.41155234657</v>
      </c>
      <c r="AX269" s="47">
        <v>-182895.41155234657</v>
      </c>
      <c r="AY269" s="47">
        <v>-182895.41155234657</v>
      </c>
      <c r="AZ269" s="58">
        <f t="shared" si="12"/>
        <v>-2194744.938628159</v>
      </c>
      <c r="BA269" s="47">
        <f>Y269+SUM($AM269:AM269)</f>
        <v>50662029</v>
      </c>
      <c r="BB269" s="48">
        <f>Z269+SUM($AM269:AN269)</f>
        <v>50479133.588447653</v>
      </c>
      <c r="BC269" s="48">
        <f>AA269+SUM($AM269:AO269)</f>
        <v>50296238.176895306</v>
      </c>
      <c r="BD269" s="48">
        <f>AB269+SUM($AM269:AP269)</f>
        <v>50113342.765342958</v>
      </c>
      <c r="BE269" s="48">
        <f>AC269+SUM($AM269:AQ269)</f>
        <v>49930447.353790611</v>
      </c>
      <c r="BF269" s="48">
        <f>AD269+SUM($AM269:AR269)</f>
        <v>49747551.942238264</v>
      </c>
      <c r="BG269" s="48">
        <f>AE269+SUM($AM269:AS269)</f>
        <v>49564656.530685917</v>
      </c>
      <c r="BH269" s="48">
        <f>AF269+SUM($AM269:AT269)</f>
        <v>49381761.119133569</v>
      </c>
      <c r="BI269" s="48">
        <f>AG269+SUM($AM269:AU269)</f>
        <v>49198865.707581222</v>
      </c>
      <c r="BJ269" s="48">
        <f>AH269+SUM($AM269:AV269)</f>
        <v>49015970.296028875</v>
      </c>
      <c r="BK269" s="48">
        <f>AI269+SUM($AM269:AW269)</f>
        <v>48833074.884476528</v>
      </c>
      <c r="BL269" s="48">
        <f>AJ269+SUM($AM269:AX269)</f>
        <v>48650179.47292418</v>
      </c>
      <c r="BM269" s="48">
        <f>AK269+SUM($AM269:AY269)</f>
        <v>48467284.061371833</v>
      </c>
      <c r="BO269" s="47"/>
    </row>
    <row r="270" spans="3:67" s="41" customFormat="1" hidden="1" x14ac:dyDescent="0.3">
      <c r="C270" s="41" t="s">
        <v>1340</v>
      </c>
      <c r="D270" s="42" t="s">
        <v>350</v>
      </c>
      <c r="E270" s="42" t="str">
        <f t="shared" si="14"/>
        <v>211</v>
      </c>
      <c r="F270" s="41" t="str">
        <f>_xlfn.XLOOKUP($D270,MD_Account_Asset_Type[Nhóm tài sản],MD_Account_Asset_Type[Tên Nhóm tài sản])</f>
        <v>TSCĐ khác - SX 627</v>
      </c>
      <c r="G270" s="41" t="str">
        <f>_xlfn.XLOOKUP($D270,MD_Account_Asset_Type[Nhóm tài sản],MD_Account_Asset_Type[Tên nhóm TS-Rút gọn])</f>
        <v>Khác</v>
      </c>
      <c r="H270" s="41" t="str">
        <f>_xlfn.XLOOKUP($D270,MD_Account_Asset_Type[Nhóm tài sản],MD_Account_Asset_Type[Tên nhóm TS-Rút gọn-v2])</f>
        <v>TSCĐHH-Khác</v>
      </c>
      <c r="I270" s="43" t="s">
        <v>1140</v>
      </c>
      <c r="J270" s="42" t="s">
        <v>767</v>
      </c>
      <c r="K270" s="41" t="s">
        <v>502</v>
      </c>
      <c r="L270" s="42" t="s">
        <v>89</v>
      </c>
      <c r="M270" s="42" t="s">
        <v>164</v>
      </c>
      <c r="N270" s="44">
        <v>0</v>
      </c>
      <c r="O270" s="44"/>
      <c r="P270" s="41" t="s">
        <v>466</v>
      </c>
      <c r="Q270" s="41" t="str">
        <f t="shared" si="13"/>
        <v>627</v>
      </c>
      <c r="R270" s="41" t="str">
        <f>_xlfn.XLOOKUP($L270,MD_Cost_Center[Mã Cost Center],MD_Cost_Center[Ngành])</f>
        <v>HD/PP</v>
      </c>
      <c r="S270" s="41" t="str">
        <f>_xlfn.XLOOKUP($L270,MD_Cost_Center[Mã Cost Center],MD_Cost_Center[Ngành-Tách PET-Xơ sợi])</f>
        <v>HD/PP</v>
      </c>
      <c r="T270" s="45">
        <v>45323</v>
      </c>
      <c r="U270" s="46">
        <v>47150</v>
      </c>
      <c r="V270" s="47">
        <v>300</v>
      </c>
      <c r="W270" s="47">
        <v>85500000</v>
      </c>
      <c r="X270" s="47">
        <v>-190342.96028880865</v>
      </c>
      <c r="Y270" s="47">
        <v>85500000</v>
      </c>
      <c r="Z270" s="47">
        <v>85500000</v>
      </c>
      <c r="AA270" s="47">
        <v>85500000</v>
      </c>
      <c r="AB270" s="47">
        <v>85500000</v>
      </c>
      <c r="AC270" s="47">
        <v>85500000</v>
      </c>
      <c r="AD270" s="47">
        <v>85500000</v>
      </c>
      <c r="AE270" s="47">
        <v>85500000</v>
      </c>
      <c r="AF270" s="47">
        <v>85500000</v>
      </c>
      <c r="AG270" s="47">
        <v>85500000</v>
      </c>
      <c r="AH270" s="47">
        <v>85500000</v>
      </c>
      <c r="AI270" s="47">
        <v>85500000</v>
      </c>
      <c r="AJ270" s="47">
        <v>85500000</v>
      </c>
      <c r="AK270" s="47">
        <v>85500000</v>
      </c>
      <c r="AL270" s="47">
        <v>-17100000</v>
      </c>
      <c r="AM270" s="47">
        <v>-32775000</v>
      </c>
      <c r="AN270" s="47">
        <v>-190342.96028880865</v>
      </c>
      <c r="AO270" s="47">
        <v>-190342.96028880865</v>
      </c>
      <c r="AP270" s="47">
        <v>-190342.96028880865</v>
      </c>
      <c r="AQ270" s="47">
        <v>-190342.96028880865</v>
      </c>
      <c r="AR270" s="47">
        <v>-190342.96028880865</v>
      </c>
      <c r="AS270" s="47">
        <v>-190342.96028880865</v>
      </c>
      <c r="AT270" s="47">
        <v>-190342.96028880865</v>
      </c>
      <c r="AU270" s="47">
        <v>-190342.96028880865</v>
      </c>
      <c r="AV270" s="47">
        <v>-190342.96028880865</v>
      </c>
      <c r="AW270" s="47">
        <v>-190342.96028880865</v>
      </c>
      <c r="AX270" s="47">
        <v>-190342.96028880865</v>
      </c>
      <c r="AY270" s="47">
        <v>-190342.96028880865</v>
      </c>
      <c r="AZ270" s="58">
        <f t="shared" si="12"/>
        <v>-2284115.5234657037</v>
      </c>
      <c r="BA270" s="47">
        <f>Y270+SUM($AM270:AM270)</f>
        <v>52725000</v>
      </c>
      <c r="BB270" s="48">
        <f>Z270+SUM($AM270:AN270)</f>
        <v>52534657.039711192</v>
      </c>
      <c r="BC270" s="48">
        <f>AA270+SUM($AM270:AO270)</f>
        <v>52344314.079422385</v>
      </c>
      <c r="BD270" s="48">
        <f>AB270+SUM($AM270:AP270)</f>
        <v>52153971.119133577</v>
      </c>
      <c r="BE270" s="48">
        <f>AC270+SUM($AM270:AQ270)</f>
        <v>51963628.158844769</v>
      </c>
      <c r="BF270" s="48">
        <f>AD270+SUM($AM270:AR270)</f>
        <v>51773285.198555961</v>
      </c>
      <c r="BG270" s="48">
        <f>AE270+SUM($AM270:AS270)</f>
        <v>51582942.238267154</v>
      </c>
      <c r="BH270" s="48">
        <f>AF270+SUM($AM270:AT270)</f>
        <v>51392599.277978346</v>
      </c>
      <c r="BI270" s="48">
        <f>AG270+SUM($AM270:AU270)</f>
        <v>51202256.317689538</v>
      </c>
      <c r="BJ270" s="48">
        <f>AH270+SUM($AM270:AV270)</f>
        <v>51011913.35740073</v>
      </c>
      <c r="BK270" s="48">
        <f>AI270+SUM($AM270:AW270)</f>
        <v>50821570.397111923</v>
      </c>
      <c r="BL270" s="48">
        <f>AJ270+SUM($AM270:AX270)</f>
        <v>50631227.436823115</v>
      </c>
      <c r="BM270" s="48">
        <f>AK270+SUM($AM270:AY270)</f>
        <v>50440884.476534307</v>
      </c>
      <c r="BO270" s="47"/>
    </row>
    <row r="271" spans="3:67" s="41" customFormat="1" hidden="1" x14ac:dyDescent="0.3">
      <c r="C271" s="41" t="s">
        <v>1340</v>
      </c>
      <c r="D271" s="42" t="s">
        <v>350</v>
      </c>
      <c r="E271" s="42" t="str">
        <f t="shared" si="14"/>
        <v>211</v>
      </c>
      <c r="F271" s="41" t="str">
        <f>_xlfn.XLOOKUP($D271,MD_Account_Asset_Type[Nhóm tài sản],MD_Account_Asset_Type[Tên Nhóm tài sản])</f>
        <v>TSCĐ khác - SX 627</v>
      </c>
      <c r="G271" s="41" t="str">
        <f>_xlfn.XLOOKUP($D271,MD_Account_Asset_Type[Nhóm tài sản],MD_Account_Asset_Type[Tên nhóm TS-Rút gọn])</f>
        <v>Khác</v>
      </c>
      <c r="H271" s="41" t="str">
        <f>_xlfn.XLOOKUP($D271,MD_Account_Asset_Type[Nhóm tài sản],MD_Account_Asset_Type[Tên nhóm TS-Rút gọn-v2])</f>
        <v>TSCĐHH-Khác</v>
      </c>
      <c r="I271" s="43" t="s">
        <v>1141</v>
      </c>
      <c r="J271" s="42" t="s">
        <v>768</v>
      </c>
      <c r="K271" s="41" t="s">
        <v>502</v>
      </c>
      <c r="L271" s="42" t="s">
        <v>48</v>
      </c>
      <c r="M271" s="42" t="s">
        <v>123</v>
      </c>
      <c r="N271" s="44">
        <v>0</v>
      </c>
      <c r="O271" s="44"/>
      <c r="P271" s="41" t="s">
        <v>466</v>
      </c>
      <c r="Q271" s="41" t="str">
        <f t="shared" si="13"/>
        <v>627</v>
      </c>
      <c r="R271" s="41" t="str">
        <f>_xlfn.XLOOKUP($L271,MD_Cost_Center[Mã Cost Center],MD_Cost_Center[Ngành])</f>
        <v>PET</v>
      </c>
      <c r="S271" s="41" t="str">
        <f>_xlfn.XLOOKUP($L271,MD_Cost_Center[Mã Cost Center],MD_Cost_Center[Ngành-Tách PET-Xơ sợi])</f>
        <v>Chung-PET</v>
      </c>
      <c r="T271" s="45">
        <v>45323</v>
      </c>
      <c r="U271" s="46">
        <v>47150</v>
      </c>
      <c r="V271" s="47">
        <v>300</v>
      </c>
      <c r="W271" s="47">
        <v>62000000</v>
      </c>
      <c r="X271" s="47">
        <v>-138026.47292418772</v>
      </c>
      <c r="Y271" s="47">
        <v>62000000</v>
      </c>
      <c r="Z271" s="47">
        <v>62000000</v>
      </c>
      <c r="AA271" s="47">
        <v>62000000</v>
      </c>
      <c r="AB271" s="47">
        <v>62000000</v>
      </c>
      <c r="AC271" s="47">
        <v>62000000</v>
      </c>
      <c r="AD271" s="47">
        <v>62000000</v>
      </c>
      <c r="AE271" s="47">
        <v>62000000</v>
      </c>
      <c r="AF271" s="47">
        <v>62000000</v>
      </c>
      <c r="AG271" s="47">
        <v>62000000</v>
      </c>
      <c r="AH271" s="47">
        <v>62000000</v>
      </c>
      <c r="AI271" s="47">
        <v>62000000</v>
      </c>
      <c r="AJ271" s="47">
        <v>62000000</v>
      </c>
      <c r="AK271" s="47">
        <v>62000000</v>
      </c>
      <c r="AL271" s="47">
        <v>-12400000</v>
      </c>
      <c r="AM271" s="47">
        <v>-23766667</v>
      </c>
      <c r="AN271" s="47">
        <v>-138026.47292418772</v>
      </c>
      <c r="AO271" s="47">
        <v>-138026.47292418772</v>
      </c>
      <c r="AP271" s="47">
        <v>-138026.47292418772</v>
      </c>
      <c r="AQ271" s="47">
        <v>-138026.47292418772</v>
      </c>
      <c r="AR271" s="47">
        <v>-138026.47292418772</v>
      </c>
      <c r="AS271" s="47">
        <v>-138026.47292418772</v>
      </c>
      <c r="AT271" s="47">
        <v>-138026.47292418772</v>
      </c>
      <c r="AU271" s="47">
        <v>-138026.47292418772</v>
      </c>
      <c r="AV271" s="47">
        <v>-138026.47292418772</v>
      </c>
      <c r="AW271" s="47">
        <v>-138026.47292418772</v>
      </c>
      <c r="AX271" s="47">
        <v>-138026.47292418772</v>
      </c>
      <c r="AY271" s="47">
        <v>-138026.47292418772</v>
      </c>
      <c r="AZ271" s="58">
        <f t="shared" si="12"/>
        <v>-1656317.6750902531</v>
      </c>
      <c r="BA271" s="47">
        <f>Y271+SUM($AM271:AM271)</f>
        <v>38233333</v>
      </c>
      <c r="BB271" s="48">
        <f>Z271+SUM($AM271:AN271)</f>
        <v>38095306.527075812</v>
      </c>
      <c r="BC271" s="48">
        <f>AA271+SUM($AM271:AO271)</f>
        <v>37957280.054151624</v>
      </c>
      <c r="BD271" s="48">
        <f>AB271+SUM($AM271:AP271)</f>
        <v>37819253.581227437</v>
      </c>
      <c r="BE271" s="48">
        <f>AC271+SUM($AM271:AQ271)</f>
        <v>37681227.108303249</v>
      </c>
      <c r="BF271" s="48">
        <f>AD271+SUM($AM271:AR271)</f>
        <v>37543200.635379061</v>
      </c>
      <c r="BG271" s="48">
        <f>AE271+SUM($AM271:AS271)</f>
        <v>37405174.162454873</v>
      </c>
      <c r="BH271" s="48">
        <f>AF271+SUM($AM271:AT271)</f>
        <v>37267147.689530686</v>
      </c>
      <c r="BI271" s="48">
        <f>AG271+SUM($AM271:AU271)</f>
        <v>37129121.216606498</v>
      </c>
      <c r="BJ271" s="48">
        <f>AH271+SUM($AM271:AV271)</f>
        <v>36991094.74368231</v>
      </c>
      <c r="BK271" s="48">
        <f>AI271+SUM($AM271:AW271)</f>
        <v>36853068.270758122</v>
      </c>
      <c r="BL271" s="48">
        <f>AJ271+SUM($AM271:AX271)</f>
        <v>36715041.797833934</v>
      </c>
      <c r="BM271" s="48">
        <f>AK271+SUM($AM271:AY271)</f>
        <v>36577015.324909747</v>
      </c>
      <c r="BO271" s="47"/>
    </row>
    <row r="272" spans="3:67" s="41" customFormat="1" hidden="1" x14ac:dyDescent="0.3">
      <c r="C272" s="41" t="s">
        <v>1340</v>
      </c>
      <c r="D272" s="42" t="s">
        <v>350</v>
      </c>
      <c r="E272" s="42" t="str">
        <f t="shared" si="14"/>
        <v>211</v>
      </c>
      <c r="F272" s="41" t="str">
        <f>_xlfn.XLOOKUP($D272,MD_Account_Asset_Type[Nhóm tài sản],MD_Account_Asset_Type[Tên Nhóm tài sản])</f>
        <v>TSCĐ khác - SX 627</v>
      </c>
      <c r="G272" s="41" t="str">
        <f>_xlfn.XLOOKUP($D272,MD_Account_Asset_Type[Nhóm tài sản],MD_Account_Asset_Type[Tên nhóm TS-Rút gọn])</f>
        <v>Khác</v>
      </c>
      <c r="H272" s="41" t="str">
        <f>_xlfn.XLOOKUP($D272,MD_Account_Asset_Type[Nhóm tài sản],MD_Account_Asset_Type[Tên nhóm TS-Rút gọn-v2])</f>
        <v>TSCĐHH-Khác</v>
      </c>
      <c r="I272" s="43" t="s">
        <v>1142</v>
      </c>
      <c r="J272" s="42" t="s">
        <v>769</v>
      </c>
      <c r="K272" s="41" t="s">
        <v>502</v>
      </c>
      <c r="L272" s="42" t="s">
        <v>48</v>
      </c>
      <c r="M272" s="42" t="s">
        <v>123</v>
      </c>
      <c r="N272" s="44">
        <v>0</v>
      </c>
      <c r="O272" s="44"/>
      <c r="P272" s="41" t="s">
        <v>466</v>
      </c>
      <c r="Q272" s="41" t="str">
        <f t="shared" si="13"/>
        <v>627</v>
      </c>
      <c r="R272" s="41" t="str">
        <f>_xlfn.XLOOKUP($L272,MD_Cost_Center[Mã Cost Center],MD_Cost_Center[Ngành])</f>
        <v>PET</v>
      </c>
      <c r="S272" s="41" t="str">
        <f>_xlfn.XLOOKUP($L272,MD_Cost_Center[Mã Cost Center],MD_Cost_Center[Ngành-Tách PET-Xơ sợi])</f>
        <v>Chung-PET</v>
      </c>
      <c r="T272" s="45">
        <v>45383</v>
      </c>
      <c r="U272" s="46">
        <v>50861</v>
      </c>
      <c r="V272" s="47">
        <v>300</v>
      </c>
      <c r="W272" s="47">
        <v>22957791544</v>
      </c>
      <c r="X272" s="47">
        <v>-72685958.892473117</v>
      </c>
      <c r="Y272" s="47">
        <v>22957791544</v>
      </c>
      <c r="Z272" s="47">
        <v>22957791544</v>
      </c>
      <c r="AA272" s="47">
        <v>22957791544</v>
      </c>
      <c r="AB272" s="47">
        <v>22957791544</v>
      </c>
      <c r="AC272" s="47">
        <v>22957791544</v>
      </c>
      <c r="AD272" s="47">
        <v>22957791544</v>
      </c>
      <c r="AE272" s="47">
        <v>22957791544</v>
      </c>
      <c r="AF272" s="47">
        <v>22957791544</v>
      </c>
      <c r="AG272" s="47">
        <v>22957791544</v>
      </c>
      <c r="AH272" s="47">
        <v>22957791544</v>
      </c>
      <c r="AI272" s="47">
        <v>22957791544</v>
      </c>
      <c r="AJ272" s="47">
        <v>22957791544</v>
      </c>
      <c r="AK272" s="47">
        <v>22957791544</v>
      </c>
      <c r="AL272" s="47">
        <v>-1530519436</v>
      </c>
      <c r="AM272" s="47">
        <v>-2678409013</v>
      </c>
      <c r="AN272" s="47">
        <v>-72685958.892473117</v>
      </c>
      <c r="AO272" s="47">
        <v>-72685958.892473117</v>
      </c>
      <c r="AP272" s="47">
        <v>-72685958.892473117</v>
      </c>
      <c r="AQ272" s="47">
        <v>-72685958.892473117</v>
      </c>
      <c r="AR272" s="47">
        <v>-72685958.892473117</v>
      </c>
      <c r="AS272" s="47">
        <v>-72685958.892473117</v>
      </c>
      <c r="AT272" s="47">
        <v>-72685958.892473117</v>
      </c>
      <c r="AU272" s="47">
        <v>-72685958.892473117</v>
      </c>
      <c r="AV272" s="47">
        <v>-72685958.892473117</v>
      </c>
      <c r="AW272" s="47">
        <v>-72685958.892473117</v>
      </c>
      <c r="AX272" s="47">
        <v>-72685958.892473117</v>
      </c>
      <c r="AY272" s="47">
        <v>-72685958.892473117</v>
      </c>
      <c r="AZ272" s="58">
        <f t="shared" si="12"/>
        <v>-872231506.70967734</v>
      </c>
      <c r="BA272" s="47">
        <f>Y272+SUM($AM272:AM272)</f>
        <v>20279382531</v>
      </c>
      <c r="BB272" s="48">
        <f>Z272+SUM($AM272:AN272)</f>
        <v>20206696572.107529</v>
      </c>
      <c r="BC272" s="48">
        <f>AA272+SUM($AM272:AO272)</f>
        <v>20134010613.215054</v>
      </c>
      <c r="BD272" s="48">
        <f>AB272+SUM($AM272:AP272)</f>
        <v>20061324654.322578</v>
      </c>
      <c r="BE272" s="48">
        <f>AC272+SUM($AM272:AQ272)</f>
        <v>19988638695.430107</v>
      </c>
      <c r="BF272" s="48">
        <f>AD272+SUM($AM272:AR272)</f>
        <v>19915952736.537636</v>
      </c>
      <c r="BG272" s="48">
        <f>AE272+SUM($AM272:AS272)</f>
        <v>19843266777.645161</v>
      </c>
      <c r="BH272" s="48">
        <f>AF272+SUM($AM272:AT272)</f>
        <v>19770580818.752686</v>
      </c>
      <c r="BI272" s="48">
        <f>AG272+SUM($AM272:AU272)</f>
        <v>19697894859.860214</v>
      </c>
      <c r="BJ272" s="48">
        <f>AH272+SUM($AM272:AV272)</f>
        <v>19625208900.967743</v>
      </c>
      <c r="BK272" s="48">
        <f>AI272+SUM($AM272:AW272)</f>
        <v>19552522942.075268</v>
      </c>
      <c r="BL272" s="48">
        <f>AJ272+SUM($AM272:AX272)</f>
        <v>19479836983.182793</v>
      </c>
      <c r="BM272" s="48">
        <f>AK272+SUM($AM272:AY272)</f>
        <v>19407151024.290321</v>
      </c>
      <c r="BO272" s="47"/>
    </row>
    <row r="273" spans="3:67" s="41" customFormat="1" hidden="1" x14ac:dyDescent="0.3">
      <c r="C273" s="41" t="s">
        <v>1340</v>
      </c>
      <c r="D273" s="42" t="s">
        <v>350</v>
      </c>
      <c r="E273" s="42" t="str">
        <f t="shared" si="14"/>
        <v>211</v>
      </c>
      <c r="F273" s="41" t="str">
        <f>_xlfn.XLOOKUP($D273,MD_Account_Asset_Type[Nhóm tài sản],MD_Account_Asset_Type[Tên Nhóm tài sản])</f>
        <v>TSCĐ khác - SX 627</v>
      </c>
      <c r="G273" s="41" t="str">
        <f>_xlfn.XLOOKUP($D273,MD_Account_Asset_Type[Nhóm tài sản],MD_Account_Asset_Type[Tên nhóm TS-Rút gọn])</f>
        <v>Khác</v>
      </c>
      <c r="H273" s="41" t="str">
        <f>_xlfn.XLOOKUP($D273,MD_Account_Asset_Type[Nhóm tài sản],MD_Account_Asset_Type[Tên nhóm TS-Rút gọn-v2])</f>
        <v>TSCĐHH-Khác</v>
      </c>
      <c r="I273" s="43" t="s">
        <v>1143</v>
      </c>
      <c r="J273" s="42" t="s">
        <v>770</v>
      </c>
      <c r="K273" s="41" t="s">
        <v>502</v>
      </c>
      <c r="L273" s="42" t="s">
        <v>48</v>
      </c>
      <c r="M273" s="42" t="s">
        <v>123</v>
      </c>
      <c r="N273" s="44">
        <v>0</v>
      </c>
      <c r="O273" s="44"/>
      <c r="P273" s="41" t="s">
        <v>466</v>
      </c>
      <c r="Q273" s="41" t="str">
        <f t="shared" si="13"/>
        <v>627</v>
      </c>
      <c r="R273" s="41" t="str">
        <f>_xlfn.XLOOKUP($L273,MD_Cost_Center[Mã Cost Center],MD_Cost_Center[Ngành])</f>
        <v>PET</v>
      </c>
      <c r="S273" s="41" t="str">
        <f>_xlfn.XLOOKUP($L273,MD_Cost_Center[Mã Cost Center],MD_Cost_Center[Ngành-Tách PET-Xơ sợi])</f>
        <v>Chung-PET</v>
      </c>
      <c r="T273" s="45">
        <v>45383</v>
      </c>
      <c r="U273" s="46">
        <v>46478</v>
      </c>
      <c r="V273" s="47">
        <v>300</v>
      </c>
      <c r="W273" s="47">
        <v>185719645</v>
      </c>
      <c r="X273" s="47">
        <v>-277359.08960573474</v>
      </c>
      <c r="Y273" s="47">
        <v>185719645</v>
      </c>
      <c r="Z273" s="47">
        <v>185719645</v>
      </c>
      <c r="AA273" s="47">
        <v>185719645</v>
      </c>
      <c r="AB273" s="47">
        <v>185719645</v>
      </c>
      <c r="AC273" s="47">
        <v>185719645</v>
      </c>
      <c r="AD273" s="47">
        <v>185719645</v>
      </c>
      <c r="AE273" s="47">
        <v>185719645</v>
      </c>
      <c r="AF273" s="47">
        <v>185719645</v>
      </c>
      <c r="AG273" s="47">
        <v>185719645</v>
      </c>
      <c r="AH273" s="47">
        <v>185719645</v>
      </c>
      <c r="AI273" s="47">
        <v>185719645</v>
      </c>
      <c r="AJ273" s="47">
        <v>185719645</v>
      </c>
      <c r="AK273" s="47">
        <v>185719645</v>
      </c>
      <c r="AL273" s="47">
        <v>-61906548</v>
      </c>
      <c r="AM273" s="47">
        <v>-108336459</v>
      </c>
      <c r="AN273" s="47">
        <v>-277359.08960573474</v>
      </c>
      <c r="AO273" s="47">
        <v>-277359.08960573474</v>
      </c>
      <c r="AP273" s="47">
        <v>-277359.08960573474</v>
      </c>
      <c r="AQ273" s="47">
        <v>-277359.08960573474</v>
      </c>
      <c r="AR273" s="47">
        <v>-277359.08960573474</v>
      </c>
      <c r="AS273" s="47">
        <v>-277359.08960573474</v>
      </c>
      <c r="AT273" s="47">
        <v>-277359.08960573474</v>
      </c>
      <c r="AU273" s="47">
        <v>-277359.08960573474</v>
      </c>
      <c r="AV273" s="47">
        <v>-277359.08960573474</v>
      </c>
      <c r="AW273" s="47">
        <v>-277359.08960573474</v>
      </c>
      <c r="AX273" s="47">
        <v>-277359.08960573474</v>
      </c>
      <c r="AY273" s="47">
        <v>-277359.08960573474</v>
      </c>
      <c r="AZ273" s="58">
        <f t="shared" si="12"/>
        <v>-3328309.0752688167</v>
      </c>
      <c r="BA273" s="47">
        <f>Y273+SUM($AM273:AM273)</f>
        <v>77383186</v>
      </c>
      <c r="BB273" s="48">
        <f>Z273+SUM($AM273:AN273)</f>
        <v>77105826.910394266</v>
      </c>
      <c r="BC273" s="48">
        <f>AA273+SUM($AM273:AO273)</f>
        <v>76828467.820788532</v>
      </c>
      <c r="BD273" s="48">
        <f>AB273+SUM($AM273:AP273)</f>
        <v>76551108.731182799</v>
      </c>
      <c r="BE273" s="48">
        <f>AC273+SUM($AM273:AQ273)</f>
        <v>76273749.641577065</v>
      </c>
      <c r="BF273" s="48">
        <f>AD273+SUM($AM273:AR273)</f>
        <v>75996390.551971331</v>
      </c>
      <c r="BG273" s="48">
        <f>AE273+SUM($AM273:AS273)</f>
        <v>75719031.462365597</v>
      </c>
      <c r="BH273" s="48">
        <f>AF273+SUM($AM273:AT273)</f>
        <v>75441672.372759864</v>
      </c>
      <c r="BI273" s="48">
        <f>AG273+SUM($AM273:AU273)</f>
        <v>75164313.28315413</v>
      </c>
      <c r="BJ273" s="48">
        <f>AH273+SUM($AM273:AV273)</f>
        <v>74886954.193548396</v>
      </c>
      <c r="BK273" s="48">
        <f>AI273+SUM($AM273:AW273)</f>
        <v>74609595.103942662</v>
      </c>
      <c r="BL273" s="48">
        <f>AJ273+SUM($AM273:AX273)</f>
        <v>74332236.014336929</v>
      </c>
      <c r="BM273" s="48">
        <f>AK273+SUM($AM273:AY273)</f>
        <v>74054876.924731195</v>
      </c>
      <c r="BO273" s="47"/>
    </row>
    <row r="274" spans="3:67" s="41" customFormat="1" hidden="1" x14ac:dyDescent="0.3">
      <c r="C274" s="41" t="s">
        <v>1340</v>
      </c>
      <c r="D274" s="42" t="s">
        <v>350</v>
      </c>
      <c r="E274" s="42" t="str">
        <f t="shared" si="14"/>
        <v>211</v>
      </c>
      <c r="F274" s="41" t="str">
        <f>_xlfn.XLOOKUP($D274,MD_Account_Asset_Type[Nhóm tài sản],MD_Account_Asset_Type[Tên Nhóm tài sản])</f>
        <v>TSCĐ khác - SX 627</v>
      </c>
      <c r="G274" s="41" t="str">
        <f>_xlfn.XLOOKUP($D274,MD_Account_Asset_Type[Nhóm tài sản],MD_Account_Asset_Type[Tên nhóm TS-Rút gọn])</f>
        <v>Khác</v>
      </c>
      <c r="H274" s="41" t="str">
        <f>_xlfn.XLOOKUP($D274,MD_Account_Asset_Type[Nhóm tài sản],MD_Account_Asset_Type[Tên nhóm TS-Rút gọn-v2])</f>
        <v>TSCĐHH-Khác</v>
      </c>
      <c r="I274" s="43" t="s">
        <v>1144</v>
      </c>
      <c r="J274" s="42" t="s">
        <v>771</v>
      </c>
      <c r="K274" s="41" t="s">
        <v>502</v>
      </c>
      <c r="L274" s="42" t="s">
        <v>90</v>
      </c>
      <c r="M274" s="42" t="s">
        <v>165</v>
      </c>
      <c r="N274" s="44">
        <v>0</v>
      </c>
      <c r="O274" s="44"/>
      <c r="P274" s="41" t="s">
        <v>466</v>
      </c>
      <c r="Q274" s="41" t="str">
        <f t="shared" si="13"/>
        <v>627</v>
      </c>
      <c r="R274" s="41" t="str">
        <f>_xlfn.XLOOKUP($L274,MD_Cost_Center[Mã Cost Center],MD_Cost_Center[Ngành])</f>
        <v>HD/PP</v>
      </c>
      <c r="S274" s="41" t="str">
        <f>_xlfn.XLOOKUP($L274,MD_Cost_Center[Mã Cost Center],MD_Cost_Center[Ngành-Tách PET-Xơ sợi])</f>
        <v>HD/PP</v>
      </c>
      <c r="T274" s="45">
        <v>45413</v>
      </c>
      <c r="U274" s="46">
        <v>47239</v>
      </c>
      <c r="V274" s="47">
        <v>300</v>
      </c>
      <c r="W274" s="47">
        <v>1744151201</v>
      </c>
      <c r="X274" s="47">
        <v>-4152740.9571428574</v>
      </c>
      <c r="Y274" s="47">
        <v>1744151201</v>
      </c>
      <c r="Z274" s="47">
        <v>1744151201</v>
      </c>
      <c r="AA274" s="47">
        <v>1744151201</v>
      </c>
      <c r="AB274" s="47">
        <v>1744151201</v>
      </c>
      <c r="AC274" s="47">
        <v>1744151201</v>
      </c>
      <c r="AD274" s="47">
        <v>1744151201</v>
      </c>
      <c r="AE274" s="47">
        <v>1744151201</v>
      </c>
      <c r="AF274" s="47">
        <v>1744151201</v>
      </c>
      <c r="AG274" s="47">
        <v>1744151201</v>
      </c>
      <c r="AH274" s="47">
        <v>1744151201</v>
      </c>
      <c r="AI274" s="47">
        <v>1744151201</v>
      </c>
      <c r="AJ274" s="47">
        <v>1744151201</v>
      </c>
      <c r="AK274" s="47">
        <v>1744151201</v>
      </c>
      <c r="AL274" s="47">
        <v>-348830240</v>
      </c>
      <c r="AM274" s="47">
        <v>-581383733</v>
      </c>
      <c r="AN274" s="47">
        <v>-4152740.9571428574</v>
      </c>
      <c r="AO274" s="47">
        <v>-4152740.9571428574</v>
      </c>
      <c r="AP274" s="47">
        <v>-4152740.9571428574</v>
      </c>
      <c r="AQ274" s="47">
        <v>-4152740.9571428574</v>
      </c>
      <c r="AR274" s="47">
        <v>-4152740.9571428574</v>
      </c>
      <c r="AS274" s="47">
        <v>-4152740.9571428574</v>
      </c>
      <c r="AT274" s="47">
        <v>-4152740.9571428574</v>
      </c>
      <c r="AU274" s="47">
        <v>-4152740.9571428574</v>
      </c>
      <c r="AV274" s="47">
        <v>-4152740.9571428574</v>
      </c>
      <c r="AW274" s="47">
        <v>-4152740.9571428574</v>
      </c>
      <c r="AX274" s="47">
        <v>-4152740.9571428574</v>
      </c>
      <c r="AY274" s="47">
        <v>-4152740.9571428574</v>
      </c>
      <c r="AZ274" s="58">
        <f t="shared" si="12"/>
        <v>-49832891.485714294</v>
      </c>
      <c r="BA274" s="47">
        <f>Y274+SUM($AM274:AM274)</f>
        <v>1162767468</v>
      </c>
      <c r="BB274" s="48">
        <f>Z274+SUM($AM274:AN274)</f>
        <v>1158614727.0428572</v>
      </c>
      <c r="BC274" s="48">
        <f>AA274+SUM($AM274:AO274)</f>
        <v>1154461986.0857143</v>
      </c>
      <c r="BD274" s="48">
        <f>AB274+SUM($AM274:AP274)</f>
        <v>1150309245.1285715</v>
      </c>
      <c r="BE274" s="48">
        <f>AC274+SUM($AM274:AQ274)</f>
        <v>1146156504.1714287</v>
      </c>
      <c r="BF274" s="48">
        <f>AD274+SUM($AM274:AR274)</f>
        <v>1142003763.2142859</v>
      </c>
      <c r="BG274" s="48">
        <f>AE274+SUM($AM274:AS274)</f>
        <v>1137851022.257143</v>
      </c>
      <c r="BH274" s="48">
        <f>AF274+SUM($AM274:AT274)</f>
        <v>1133698281.3000002</v>
      </c>
      <c r="BI274" s="48">
        <f>AG274+SUM($AM274:AU274)</f>
        <v>1129545540.3428574</v>
      </c>
      <c r="BJ274" s="48">
        <f>AH274+SUM($AM274:AV274)</f>
        <v>1125392799.3857145</v>
      </c>
      <c r="BK274" s="48">
        <f>AI274+SUM($AM274:AW274)</f>
        <v>1121240058.4285717</v>
      </c>
      <c r="BL274" s="48">
        <f>AJ274+SUM($AM274:AX274)</f>
        <v>1117087317.4714289</v>
      </c>
      <c r="BM274" s="48">
        <f>AK274+SUM($AM274:AY274)</f>
        <v>1112934576.514286</v>
      </c>
      <c r="BO274" s="47"/>
    </row>
    <row r="275" spans="3:67" s="41" customFormat="1" hidden="1" x14ac:dyDescent="0.3">
      <c r="C275" s="41" t="s">
        <v>1340</v>
      </c>
      <c r="D275" s="42" t="s">
        <v>350</v>
      </c>
      <c r="E275" s="42" t="str">
        <f t="shared" si="14"/>
        <v>211</v>
      </c>
      <c r="F275" s="41" t="str">
        <f>_xlfn.XLOOKUP($D275,MD_Account_Asset_Type[Nhóm tài sản],MD_Account_Asset_Type[Tên Nhóm tài sản])</f>
        <v>TSCĐ khác - SX 627</v>
      </c>
      <c r="G275" s="41" t="str">
        <f>_xlfn.XLOOKUP($D275,MD_Account_Asset_Type[Nhóm tài sản],MD_Account_Asset_Type[Tên nhóm TS-Rút gọn])</f>
        <v>Khác</v>
      </c>
      <c r="H275" s="41" t="str">
        <f>_xlfn.XLOOKUP($D275,MD_Account_Asset_Type[Nhóm tài sản],MD_Account_Asset_Type[Tên nhóm TS-Rút gọn-v2])</f>
        <v>TSCĐHH-Khác</v>
      </c>
      <c r="I275" s="43" t="s">
        <v>1145</v>
      </c>
      <c r="J275" s="42" t="s">
        <v>772</v>
      </c>
      <c r="K275" s="41" t="s">
        <v>830</v>
      </c>
      <c r="L275" s="42" t="s">
        <v>46</v>
      </c>
      <c r="M275" s="42" t="s">
        <v>121</v>
      </c>
      <c r="N275" s="44">
        <v>0</v>
      </c>
      <c r="O275" s="44"/>
      <c r="P275" s="41" t="s">
        <v>466</v>
      </c>
      <c r="Q275" s="41" t="str">
        <f t="shared" si="13"/>
        <v>627</v>
      </c>
      <c r="R275" s="41" t="str">
        <f>_xlfn.XLOOKUP($L275,MD_Cost_Center[Mã Cost Center],MD_Cost_Center[Ngành])</f>
        <v>Chung</v>
      </c>
      <c r="S275" s="41" t="str">
        <f>_xlfn.XLOOKUP($L275,MD_Cost_Center[Mã Cost Center],MD_Cost_Center[Ngành-Tách PET-Xơ sợi])</f>
        <v>Chung</v>
      </c>
      <c r="T275" s="45">
        <v>45627</v>
      </c>
      <c r="U275" s="46">
        <v>47453</v>
      </c>
      <c r="V275" s="47">
        <v>300</v>
      </c>
      <c r="W275" s="47">
        <v>95100000</v>
      </c>
      <c r="X275" s="47">
        <v>-259564.45993031358</v>
      </c>
      <c r="Y275" s="47">
        <v>95100000</v>
      </c>
      <c r="Z275" s="47">
        <v>95100000</v>
      </c>
      <c r="AA275" s="47">
        <v>95100000</v>
      </c>
      <c r="AB275" s="47">
        <v>95100000</v>
      </c>
      <c r="AC275" s="47">
        <v>95100000</v>
      </c>
      <c r="AD275" s="47">
        <v>95100000</v>
      </c>
      <c r="AE275" s="47">
        <v>95100000</v>
      </c>
      <c r="AF275" s="47">
        <v>95100000</v>
      </c>
      <c r="AG275" s="47">
        <v>95100000</v>
      </c>
      <c r="AH275" s="47">
        <v>95100000</v>
      </c>
      <c r="AI275" s="47">
        <v>95100000</v>
      </c>
      <c r="AJ275" s="47">
        <v>95100000</v>
      </c>
      <c r="AK275" s="47">
        <v>95100000</v>
      </c>
      <c r="AL275" s="47">
        <v>-19020000</v>
      </c>
      <c r="AM275" s="47">
        <v>-20605000</v>
      </c>
      <c r="AN275" s="47">
        <v>-259564.45993031358</v>
      </c>
      <c r="AO275" s="47">
        <v>-259564.45993031358</v>
      </c>
      <c r="AP275" s="47">
        <v>-259564.45993031358</v>
      </c>
      <c r="AQ275" s="47">
        <v>-259564.45993031358</v>
      </c>
      <c r="AR275" s="47">
        <v>-259564.45993031358</v>
      </c>
      <c r="AS275" s="47">
        <v>-259564.45993031358</v>
      </c>
      <c r="AT275" s="47">
        <v>-259564.45993031358</v>
      </c>
      <c r="AU275" s="47">
        <v>-259564.45993031358</v>
      </c>
      <c r="AV275" s="47">
        <v>-259564.45993031358</v>
      </c>
      <c r="AW275" s="47">
        <v>-259564.45993031358</v>
      </c>
      <c r="AX275" s="47">
        <v>-259564.45993031358</v>
      </c>
      <c r="AY275" s="47">
        <v>-259564.45993031358</v>
      </c>
      <c r="AZ275" s="58">
        <f t="shared" si="12"/>
        <v>-3114773.5191637632</v>
      </c>
      <c r="BA275" s="47">
        <f>Y275+SUM($AM275:AM275)</f>
        <v>74495000</v>
      </c>
      <c r="BB275" s="48">
        <f>Z275+SUM($AM275:AN275)</f>
        <v>74235435.540069684</v>
      </c>
      <c r="BC275" s="48">
        <f>AA275+SUM($AM275:AO275)</f>
        <v>73975871.080139369</v>
      </c>
      <c r="BD275" s="48">
        <f>AB275+SUM($AM275:AP275)</f>
        <v>73716306.620209068</v>
      </c>
      <c r="BE275" s="48">
        <f>AC275+SUM($AM275:AQ275)</f>
        <v>73456742.160278752</v>
      </c>
      <c r="BF275" s="48">
        <f>AD275+SUM($AM275:AR275)</f>
        <v>73197177.700348437</v>
      </c>
      <c r="BG275" s="48">
        <f>AE275+SUM($AM275:AS275)</f>
        <v>72937613.240418136</v>
      </c>
      <c r="BH275" s="48">
        <f>AF275+SUM($AM275:AT275)</f>
        <v>72678048.780487821</v>
      </c>
      <c r="BI275" s="48">
        <f>AG275+SUM($AM275:AU275)</f>
        <v>72418484.320557505</v>
      </c>
      <c r="BJ275" s="48">
        <f>AH275+SUM($AM275:AV275)</f>
        <v>72158919.860627189</v>
      </c>
      <c r="BK275" s="48">
        <f>AI275+SUM($AM275:AW275)</f>
        <v>71899355.400696874</v>
      </c>
      <c r="BL275" s="48">
        <f>AJ275+SUM($AM275:AX275)</f>
        <v>71639790.940766573</v>
      </c>
      <c r="BM275" s="48">
        <f>AK275+SUM($AM275:AY275)</f>
        <v>71380226.480836257</v>
      </c>
      <c r="BO275" s="47"/>
    </row>
    <row r="276" spans="3:67" s="41" customFormat="1" hidden="1" x14ac:dyDescent="0.3">
      <c r="C276" s="41" t="s">
        <v>1340</v>
      </c>
      <c r="D276" s="42" t="s">
        <v>350</v>
      </c>
      <c r="E276" s="42" t="str">
        <f t="shared" si="14"/>
        <v>211</v>
      </c>
      <c r="F276" s="41" t="str">
        <f>_xlfn.XLOOKUP($D276,MD_Account_Asset_Type[Nhóm tài sản],MD_Account_Asset_Type[Tên Nhóm tài sản])</f>
        <v>TSCĐ khác - SX 627</v>
      </c>
      <c r="G276" s="41" t="str">
        <f>_xlfn.XLOOKUP($D276,MD_Account_Asset_Type[Nhóm tài sản],MD_Account_Asset_Type[Tên nhóm TS-Rút gọn])</f>
        <v>Khác</v>
      </c>
      <c r="H276" s="41" t="str">
        <f>_xlfn.XLOOKUP($D276,MD_Account_Asset_Type[Nhóm tài sản],MD_Account_Asset_Type[Tên nhóm TS-Rút gọn-v2])</f>
        <v>TSCĐHH-Khác</v>
      </c>
      <c r="I276" s="43" t="s">
        <v>1146</v>
      </c>
      <c r="J276" s="42" t="s">
        <v>773</v>
      </c>
      <c r="K276" s="41" t="s">
        <v>830</v>
      </c>
      <c r="L276" s="42" t="s">
        <v>45</v>
      </c>
      <c r="M276" s="42" t="s">
        <v>120</v>
      </c>
      <c r="N276" s="44">
        <v>0</v>
      </c>
      <c r="O276" s="44"/>
      <c r="P276" s="41" t="s">
        <v>466</v>
      </c>
      <c r="Q276" s="41" t="str">
        <f t="shared" si="13"/>
        <v>627</v>
      </c>
      <c r="R276" s="41" t="str">
        <f>_xlfn.XLOOKUP($L276,MD_Cost_Center[Mã Cost Center],MD_Cost_Center[Ngành])</f>
        <v>Chung</v>
      </c>
      <c r="S276" s="41" t="str">
        <f>_xlfn.XLOOKUP($L276,MD_Cost_Center[Mã Cost Center],MD_Cost_Center[Ngành-Tách PET-Xơ sợi])</f>
        <v>Chung</v>
      </c>
      <c r="T276" s="45">
        <v>45658</v>
      </c>
      <c r="U276" s="46">
        <v>46753</v>
      </c>
      <c r="V276" s="47">
        <v>300</v>
      </c>
      <c r="W276" s="47">
        <v>60000000</v>
      </c>
      <c r="X276" s="47">
        <v>-138888.88888888888</v>
      </c>
      <c r="Y276" s="47">
        <v>60000000</v>
      </c>
      <c r="Z276" s="47">
        <v>60000000</v>
      </c>
      <c r="AA276" s="47">
        <v>60000000</v>
      </c>
      <c r="AB276" s="47">
        <v>60000000</v>
      </c>
      <c r="AC276" s="47">
        <v>60000000</v>
      </c>
      <c r="AD276" s="47">
        <v>60000000</v>
      </c>
      <c r="AE276" s="47">
        <v>60000000</v>
      </c>
      <c r="AF276" s="47">
        <v>60000000</v>
      </c>
      <c r="AG276" s="47">
        <v>60000000</v>
      </c>
      <c r="AH276" s="47">
        <v>60000000</v>
      </c>
      <c r="AI276" s="47">
        <v>60000000</v>
      </c>
      <c r="AJ276" s="47">
        <v>60000000</v>
      </c>
      <c r="AK276" s="47">
        <v>60000000</v>
      </c>
      <c r="AL276" s="47">
        <v>-20000000</v>
      </c>
      <c r="AM276" s="47">
        <v>-20000000</v>
      </c>
      <c r="AN276" s="47">
        <v>-138888.88888888888</v>
      </c>
      <c r="AO276" s="47">
        <v>-138888.88888888888</v>
      </c>
      <c r="AP276" s="47">
        <v>-138888.88888888888</v>
      </c>
      <c r="AQ276" s="47">
        <v>-138888.88888888888</v>
      </c>
      <c r="AR276" s="47">
        <v>-138888.88888888888</v>
      </c>
      <c r="AS276" s="47">
        <v>-138888.88888888888</v>
      </c>
      <c r="AT276" s="47">
        <v>-138888.88888888888</v>
      </c>
      <c r="AU276" s="47">
        <v>-138888.88888888888</v>
      </c>
      <c r="AV276" s="47">
        <v>-138888.88888888888</v>
      </c>
      <c r="AW276" s="47">
        <v>-138888.88888888888</v>
      </c>
      <c r="AX276" s="47">
        <v>-138888.88888888888</v>
      </c>
      <c r="AY276" s="47">
        <v>-138888.88888888888</v>
      </c>
      <c r="AZ276" s="58">
        <f t="shared" si="12"/>
        <v>-1666666.666666667</v>
      </c>
      <c r="BA276" s="47">
        <f>Y276+SUM($AM276:AM276)</f>
        <v>40000000</v>
      </c>
      <c r="BB276" s="48">
        <f>Z276+SUM($AM276:AN276)</f>
        <v>39861111.111111112</v>
      </c>
      <c r="BC276" s="48">
        <f>AA276+SUM($AM276:AO276)</f>
        <v>39722222.222222224</v>
      </c>
      <c r="BD276" s="48">
        <f>AB276+SUM($AM276:AP276)</f>
        <v>39583333.333333336</v>
      </c>
      <c r="BE276" s="48">
        <f>AC276+SUM($AM276:AQ276)</f>
        <v>39444444.444444448</v>
      </c>
      <c r="BF276" s="48">
        <f>AD276+SUM($AM276:AR276)</f>
        <v>39305555.55555556</v>
      </c>
      <c r="BG276" s="48">
        <f>AE276+SUM($AM276:AS276)</f>
        <v>39166666.666666672</v>
      </c>
      <c r="BH276" s="48">
        <f>AF276+SUM($AM276:AT276)</f>
        <v>39027777.777777784</v>
      </c>
      <c r="BI276" s="48">
        <f>AG276+SUM($AM276:AU276)</f>
        <v>38888888.888888896</v>
      </c>
      <c r="BJ276" s="48">
        <f>AH276+SUM($AM276:AV276)</f>
        <v>38750000.000000007</v>
      </c>
      <c r="BK276" s="48">
        <f>AI276+SUM($AM276:AW276)</f>
        <v>38611111.111111119</v>
      </c>
      <c r="BL276" s="48">
        <f>AJ276+SUM($AM276:AX276)</f>
        <v>38472222.222222231</v>
      </c>
      <c r="BM276" s="48">
        <f>AK276+SUM($AM276:AY276)</f>
        <v>38333333.333333343</v>
      </c>
      <c r="BO276" s="47"/>
    </row>
    <row r="277" spans="3:67" s="41" customFormat="1" hidden="1" x14ac:dyDescent="0.3">
      <c r="C277" s="41" t="s">
        <v>1340</v>
      </c>
      <c r="D277" s="42" t="s">
        <v>350</v>
      </c>
      <c r="E277" s="42" t="str">
        <f t="shared" si="14"/>
        <v>211</v>
      </c>
      <c r="F277" s="41" t="str">
        <f>_xlfn.XLOOKUP($D277,MD_Account_Asset_Type[Nhóm tài sản],MD_Account_Asset_Type[Tên Nhóm tài sản])</f>
        <v>TSCĐ khác - SX 627</v>
      </c>
      <c r="G277" s="41" t="str">
        <f>_xlfn.XLOOKUP($D277,MD_Account_Asset_Type[Nhóm tài sản],MD_Account_Asset_Type[Tên nhóm TS-Rút gọn])</f>
        <v>Khác</v>
      </c>
      <c r="H277" s="41" t="str">
        <f>_xlfn.XLOOKUP($D277,MD_Account_Asset_Type[Nhóm tài sản],MD_Account_Asset_Type[Tên nhóm TS-Rút gọn-v2])</f>
        <v>TSCĐHH-Khác</v>
      </c>
      <c r="I277" s="43" t="s">
        <v>1147</v>
      </c>
      <c r="J277" s="42" t="s">
        <v>774</v>
      </c>
      <c r="K277" s="41" t="s">
        <v>830</v>
      </c>
      <c r="L277" s="42" t="s">
        <v>72</v>
      </c>
      <c r="M277" s="42" t="s">
        <v>147</v>
      </c>
      <c r="N277" s="44" t="s">
        <v>265</v>
      </c>
      <c r="O277" s="44"/>
      <c r="P277" s="41" t="s">
        <v>466</v>
      </c>
      <c r="Q277" s="41" t="str">
        <f t="shared" si="13"/>
        <v>627</v>
      </c>
      <c r="R277" s="41" t="str">
        <f>_xlfn.XLOOKUP($L277,MD_Cost_Center[Mã Cost Center],MD_Cost_Center[Ngành])</f>
        <v>HD/PP</v>
      </c>
      <c r="S277" s="41" t="str">
        <f>_xlfn.XLOOKUP($L277,MD_Cost_Center[Mã Cost Center],MD_Cost_Center[Ngành-Tách PET-Xơ sợi])</f>
        <v>HD/PP</v>
      </c>
      <c r="T277" s="45">
        <v>45931</v>
      </c>
      <c r="U277" s="46">
        <v>47027</v>
      </c>
      <c r="V277" s="47">
        <v>300</v>
      </c>
      <c r="W277" s="47">
        <v>34920000</v>
      </c>
      <c r="X277" s="47">
        <v>-107777.77777777778</v>
      </c>
      <c r="Y277" s="47">
        <v>34920000</v>
      </c>
      <c r="Z277" s="47">
        <v>34920000</v>
      </c>
      <c r="AA277" s="47">
        <v>34920000</v>
      </c>
      <c r="AB277" s="47">
        <v>34920000</v>
      </c>
      <c r="AC277" s="47">
        <v>34920000</v>
      </c>
      <c r="AD277" s="47">
        <v>34920000</v>
      </c>
      <c r="AE277" s="47">
        <v>34920000</v>
      </c>
      <c r="AF277" s="47">
        <v>34920000</v>
      </c>
      <c r="AG277" s="47">
        <v>34920000</v>
      </c>
      <c r="AH277" s="47">
        <v>34920000</v>
      </c>
      <c r="AI277" s="47">
        <v>34920000</v>
      </c>
      <c r="AJ277" s="47">
        <v>34920000</v>
      </c>
      <c r="AK277" s="47">
        <v>34920000</v>
      </c>
      <c r="AL277" s="47">
        <v>-2910000</v>
      </c>
      <c r="AM277" s="47">
        <v>-2910000</v>
      </c>
      <c r="AN277" s="47">
        <v>-107777.77777777778</v>
      </c>
      <c r="AO277" s="47">
        <v>-107777.77777777778</v>
      </c>
      <c r="AP277" s="47">
        <v>-107777.77777777778</v>
      </c>
      <c r="AQ277" s="47">
        <v>-107777.77777777778</v>
      </c>
      <c r="AR277" s="47">
        <v>-107777.77777777778</v>
      </c>
      <c r="AS277" s="47">
        <v>-107777.77777777778</v>
      </c>
      <c r="AT277" s="47">
        <v>-107777.77777777778</v>
      </c>
      <c r="AU277" s="47">
        <v>-107777.77777777778</v>
      </c>
      <c r="AV277" s="47">
        <v>-107777.77777777778</v>
      </c>
      <c r="AW277" s="47">
        <v>-107777.77777777778</v>
      </c>
      <c r="AX277" s="47">
        <v>-107777.77777777778</v>
      </c>
      <c r="AY277" s="47">
        <v>-107777.77777777778</v>
      </c>
      <c r="AZ277" s="58">
        <f t="shared" ref="AZ277:AZ409" si="15">SUM(AN277:AY277)</f>
        <v>-1293333.3333333333</v>
      </c>
      <c r="BA277" s="47">
        <f>Y277+SUM($AM277:AM277)</f>
        <v>32010000</v>
      </c>
      <c r="BB277" s="48">
        <f>Z277+SUM($AM277:AN277)</f>
        <v>31902222.222222224</v>
      </c>
      <c r="BC277" s="48">
        <f>AA277+SUM($AM277:AO277)</f>
        <v>31794444.444444444</v>
      </c>
      <c r="BD277" s="48">
        <f>AB277+SUM($AM277:AP277)</f>
        <v>31686666.666666664</v>
      </c>
      <c r="BE277" s="48">
        <f>AC277+SUM($AM277:AQ277)</f>
        <v>31578888.888888888</v>
      </c>
      <c r="BF277" s="48">
        <f>AD277+SUM($AM277:AR277)</f>
        <v>31471111.111111112</v>
      </c>
      <c r="BG277" s="48">
        <f>AE277+SUM($AM277:AS277)</f>
        <v>31363333.333333332</v>
      </c>
      <c r="BH277" s="48">
        <f>AF277+SUM($AM277:AT277)</f>
        <v>31255555.555555552</v>
      </c>
      <c r="BI277" s="48">
        <f>AG277+SUM($AM277:AU277)</f>
        <v>31147777.777777776</v>
      </c>
      <c r="BJ277" s="48">
        <f>AH277+SUM($AM277:AV277)</f>
        <v>31040000</v>
      </c>
      <c r="BK277" s="48">
        <f>AI277+SUM($AM277:AW277)</f>
        <v>30932222.22222222</v>
      </c>
      <c r="BL277" s="48">
        <f>AJ277+SUM($AM277:AX277)</f>
        <v>30824444.44444444</v>
      </c>
      <c r="BM277" s="48">
        <f>AK277+SUM($AM277:AY277)</f>
        <v>30716666.666666664</v>
      </c>
      <c r="BO277" s="47"/>
    </row>
    <row r="278" spans="3:67" s="41" customFormat="1" hidden="1" x14ac:dyDescent="0.3">
      <c r="C278" s="41" t="s">
        <v>1340</v>
      </c>
      <c r="D278" s="42" t="s">
        <v>350</v>
      </c>
      <c r="E278" s="42" t="str">
        <f t="shared" si="14"/>
        <v>211</v>
      </c>
      <c r="F278" s="41" t="str">
        <f>_xlfn.XLOOKUP($D278,MD_Account_Asset_Type[Nhóm tài sản],MD_Account_Asset_Type[Tên Nhóm tài sản])</f>
        <v>TSCĐ khác - SX 627</v>
      </c>
      <c r="G278" s="41" t="str">
        <f>_xlfn.XLOOKUP($D278,MD_Account_Asset_Type[Nhóm tài sản],MD_Account_Asset_Type[Tên nhóm TS-Rút gọn])</f>
        <v>Khác</v>
      </c>
      <c r="H278" s="41" t="str">
        <f>_xlfn.XLOOKUP($D278,MD_Account_Asset_Type[Nhóm tài sản],MD_Account_Asset_Type[Tên nhóm TS-Rút gọn-v2])</f>
        <v>TSCĐHH-Khác</v>
      </c>
      <c r="I278" s="43" t="s">
        <v>1148</v>
      </c>
      <c r="J278" s="42" t="s">
        <v>775</v>
      </c>
      <c r="K278" s="41" t="s">
        <v>830</v>
      </c>
      <c r="L278" s="42" t="s">
        <v>67</v>
      </c>
      <c r="M278" s="42" t="s">
        <v>142</v>
      </c>
      <c r="N278" s="44" t="s">
        <v>260</v>
      </c>
      <c r="O278" s="44"/>
      <c r="P278" s="41" t="s">
        <v>466</v>
      </c>
      <c r="Q278" s="41" t="str">
        <f t="shared" si="13"/>
        <v>627</v>
      </c>
      <c r="R278" s="41" t="str">
        <f>_xlfn.XLOOKUP($L278,MD_Cost_Center[Mã Cost Center],MD_Cost_Center[Ngành])</f>
        <v>HD/PP</v>
      </c>
      <c r="S278" s="41" t="str">
        <f>_xlfn.XLOOKUP($L278,MD_Cost_Center[Mã Cost Center],MD_Cost_Center[Ngành-Tách PET-Xơ sợi])</f>
        <v>Chung-PET</v>
      </c>
      <c r="T278" s="45">
        <v>45931</v>
      </c>
      <c r="U278" s="46">
        <v>47027</v>
      </c>
      <c r="V278" s="47">
        <v>300</v>
      </c>
      <c r="W278" s="47">
        <v>34920000</v>
      </c>
      <c r="X278" s="47">
        <v>-107777.77777777778</v>
      </c>
      <c r="Y278" s="47">
        <v>34920000</v>
      </c>
      <c r="Z278" s="47">
        <v>34920000</v>
      </c>
      <c r="AA278" s="47">
        <v>34920000</v>
      </c>
      <c r="AB278" s="47">
        <v>34920000</v>
      </c>
      <c r="AC278" s="47">
        <v>34920000</v>
      </c>
      <c r="AD278" s="47">
        <v>34920000</v>
      </c>
      <c r="AE278" s="47">
        <v>34920000</v>
      </c>
      <c r="AF278" s="47">
        <v>34920000</v>
      </c>
      <c r="AG278" s="47">
        <v>34920000</v>
      </c>
      <c r="AH278" s="47">
        <v>34920000</v>
      </c>
      <c r="AI278" s="47">
        <v>34920000</v>
      </c>
      <c r="AJ278" s="47">
        <v>34920000</v>
      </c>
      <c r="AK278" s="47">
        <v>34920000</v>
      </c>
      <c r="AL278" s="47">
        <v>-2910000</v>
      </c>
      <c r="AM278" s="47">
        <v>-2910000</v>
      </c>
      <c r="AN278" s="47">
        <v>-107777.77777777778</v>
      </c>
      <c r="AO278" s="47">
        <v>-107777.77777777778</v>
      </c>
      <c r="AP278" s="47">
        <v>-107777.77777777778</v>
      </c>
      <c r="AQ278" s="47">
        <v>-107777.77777777778</v>
      </c>
      <c r="AR278" s="47">
        <v>-107777.77777777778</v>
      </c>
      <c r="AS278" s="47">
        <v>-107777.77777777778</v>
      </c>
      <c r="AT278" s="47">
        <v>-107777.77777777778</v>
      </c>
      <c r="AU278" s="47">
        <v>-107777.77777777778</v>
      </c>
      <c r="AV278" s="47">
        <v>-107777.77777777778</v>
      </c>
      <c r="AW278" s="47">
        <v>-107777.77777777778</v>
      </c>
      <c r="AX278" s="47">
        <v>-107777.77777777778</v>
      </c>
      <c r="AY278" s="47">
        <v>-107777.77777777778</v>
      </c>
      <c r="AZ278" s="58">
        <f t="shared" si="15"/>
        <v>-1293333.3333333333</v>
      </c>
      <c r="BA278" s="47">
        <f>Y278+SUM($AM278:AM278)</f>
        <v>32010000</v>
      </c>
      <c r="BB278" s="48">
        <f>Z278+SUM($AM278:AN278)</f>
        <v>31902222.222222224</v>
      </c>
      <c r="BC278" s="48">
        <f>AA278+SUM($AM278:AO278)</f>
        <v>31794444.444444444</v>
      </c>
      <c r="BD278" s="48">
        <f>AB278+SUM($AM278:AP278)</f>
        <v>31686666.666666664</v>
      </c>
      <c r="BE278" s="48">
        <f>AC278+SUM($AM278:AQ278)</f>
        <v>31578888.888888888</v>
      </c>
      <c r="BF278" s="48">
        <f>AD278+SUM($AM278:AR278)</f>
        <v>31471111.111111112</v>
      </c>
      <c r="BG278" s="48">
        <f>AE278+SUM($AM278:AS278)</f>
        <v>31363333.333333332</v>
      </c>
      <c r="BH278" s="48">
        <f>AF278+SUM($AM278:AT278)</f>
        <v>31255555.555555552</v>
      </c>
      <c r="BI278" s="48">
        <f>AG278+SUM($AM278:AU278)</f>
        <v>31147777.777777776</v>
      </c>
      <c r="BJ278" s="48">
        <f>AH278+SUM($AM278:AV278)</f>
        <v>31040000</v>
      </c>
      <c r="BK278" s="48">
        <f>AI278+SUM($AM278:AW278)</f>
        <v>30932222.22222222</v>
      </c>
      <c r="BL278" s="48">
        <f>AJ278+SUM($AM278:AX278)</f>
        <v>30824444.44444444</v>
      </c>
      <c r="BM278" s="48">
        <f>AK278+SUM($AM278:AY278)</f>
        <v>30716666.666666664</v>
      </c>
      <c r="BO278" s="47"/>
    </row>
    <row r="279" spans="3:67" s="41" customFormat="1" hidden="1" x14ac:dyDescent="0.3">
      <c r="C279" s="41" t="s">
        <v>1340</v>
      </c>
      <c r="D279" s="42" t="s">
        <v>350</v>
      </c>
      <c r="E279" s="42" t="str">
        <f t="shared" si="14"/>
        <v>211</v>
      </c>
      <c r="F279" s="41" t="str">
        <f>_xlfn.XLOOKUP($D279,MD_Account_Asset_Type[Nhóm tài sản],MD_Account_Asset_Type[Tên Nhóm tài sản])</f>
        <v>TSCĐ khác - SX 627</v>
      </c>
      <c r="G279" s="41" t="str">
        <f>_xlfn.XLOOKUP($D279,MD_Account_Asset_Type[Nhóm tài sản],MD_Account_Asset_Type[Tên nhóm TS-Rút gọn])</f>
        <v>Khác</v>
      </c>
      <c r="H279" s="41" t="str">
        <f>_xlfn.XLOOKUP($D279,MD_Account_Asset_Type[Nhóm tài sản],MD_Account_Asset_Type[Tên nhóm TS-Rút gọn-v2])</f>
        <v>TSCĐHH-Khác</v>
      </c>
      <c r="I279" s="43" t="s">
        <v>1149</v>
      </c>
      <c r="J279" s="42" t="s">
        <v>776</v>
      </c>
      <c r="K279" s="41" t="s">
        <v>830</v>
      </c>
      <c r="L279" s="42" t="s">
        <v>64</v>
      </c>
      <c r="M279" s="42" t="s">
        <v>139</v>
      </c>
      <c r="N279" s="44" t="s">
        <v>257</v>
      </c>
      <c r="O279" s="44"/>
      <c r="P279" s="41" t="s">
        <v>466</v>
      </c>
      <c r="Q279" s="41" t="str">
        <f t="shared" si="13"/>
        <v>627</v>
      </c>
      <c r="R279" s="41" t="str">
        <f>_xlfn.XLOOKUP($L279,MD_Cost_Center[Mã Cost Center],MD_Cost_Center[Ngành])</f>
        <v>PET</v>
      </c>
      <c r="S279" s="41" t="str">
        <f>_xlfn.XLOOKUP($L279,MD_Cost_Center[Mã Cost Center],MD_Cost_Center[Ngành-Tách PET-Xơ sợi])</f>
        <v>Chung-PET</v>
      </c>
      <c r="T279" s="45">
        <v>45931</v>
      </c>
      <c r="U279" s="46">
        <v>47027</v>
      </c>
      <c r="V279" s="47">
        <v>300</v>
      </c>
      <c r="W279" s="47">
        <v>34920000</v>
      </c>
      <c r="X279" s="47">
        <v>-107777.77777777778</v>
      </c>
      <c r="Y279" s="47">
        <v>34920000</v>
      </c>
      <c r="Z279" s="47">
        <v>34920000</v>
      </c>
      <c r="AA279" s="47">
        <v>34920000</v>
      </c>
      <c r="AB279" s="47">
        <v>34920000</v>
      </c>
      <c r="AC279" s="47">
        <v>34920000</v>
      </c>
      <c r="AD279" s="47">
        <v>34920000</v>
      </c>
      <c r="AE279" s="47">
        <v>34920000</v>
      </c>
      <c r="AF279" s="47">
        <v>34920000</v>
      </c>
      <c r="AG279" s="47">
        <v>34920000</v>
      </c>
      <c r="AH279" s="47">
        <v>34920000</v>
      </c>
      <c r="AI279" s="47">
        <v>34920000</v>
      </c>
      <c r="AJ279" s="47">
        <v>34920000</v>
      </c>
      <c r="AK279" s="47">
        <v>34920000</v>
      </c>
      <c r="AL279" s="47">
        <v>-2910000</v>
      </c>
      <c r="AM279" s="47">
        <v>-2910000</v>
      </c>
      <c r="AN279" s="47">
        <v>-107777.77777777778</v>
      </c>
      <c r="AO279" s="47">
        <v>-107777.77777777778</v>
      </c>
      <c r="AP279" s="47">
        <v>-107777.77777777778</v>
      </c>
      <c r="AQ279" s="47">
        <v>-107777.77777777778</v>
      </c>
      <c r="AR279" s="47">
        <v>-107777.77777777778</v>
      </c>
      <c r="AS279" s="47">
        <v>-107777.77777777778</v>
      </c>
      <c r="AT279" s="47">
        <v>-107777.77777777778</v>
      </c>
      <c r="AU279" s="47">
        <v>-107777.77777777778</v>
      </c>
      <c r="AV279" s="47">
        <v>-107777.77777777778</v>
      </c>
      <c r="AW279" s="47">
        <v>-107777.77777777778</v>
      </c>
      <c r="AX279" s="47">
        <v>-107777.77777777778</v>
      </c>
      <c r="AY279" s="47">
        <v>-107777.77777777778</v>
      </c>
      <c r="AZ279" s="58">
        <f t="shared" si="15"/>
        <v>-1293333.3333333333</v>
      </c>
      <c r="BA279" s="47">
        <f>Y279+SUM($AM279:AM279)</f>
        <v>32010000</v>
      </c>
      <c r="BB279" s="48">
        <f>Z279+SUM($AM279:AN279)</f>
        <v>31902222.222222224</v>
      </c>
      <c r="BC279" s="48">
        <f>AA279+SUM($AM279:AO279)</f>
        <v>31794444.444444444</v>
      </c>
      <c r="BD279" s="48">
        <f>AB279+SUM($AM279:AP279)</f>
        <v>31686666.666666664</v>
      </c>
      <c r="BE279" s="48">
        <f>AC279+SUM($AM279:AQ279)</f>
        <v>31578888.888888888</v>
      </c>
      <c r="BF279" s="48">
        <f>AD279+SUM($AM279:AR279)</f>
        <v>31471111.111111112</v>
      </c>
      <c r="BG279" s="48">
        <f>AE279+SUM($AM279:AS279)</f>
        <v>31363333.333333332</v>
      </c>
      <c r="BH279" s="48">
        <f>AF279+SUM($AM279:AT279)</f>
        <v>31255555.555555552</v>
      </c>
      <c r="BI279" s="48">
        <f>AG279+SUM($AM279:AU279)</f>
        <v>31147777.777777776</v>
      </c>
      <c r="BJ279" s="48">
        <f>AH279+SUM($AM279:AV279)</f>
        <v>31040000</v>
      </c>
      <c r="BK279" s="48">
        <f>AI279+SUM($AM279:AW279)</f>
        <v>30932222.22222222</v>
      </c>
      <c r="BL279" s="48">
        <f>AJ279+SUM($AM279:AX279)</f>
        <v>30824444.44444444</v>
      </c>
      <c r="BM279" s="48">
        <f>AK279+SUM($AM279:AY279)</f>
        <v>30716666.666666664</v>
      </c>
      <c r="BO279" s="47"/>
    </row>
    <row r="280" spans="3:67" s="41" customFormat="1" hidden="1" x14ac:dyDescent="0.3">
      <c r="C280" s="41" t="s">
        <v>1340</v>
      </c>
      <c r="D280" s="42" t="s">
        <v>350</v>
      </c>
      <c r="E280" s="42" t="str">
        <f t="shared" si="14"/>
        <v>211</v>
      </c>
      <c r="F280" s="41" t="str">
        <f>_xlfn.XLOOKUP($D280,MD_Account_Asset_Type[Nhóm tài sản],MD_Account_Asset_Type[Tên Nhóm tài sản])</f>
        <v>TSCĐ khác - SX 627</v>
      </c>
      <c r="G280" s="41" t="str">
        <f>_xlfn.XLOOKUP($D280,MD_Account_Asset_Type[Nhóm tài sản],MD_Account_Asset_Type[Tên nhóm TS-Rút gọn])</f>
        <v>Khác</v>
      </c>
      <c r="H280" s="41" t="str">
        <f>_xlfn.XLOOKUP($D280,MD_Account_Asset_Type[Nhóm tài sản],MD_Account_Asset_Type[Tên nhóm TS-Rút gọn-v2])</f>
        <v>TSCĐHH-Khác</v>
      </c>
      <c r="I280" s="43" t="s">
        <v>1150</v>
      </c>
      <c r="J280" s="42" t="s">
        <v>777</v>
      </c>
      <c r="K280" s="41" t="s">
        <v>830</v>
      </c>
      <c r="L280" s="42" t="s">
        <v>92</v>
      </c>
      <c r="M280" s="42" t="s">
        <v>167</v>
      </c>
      <c r="N280" s="44">
        <v>0</v>
      </c>
      <c r="O280" s="44"/>
      <c r="P280" s="41" t="s">
        <v>466</v>
      </c>
      <c r="Q280" s="41" t="str">
        <f t="shared" si="13"/>
        <v>627</v>
      </c>
      <c r="R280" s="41" t="str">
        <f>_xlfn.XLOOKUP($L280,MD_Cost_Center[Mã Cost Center],MD_Cost_Center[Ngành])</f>
        <v>Chung</v>
      </c>
      <c r="S280" s="41" t="str">
        <f>_xlfn.XLOOKUP($L280,MD_Cost_Center[Mã Cost Center],MD_Cost_Center[Ngành-Tách PET-Xơ sợi])</f>
        <v>Chung</v>
      </c>
      <c r="T280" s="45">
        <v>45778</v>
      </c>
      <c r="U280" s="46">
        <v>46874</v>
      </c>
      <c r="V280" s="47">
        <v>300</v>
      </c>
      <c r="W280" s="47">
        <v>30905000</v>
      </c>
      <c r="X280" s="47">
        <v>-82319.253424657538</v>
      </c>
      <c r="Y280" s="47">
        <v>30905000</v>
      </c>
      <c r="Z280" s="47">
        <v>30905000</v>
      </c>
      <c r="AA280" s="47">
        <v>30905000</v>
      </c>
      <c r="AB280" s="47">
        <v>30905000</v>
      </c>
      <c r="AC280" s="47">
        <v>30905000</v>
      </c>
      <c r="AD280" s="47">
        <v>30905000</v>
      </c>
      <c r="AE280" s="47">
        <v>30905000</v>
      </c>
      <c r="AF280" s="47">
        <v>30905000</v>
      </c>
      <c r="AG280" s="47">
        <v>30905000</v>
      </c>
      <c r="AH280" s="47">
        <v>30905000</v>
      </c>
      <c r="AI280" s="47">
        <v>30905000</v>
      </c>
      <c r="AJ280" s="47">
        <v>30905000</v>
      </c>
      <c r="AK280" s="47">
        <v>30905000</v>
      </c>
      <c r="AL280" s="47">
        <v>-6867778</v>
      </c>
      <c r="AM280" s="47">
        <v>-6867778</v>
      </c>
      <c r="AN280" s="47">
        <v>-82319.253424657538</v>
      </c>
      <c r="AO280" s="47">
        <v>-82319.253424657538</v>
      </c>
      <c r="AP280" s="47">
        <v>-82319.253424657538</v>
      </c>
      <c r="AQ280" s="47">
        <v>-82319.253424657538</v>
      </c>
      <c r="AR280" s="47">
        <v>-82319.253424657538</v>
      </c>
      <c r="AS280" s="47">
        <v>-82319.253424657538</v>
      </c>
      <c r="AT280" s="47">
        <v>-82319.253424657538</v>
      </c>
      <c r="AU280" s="47">
        <v>-82319.253424657538</v>
      </c>
      <c r="AV280" s="47">
        <v>-82319.253424657538</v>
      </c>
      <c r="AW280" s="47">
        <v>-82319.253424657538</v>
      </c>
      <c r="AX280" s="47">
        <v>-82319.253424657538</v>
      </c>
      <c r="AY280" s="47">
        <v>-82319.253424657538</v>
      </c>
      <c r="AZ280" s="58">
        <f t="shared" si="15"/>
        <v>-987831.04109589022</v>
      </c>
      <c r="BA280" s="47">
        <f>Y280+SUM($AM280:AM280)</f>
        <v>24037222</v>
      </c>
      <c r="BB280" s="48">
        <f>Z280+SUM($AM280:AN280)</f>
        <v>23954902.746575341</v>
      </c>
      <c r="BC280" s="48">
        <f>AA280+SUM($AM280:AO280)</f>
        <v>23872583.493150685</v>
      </c>
      <c r="BD280" s="48">
        <f>AB280+SUM($AM280:AP280)</f>
        <v>23790264.239726029</v>
      </c>
      <c r="BE280" s="48">
        <f>AC280+SUM($AM280:AQ280)</f>
        <v>23707944.98630137</v>
      </c>
      <c r="BF280" s="48">
        <f>AD280+SUM($AM280:AR280)</f>
        <v>23625625.732876711</v>
      </c>
      <c r="BG280" s="48">
        <f>AE280+SUM($AM280:AS280)</f>
        <v>23543306.479452055</v>
      </c>
      <c r="BH280" s="48">
        <f>AF280+SUM($AM280:AT280)</f>
        <v>23460987.226027399</v>
      </c>
      <c r="BI280" s="48">
        <f>AG280+SUM($AM280:AU280)</f>
        <v>23378667.97260274</v>
      </c>
      <c r="BJ280" s="48">
        <f>AH280+SUM($AM280:AV280)</f>
        <v>23296348.719178081</v>
      </c>
      <c r="BK280" s="48">
        <f>AI280+SUM($AM280:AW280)</f>
        <v>23214029.465753425</v>
      </c>
      <c r="BL280" s="48">
        <f>AJ280+SUM($AM280:AX280)</f>
        <v>23131710.212328769</v>
      </c>
      <c r="BM280" s="48">
        <f>AK280+SUM($AM280:AY280)</f>
        <v>23049390.95890411</v>
      </c>
      <c r="BO280" s="47"/>
    </row>
    <row r="281" spans="3:67" s="41" customFormat="1" hidden="1" x14ac:dyDescent="0.3">
      <c r="C281" s="41" t="s">
        <v>1340</v>
      </c>
      <c r="D281" s="42" t="s">
        <v>350</v>
      </c>
      <c r="E281" s="42" t="str">
        <f t="shared" si="14"/>
        <v>211</v>
      </c>
      <c r="F281" s="41" t="str">
        <f>_xlfn.XLOOKUP($D281,MD_Account_Asset_Type[Nhóm tài sản],MD_Account_Asset_Type[Tên Nhóm tài sản])</f>
        <v>TSCĐ khác - SX 627</v>
      </c>
      <c r="G281" s="41" t="str">
        <f>_xlfn.XLOOKUP($D281,MD_Account_Asset_Type[Nhóm tài sản],MD_Account_Asset_Type[Tên nhóm TS-Rút gọn])</f>
        <v>Khác</v>
      </c>
      <c r="H281" s="41" t="str">
        <f>_xlfn.XLOOKUP($D281,MD_Account_Asset_Type[Nhóm tài sản],MD_Account_Asset_Type[Tên nhóm TS-Rút gọn-v2])</f>
        <v>TSCĐHH-Khác</v>
      </c>
      <c r="I281" s="43" t="s">
        <v>1151</v>
      </c>
      <c r="J281" s="42" t="s">
        <v>778</v>
      </c>
      <c r="K281" s="41" t="s">
        <v>830</v>
      </c>
      <c r="L281" s="42" t="s">
        <v>48</v>
      </c>
      <c r="M281" s="42" t="s">
        <v>123</v>
      </c>
      <c r="N281" s="44">
        <v>0</v>
      </c>
      <c r="O281" s="44"/>
      <c r="P281" s="41" t="s">
        <v>466</v>
      </c>
      <c r="Q281" s="41" t="str">
        <f t="shared" si="13"/>
        <v>627</v>
      </c>
      <c r="R281" s="41" t="str">
        <f>_xlfn.XLOOKUP($L281,MD_Cost_Center[Mã Cost Center],MD_Cost_Center[Ngành])</f>
        <v>PET</v>
      </c>
      <c r="S281" s="41" t="str">
        <f>_xlfn.XLOOKUP($L281,MD_Cost_Center[Mã Cost Center],MD_Cost_Center[Ngành-Tách PET-Xơ sợi])</f>
        <v>Chung-PET</v>
      </c>
      <c r="T281" s="45">
        <v>45901</v>
      </c>
      <c r="U281" s="46">
        <v>47362</v>
      </c>
      <c r="V281" s="47">
        <v>300</v>
      </c>
      <c r="W281" s="47">
        <v>90591075</v>
      </c>
      <c r="X281" s="47">
        <v>-280546.68581081083</v>
      </c>
      <c r="Y281" s="47">
        <v>90591075</v>
      </c>
      <c r="Z281" s="47">
        <v>90591075</v>
      </c>
      <c r="AA281" s="47">
        <v>90591075</v>
      </c>
      <c r="AB281" s="47">
        <v>90591075</v>
      </c>
      <c r="AC281" s="47">
        <v>90591075</v>
      </c>
      <c r="AD281" s="47">
        <v>90591075</v>
      </c>
      <c r="AE281" s="47">
        <v>90591075</v>
      </c>
      <c r="AF281" s="47">
        <v>90591075</v>
      </c>
      <c r="AG281" s="47">
        <v>90591075</v>
      </c>
      <c r="AH281" s="47">
        <v>90591075</v>
      </c>
      <c r="AI281" s="47">
        <v>90591075</v>
      </c>
      <c r="AJ281" s="47">
        <v>90591075</v>
      </c>
      <c r="AK281" s="47">
        <v>90591075</v>
      </c>
      <c r="AL281" s="47">
        <v>-7549256</v>
      </c>
      <c r="AM281" s="47">
        <v>-7549256</v>
      </c>
      <c r="AN281" s="47">
        <v>-280546.68581081083</v>
      </c>
      <c r="AO281" s="47">
        <v>-280546.68581081083</v>
      </c>
      <c r="AP281" s="47">
        <v>-280546.68581081083</v>
      </c>
      <c r="AQ281" s="47">
        <v>-280546.68581081083</v>
      </c>
      <c r="AR281" s="47">
        <v>-280546.68581081083</v>
      </c>
      <c r="AS281" s="47">
        <v>-280546.68581081083</v>
      </c>
      <c r="AT281" s="47">
        <v>-280546.68581081083</v>
      </c>
      <c r="AU281" s="47">
        <v>-280546.68581081083</v>
      </c>
      <c r="AV281" s="47">
        <v>-280546.68581081083</v>
      </c>
      <c r="AW281" s="47">
        <v>-280546.68581081083</v>
      </c>
      <c r="AX281" s="47">
        <v>-280546.68581081083</v>
      </c>
      <c r="AY281" s="47">
        <v>-280546.68581081083</v>
      </c>
      <c r="AZ281" s="58">
        <f t="shared" si="15"/>
        <v>-3366560.2297297302</v>
      </c>
      <c r="BA281" s="47">
        <f>Y281+SUM($AM281:AM281)</f>
        <v>83041819</v>
      </c>
      <c r="BB281" s="48">
        <f>Z281+SUM($AM281:AN281)</f>
        <v>82761272.314189196</v>
      </c>
      <c r="BC281" s="48">
        <f>AA281+SUM($AM281:AO281)</f>
        <v>82480725.628378376</v>
      </c>
      <c r="BD281" s="48">
        <f>AB281+SUM($AM281:AP281)</f>
        <v>82200178.942567572</v>
      </c>
      <c r="BE281" s="48">
        <f>AC281+SUM($AM281:AQ281)</f>
        <v>81919632.256756753</v>
      </c>
      <c r="BF281" s="48">
        <f>AD281+SUM($AM281:AR281)</f>
        <v>81639085.570945948</v>
      </c>
      <c r="BG281" s="48">
        <f>AE281+SUM($AM281:AS281)</f>
        <v>81358538.885135144</v>
      </c>
      <c r="BH281" s="48">
        <f>AF281+SUM($AM281:AT281)</f>
        <v>81077992.199324325</v>
      </c>
      <c r="BI281" s="48">
        <f>AG281+SUM($AM281:AU281)</f>
        <v>80797445.51351352</v>
      </c>
      <c r="BJ281" s="48">
        <f>AH281+SUM($AM281:AV281)</f>
        <v>80516898.827702701</v>
      </c>
      <c r="BK281" s="48">
        <f>AI281+SUM($AM281:AW281)</f>
        <v>80236352.141891897</v>
      </c>
      <c r="BL281" s="48">
        <f>AJ281+SUM($AM281:AX281)</f>
        <v>79955805.456081092</v>
      </c>
      <c r="BM281" s="48">
        <f>AK281+SUM($AM281:AY281)</f>
        <v>79675258.770270273</v>
      </c>
      <c r="BO281" s="47"/>
    </row>
    <row r="282" spans="3:67" s="41" customFormat="1" hidden="1" x14ac:dyDescent="0.3">
      <c r="C282" s="41" t="s">
        <v>1340</v>
      </c>
      <c r="D282" s="42" t="s">
        <v>381</v>
      </c>
      <c r="E282" s="42" t="str">
        <f t="shared" si="14"/>
        <v>212</v>
      </c>
      <c r="F282" s="41" t="str">
        <f>_xlfn.XLOOKUP($D282,MD_Account_Asset_Type[Nhóm tài sản],MD_Account_Asset_Type[Tên Nhóm tài sản])</f>
        <v>TSCĐ thuê TC: Máy móc, thiết bị phụ- SX 627</v>
      </c>
      <c r="G282" s="41" t="str">
        <f>_xlfn.XLOOKUP($D282,MD_Account_Asset_Type[Nhóm tài sản],MD_Account_Asset_Type[Tên nhóm TS-Rút gọn])</f>
        <v>Máy móc thiết bị thuê tài chính</v>
      </c>
      <c r="H282" s="41" t="str">
        <f>_xlfn.XLOOKUP($D282,MD_Account_Asset_Type[Nhóm tài sản],MD_Account_Asset_Type[Tên nhóm TS-Rút gọn-v2])</f>
        <v>Máy móc thiết bị thuê tài chính</v>
      </c>
      <c r="I282" s="43" t="s">
        <v>1171</v>
      </c>
      <c r="J282" s="42" t="s">
        <v>779</v>
      </c>
      <c r="K282" s="41" t="s">
        <v>1161</v>
      </c>
      <c r="L282" s="42" t="s">
        <v>48</v>
      </c>
      <c r="M282" s="42" t="s">
        <v>123</v>
      </c>
      <c r="N282" s="44">
        <v>0</v>
      </c>
      <c r="O282" s="44"/>
      <c r="P282" s="41" t="s">
        <v>461</v>
      </c>
      <c r="Q282" s="41" t="str">
        <f t="shared" si="13"/>
        <v>627</v>
      </c>
      <c r="R282" s="41" t="str">
        <f>_xlfn.XLOOKUP($L282,MD_Cost_Center[Mã Cost Center],MD_Cost_Center[Ngành])</f>
        <v>PET</v>
      </c>
      <c r="S282" s="41" t="str">
        <f>_xlfn.XLOOKUP($L282,MD_Cost_Center[Mã Cost Center],MD_Cost_Center[Ngành-Tách PET-Xơ sợi])</f>
        <v>Chung-PET</v>
      </c>
      <c r="T282" s="45">
        <v>45627</v>
      </c>
      <c r="U282" s="46">
        <v>47058</v>
      </c>
      <c r="V282" s="47">
        <v>144</v>
      </c>
      <c r="W282" s="47">
        <v>615186670</v>
      </c>
      <c r="X282" s="47">
        <v>-3397165.3053435115</v>
      </c>
      <c r="Y282" s="47">
        <v>615186670</v>
      </c>
      <c r="Z282" s="47">
        <v>615186670</v>
      </c>
      <c r="AA282" s="47">
        <v>615186670</v>
      </c>
      <c r="AB282" s="47">
        <v>615186670</v>
      </c>
      <c r="AC282" s="47">
        <v>615186670</v>
      </c>
      <c r="AD282" s="47">
        <v>615186670</v>
      </c>
      <c r="AE282" s="47">
        <v>615186670</v>
      </c>
      <c r="AF282" s="47">
        <v>615186670</v>
      </c>
      <c r="AG282" s="47">
        <v>615186670</v>
      </c>
      <c r="AH282" s="47">
        <v>615186670</v>
      </c>
      <c r="AI282" s="47">
        <v>615186670</v>
      </c>
      <c r="AJ282" s="47">
        <v>615186670</v>
      </c>
      <c r="AK282" s="47">
        <v>615186670</v>
      </c>
      <c r="AL282" s="47">
        <v>-157068937</v>
      </c>
      <c r="AM282" s="47">
        <v>-170158015</v>
      </c>
      <c r="AN282" s="47">
        <v>-3397165.3053435115</v>
      </c>
      <c r="AO282" s="47">
        <v>-3397165.3053435115</v>
      </c>
      <c r="AP282" s="47">
        <v>-3397165.3053435115</v>
      </c>
      <c r="AQ282" s="47">
        <v>-3397165.3053435115</v>
      </c>
      <c r="AR282" s="47">
        <v>-3397165.3053435115</v>
      </c>
      <c r="AS282" s="47">
        <v>-3397165.3053435115</v>
      </c>
      <c r="AT282" s="47">
        <v>-3397165.3053435115</v>
      </c>
      <c r="AU282" s="47">
        <v>-3397165.3053435115</v>
      </c>
      <c r="AV282" s="47">
        <v>-3397165.3053435115</v>
      </c>
      <c r="AW282" s="47">
        <v>-3397165.3053435115</v>
      </c>
      <c r="AX282" s="47">
        <v>-3397165.3053435115</v>
      </c>
      <c r="AY282" s="47">
        <v>-3397165.3053435115</v>
      </c>
      <c r="AZ282" s="58">
        <f t="shared" si="15"/>
        <v>-40765983.664122134</v>
      </c>
      <c r="BA282" s="47">
        <f>Y282+SUM($AM282:AM282)</f>
        <v>445028655</v>
      </c>
      <c r="BB282" s="48">
        <f>Z282+SUM($AM282:AN282)</f>
        <v>441631489.69465649</v>
      </c>
      <c r="BC282" s="48">
        <f>AA282+SUM($AM282:AO282)</f>
        <v>438234324.38931298</v>
      </c>
      <c r="BD282" s="48">
        <f>AB282+SUM($AM282:AP282)</f>
        <v>434837159.08396947</v>
      </c>
      <c r="BE282" s="48">
        <f>AC282+SUM($AM282:AQ282)</f>
        <v>431439993.77862597</v>
      </c>
      <c r="BF282" s="48">
        <f>AD282+SUM($AM282:AR282)</f>
        <v>428042828.47328246</v>
      </c>
      <c r="BG282" s="48">
        <f>AE282+SUM($AM282:AS282)</f>
        <v>424645663.16793895</v>
      </c>
      <c r="BH282" s="48">
        <f>AF282+SUM($AM282:AT282)</f>
        <v>421248497.86259544</v>
      </c>
      <c r="BI282" s="48">
        <f>AG282+SUM($AM282:AU282)</f>
        <v>417851332.55725193</v>
      </c>
      <c r="BJ282" s="48">
        <f>AH282+SUM($AM282:AV282)</f>
        <v>414454167.25190842</v>
      </c>
      <c r="BK282" s="48">
        <f>AI282+SUM($AM282:AW282)</f>
        <v>411057001.94656491</v>
      </c>
      <c r="BL282" s="48">
        <f>AJ282+SUM($AM282:AX282)</f>
        <v>407659836.6412214</v>
      </c>
      <c r="BM282" s="48">
        <f>AK282+SUM($AM282:AY282)</f>
        <v>404262671.3358779</v>
      </c>
      <c r="BO282" s="47"/>
    </row>
    <row r="283" spans="3:67" s="41" customFormat="1" hidden="1" x14ac:dyDescent="0.3">
      <c r="C283" s="41" t="s">
        <v>1340</v>
      </c>
      <c r="D283" s="42" t="s">
        <v>381</v>
      </c>
      <c r="E283" s="42" t="str">
        <f t="shared" si="14"/>
        <v>212</v>
      </c>
      <c r="F283" s="41" t="str">
        <f>_xlfn.XLOOKUP($D283,MD_Account_Asset_Type[Nhóm tài sản],MD_Account_Asset_Type[Tên Nhóm tài sản])</f>
        <v>TSCĐ thuê TC: Máy móc, thiết bị phụ- SX 627</v>
      </c>
      <c r="G283" s="41" t="str">
        <f>_xlfn.XLOOKUP($D283,MD_Account_Asset_Type[Nhóm tài sản],MD_Account_Asset_Type[Tên nhóm TS-Rút gọn])</f>
        <v>Máy móc thiết bị thuê tài chính</v>
      </c>
      <c r="H283" s="41" t="str">
        <f>_xlfn.XLOOKUP($D283,MD_Account_Asset_Type[Nhóm tài sản],MD_Account_Asset_Type[Tên nhóm TS-Rút gọn-v2])</f>
        <v>Máy móc thiết bị thuê tài chính</v>
      </c>
      <c r="I283" s="43" t="s">
        <v>1172</v>
      </c>
      <c r="J283" s="42" t="s">
        <v>780</v>
      </c>
      <c r="K283" s="41" t="s">
        <v>1161</v>
      </c>
      <c r="L283" s="42" t="s">
        <v>48</v>
      </c>
      <c r="M283" s="42" t="s">
        <v>123</v>
      </c>
      <c r="N283" s="44">
        <v>0</v>
      </c>
      <c r="O283" s="44"/>
      <c r="P283" s="41" t="s">
        <v>461</v>
      </c>
      <c r="Q283" s="41" t="str">
        <f t="shared" si="13"/>
        <v>627</v>
      </c>
      <c r="R283" s="41" t="str">
        <f>_xlfn.XLOOKUP($L283,MD_Cost_Center[Mã Cost Center],MD_Cost_Center[Ngành])</f>
        <v>PET</v>
      </c>
      <c r="S283" s="41" t="str">
        <f>_xlfn.XLOOKUP($L283,MD_Cost_Center[Mã Cost Center],MD_Cost_Center[Ngành-Tách PET-Xơ sợi])</f>
        <v>Chung-PET</v>
      </c>
      <c r="T283" s="45">
        <v>45627</v>
      </c>
      <c r="U283" s="46">
        <v>47150</v>
      </c>
      <c r="V283" s="47">
        <v>144</v>
      </c>
      <c r="W283" s="47">
        <v>184542222</v>
      </c>
      <c r="X283" s="47">
        <v>-1042452.251908397</v>
      </c>
      <c r="Y283" s="47">
        <v>184542222</v>
      </c>
      <c r="Z283" s="47">
        <v>184542222</v>
      </c>
      <c r="AA283" s="47">
        <v>184542222</v>
      </c>
      <c r="AB283" s="47">
        <v>184542222</v>
      </c>
      <c r="AC283" s="47">
        <v>184542222</v>
      </c>
      <c r="AD283" s="47">
        <v>184542222</v>
      </c>
      <c r="AE283" s="47">
        <v>184542222</v>
      </c>
      <c r="AF283" s="47">
        <v>184542222</v>
      </c>
      <c r="AG283" s="47">
        <v>184542222</v>
      </c>
      <c r="AH283" s="47">
        <v>184542222</v>
      </c>
      <c r="AI283" s="47">
        <v>184542222</v>
      </c>
      <c r="AJ283" s="47">
        <v>184542222</v>
      </c>
      <c r="AK283" s="47">
        <v>184542222</v>
      </c>
      <c r="AL283" s="47">
        <v>-44290133</v>
      </c>
      <c r="AM283" s="47">
        <v>-47980977</v>
      </c>
      <c r="AN283" s="47">
        <v>-1042452.251908397</v>
      </c>
      <c r="AO283" s="47">
        <v>-1042452.251908397</v>
      </c>
      <c r="AP283" s="47">
        <v>-1042452.251908397</v>
      </c>
      <c r="AQ283" s="47">
        <v>-1042452.251908397</v>
      </c>
      <c r="AR283" s="47">
        <v>-1042452.251908397</v>
      </c>
      <c r="AS283" s="47">
        <v>-1042452.251908397</v>
      </c>
      <c r="AT283" s="47">
        <v>-1042452.251908397</v>
      </c>
      <c r="AU283" s="47">
        <v>-1042452.251908397</v>
      </c>
      <c r="AV283" s="47">
        <v>-1042452.251908397</v>
      </c>
      <c r="AW283" s="47">
        <v>-1042452.251908397</v>
      </c>
      <c r="AX283" s="47">
        <v>-1042452.251908397</v>
      </c>
      <c r="AY283" s="47">
        <v>-1042452.251908397</v>
      </c>
      <c r="AZ283" s="58">
        <f t="shared" si="15"/>
        <v>-12509427.022900766</v>
      </c>
      <c r="BA283" s="47">
        <f>Y283+SUM($AM283:AM283)</f>
        <v>136561245</v>
      </c>
      <c r="BB283" s="48">
        <f>Z283+SUM($AM283:AN283)</f>
        <v>135518792.74809161</v>
      </c>
      <c r="BC283" s="48">
        <f>AA283+SUM($AM283:AO283)</f>
        <v>134476340.49618322</v>
      </c>
      <c r="BD283" s="48">
        <f>AB283+SUM($AM283:AP283)</f>
        <v>133433888.2442748</v>
      </c>
      <c r="BE283" s="48">
        <f>AC283+SUM($AM283:AQ283)</f>
        <v>132391435.9923664</v>
      </c>
      <c r="BF283" s="48">
        <f>AD283+SUM($AM283:AR283)</f>
        <v>131348983.74045801</v>
      </c>
      <c r="BG283" s="48">
        <f>AE283+SUM($AM283:AS283)</f>
        <v>130306531.48854961</v>
      </c>
      <c r="BH283" s="48">
        <f>AF283+SUM($AM283:AT283)</f>
        <v>129264079.2366412</v>
      </c>
      <c r="BI283" s="48">
        <f>AG283+SUM($AM283:AU283)</f>
        <v>128221626.98473281</v>
      </c>
      <c r="BJ283" s="48">
        <f>AH283+SUM($AM283:AV283)</f>
        <v>127179174.73282441</v>
      </c>
      <c r="BK283" s="48">
        <f>AI283+SUM($AM283:AW283)</f>
        <v>126136722.48091601</v>
      </c>
      <c r="BL283" s="48">
        <f>AJ283+SUM($AM283:AX283)</f>
        <v>125094270.2290076</v>
      </c>
      <c r="BM283" s="48">
        <f>AK283+SUM($AM283:AY283)</f>
        <v>124051817.97709921</v>
      </c>
      <c r="BO283" s="47"/>
    </row>
    <row r="284" spans="3:67" s="41" customFormat="1" hidden="1" x14ac:dyDescent="0.3">
      <c r="C284" s="41" t="s">
        <v>1340</v>
      </c>
      <c r="D284" s="42" t="s">
        <v>381</v>
      </c>
      <c r="E284" s="42" t="str">
        <f t="shared" si="14"/>
        <v>212</v>
      </c>
      <c r="F284" s="41" t="str">
        <f>_xlfn.XLOOKUP($D284,MD_Account_Asset_Type[Nhóm tài sản],MD_Account_Asset_Type[Tên Nhóm tài sản])</f>
        <v>TSCĐ thuê TC: Máy móc, thiết bị phụ- SX 627</v>
      </c>
      <c r="G284" s="41" t="str">
        <f>_xlfn.XLOOKUP($D284,MD_Account_Asset_Type[Nhóm tài sản],MD_Account_Asset_Type[Tên nhóm TS-Rút gọn])</f>
        <v>Máy móc thiết bị thuê tài chính</v>
      </c>
      <c r="H284" s="41" t="str">
        <f>_xlfn.XLOOKUP($D284,MD_Account_Asset_Type[Nhóm tài sản],MD_Account_Asset_Type[Tên nhóm TS-Rút gọn-v2])</f>
        <v>Máy móc thiết bị thuê tài chính</v>
      </c>
      <c r="I284" s="43" t="s">
        <v>1173</v>
      </c>
      <c r="J284" s="42" t="s">
        <v>781</v>
      </c>
      <c r="K284" s="41" t="s">
        <v>1161</v>
      </c>
      <c r="L284" s="42" t="s">
        <v>48</v>
      </c>
      <c r="M284" s="42" t="s">
        <v>123</v>
      </c>
      <c r="N284" s="44">
        <v>0</v>
      </c>
      <c r="O284" s="44"/>
      <c r="P284" s="41" t="s">
        <v>461</v>
      </c>
      <c r="Q284" s="41" t="str">
        <f t="shared" si="13"/>
        <v>627</v>
      </c>
      <c r="R284" s="41" t="str">
        <f>_xlfn.XLOOKUP($L284,MD_Cost_Center[Mã Cost Center],MD_Cost_Center[Ngành])</f>
        <v>PET</v>
      </c>
      <c r="S284" s="41" t="str">
        <f>_xlfn.XLOOKUP($L284,MD_Cost_Center[Mã Cost Center],MD_Cost_Center[Ngành-Tách PET-Xơ sợi])</f>
        <v>Chung-PET</v>
      </c>
      <c r="T284" s="45">
        <v>45627</v>
      </c>
      <c r="U284" s="46">
        <v>47150</v>
      </c>
      <c r="V284" s="47">
        <v>144</v>
      </c>
      <c r="W284" s="47">
        <v>1050660000</v>
      </c>
      <c r="X284" s="47">
        <v>-5935025.9541984731</v>
      </c>
      <c r="Y284" s="47">
        <v>1050660000</v>
      </c>
      <c r="Z284" s="47">
        <v>1050660000</v>
      </c>
      <c r="AA284" s="47">
        <v>1050660000</v>
      </c>
      <c r="AB284" s="47">
        <v>1050660000</v>
      </c>
      <c r="AC284" s="47">
        <v>1050660000</v>
      </c>
      <c r="AD284" s="47">
        <v>1050660000</v>
      </c>
      <c r="AE284" s="47">
        <v>1050660000</v>
      </c>
      <c r="AF284" s="47">
        <v>1050660000</v>
      </c>
      <c r="AG284" s="47">
        <v>1050660000</v>
      </c>
      <c r="AH284" s="47">
        <v>1050660000</v>
      </c>
      <c r="AI284" s="47">
        <v>1050660000</v>
      </c>
      <c r="AJ284" s="47">
        <v>1050660000</v>
      </c>
      <c r="AK284" s="47">
        <v>1050660000</v>
      </c>
      <c r="AL284" s="47">
        <v>-252158400</v>
      </c>
      <c r="AM284" s="47">
        <v>-273171600</v>
      </c>
      <c r="AN284" s="47">
        <v>-5935025.9541984731</v>
      </c>
      <c r="AO284" s="47">
        <v>-5935025.9541984731</v>
      </c>
      <c r="AP284" s="47">
        <v>-5935025.9541984731</v>
      </c>
      <c r="AQ284" s="47">
        <v>-5935025.9541984731</v>
      </c>
      <c r="AR284" s="47">
        <v>-5935025.9541984731</v>
      </c>
      <c r="AS284" s="47">
        <v>-5935025.9541984731</v>
      </c>
      <c r="AT284" s="47">
        <v>-5935025.9541984731</v>
      </c>
      <c r="AU284" s="47">
        <v>-5935025.9541984731</v>
      </c>
      <c r="AV284" s="47">
        <v>-5935025.9541984731</v>
      </c>
      <c r="AW284" s="47">
        <v>-5935025.9541984731</v>
      </c>
      <c r="AX284" s="47">
        <v>-5935025.9541984731</v>
      </c>
      <c r="AY284" s="47">
        <v>-5935025.9541984731</v>
      </c>
      <c r="AZ284" s="58">
        <f t="shared" si="15"/>
        <v>-71220311.450381681</v>
      </c>
      <c r="BA284" s="47">
        <f>Y284+SUM($AM284:AM284)</f>
        <v>777488400</v>
      </c>
      <c r="BB284" s="48">
        <f>Z284+SUM($AM284:AN284)</f>
        <v>771553374.04580152</v>
      </c>
      <c r="BC284" s="48">
        <f>AA284+SUM($AM284:AO284)</f>
        <v>765618348.09160304</v>
      </c>
      <c r="BD284" s="48">
        <f>AB284+SUM($AM284:AP284)</f>
        <v>759683322.13740456</v>
      </c>
      <c r="BE284" s="48">
        <f>AC284+SUM($AM284:AQ284)</f>
        <v>753748296.18320608</v>
      </c>
      <c r="BF284" s="48">
        <f>AD284+SUM($AM284:AR284)</f>
        <v>747813270.2290076</v>
      </c>
      <c r="BG284" s="48">
        <f>AE284+SUM($AM284:AS284)</f>
        <v>741878244.27480912</v>
      </c>
      <c r="BH284" s="48">
        <f>AF284+SUM($AM284:AT284)</f>
        <v>735943218.32061064</v>
      </c>
      <c r="BI284" s="48">
        <f>AG284+SUM($AM284:AU284)</f>
        <v>730008192.36641216</v>
      </c>
      <c r="BJ284" s="48">
        <f>AH284+SUM($AM284:AV284)</f>
        <v>724073166.41221368</v>
      </c>
      <c r="BK284" s="48">
        <f>AI284+SUM($AM284:AW284)</f>
        <v>718138140.4580152</v>
      </c>
      <c r="BL284" s="48">
        <f>AJ284+SUM($AM284:AX284)</f>
        <v>712203114.50381672</v>
      </c>
      <c r="BM284" s="48">
        <f>AK284+SUM($AM284:AY284)</f>
        <v>706268088.54961824</v>
      </c>
      <c r="BO284" s="47"/>
    </row>
    <row r="285" spans="3:67" s="41" customFormat="1" hidden="1" x14ac:dyDescent="0.3">
      <c r="C285" s="41" t="s">
        <v>1340</v>
      </c>
      <c r="D285" s="42" t="s">
        <v>381</v>
      </c>
      <c r="E285" s="42" t="str">
        <f t="shared" si="14"/>
        <v>212</v>
      </c>
      <c r="F285" s="41" t="str">
        <f>_xlfn.XLOOKUP($D285,MD_Account_Asset_Type[Nhóm tài sản],MD_Account_Asset_Type[Tên Nhóm tài sản])</f>
        <v>TSCĐ thuê TC: Máy móc, thiết bị phụ- SX 627</v>
      </c>
      <c r="G285" s="41" t="str">
        <f>_xlfn.XLOOKUP($D285,MD_Account_Asset_Type[Nhóm tài sản],MD_Account_Asset_Type[Tên nhóm TS-Rút gọn])</f>
        <v>Máy móc thiết bị thuê tài chính</v>
      </c>
      <c r="H285" s="41" t="str">
        <f>_xlfn.XLOOKUP($D285,MD_Account_Asset_Type[Nhóm tài sản],MD_Account_Asset_Type[Tên nhóm TS-Rút gọn-v2])</f>
        <v>Máy móc thiết bị thuê tài chính</v>
      </c>
      <c r="I285" s="43" t="s">
        <v>1174</v>
      </c>
      <c r="J285" s="42" t="s">
        <v>782</v>
      </c>
      <c r="K285" s="41" t="s">
        <v>1161</v>
      </c>
      <c r="L285" s="42" t="s">
        <v>48</v>
      </c>
      <c r="M285" s="42" t="s">
        <v>123</v>
      </c>
      <c r="N285" s="44">
        <v>0</v>
      </c>
      <c r="O285" s="44"/>
      <c r="P285" s="41" t="s">
        <v>461</v>
      </c>
      <c r="Q285" s="41" t="str">
        <f t="shared" si="13"/>
        <v>627</v>
      </c>
      <c r="R285" s="41" t="str">
        <f>_xlfn.XLOOKUP($L285,MD_Cost_Center[Mã Cost Center],MD_Cost_Center[Ngành])</f>
        <v>PET</v>
      </c>
      <c r="S285" s="41" t="str">
        <f>_xlfn.XLOOKUP($L285,MD_Cost_Center[Mã Cost Center],MD_Cost_Center[Ngành-Tách PET-Xơ sợi])</f>
        <v>Chung-PET</v>
      </c>
      <c r="T285" s="45">
        <v>45627</v>
      </c>
      <c r="U285" s="46">
        <v>48092</v>
      </c>
      <c r="V285" s="47">
        <v>144</v>
      </c>
      <c r="W285" s="47">
        <v>386303995</v>
      </c>
      <c r="X285" s="47">
        <v>-2475607.5419847327</v>
      </c>
      <c r="Y285" s="47">
        <v>386303995</v>
      </c>
      <c r="Z285" s="47">
        <v>386303995</v>
      </c>
      <c r="AA285" s="47">
        <v>386303995</v>
      </c>
      <c r="AB285" s="47">
        <v>386303995</v>
      </c>
      <c r="AC285" s="47">
        <v>386303995</v>
      </c>
      <c r="AD285" s="47">
        <v>386303995</v>
      </c>
      <c r="AE285" s="47">
        <v>386303995</v>
      </c>
      <c r="AF285" s="47">
        <v>386303995</v>
      </c>
      <c r="AG285" s="47">
        <v>386303995</v>
      </c>
      <c r="AH285" s="47">
        <v>386303995</v>
      </c>
      <c r="AI285" s="47">
        <v>386303995</v>
      </c>
      <c r="AJ285" s="47">
        <v>386303995</v>
      </c>
      <c r="AK285" s="47">
        <v>386303995</v>
      </c>
      <c r="AL285" s="47">
        <v>-57230222</v>
      </c>
      <c r="AM285" s="47">
        <v>-61999407</v>
      </c>
      <c r="AN285" s="47">
        <v>-2475607.5419847327</v>
      </c>
      <c r="AO285" s="47">
        <v>-2475607.5419847327</v>
      </c>
      <c r="AP285" s="47">
        <v>-2475607.5419847327</v>
      </c>
      <c r="AQ285" s="47">
        <v>-2475607.5419847327</v>
      </c>
      <c r="AR285" s="47">
        <v>-2475607.5419847327</v>
      </c>
      <c r="AS285" s="47">
        <v>-2475607.5419847327</v>
      </c>
      <c r="AT285" s="47">
        <v>-2475607.5419847327</v>
      </c>
      <c r="AU285" s="47">
        <v>-2475607.5419847327</v>
      </c>
      <c r="AV285" s="47">
        <v>-2475607.5419847327</v>
      </c>
      <c r="AW285" s="47">
        <v>-2475607.5419847327</v>
      </c>
      <c r="AX285" s="47">
        <v>-2475607.5419847327</v>
      </c>
      <c r="AY285" s="47">
        <v>-2475607.5419847327</v>
      </c>
      <c r="AZ285" s="58">
        <f t="shared" si="15"/>
        <v>-29707290.503816795</v>
      </c>
      <c r="BA285" s="47">
        <f>Y285+SUM($AM285:AM285)</f>
        <v>324304588</v>
      </c>
      <c r="BB285" s="48">
        <f>Z285+SUM($AM285:AN285)</f>
        <v>321828980.45801526</v>
      </c>
      <c r="BC285" s="48">
        <f>AA285+SUM($AM285:AO285)</f>
        <v>319353372.91603053</v>
      </c>
      <c r="BD285" s="48">
        <f>AB285+SUM($AM285:AP285)</f>
        <v>316877765.37404579</v>
      </c>
      <c r="BE285" s="48">
        <f>AC285+SUM($AM285:AQ285)</f>
        <v>314402157.83206105</v>
      </c>
      <c r="BF285" s="48">
        <f>AD285+SUM($AM285:AR285)</f>
        <v>311926550.29007632</v>
      </c>
      <c r="BG285" s="48">
        <f>AE285+SUM($AM285:AS285)</f>
        <v>309450942.74809158</v>
      </c>
      <c r="BH285" s="48">
        <f>AF285+SUM($AM285:AT285)</f>
        <v>306975335.20610684</v>
      </c>
      <c r="BI285" s="48">
        <f>AG285+SUM($AM285:AU285)</f>
        <v>304499727.6641221</v>
      </c>
      <c r="BJ285" s="48">
        <f>AH285+SUM($AM285:AV285)</f>
        <v>302024120.12213737</v>
      </c>
      <c r="BK285" s="48">
        <f>AI285+SUM($AM285:AW285)</f>
        <v>299548512.58015263</v>
      </c>
      <c r="BL285" s="48">
        <f>AJ285+SUM($AM285:AX285)</f>
        <v>297072905.03816789</v>
      </c>
      <c r="BM285" s="48">
        <f>AK285+SUM($AM285:AY285)</f>
        <v>294597297.49618316</v>
      </c>
      <c r="BO285" s="47"/>
    </row>
    <row r="286" spans="3:67" s="41" customFormat="1" hidden="1" x14ac:dyDescent="0.3">
      <c r="C286" s="41" t="s">
        <v>1340</v>
      </c>
      <c r="D286" s="42" t="s">
        <v>381</v>
      </c>
      <c r="E286" s="42" t="str">
        <f t="shared" si="14"/>
        <v>212</v>
      </c>
      <c r="F286" s="41" t="str">
        <f>_xlfn.XLOOKUP($D286,MD_Account_Asset_Type[Nhóm tài sản],MD_Account_Asset_Type[Tên Nhóm tài sản])</f>
        <v>TSCĐ thuê TC: Máy móc, thiết bị phụ- SX 627</v>
      </c>
      <c r="G286" s="41" t="str">
        <f>_xlfn.XLOOKUP($D286,MD_Account_Asset_Type[Nhóm tài sản],MD_Account_Asset_Type[Tên nhóm TS-Rút gọn])</f>
        <v>Máy móc thiết bị thuê tài chính</v>
      </c>
      <c r="H286" s="41" t="str">
        <f>_xlfn.XLOOKUP($D286,MD_Account_Asset_Type[Nhóm tài sản],MD_Account_Asset_Type[Tên nhóm TS-Rút gọn-v2])</f>
        <v>Máy móc thiết bị thuê tài chính</v>
      </c>
      <c r="I286" s="43" t="s">
        <v>1175</v>
      </c>
      <c r="J286" s="42" t="s">
        <v>783</v>
      </c>
      <c r="K286" s="41" t="s">
        <v>1161</v>
      </c>
      <c r="L286" s="42" t="s">
        <v>48</v>
      </c>
      <c r="M286" s="42" t="s">
        <v>123</v>
      </c>
      <c r="N286" s="44">
        <v>0</v>
      </c>
      <c r="O286" s="44"/>
      <c r="P286" s="41" t="s">
        <v>461</v>
      </c>
      <c r="Q286" s="41" t="str">
        <f t="shared" si="13"/>
        <v>627</v>
      </c>
      <c r="R286" s="41" t="str">
        <f>_xlfn.XLOOKUP($L286,MD_Cost_Center[Mã Cost Center],MD_Cost_Center[Ngành])</f>
        <v>PET</v>
      </c>
      <c r="S286" s="41" t="str">
        <f>_xlfn.XLOOKUP($L286,MD_Cost_Center[Mã Cost Center],MD_Cost_Center[Ngành-Tách PET-Xơ sợi])</f>
        <v>Chung-PET</v>
      </c>
      <c r="T286" s="45">
        <v>45627</v>
      </c>
      <c r="U286" s="46">
        <v>48122</v>
      </c>
      <c r="V286" s="47">
        <v>144</v>
      </c>
      <c r="W286" s="47">
        <v>2563310334</v>
      </c>
      <c r="X286" s="47">
        <v>-16465128.75572519</v>
      </c>
      <c r="Y286" s="47">
        <v>2563310334</v>
      </c>
      <c r="Z286" s="47">
        <v>2563310334</v>
      </c>
      <c r="AA286" s="47">
        <v>2563310334</v>
      </c>
      <c r="AB286" s="47">
        <v>2563310334</v>
      </c>
      <c r="AC286" s="47">
        <v>2563310334</v>
      </c>
      <c r="AD286" s="47">
        <v>2563310334</v>
      </c>
      <c r="AE286" s="47">
        <v>2563310334</v>
      </c>
      <c r="AF286" s="47">
        <v>2563310334</v>
      </c>
      <c r="AG286" s="47">
        <v>2563310334</v>
      </c>
      <c r="AH286" s="47">
        <v>2563310334</v>
      </c>
      <c r="AI286" s="47">
        <v>2563310334</v>
      </c>
      <c r="AJ286" s="47">
        <v>2563310334</v>
      </c>
      <c r="AK286" s="47">
        <v>2563310334</v>
      </c>
      <c r="AL286" s="47">
        <v>-375118585</v>
      </c>
      <c r="AM286" s="47">
        <v>-406378467</v>
      </c>
      <c r="AN286" s="47">
        <v>-16465128.75572519</v>
      </c>
      <c r="AO286" s="47">
        <v>-16465128.75572519</v>
      </c>
      <c r="AP286" s="47">
        <v>-16465128.75572519</v>
      </c>
      <c r="AQ286" s="47">
        <v>-16465128.75572519</v>
      </c>
      <c r="AR286" s="47">
        <v>-16465128.75572519</v>
      </c>
      <c r="AS286" s="47">
        <v>-16465128.75572519</v>
      </c>
      <c r="AT286" s="47">
        <v>-16465128.75572519</v>
      </c>
      <c r="AU286" s="47">
        <v>-16465128.75572519</v>
      </c>
      <c r="AV286" s="47">
        <v>-16465128.75572519</v>
      </c>
      <c r="AW286" s="47">
        <v>-16465128.75572519</v>
      </c>
      <c r="AX286" s="47">
        <v>-16465128.75572519</v>
      </c>
      <c r="AY286" s="47">
        <v>-16465128.75572519</v>
      </c>
      <c r="AZ286" s="58">
        <f t="shared" si="15"/>
        <v>-197581545.06870234</v>
      </c>
      <c r="BA286" s="47">
        <f>Y286+SUM($AM286:AM286)</f>
        <v>2156931867</v>
      </c>
      <c r="BB286" s="48">
        <f>Z286+SUM($AM286:AN286)</f>
        <v>2140466738.2442749</v>
      </c>
      <c r="BC286" s="48">
        <f>AA286+SUM($AM286:AO286)</f>
        <v>2124001609.4885497</v>
      </c>
      <c r="BD286" s="48">
        <f>AB286+SUM($AM286:AP286)</f>
        <v>2107536480.7328243</v>
      </c>
      <c r="BE286" s="48">
        <f>AC286+SUM($AM286:AQ286)</f>
        <v>2091071351.9770992</v>
      </c>
      <c r="BF286" s="48">
        <f>AD286+SUM($AM286:AR286)</f>
        <v>2074606223.221374</v>
      </c>
      <c r="BG286" s="48">
        <f>AE286+SUM($AM286:AS286)</f>
        <v>2058141094.4656487</v>
      </c>
      <c r="BH286" s="48">
        <f>AF286+SUM($AM286:AT286)</f>
        <v>2041675965.7099235</v>
      </c>
      <c r="BI286" s="48">
        <f>AG286+SUM($AM286:AU286)</f>
        <v>2025210836.9541984</v>
      </c>
      <c r="BJ286" s="48">
        <f>AH286+SUM($AM286:AV286)</f>
        <v>2008745708.1984732</v>
      </c>
      <c r="BK286" s="48">
        <f>AI286+SUM($AM286:AW286)</f>
        <v>1992280579.4427481</v>
      </c>
      <c r="BL286" s="48">
        <f>AJ286+SUM($AM286:AX286)</f>
        <v>1975815450.6870229</v>
      </c>
      <c r="BM286" s="48">
        <f>AK286+SUM($AM286:AY286)</f>
        <v>1959350321.9312978</v>
      </c>
      <c r="BO286" s="47"/>
    </row>
    <row r="287" spans="3:67" s="41" customFormat="1" hidden="1" x14ac:dyDescent="0.3">
      <c r="C287" s="41" t="s">
        <v>1340</v>
      </c>
      <c r="D287" s="42" t="s">
        <v>381</v>
      </c>
      <c r="E287" s="42" t="str">
        <f t="shared" si="14"/>
        <v>212</v>
      </c>
      <c r="F287" s="41" t="str">
        <f>_xlfn.XLOOKUP($D287,MD_Account_Asset_Type[Nhóm tài sản],MD_Account_Asset_Type[Tên Nhóm tài sản])</f>
        <v>TSCĐ thuê TC: Máy móc, thiết bị phụ- SX 627</v>
      </c>
      <c r="G287" s="41" t="str">
        <f>_xlfn.XLOOKUP($D287,MD_Account_Asset_Type[Nhóm tài sản],MD_Account_Asset_Type[Tên nhóm TS-Rút gọn])</f>
        <v>Máy móc thiết bị thuê tài chính</v>
      </c>
      <c r="H287" s="41" t="str">
        <f>_xlfn.XLOOKUP($D287,MD_Account_Asset_Type[Nhóm tài sản],MD_Account_Asset_Type[Tên nhóm TS-Rút gọn-v2])</f>
        <v>Máy móc thiết bị thuê tài chính</v>
      </c>
      <c r="I287" s="43" t="s">
        <v>1176</v>
      </c>
      <c r="J287" s="42" t="s">
        <v>784</v>
      </c>
      <c r="K287" s="41" t="s">
        <v>1161</v>
      </c>
      <c r="L287" s="42" t="s">
        <v>48</v>
      </c>
      <c r="M287" s="42" t="s">
        <v>123</v>
      </c>
      <c r="N287" s="44">
        <v>0</v>
      </c>
      <c r="O287" s="44"/>
      <c r="P287" s="41" t="s">
        <v>461</v>
      </c>
      <c r="Q287" s="41" t="str">
        <f t="shared" si="13"/>
        <v>627</v>
      </c>
      <c r="R287" s="41" t="str">
        <f>_xlfn.XLOOKUP($L287,MD_Cost_Center[Mã Cost Center],MD_Cost_Center[Ngành])</f>
        <v>PET</v>
      </c>
      <c r="S287" s="41" t="str">
        <f>_xlfn.XLOOKUP($L287,MD_Cost_Center[Mã Cost Center],MD_Cost_Center[Ngành-Tách PET-Xơ sợi])</f>
        <v>Chung-PET</v>
      </c>
      <c r="T287" s="45">
        <v>45627</v>
      </c>
      <c r="U287" s="46">
        <v>48214</v>
      </c>
      <c r="V287" s="47">
        <v>144</v>
      </c>
      <c r="W287" s="47">
        <v>5107049458</v>
      </c>
      <c r="X287" s="47">
        <v>-33022681.717557251</v>
      </c>
      <c r="Y287" s="47">
        <v>5107049458</v>
      </c>
      <c r="Z287" s="47">
        <v>5107049458</v>
      </c>
      <c r="AA287" s="47">
        <v>5107049458</v>
      </c>
      <c r="AB287" s="47">
        <v>5107049458</v>
      </c>
      <c r="AC287" s="47">
        <v>5107049458</v>
      </c>
      <c r="AD287" s="47">
        <v>5107049458</v>
      </c>
      <c r="AE287" s="47">
        <v>5107049458</v>
      </c>
      <c r="AF287" s="47">
        <v>5107049458</v>
      </c>
      <c r="AG287" s="47">
        <v>5107049458</v>
      </c>
      <c r="AH287" s="47">
        <v>5107049458</v>
      </c>
      <c r="AI287" s="47">
        <v>5107049458</v>
      </c>
      <c r="AJ287" s="47">
        <v>5107049458</v>
      </c>
      <c r="AK287" s="47">
        <v>5107049458</v>
      </c>
      <c r="AL287" s="47">
        <v>-720995218</v>
      </c>
      <c r="AM287" s="47">
        <v>-781078153</v>
      </c>
      <c r="AN287" s="47">
        <v>-33022681.717557251</v>
      </c>
      <c r="AO287" s="47">
        <v>-33022681.717557251</v>
      </c>
      <c r="AP287" s="47">
        <v>-33022681.717557251</v>
      </c>
      <c r="AQ287" s="47">
        <v>-33022681.717557251</v>
      </c>
      <c r="AR287" s="47">
        <v>-33022681.717557251</v>
      </c>
      <c r="AS287" s="47">
        <v>-33022681.717557251</v>
      </c>
      <c r="AT287" s="47">
        <v>-33022681.717557251</v>
      </c>
      <c r="AU287" s="47">
        <v>-33022681.717557251</v>
      </c>
      <c r="AV287" s="47">
        <v>-33022681.717557251</v>
      </c>
      <c r="AW287" s="47">
        <v>-33022681.717557251</v>
      </c>
      <c r="AX287" s="47">
        <v>-33022681.717557251</v>
      </c>
      <c r="AY287" s="47">
        <v>-33022681.717557251</v>
      </c>
      <c r="AZ287" s="58">
        <f t="shared" si="15"/>
        <v>-396272180.61068702</v>
      </c>
      <c r="BA287" s="47">
        <f>Y287+SUM($AM287:AM287)</f>
        <v>4325971305</v>
      </c>
      <c r="BB287" s="48">
        <f>Z287+SUM($AM287:AN287)</f>
        <v>4292948623.282443</v>
      </c>
      <c r="BC287" s="48">
        <f>AA287+SUM($AM287:AO287)</f>
        <v>4259925941.5648856</v>
      </c>
      <c r="BD287" s="48">
        <f>AB287+SUM($AM287:AP287)</f>
        <v>4226903259.8473282</v>
      </c>
      <c r="BE287" s="48">
        <f>AC287+SUM($AM287:AQ287)</f>
        <v>4193880578.1297712</v>
      </c>
      <c r="BF287" s="48">
        <f>AD287+SUM($AM287:AR287)</f>
        <v>4160857896.4122143</v>
      </c>
      <c r="BG287" s="48">
        <f>AE287+SUM($AM287:AS287)</f>
        <v>4127835214.6946568</v>
      </c>
      <c r="BH287" s="48">
        <f>AF287+SUM($AM287:AT287)</f>
        <v>4094812532.9770994</v>
      </c>
      <c r="BI287" s="48">
        <f>AG287+SUM($AM287:AU287)</f>
        <v>4061789851.2595425</v>
      </c>
      <c r="BJ287" s="48">
        <f>AH287+SUM($AM287:AV287)</f>
        <v>4028767169.5419855</v>
      </c>
      <c r="BK287" s="48">
        <f>AI287+SUM($AM287:AW287)</f>
        <v>3995744487.8244281</v>
      </c>
      <c r="BL287" s="48">
        <f>AJ287+SUM($AM287:AX287)</f>
        <v>3962721806.1068707</v>
      </c>
      <c r="BM287" s="48">
        <f>AK287+SUM($AM287:AY287)</f>
        <v>3929699124.3893137</v>
      </c>
      <c r="BO287" s="47"/>
    </row>
    <row r="288" spans="3:67" s="41" customFormat="1" hidden="1" x14ac:dyDescent="0.3">
      <c r="C288" s="41" t="s">
        <v>1340</v>
      </c>
      <c r="D288" s="42" t="s">
        <v>381</v>
      </c>
      <c r="E288" s="42" t="str">
        <f t="shared" si="14"/>
        <v>212</v>
      </c>
      <c r="F288" s="41" t="str">
        <f>_xlfn.XLOOKUP($D288,MD_Account_Asset_Type[Nhóm tài sản],MD_Account_Asset_Type[Tên Nhóm tài sản])</f>
        <v>TSCĐ thuê TC: Máy móc, thiết bị phụ- SX 627</v>
      </c>
      <c r="G288" s="41" t="str">
        <f>_xlfn.XLOOKUP($D288,MD_Account_Asset_Type[Nhóm tài sản],MD_Account_Asset_Type[Tên nhóm TS-Rút gọn])</f>
        <v>Máy móc thiết bị thuê tài chính</v>
      </c>
      <c r="H288" s="41" t="str">
        <f>_xlfn.XLOOKUP($D288,MD_Account_Asset_Type[Nhóm tài sản],MD_Account_Asset_Type[Tên nhóm TS-Rút gọn-v2])</f>
        <v>Máy móc thiết bị thuê tài chính</v>
      </c>
      <c r="I288" s="43" t="s">
        <v>1177</v>
      </c>
      <c r="J288" s="42" t="s">
        <v>785</v>
      </c>
      <c r="K288" s="41" t="s">
        <v>1161</v>
      </c>
      <c r="L288" s="42" t="s">
        <v>48</v>
      </c>
      <c r="M288" s="42" t="s">
        <v>123</v>
      </c>
      <c r="N288" s="44">
        <v>0</v>
      </c>
      <c r="O288" s="44"/>
      <c r="P288" s="41" t="s">
        <v>461</v>
      </c>
      <c r="Q288" s="41" t="str">
        <f t="shared" si="13"/>
        <v>627</v>
      </c>
      <c r="R288" s="41" t="str">
        <f>_xlfn.XLOOKUP($L288,MD_Cost_Center[Mã Cost Center],MD_Cost_Center[Ngành])</f>
        <v>PET</v>
      </c>
      <c r="S288" s="41" t="str">
        <f>_xlfn.XLOOKUP($L288,MD_Cost_Center[Mã Cost Center],MD_Cost_Center[Ngành-Tách PET-Xơ sợi])</f>
        <v>Chung-PET</v>
      </c>
      <c r="T288" s="45">
        <v>45627</v>
      </c>
      <c r="U288" s="46">
        <v>46753</v>
      </c>
      <c r="V288" s="47">
        <v>144</v>
      </c>
      <c r="W288" s="47">
        <v>237926332</v>
      </c>
      <c r="X288" s="47">
        <v>-1178096.1374045801</v>
      </c>
      <c r="Y288" s="47">
        <v>237926332</v>
      </c>
      <c r="Z288" s="47">
        <v>237926332</v>
      </c>
      <c r="AA288" s="47">
        <v>237926332</v>
      </c>
      <c r="AB288" s="47">
        <v>237926332</v>
      </c>
      <c r="AC288" s="47">
        <v>237926332</v>
      </c>
      <c r="AD288" s="47">
        <v>237926332</v>
      </c>
      <c r="AE288" s="47">
        <v>237926332</v>
      </c>
      <c r="AF288" s="47">
        <v>237926332</v>
      </c>
      <c r="AG288" s="47">
        <v>237926332</v>
      </c>
      <c r="AH288" s="47">
        <v>237926332</v>
      </c>
      <c r="AI288" s="47">
        <v>237926332</v>
      </c>
      <c r="AJ288" s="47">
        <v>237926332</v>
      </c>
      <c r="AK288" s="47">
        <v>237926332</v>
      </c>
      <c r="AL288" s="47">
        <v>-77165297</v>
      </c>
      <c r="AM288" s="47">
        <v>-83595738</v>
      </c>
      <c r="AN288" s="47">
        <v>-1178096.1374045801</v>
      </c>
      <c r="AO288" s="47">
        <v>-1178096.1374045801</v>
      </c>
      <c r="AP288" s="47">
        <v>-1178096.1374045801</v>
      </c>
      <c r="AQ288" s="47">
        <v>-1178096.1374045801</v>
      </c>
      <c r="AR288" s="47">
        <v>-1178096.1374045801</v>
      </c>
      <c r="AS288" s="47">
        <v>-1178096.1374045801</v>
      </c>
      <c r="AT288" s="47">
        <v>-1178096.1374045801</v>
      </c>
      <c r="AU288" s="47">
        <v>-1178096.1374045801</v>
      </c>
      <c r="AV288" s="47">
        <v>-1178096.1374045801</v>
      </c>
      <c r="AW288" s="47">
        <v>-1178096.1374045801</v>
      </c>
      <c r="AX288" s="47">
        <v>-1178096.1374045801</v>
      </c>
      <c r="AY288" s="47">
        <v>-1178096.1374045801</v>
      </c>
      <c r="AZ288" s="58">
        <f t="shared" si="15"/>
        <v>-14137153.648854958</v>
      </c>
      <c r="BA288" s="47">
        <f>Y288+SUM($AM288:AM288)</f>
        <v>154330594</v>
      </c>
      <c r="BB288" s="48">
        <f>Z288+SUM($AM288:AN288)</f>
        <v>153152497.86259544</v>
      </c>
      <c r="BC288" s="48">
        <f>AA288+SUM($AM288:AO288)</f>
        <v>151974401.72519085</v>
      </c>
      <c r="BD288" s="48">
        <f>AB288+SUM($AM288:AP288)</f>
        <v>150796305.58778626</v>
      </c>
      <c r="BE288" s="48">
        <f>AC288+SUM($AM288:AQ288)</f>
        <v>149618209.4503817</v>
      </c>
      <c r="BF288" s="48">
        <f>AD288+SUM($AM288:AR288)</f>
        <v>148440113.31297714</v>
      </c>
      <c r="BG288" s="48">
        <f>AE288+SUM($AM288:AS288)</f>
        <v>147262017.17557254</v>
      </c>
      <c r="BH288" s="48">
        <f>AF288+SUM($AM288:AT288)</f>
        <v>146083921.03816795</v>
      </c>
      <c r="BI288" s="48">
        <f>AG288+SUM($AM288:AU288)</f>
        <v>144905824.90076339</v>
      </c>
      <c r="BJ288" s="48">
        <f>AH288+SUM($AM288:AV288)</f>
        <v>143727728.76335883</v>
      </c>
      <c r="BK288" s="48">
        <f>AI288+SUM($AM288:AW288)</f>
        <v>142549632.62595424</v>
      </c>
      <c r="BL288" s="48">
        <f>AJ288+SUM($AM288:AX288)</f>
        <v>141371536.48854965</v>
      </c>
      <c r="BM288" s="48">
        <f>AK288+SUM($AM288:AY288)</f>
        <v>140193440.35114509</v>
      </c>
      <c r="BO288" s="47"/>
    </row>
    <row r="289" spans="3:67" s="41" customFormat="1" hidden="1" x14ac:dyDescent="0.3">
      <c r="C289" s="41" t="s">
        <v>1340</v>
      </c>
      <c r="D289" s="42" t="s">
        <v>381</v>
      </c>
      <c r="E289" s="42" t="str">
        <f t="shared" si="14"/>
        <v>212</v>
      </c>
      <c r="F289" s="41" t="str">
        <f>_xlfn.XLOOKUP($D289,MD_Account_Asset_Type[Nhóm tài sản],MD_Account_Asset_Type[Tên Nhóm tài sản])</f>
        <v>TSCĐ thuê TC: Máy móc, thiết bị phụ- SX 627</v>
      </c>
      <c r="G289" s="41" t="str">
        <f>_xlfn.XLOOKUP($D289,MD_Account_Asset_Type[Nhóm tài sản],MD_Account_Asset_Type[Tên nhóm TS-Rút gọn])</f>
        <v>Máy móc thiết bị thuê tài chính</v>
      </c>
      <c r="H289" s="41" t="str">
        <f>_xlfn.XLOOKUP($D289,MD_Account_Asset_Type[Nhóm tài sản],MD_Account_Asset_Type[Tên nhóm TS-Rút gọn-v2])</f>
        <v>Máy móc thiết bị thuê tài chính</v>
      </c>
      <c r="I289" s="43" t="s">
        <v>1178</v>
      </c>
      <c r="J289" s="42" t="s">
        <v>786</v>
      </c>
      <c r="K289" s="41" t="s">
        <v>1161</v>
      </c>
      <c r="L289" s="42" t="s">
        <v>46</v>
      </c>
      <c r="M289" s="42" t="s">
        <v>121</v>
      </c>
      <c r="N289" s="44">
        <v>0</v>
      </c>
      <c r="O289" s="44"/>
      <c r="P289" s="41" t="s">
        <v>461</v>
      </c>
      <c r="Q289" s="41" t="str">
        <f t="shared" si="13"/>
        <v>627</v>
      </c>
      <c r="R289" s="41" t="str">
        <f>_xlfn.XLOOKUP($L289,MD_Cost_Center[Mã Cost Center],MD_Cost_Center[Ngành])</f>
        <v>Chung</v>
      </c>
      <c r="S289" s="41" t="str">
        <f>_xlfn.XLOOKUP($L289,MD_Cost_Center[Mã Cost Center],MD_Cost_Center[Ngành-Tách PET-Xơ sợi])</f>
        <v>Chung</v>
      </c>
      <c r="T289" s="45">
        <v>45627</v>
      </c>
      <c r="U289" s="46">
        <v>46692</v>
      </c>
      <c r="V289" s="47">
        <v>144</v>
      </c>
      <c r="W289" s="47">
        <v>189637410</v>
      </c>
      <c r="X289" s="47">
        <v>-909928.68702290079</v>
      </c>
      <c r="Y289" s="47">
        <v>189637410</v>
      </c>
      <c r="Z289" s="47">
        <v>189637410</v>
      </c>
      <c r="AA289" s="47">
        <v>189637410</v>
      </c>
      <c r="AB289" s="47">
        <v>189637410</v>
      </c>
      <c r="AC289" s="47">
        <v>189637410</v>
      </c>
      <c r="AD289" s="47">
        <v>189637410</v>
      </c>
      <c r="AE289" s="47">
        <v>189637410</v>
      </c>
      <c r="AF289" s="47">
        <v>189637410</v>
      </c>
      <c r="AG289" s="47">
        <v>189637410</v>
      </c>
      <c r="AH289" s="47">
        <v>189637410</v>
      </c>
      <c r="AI289" s="47">
        <v>189637410</v>
      </c>
      <c r="AJ289" s="47">
        <v>189637410</v>
      </c>
      <c r="AK289" s="47">
        <v>189637410</v>
      </c>
      <c r="AL289" s="47">
        <v>-65018540</v>
      </c>
      <c r="AM289" s="47">
        <v>-70436752</v>
      </c>
      <c r="AN289" s="47">
        <v>-909928.68702290079</v>
      </c>
      <c r="AO289" s="47">
        <v>-909928.68702290079</v>
      </c>
      <c r="AP289" s="47">
        <v>-909928.68702290079</v>
      </c>
      <c r="AQ289" s="47">
        <v>-909928.68702290079</v>
      </c>
      <c r="AR289" s="47">
        <v>-909928.68702290079</v>
      </c>
      <c r="AS289" s="47">
        <v>-909928.68702290079</v>
      </c>
      <c r="AT289" s="47">
        <v>-909928.68702290079</v>
      </c>
      <c r="AU289" s="47">
        <v>-909928.68702290079</v>
      </c>
      <c r="AV289" s="47">
        <v>-909928.68702290079</v>
      </c>
      <c r="AW289" s="47">
        <v>-909928.68702290079</v>
      </c>
      <c r="AX289" s="47">
        <v>-909928.68702290079</v>
      </c>
      <c r="AY289" s="47">
        <v>-909928.68702290079</v>
      </c>
      <c r="AZ289" s="58">
        <f t="shared" si="15"/>
        <v>-10919144.24427481</v>
      </c>
      <c r="BA289" s="47">
        <f>Y289+SUM($AM289:AM289)</f>
        <v>119200658</v>
      </c>
      <c r="BB289" s="48">
        <f>Z289+SUM($AM289:AN289)</f>
        <v>118290729.31297711</v>
      </c>
      <c r="BC289" s="48">
        <f>AA289+SUM($AM289:AO289)</f>
        <v>117380800.62595421</v>
      </c>
      <c r="BD289" s="48">
        <f>AB289+SUM($AM289:AP289)</f>
        <v>116470871.93893132</v>
      </c>
      <c r="BE289" s="48">
        <f>AC289+SUM($AM289:AQ289)</f>
        <v>115560943.25190842</v>
      </c>
      <c r="BF289" s="48">
        <f>AD289+SUM($AM289:AR289)</f>
        <v>114651014.56488553</v>
      </c>
      <c r="BG289" s="48">
        <f>AE289+SUM($AM289:AS289)</f>
        <v>113741085.87786263</v>
      </c>
      <c r="BH289" s="48">
        <f>AF289+SUM($AM289:AT289)</f>
        <v>112831157.19083974</v>
      </c>
      <c r="BI289" s="48">
        <f>AG289+SUM($AM289:AU289)</f>
        <v>111921228.50381684</v>
      </c>
      <c r="BJ289" s="48">
        <f>AH289+SUM($AM289:AV289)</f>
        <v>111011299.81679395</v>
      </c>
      <c r="BK289" s="48">
        <f>AI289+SUM($AM289:AW289)</f>
        <v>110101371.12977105</v>
      </c>
      <c r="BL289" s="48">
        <f>AJ289+SUM($AM289:AX289)</f>
        <v>109191442.44274816</v>
      </c>
      <c r="BM289" s="48">
        <f>AK289+SUM($AM289:AY289)</f>
        <v>108281513.75572526</v>
      </c>
      <c r="BO289" s="47"/>
    </row>
    <row r="290" spans="3:67" s="41" customFormat="1" hidden="1" x14ac:dyDescent="0.3">
      <c r="C290" s="41" t="s">
        <v>1340</v>
      </c>
      <c r="D290" s="42" t="s">
        <v>381</v>
      </c>
      <c r="E290" s="42" t="str">
        <f t="shared" si="14"/>
        <v>212</v>
      </c>
      <c r="F290" s="41" t="str">
        <f>_xlfn.XLOOKUP($D290,MD_Account_Asset_Type[Nhóm tài sản],MD_Account_Asset_Type[Tên Nhóm tài sản])</f>
        <v>TSCĐ thuê TC: Máy móc, thiết bị phụ- SX 627</v>
      </c>
      <c r="G290" s="41" t="str">
        <f>_xlfn.XLOOKUP($D290,MD_Account_Asset_Type[Nhóm tài sản],MD_Account_Asset_Type[Tên nhóm TS-Rút gọn])</f>
        <v>Máy móc thiết bị thuê tài chính</v>
      </c>
      <c r="H290" s="41" t="str">
        <f>_xlfn.XLOOKUP($D290,MD_Account_Asset_Type[Nhóm tài sản],MD_Account_Asset_Type[Tên nhóm TS-Rút gọn-v2])</f>
        <v>Máy móc thiết bị thuê tài chính</v>
      </c>
      <c r="I290" s="43" t="s">
        <v>1179</v>
      </c>
      <c r="J290" s="42" t="s">
        <v>787</v>
      </c>
      <c r="K290" s="41" t="s">
        <v>1161</v>
      </c>
      <c r="L290" s="42" t="s">
        <v>48</v>
      </c>
      <c r="M290" s="42" t="s">
        <v>123</v>
      </c>
      <c r="N290" s="44">
        <v>0</v>
      </c>
      <c r="O290" s="44"/>
      <c r="P290" s="41" t="s">
        <v>461</v>
      </c>
      <c r="Q290" s="41" t="str">
        <f t="shared" si="13"/>
        <v>627</v>
      </c>
      <c r="R290" s="41" t="str">
        <f>_xlfn.XLOOKUP($L290,MD_Cost_Center[Mã Cost Center],MD_Cost_Center[Ngành])</f>
        <v>PET</v>
      </c>
      <c r="S290" s="41" t="str">
        <f>_xlfn.XLOOKUP($L290,MD_Cost_Center[Mã Cost Center],MD_Cost_Center[Ngành-Tách PET-Xơ sợi])</f>
        <v>Chung-PET</v>
      </c>
      <c r="T290" s="45">
        <v>45627</v>
      </c>
      <c r="U290" s="46">
        <v>46722</v>
      </c>
      <c r="V290" s="47">
        <v>144</v>
      </c>
      <c r="W290" s="47">
        <v>198958500</v>
      </c>
      <c r="X290" s="47">
        <v>-970323.47328244278</v>
      </c>
      <c r="Y290" s="47">
        <v>198958500</v>
      </c>
      <c r="Z290" s="47">
        <v>198958500</v>
      </c>
      <c r="AA290" s="47">
        <v>198958500</v>
      </c>
      <c r="AB290" s="47">
        <v>198958500</v>
      </c>
      <c r="AC290" s="47">
        <v>198958500</v>
      </c>
      <c r="AD290" s="47">
        <v>198958500</v>
      </c>
      <c r="AE290" s="47">
        <v>198958500</v>
      </c>
      <c r="AF290" s="47">
        <v>198958500</v>
      </c>
      <c r="AG290" s="47">
        <v>198958500</v>
      </c>
      <c r="AH290" s="47">
        <v>198958500</v>
      </c>
      <c r="AI290" s="47">
        <v>198958500</v>
      </c>
      <c r="AJ290" s="47">
        <v>198958500</v>
      </c>
      <c r="AK290" s="47">
        <v>198958500</v>
      </c>
      <c r="AL290" s="47">
        <v>-66319500</v>
      </c>
      <c r="AM290" s="47">
        <v>-71846125</v>
      </c>
      <c r="AN290" s="47">
        <v>-970323.47328244278</v>
      </c>
      <c r="AO290" s="47">
        <v>-970323.47328244278</v>
      </c>
      <c r="AP290" s="47">
        <v>-970323.47328244278</v>
      </c>
      <c r="AQ290" s="47">
        <v>-970323.47328244278</v>
      </c>
      <c r="AR290" s="47">
        <v>-970323.47328244278</v>
      </c>
      <c r="AS290" s="47">
        <v>-970323.47328244278</v>
      </c>
      <c r="AT290" s="47">
        <v>-970323.47328244278</v>
      </c>
      <c r="AU290" s="47">
        <v>-970323.47328244278</v>
      </c>
      <c r="AV290" s="47">
        <v>-970323.47328244278</v>
      </c>
      <c r="AW290" s="47">
        <v>-970323.47328244278</v>
      </c>
      <c r="AX290" s="47">
        <v>-970323.47328244278</v>
      </c>
      <c r="AY290" s="47">
        <v>-970323.47328244278</v>
      </c>
      <c r="AZ290" s="58">
        <f t="shared" si="15"/>
        <v>-11643881.679389315</v>
      </c>
      <c r="BA290" s="47">
        <f>Y290+SUM($AM290:AM290)</f>
        <v>127112375</v>
      </c>
      <c r="BB290" s="48">
        <f>Z290+SUM($AM290:AN290)</f>
        <v>126142051.52671756</v>
      </c>
      <c r="BC290" s="48">
        <f>AA290+SUM($AM290:AO290)</f>
        <v>125171728.05343512</v>
      </c>
      <c r="BD290" s="48">
        <f>AB290+SUM($AM290:AP290)</f>
        <v>124201404.58015268</v>
      </c>
      <c r="BE290" s="48">
        <f>AC290+SUM($AM290:AQ290)</f>
        <v>123231081.10687023</v>
      </c>
      <c r="BF290" s="48">
        <f>AD290+SUM($AM290:AR290)</f>
        <v>122260757.63358779</v>
      </c>
      <c r="BG290" s="48">
        <f>AE290+SUM($AM290:AS290)</f>
        <v>121290434.16030535</v>
      </c>
      <c r="BH290" s="48">
        <f>AF290+SUM($AM290:AT290)</f>
        <v>120320110.68702291</v>
      </c>
      <c r="BI290" s="48">
        <f>AG290+SUM($AM290:AU290)</f>
        <v>119349787.21374047</v>
      </c>
      <c r="BJ290" s="48">
        <f>AH290+SUM($AM290:AV290)</f>
        <v>118379463.74045803</v>
      </c>
      <c r="BK290" s="48">
        <f>AI290+SUM($AM290:AW290)</f>
        <v>117409140.26717559</v>
      </c>
      <c r="BL290" s="48">
        <f>AJ290+SUM($AM290:AX290)</f>
        <v>116438816.79389314</v>
      </c>
      <c r="BM290" s="48">
        <f>AK290+SUM($AM290:AY290)</f>
        <v>115468493.3206107</v>
      </c>
      <c r="BO290" s="47"/>
    </row>
    <row r="291" spans="3:67" s="41" customFormat="1" hidden="1" x14ac:dyDescent="0.3">
      <c r="C291" s="41" t="s">
        <v>1340</v>
      </c>
      <c r="D291" s="42" t="s">
        <v>381</v>
      </c>
      <c r="E291" s="42" t="str">
        <f t="shared" si="14"/>
        <v>212</v>
      </c>
      <c r="F291" s="41" t="str">
        <f>_xlfn.XLOOKUP($D291,MD_Account_Asset_Type[Nhóm tài sản],MD_Account_Asset_Type[Tên Nhóm tài sản])</f>
        <v>TSCĐ thuê TC: Máy móc, thiết bị phụ- SX 627</v>
      </c>
      <c r="G291" s="41" t="str">
        <f>_xlfn.XLOOKUP($D291,MD_Account_Asset_Type[Nhóm tài sản],MD_Account_Asset_Type[Tên nhóm TS-Rút gọn])</f>
        <v>Máy móc thiết bị thuê tài chính</v>
      </c>
      <c r="H291" s="41" t="str">
        <f>_xlfn.XLOOKUP($D291,MD_Account_Asset_Type[Nhóm tài sản],MD_Account_Asset_Type[Tên nhóm TS-Rút gọn-v2])</f>
        <v>Máy móc thiết bị thuê tài chính</v>
      </c>
      <c r="I291" s="43" t="s">
        <v>1180</v>
      </c>
      <c r="J291" s="42" t="s">
        <v>788</v>
      </c>
      <c r="K291" s="41" t="s">
        <v>1161</v>
      </c>
      <c r="L291" s="42" t="s">
        <v>48</v>
      </c>
      <c r="M291" s="42" t="s">
        <v>123</v>
      </c>
      <c r="N291" s="44">
        <v>0</v>
      </c>
      <c r="O291" s="44"/>
      <c r="P291" s="41" t="s">
        <v>461</v>
      </c>
      <c r="Q291" s="41" t="str">
        <f t="shared" si="13"/>
        <v>627</v>
      </c>
      <c r="R291" s="41" t="str">
        <f>_xlfn.XLOOKUP($L291,MD_Cost_Center[Mã Cost Center],MD_Cost_Center[Ngành])</f>
        <v>PET</v>
      </c>
      <c r="S291" s="41" t="str">
        <f>_xlfn.XLOOKUP($L291,MD_Cost_Center[Mã Cost Center],MD_Cost_Center[Ngành-Tách PET-Xơ sợi])</f>
        <v>Chung-PET</v>
      </c>
      <c r="T291" s="45">
        <v>45627</v>
      </c>
      <c r="U291" s="46">
        <v>46753</v>
      </c>
      <c r="V291" s="47">
        <v>144</v>
      </c>
      <c r="W291" s="47">
        <v>1084008774</v>
      </c>
      <c r="X291" s="47">
        <v>-5367487.2290076334</v>
      </c>
      <c r="Y291" s="47">
        <v>1084008774</v>
      </c>
      <c r="Z291" s="47">
        <v>1084008774</v>
      </c>
      <c r="AA291" s="47">
        <v>1084008774</v>
      </c>
      <c r="AB291" s="47">
        <v>1084008774</v>
      </c>
      <c r="AC291" s="47">
        <v>1084008774</v>
      </c>
      <c r="AD291" s="47">
        <v>1084008774</v>
      </c>
      <c r="AE291" s="47">
        <v>1084008774</v>
      </c>
      <c r="AF291" s="47">
        <v>1084008774</v>
      </c>
      <c r="AG291" s="47">
        <v>1084008774</v>
      </c>
      <c r="AH291" s="47">
        <v>1084008774</v>
      </c>
      <c r="AI291" s="47">
        <v>1084008774</v>
      </c>
      <c r="AJ291" s="47">
        <v>1084008774</v>
      </c>
      <c r="AK291" s="47">
        <v>1084008774</v>
      </c>
      <c r="AL291" s="47">
        <v>-351570413</v>
      </c>
      <c r="AM291" s="47">
        <v>-380867947</v>
      </c>
      <c r="AN291" s="47">
        <v>-5367487.2290076334</v>
      </c>
      <c r="AO291" s="47">
        <v>-5367487.2290076334</v>
      </c>
      <c r="AP291" s="47">
        <v>-5367487.2290076334</v>
      </c>
      <c r="AQ291" s="47">
        <v>-5367487.2290076334</v>
      </c>
      <c r="AR291" s="47">
        <v>-5367487.2290076334</v>
      </c>
      <c r="AS291" s="47">
        <v>-5367487.2290076334</v>
      </c>
      <c r="AT291" s="47">
        <v>-5367487.2290076334</v>
      </c>
      <c r="AU291" s="47">
        <v>-5367487.2290076334</v>
      </c>
      <c r="AV291" s="47">
        <v>-5367487.2290076334</v>
      </c>
      <c r="AW291" s="47">
        <v>-5367487.2290076334</v>
      </c>
      <c r="AX291" s="47">
        <v>-5367487.2290076334</v>
      </c>
      <c r="AY291" s="47">
        <v>-5367487.2290076334</v>
      </c>
      <c r="AZ291" s="58">
        <f t="shared" si="15"/>
        <v>-64409846.748091586</v>
      </c>
      <c r="BA291" s="47">
        <f>Y291+SUM($AM291:AM291)</f>
        <v>703140827</v>
      </c>
      <c r="BB291" s="48">
        <f>Z291+SUM($AM291:AN291)</f>
        <v>697773339.77099228</v>
      </c>
      <c r="BC291" s="48">
        <f>AA291+SUM($AM291:AO291)</f>
        <v>692405852.54198468</v>
      </c>
      <c r="BD291" s="48">
        <f>AB291+SUM($AM291:AP291)</f>
        <v>687038365.31297708</v>
      </c>
      <c r="BE291" s="48">
        <f>AC291+SUM($AM291:AQ291)</f>
        <v>681670878.08396935</v>
      </c>
      <c r="BF291" s="48">
        <f>AD291+SUM($AM291:AR291)</f>
        <v>676303390.85496163</v>
      </c>
      <c r="BG291" s="48">
        <f>AE291+SUM($AM291:AS291)</f>
        <v>670935903.62595403</v>
      </c>
      <c r="BH291" s="48">
        <f>AF291+SUM($AM291:AT291)</f>
        <v>665568416.39694643</v>
      </c>
      <c r="BI291" s="48">
        <f>AG291+SUM($AM291:AU291)</f>
        <v>660200929.16793871</v>
      </c>
      <c r="BJ291" s="48">
        <f>AH291+SUM($AM291:AV291)</f>
        <v>654833441.93893099</v>
      </c>
      <c r="BK291" s="48">
        <f>AI291+SUM($AM291:AW291)</f>
        <v>649465954.70992339</v>
      </c>
      <c r="BL291" s="48">
        <f>AJ291+SUM($AM291:AX291)</f>
        <v>644098467.48091578</v>
      </c>
      <c r="BM291" s="48">
        <f>AK291+SUM($AM291:AY291)</f>
        <v>638730980.25190806</v>
      </c>
      <c r="BO291" s="47"/>
    </row>
    <row r="292" spans="3:67" s="41" customFormat="1" hidden="1" x14ac:dyDescent="0.3">
      <c r="C292" s="41" t="s">
        <v>1340</v>
      </c>
      <c r="D292" s="42" t="s">
        <v>381</v>
      </c>
      <c r="E292" s="42" t="str">
        <f t="shared" si="14"/>
        <v>212</v>
      </c>
      <c r="F292" s="41" t="str">
        <f>_xlfn.XLOOKUP($D292,MD_Account_Asset_Type[Nhóm tài sản],MD_Account_Asset_Type[Tên Nhóm tài sản])</f>
        <v>TSCĐ thuê TC: Máy móc, thiết bị phụ- SX 627</v>
      </c>
      <c r="G292" s="41" t="str">
        <f>_xlfn.XLOOKUP($D292,MD_Account_Asset_Type[Nhóm tài sản],MD_Account_Asset_Type[Tên nhóm TS-Rút gọn])</f>
        <v>Máy móc thiết bị thuê tài chính</v>
      </c>
      <c r="H292" s="41" t="str">
        <f>_xlfn.XLOOKUP($D292,MD_Account_Asset_Type[Nhóm tài sản],MD_Account_Asset_Type[Tên nhóm TS-Rút gọn-v2])</f>
        <v>Máy móc thiết bị thuê tài chính</v>
      </c>
      <c r="I292" s="43" t="s">
        <v>1181</v>
      </c>
      <c r="J292" s="42" t="s">
        <v>789</v>
      </c>
      <c r="K292" s="41" t="s">
        <v>1161</v>
      </c>
      <c r="L292" s="42" t="s">
        <v>46</v>
      </c>
      <c r="M292" s="42" t="s">
        <v>121</v>
      </c>
      <c r="N292" s="44">
        <v>0</v>
      </c>
      <c r="O292" s="44"/>
      <c r="P292" s="41" t="s">
        <v>461</v>
      </c>
      <c r="Q292" s="41" t="str">
        <f t="shared" si="13"/>
        <v>627</v>
      </c>
      <c r="R292" s="41" t="str">
        <f>_xlfn.XLOOKUP($L292,MD_Cost_Center[Mã Cost Center],MD_Cost_Center[Ngành])</f>
        <v>Chung</v>
      </c>
      <c r="S292" s="41" t="str">
        <f>_xlfn.XLOOKUP($L292,MD_Cost_Center[Mã Cost Center],MD_Cost_Center[Ngành-Tách PET-Xơ sợi])</f>
        <v>Chung</v>
      </c>
      <c r="T292" s="45">
        <v>45627</v>
      </c>
      <c r="U292" s="46">
        <v>46054</v>
      </c>
      <c r="V292" s="47">
        <v>144</v>
      </c>
      <c r="W292" s="47">
        <v>147949511</v>
      </c>
      <c r="X292" s="47">
        <v>-80670.396946564884</v>
      </c>
      <c r="Y292" s="47">
        <v>147949511</v>
      </c>
      <c r="Z292" s="47">
        <v>147949511</v>
      </c>
      <c r="AA292" s="47">
        <v>147949511</v>
      </c>
      <c r="AB292" s="47">
        <v>147949511</v>
      </c>
      <c r="AC292" s="47">
        <v>147949511</v>
      </c>
      <c r="AD292" s="47">
        <v>147949511</v>
      </c>
      <c r="AE292" s="47">
        <v>147949511</v>
      </c>
      <c r="AF292" s="47">
        <v>147949511</v>
      </c>
      <c r="AG292" s="47">
        <v>147949511</v>
      </c>
      <c r="AH292" s="47">
        <v>147949511</v>
      </c>
      <c r="AI292" s="47">
        <v>147949511</v>
      </c>
      <c r="AJ292" s="47">
        <v>147949511</v>
      </c>
      <c r="AK292" s="47">
        <v>147949511</v>
      </c>
      <c r="AL292" s="47">
        <v>-126813867</v>
      </c>
      <c r="AM292" s="47">
        <v>-137381689</v>
      </c>
      <c r="AN292" s="47">
        <v>-80670.396946564884</v>
      </c>
      <c r="AO292" s="47">
        <v>-80670.396946564884</v>
      </c>
      <c r="AP292" s="47">
        <v>-80670.396946564884</v>
      </c>
      <c r="AQ292" s="47">
        <v>-80670.396946564884</v>
      </c>
      <c r="AR292" s="47">
        <v>-80670.396946564884</v>
      </c>
      <c r="AS292" s="47">
        <v>-80670.396946564884</v>
      </c>
      <c r="AT292" s="47">
        <v>-80670.396946564884</v>
      </c>
      <c r="AU292" s="47">
        <v>-80670.396946564884</v>
      </c>
      <c r="AV292" s="47">
        <v>-80670.396946564884</v>
      </c>
      <c r="AW292" s="47">
        <v>-80670.396946564884</v>
      </c>
      <c r="AX292" s="47">
        <v>-80670.396946564884</v>
      </c>
      <c r="AY292" s="47">
        <v>-80670.396946564884</v>
      </c>
      <c r="AZ292" s="58">
        <f t="shared" si="15"/>
        <v>-968044.76335877867</v>
      </c>
      <c r="BA292" s="47">
        <f>Y292+SUM($AM292:AM292)</f>
        <v>10567822</v>
      </c>
      <c r="BB292" s="48">
        <f>Z292+SUM($AM292:AN292)</f>
        <v>10487151.603053421</v>
      </c>
      <c r="BC292" s="48">
        <f>AA292+SUM($AM292:AO292)</f>
        <v>10406481.206106842</v>
      </c>
      <c r="BD292" s="48">
        <f>AB292+SUM($AM292:AP292)</f>
        <v>10325810.809160262</v>
      </c>
      <c r="BE292" s="48">
        <f>AC292+SUM($AM292:AQ292)</f>
        <v>10245140.412213683</v>
      </c>
      <c r="BF292" s="48">
        <f>AD292+SUM($AM292:AR292)</f>
        <v>10164470.015267104</v>
      </c>
      <c r="BG292" s="48">
        <f>AE292+SUM($AM292:AS292)</f>
        <v>10083799.618320525</v>
      </c>
      <c r="BH292" s="48">
        <f>AF292+SUM($AM292:AT292)</f>
        <v>10003129.221373945</v>
      </c>
      <c r="BI292" s="48">
        <f>AG292+SUM($AM292:AU292)</f>
        <v>9922458.8244273663</v>
      </c>
      <c r="BJ292" s="48">
        <f>AH292+SUM($AM292:AV292)</f>
        <v>9841788.427480787</v>
      </c>
      <c r="BK292" s="48">
        <f>AI292+SUM($AM292:AW292)</f>
        <v>9761118.0305342078</v>
      </c>
      <c r="BL292" s="48">
        <f>AJ292+SUM($AM292:AX292)</f>
        <v>9680447.6335876286</v>
      </c>
      <c r="BM292" s="48">
        <f>AK292+SUM($AM292:AY292)</f>
        <v>9599777.2366410494</v>
      </c>
      <c r="BO292" s="47"/>
    </row>
    <row r="293" spans="3:67" s="41" customFormat="1" hidden="1" x14ac:dyDescent="0.3">
      <c r="C293" s="41" t="s">
        <v>1340</v>
      </c>
      <c r="D293" s="42" t="s">
        <v>381</v>
      </c>
      <c r="E293" s="42" t="str">
        <f t="shared" si="14"/>
        <v>212</v>
      </c>
      <c r="F293" s="41" t="str">
        <f>_xlfn.XLOOKUP($D293,MD_Account_Asset_Type[Nhóm tài sản],MD_Account_Asset_Type[Tên Nhóm tài sản])</f>
        <v>TSCĐ thuê TC: Máy móc, thiết bị phụ- SX 627</v>
      </c>
      <c r="G293" s="41" t="str">
        <f>_xlfn.XLOOKUP($D293,MD_Account_Asset_Type[Nhóm tài sản],MD_Account_Asset_Type[Tên nhóm TS-Rút gọn])</f>
        <v>Máy móc thiết bị thuê tài chính</v>
      </c>
      <c r="H293" s="41" t="str">
        <f>_xlfn.XLOOKUP($D293,MD_Account_Asset_Type[Nhóm tài sản],MD_Account_Asset_Type[Tên nhóm TS-Rút gọn-v2])</f>
        <v>Máy móc thiết bị thuê tài chính</v>
      </c>
      <c r="I293" s="43" t="s">
        <v>1182</v>
      </c>
      <c r="J293" s="42" t="s">
        <v>790</v>
      </c>
      <c r="K293" s="41" t="s">
        <v>1161</v>
      </c>
      <c r="L293" s="42" t="s">
        <v>46</v>
      </c>
      <c r="M293" s="42" t="s">
        <v>121</v>
      </c>
      <c r="N293" s="44">
        <v>0</v>
      </c>
      <c r="O293" s="44"/>
      <c r="P293" s="41" t="s">
        <v>461</v>
      </c>
      <c r="Q293" s="41" t="str">
        <f t="shared" si="13"/>
        <v>627</v>
      </c>
      <c r="R293" s="41" t="str">
        <f>_xlfn.XLOOKUP($L293,MD_Cost_Center[Mã Cost Center],MD_Cost_Center[Ngành])</f>
        <v>Chung</v>
      </c>
      <c r="S293" s="41" t="str">
        <f>_xlfn.XLOOKUP($L293,MD_Cost_Center[Mã Cost Center],MD_Cost_Center[Ngành-Tách PET-Xơ sợi])</f>
        <v>Chung</v>
      </c>
      <c r="T293" s="45">
        <v>45627</v>
      </c>
      <c r="U293" s="46">
        <v>46054</v>
      </c>
      <c r="V293" s="47">
        <v>144</v>
      </c>
      <c r="W293" s="47">
        <v>120047555</v>
      </c>
      <c r="X293" s="47">
        <v>-65456.67938931298</v>
      </c>
      <c r="Y293" s="47">
        <v>120047555</v>
      </c>
      <c r="Z293" s="47">
        <v>120047555</v>
      </c>
      <c r="AA293" s="47">
        <v>120047555</v>
      </c>
      <c r="AB293" s="47">
        <v>120047555</v>
      </c>
      <c r="AC293" s="47">
        <v>120047555</v>
      </c>
      <c r="AD293" s="47">
        <v>120047555</v>
      </c>
      <c r="AE293" s="47">
        <v>120047555</v>
      </c>
      <c r="AF293" s="47">
        <v>120047555</v>
      </c>
      <c r="AG293" s="47">
        <v>120047555</v>
      </c>
      <c r="AH293" s="47">
        <v>120047555</v>
      </c>
      <c r="AI293" s="47">
        <v>120047555</v>
      </c>
      <c r="AJ293" s="47">
        <v>120047555</v>
      </c>
      <c r="AK293" s="47">
        <v>120047555</v>
      </c>
      <c r="AL293" s="47">
        <v>-102897905</v>
      </c>
      <c r="AM293" s="47">
        <v>-111472730</v>
      </c>
      <c r="AN293" s="47">
        <v>-65456.67938931298</v>
      </c>
      <c r="AO293" s="47">
        <v>-65456.67938931298</v>
      </c>
      <c r="AP293" s="47">
        <v>-65456.67938931298</v>
      </c>
      <c r="AQ293" s="47">
        <v>-65456.67938931298</v>
      </c>
      <c r="AR293" s="47">
        <v>-65456.67938931298</v>
      </c>
      <c r="AS293" s="47">
        <v>-65456.67938931298</v>
      </c>
      <c r="AT293" s="47">
        <v>-65456.67938931298</v>
      </c>
      <c r="AU293" s="47">
        <v>-65456.67938931298</v>
      </c>
      <c r="AV293" s="47">
        <v>-65456.67938931298</v>
      </c>
      <c r="AW293" s="47">
        <v>-65456.67938931298</v>
      </c>
      <c r="AX293" s="47">
        <v>-65456.67938931298</v>
      </c>
      <c r="AY293" s="47">
        <v>-65456.67938931298</v>
      </c>
      <c r="AZ293" s="58">
        <f t="shared" si="15"/>
        <v>-785480.15267175576</v>
      </c>
      <c r="BA293" s="47">
        <f>Y293+SUM($AM293:AM293)</f>
        <v>8574825</v>
      </c>
      <c r="BB293" s="48">
        <f>Z293+SUM($AM293:AN293)</f>
        <v>8509368.3206106871</v>
      </c>
      <c r="BC293" s="48">
        <f>AA293+SUM($AM293:AO293)</f>
        <v>8443911.6412213743</v>
      </c>
      <c r="BD293" s="48">
        <f>AB293+SUM($AM293:AP293)</f>
        <v>8378454.9618320614</v>
      </c>
      <c r="BE293" s="48">
        <f>AC293+SUM($AM293:AQ293)</f>
        <v>8312998.2824427485</v>
      </c>
      <c r="BF293" s="48">
        <f>AD293+SUM($AM293:AR293)</f>
        <v>8247541.6030534357</v>
      </c>
      <c r="BG293" s="48">
        <f>AE293+SUM($AM293:AS293)</f>
        <v>8182084.9236641228</v>
      </c>
      <c r="BH293" s="48">
        <f>AF293+SUM($AM293:AT293)</f>
        <v>8116628.24427481</v>
      </c>
      <c r="BI293" s="48">
        <f>AG293+SUM($AM293:AU293)</f>
        <v>8051171.5648854971</v>
      </c>
      <c r="BJ293" s="48">
        <f>AH293+SUM($AM293:AV293)</f>
        <v>7985714.8854961842</v>
      </c>
      <c r="BK293" s="48">
        <f>AI293+SUM($AM293:AW293)</f>
        <v>7920258.2061068714</v>
      </c>
      <c r="BL293" s="48">
        <f>AJ293+SUM($AM293:AX293)</f>
        <v>7854801.5267175585</v>
      </c>
      <c r="BM293" s="48">
        <f>AK293+SUM($AM293:AY293)</f>
        <v>7789344.8473282456</v>
      </c>
      <c r="BO293" s="47"/>
    </row>
    <row r="294" spans="3:67" s="41" customFormat="1" hidden="1" x14ac:dyDescent="0.3">
      <c r="C294" s="41" t="s">
        <v>1340</v>
      </c>
      <c r="D294" s="42" t="s">
        <v>381</v>
      </c>
      <c r="E294" s="42" t="str">
        <f t="shared" si="14"/>
        <v>212</v>
      </c>
      <c r="F294" s="41" t="str">
        <f>_xlfn.XLOOKUP($D294,MD_Account_Asset_Type[Nhóm tài sản],MD_Account_Asset_Type[Tên Nhóm tài sản])</f>
        <v>TSCĐ thuê TC: Máy móc, thiết bị phụ- SX 627</v>
      </c>
      <c r="G294" s="41" t="str">
        <f>_xlfn.XLOOKUP($D294,MD_Account_Asset_Type[Nhóm tài sản],MD_Account_Asset_Type[Tên nhóm TS-Rút gọn])</f>
        <v>Máy móc thiết bị thuê tài chính</v>
      </c>
      <c r="H294" s="41" t="str">
        <f>_xlfn.XLOOKUP($D294,MD_Account_Asset_Type[Nhóm tài sản],MD_Account_Asset_Type[Tên nhóm TS-Rút gọn-v2])</f>
        <v>Máy móc thiết bị thuê tài chính</v>
      </c>
      <c r="I294" s="43" t="s">
        <v>1183</v>
      </c>
      <c r="J294" s="42" t="s">
        <v>791</v>
      </c>
      <c r="K294" s="41" t="s">
        <v>1161</v>
      </c>
      <c r="L294" s="42" t="s">
        <v>54</v>
      </c>
      <c r="M294" s="42" t="s">
        <v>129</v>
      </c>
      <c r="N294" s="44" t="s">
        <v>247</v>
      </c>
      <c r="O294" s="44"/>
      <c r="P294" s="41" t="s">
        <v>461</v>
      </c>
      <c r="Q294" s="41" t="str">
        <f t="shared" si="13"/>
        <v>627</v>
      </c>
      <c r="R294" s="41" t="str">
        <f>_xlfn.XLOOKUP($L294,MD_Cost_Center[Mã Cost Center],MD_Cost_Center[Ngành])</f>
        <v>PET</v>
      </c>
      <c r="S294" s="41" t="str">
        <f>_xlfn.XLOOKUP($L294,MD_Cost_Center[Mã Cost Center],MD_Cost_Center[Ngành-Tách PET-Xơ sợi])</f>
        <v>PET</v>
      </c>
      <c r="T294" s="45">
        <v>45627</v>
      </c>
      <c r="U294" s="46">
        <v>46813</v>
      </c>
      <c r="V294" s="47">
        <v>144</v>
      </c>
      <c r="W294" s="47">
        <v>1022017750</v>
      </c>
      <c r="X294" s="47">
        <v>-5201108.1450381679</v>
      </c>
      <c r="Y294" s="47">
        <v>1022017750</v>
      </c>
      <c r="Z294" s="47">
        <v>1022017750</v>
      </c>
      <c r="AA294" s="47">
        <v>1022017750</v>
      </c>
      <c r="AB294" s="47">
        <v>1022017750</v>
      </c>
      <c r="AC294" s="47">
        <v>1022017750</v>
      </c>
      <c r="AD294" s="47">
        <v>1022017750</v>
      </c>
      <c r="AE294" s="47">
        <v>1022017750</v>
      </c>
      <c r="AF294" s="47">
        <v>1022017750</v>
      </c>
      <c r="AG294" s="47">
        <v>1022017750</v>
      </c>
      <c r="AH294" s="47">
        <v>1022017750</v>
      </c>
      <c r="AI294" s="47">
        <v>1022017750</v>
      </c>
      <c r="AJ294" s="47">
        <v>1022017750</v>
      </c>
      <c r="AK294" s="47">
        <v>1022017750</v>
      </c>
      <c r="AL294" s="47">
        <v>-314467000</v>
      </c>
      <c r="AM294" s="47">
        <v>-340672583</v>
      </c>
      <c r="AN294" s="47">
        <v>-5201108.1450381679</v>
      </c>
      <c r="AO294" s="47">
        <v>-5201108.1450381679</v>
      </c>
      <c r="AP294" s="47">
        <v>-5201108.1450381679</v>
      </c>
      <c r="AQ294" s="47">
        <v>-5201108.1450381679</v>
      </c>
      <c r="AR294" s="47">
        <v>-5201108.1450381679</v>
      </c>
      <c r="AS294" s="47">
        <v>-5201108.1450381679</v>
      </c>
      <c r="AT294" s="47">
        <v>-5201108.1450381679</v>
      </c>
      <c r="AU294" s="47">
        <v>-5201108.1450381679</v>
      </c>
      <c r="AV294" s="47">
        <v>-5201108.1450381679</v>
      </c>
      <c r="AW294" s="47">
        <v>-5201108.1450381679</v>
      </c>
      <c r="AX294" s="47">
        <v>-5201108.1450381679</v>
      </c>
      <c r="AY294" s="47">
        <v>-5201108.1450381679</v>
      </c>
      <c r="AZ294" s="58">
        <f t="shared" si="15"/>
        <v>-62413297.740458004</v>
      </c>
      <c r="BA294" s="47">
        <f>Y294+SUM($AM294:AM294)</f>
        <v>681345167</v>
      </c>
      <c r="BB294" s="48">
        <f>Z294+SUM($AM294:AN294)</f>
        <v>676144058.85496187</v>
      </c>
      <c r="BC294" s="48">
        <f>AA294+SUM($AM294:AO294)</f>
        <v>670942950.70992362</v>
      </c>
      <c r="BD294" s="48">
        <f>AB294+SUM($AM294:AP294)</f>
        <v>665741842.56488538</v>
      </c>
      <c r="BE294" s="48">
        <f>AC294+SUM($AM294:AQ294)</f>
        <v>660540734.41984725</v>
      </c>
      <c r="BF294" s="48">
        <f>AD294+SUM($AM294:AR294)</f>
        <v>655339626.27480912</v>
      </c>
      <c r="BG294" s="48">
        <f>AE294+SUM($AM294:AS294)</f>
        <v>650138518.12977087</v>
      </c>
      <c r="BH294" s="48">
        <f>AF294+SUM($AM294:AT294)</f>
        <v>644937409.98473263</v>
      </c>
      <c r="BI294" s="48">
        <f>AG294+SUM($AM294:AU294)</f>
        <v>639736301.8396945</v>
      </c>
      <c r="BJ294" s="48">
        <f>AH294+SUM($AM294:AV294)</f>
        <v>634535193.69465637</v>
      </c>
      <c r="BK294" s="48">
        <f>AI294+SUM($AM294:AW294)</f>
        <v>629334085.54961812</v>
      </c>
      <c r="BL294" s="48">
        <f>AJ294+SUM($AM294:AX294)</f>
        <v>624132977.40457988</v>
      </c>
      <c r="BM294" s="48">
        <f>AK294+SUM($AM294:AY294)</f>
        <v>618931869.25954175</v>
      </c>
      <c r="BO294" s="47"/>
    </row>
    <row r="295" spans="3:67" s="41" customFormat="1" hidden="1" x14ac:dyDescent="0.3">
      <c r="C295" s="41" t="s">
        <v>1340</v>
      </c>
      <c r="D295" s="42" t="s">
        <v>381</v>
      </c>
      <c r="E295" s="42" t="str">
        <f t="shared" si="14"/>
        <v>212</v>
      </c>
      <c r="F295" s="41" t="str">
        <f>_xlfn.XLOOKUP($D295,MD_Account_Asset_Type[Nhóm tài sản],MD_Account_Asset_Type[Tên Nhóm tài sản])</f>
        <v>TSCĐ thuê TC: Máy móc, thiết bị phụ- SX 627</v>
      </c>
      <c r="G295" s="41" t="str">
        <f>_xlfn.XLOOKUP($D295,MD_Account_Asset_Type[Nhóm tài sản],MD_Account_Asset_Type[Tên nhóm TS-Rút gọn])</f>
        <v>Máy móc thiết bị thuê tài chính</v>
      </c>
      <c r="H295" s="41" t="str">
        <f>_xlfn.XLOOKUP($D295,MD_Account_Asset_Type[Nhóm tài sản],MD_Account_Asset_Type[Tên nhóm TS-Rút gọn-v2])</f>
        <v>Máy móc thiết bị thuê tài chính</v>
      </c>
      <c r="I295" s="43" t="s">
        <v>1184</v>
      </c>
      <c r="J295" s="42" t="s">
        <v>792</v>
      </c>
      <c r="K295" s="41" t="s">
        <v>1161</v>
      </c>
      <c r="L295" s="42" t="s">
        <v>54</v>
      </c>
      <c r="M295" s="42" t="s">
        <v>129</v>
      </c>
      <c r="N295" s="44" t="s">
        <v>247</v>
      </c>
      <c r="O295" s="44"/>
      <c r="P295" s="41" t="s">
        <v>461</v>
      </c>
      <c r="Q295" s="41" t="str">
        <f t="shared" si="13"/>
        <v>627</v>
      </c>
      <c r="R295" s="41" t="str">
        <f>_xlfn.XLOOKUP($L295,MD_Cost_Center[Mã Cost Center],MD_Cost_Center[Ngành])</f>
        <v>PET</v>
      </c>
      <c r="S295" s="41" t="str">
        <f>_xlfn.XLOOKUP($L295,MD_Cost_Center[Mã Cost Center],MD_Cost_Center[Ngành-Tách PET-Xơ sợi])</f>
        <v>PET</v>
      </c>
      <c r="T295" s="45">
        <v>45627</v>
      </c>
      <c r="U295" s="46">
        <v>46813</v>
      </c>
      <c r="V295" s="47">
        <v>144</v>
      </c>
      <c r="W295" s="47">
        <v>1022017750</v>
      </c>
      <c r="X295" s="47">
        <v>-5201108.1450381679</v>
      </c>
      <c r="Y295" s="47">
        <v>1022017750</v>
      </c>
      <c r="Z295" s="47">
        <v>1022017750</v>
      </c>
      <c r="AA295" s="47">
        <v>1022017750</v>
      </c>
      <c r="AB295" s="47">
        <v>1022017750</v>
      </c>
      <c r="AC295" s="47">
        <v>1022017750</v>
      </c>
      <c r="AD295" s="47">
        <v>1022017750</v>
      </c>
      <c r="AE295" s="47">
        <v>1022017750</v>
      </c>
      <c r="AF295" s="47">
        <v>1022017750</v>
      </c>
      <c r="AG295" s="47">
        <v>1022017750</v>
      </c>
      <c r="AH295" s="47">
        <v>1022017750</v>
      </c>
      <c r="AI295" s="47">
        <v>1022017750</v>
      </c>
      <c r="AJ295" s="47">
        <v>1022017750</v>
      </c>
      <c r="AK295" s="47">
        <v>1022017750</v>
      </c>
      <c r="AL295" s="47">
        <v>-314467000</v>
      </c>
      <c r="AM295" s="47">
        <v>-340672583</v>
      </c>
      <c r="AN295" s="47">
        <v>-5201108.1450381679</v>
      </c>
      <c r="AO295" s="47">
        <v>-5201108.1450381679</v>
      </c>
      <c r="AP295" s="47">
        <v>-5201108.1450381679</v>
      </c>
      <c r="AQ295" s="47">
        <v>-5201108.1450381679</v>
      </c>
      <c r="AR295" s="47">
        <v>-5201108.1450381679</v>
      </c>
      <c r="AS295" s="47">
        <v>-5201108.1450381679</v>
      </c>
      <c r="AT295" s="47">
        <v>-5201108.1450381679</v>
      </c>
      <c r="AU295" s="47">
        <v>-5201108.1450381679</v>
      </c>
      <c r="AV295" s="47">
        <v>-5201108.1450381679</v>
      </c>
      <c r="AW295" s="47">
        <v>-5201108.1450381679</v>
      </c>
      <c r="AX295" s="47">
        <v>-5201108.1450381679</v>
      </c>
      <c r="AY295" s="47">
        <v>-5201108.1450381679</v>
      </c>
      <c r="AZ295" s="58">
        <f t="shared" si="15"/>
        <v>-62413297.740458004</v>
      </c>
      <c r="BA295" s="47">
        <f>Y295+SUM($AM295:AM295)</f>
        <v>681345167</v>
      </c>
      <c r="BB295" s="48">
        <f>Z295+SUM($AM295:AN295)</f>
        <v>676144058.85496187</v>
      </c>
      <c r="BC295" s="48">
        <f>AA295+SUM($AM295:AO295)</f>
        <v>670942950.70992362</v>
      </c>
      <c r="BD295" s="48">
        <f>AB295+SUM($AM295:AP295)</f>
        <v>665741842.56488538</v>
      </c>
      <c r="BE295" s="48">
        <f>AC295+SUM($AM295:AQ295)</f>
        <v>660540734.41984725</v>
      </c>
      <c r="BF295" s="48">
        <f>AD295+SUM($AM295:AR295)</f>
        <v>655339626.27480912</v>
      </c>
      <c r="BG295" s="48">
        <f>AE295+SUM($AM295:AS295)</f>
        <v>650138518.12977087</v>
      </c>
      <c r="BH295" s="48">
        <f>AF295+SUM($AM295:AT295)</f>
        <v>644937409.98473263</v>
      </c>
      <c r="BI295" s="48">
        <f>AG295+SUM($AM295:AU295)</f>
        <v>639736301.8396945</v>
      </c>
      <c r="BJ295" s="48">
        <f>AH295+SUM($AM295:AV295)</f>
        <v>634535193.69465637</v>
      </c>
      <c r="BK295" s="48">
        <f>AI295+SUM($AM295:AW295)</f>
        <v>629334085.54961812</v>
      </c>
      <c r="BL295" s="48">
        <f>AJ295+SUM($AM295:AX295)</f>
        <v>624132977.40457988</v>
      </c>
      <c r="BM295" s="48">
        <f>AK295+SUM($AM295:AY295)</f>
        <v>618931869.25954175</v>
      </c>
      <c r="BO295" s="47"/>
    </row>
    <row r="296" spans="3:67" s="41" customFormat="1" hidden="1" x14ac:dyDescent="0.3">
      <c r="C296" s="41" t="s">
        <v>1340</v>
      </c>
      <c r="D296" s="42" t="s">
        <v>355</v>
      </c>
      <c r="E296" s="42" t="str">
        <f t="shared" si="14"/>
        <v>212</v>
      </c>
      <c r="F296" s="41" t="str">
        <f>_xlfn.XLOOKUP($D296,MD_Account_Asset_Type[Nhóm tài sản],MD_Account_Asset_Type[Tên Nhóm tài sản])</f>
        <v>TSCĐ thuê TC: Máy móc, thiết bị - SX 627</v>
      </c>
      <c r="G296" s="41" t="str">
        <f>_xlfn.XLOOKUP($D296,MD_Account_Asset_Type[Nhóm tài sản],MD_Account_Asset_Type[Tên nhóm TS-Rút gọn])</f>
        <v>Máy móc thiết bị thuê tài chính</v>
      </c>
      <c r="H296" s="41" t="str">
        <f>_xlfn.XLOOKUP($D296,MD_Account_Asset_Type[Nhóm tài sản],MD_Account_Asset_Type[Tên nhóm TS-Rút gọn-v2])</f>
        <v>Máy móc thiết bị thuê tài chính</v>
      </c>
      <c r="I296" s="43" t="s">
        <v>1160</v>
      </c>
      <c r="J296" s="42" t="s">
        <v>793</v>
      </c>
      <c r="K296" s="41" t="s">
        <v>1161</v>
      </c>
      <c r="L296" s="42" t="s">
        <v>52</v>
      </c>
      <c r="M296" s="42" t="s">
        <v>127</v>
      </c>
      <c r="N296" s="44" t="s">
        <v>245</v>
      </c>
      <c r="O296" s="44"/>
      <c r="P296" s="41" t="s">
        <v>462</v>
      </c>
      <c r="Q296" s="41" t="str">
        <f t="shared" si="13"/>
        <v>627</v>
      </c>
      <c r="R296" s="41" t="str">
        <f>_xlfn.XLOOKUP($L296,MD_Cost_Center[Mã Cost Center],MD_Cost_Center[Ngành])</f>
        <v>PET</v>
      </c>
      <c r="S296" s="41" t="str">
        <f>_xlfn.XLOOKUP($L296,MD_Cost_Center[Mã Cost Center],MD_Cost_Center[Ngành-Tách PET-Xơ sợi])</f>
        <v>Chung-PET</v>
      </c>
      <c r="T296" s="45">
        <v>45627</v>
      </c>
      <c r="U296" s="46">
        <v>46813</v>
      </c>
      <c r="V296" s="47">
        <v>144</v>
      </c>
      <c r="W296" s="47">
        <v>904469422</v>
      </c>
      <c r="X296" s="47">
        <v>-4602897.8167938935</v>
      </c>
      <c r="Y296" s="47">
        <v>904469422</v>
      </c>
      <c r="Z296" s="47">
        <v>904469422</v>
      </c>
      <c r="AA296" s="47">
        <v>904469422</v>
      </c>
      <c r="AB296" s="47">
        <v>904469422</v>
      </c>
      <c r="AC296" s="47">
        <v>904469422</v>
      </c>
      <c r="AD296" s="47">
        <v>904469422</v>
      </c>
      <c r="AE296" s="47">
        <v>904469422</v>
      </c>
      <c r="AF296" s="47">
        <v>904469422</v>
      </c>
      <c r="AG296" s="47">
        <v>904469422</v>
      </c>
      <c r="AH296" s="47">
        <v>904469422</v>
      </c>
      <c r="AI296" s="47">
        <v>904469422</v>
      </c>
      <c r="AJ296" s="47">
        <v>904469422</v>
      </c>
      <c r="AK296" s="47">
        <v>904469422</v>
      </c>
      <c r="AL296" s="47">
        <v>-278298284</v>
      </c>
      <c r="AM296" s="47">
        <v>-301489808</v>
      </c>
      <c r="AN296" s="47">
        <v>-4602897.8167938935</v>
      </c>
      <c r="AO296" s="47">
        <v>-4602897.8167938935</v>
      </c>
      <c r="AP296" s="47">
        <v>-4602897.8167938935</v>
      </c>
      <c r="AQ296" s="47">
        <v>-4602897.8167938935</v>
      </c>
      <c r="AR296" s="47">
        <v>-4602897.8167938935</v>
      </c>
      <c r="AS296" s="47">
        <v>-4602897.8167938935</v>
      </c>
      <c r="AT296" s="47">
        <v>-4602897.8167938935</v>
      </c>
      <c r="AU296" s="47">
        <v>-4602897.8167938935</v>
      </c>
      <c r="AV296" s="47">
        <v>-4602897.8167938935</v>
      </c>
      <c r="AW296" s="47">
        <v>-4602897.8167938935</v>
      </c>
      <c r="AX296" s="47">
        <v>-4602897.8167938935</v>
      </c>
      <c r="AY296" s="47">
        <v>-4602897.8167938935</v>
      </c>
      <c r="AZ296" s="58">
        <f t="shared" si="15"/>
        <v>-55234773.801526733</v>
      </c>
      <c r="BA296" s="47">
        <f>Y296+SUM($AM296:AM296)</f>
        <v>602979614</v>
      </c>
      <c r="BB296" s="48">
        <f>Z296+SUM($AM296:AN296)</f>
        <v>598376716.18320608</v>
      </c>
      <c r="BC296" s="48">
        <f>AA296+SUM($AM296:AO296)</f>
        <v>593773818.36641216</v>
      </c>
      <c r="BD296" s="48">
        <f>AB296+SUM($AM296:AP296)</f>
        <v>589170920.54961824</v>
      </c>
      <c r="BE296" s="48">
        <f>AC296+SUM($AM296:AQ296)</f>
        <v>584568022.73282433</v>
      </c>
      <c r="BF296" s="48">
        <f>AD296+SUM($AM296:AR296)</f>
        <v>579965124.91603041</v>
      </c>
      <c r="BG296" s="48">
        <f>AE296+SUM($AM296:AS296)</f>
        <v>575362227.09923649</v>
      </c>
      <c r="BH296" s="48">
        <f>AF296+SUM($AM296:AT296)</f>
        <v>570759329.28244257</v>
      </c>
      <c r="BI296" s="48">
        <f>AG296+SUM($AM296:AU296)</f>
        <v>566156431.46564865</v>
      </c>
      <c r="BJ296" s="48">
        <f>AH296+SUM($AM296:AV296)</f>
        <v>561553533.64885473</v>
      </c>
      <c r="BK296" s="48">
        <f>AI296+SUM($AM296:AW296)</f>
        <v>556950635.83206081</v>
      </c>
      <c r="BL296" s="48">
        <f>AJ296+SUM($AM296:AX296)</f>
        <v>552347738.0152669</v>
      </c>
      <c r="BM296" s="48">
        <f>AK296+SUM($AM296:AY296)</f>
        <v>547744840.19847298</v>
      </c>
      <c r="BO296" s="47"/>
    </row>
    <row r="297" spans="3:67" s="41" customFormat="1" hidden="1" x14ac:dyDescent="0.3">
      <c r="C297" s="41" t="s">
        <v>1340</v>
      </c>
      <c r="D297" s="42" t="s">
        <v>355</v>
      </c>
      <c r="E297" s="42" t="str">
        <f t="shared" si="14"/>
        <v>212</v>
      </c>
      <c r="F297" s="41" t="str">
        <f>_xlfn.XLOOKUP($D297,MD_Account_Asset_Type[Nhóm tài sản],MD_Account_Asset_Type[Tên Nhóm tài sản])</f>
        <v>TSCĐ thuê TC: Máy móc, thiết bị - SX 627</v>
      </c>
      <c r="G297" s="41" t="str">
        <f>_xlfn.XLOOKUP($D297,MD_Account_Asset_Type[Nhóm tài sản],MD_Account_Asset_Type[Tên nhóm TS-Rút gọn])</f>
        <v>Máy móc thiết bị thuê tài chính</v>
      </c>
      <c r="H297" s="41" t="str">
        <f>_xlfn.XLOOKUP($D297,MD_Account_Asset_Type[Nhóm tài sản],MD_Account_Asset_Type[Tên nhóm TS-Rút gọn-v2])</f>
        <v>Máy móc thiết bị thuê tài chính</v>
      </c>
      <c r="I297" s="43" t="s">
        <v>1162</v>
      </c>
      <c r="J297" s="42" t="s">
        <v>794</v>
      </c>
      <c r="K297" s="41" t="s">
        <v>1161</v>
      </c>
      <c r="L297" s="42" t="s">
        <v>52</v>
      </c>
      <c r="M297" s="42" t="s">
        <v>127</v>
      </c>
      <c r="N297" s="44" t="s">
        <v>245</v>
      </c>
      <c r="O297" s="44"/>
      <c r="P297" s="41" t="s">
        <v>462</v>
      </c>
      <c r="Q297" s="41" t="str">
        <f t="shared" si="13"/>
        <v>627</v>
      </c>
      <c r="R297" s="41" t="str">
        <f>_xlfn.XLOOKUP($L297,MD_Cost_Center[Mã Cost Center],MD_Cost_Center[Ngành])</f>
        <v>PET</v>
      </c>
      <c r="S297" s="41" t="str">
        <f>_xlfn.XLOOKUP($L297,MD_Cost_Center[Mã Cost Center],MD_Cost_Center[Ngành-Tách PET-Xơ sợi])</f>
        <v>Chung-PET</v>
      </c>
      <c r="T297" s="45">
        <v>45627</v>
      </c>
      <c r="U297" s="46">
        <v>46874</v>
      </c>
      <c r="V297" s="47">
        <v>144</v>
      </c>
      <c r="W297" s="47">
        <v>222233555</v>
      </c>
      <c r="X297" s="47">
        <v>-1158543.9465648856</v>
      </c>
      <c r="Y297" s="47">
        <v>222233555</v>
      </c>
      <c r="Z297" s="47">
        <v>222233555</v>
      </c>
      <c r="AA297" s="47">
        <v>222233555</v>
      </c>
      <c r="AB297" s="47">
        <v>222233555</v>
      </c>
      <c r="AC297" s="47">
        <v>222233555</v>
      </c>
      <c r="AD297" s="47">
        <v>222233555</v>
      </c>
      <c r="AE297" s="47">
        <v>222233555</v>
      </c>
      <c r="AF297" s="47">
        <v>222233555</v>
      </c>
      <c r="AG297" s="47">
        <v>222233555</v>
      </c>
      <c r="AH297" s="47">
        <v>222233555</v>
      </c>
      <c r="AI297" s="47">
        <v>222233555</v>
      </c>
      <c r="AJ297" s="47">
        <v>222233555</v>
      </c>
      <c r="AK297" s="47">
        <v>222233555</v>
      </c>
      <c r="AL297" s="47">
        <v>-65043967</v>
      </c>
      <c r="AM297" s="47">
        <v>-70464298</v>
      </c>
      <c r="AN297" s="47">
        <v>-1158543.9465648856</v>
      </c>
      <c r="AO297" s="47">
        <v>-1158543.9465648856</v>
      </c>
      <c r="AP297" s="47">
        <v>-1158543.9465648856</v>
      </c>
      <c r="AQ297" s="47">
        <v>-1158543.9465648856</v>
      </c>
      <c r="AR297" s="47">
        <v>-1158543.9465648856</v>
      </c>
      <c r="AS297" s="47">
        <v>-1158543.9465648856</v>
      </c>
      <c r="AT297" s="47">
        <v>-1158543.9465648856</v>
      </c>
      <c r="AU297" s="47">
        <v>-1158543.9465648856</v>
      </c>
      <c r="AV297" s="47">
        <v>-1158543.9465648856</v>
      </c>
      <c r="AW297" s="47">
        <v>-1158543.9465648856</v>
      </c>
      <c r="AX297" s="47">
        <v>-1158543.9465648856</v>
      </c>
      <c r="AY297" s="47">
        <v>-1158543.9465648856</v>
      </c>
      <c r="AZ297" s="58">
        <f t="shared" si="15"/>
        <v>-13902527.358778624</v>
      </c>
      <c r="BA297" s="47">
        <f>Y297+SUM($AM297:AM297)</f>
        <v>151769257</v>
      </c>
      <c r="BB297" s="48">
        <f>Z297+SUM($AM297:AN297)</f>
        <v>150610713.05343512</v>
      </c>
      <c r="BC297" s="48">
        <f>AA297+SUM($AM297:AO297)</f>
        <v>149452169.10687023</v>
      </c>
      <c r="BD297" s="48">
        <f>AB297+SUM($AM297:AP297)</f>
        <v>148293625.16030535</v>
      </c>
      <c r="BE297" s="48">
        <f>AC297+SUM($AM297:AQ297)</f>
        <v>147135081.21374047</v>
      </c>
      <c r="BF297" s="48">
        <f>AD297+SUM($AM297:AR297)</f>
        <v>145976537.26717559</v>
      </c>
      <c r="BG297" s="48">
        <f>AE297+SUM($AM297:AS297)</f>
        <v>144817993.3206107</v>
      </c>
      <c r="BH297" s="48">
        <f>AF297+SUM($AM297:AT297)</f>
        <v>143659449.37404582</v>
      </c>
      <c r="BI297" s="48">
        <f>AG297+SUM($AM297:AU297)</f>
        <v>142500905.42748094</v>
      </c>
      <c r="BJ297" s="48">
        <f>AH297+SUM($AM297:AV297)</f>
        <v>141342361.48091605</v>
      </c>
      <c r="BK297" s="48">
        <f>AI297+SUM($AM297:AW297)</f>
        <v>140183817.53435117</v>
      </c>
      <c r="BL297" s="48">
        <f>AJ297+SUM($AM297:AX297)</f>
        <v>139025273.58778629</v>
      </c>
      <c r="BM297" s="48">
        <f>AK297+SUM($AM297:AY297)</f>
        <v>137866729.6412214</v>
      </c>
      <c r="BO297" s="47"/>
    </row>
    <row r="298" spans="3:67" s="41" customFormat="1" hidden="1" x14ac:dyDescent="0.3">
      <c r="C298" s="41" t="s">
        <v>1340</v>
      </c>
      <c r="D298" s="42" t="s">
        <v>355</v>
      </c>
      <c r="E298" s="42" t="str">
        <f t="shared" si="14"/>
        <v>212</v>
      </c>
      <c r="F298" s="41" t="str">
        <f>_xlfn.XLOOKUP($D298,MD_Account_Asset_Type[Nhóm tài sản],MD_Account_Asset_Type[Tên Nhóm tài sản])</f>
        <v>TSCĐ thuê TC: Máy móc, thiết bị - SX 627</v>
      </c>
      <c r="G298" s="41" t="str">
        <f>_xlfn.XLOOKUP($D298,MD_Account_Asset_Type[Nhóm tài sản],MD_Account_Asset_Type[Tên nhóm TS-Rút gọn])</f>
        <v>Máy móc thiết bị thuê tài chính</v>
      </c>
      <c r="H298" s="41" t="str">
        <f>_xlfn.XLOOKUP($D298,MD_Account_Asset_Type[Nhóm tài sản],MD_Account_Asset_Type[Tên nhóm TS-Rút gọn-v2])</f>
        <v>Máy móc thiết bị thuê tài chính</v>
      </c>
      <c r="I298" s="43" t="s">
        <v>1163</v>
      </c>
      <c r="J298" s="42" t="s">
        <v>795</v>
      </c>
      <c r="K298" s="41" t="s">
        <v>1161</v>
      </c>
      <c r="L298" s="42" t="s">
        <v>57</v>
      </c>
      <c r="M298" s="42" t="s">
        <v>132</v>
      </c>
      <c r="N298" s="44" t="s">
        <v>250</v>
      </c>
      <c r="O298" s="44"/>
      <c r="P298" s="41" t="s">
        <v>462</v>
      </c>
      <c r="Q298" s="41" t="str">
        <f t="shared" si="13"/>
        <v>627</v>
      </c>
      <c r="R298" s="41" t="str">
        <f>_xlfn.XLOOKUP($L298,MD_Cost_Center[Mã Cost Center],MD_Cost_Center[Ngành])</f>
        <v>HD/PP</v>
      </c>
      <c r="S298" s="41" t="str">
        <f>_xlfn.XLOOKUP($L298,MD_Cost_Center[Mã Cost Center],MD_Cost_Center[Ngành-Tách PET-Xơ sợi])</f>
        <v>Chung-PET</v>
      </c>
      <c r="T298" s="45">
        <v>45627</v>
      </c>
      <c r="U298" s="46">
        <v>47150</v>
      </c>
      <c r="V298" s="47">
        <v>144</v>
      </c>
      <c r="W298" s="47">
        <v>1081360419</v>
      </c>
      <c r="X298" s="47">
        <v>-6108448.1679389309</v>
      </c>
      <c r="Y298" s="47">
        <v>1081360419</v>
      </c>
      <c r="Z298" s="47">
        <v>1081360419</v>
      </c>
      <c r="AA298" s="47">
        <v>1081360419</v>
      </c>
      <c r="AB298" s="47">
        <v>1081360419</v>
      </c>
      <c r="AC298" s="47">
        <v>1081360419</v>
      </c>
      <c r="AD298" s="47">
        <v>1081360419</v>
      </c>
      <c r="AE298" s="47">
        <v>1081360419</v>
      </c>
      <c r="AF298" s="47">
        <v>1081360419</v>
      </c>
      <c r="AG298" s="47">
        <v>1081360419</v>
      </c>
      <c r="AH298" s="47">
        <v>1081360419</v>
      </c>
      <c r="AI298" s="47">
        <v>1081360419</v>
      </c>
      <c r="AJ298" s="47">
        <v>1081360419</v>
      </c>
      <c r="AK298" s="47">
        <v>1081360419</v>
      </c>
      <c r="AL298" s="47">
        <v>-259526501</v>
      </c>
      <c r="AM298" s="47">
        <v>-281153709</v>
      </c>
      <c r="AN298" s="47">
        <v>-6108448.1679389309</v>
      </c>
      <c r="AO298" s="47">
        <v>-6108448.1679389309</v>
      </c>
      <c r="AP298" s="47">
        <v>-6108448.1679389309</v>
      </c>
      <c r="AQ298" s="47">
        <v>-6108448.1679389309</v>
      </c>
      <c r="AR298" s="47">
        <v>-6108448.1679389309</v>
      </c>
      <c r="AS298" s="47">
        <v>-6108448.1679389309</v>
      </c>
      <c r="AT298" s="47">
        <v>-6108448.1679389309</v>
      </c>
      <c r="AU298" s="47">
        <v>-6108448.1679389309</v>
      </c>
      <c r="AV298" s="47">
        <v>-6108448.1679389309</v>
      </c>
      <c r="AW298" s="47">
        <v>-6108448.1679389309</v>
      </c>
      <c r="AX298" s="47">
        <v>-6108448.1679389309</v>
      </c>
      <c r="AY298" s="47">
        <v>-6108448.1679389309</v>
      </c>
      <c r="AZ298" s="58">
        <f t="shared" si="15"/>
        <v>-73301378.015267178</v>
      </c>
      <c r="BA298" s="47">
        <f>Y298+SUM($AM298:AM298)</f>
        <v>800206710</v>
      </c>
      <c r="BB298" s="48">
        <f>Z298+SUM($AM298:AN298)</f>
        <v>794098261.83206105</v>
      </c>
      <c r="BC298" s="48">
        <f>AA298+SUM($AM298:AO298)</f>
        <v>787989813.6641221</v>
      </c>
      <c r="BD298" s="48">
        <f>AB298+SUM($AM298:AP298)</f>
        <v>781881365.49618316</v>
      </c>
      <c r="BE298" s="48">
        <f>AC298+SUM($AM298:AQ298)</f>
        <v>775772917.32824421</v>
      </c>
      <c r="BF298" s="48">
        <f>AD298+SUM($AM298:AR298)</f>
        <v>769664469.16030526</v>
      </c>
      <c r="BG298" s="48">
        <f>AE298+SUM($AM298:AS298)</f>
        <v>763556020.99236631</v>
      </c>
      <c r="BH298" s="48">
        <f>AF298+SUM($AM298:AT298)</f>
        <v>757447572.82442737</v>
      </c>
      <c r="BI298" s="48">
        <f>AG298+SUM($AM298:AU298)</f>
        <v>751339124.65648842</v>
      </c>
      <c r="BJ298" s="48">
        <f>AH298+SUM($AM298:AV298)</f>
        <v>745230676.48854947</v>
      </c>
      <c r="BK298" s="48">
        <f>AI298+SUM($AM298:AW298)</f>
        <v>739122228.32061052</v>
      </c>
      <c r="BL298" s="48">
        <f>AJ298+SUM($AM298:AX298)</f>
        <v>733013780.15267158</v>
      </c>
      <c r="BM298" s="48">
        <f>AK298+SUM($AM298:AY298)</f>
        <v>726905331.98473263</v>
      </c>
      <c r="BO298" s="47"/>
    </row>
    <row r="299" spans="3:67" s="41" customFormat="1" hidden="1" x14ac:dyDescent="0.3">
      <c r="C299" s="41" t="s">
        <v>1340</v>
      </c>
      <c r="D299" s="42" t="s">
        <v>355</v>
      </c>
      <c r="E299" s="42" t="str">
        <f t="shared" si="14"/>
        <v>212</v>
      </c>
      <c r="F299" s="41" t="str">
        <f>_xlfn.XLOOKUP($D299,MD_Account_Asset_Type[Nhóm tài sản],MD_Account_Asset_Type[Tên Nhóm tài sản])</f>
        <v>TSCĐ thuê TC: Máy móc, thiết bị - SX 627</v>
      </c>
      <c r="G299" s="41" t="str">
        <f>_xlfn.XLOOKUP($D299,MD_Account_Asset_Type[Nhóm tài sản],MD_Account_Asset_Type[Tên nhóm TS-Rút gọn])</f>
        <v>Máy móc thiết bị thuê tài chính</v>
      </c>
      <c r="H299" s="41" t="str">
        <f>_xlfn.XLOOKUP($D299,MD_Account_Asset_Type[Nhóm tài sản],MD_Account_Asset_Type[Tên nhóm TS-Rút gọn-v2])</f>
        <v>Máy móc thiết bị thuê tài chính</v>
      </c>
      <c r="I299" s="43" t="s">
        <v>1164</v>
      </c>
      <c r="J299" s="42" t="s">
        <v>796</v>
      </c>
      <c r="K299" s="41" t="s">
        <v>1161</v>
      </c>
      <c r="L299" s="42" t="s">
        <v>58</v>
      </c>
      <c r="M299" s="42" t="s">
        <v>133</v>
      </c>
      <c r="N299" s="44" t="s">
        <v>251</v>
      </c>
      <c r="O299" s="44"/>
      <c r="P299" s="41" t="s">
        <v>462</v>
      </c>
      <c r="Q299" s="41" t="str">
        <f t="shared" si="13"/>
        <v>627</v>
      </c>
      <c r="R299" s="41" t="str">
        <f>_xlfn.XLOOKUP($L299,MD_Cost_Center[Mã Cost Center],MD_Cost_Center[Ngành])</f>
        <v>PET</v>
      </c>
      <c r="S299" s="41" t="str">
        <f>_xlfn.XLOOKUP($L299,MD_Cost_Center[Mã Cost Center],MD_Cost_Center[Ngành-Tách PET-Xơ sợi])</f>
        <v>Chung-PET</v>
      </c>
      <c r="T299" s="45">
        <v>45627</v>
      </c>
      <c r="U299" s="46">
        <v>47331</v>
      </c>
      <c r="V299" s="47">
        <v>144</v>
      </c>
      <c r="W299" s="47">
        <v>170777778</v>
      </c>
      <c r="X299" s="47">
        <v>-1001014.786259542</v>
      </c>
      <c r="Y299" s="47">
        <v>170777778</v>
      </c>
      <c r="Z299" s="47">
        <v>170777778</v>
      </c>
      <c r="AA299" s="47">
        <v>170777778</v>
      </c>
      <c r="AB299" s="47">
        <v>170777778</v>
      </c>
      <c r="AC299" s="47">
        <v>170777778</v>
      </c>
      <c r="AD299" s="47">
        <v>170777778</v>
      </c>
      <c r="AE299" s="47">
        <v>170777778</v>
      </c>
      <c r="AF299" s="47">
        <v>170777778</v>
      </c>
      <c r="AG299" s="47">
        <v>170777778</v>
      </c>
      <c r="AH299" s="47">
        <v>170777778</v>
      </c>
      <c r="AI299" s="47">
        <v>170777778</v>
      </c>
      <c r="AJ299" s="47">
        <v>170777778</v>
      </c>
      <c r="AK299" s="47">
        <v>170777778</v>
      </c>
      <c r="AL299" s="47">
        <v>-36595238</v>
      </c>
      <c r="AM299" s="47">
        <v>-39644841</v>
      </c>
      <c r="AN299" s="47">
        <v>-1001014.786259542</v>
      </c>
      <c r="AO299" s="47">
        <v>-1001014.786259542</v>
      </c>
      <c r="AP299" s="47">
        <v>-1001014.786259542</v>
      </c>
      <c r="AQ299" s="47">
        <v>-1001014.786259542</v>
      </c>
      <c r="AR299" s="47">
        <v>-1001014.786259542</v>
      </c>
      <c r="AS299" s="47">
        <v>-1001014.786259542</v>
      </c>
      <c r="AT299" s="47">
        <v>-1001014.786259542</v>
      </c>
      <c r="AU299" s="47">
        <v>-1001014.786259542</v>
      </c>
      <c r="AV299" s="47">
        <v>-1001014.786259542</v>
      </c>
      <c r="AW299" s="47">
        <v>-1001014.786259542</v>
      </c>
      <c r="AX299" s="47">
        <v>-1001014.786259542</v>
      </c>
      <c r="AY299" s="47">
        <v>-1001014.786259542</v>
      </c>
      <c r="AZ299" s="58">
        <f t="shared" si="15"/>
        <v>-12012177.435114503</v>
      </c>
      <c r="BA299" s="47">
        <f>Y299+SUM($AM299:AM299)</f>
        <v>131132937</v>
      </c>
      <c r="BB299" s="48">
        <f>Z299+SUM($AM299:AN299)</f>
        <v>130131922.21374047</v>
      </c>
      <c r="BC299" s="48">
        <f>AA299+SUM($AM299:AO299)</f>
        <v>129130907.42748092</v>
      </c>
      <c r="BD299" s="48">
        <f>AB299+SUM($AM299:AP299)</f>
        <v>128129892.64122137</v>
      </c>
      <c r="BE299" s="48">
        <f>AC299+SUM($AM299:AQ299)</f>
        <v>127128877.85496184</v>
      </c>
      <c r="BF299" s="48">
        <f>AD299+SUM($AM299:AR299)</f>
        <v>126127863.06870231</v>
      </c>
      <c r="BG299" s="48">
        <f>AE299+SUM($AM299:AS299)</f>
        <v>125126848.28244276</v>
      </c>
      <c r="BH299" s="48">
        <f>AF299+SUM($AM299:AT299)</f>
        <v>124125833.49618322</v>
      </c>
      <c r="BI299" s="48">
        <f>AG299+SUM($AM299:AU299)</f>
        <v>123124818.70992368</v>
      </c>
      <c r="BJ299" s="48">
        <f>AH299+SUM($AM299:AV299)</f>
        <v>122123803.92366415</v>
      </c>
      <c r="BK299" s="48">
        <f>AI299+SUM($AM299:AW299)</f>
        <v>121122789.13740461</v>
      </c>
      <c r="BL299" s="48">
        <f>AJ299+SUM($AM299:AX299)</f>
        <v>120121774.35114506</v>
      </c>
      <c r="BM299" s="48">
        <f>AK299+SUM($AM299:AY299)</f>
        <v>119120759.56488553</v>
      </c>
      <c r="BO299" s="47"/>
    </row>
    <row r="300" spans="3:67" s="41" customFormat="1" hidden="1" x14ac:dyDescent="0.3">
      <c r="C300" s="41" t="s">
        <v>1340</v>
      </c>
      <c r="D300" s="42" t="s">
        <v>355</v>
      </c>
      <c r="E300" s="42" t="str">
        <f t="shared" si="14"/>
        <v>212</v>
      </c>
      <c r="F300" s="41" t="str">
        <f>_xlfn.XLOOKUP($D300,MD_Account_Asset_Type[Nhóm tài sản],MD_Account_Asset_Type[Tên Nhóm tài sản])</f>
        <v>TSCĐ thuê TC: Máy móc, thiết bị - SX 627</v>
      </c>
      <c r="G300" s="41" t="str">
        <f>_xlfn.XLOOKUP($D300,MD_Account_Asset_Type[Nhóm tài sản],MD_Account_Asset_Type[Tên nhóm TS-Rút gọn])</f>
        <v>Máy móc thiết bị thuê tài chính</v>
      </c>
      <c r="H300" s="41" t="str">
        <f>_xlfn.XLOOKUP($D300,MD_Account_Asset_Type[Nhóm tài sản],MD_Account_Asset_Type[Tên nhóm TS-Rút gọn-v2])</f>
        <v>Máy móc thiết bị thuê tài chính</v>
      </c>
      <c r="I300" s="43" t="s">
        <v>1165</v>
      </c>
      <c r="J300" s="42" t="s">
        <v>797</v>
      </c>
      <c r="K300" s="41" t="s">
        <v>1161</v>
      </c>
      <c r="L300" s="42" t="s">
        <v>46</v>
      </c>
      <c r="M300" s="42" t="s">
        <v>121</v>
      </c>
      <c r="N300" s="44">
        <v>0</v>
      </c>
      <c r="O300" s="44"/>
      <c r="P300" s="41" t="s">
        <v>462</v>
      </c>
      <c r="Q300" s="41" t="str">
        <f t="shared" si="13"/>
        <v>627</v>
      </c>
      <c r="R300" s="41" t="str">
        <f>_xlfn.XLOOKUP($L300,MD_Cost_Center[Mã Cost Center],MD_Cost_Center[Ngành])</f>
        <v>Chung</v>
      </c>
      <c r="S300" s="41" t="str">
        <f>_xlfn.XLOOKUP($L300,MD_Cost_Center[Mã Cost Center],MD_Cost_Center[Ngành-Tách PET-Xơ sợi])</f>
        <v>Chung</v>
      </c>
      <c r="T300" s="45">
        <v>45627</v>
      </c>
      <c r="U300" s="46">
        <v>46539</v>
      </c>
      <c r="V300" s="47">
        <v>144</v>
      </c>
      <c r="W300" s="47">
        <v>172120000</v>
      </c>
      <c r="X300" s="47">
        <v>-744539.44274809165</v>
      </c>
      <c r="Y300" s="47">
        <v>172120000</v>
      </c>
      <c r="Z300" s="47">
        <v>172120000</v>
      </c>
      <c r="AA300" s="47">
        <v>172120000</v>
      </c>
      <c r="AB300" s="47">
        <v>172120000</v>
      </c>
      <c r="AC300" s="47">
        <v>172120000</v>
      </c>
      <c r="AD300" s="47">
        <v>172120000</v>
      </c>
      <c r="AE300" s="47">
        <v>172120000</v>
      </c>
      <c r="AF300" s="47">
        <v>172120000</v>
      </c>
      <c r="AG300" s="47">
        <v>172120000</v>
      </c>
      <c r="AH300" s="47">
        <v>172120000</v>
      </c>
      <c r="AI300" s="47">
        <v>172120000</v>
      </c>
      <c r="AJ300" s="47">
        <v>172120000</v>
      </c>
      <c r="AK300" s="47">
        <v>172120000</v>
      </c>
      <c r="AL300" s="47">
        <v>-68848000</v>
      </c>
      <c r="AM300" s="47">
        <v>-74585333</v>
      </c>
      <c r="AN300" s="47">
        <v>-744539.44274809165</v>
      </c>
      <c r="AO300" s="47">
        <v>-744539.44274809165</v>
      </c>
      <c r="AP300" s="47">
        <v>-744539.44274809165</v>
      </c>
      <c r="AQ300" s="47">
        <v>-744539.44274809165</v>
      </c>
      <c r="AR300" s="47">
        <v>-744539.44274809165</v>
      </c>
      <c r="AS300" s="47">
        <v>-744539.44274809165</v>
      </c>
      <c r="AT300" s="47">
        <v>-744539.44274809165</v>
      </c>
      <c r="AU300" s="47">
        <v>-744539.44274809165</v>
      </c>
      <c r="AV300" s="47">
        <v>-744539.44274809165</v>
      </c>
      <c r="AW300" s="47">
        <v>-744539.44274809165</v>
      </c>
      <c r="AX300" s="47">
        <v>-744539.44274809165</v>
      </c>
      <c r="AY300" s="47">
        <v>-744539.44274809165</v>
      </c>
      <c r="AZ300" s="58">
        <f t="shared" si="15"/>
        <v>-8934473.3129771017</v>
      </c>
      <c r="BA300" s="47">
        <f>Y300+SUM($AM300:AM300)</f>
        <v>97534667</v>
      </c>
      <c r="BB300" s="48">
        <f>Z300+SUM($AM300:AN300)</f>
        <v>96790127.557251915</v>
      </c>
      <c r="BC300" s="48">
        <f>AA300+SUM($AM300:AO300)</f>
        <v>96045588.114503831</v>
      </c>
      <c r="BD300" s="48">
        <f>AB300+SUM($AM300:AP300)</f>
        <v>95301048.671755746</v>
      </c>
      <c r="BE300" s="48">
        <f>AC300+SUM($AM300:AQ300)</f>
        <v>94556509.229007661</v>
      </c>
      <c r="BF300" s="48">
        <f>AD300+SUM($AM300:AR300)</f>
        <v>93811969.786259577</v>
      </c>
      <c r="BG300" s="48">
        <f>AE300+SUM($AM300:AS300)</f>
        <v>93067430.343511492</v>
      </c>
      <c r="BH300" s="48">
        <f>AF300+SUM($AM300:AT300)</f>
        <v>92322890.900763407</v>
      </c>
      <c r="BI300" s="48">
        <f>AG300+SUM($AM300:AU300)</f>
        <v>91578351.458015323</v>
      </c>
      <c r="BJ300" s="48">
        <f>AH300+SUM($AM300:AV300)</f>
        <v>90833812.015267238</v>
      </c>
      <c r="BK300" s="48">
        <f>AI300+SUM($AM300:AW300)</f>
        <v>90089272.572519153</v>
      </c>
      <c r="BL300" s="48">
        <f>AJ300+SUM($AM300:AX300)</f>
        <v>89344733.129771069</v>
      </c>
      <c r="BM300" s="48">
        <f>AK300+SUM($AM300:AY300)</f>
        <v>88600193.687022984</v>
      </c>
      <c r="BO300" s="47"/>
    </row>
    <row r="301" spans="3:67" s="41" customFormat="1" hidden="1" x14ac:dyDescent="0.3">
      <c r="C301" s="41" t="s">
        <v>1340</v>
      </c>
      <c r="D301" s="42" t="s">
        <v>355</v>
      </c>
      <c r="E301" s="42" t="str">
        <f t="shared" si="14"/>
        <v>212</v>
      </c>
      <c r="F301" s="41" t="str">
        <f>_xlfn.XLOOKUP($D301,MD_Account_Asset_Type[Nhóm tài sản],MD_Account_Asset_Type[Tên Nhóm tài sản])</f>
        <v>TSCĐ thuê TC: Máy móc, thiết bị - SX 627</v>
      </c>
      <c r="G301" s="41" t="str">
        <f>_xlfn.XLOOKUP($D301,MD_Account_Asset_Type[Nhóm tài sản],MD_Account_Asset_Type[Tên nhóm TS-Rút gọn])</f>
        <v>Máy móc thiết bị thuê tài chính</v>
      </c>
      <c r="H301" s="41" t="str">
        <f>_xlfn.XLOOKUP($D301,MD_Account_Asset_Type[Nhóm tài sản],MD_Account_Asset_Type[Tên nhóm TS-Rút gọn-v2])</f>
        <v>Máy móc thiết bị thuê tài chính</v>
      </c>
      <c r="I301" s="43" t="s">
        <v>1166</v>
      </c>
      <c r="J301" s="42" t="s">
        <v>798</v>
      </c>
      <c r="K301" s="41" t="s">
        <v>1161</v>
      </c>
      <c r="L301" s="42" t="s">
        <v>46</v>
      </c>
      <c r="M301" s="42" t="s">
        <v>121</v>
      </c>
      <c r="N301" s="44">
        <v>0</v>
      </c>
      <c r="O301" s="44"/>
      <c r="P301" s="41" t="s">
        <v>462</v>
      </c>
      <c r="Q301" s="41" t="str">
        <f t="shared" si="13"/>
        <v>627</v>
      </c>
      <c r="R301" s="41" t="str">
        <f>_xlfn.XLOOKUP($L301,MD_Cost_Center[Mã Cost Center],MD_Cost_Center[Ngành])</f>
        <v>Chung</v>
      </c>
      <c r="S301" s="41" t="str">
        <f>_xlfn.XLOOKUP($L301,MD_Cost_Center[Mã Cost Center],MD_Cost_Center[Ngành-Tách PET-Xơ sợi])</f>
        <v>Chung</v>
      </c>
      <c r="T301" s="45">
        <v>45627</v>
      </c>
      <c r="U301" s="46">
        <v>46539</v>
      </c>
      <c r="V301" s="47">
        <v>144</v>
      </c>
      <c r="W301" s="47">
        <v>133781334</v>
      </c>
      <c r="X301" s="47">
        <v>-578697.87786259537</v>
      </c>
      <c r="Y301" s="47">
        <v>133781334</v>
      </c>
      <c r="Z301" s="47">
        <v>133781334</v>
      </c>
      <c r="AA301" s="47">
        <v>133781334</v>
      </c>
      <c r="AB301" s="47">
        <v>133781334</v>
      </c>
      <c r="AC301" s="47">
        <v>133781334</v>
      </c>
      <c r="AD301" s="47">
        <v>133781334</v>
      </c>
      <c r="AE301" s="47">
        <v>133781334</v>
      </c>
      <c r="AF301" s="47">
        <v>133781334</v>
      </c>
      <c r="AG301" s="47">
        <v>133781334</v>
      </c>
      <c r="AH301" s="47">
        <v>133781334</v>
      </c>
      <c r="AI301" s="47">
        <v>133781334</v>
      </c>
      <c r="AJ301" s="47">
        <v>133781334</v>
      </c>
      <c r="AK301" s="47">
        <v>133781334</v>
      </c>
      <c r="AL301" s="47">
        <v>-53512534</v>
      </c>
      <c r="AM301" s="47">
        <v>-57971912</v>
      </c>
      <c r="AN301" s="47">
        <v>-578697.87786259537</v>
      </c>
      <c r="AO301" s="47">
        <v>-578697.87786259537</v>
      </c>
      <c r="AP301" s="47">
        <v>-578697.87786259537</v>
      </c>
      <c r="AQ301" s="47">
        <v>-578697.87786259537</v>
      </c>
      <c r="AR301" s="47">
        <v>-578697.87786259537</v>
      </c>
      <c r="AS301" s="47">
        <v>-578697.87786259537</v>
      </c>
      <c r="AT301" s="47">
        <v>-578697.87786259537</v>
      </c>
      <c r="AU301" s="47">
        <v>-578697.87786259537</v>
      </c>
      <c r="AV301" s="47">
        <v>-578697.87786259537</v>
      </c>
      <c r="AW301" s="47">
        <v>-578697.87786259537</v>
      </c>
      <c r="AX301" s="47">
        <v>-578697.87786259537</v>
      </c>
      <c r="AY301" s="47">
        <v>-578697.87786259537</v>
      </c>
      <c r="AZ301" s="58">
        <f t="shared" si="15"/>
        <v>-6944374.5343511431</v>
      </c>
      <c r="BA301" s="47">
        <f>Y301+SUM($AM301:AM301)</f>
        <v>75809422</v>
      </c>
      <c r="BB301" s="48">
        <f>Z301+SUM($AM301:AN301)</f>
        <v>75230724.122137398</v>
      </c>
      <c r="BC301" s="48">
        <f>AA301+SUM($AM301:AO301)</f>
        <v>74652026.24427481</v>
      </c>
      <c r="BD301" s="48">
        <f>AB301+SUM($AM301:AP301)</f>
        <v>74073328.366412222</v>
      </c>
      <c r="BE301" s="48">
        <f>AC301+SUM($AM301:AQ301)</f>
        <v>73494630.48854962</v>
      </c>
      <c r="BF301" s="48">
        <f>AD301+SUM($AM301:AR301)</f>
        <v>72915932.610687017</v>
      </c>
      <c r="BG301" s="48">
        <f>AE301+SUM($AM301:AS301)</f>
        <v>72337234.73282443</v>
      </c>
      <c r="BH301" s="48">
        <f>AF301+SUM($AM301:AT301)</f>
        <v>71758536.854961842</v>
      </c>
      <c r="BI301" s="48">
        <f>AG301+SUM($AM301:AU301)</f>
        <v>71179838.97709924</v>
      </c>
      <c r="BJ301" s="48">
        <f>AH301+SUM($AM301:AV301)</f>
        <v>70601141.099236637</v>
      </c>
      <c r="BK301" s="48">
        <f>AI301+SUM($AM301:AW301)</f>
        <v>70022443.22137405</v>
      </c>
      <c r="BL301" s="48">
        <f>AJ301+SUM($AM301:AX301)</f>
        <v>69443745.343511462</v>
      </c>
      <c r="BM301" s="48">
        <f>AK301+SUM($AM301:AY301)</f>
        <v>68865047.46564886</v>
      </c>
      <c r="BO301" s="47"/>
    </row>
    <row r="302" spans="3:67" s="41" customFormat="1" hidden="1" x14ac:dyDescent="0.3">
      <c r="C302" s="41" t="s">
        <v>1340</v>
      </c>
      <c r="D302" s="42" t="s">
        <v>355</v>
      </c>
      <c r="E302" s="42" t="str">
        <f t="shared" si="14"/>
        <v>212</v>
      </c>
      <c r="F302" s="41" t="str">
        <f>_xlfn.XLOOKUP($D302,MD_Account_Asset_Type[Nhóm tài sản],MD_Account_Asset_Type[Tên Nhóm tài sản])</f>
        <v>TSCĐ thuê TC: Máy móc, thiết bị - SX 627</v>
      </c>
      <c r="G302" s="41" t="str">
        <f>_xlfn.XLOOKUP($D302,MD_Account_Asset_Type[Nhóm tài sản],MD_Account_Asset_Type[Tên nhóm TS-Rút gọn])</f>
        <v>Máy móc thiết bị thuê tài chính</v>
      </c>
      <c r="H302" s="41" t="str">
        <f>_xlfn.XLOOKUP($D302,MD_Account_Asset_Type[Nhóm tài sản],MD_Account_Asset_Type[Tên nhóm TS-Rút gọn-v2])</f>
        <v>Máy móc thiết bị thuê tài chính</v>
      </c>
      <c r="I302" s="43" t="s">
        <v>1167</v>
      </c>
      <c r="J302" s="42" t="s">
        <v>799</v>
      </c>
      <c r="K302" s="41" t="s">
        <v>1161</v>
      </c>
      <c r="L302" s="42" t="s">
        <v>46</v>
      </c>
      <c r="M302" s="42" t="s">
        <v>121</v>
      </c>
      <c r="N302" s="44">
        <v>0</v>
      </c>
      <c r="O302" s="44"/>
      <c r="P302" s="41" t="s">
        <v>462</v>
      </c>
      <c r="Q302" s="41" t="str">
        <f t="shared" si="13"/>
        <v>627</v>
      </c>
      <c r="R302" s="41" t="str">
        <f>_xlfn.XLOOKUP($L302,MD_Cost_Center[Mã Cost Center],MD_Cost_Center[Ngành])</f>
        <v>Chung</v>
      </c>
      <c r="S302" s="41" t="str">
        <f>_xlfn.XLOOKUP($L302,MD_Cost_Center[Mã Cost Center],MD_Cost_Center[Ngành-Tách PET-Xơ sợi])</f>
        <v>Chung</v>
      </c>
      <c r="T302" s="45">
        <v>45627</v>
      </c>
      <c r="U302" s="46">
        <v>48366</v>
      </c>
      <c r="V302" s="47">
        <v>144</v>
      </c>
      <c r="W302" s="47">
        <v>814583334</v>
      </c>
      <c r="X302" s="47">
        <v>-5320009.9007633589</v>
      </c>
      <c r="Y302" s="47">
        <v>814583334</v>
      </c>
      <c r="Z302" s="47">
        <v>814583334</v>
      </c>
      <c r="AA302" s="47">
        <v>814583334</v>
      </c>
      <c r="AB302" s="47">
        <v>814583334</v>
      </c>
      <c r="AC302" s="47">
        <v>814583334</v>
      </c>
      <c r="AD302" s="47">
        <v>814583334</v>
      </c>
      <c r="AE302" s="47">
        <v>814583334</v>
      </c>
      <c r="AF302" s="47">
        <v>814583334</v>
      </c>
      <c r="AG302" s="47">
        <v>814583334</v>
      </c>
      <c r="AH302" s="47">
        <v>814583334</v>
      </c>
      <c r="AI302" s="47">
        <v>814583334</v>
      </c>
      <c r="AJ302" s="47">
        <v>814583334</v>
      </c>
      <c r="AK302" s="47">
        <v>814583334</v>
      </c>
      <c r="AL302" s="47">
        <v>-108611111</v>
      </c>
      <c r="AM302" s="47">
        <v>-117662037</v>
      </c>
      <c r="AN302" s="47">
        <v>-5320009.9007633589</v>
      </c>
      <c r="AO302" s="47">
        <v>-5320009.9007633589</v>
      </c>
      <c r="AP302" s="47">
        <v>-5320009.9007633589</v>
      </c>
      <c r="AQ302" s="47">
        <v>-5320009.9007633589</v>
      </c>
      <c r="AR302" s="47">
        <v>-5320009.9007633589</v>
      </c>
      <c r="AS302" s="47">
        <v>-5320009.9007633589</v>
      </c>
      <c r="AT302" s="47">
        <v>-5320009.9007633589</v>
      </c>
      <c r="AU302" s="47">
        <v>-5320009.9007633589</v>
      </c>
      <c r="AV302" s="47">
        <v>-5320009.9007633589</v>
      </c>
      <c r="AW302" s="47">
        <v>-5320009.9007633589</v>
      </c>
      <c r="AX302" s="47">
        <v>-5320009.9007633589</v>
      </c>
      <c r="AY302" s="47">
        <v>-5320009.9007633589</v>
      </c>
      <c r="AZ302" s="58">
        <f t="shared" si="15"/>
        <v>-63840118.809160322</v>
      </c>
      <c r="BA302" s="47">
        <f>Y302+SUM($AM302:AM302)</f>
        <v>696921297</v>
      </c>
      <c r="BB302" s="48">
        <f>Z302+SUM($AM302:AN302)</f>
        <v>691601287.09923661</v>
      </c>
      <c r="BC302" s="48">
        <f>AA302+SUM($AM302:AO302)</f>
        <v>686281277.19847322</v>
      </c>
      <c r="BD302" s="48">
        <f>AB302+SUM($AM302:AP302)</f>
        <v>680961267.29770994</v>
      </c>
      <c r="BE302" s="48">
        <f>AC302+SUM($AM302:AQ302)</f>
        <v>675641257.39694655</v>
      </c>
      <c r="BF302" s="48">
        <f>AD302+SUM($AM302:AR302)</f>
        <v>670321247.49618316</v>
      </c>
      <c r="BG302" s="48">
        <f>AE302+SUM($AM302:AS302)</f>
        <v>665001237.59541988</v>
      </c>
      <c r="BH302" s="48">
        <f>AF302+SUM($AM302:AT302)</f>
        <v>659681227.69465649</v>
      </c>
      <c r="BI302" s="48">
        <f>AG302+SUM($AM302:AU302)</f>
        <v>654361217.7938931</v>
      </c>
      <c r="BJ302" s="48">
        <f>AH302+SUM($AM302:AV302)</f>
        <v>649041207.89312971</v>
      </c>
      <c r="BK302" s="48">
        <f>AI302+SUM($AM302:AW302)</f>
        <v>643721197.99236631</v>
      </c>
      <c r="BL302" s="48">
        <f>AJ302+SUM($AM302:AX302)</f>
        <v>638401188.09160304</v>
      </c>
      <c r="BM302" s="48">
        <f>AK302+SUM($AM302:AY302)</f>
        <v>633081178.19083965</v>
      </c>
      <c r="BO302" s="47"/>
    </row>
    <row r="303" spans="3:67" s="41" customFormat="1" hidden="1" x14ac:dyDescent="0.3">
      <c r="C303" s="41" t="s">
        <v>1340</v>
      </c>
      <c r="D303" s="42" t="s">
        <v>355</v>
      </c>
      <c r="E303" s="42" t="str">
        <f t="shared" si="14"/>
        <v>212</v>
      </c>
      <c r="F303" s="41" t="str">
        <f>_xlfn.XLOOKUP($D303,MD_Account_Asset_Type[Nhóm tài sản],MD_Account_Asset_Type[Tên Nhóm tài sản])</f>
        <v>TSCĐ thuê TC: Máy móc, thiết bị - SX 627</v>
      </c>
      <c r="G303" s="41" t="str">
        <f>_xlfn.XLOOKUP($D303,MD_Account_Asset_Type[Nhóm tài sản],MD_Account_Asset_Type[Tên nhóm TS-Rút gọn])</f>
        <v>Máy móc thiết bị thuê tài chính</v>
      </c>
      <c r="H303" s="41" t="str">
        <f>_xlfn.XLOOKUP($D303,MD_Account_Asset_Type[Nhóm tài sản],MD_Account_Asset_Type[Tên nhóm TS-Rút gọn-v2])</f>
        <v>Máy móc thiết bị thuê tài chính</v>
      </c>
      <c r="I303" s="43" t="s">
        <v>1168</v>
      </c>
      <c r="J303" s="42" t="s">
        <v>800</v>
      </c>
      <c r="K303" s="41" t="s">
        <v>1161</v>
      </c>
      <c r="L303" s="42" t="s">
        <v>60</v>
      </c>
      <c r="M303" s="42" t="s">
        <v>135</v>
      </c>
      <c r="N303" s="44" t="s">
        <v>253</v>
      </c>
      <c r="O303" s="44"/>
      <c r="P303" s="41" t="s">
        <v>462</v>
      </c>
      <c r="Q303" s="41" t="str">
        <f t="shared" si="13"/>
        <v>627</v>
      </c>
      <c r="R303" s="41" t="str">
        <f>_xlfn.XLOOKUP($L303,MD_Cost_Center[Mã Cost Center],MD_Cost_Center[Ngành])</f>
        <v>HD/PP</v>
      </c>
      <c r="S303" s="41" t="str">
        <f>_xlfn.XLOOKUP($L303,MD_Cost_Center[Mã Cost Center],MD_Cost_Center[Ngành-Tách PET-Xơ sợi])</f>
        <v>Chung-PET</v>
      </c>
      <c r="T303" s="45">
        <v>45627</v>
      </c>
      <c r="U303" s="46">
        <v>48427</v>
      </c>
      <c r="V303" s="47">
        <v>144</v>
      </c>
      <c r="W303" s="47">
        <v>1107892413</v>
      </c>
      <c r="X303" s="47">
        <v>-7262155.7099236641</v>
      </c>
      <c r="Y303" s="47">
        <v>1107892413</v>
      </c>
      <c r="Z303" s="47">
        <v>1107892413</v>
      </c>
      <c r="AA303" s="47">
        <v>1107892413</v>
      </c>
      <c r="AB303" s="47">
        <v>1107892413</v>
      </c>
      <c r="AC303" s="47">
        <v>1107892413</v>
      </c>
      <c r="AD303" s="47">
        <v>1107892413</v>
      </c>
      <c r="AE303" s="47">
        <v>1107892413</v>
      </c>
      <c r="AF303" s="47">
        <v>1107892413</v>
      </c>
      <c r="AG303" s="47">
        <v>1107892413</v>
      </c>
      <c r="AH303" s="47">
        <v>1107892413</v>
      </c>
      <c r="AI303" s="47">
        <v>1107892413</v>
      </c>
      <c r="AJ303" s="47">
        <v>1107892413</v>
      </c>
      <c r="AK303" s="47">
        <v>1107892413</v>
      </c>
      <c r="AL303" s="47">
        <v>-144507706</v>
      </c>
      <c r="AM303" s="47">
        <v>-156550015</v>
      </c>
      <c r="AN303" s="47">
        <v>-7262155.7099236641</v>
      </c>
      <c r="AO303" s="47">
        <v>-7262155.7099236641</v>
      </c>
      <c r="AP303" s="47">
        <v>-7262155.7099236641</v>
      </c>
      <c r="AQ303" s="47">
        <v>-7262155.7099236641</v>
      </c>
      <c r="AR303" s="47">
        <v>-7262155.7099236641</v>
      </c>
      <c r="AS303" s="47">
        <v>-7262155.7099236641</v>
      </c>
      <c r="AT303" s="47">
        <v>-7262155.7099236641</v>
      </c>
      <c r="AU303" s="47">
        <v>-7262155.7099236641</v>
      </c>
      <c r="AV303" s="47">
        <v>-7262155.7099236641</v>
      </c>
      <c r="AW303" s="47">
        <v>-7262155.7099236641</v>
      </c>
      <c r="AX303" s="47">
        <v>-7262155.7099236641</v>
      </c>
      <c r="AY303" s="47">
        <v>-7262155.7099236641</v>
      </c>
      <c r="AZ303" s="58">
        <f t="shared" si="15"/>
        <v>-87145868.519083977</v>
      </c>
      <c r="BA303" s="47">
        <f>Y303+SUM($AM303:AM303)</f>
        <v>951342398</v>
      </c>
      <c r="BB303" s="48">
        <f>Z303+SUM($AM303:AN303)</f>
        <v>944080242.29007638</v>
      </c>
      <c r="BC303" s="48">
        <f>AA303+SUM($AM303:AO303)</f>
        <v>936818086.58015275</v>
      </c>
      <c r="BD303" s="48">
        <f>AB303+SUM($AM303:AP303)</f>
        <v>929555930.87022901</v>
      </c>
      <c r="BE303" s="48">
        <f>AC303+SUM($AM303:AQ303)</f>
        <v>922293775.16030538</v>
      </c>
      <c r="BF303" s="48">
        <f>AD303+SUM($AM303:AR303)</f>
        <v>915031619.45038176</v>
      </c>
      <c r="BG303" s="48">
        <f>AE303+SUM($AM303:AS303)</f>
        <v>907769463.74045801</v>
      </c>
      <c r="BH303" s="48">
        <f>AF303+SUM($AM303:AT303)</f>
        <v>900507308.03053439</v>
      </c>
      <c r="BI303" s="48">
        <f>AG303+SUM($AM303:AU303)</f>
        <v>893245152.32061076</v>
      </c>
      <c r="BJ303" s="48">
        <f>AH303+SUM($AM303:AV303)</f>
        <v>885982996.61068714</v>
      </c>
      <c r="BK303" s="48">
        <f>AI303+SUM($AM303:AW303)</f>
        <v>878720840.90076351</v>
      </c>
      <c r="BL303" s="48">
        <f>AJ303+SUM($AM303:AX303)</f>
        <v>871458685.19083977</v>
      </c>
      <c r="BM303" s="48">
        <f>AK303+SUM($AM303:AY303)</f>
        <v>864196529.48091614</v>
      </c>
      <c r="BO303" s="47"/>
    </row>
    <row r="304" spans="3:67" s="41" customFormat="1" hidden="1" x14ac:dyDescent="0.3">
      <c r="C304" s="41" t="s">
        <v>1340</v>
      </c>
      <c r="D304" s="42" t="s">
        <v>355</v>
      </c>
      <c r="E304" s="42" t="str">
        <f t="shared" si="14"/>
        <v>212</v>
      </c>
      <c r="F304" s="41" t="str">
        <f>_xlfn.XLOOKUP($D304,MD_Account_Asset_Type[Nhóm tài sản],MD_Account_Asset_Type[Tên Nhóm tài sản])</f>
        <v>TSCĐ thuê TC: Máy móc, thiết bị - SX 627</v>
      </c>
      <c r="G304" s="41" t="str">
        <f>_xlfn.XLOOKUP($D304,MD_Account_Asset_Type[Nhóm tài sản],MD_Account_Asset_Type[Tên nhóm TS-Rút gọn])</f>
        <v>Máy móc thiết bị thuê tài chính</v>
      </c>
      <c r="H304" s="41" t="str">
        <f>_xlfn.XLOOKUP($D304,MD_Account_Asset_Type[Nhóm tài sản],MD_Account_Asset_Type[Tên nhóm TS-Rút gọn-v2])</f>
        <v>Máy móc thiết bị thuê tài chính</v>
      </c>
      <c r="I304" s="43" t="s">
        <v>1169</v>
      </c>
      <c r="J304" s="42" t="s">
        <v>801</v>
      </c>
      <c r="K304" s="41" t="s">
        <v>1161</v>
      </c>
      <c r="L304" s="42" t="s">
        <v>90</v>
      </c>
      <c r="M304" s="42" t="s">
        <v>165</v>
      </c>
      <c r="N304" s="44">
        <v>0</v>
      </c>
      <c r="O304" s="44"/>
      <c r="P304" s="41" t="s">
        <v>462</v>
      </c>
      <c r="Q304" s="41" t="str">
        <f t="shared" si="13"/>
        <v>627</v>
      </c>
      <c r="R304" s="41" t="str">
        <f>_xlfn.XLOOKUP($L304,MD_Cost_Center[Mã Cost Center],MD_Cost_Center[Ngành])</f>
        <v>HD/PP</v>
      </c>
      <c r="S304" s="41" t="str">
        <f>_xlfn.XLOOKUP($L304,MD_Cost_Center[Mã Cost Center],MD_Cost_Center[Ngành-Tách PET-Xơ sợi])</f>
        <v>HD/PP</v>
      </c>
      <c r="T304" s="45">
        <v>45627</v>
      </c>
      <c r="U304" s="46">
        <v>46722</v>
      </c>
      <c r="V304" s="47">
        <v>144</v>
      </c>
      <c r="W304" s="47">
        <v>596077747</v>
      </c>
      <c r="X304" s="47">
        <v>-2907079.7709923666</v>
      </c>
      <c r="Y304" s="47">
        <v>596077747</v>
      </c>
      <c r="Z304" s="47">
        <v>596077747</v>
      </c>
      <c r="AA304" s="47">
        <v>596077747</v>
      </c>
      <c r="AB304" s="47">
        <v>596077747</v>
      </c>
      <c r="AC304" s="47">
        <v>596077747</v>
      </c>
      <c r="AD304" s="47">
        <v>596077747</v>
      </c>
      <c r="AE304" s="47">
        <v>596077747</v>
      </c>
      <c r="AF304" s="47">
        <v>596077747</v>
      </c>
      <c r="AG304" s="47">
        <v>596077747</v>
      </c>
      <c r="AH304" s="47">
        <v>596077747</v>
      </c>
      <c r="AI304" s="47">
        <v>596077747</v>
      </c>
      <c r="AJ304" s="47">
        <v>596077747</v>
      </c>
      <c r="AK304" s="47">
        <v>596077747</v>
      </c>
      <c r="AL304" s="47">
        <v>-198692582</v>
      </c>
      <c r="AM304" s="47">
        <v>-215250297</v>
      </c>
      <c r="AN304" s="47">
        <v>-2907079.7709923666</v>
      </c>
      <c r="AO304" s="47">
        <v>-2907079.7709923666</v>
      </c>
      <c r="AP304" s="47">
        <v>-2907079.7709923666</v>
      </c>
      <c r="AQ304" s="47">
        <v>-2907079.7709923666</v>
      </c>
      <c r="AR304" s="47">
        <v>-2907079.7709923666</v>
      </c>
      <c r="AS304" s="47">
        <v>-2907079.7709923666</v>
      </c>
      <c r="AT304" s="47">
        <v>-2907079.7709923666</v>
      </c>
      <c r="AU304" s="47">
        <v>-2907079.7709923666</v>
      </c>
      <c r="AV304" s="47">
        <v>-2907079.7709923666</v>
      </c>
      <c r="AW304" s="47">
        <v>-2907079.7709923666</v>
      </c>
      <c r="AX304" s="47">
        <v>-2907079.7709923666</v>
      </c>
      <c r="AY304" s="47">
        <v>-2907079.7709923666</v>
      </c>
      <c r="AZ304" s="58">
        <f t="shared" si="15"/>
        <v>-34884957.251908407</v>
      </c>
      <c r="BA304" s="47">
        <f>Y304+SUM($AM304:AM304)</f>
        <v>380827450</v>
      </c>
      <c r="BB304" s="48">
        <f>Z304+SUM($AM304:AN304)</f>
        <v>377920370.2290076</v>
      </c>
      <c r="BC304" s="48">
        <f>AA304+SUM($AM304:AO304)</f>
        <v>375013290.45801526</v>
      </c>
      <c r="BD304" s="48">
        <f>AB304+SUM($AM304:AP304)</f>
        <v>372106210.68702292</v>
      </c>
      <c r="BE304" s="48">
        <f>AC304+SUM($AM304:AQ304)</f>
        <v>369199130.91603053</v>
      </c>
      <c r="BF304" s="48">
        <f>AD304+SUM($AM304:AR304)</f>
        <v>366292051.14503813</v>
      </c>
      <c r="BG304" s="48">
        <f>AE304+SUM($AM304:AS304)</f>
        <v>363384971.37404579</v>
      </c>
      <c r="BH304" s="48">
        <f>AF304+SUM($AM304:AT304)</f>
        <v>360477891.60305345</v>
      </c>
      <c r="BI304" s="48">
        <f>AG304+SUM($AM304:AU304)</f>
        <v>357570811.83206105</v>
      </c>
      <c r="BJ304" s="48">
        <f>AH304+SUM($AM304:AV304)</f>
        <v>354663732.06106865</v>
      </c>
      <c r="BK304" s="48">
        <f>AI304+SUM($AM304:AW304)</f>
        <v>351756652.29007632</v>
      </c>
      <c r="BL304" s="48">
        <f>AJ304+SUM($AM304:AX304)</f>
        <v>348849572.51908398</v>
      </c>
      <c r="BM304" s="48">
        <f>AK304+SUM($AM304:AY304)</f>
        <v>345942492.74809158</v>
      </c>
      <c r="BO304" s="47"/>
    </row>
    <row r="305" spans="3:67" s="41" customFormat="1" hidden="1" x14ac:dyDescent="0.3">
      <c r="C305" s="41" t="s">
        <v>1340</v>
      </c>
      <c r="D305" s="42" t="s">
        <v>355</v>
      </c>
      <c r="E305" s="42" t="str">
        <f t="shared" si="14"/>
        <v>212</v>
      </c>
      <c r="F305" s="41" t="str">
        <f>_xlfn.XLOOKUP($D305,MD_Account_Asset_Type[Nhóm tài sản],MD_Account_Asset_Type[Tên Nhóm tài sản])</f>
        <v>TSCĐ thuê TC: Máy móc, thiết bị - SX 627</v>
      </c>
      <c r="G305" s="41" t="str">
        <f>_xlfn.XLOOKUP($D305,MD_Account_Asset_Type[Nhóm tài sản],MD_Account_Asset_Type[Tên nhóm TS-Rút gọn])</f>
        <v>Máy móc thiết bị thuê tài chính</v>
      </c>
      <c r="H305" s="41" t="str">
        <f>_xlfn.XLOOKUP($D305,MD_Account_Asset_Type[Nhóm tài sản],MD_Account_Asset_Type[Tên nhóm TS-Rút gọn-v2])</f>
        <v>Máy móc thiết bị thuê tài chính</v>
      </c>
      <c r="I305" s="43" t="s">
        <v>1170</v>
      </c>
      <c r="J305" s="42" t="s">
        <v>802</v>
      </c>
      <c r="K305" s="41" t="s">
        <v>1161</v>
      </c>
      <c r="L305" s="42" t="s">
        <v>63</v>
      </c>
      <c r="M305" s="42" t="s">
        <v>138</v>
      </c>
      <c r="N305" s="44" t="s">
        <v>256</v>
      </c>
      <c r="O305" s="44"/>
      <c r="P305" s="41" t="s">
        <v>462</v>
      </c>
      <c r="Q305" s="41" t="str">
        <f t="shared" si="13"/>
        <v>627</v>
      </c>
      <c r="R305" s="41" t="str">
        <f>_xlfn.XLOOKUP($L305,MD_Cost_Center[Mã Cost Center],MD_Cost_Center[Ngành])</f>
        <v>HD/PP</v>
      </c>
      <c r="S305" s="41" t="str">
        <f>_xlfn.XLOOKUP($L305,MD_Cost_Center[Mã Cost Center],MD_Cost_Center[Ngành-Tách PET-Xơ sợi])</f>
        <v>HD/PP</v>
      </c>
      <c r="T305" s="45">
        <v>45627</v>
      </c>
      <c r="U305" s="46">
        <v>46753</v>
      </c>
      <c r="V305" s="47">
        <v>144</v>
      </c>
      <c r="W305" s="47">
        <v>2648137998</v>
      </c>
      <c r="X305" s="47">
        <v>-13112298.732824428</v>
      </c>
      <c r="Y305" s="47">
        <v>2648137998</v>
      </c>
      <c r="Z305" s="47">
        <v>2648137998</v>
      </c>
      <c r="AA305" s="47">
        <v>2648137998</v>
      </c>
      <c r="AB305" s="47">
        <v>2648137998</v>
      </c>
      <c r="AC305" s="47">
        <v>2648137998</v>
      </c>
      <c r="AD305" s="47">
        <v>2648137998</v>
      </c>
      <c r="AE305" s="47">
        <v>2648137998</v>
      </c>
      <c r="AF305" s="47">
        <v>2648137998</v>
      </c>
      <c r="AG305" s="47">
        <v>2648137998</v>
      </c>
      <c r="AH305" s="47">
        <v>2648137998</v>
      </c>
      <c r="AI305" s="47">
        <v>2648137998</v>
      </c>
      <c r="AJ305" s="47">
        <v>2648137998</v>
      </c>
      <c r="AK305" s="47">
        <v>2648137998</v>
      </c>
      <c r="AL305" s="47">
        <v>-858855567</v>
      </c>
      <c r="AM305" s="47">
        <v>-930426864</v>
      </c>
      <c r="AN305" s="47">
        <v>-13112298.732824428</v>
      </c>
      <c r="AO305" s="47">
        <v>-13112298.732824428</v>
      </c>
      <c r="AP305" s="47">
        <v>-13112298.732824428</v>
      </c>
      <c r="AQ305" s="47">
        <v>-13112298.732824428</v>
      </c>
      <c r="AR305" s="47">
        <v>-13112298.732824428</v>
      </c>
      <c r="AS305" s="47">
        <v>-13112298.732824428</v>
      </c>
      <c r="AT305" s="47">
        <v>-13112298.732824428</v>
      </c>
      <c r="AU305" s="47">
        <v>-13112298.732824428</v>
      </c>
      <c r="AV305" s="47">
        <v>-13112298.732824428</v>
      </c>
      <c r="AW305" s="47">
        <v>-13112298.732824428</v>
      </c>
      <c r="AX305" s="47">
        <v>-13112298.732824428</v>
      </c>
      <c r="AY305" s="47">
        <v>-13112298.732824428</v>
      </c>
      <c r="AZ305" s="58">
        <f t="shared" si="15"/>
        <v>-157347584.79389313</v>
      </c>
      <c r="BA305" s="47">
        <f>Y305+SUM($AM305:AM305)</f>
        <v>1717711134</v>
      </c>
      <c r="BB305" s="48">
        <f>Z305+SUM($AM305:AN305)</f>
        <v>1704598835.2671757</v>
      </c>
      <c r="BC305" s="48">
        <f>AA305+SUM($AM305:AO305)</f>
        <v>1691486536.5343511</v>
      </c>
      <c r="BD305" s="48">
        <f>AB305+SUM($AM305:AP305)</f>
        <v>1678374237.8015265</v>
      </c>
      <c r="BE305" s="48">
        <f>AC305+SUM($AM305:AQ305)</f>
        <v>1665261939.0687022</v>
      </c>
      <c r="BF305" s="48">
        <f>AD305+SUM($AM305:AR305)</f>
        <v>1652149640.3358779</v>
      </c>
      <c r="BG305" s="48">
        <f>AE305+SUM($AM305:AS305)</f>
        <v>1639037341.6030533</v>
      </c>
      <c r="BH305" s="48">
        <f>AF305+SUM($AM305:AT305)</f>
        <v>1625925042.8702288</v>
      </c>
      <c r="BI305" s="48">
        <f>AG305+SUM($AM305:AU305)</f>
        <v>1612812744.1374044</v>
      </c>
      <c r="BJ305" s="48">
        <f>AH305+SUM($AM305:AV305)</f>
        <v>1599700445.4045801</v>
      </c>
      <c r="BK305" s="48">
        <f>AI305+SUM($AM305:AW305)</f>
        <v>1586588146.6717556</v>
      </c>
      <c r="BL305" s="48">
        <f>AJ305+SUM($AM305:AX305)</f>
        <v>1573475847.9389312</v>
      </c>
      <c r="BM305" s="48">
        <f>AK305+SUM($AM305:AY305)</f>
        <v>1560363549.2061069</v>
      </c>
      <c r="BO305" s="47"/>
    </row>
    <row r="306" spans="3:67" s="41" customFormat="1" hidden="1" x14ac:dyDescent="0.3">
      <c r="C306" s="41" t="s">
        <v>1340</v>
      </c>
      <c r="D306" s="42" t="s">
        <v>357</v>
      </c>
      <c r="E306" s="42" t="str">
        <f t="shared" si="14"/>
        <v>212</v>
      </c>
      <c r="F306" s="41" t="str">
        <f>_xlfn.XLOOKUP($D306,MD_Account_Asset_Type[Nhóm tài sản],MD_Account_Asset_Type[Tên Nhóm tài sản])</f>
        <v>TSCĐ thuê TC: Phương tiện vận tải, truyền dẫn - SX 627</v>
      </c>
      <c r="G306" s="41" t="str">
        <f>_xlfn.XLOOKUP($D306,MD_Account_Asset_Type[Nhóm tài sản],MD_Account_Asset_Type[Tên nhóm TS-Rút gọn])</f>
        <v>Phương tiện vận tải thuê tài chính</v>
      </c>
      <c r="H306" s="41" t="str">
        <f>_xlfn.XLOOKUP($D306,MD_Account_Asset_Type[Nhóm tài sản],MD_Account_Asset_Type[Tên nhóm TS-Rút gọn-v2])</f>
        <v>Phương tiện vận tải thuê tài chính</v>
      </c>
      <c r="I306" s="43" t="s">
        <v>1185</v>
      </c>
      <c r="J306" s="42" t="s">
        <v>803</v>
      </c>
      <c r="K306" s="41" t="s">
        <v>1161</v>
      </c>
      <c r="L306" s="42" t="s">
        <v>48</v>
      </c>
      <c r="M306" s="42" t="s">
        <v>123</v>
      </c>
      <c r="N306" s="44">
        <v>0</v>
      </c>
      <c r="O306" s="44"/>
      <c r="P306" s="41" t="s">
        <v>463</v>
      </c>
      <c r="Q306" s="41" t="str">
        <f t="shared" si="13"/>
        <v>627</v>
      </c>
      <c r="R306" s="41" t="str">
        <f>_xlfn.XLOOKUP($L306,MD_Cost_Center[Mã Cost Center],MD_Cost_Center[Ngành])</f>
        <v>PET</v>
      </c>
      <c r="S306" s="41" t="str">
        <f>_xlfn.XLOOKUP($L306,MD_Cost_Center[Mã Cost Center],MD_Cost_Center[Ngành-Tách PET-Xơ sợi])</f>
        <v>Chung-PET</v>
      </c>
      <c r="T306" s="45">
        <v>45627</v>
      </c>
      <c r="U306" s="46">
        <v>46054</v>
      </c>
      <c r="V306" s="47">
        <v>120</v>
      </c>
      <c r="W306" s="47">
        <v>210526315</v>
      </c>
      <c r="X306" s="47">
        <v>-140538.261682243</v>
      </c>
      <c r="Y306" s="47">
        <v>210526315</v>
      </c>
      <c r="Z306" s="47">
        <v>210526315</v>
      </c>
      <c r="AA306" s="47">
        <v>210526315</v>
      </c>
      <c r="AB306" s="47">
        <v>210526315</v>
      </c>
      <c r="AC306" s="47">
        <v>210526315</v>
      </c>
      <c r="AD306" s="47">
        <v>210526315</v>
      </c>
      <c r="AE306" s="47">
        <v>210526315</v>
      </c>
      <c r="AF306" s="47">
        <v>210526315</v>
      </c>
      <c r="AG306" s="47">
        <v>210526315</v>
      </c>
      <c r="AH306" s="47">
        <v>210526315</v>
      </c>
      <c r="AI306" s="47">
        <v>210526315</v>
      </c>
      <c r="AJ306" s="47">
        <v>210526315</v>
      </c>
      <c r="AK306" s="47">
        <v>210526315</v>
      </c>
      <c r="AL306" s="47">
        <v>-180451127</v>
      </c>
      <c r="AM306" s="47">
        <v>-195488721</v>
      </c>
      <c r="AN306" s="47">
        <v>-140538.261682243</v>
      </c>
      <c r="AO306" s="47">
        <v>-140538.261682243</v>
      </c>
      <c r="AP306" s="47">
        <v>-140538.261682243</v>
      </c>
      <c r="AQ306" s="47">
        <v>-140538.261682243</v>
      </c>
      <c r="AR306" s="47">
        <v>-140538.261682243</v>
      </c>
      <c r="AS306" s="47">
        <v>-140538.261682243</v>
      </c>
      <c r="AT306" s="47">
        <v>-140538.261682243</v>
      </c>
      <c r="AU306" s="47">
        <v>-140538.261682243</v>
      </c>
      <c r="AV306" s="47">
        <v>-140538.261682243</v>
      </c>
      <c r="AW306" s="47">
        <v>-140538.261682243</v>
      </c>
      <c r="AX306" s="47">
        <v>-140538.261682243</v>
      </c>
      <c r="AY306" s="47">
        <v>-140538.261682243</v>
      </c>
      <c r="AZ306" s="58">
        <f t="shared" si="15"/>
        <v>-1686459.1401869163</v>
      </c>
      <c r="BA306" s="47">
        <f>Y306+SUM($AM306:AM306)</f>
        <v>15037594</v>
      </c>
      <c r="BB306" s="48">
        <f>Z306+SUM($AM306:AN306)</f>
        <v>14897055.738317758</v>
      </c>
      <c r="BC306" s="48">
        <f>AA306+SUM($AM306:AO306)</f>
        <v>14756517.476635516</v>
      </c>
      <c r="BD306" s="48">
        <f>AB306+SUM($AM306:AP306)</f>
        <v>14615979.214953274</v>
      </c>
      <c r="BE306" s="48">
        <f>AC306+SUM($AM306:AQ306)</f>
        <v>14475440.953271031</v>
      </c>
      <c r="BF306" s="48">
        <f>AD306+SUM($AM306:AR306)</f>
        <v>14334902.691588789</v>
      </c>
      <c r="BG306" s="48">
        <f>AE306+SUM($AM306:AS306)</f>
        <v>14194364.429906547</v>
      </c>
      <c r="BH306" s="48">
        <f>AF306+SUM($AM306:AT306)</f>
        <v>14053826.168224305</v>
      </c>
      <c r="BI306" s="48">
        <f>AG306+SUM($AM306:AU306)</f>
        <v>13913287.906542063</v>
      </c>
      <c r="BJ306" s="48">
        <f>AH306+SUM($AM306:AV306)</f>
        <v>13772749.644859821</v>
      </c>
      <c r="BK306" s="48">
        <f>AI306+SUM($AM306:AW306)</f>
        <v>13632211.383177578</v>
      </c>
      <c r="BL306" s="48">
        <f>AJ306+SUM($AM306:AX306)</f>
        <v>13491673.121495336</v>
      </c>
      <c r="BM306" s="48">
        <f>AK306+SUM($AM306:AY306)</f>
        <v>13351134.859813094</v>
      </c>
      <c r="BO306" s="47"/>
    </row>
    <row r="307" spans="3:67" s="41" customFormat="1" hidden="1" x14ac:dyDescent="0.3">
      <c r="C307" s="41" t="s">
        <v>1340</v>
      </c>
      <c r="D307" s="42" t="s">
        <v>357</v>
      </c>
      <c r="E307" s="42" t="str">
        <f t="shared" si="14"/>
        <v>212</v>
      </c>
      <c r="F307" s="41" t="str">
        <f>_xlfn.XLOOKUP($D307,MD_Account_Asset_Type[Nhóm tài sản],MD_Account_Asset_Type[Tên Nhóm tài sản])</f>
        <v>TSCĐ thuê TC: Phương tiện vận tải, truyền dẫn - SX 627</v>
      </c>
      <c r="G307" s="41" t="str">
        <f>_xlfn.XLOOKUP($D307,MD_Account_Asset_Type[Nhóm tài sản],MD_Account_Asset_Type[Tên nhóm TS-Rút gọn])</f>
        <v>Phương tiện vận tải thuê tài chính</v>
      </c>
      <c r="H307" s="41" t="str">
        <f>_xlfn.XLOOKUP($D307,MD_Account_Asset_Type[Nhóm tài sản],MD_Account_Asset_Type[Tên nhóm TS-Rút gọn-v2])</f>
        <v>Phương tiện vận tải thuê tài chính</v>
      </c>
      <c r="I307" s="43" t="s">
        <v>1186</v>
      </c>
      <c r="J307" s="42" t="s">
        <v>804</v>
      </c>
      <c r="K307" s="41" t="s">
        <v>1161</v>
      </c>
      <c r="L307" s="42" t="s">
        <v>48</v>
      </c>
      <c r="M307" s="42" t="s">
        <v>123</v>
      </c>
      <c r="N307" s="44">
        <v>0</v>
      </c>
      <c r="O307" s="44"/>
      <c r="P307" s="41" t="s">
        <v>463</v>
      </c>
      <c r="Q307" s="41" t="str">
        <f t="shared" si="13"/>
        <v>627</v>
      </c>
      <c r="R307" s="41" t="str">
        <f>_xlfn.XLOOKUP($L307,MD_Cost_Center[Mã Cost Center],MD_Cost_Center[Ngành])</f>
        <v>PET</v>
      </c>
      <c r="S307" s="41" t="str">
        <f>_xlfn.XLOOKUP($L307,MD_Cost_Center[Mã Cost Center],MD_Cost_Center[Ngành-Tách PET-Xơ sợi])</f>
        <v>Chung-PET</v>
      </c>
      <c r="T307" s="45">
        <v>45627</v>
      </c>
      <c r="U307" s="46">
        <v>46784</v>
      </c>
      <c r="V307" s="47">
        <v>120</v>
      </c>
      <c r="W307" s="47">
        <v>292916667</v>
      </c>
      <c r="X307" s="47">
        <v>-1801012.4672897197</v>
      </c>
      <c r="Y307" s="47">
        <v>292916667</v>
      </c>
      <c r="Z307" s="47">
        <v>292916667</v>
      </c>
      <c r="AA307" s="47">
        <v>292916667</v>
      </c>
      <c r="AB307" s="47">
        <v>292916667</v>
      </c>
      <c r="AC307" s="47">
        <v>292916667</v>
      </c>
      <c r="AD307" s="47">
        <v>292916667</v>
      </c>
      <c r="AE307" s="47">
        <v>292916667</v>
      </c>
      <c r="AF307" s="47">
        <v>292916667</v>
      </c>
      <c r="AG307" s="47">
        <v>292916667</v>
      </c>
      <c r="AH307" s="47">
        <v>292916667</v>
      </c>
      <c r="AI307" s="47">
        <v>292916667</v>
      </c>
      <c r="AJ307" s="47">
        <v>292916667</v>
      </c>
      <c r="AK307" s="47">
        <v>292916667</v>
      </c>
      <c r="AL307" s="47">
        <v>-92500000</v>
      </c>
      <c r="AM307" s="47">
        <v>-100208333</v>
      </c>
      <c r="AN307" s="47">
        <v>-1801012.4672897197</v>
      </c>
      <c r="AO307" s="47">
        <v>-1801012.4672897197</v>
      </c>
      <c r="AP307" s="47">
        <v>-1801012.4672897197</v>
      </c>
      <c r="AQ307" s="47">
        <v>-1801012.4672897197</v>
      </c>
      <c r="AR307" s="47">
        <v>-1801012.4672897197</v>
      </c>
      <c r="AS307" s="47">
        <v>-1801012.4672897197</v>
      </c>
      <c r="AT307" s="47">
        <v>-1801012.4672897197</v>
      </c>
      <c r="AU307" s="47">
        <v>-1801012.4672897197</v>
      </c>
      <c r="AV307" s="47">
        <v>-1801012.4672897197</v>
      </c>
      <c r="AW307" s="47">
        <v>-1801012.4672897197</v>
      </c>
      <c r="AX307" s="47">
        <v>-1801012.4672897197</v>
      </c>
      <c r="AY307" s="47">
        <v>-1801012.4672897197</v>
      </c>
      <c r="AZ307" s="58">
        <f t="shared" si="15"/>
        <v>-21612149.607476637</v>
      </c>
      <c r="BA307" s="47">
        <f>Y307+SUM($AM307:AM307)</f>
        <v>192708334</v>
      </c>
      <c r="BB307" s="48">
        <f>Z307+SUM($AM307:AN307)</f>
        <v>190907321.53271028</v>
      </c>
      <c r="BC307" s="48">
        <f>AA307+SUM($AM307:AO307)</f>
        <v>189106309.06542057</v>
      </c>
      <c r="BD307" s="48">
        <f>AB307+SUM($AM307:AP307)</f>
        <v>187305296.59813085</v>
      </c>
      <c r="BE307" s="48">
        <f>AC307+SUM($AM307:AQ307)</f>
        <v>185504284.13084114</v>
      </c>
      <c r="BF307" s="48">
        <f>AD307+SUM($AM307:AR307)</f>
        <v>183703271.66355142</v>
      </c>
      <c r="BG307" s="48">
        <f>AE307+SUM($AM307:AS307)</f>
        <v>181902259.1962617</v>
      </c>
      <c r="BH307" s="48">
        <f>AF307+SUM($AM307:AT307)</f>
        <v>180101246.72897199</v>
      </c>
      <c r="BI307" s="48">
        <f>AG307+SUM($AM307:AU307)</f>
        <v>178300234.26168227</v>
      </c>
      <c r="BJ307" s="48">
        <f>AH307+SUM($AM307:AV307)</f>
        <v>176499221.79439256</v>
      </c>
      <c r="BK307" s="48">
        <f>AI307+SUM($AM307:AW307)</f>
        <v>174698209.32710284</v>
      </c>
      <c r="BL307" s="48">
        <f>AJ307+SUM($AM307:AX307)</f>
        <v>172897196.85981312</v>
      </c>
      <c r="BM307" s="48">
        <f>AK307+SUM($AM307:AY307)</f>
        <v>171096184.39252341</v>
      </c>
      <c r="BO307" s="47"/>
    </row>
    <row r="308" spans="3:67" s="41" customFormat="1" hidden="1" x14ac:dyDescent="0.3">
      <c r="C308" s="41" t="s">
        <v>1340</v>
      </c>
      <c r="D308" s="42" t="s">
        <v>357</v>
      </c>
      <c r="E308" s="42" t="str">
        <f t="shared" si="14"/>
        <v>212</v>
      </c>
      <c r="F308" s="41" t="str">
        <f>_xlfn.XLOOKUP($D308,MD_Account_Asset_Type[Nhóm tài sản],MD_Account_Asset_Type[Tên Nhóm tài sản])</f>
        <v>TSCĐ thuê TC: Phương tiện vận tải, truyền dẫn - SX 627</v>
      </c>
      <c r="G308" s="41" t="str">
        <f>_xlfn.XLOOKUP($D308,MD_Account_Asset_Type[Nhóm tài sản],MD_Account_Asset_Type[Tên nhóm TS-Rút gọn])</f>
        <v>Phương tiện vận tải thuê tài chính</v>
      </c>
      <c r="H308" s="41" t="str">
        <f>_xlfn.XLOOKUP($D308,MD_Account_Asset_Type[Nhóm tài sản],MD_Account_Asset_Type[Tên nhóm TS-Rút gọn-v2])</f>
        <v>Phương tiện vận tải thuê tài chính</v>
      </c>
      <c r="I308" s="43" t="s">
        <v>1187</v>
      </c>
      <c r="J308" s="42" t="s">
        <v>805</v>
      </c>
      <c r="K308" s="41" t="s">
        <v>1161</v>
      </c>
      <c r="L308" s="42" t="s">
        <v>48</v>
      </c>
      <c r="M308" s="42" t="s">
        <v>123</v>
      </c>
      <c r="N308" s="44">
        <v>0</v>
      </c>
      <c r="O308" s="44"/>
      <c r="P308" s="41" t="s">
        <v>463</v>
      </c>
      <c r="Q308" s="41" t="str">
        <f t="shared" si="13"/>
        <v>627</v>
      </c>
      <c r="R308" s="41" t="str">
        <f>_xlfn.XLOOKUP($L308,MD_Cost_Center[Mã Cost Center],MD_Cost_Center[Ngành])</f>
        <v>PET</v>
      </c>
      <c r="S308" s="41" t="str">
        <f>_xlfn.XLOOKUP($L308,MD_Cost_Center[Mã Cost Center],MD_Cost_Center[Ngành-Tách PET-Xơ sợi])</f>
        <v>Chung-PET</v>
      </c>
      <c r="T308" s="45">
        <v>45627</v>
      </c>
      <c r="U308" s="46">
        <v>46844</v>
      </c>
      <c r="V308" s="47">
        <v>120</v>
      </c>
      <c r="W308" s="47">
        <v>301000000</v>
      </c>
      <c r="X308" s="47">
        <v>-1898831.7757009345</v>
      </c>
      <c r="Y308" s="47">
        <v>301000000</v>
      </c>
      <c r="Z308" s="47">
        <v>301000000</v>
      </c>
      <c r="AA308" s="47">
        <v>301000000</v>
      </c>
      <c r="AB308" s="47">
        <v>301000000</v>
      </c>
      <c r="AC308" s="47">
        <v>301000000</v>
      </c>
      <c r="AD308" s="47">
        <v>301000000</v>
      </c>
      <c r="AE308" s="47">
        <v>301000000</v>
      </c>
      <c r="AF308" s="47">
        <v>301000000</v>
      </c>
      <c r="AG308" s="47">
        <v>301000000</v>
      </c>
      <c r="AH308" s="47">
        <v>301000000</v>
      </c>
      <c r="AI308" s="47">
        <v>301000000</v>
      </c>
      <c r="AJ308" s="47">
        <v>301000000</v>
      </c>
      <c r="AK308" s="47">
        <v>301000000</v>
      </c>
      <c r="AL308" s="47">
        <v>-90300000</v>
      </c>
      <c r="AM308" s="47">
        <v>-97825000</v>
      </c>
      <c r="AN308" s="47">
        <v>-1898831.7757009345</v>
      </c>
      <c r="AO308" s="47">
        <v>-1898831.7757009345</v>
      </c>
      <c r="AP308" s="47">
        <v>-1898831.7757009345</v>
      </c>
      <c r="AQ308" s="47">
        <v>-1898831.7757009345</v>
      </c>
      <c r="AR308" s="47">
        <v>-1898831.7757009345</v>
      </c>
      <c r="AS308" s="47">
        <v>-1898831.7757009345</v>
      </c>
      <c r="AT308" s="47">
        <v>-1898831.7757009345</v>
      </c>
      <c r="AU308" s="47">
        <v>-1898831.7757009345</v>
      </c>
      <c r="AV308" s="47">
        <v>-1898831.7757009345</v>
      </c>
      <c r="AW308" s="47">
        <v>-1898831.7757009345</v>
      </c>
      <c r="AX308" s="47">
        <v>-1898831.7757009345</v>
      </c>
      <c r="AY308" s="47">
        <v>-1898831.7757009345</v>
      </c>
      <c r="AZ308" s="58">
        <f t="shared" si="15"/>
        <v>-22785981.308411215</v>
      </c>
      <c r="BA308" s="47">
        <f>Y308+SUM($AM308:AM308)</f>
        <v>203175000</v>
      </c>
      <c r="BB308" s="48">
        <f>Z308+SUM($AM308:AN308)</f>
        <v>201276168.22429907</v>
      </c>
      <c r="BC308" s="48">
        <f>AA308+SUM($AM308:AO308)</f>
        <v>199377336.44859812</v>
      </c>
      <c r="BD308" s="48">
        <f>AB308+SUM($AM308:AP308)</f>
        <v>197478504.67289716</v>
      </c>
      <c r="BE308" s="48">
        <f>AC308+SUM($AM308:AQ308)</f>
        <v>195579672.89719623</v>
      </c>
      <c r="BF308" s="48">
        <f>AD308+SUM($AM308:AR308)</f>
        <v>193680841.12149531</v>
      </c>
      <c r="BG308" s="48">
        <f>AE308+SUM($AM308:AS308)</f>
        <v>191782009.34579435</v>
      </c>
      <c r="BH308" s="48">
        <f>AF308+SUM($AM308:AT308)</f>
        <v>189883177.57009339</v>
      </c>
      <c r="BI308" s="48">
        <f>AG308+SUM($AM308:AU308)</f>
        <v>187984345.79439247</v>
      </c>
      <c r="BJ308" s="48">
        <f>AH308+SUM($AM308:AV308)</f>
        <v>186085514.01869154</v>
      </c>
      <c r="BK308" s="48">
        <f>AI308+SUM($AM308:AW308)</f>
        <v>184186682.24299058</v>
      </c>
      <c r="BL308" s="48">
        <f>AJ308+SUM($AM308:AX308)</f>
        <v>182287850.46728963</v>
      </c>
      <c r="BM308" s="48">
        <f>AK308+SUM($AM308:AY308)</f>
        <v>180389018.6915887</v>
      </c>
      <c r="BO308" s="47"/>
    </row>
    <row r="309" spans="3:67" s="41" customFormat="1" hidden="1" x14ac:dyDescent="0.3">
      <c r="C309" s="41" t="s">
        <v>1340</v>
      </c>
      <c r="D309" s="42" t="s">
        <v>357</v>
      </c>
      <c r="E309" s="42" t="str">
        <f t="shared" si="14"/>
        <v>212</v>
      </c>
      <c r="F309" s="41" t="str">
        <f>_xlfn.XLOOKUP($D309,MD_Account_Asset_Type[Nhóm tài sản],MD_Account_Asset_Type[Tên Nhóm tài sản])</f>
        <v>TSCĐ thuê TC: Phương tiện vận tải, truyền dẫn - SX 627</v>
      </c>
      <c r="G309" s="41" t="str">
        <f>_xlfn.XLOOKUP($D309,MD_Account_Asset_Type[Nhóm tài sản],MD_Account_Asset_Type[Tên nhóm TS-Rút gọn])</f>
        <v>Phương tiện vận tải thuê tài chính</v>
      </c>
      <c r="H309" s="41" t="str">
        <f>_xlfn.XLOOKUP($D309,MD_Account_Asset_Type[Nhóm tài sản],MD_Account_Asset_Type[Tên nhóm TS-Rút gọn-v2])</f>
        <v>Phương tiện vận tải thuê tài chính</v>
      </c>
      <c r="I309" s="43" t="s">
        <v>1188</v>
      </c>
      <c r="J309" s="42" t="s">
        <v>806</v>
      </c>
      <c r="K309" s="41" t="s">
        <v>1161</v>
      </c>
      <c r="L309" s="42" t="s">
        <v>48</v>
      </c>
      <c r="M309" s="42" t="s">
        <v>123</v>
      </c>
      <c r="N309" s="44">
        <v>0</v>
      </c>
      <c r="O309" s="44"/>
      <c r="P309" s="41" t="s">
        <v>463</v>
      </c>
      <c r="Q309" s="41" t="str">
        <f t="shared" si="13"/>
        <v>627</v>
      </c>
      <c r="R309" s="41" t="str">
        <f>_xlfn.XLOOKUP($L309,MD_Cost_Center[Mã Cost Center],MD_Cost_Center[Ngành])</f>
        <v>PET</v>
      </c>
      <c r="S309" s="41" t="str">
        <f>_xlfn.XLOOKUP($L309,MD_Cost_Center[Mã Cost Center],MD_Cost_Center[Ngành-Tách PET-Xơ sợi])</f>
        <v>Chung-PET</v>
      </c>
      <c r="T309" s="45">
        <v>45627</v>
      </c>
      <c r="U309" s="46">
        <v>46905</v>
      </c>
      <c r="V309" s="47">
        <v>120</v>
      </c>
      <c r="W309" s="47">
        <v>177833334</v>
      </c>
      <c r="X309" s="47">
        <v>-1147567.1308411215</v>
      </c>
      <c r="Y309" s="47">
        <v>177833334</v>
      </c>
      <c r="Z309" s="47">
        <v>177833334</v>
      </c>
      <c r="AA309" s="47">
        <v>177833334</v>
      </c>
      <c r="AB309" s="47">
        <v>177833334</v>
      </c>
      <c r="AC309" s="47">
        <v>177833334</v>
      </c>
      <c r="AD309" s="47">
        <v>177833334</v>
      </c>
      <c r="AE309" s="47">
        <v>177833334</v>
      </c>
      <c r="AF309" s="47">
        <v>177833334</v>
      </c>
      <c r="AG309" s="47">
        <v>177833334</v>
      </c>
      <c r="AH309" s="47">
        <v>177833334</v>
      </c>
      <c r="AI309" s="47">
        <v>177833334</v>
      </c>
      <c r="AJ309" s="47">
        <v>177833334</v>
      </c>
      <c r="AK309" s="47">
        <v>177833334</v>
      </c>
      <c r="AL309" s="47">
        <v>-50809524</v>
      </c>
      <c r="AM309" s="47">
        <v>-55043651</v>
      </c>
      <c r="AN309" s="47">
        <v>-1147567.1308411215</v>
      </c>
      <c r="AO309" s="47">
        <v>-1147567.1308411215</v>
      </c>
      <c r="AP309" s="47">
        <v>-1147567.1308411215</v>
      </c>
      <c r="AQ309" s="47">
        <v>-1147567.1308411215</v>
      </c>
      <c r="AR309" s="47">
        <v>-1147567.1308411215</v>
      </c>
      <c r="AS309" s="47">
        <v>-1147567.1308411215</v>
      </c>
      <c r="AT309" s="47">
        <v>-1147567.1308411215</v>
      </c>
      <c r="AU309" s="47">
        <v>-1147567.1308411215</v>
      </c>
      <c r="AV309" s="47">
        <v>-1147567.1308411215</v>
      </c>
      <c r="AW309" s="47">
        <v>-1147567.1308411215</v>
      </c>
      <c r="AX309" s="47">
        <v>-1147567.1308411215</v>
      </c>
      <c r="AY309" s="47">
        <v>-1147567.1308411215</v>
      </c>
      <c r="AZ309" s="58">
        <f t="shared" si="15"/>
        <v>-13770805.570093455</v>
      </c>
      <c r="BA309" s="47">
        <f>Y309+SUM($AM309:AM309)</f>
        <v>122789683</v>
      </c>
      <c r="BB309" s="48">
        <f>Z309+SUM($AM309:AN309)</f>
        <v>121642115.86915888</v>
      </c>
      <c r="BC309" s="48">
        <f>AA309+SUM($AM309:AO309)</f>
        <v>120494548.73831776</v>
      </c>
      <c r="BD309" s="48">
        <f>AB309+SUM($AM309:AP309)</f>
        <v>119346981.60747664</v>
      </c>
      <c r="BE309" s="48">
        <f>AC309+SUM($AM309:AQ309)</f>
        <v>118199414.47663552</v>
      </c>
      <c r="BF309" s="48">
        <f>AD309+SUM($AM309:AR309)</f>
        <v>117051847.34579439</v>
      </c>
      <c r="BG309" s="48">
        <f>AE309+SUM($AM309:AS309)</f>
        <v>115904280.21495327</v>
      </c>
      <c r="BH309" s="48">
        <f>AF309+SUM($AM309:AT309)</f>
        <v>114756713.08411215</v>
      </c>
      <c r="BI309" s="48">
        <f>AG309+SUM($AM309:AU309)</f>
        <v>113609145.95327103</v>
      </c>
      <c r="BJ309" s="48">
        <f>AH309+SUM($AM309:AV309)</f>
        <v>112461578.82242991</v>
      </c>
      <c r="BK309" s="48">
        <f>AI309+SUM($AM309:AW309)</f>
        <v>111314011.69158879</v>
      </c>
      <c r="BL309" s="48">
        <f>AJ309+SUM($AM309:AX309)</f>
        <v>110166444.56074767</v>
      </c>
      <c r="BM309" s="48">
        <f>AK309+SUM($AM309:AY309)</f>
        <v>109018877.42990655</v>
      </c>
      <c r="BO309" s="47"/>
    </row>
    <row r="310" spans="3:67" s="41" customFormat="1" hidden="1" x14ac:dyDescent="0.3">
      <c r="C310" s="41" t="s">
        <v>1340</v>
      </c>
      <c r="D310" s="42" t="s">
        <v>357</v>
      </c>
      <c r="E310" s="42" t="str">
        <f t="shared" si="14"/>
        <v>212</v>
      </c>
      <c r="F310" s="41" t="str">
        <f>_xlfn.XLOOKUP($D310,MD_Account_Asset_Type[Nhóm tài sản],MD_Account_Asset_Type[Tên Nhóm tài sản])</f>
        <v>TSCĐ thuê TC: Phương tiện vận tải, truyền dẫn - SX 627</v>
      </c>
      <c r="G310" s="41" t="str">
        <f>_xlfn.XLOOKUP($D310,MD_Account_Asset_Type[Nhóm tài sản],MD_Account_Asset_Type[Tên nhóm TS-Rút gọn])</f>
        <v>Phương tiện vận tải thuê tài chính</v>
      </c>
      <c r="H310" s="41" t="str">
        <f>_xlfn.XLOOKUP($D310,MD_Account_Asset_Type[Nhóm tài sản],MD_Account_Asset_Type[Tên nhóm TS-Rút gọn-v2])</f>
        <v>Phương tiện vận tải thuê tài chính</v>
      </c>
      <c r="I310" s="43" t="s">
        <v>1189</v>
      </c>
      <c r="J310" s="42" t="s">
        <v>807</v>
      </c>
      <c r="K310" s="41" t="s">
        <v>1161</v>
      </c>
      <c r="L310" s="42" t="s">
        <v>48</v>
      </c>
      <c r="M310" s="42" t="s">
        <v>123</v>
      </c>
      <c r="N310" s="44">
        <v>0</v>
      </c>
      <c r="O310" s="44"/>
      <c r="P310" s="41" t="s">
        <v>463</v>
      </c>
      <c r="Q310" s="41" t="str">
        <f t="shared" si="13"/>
        <v>627</v>
      </c>
      <c r="R310" s="41" t="str">
        <f>_xlfn.XLOOKUP($L310,MD_Cost_Center[Mã Cost Center],MD_Cost_Center[Ngành])</f>
        <v>PET</v>
      </c>
      <c r="S310" s="41" t="str">
        <f>_xlfn.XLOOKUP($L310,MD_Cost_Center[Mã Cost Center],MD_Cost_Center[Ngành-Tách PET-Xơ sợi])</f>
        <v>Chung-PET</v>
      </c>
      <c r="T310" s="45">
        <v>45627</v>
      </c>
      <c r="U310" s="46">
        <v>46905</v>
      </c>
      <c r="V310" s="47">
        <v>120</v>
      </c>
      <c r="W310" s="47">
        <v>287222223</v>
      </c>
      <c r="X310" s="47">
        <v>-1853458.9439252336</v>
      </c>
      <c r="Y310" s="47">
        <v>287222223</v>
      </c>
      <c r="Z310" s="47">
        <v>287222223</v>
      </c>
      <c r="AA310" s="47">
        <v>287222223</v>
      </c>
      <c r="AB310" s="47">
        <v>287222223</v>
      </c>
      <c r="AC310" s="47">
        <v>287222223</v>
      </c>
      <c r="AD310" s="47">
        <v>287222223</v>
      </c>
      <c r="AE310" s="47">
        <v>287222223</v>
      </c>
      <c r="AF310" s="47">
        <v>287222223</v>
      </c>
      <c r="AG310" s="47">
        <v>287222223</v>
      </c>
      <c r="AH310" s="47">
        <v>287222223</v>
      </c>
      <c r="AI310" s="47">
        <v>287222223</v>
      </c>
      <c r="AJ310" s="47">
        <v>287222223</v>
      </c>
      <c r="AK310" s="47">
        <v>287222223</v>
      </c>
      <c r="AL310" s="47">
        <v>-82063492</v>
      </c>
      <c r="AM310" s="47">
        <v>-88902116</v>
      </c>
      <c r="AN310" s="47">
        <v>-1853458.9439252336</v>
      </c>
      <c r="AO310" s="47">
        <v>-1853458.9439252336</v>
      </c>
      <c r="AP310" s="47">
        <v>-1853458.9439252336</v>
      </c>
      <c r="AQ310" s="47">
        <v>-1853458.9439252336</v>
      </c>
      <c r="AR310" s="47">
        <v>-1853458.9439252336</v>
      </c>
      <c r="AS310" s="47">
        <v>-1853458.9439252336</v>
      </c>
      <c r="AT310" s="47">
        <v>-1853458.9439252336</v>
      </c>
      <c r="AU310" s="47">
        <v>-1853458.9439252336</v>
      </c>
      <c r="AV310" s="47">
        <v>-1853458.9439252336</v>
      </c>
      <c r="AW310" s="47">
        <v>-1853458.9439252336</v>
      </c>
      <c r="AX310" s="47">
        <v>-1853458.9439252336</v>
      </c>
      <c r="AY310" s="47">
        <v>-1853458.9439252336</v>
      </c>
      <c r="AZ310" s="58">
        <f t="shared" si="15"/>
        <v>-22241507.327102803</v>
      </c>
      <c r="BA310" s="47">
        <f>Y310+SUM($AM310:AM310)</f>
        <v>198320107</v>
      </c>
      <c r="BB310" s="48">
        <f>Z310+SUM($AM310:AN310)</f>
        <v>196466648.05607477</v>
      </c>
      <c r="BC310" s="48">
        <f>AA310+SUM($AM310:AO310)</f>
        <v>194613189.11214954</v>
      </c>
      <c r="BD310" s="48">
        <f>AB310+SUM($AM310:AP310)</f>
        <v>192759730.1682243</v>
      </c>
      <c r="BE310" s="48">
        <f>AC310+SUM($AM310:AQ310)</f>
        <v>190906271.22429907</v>
      </c>
      <c r="BF310" s="48">
        <f>AD310+SUM($AM310:AR310)</f>
        <v>189052812.28037384</v>
      </c>
      <c r="BG310" s="48">
        <f>AE310+SUM($AM310:AS310)</f>
        <v>187199353.33644861</v>
      </c>
      <c r="BH310" s="48">
        <f>AF310+SUM($AM310:AT310)</f>
        <v>185345894.39252338</v>
      </c>
      <c r="BI310" s="48">
        <f>AG310+SUM($AM310:AU310)</f>
        <v>183492435.44859815</v>
      </c>
      <c r="BJ310" s="48">
        <f>AH310+SUM($AM310:AV310)</f>
        <v>181638976.50467291</v>
      </c>
      <c r="BK310" s="48">
        <f>AI310+SUM($AM310:AW310)</f>
        <v>179785517.56074768</v>
      </c>
      <c r="BL310" s="48">
        <f>AJ310+SUM($AM310:AX310)</f>
        <v>177932058.61682245</v>
      </c>
      <c r="BM310" s="48">
        <f>AK310+SUM($AM310:AY310)</f>
        <v>176078599.67289722</v>
      </c>
      <c r="BO310" s="47"/>
    </row>
    <row r="311" spans="3:67" s="41" customFormat="1" hidden="1" x14ac:dyDescent="0.3">
      <c r="C311" s="41" t="s">
        <v>1340</v>
      </c>
      <c r="D311" s="42" t="s">
        <v>357</v>
      </c>
      <c r="E311" s="42" t="str">
        <f t="shared" si="14"/>
        <v>212</v>
      </c>
      <c r="F311" s="41" t="str">
        <f>_xlfn.XLOOKUP($D311,MD_Account_Asset_Type[Nhóm tài sản],MD_Account_Asset_Type[Tên Nhóm tài sản])</f>
        <v>TSCĐ thuê TC: Phương tiện vận tải, truyền dẫn - SX 627</v>
      </c>
      <c r="G311" s="41" t="str">
        <f>_xlfn.XLOOKUP($D311,MD_Account_Asset_Type[Nhóm tài sản],MD_Account_Asset_Type[Tên nhóm TS-Rút gọn])</f>
        <v>Phương tiện vận tải thuê tài chính</v>
      </c>
      <c r="H311" s="41" t="str">
        <f>_xlfn.XLOOKUP($D311,MD_Account_Asset_Type[Nhóm tài sản],MD_Account_Asset_Type[Tên nhóm TS-Rút gọn-v2])</f>
        <v>Phương tiện vận tải thuê tài chính</v>
      </c>
      <c r="I311" s="43" t="s">
        <v>1190</v>
      </c>
      <c r="J311" s="42" t="s">
        <v>808</v>
      </c>
      <c r="K311" s="41" t="s">
        <v>1161</v>
      </c>
      <c r="L311" s="42" t="s">
        <v>48</v>
      </c>
      <c r="M311" s="42" t="s">
        <v>123</v>
      </c>
      <c r="N311" s="44">
        <v>0</v>
      </c>
      <c r="O311" s="44"/>
      <c r="P311" s="41" t="s">
        <v>463</v>
      </c>
      <c r="Q311" s="41" t="str">
        <f t="shared" si="13"/>
        <v>627</v>
      </c>
      <c r="R311" s="41" t="str">
        <f>_xlfn.XLOOKUP($L311,MD_Cost_Center[Mã Cost Center],MD_Cost_Center[Ngành])</f>
        <v>PET</v>
      </c>
      <c r="S311" s="41" t="str">
        <f>_xlfn.XLOOKUP($L311,MD_Cost_Center[Mã Cost Center],MD_Cost_Center[Ngành-Tách PET-Xơ sợi])</f>
        <v>Chung-PET</v>
      </c>
      <c r="T311" s="45">
        <v>45627</v>
      </c>
      <c r="U311" s="46">
        <v>46600</v>
      </c>
      <c r="V311" s="47">
        <v>120</v>
      </c>
      <c r="W311" s="47">
        <v>497068134</v>
      </c>
      <c r="X311" s="47">
        <v>-2758263.5981308413</v>
      </c>
      <c r="Y311" s="47">
        <v>497068134</v>
      </c>
      <c r="Z311" s="47">
        <v>497068134</v>
      </c>
      <c r="AA311" s="47">
        <v>497068134</v>
      </c>
      <c r="AB311" s="47">
        <v>497068134</v>
      </c>
      <c r="AC311" s="47">
        <v>497068134</v>
      </c>
      <c r="AD311" s="47">
        <v>497068134</v>
      </c>
      <c r="AE311" s="47">
        <v>497068134</v>
      </c>
      <c r="AF311" s="47">
        <v>497068134</v>
      </c>
      <c r="AG311" s="47">
        <v>497068134</v>
      </c>
      <c r="AH311" s="47">
        <v>497068134</v>
      </c>
      <c r="AI311" s="47">
        <v>497068134</v>
      </c>
      <c r="AJ311" s="47">
        <v>497068134</v>
      </c>
      <c r="AK311" s="47">
        <v>497068134</v>
      </c>
      <c r="AL311" s="47">
        <v>-186400550</v>
      </c>
      <c r="AM311" s="47">
        <v>-201933929</v>
      </c>
      <c r="AN311" s="47">
        <v>-2758263.5981308413</v>
      </c>
      <c r="AO311" s="47">
        <v>-2758263.5981308413</v>
      </c>
      <c r="AP311" s="47">
        <v>-2758263.5981308413</v>
      </c>
      <c r="AQ311" s="47">
        <v>-2758263.5981308413</v>
      </c>
      <c r="AR311" s="47">
        <v>-2758263.5981308413</v>
      </c>
      <c r="AS311" s="47">
        <v>-2758263.5981308413</v>
      </c>
      <c r="AT311" s="47">
        <v>-2758263.5981308413</v>
      </c>
      <c r="AU311" s="47">
        <v>-2758263.5981308413</v>
      </c>
      <c r="AV311" s="47">
        <v>-2758263.5981308413</v>
      </c>
      <c r="AW311" s="47">
        <v>-2758263.5981308413</v>
      </c>
      <c r="AX311" s="47">
        <v>-2758263.5981308413</v>
      </c>
      <c r="AY311" s="47">
        <v>-2758263.5981308413</v>
      </c>
      <c r="AZ311" s="58">
        <f t="shared" si="15"/>
        <v>-33099163.177570093</v>
      </c>
      <c r="BA311" s="47">
        <f>Y311+SUM($AM311:AM311)</f>
        <v>295134205</v>
      </c>
      <c r="BB311" s="48">
        <f>Z311+SUM($AM311:AN311)</f>
        <v>292375941.40186918</v>
      </c>
      <c r="BC311" s="48">
        <f>AA311+SUM($AM311:AO311)</f>
        <v>289617677.8037383</v>
      </c>
      <c r="BD311" s="48">
        <f>AB311+SUM($AM311:AP311)</f>
        <v>286859414.20560741</v>
      </c>
      <c r="BE311" s="48">
        <f>AC311+SUM($AM311:AQ311)</f>
        <v>284101150.60747659</v>
      </c>
      <c r="BF311" s="48">
        <f>AD311+SUM($AM311:AR311)</f>
        <v>281342887.00934577</v>
      </c>
      <c r="BG311" s="48">
        <f>AE311+SUM($AM311:AS311)</f>
        <v>278584623.41121489</v>
      </c>
      <c r="BH311" s="48">
        <f>AF311+SUM($AM311:AT311)</f>
        <v>275826359.81308401</v>
      </c>
      <c r="BI311" s="48">
        <f>AG311+SUM($AM311:AU311)</f>
        <v>273068096.21495318</v>
      </c>
      <c r="BJ311" s="48">
        <f>AH311+SUM($AM311:AV311)</f>
        <v>270309832.61682236</v>
      </c>
      <c r="BK311" s="48">
        <f>AI311+SUM($AM311:AW311)</f>
        <v>267551569.01869148</v>
      </c>
      <c r="BL311" s="48">
        <f>AJ311+SUM($AM311:AX311)</f>
        <v>264793305.42056063</v>
      </c>
      <c r="BM311" s="48">
        <f>AK311+SUM($AM311:AY311)</f>
        <v>262035041.82242978</v>
      </c>
      <c r="BO311" s="47"/>
    </row>
    <row r="312" spans="3:67" s="41" customFormat="1" hidden="1" x14ac:dyDescent="0.3">
      <c r="C312" s="41" t="s">
        <v>1340</v>
      </c>
      <c r="D312" s="42" t="s">
        <v>357</v>
      </c>
      <c r="E312" s="42" t="str">
        <f t="shared" si="14"/>
        <v>212</v>
      </c>
      <c r="F312" s="41" t="str">
        <f>_xlfn.XLOOKUP($D312,MD_Account_Asset_Type[Nhóm tài sản],MD_Account_Asset_Type[Tên Nhóm tài sản])</f>
        <v>TSCĐ thuê TC: Phương tiện vận tải, truyền dẫn - SX 627</v>
      </c>
      <c r="G312" s="41" t="str">
        <f>_xlfn.XLOOKUP($D312,MD_Account_Asset_Type[Nhóm tài sản],MD_Account_Asset_Type[Tên nhóm TS-Rút gọn])</f>
        <v>Phương tiện vận tải thuê tài chính</v>
      </c>
      <c r="H312" s="41" t="str">
        <f>_xlfn.XLOOKUP($D312,MD_Account_Asset_Type[Nhóm tài sản],MD_Account_Asset_Type[Tên nhóm TS-Rút gọn-v2])</f>
        <v>Phương tiện vận tải thuê tài chính</v>
      </c>
      <c r="I312" s="43" t="s">
        <v>1191</v>
      </c>
      <c r="J312" s="42" t="s">
        <v>809</v>
      </c>
      <c r="K312" s="41" t="s">
        <v>1161</v>
      </c>
      <c r="L312" s="42" t="s">
        <v>88</v>
      </c>
      <c r="M312" s="42" t="s">
        <v>163</v>
      </c>
      <c r="N312" s="44">
        <v>0</v>
      </c>
      <c r="O312" s="44"/>
      <c r="P312" s="41" t="s">
        <v>463</v>
      </c>
      <c r="Q312" s="41" t="str">
        <f t="shared" si="13"/>
        <v>627</v>
      </c>
      <c r="R312" s="41" t="str">
        <f>_xlfn.XLOOKUP($L312,MD_Cost_Center[Mã Cost Center],MD_Cost_Center[Ngành])</f>
        <v>Chung</v>
      </c>
      <c r="S312" s="41" t="str">
        <f>_xlfn.XLOOKUP($L312,MD_Cost_Center[Mã Cost Center],MD_Cost_Center[Ngành-Tách PET-Xơ sợi])</f>
        <v>Chung</v>
      </c>
      <c r="T312" s="45">
        <v>45627</v>
      </c>
      <c r="U312" s="46">
        <v>46692</v>
      </c>
      <c r="V312" s="47">
        <v>120</v>
      </c>
      <c r="W312" s="47">
        <v>308333333</v>
      </c>
      <c r="X312" s="47">
        <v>-1811303.9532710281</v>
      </c>
      <c r="Y312" s="47">
        <v>308333333</v>
      </c>
      <c r="Z312" s="47">
        <v>308333333</v>
      </c>
      <c r="AA312" s="47">
        <v>308333333</v>
      </c>
      <c r="AB312" s="47">
        <v>308333333</v>
      </c>
      <c r="AC312" s="47">
        <v>308333333</v>
      </c>
      <c r="AD312" s="47">
        <v>308333333</v>
      </c>
      <c r="AE312" s="47">
        <v>308333333</v>
      </c>
      <c r="AF312" s="47">
        <v>308333333</v>
      </c>
      <c r="AG312" s="47">
        <v>308333333</v>
      </c>
      <c r="AH312" s="47">
        <v>308333333</v>
      </c>
      <c r="AI312" s="47">
        <v>308333333</v>
      </c>
      <c r="AJ312" s="47">
        <v>308333333</v>
      </c>
      <c r="AK312" s="47">
        <v>308333333</v>
      </c>
      <c r="AL312" s="47">
        <v>-105714286</v>
      </c>
      <c r="AM312" s="47">
        <v>-114523810</v>
      </c>
      <c r="AN312" s="47">
        <v>-1811303.9532710281</v>
      </c>
      <c r="AO312" s="47">
        <v>-1811303.9532710281</v>
      </c>
      <c r="AP312" s="47">
        <v>-1811303.9532710281</v>
      </c>
      <c r="AQ312" s="47">
        <v>-1811303.9532710281</v>
      </c>
      <c r="AR312" s="47">
        <v>-1811303.9532710281</v>
      </c>
      <c r="AS312" s="47">
        <v>-1811303.9532710281</v>
      </c>
      <c r="AT312" s="47">
        <v>-1811303.9532710281</v>
      </c>
      <c r="AU312" s="47">
        <v>-1811303.9532710281</v>
      </c>
      <c r="AV312" s="47">
        <v>-1811303.9532710281</v>
      </c>
      <c r="AW312" s="47">
        <v>-1811303.9532710281</v>
      </c>
      <c r="AX312" s="47">
        <v>-1811303.9532710281</v>
      </c>
      <c r="AY312" s="47">
        <v>-1811303.9532710281</v>
      </c>
      <c r="AZ312" s="58">
        <f t="shared" si="15"/>
        <v>-21735647.439252336</v>
      </c>
      <c r="BA312" s="47">
        <f>Y312+SUM($AM312:AM312)</f>
        <v>193809523</v>
      </c>
      <c r="BB312" s="48">
        <f>Z312+SUM($AM312:AN312)</f>
        <v>191998219.04672897</v>
      </c>
      <c r="BC312" s="48">
        <f>AA312+SUM($AM312:AO312)</f>
        <v>190186915.09345794</v>
      </c>
      <c r="BD312" s="48">
        <f>AB312+SUM($AM312:AP312)</f>
        <v>188375611.14018691</v>
      </c>
      <c r="BE312" s="48">
        <f>AC312+SUM($AM312:AQ312)</f>
        <v>186564307.18691587</v>
      </c>
      <c r="BF312" s="48">
        <f>AD312+SUM($AM312:AR312)</f>
        <v>184753003.23364484</v>
      </c>
      <c r="BG312" s="48">
        <f>AE312+SUM($AM312:AS312)</f>
        <v>182941699.28037381</v>
      </c>
      <c r="BH312" s="48">
        <f>AF312+SUM($AM312:AT312)</f>
        <v>181130395.32710278</v>
      </c>
      <c r="BI312" s="48">
        <f>AG312+SUM($AM312:AU312)</f>
        <v>179319091.37383175</v>
      </c>
      <c r="BJ312" s="48">
        <f>AH312+SUM($AM312:AV312)</f>
        <v>177507787.42056072</v>
      </c>
      <c r="BK312" s="48">
        <f>AI312+SUM($AM312:AW312)</f>
        <v>175696483.46728969</v>
      </c>
      <c r="BL312" s="48">
        <f>AJ312+SUM($AM312:AX312)</f>
        <v>173885179.51401865</v>
      </c>
      <c r="BM312" s="48">
        <f>AK312+SUM($AM312:AY312)</f>
        <v>172073875.56074762</v>
      </c>
      <c r="BO312" s="47"/>
    </row>
    <row r="313" spans="3:67" s="41" customFormat="1" hidden="1" x14ac:dyDescent="0.3">
      <c r="C313" s="41" t="s">
        <v>1340</v>
      </c>
      <c r="D313" s="42" t="s">
        <v>357</v>
      </c>
      <c r="E313" s="42" t="str">
        <f t="shared" si="14"/>
        <v>212</v>
      </c>
      <c r="F313" s="41" t="str">
        <f>_xlfn.XLOOKUP($D313,MD_Account_Asset_Type[Nhóm tài sản],MD_Account_Asset_Type[Tên Nhóm tài sản])</f>
        <v>TSCĐ thuê TC: Phương tiện vận tải, truyền dẫn - SX 627</v>
      </c>
      <c r="G313" s="41" t="str">
        <f>_xlfn.XLOOKUP($D313,MD_Account_Asset_Type[Nhóm tài sản],MD_Account_Asset_Type[Tên nhóm TS-Rút gọn])</f>
        <v>Phương tiện vận tải thuê tài chính</v>
      </c>
      <c r="H313" s="41" t="str">
        <f>_xlfn.XLOOKUP($D313,MD_Account_Asset_Type[Nhóm tài sản],MD_Account_Asset_Type[Tên nhóm TS-Rút gọn-v2])</f>
        <v>Phương tiện vận tải thuê tài chính</v>
      </c>
      <c r="I313" s="43" t="s">
        <v>1192</v>
      </c>
      <c r="J313" s="42" t="s">
        <v>810</v>
      </c>
      <c r="K313" s="41" t="s">
        <v>1161</v>
      </c>
      <c r="L313" s="42" t="s">
        <v>88</v>
      </c>
      <c r="M313" s="42" t="s">
        <v>163</v>
      </c>
      <c r="N313" s="44">
        <v>0</v>
      </c>
      <c r="O313" s="44"/>
      <c r="P313" s="41" t="s">
        <v>463</v>
      </c>
      <c r="Q313" s="41" t="str">
        <f t="shared" si="13"/>
        <v>627</v>
      </c>
      <c r="R313" s="41" t="str">
        <f>_xlfn.XLOOKUP($L313,MD_Cost_Center[Mã Cost Center],MD_Cost_Center[Ngành])</f>
        <v>Chung</v>
      </c>
      <c r="S313" s="41" t="str">
        <f>_xlfn.XLOOKUP($L313,MD_Cost_Center[Mã Cost Center],MD_Cost_Center[Ngành-Tách PET-Xơ sợi])</f>
        <v>Chung</v>
      </c>
      <c r="T313" s="45">
        <v>45627</v>
      </c>
      <c r="U313" s="46">
        <v>46692</v>
      </c>
      <c r="V313" s="47">
        <v>120</v>
      </c>
      <c r="W313" s="47">
        <v>296000000</v>
      </c>
      <c r="X313" s="47">
        <v>-1738851.8037383177</v>
      </c>
      <c r="Y313" s="47">
        <v>296000000</v>
      </c>
      <c r="Z313" s="47">
        <v>296000000</v>
      </c>
      <c r="AA313" s="47">
        <v>296000000</v>
      </c>
      <c r="AB313" s="47">
        <v>296000000</v>
      </c>
      <c r="AC313" s="47">
        <v>296000000</v>
      </c>
      <c r="AD313" s="47">
        <v>296000000</v>
      </c>
      <c r="AE313" s="47">
        <v>296000000</v>
      </c>
      <c r="AF313" s="47">
        <v>296000000</v>
      </c>
      <c r="AG313" s="47">
        <v>296000000</v>
      </c>
      <c r="AH313" s="47">
        <v>296000000</v>
      </c>
      <c r="AI313" s="47">
        <v>296000000</v>
      </c>
      <c r="AJ313" s="47">
        <v>296000000</v>
      </c>
      <c r="AK313" s="47">
        <v>296000000</v>
      </c>
      <c r="AL313" s="47">
        <v>-101485714</v>
      </c>
      <c r="AM313" s="47">
        <v>-109942857</v>
      </c>
      <c r="AN313" s="47">
        <v>-1738851.8037383177</v>
      </c>
      <c r="AO313" s="47">
        <v>-1738851.8037383177</v>
      </c>
      <c r="AP313" s="47">
        <v>-1738851.8037383177</v>
      </c>
      <c r="AQ313" s="47">
        <v>-1738851.8037383177</v>
      </c>
      <c r="AR313" s="47">
        <v>-1738851.8037383177</v>
      </c>
      <c r="AS313" s="47">
        <v>-1738851.8037383177</v>
      </c>
      <c r="AT313" s="47">
        <v>-1738851.8037383177</v>
      </c>
      <c r="AU313" s="47">
        <v>-1738851.8037383177</v>
      </c>
      <c r="AV313" s="47">
        <v>-1738851.8037383177</v>
      </c>
      <c r="AW313" s="47">
        <v>-1738851.8037383177</v>
      </c>
      <c r="AX313" s="47">
        <v>-1738851.8037383177</v>
      </c>
      <c r="AY313" s="47">
        <v>-1738851.8037383177</v>
      </c>
      <c r="AZ313" s="58">
        <f t="shared" si="15"/>
        <v>-20866221.644859817</v>
      </c>
      <c r="BA313" s="47">
        <f>Y313+SUM($AM313:AM313)</f>
        <v>186057143</v>
      </c>
      <c r="BB313" s="48">
        <f>Z313+SUM($AM313:AN313)</f>
        <v>184318291.1962617</v>
      </c>
      <c r="BC313" s="48">
        <f>AA313+SUM($AM313:AO313)</f>
        <v>182579439.39252338</v>
      </c>
      <c r="BD313" s="48">
        <f>AB313+SUM($AM313:AP313)</f>
        <v>180840587.58878505</v>
      </c>
      <c r="BE313" s="48">
        <f>AC313+SUM($AM313:AQ313)</f>
        <v>179101735.78504676</v>
      </c>
      <c r="BF313" s="48">
        <f>AD313+SUM($AM313:AR313)</f>
        <v>177362883.98130846</v>
      </c>
      <c r="BG313" s="48">
        <f>AE313+SUM($AM313:AS313)</f>
        <v>175624032.17757013</v>
      </c>
      <c r="BH313" s="48">
        <f>AF313+SUM($AM313:AT313)</f>
        <v>173885180.37383181</v>
      </c>
      <c r="BI313" s="48">
        <f>AG313+SUM($AM313:AU313)</f>
        <v>172146328.57009351</v>
      </c>
      <c r="BJ313" s="48">
        <f>AH313+SUM($AM313:AV313)</f>
        <v>170407476.76635522</v>
      </c>
      <c r="BK313" s="48">
        <f>AI313+SUM($AM313:AW313)</f>
        <v>168668624.96261689</v>
      </c>
      <c r="BL313" s="48">
        <f>AJ313+SUM($AM313:AX313)</f>
        <v>166929773.15887856</v>
      </c>
      <c r="BM313" s="48">
        <f>AK313+SUM($AM313:AY313)</f>
        <v>165190921.35514027</v>
      </c>
      <c r="BO313" s="47"/>
    </row>
    <row r="314" spans="3:67" s="41" customFormat="1" hidden="1" x14ac:dyDescent="0.3">
      <c r="C314" s="41" t="s">
        <v>1340</v>
      </c>
      <c r="D314" s="42" t="s">
        <v>357</v>
      </c>
      <c r="E314" s="42" t="str">
        <f t="shared" si="14"/>
        <v>212</v>
      </c>
      <c r="F314" s="41" t="str">
        <f>_xlfn.XLOOKUP($D314,MD_Account_Asset_Type[Nhóm tài sản],MD_Account_Asset_Type[Tên Nhóm tài sản])</f>
        <v>TSCĐ thuê TC: Phương tiện vận tải, truyền dẫn - SX 627</v>
      </c>
      <c r="G314" s="41" t="str">
        <f>_xlfn.XLOOKUP($D314,MD_Account_Asset_Type[Nhóm tài sản],MD_Account_Asset_Type[Tên nhóm TS-Rút gọn])</f>
        <v>Phương tiện vận tải thuê tài chính</v>
      </c>
      <c r="H314" s="41" t="str">
        <f>_xlfn.XLOOKUP($D314,MD_Account_Asset_Type[Nhóm tài sản],MD_Account_Asset_Type[Tên nhóm TS-Rút gọn-v2])</f>
        <v>Phương tiện vận tải thuê tài chính</v>
      </c>
      <c r="I314" s="43" t="s">
        <v>1193</v>
      </c>
      <c r="J314" s="42" t="s">
        <v>811</v>
      </c>
      <c r="K314" s="41" t="s">
        <v>1161</v>
      </c>
      <c r="L314" s="42" t="s">
        <v>48</v>
      </c>
      <c r="M314" s="42" t="s">
        <v>123</v>
      </c>
      <c r="N314" s="44">
        <v>0</v>
      </c>
      <c r="O314" s="44"/>
      <c r="P314" s="41" t="s">
        <v>463</v>
      </c>
      <c r="Q314" s="41" t="str">
        <f t="shared" si="13"/>
        <v>627</v>
      </c>
      <c r="R314" s="41" t="str">
        <f>_xlfn.XLOOKUP($L314,MD_Cost_Center[Mã Cost Center],MD_Cost_Center[Ngành])</f>
        <v>PET</v>
      </c>
      <c r="S314" s="41" t="str">
        <f>_xlfn.XLOOKUP($L314,MD_Cost_Center[Mã Cost Center],MD_Cost_Center[Ngành-Tách PET-Xơ sợi])</f>
        <v>Chung-PET</v>
      </c>
      <c r="T314" s="45">
        <v>45627</v>
      </c>
      <c r="U314" s="46">
        <v>46722</v>
      </c>
      <c r="V314" s="47">
        <v>120</v>
      </c>
      <c r="W314" s="47">
        <v>285000000</v>
      </c>
      <c r="X314" s="47">
        <v>-1701713.3925233644</v>
      </c>
      <c r="Y314" s="47">
        <v>285000000</v>
      </c>
      <c r="Z314" s="47">
        <v>285000000</v>
      </c>
      <c r="AA314" s="47">
        <v>285000000</v>
      </c>
      <c r="AB314" s="47">
        <v>285000000</v>
      </c>
      <c r="AC314" s="47">
        <v>285000000</v>
      </c>
      <c r="AD314" s="47">
        <v>285000000</v>
      </c>
      <c r="AE314" s="47">
        <v>285000000</v>
      </c>
      <c r="AF314" s="47">
        <v>285000000</v>
      </c>
      <c r="AG314" s="47">
        <v>285000000</v>
      </c>
      <c r="AH314" s="47">
        <v>285000000</v>
      </c>
      <c r="AI314" s="47">
        <v>285000000</v>
      </c>
      <c r="AJ314" s="47">
        <v>285000000</v>
      </c>
      <c r="AK314" s="47">
        <v>285000000</v>
      </c>
      <c r="AL314" s="47">
        <v>-95000000</v>
      </c>
      <c r="AM314" s="47">
        <v>-102916667</v>
      </c>
      <c r="AN314" s="47">
        <v>-1701713.3925233644</v>
      </c>
      <c r="AO314" s="47">
        <v>-1701713.3925233644</v>
      </c>
      <c r="AP314" s="47">
        <v>-1701713.3925233644</v>
      </c>
      <c r="AQ314" s="47">
        <v>-1701713.3925233644</v>
      </c>
      <c r="AR314" s="47">
        <v>-1701713.3925233644</v>
      </c>
      <c r="AS314" s="47">
        <v>-1701713.3925233644</v>
      </c>
      <c r="AT314" s="47">
        <v>-1701713.3925233644</v>
      </c>
      <c r="AU314" s="47">
        <v>-1701713.3925233644</v>
      </c>
      <c r="AV314" s="47">
        <v>-1701713.3925233644</v>
      </c>
      <c r="AW314" s="47">
        <v>-1701713.3925233644</v>
      </c>
      <c r="AX314" s="47">
        <v>-1701713.3925233644</v>
      </c>
      <c r="AY314" s="47">
        <v>-1701713.3925233644</v>
      </c>
      <c r="AZ314" s="58">
        <f t="shared" si="15"/>
        <v>-20420560.710280374</v>
      </c>
      <c r="BA314" s="47">
        <f>Y314+SUM($AM314:AM314)</f>
        <v>182083333</v>
      </c>
      <c r="BB314" s="48">
        <f>Z314+SUM($AM314:AN314)</f>
        <v>180381619.60747665</v>
      </c>
      <c r="BC314" s="48">
        <f>AA314+SUM($AM314:AO314)</f>
        <v>178679906.21495327</v>
      </c>
      <c r="BD314" s="48">
        <f>AB314+SUM($AM314:AP314)</f>
        <v>176978192.8224299</v>
      </c>
      <c r="BE314" s="48">
        <f>AC314+SUM($AM314:AQ314)</f>
        <v>175276479.42990655</v>
      </c>
      <c r="BF314" s="48">
        <f>AD314+SUM($AM314:AR314)</f>
        <v>173574766.0373832</v>
      </c>
      <c r="BG314" s="48">
        <f>AE314+SUM($AM314:AS314)</f>
        <v>171873052.64485982</v>
      </c>
      <c r="BH314" s="48">
        <f>AF314+SUM($AM314:AT314)</f>
        <v>170171339.25233644</v>
      </c>
      <c r="BI314" s="48">
        <f>AG314+SUM($AM314:AU314)</f>
        <v>168469625.85981309</v>
      </c>
      <c r="BJ314" s="48">
        <f>AH314+SUM($AM314:AV314)</f>
        <v>166767912.46728975</v>
      </c>
      <c r="BK314" s="48">
        <f>AI314+SUM($AM314:AW314)</f>
        <v>165066199.07476637</v>
      </c>
      <c r="BL314" s="48">
        <f>AJ314+SUM($AM314:AX314)</f>
        <v>163364485.68224299</v>
      </c>
      <c r="BM314" s="48">
        <f>AK314+SUM($AM314:AY314)</f>
        <v>161662772.28971964</v>
      </c>
      <c r="BO314" s="47"/>
    </row>
    <row r="315" spans="3:67" s="41" customFormat="1" hidden="1" x14ac:dyDescent="0.3">
      <c r="C315" s="41" t="s">
        <v>1340</v>
      </c>
      <c r="D315" s="42" t="s">
        <v>357</v>
      </c>
      <c r="E315" s="42" t="str">
        <f t="shared" si="14"/>
        <v>212</v>
      </c>
      <c r="F315" s="41" t="str">
        <f>_xlfn.XLOOKUP($D315,MD_Account_Asset_Type[Nhóm tài sản],MD_Account_Asset_Type[Tên Nhóm tài sản])</f>
        <v>TSCĐ thuê TC: Phương tiện vận tải, truyền dẫn - SX 627</v>
      </c>
      <c r="G315" s="41" t="str">
        <f>_xlfn.XLOOKUP($D315,MD_Account_Asset_Type[Nhóm tài sản],MD_Account_Asset_Type[Tên nhóm TS-Rút gọn])</f>
        <v>Phương tiện vận tải thuê tài chính</v>
      </c>
      <c r="H315" s="41" t="str">
        <f>_xlfn.XLOOKUP($D315,MD_Account_Asset_Type[Nhóm tài sản],MD_Account_Asset_Type[Tên nhóm TS-Rút gọn-v2])</f>
        <v>Phương tiện vận tải thuê tài chính</v>
      </c>
      <c r="I315" s="43" t="s">
        <v>1194</v>
      </c>
      <c r="J315" s="42" t="s">
        <v>812</v>
      </c>
      <c r="K315" s="41" t="s">
        <v>1161</v>
      </c>
      <c r="L315" s="42" t="s">
        <v>48</v>
      </c>
      <c r="M315" s="42" t="s">
        <v>123</v>
      </c>
      <c r="N315" s="44">
        <v>0</v>
      </c>
      <c r="O315" s="44"/>
      <c r="P315" s="41" t="s">
        <v>463</v>
      </c>
      <c r="Q315" s="41" t="str">
        <f t="shared" si="13"/>
        <v>627</v>
      </c>
      <c r="R315" s="41" t="str">
        <f>_xlfn.XLOOKUP($L315,MD_Cost_Center[Mã Cost Center],MD_Cost_Center[Ngành])</f>
        <v>PET</v>
      </c>
      <c r="S315" s="41" t="str">
        <f>_xlfn.XLOOKUP($L315,MD_Cost_Center[Mã Cost Center],MD_Cost_Center[Ngành-Tách PET-Xơ sợi])</f>
        <v>Chung-PET</v>
      </c>
      <c r="T315" s="45">
        <v>45627</v>
      </c>
      <c r="U315" s="46">
        <v>46784</v>
      </c>
      <c r="V315" s="47">
        <v>120</v>
      </c>
      <c r="W315" s="47">
        <v>300000000</v>
      </c>
      <c r="X315" s="47">
        <v>-1844564.6822429907</v>
      </c>
      <c r="Y315" s="47">
        <v>300000000</v>
      </c>
      <c r="Z315" s="47">
        <v>300000000</v>
      </c>
      <c r="AA315" s="47">
        <v>300000000</v>
      </c>
      <c r="AB315" s="47">
        <v>300000000</v>
      </c>
      <c r="AC315" s="47">
        <v>300000000</v>
      </c>
      <c r="AD315" s="47">
        <v>300000000</v>
      </c>
      <c r="AE315" s="47">
        <v>300000000</v>
      </c>
      <c r="AF315" s="47">
        <v>300000000</v>
      </c>
      <c r="AG315" s="47">
        <v>300000000</v>
      </c>
      <c r="AH315" s="47">
        <v>300000000</v>
      </c>
      <c r="AI315" s="47">
        <v>300000000</v>
      </c>
      <c r="AJ315" s="47">
        <v>300000000</v>
      </c>
      <c r="AK315" s="47">
        <v>300000000</v>
      </c>
      <c r="AL315" s="47">
        <v>-94736842</v>
      </c>
      <c r="AM315" s="47">
        <v>-102631579</v>
      </c>
      <c r="AN315" s="47">
        <v>-1844564.6822429907</v>
      </c>
      <c r="AO315" s="47">
        <v>-1844564.6822429907</v>
      </c>
      <c r="AP315" s="47">
        <v>-1844564.6822429907</v>
      </c>
      <c r="AQ315" s="47">
        <v>-1844564.6822429907</v>
      </c>
      <c r="AR315" s="47">
        <v>-1844564.6822429907</v>
      </c>
      <c r="AS315" s="47">
        <v>-1844564.6822429907</v>
      </c>
      <c r="AT315" s="47">
        <v>-1844564.6822429907</v>
      </c>
      <c r="AU315" s="47">
        <v>-1844564.6822429907</v>
      </c>
      <c r="AV315" s="47">
        <v>-1844564.6822429907</v>
      </c>
      <c r="AW315" s="47">
        <v>-1844564.6822429907</v>
      </c>
      <c r="AX315" s="47">
        <v>-1844564.6822429907</v>
      </c>
      <c r="AY315" s="47">
        <v>-1844564.6822429907</v>
      </c>
      <c r="AZ315" s="58">
        <f t="shared" si="15"/>
        <v>-22134776.186915889</v>
      </c>
      <c r="BA315" s="47">
        <f>Y315+SUM($AM315:AM315)</f>
        <v>197368421</v>
      </c>
      <c r="BB315" s="48">
        <f>Z315+SUM($AM315:AN315)</f>
        <v>195523856.31775701</v>
      </c>
      <c r="BC315" s="48">
        <f>AA315+SUM($AM315:AO315)</f>
        <v>193679291.63551402</v>
      </c>
      <c r="BD315" s="48">
        <f>AB315+SUM($AM315:AP315)</f>
        <v>191834726.95327103</v>
      </c>
      <c r="BE315" s="48">
        <f>AC315+SUM($AM315:AQ315)</f>
        <v>189990162.27102804</v>
      </c>
      <c r="BF315" s="48">
        <f>AD315+SUM($AM315:AR315)</f>
        <v>188145597.58878505</v>
      </c>
      <c r="BG315" s="48">
        <f>AE315+SUM($AM315:AS315)</f>
        <v>186301032.90654206</v>
      </c>
      <c r="BH315" s="48">
        <f>AF315+SUM($AM315:AT315)</f>
        <v>184456468.22429907</v>
      </c>
      <c r="BI315" s="48">
        <f>AG315+SUM($AM315:AU315)</f>
        <v>182611903.54205608</v>
      </c>
      <c r="BJ315" s="48">
        <f>AH315+SUM($AM315:AV315)</f>
        <v>180767338.85981309</v>
      </c>
      <c r="BK315" s="48">
        <f>AI315+SUM($AM315:AW315)</f>
        <v>178922774.1775701</v>
      </c>
      <c r="BL315" s="48">
        <f>AJ315+SUM($AM315:AX315)</f>
        <v>177078209.49532712</v>
      </c>
      <c r="BM315" s="48">
        <f>AK315+SUM($AM315:AY315)</f>
        <v>175233644.81308413</v>
      </c>
      <c r="BO315" s="47"/>
    </row>
    <row r="316" spans="3:67" s="41" customFormat="1" hidden="1" x14ac:dyDescent="0.3">
      <c r="C316" s="41" t="s">
        <v>1340</v>
      </c>
      <c r="D316" s="42" t="s">
        <v>357</v>
      </c>
      <c r="E316" s="42" t="str">
        <f t="shared" si="14"/>
        <v>212</v>
      </c>
      <c r="F316" s="41" t="str">
        <f>_xlfn.XLOOKUP($D316,MD_Account_Asset_Type[Nhóm tài sản],MD_Account_Asset_Type[Tên Nhóm tài sản])</f>
        <v>TSCĐ thuê TC: Phương tiện vận tải, truyền dẫn - SX 627</v>
      </c>
      <c r="G316" s="41" t="str">
        <f>_xlfn.XLOOKUP($D316,MD_Account_Asset_Type[Nhóm tài sản],MD_Account_Asset_Type[Tên nhóm TS-Rút gọn])</f>
        <v>Phương tiện vận tải thuê tài chính</v>
      </c>
      <c r="H316" s="41" t="str">
        <f>_xlfn.XLOOKUP($D316,MD_Account_Asset_Type[Nhóm tài sản],MD_Account_Asset_Type[Tên nhóm TS-Rút gọn-v2])</f>
        <v>Phương tiện vận tải thuê tài chính</v>
      </c>
      <c r="I316" s="43" t="s">
        <v>1195</v>
      </c>
      <c r="J316" s="42" t="s">
        <v>813</v>
      </c>
      <c r="K316" s="41" t="s">
        <v>1161</v>
      </c>
      <c r="L316" s="42" t="s">
        <v>48</v>
      </c>
      <c r="M316" s="42" t="s">
        <v>123</v>
      </c>
      <c r="N316" s="44">
        <v>0</v>
      </c>
      <c r="O316" s="44"/>
      <c r="P316" s="41" t="s">
        <v>463</v>
      </c>
      <c r="Q316" s="41" t="str">
        <f t="shared" si="13"/>
        <v>627</v>
      </c>
      <c r="R316" s="41" t="str">
        <f>_xlfn.XLOOKUP($L316,MD_Cost_Center[Mã Cost Center],MD_Cost_Center[Ngành])</f>
        <v>PET</v>
      </c>
      <c r="S316" s="41" t="str">
        <f>_xlfn.XLOOKUP($L316,MD_Cost_Center[Mã Cost Center],MD_Cost_Center[Ngành-Tách PET-Xơ sợi])</f>
        <v>Chung-PET</v>
      </c>
      <c r="T316" s="45">
        <v>45627</v>
      </c>
      <c r="U316" s="46">
        <v>46844</v>
      </c>
      <c r="V316" s="47">
        <v>120</v>
      </c>
      <c r="W316" s="47">
        <v>341326607</v>
      </c>
      <c r="X316" s="47">
        <v>-2153228.5981308413</v>
      </c>
      <c r="Y316" s="47">
        <v>341326607</v>
      </c>
      <c r="Z316" s="47">
        <v>341326607</v>
      </c>
      <c r="AA316" s="47">
        <v>341326607</v>
      </c>
      <c r="AB316" s="47">
        <v>341326607</v>
      </c>
      <c r="AC316" s="47">
        <v>341326607</v>
      </c>
      <c r="AD316" s="47">
        <v>341326607</v>
      </c>
      <c r="AE316" s="47">
        <v>341326607</v>
      </c>
      <c r="AF316" s="47">
        <v>341326607</v>
      </c>
      <c r="AG316" s="47">
        <v>341326607</v>
      </c>
      <c r="AH316" s="47">
        <v>341326607</v>
      </c>
      <c r="AI316" s="47">
        <v>341326607</v>
      </c>
      <c r="AJ316" s="47">
        <v>341326607</v>
      </c>
      <c r="AK316" s="47">
        <v>341326607</v>
      </c>
      <c r="AL316" s="47">
        <v>-102397982</v>
      </c>
      <c r="AM316" s="47">
        <v>-110931147</v>
      </c>
      <c r="AN316" s="47">
        <v>-2153228.5981308413</v>
      </c>
      <c r="AO316" s="47">
        <v>-2153228.5981308413</v>
      </c>
      <c r="AP316" s="47">
        <v>-2153228.5981308413</v>
      </c>
      <c r="AQ316" s="47">
        <v>-2153228.5981308413</v>
      </c>
      <c r="AR316" s="47">
        <v>-2153228.5981308413</v>
      </c>
      <c r="AS316" s="47">
        <v>-2153228.5981308413</v>
      </c>
      <c r="AT316" s="47">
        <v>-2153228.5981308413</v>
      </c>
      <c r="AU316" s="47">
        <v>-2153228.5981308413</v>
      </c>
      <c r="AV316" s="47">
        <v>-2153228.5981308413</v>
      </c>
      <c r="AW316" s="47">
        <v>-2153228.5981308413</v>
      </c>
      <c r="AX316" s="47">
        <v>-2153228.5981308413</v>
      </c>
      <c r="AY316" s="47">
        <v>-2153228.5981308413</v>
      </c>
      <c r="AZ316" s="58">
        <f t="shared" si="15"/>
        <v>-25838743.177570093</v>
      </c>
      <c r="BA316" s="47">
        <f>Y316+SUM($AM316:AM316)</f>
        <v>230395460</v>
      </c>
      <c r="BB316" s="48">
        <f>Z316+SUM($AM316:AN316)</f>
        <v>228242231.40186918</v>
      </c>
      <c r="BC316" s="48">
        <f>AA316+SUM($AM316:AO316)</f>
        <v>226089002.80373833</v>
      </c>
      <c r="BD316" s="48">
        <f>AB316+SUM($AM316:AP316)</f>
        <v>223935774.20560747</v>
      </c>
      <c r="BE316" s="48">
        <f>AC316+SUM($AM316:AQ316)</f>
        <v>221782545.60747665</v>
      </c>
      <c r="BF316" s="48">
        <f>AD316+SUM($AM316:AR316)</f>
        <v>219629317.00934583</v>
      </c>
      <c r="BG316" s="48">
        <f>AE316+SUM($AM316:AS316)</f>
        <v>217476088.41121498</v>
      </c>
      <c r="BH316" s="48">
        <f>AF316+SUM($AM316:AT316)</f>
        <v>215322859.81308413</v>
      </c>
      <c r="BI316" s="48">
        <f>AG316+SUM($AM316:AU316)</f>
        <v>213169631.2149533</v>
      </c>
      <c r="BJ316" s="48">
        <f>AH316+SUM($AM316:AV316)</f>
        <v>211016402.61682248</v>
      </c>
      <c r="BK316" s="48">
        <f>AI316+SUM($AM316:AW316)</f>
        <v>208863174.01869163</v>
      </c>
      <c r="BL316" s="48">
        <f>AJ316+SUM($AM316:AX316)</f>
        <v>206709945.42056078</v>
      </c>
      <c r="BM316" s="48">
        <f>AK316+SUM($AM316:AY316)</f>
        <v>204556716.82242993</v>
      </c>
      <c r="BO316" s="47"/>
    </row>
    <row r="317" spans="3:67" s="41" customFormat="1" hidden="1" x14ac:dyDescent="0.3">
      <c r="C317" s="41" t="s">
        <v>1340</v>
      </c>
      <c r="D317" s="42" t="s">
        <v>357</v>
      </c>
      <c r="E317" s="42" t="str">
        <f t="shared" si="14"/>
        <v>212</v>
      </c>
      <c r="F317" s="41" t="str">
        <f>_xlfn.XLOOKUP($D317,MD_Account_Asset_Type[Nhóm tài sản],MD_Account_Asset_Type[Tên Nhóm tài sản])</f>
        <v>TSCĐ thuê TC: Phương tiện vận tải, truyền dẫn - SX 627</v>
      </c>
      <c r="G317" s="41" t="str">
        <f>_xlfn.XLOOKUP($D317,MD_Account_Asset_Type[Nhóm tài sản],MD_Account_Asset_Type[Tên nhóm TS-Rút gọn])</f>
        <v>Phương tiện vận tải thuê tài chính</v>
      </c>
      <c r="H317" s="41" t="str">
        <f>_xlfn.XLOOKUP($D317,MD_Account_Asset_Type[Nhóm tài sản],MD_Account_Asset_Type[Tên nhóm TS-Rút gọn-v2])</f>
        <v>Phương tiện vận tải thuê tài chính</v>
      </c>
      <c r="I317" s="43" t="s">
        <v>1196</v>
      </c>
      <c r="J317" s="42" t="s">
        <v>814</v>
      </c>
      <c r="K317" s="41" t="s">
        <v>1161</v>
      </c>
      <c r="L317" s="42" t="s">
        <v>48</v>
      </c>
      <c r="M317" s="42" t="s">
        <v>123</v>
      </c>
      <c r="N317" s="44">
        <v>0</v>
      </c>
      <c r="O317" s="44"/>
      <c r="P317" s="41" t="s">
        <v>463</v>
      </c>
      <c r="Q317" s="41" t="str">
        <f t="shared" si="13"/>
        <v>627</v>
      </c>
      <c r="R317" s="41" t="str">
        <f>_xlfn.XLOOKUP($L317,MD_Cost_Center[Mã Cost Center],MD_Cost_Center[Ngành])</f>
        <v>PET</v>
      </c>
      <c r="S317" s="41" t="str">
        <f>_xlfn.XLOOKUP($L317,MD_Cost_Center[Mã Cost Center],MD_Cost_Center[Ngành-Tách PET-Xơ sợi])</f>
        <v>Chung-PET</v>
      </c>
      <c r="T317" s="45">
        <v>45627</v>
      </c>
      <c r="U317" s="46">
        <v>47119</v>
      </c>
      <c r="V317" s="47">
        <v>120</v>
      </c>
      <c r="W317" s="47">
        <v>69105000</v>
      </c>
      <c r="X317" s="47">
        <v>-474495.51401869161</v>
      </c>
      <c r="Y317" s="47">
        <v>69105000</v>
      </c>
      <c r="Z317" s="47">
        <v>69105000</v>
      </c>
      <c r="AA317" s="47">
        <v>69105000</v>
      </c>
      <c r="AB317" s="47">
        <v>69105000</v>
      </c>
      <c r="AC317" s="47">
        <v>69105000</v>
      </c>
      <c r="AD317" s="47">
        <v>69105000</v>
      </c>
      <c r="AE317" s="47">
        <v>69105000</v>
      </c>
      <c r="AF317" s="47">
        <v>69105000</v>
      </c>
      <c r="AG317" s="47">
        <v>69105000</v>
      </c>
      <c r="AH317" s="47">
        <v>69105000</v>
      </c>
      <c r="AI317" s="47">
        <v>69105000</v>
      </c>
      <c r="AJ317" s="47">
        <v>69105000</v>
      </c>
      <c r="AK317" s="47">
        <v>69105000</v>
      </c>
      <c r="AL317" s="47">
        <v>-16923674</v>
      </c>
      <c r="AM317" s="47">
        <v>-18333980</v>
      </c>
      <c r="AN317" s="47">
        <v>-474495.51401869161</v>
      </c>
      <c r="AO317" s="47">
        <v>-474495.51401869161</v>
      </c>
      <c r="AP317" s="47">
        <v>-474495.51401869161</v>
      </c>
      <c r="AQ317" s="47">
        <v>-474495.51401869161</v>
      </c>
      <c r="AR317" s="47">
        <v>-474495.51401869161</v>
      </c>
      <c r="AS317" s="47">
        <v>-474495.51401869161</v>
      </c>
      <c r="AT317" s="47">
        <v>-474495.51401869161</v>
      </c>
      <c r="AU317" s="47">
        <v>-474495.51401869161</v>
      </c>
      <c r="AV317" s="47">
        <v>-474495.51401869161</v>
      </c>
      <c r="AW317" s="47">
        <v>-474495.51401869161</v>
      </c>
      <c r="AX317" s="47">
        <v>-474495.51401869161</v>
      </c>
      <c r="AY317" s="47">
        <v>-474495.51401869161</v>
      </c>
      <c r="AZ317" s="58">
        <f t="shared" si="15"/>
        <v>-5693946.1682243012</v>
      </c>
      <c r="BA317" s="47">
        <f>Y317+SUM($AM317:AM317)</f>
        <v>50771020</v>
      </c>
      <c r="BB317" s="48">
        <f>Z317+SUM($AM317:AN317)</f>
        <v>50296524.485981308</v>
      </c>
      <c r="BC317" s="48">
        <f>AA317+SUM($AM317:AO317)</f>
        <v>49822028.971962616</v>
      </c>
      <c r="BD317" s="48">
        <f>AB317+SUM($AM317:AP317)</f>
        <v>49347533.457943924</v>
      </c>
      <c r="BE317" s="48">
        <f>AC317+SUM($AM317:AQ317)</f>
        <v>48873037.943925232</v>
      </c>
      <c r="BF317" s="48">
        <f>AD317+SUM($AM317:AR317)</f>
        <v>48398542.42990654</v>
      </c>
      <c r="BG317" s="48">
        <f>AE317+SUM($AM317:AS317)</f>
        <v>47924046.915887848</v>
      </c>
      <c r="BH317" s="48">
        <f>AF317+SUM($AM317:AT317)</f>
        <v>47449551.401869155</v>
      </c>
      <c r="BI317" s="48">
        <f>AG317+SUM($AM317:AU317)</f>
        <v>46975055.887850463</v>
      </c>
      <c r="BJ317" s="48">
        <f>AH317+SUM($AM317:AV317)</f>
        <v>46500560.373831771</v>
      </c>
      <c r="BK317" s="48">
        <f>AI317+SUM($AM317:AW317)</f>
        <v>46026064.859813079</v>
      </c>
      <c r="BL317" s="48">
        <f>AJ317+SUM($AM317:AX317)</f>
        <v>45551569.345794387</v>
      </c>
      <c r="BM317" s="48">
        <f>AK317+SUM($AM317:AY317)</f>
        <v>45077073.831775695</v>
      </c>
      <c r="BO317" s="47"/>
    </row>
    <row r="318" spans="3:67" s="41" customFormat="1" hidden="1" x14ac:dyDescent="0.3">
      <c r="C318" s="41" t="s">
        <v>1340</v>
      </c>
      <c r="D318" s="42" t="s">
        <v>357</v>
      </c>
      <c r="E318" s="42" t="str">
        <f t="shared" si="14"/>
        <v>212</v>
      </c>
      <c r="F318" s="41" t="str">
        <f>_xlfn.XLOOKUP($D318,MD_Account_Asset_Type[Nhóm tài sản],MD_Account_Asset_Type[Tên Nhóm tài sản])</f>
        <v>TSCĐ thuê TC: Phương tiện vận tải, truyền dẫn - SX 627</v>
      </c>
      <c r="G318" s="41" t="str">
        <f>_xlfn.XLOOKUP($D318,MD_Account_Asset_Type[Nhóm tài sản],MD_Account_Asset_Type[Tên nhóm TS-Rút gọn])</f>
        <v>Phương tiện vận tải thuê tài chính</v>
      </c>
      <c r="H318" s="41" t="str">
        <f>_xlfn.XLOOKUP($D318,MD_Account_Asset_Type[Nhóm tài sản],MD_Account_Asset_Type[Tên nhóm TS-Rút gọn-v2])</f>
        <v>Phương tiện vận tải thuê tài chính</v>
      </c>
      <c r="I318" s="43" t="s">
        <v>1197</v>
      </c>
      <c r="J318" s="42" t="s">
        <v>815</v>
      </c>
      <c r="K318" s="41" t="s">
        <v>1161</v>
      </c>
      <c r="L318" s="42" t="s">
        <v>48</v>
      </c>
      <c r="M318" s="42" t="s">
        <v>123</v>
      </c>
      <c r="N318" s="44">
        <v>0</v>
      </c>
      <c r="O318" s="44"/>
      <c r="P318" s="41" t="s">
        <v>463</v>
      </c>
      <c r="Q318" s="41" t="str">
        <f t="shared" si="13"/>
        <v>627</v>
      </c>
      <c r="R318" s="41" t="str">
        <f>_xlfn.XLOOKUP($L318,MD_Cost_Center[Mã Cost Center],MD_Cost_Center[Ngành])</f>
        <v>PET</v>
      </c>
      <c r="S318" s="41" t="str">
        <f>_xlfn.XLOOKUP($L318,MD_Cost_Center[Mã Cost Center],MD_Cost_Center[Ngành-Tách PET-Xơ sợi])</f>
        <v>Chung-PET</v>
      </c>
      <c r="T318" s="45">
        <v>45627</v>
      </c>
      <c r="U318" s="46">
        <v>47270</v>
      </c>
      <c r="V318" s="47">
        <v>120</v>
      </c>
      <c r="W318" s="47">
        <v>35432099</v>
      </c>
      <c r="X318" s="47">
        <v>-251421.95327102803</v>
      </c>
      <c r="Y318" s="47">
        <v>35432099</v>
      </c>
      <c r="Z318" s="47">
        <v>35432099</v>
      </c>
      <c r="AA318" s="47">
        <v>35432099</v>
      </c>
      <c r="AB318" s="47">
        <v>35432099</v>
      </c>
      <c r="AC318" s="47">
        <v>35432099</v>
      </c>
      <c r="AD318" s="47">
        <v>35432099</v>
      </c>
      <c r="AE318" s="47">
        <v>35432099</v>
      </c>
      <c r="AF318" s="47">
        <v>35432099</v>
      </c>
      <c r="AG318" s="47">
        <v>35432099</v>
      </c>
      <c r="AH318" s="47">
        <v>35432099</v>
      </c>
      <c r="AI318" s="47">
        <v>35432099</v>
      </c>
      <c r="AJ318" s="47">
        <v>35432099</v>
      </c>
      <c r="AK318" s="47">
        <v>35432099</v>
      </c>
      <c r="AL318" s="47">
        <v>-7873800</v>
      </c>
      <c r="AM318" s="47">
        <v>-8529950</v>
      </c>
      <c r="AN318" s="47">
        <v>-251421.95327102803</v>
      </c>
      <c r="AO318" s="47">
        <v>-251421.95327102803</v>
      </c>
      <c r="AP318" s="47">
        <v>-251421.95327102803</v>
      </c>
      <c r="AQ318" s="47">
        <v>-251421.95327102803</v>
      </c>
      <c r="AR318" s="47">
        <v>-251421.95327102803</v>
      </c>
      <c r="AS318" s="47">
        <v>-251421.95327102803</v>
      </c>
      <c r="AT318" s="47">
        <v>-251421.95327102803</v>
      </c>
      <c r="AU318" s="47">
        <v>-251421.95327102803</v>
      </c>
      <c r="AV318" s="47">
        <v>-251421.95327102803</v>
      </c>
      <c r="AW318" s="47">
        <v>-251421.95327102803</v>
      </c>
      <c r="AX318" s="47">
        <v>-251421.95327102803</v>
      </c>
      <c r="AY318" s="47">
        <v>-251421.95327102803</v>
      </c>
      <c r="AZ318" s="58">
        <f t="shared" si="15"/>
        <v>-3017063.439252337</v>
      </c>
      <c r="BA318" s="47">
        <f>Y318+SUM($AM318:AM318)</f>
        <v>26902149</v>
      </c>
      <c r="BB318" s="48">
        <f>Z318+SUM($AM318:AN318)</f>
        <v>26650727.046728972</v>
      </c>
      <c r="BC318" s="48">
        <f>AA318+SUM($AM318:AO318)</f>
        <v>26399305.093457945</v>
      </c>
      <c r="BD318" s="48">
        <f>AB318+SUM($AM318:AP318)</f>
        <v>26147883.140186917</v>
      </c>
      <c r="BE318" s="48">
        <f>AC318+SUM($AM318:AQ318)</f>
        <v>25896461.186915889</v>
      </c>
      <c r="BF318" s="48">
        <f>AD318+SUM($AM318:AR318)</f>
        <v>25645039.233644862</v>
      </c>
      <c r="BG318" s="48">
        <f>AE318+SUM($AM318:AS318)</f>
        <v>25393617.280373834</v>
      </c>
      <c r="BH318" s="48">
        <f>AF318+SUM($AM318:AT318)</f>
        <v>25142195.327102806</v>
      </c>
      <c r="BI318" s="48">
        <f>AG318+SUM($AM318:AU318)</f>
        <v>24890773.373831779</v>
      </c>
      <c r="BJ318" s="48">
        <f>AH318+SUM($AM318:AV318)</f>
        <v>24639351.420560751</v>
      </c>
      <c r="BK318" s="48">
        <f>AI318+SUM($AM318:AW318)</f>
        <v>24387929.467289723</v>
      </c>
      <c r="BL318" s="48">
        <f>AJ318+SUM($AM318:AX318)</f>
        <v>24136507.514018696</v>
      </c>
      <c r="BM318" s="48">
        <f>AK318+SUM($AM318:AY318)</f>
        <v>23885085.560747668</v>
      </c>
      <c r="BO318" s="47"/>
    </row>
    <row r="319" spans="3:67" s="41" customFormat="1" hidden="1" x14ac:dyDescent="0.3">
      <c r="C319" s="41" t="s">
        <v>1340</v>
      </c>
      <c r="D319" s="42" t="s">
        <v>357</v>
      </c>
      <c r="E319" s="42" t="str">
        <f t="shared" si="14"/>
        <v>212</v>
      </c>
      <c r="F319" s="41" t="str">
        <f>_xlfn.XLOOKUP($D319,MD_Account_Asset_Type[Nhóm tài sản],MD_Account_Asset_Type[Tên Nhóm tài sản])</f>
        <v>TSCĐ thuê TC: Phương tiện vận tải, truyền dẫn - SX 627</v>
      </c>
      <c r="G319" s="41" t="str">
        <f>_xlfn.XLOOKUP($D319,MD_Account_Asset_Type[Nhóm tài sản],MD_Account_Asset_Type[Tên nhóm TS-Rút gọn])</f>
        <v>Phương tiện vận tải thuê tài chính</v>
      </c>
      <c r="H319" s="41" t="str">
        <f>_xlfn.XLOOKUP($D319,MD_Account_Asset_Type[Nhóm tài sản],MD_Account_Asset_Type[Tên nhóm TS-Rút gọn-v2])</f>
        <v>Phương tiện vận tải thuê tài chính</v>
      </c>
      <c r="I319" s="43" t="s">
        <v>1198</v>
      </c>
      <c r="J319" s="42" t="s">
        <v>816</v>
      </c>
      <c r="K319" s="41" t="s">
        <v>1161</v>
      </c>
      <c r="L319" s="42" t="s">
        <v>48</v>
      </c>
      <c r="M319" s="42" t="s">
        <v>123</v>
      </c>
      <c r="N319" s="44">
        <v>0</v>
      </c>
      <c r="O319" s="44"/>
      <c r="P319" s="41" t="s">
        <v>463</v>
      </c>
      <c r="Q319" s="41" t="str">
        <f t="shared" si="13"/>
        <v>627</v>
      </c>
      <c r="R319" s="41" t="str">
        <f>_xlfn.XLOOKUP($L319,MD_Cost_Center[Mã Cost Center],MD_Cost_Center[Ngành])</f>
        <v>PET</v>
      </c>
      <c r="S319" s="41" t="str">
        <f>_xlfn.XLOOKUP($L319,MD_Cost_Center[Mã Cost Center],MD_Cost_Center[Ngành-Tách PET-Xơ sợi])</f>
        <v>Chung-PET</v>
      </c>
      <c r="T319" s="45">
        <v>45627</v>
      </c>
      <c r="U319" s="46">
        <v>47270</v>
      </c>
      <c r="V319" s="47">
        <v>120</v>
      </c>
      <c r="W319" s="47">
        <v>35432099</v>
      </c>
      <c r="X319" s="47">
        <v>-251421.95327102803</v>
      </c>
      <c r="Y319" s="47">
        <v>35432099</v>
      </c>
      <c r="Z319" s="47">
        <v>35432099</v>
      </c>
      <c r="AA319" s="47">
        <v>35432099</v>
      </c>
      <c r="AB319" s="47">
        <v>35432099</v>
      </c>
      <c r="AC319" s="47">
        <v>35432099</v>
      </c>
      <c r="AD319" s="47">
        <v>35432099</v>
      </c>
      <c r="AE319" s="47">
        <v>35432099</v>
      </c>
      <c r="AF319" s="47">
        <v>35432099</v>
      </c>
      <c r="AG319" s="47">
        <v>35432099</v>
      </c>
      <c r="AH319" s="47">
        <v>35432099</v>
      </c>
      <c r="AI319" s="47">
        <v>35432099</v>
      </c>
      <c r="AJ319" s="47">
        <v>35432099</v>
      </c>
      <c r="AK319" s="47">
        <v>35432099</v>
      </c>
      <c r="AL319" s="47">
        <v>-7873800</v>
      </c>
      <c r="AM319" s="47">
        <v>-8529950</v>
      </c>
      <c r="AN319" s="47">
        <v>-251421.95327102803</v>
      </c>
      <c r="AO319" s="47">
        <v>-251421.95327102803</v>
      </c>
      <c r="AP319" s="47">
        <v>-251421.95327102803</v>
      </c>
      <c r="AQ319" s="47">
        <v>-251421.95327102803</v>
      </c>
      <c r="AR319" s="47">
        <v>-251421.95327102803</v>
      </c>
      <c r="AS319" s="47">
        <v>-251421.95327102803</v>
      </c>
      <c r="AT319" s="47">
        <v>-251421.95327102803</v>
      </c>
      <c r="AU319" s="47">
        <v>-251421.95327102803</v>
      </c>
      <c r="AV319" s="47">
        <v>-251421.95327102803</v>
      </c>
      <c r="AW319" s="47">
        <v>-251421.95327102803</v>
      </c>
      <c r="AX319" s="47">
        <v>-251421.95327102803</v>
      </c>
      <c r="AY319" s="47">
        <v>-251421.95327102803</v>
      </c>
      <c r="AZ319" s="58">
        <f t="shared" si="15"/>
        <v>-3017063.439252337</v>
      </c>
      <c r="BA319" s="47">
        <f>Y319+SUM($AM319:AM319)</f>
        <v>26902149</v>
      </c>
      <c r="BB319" s="48">
        <f>Z319+SUM($AM319:AN319)</f>
        <v>26650727.046728972</v>
      </c>
      <c r="BC319" s="48">
        <f>AA319+SUM($AM319:AO319)</f>
        <v>26399305.093457945</v>
      </c>
      <c r="BD319" s="48">
        <f>AB319+SUM($AM319:AP319)</f>
        <v>26147883.140186917</v>
      </c>
      <c r="BE319" s="48">
        <f>AC319+SUM($AM319:AQ319)</f>
        <v>25896461.186915889</v>
      </c>
      <c r="BF319" s="48">
        <f>AD319+SUM($AM319:AR319)</f>
        <v>25645039.233644862</v>
      </c>
      <c r="BG319" s="48">
        <f>AE319+SUM($AM319:AS319)</f>
        <v>25393617.280373834</v>
      </c>
      <c r="BH319" s="48">
        <f>AF319+SUM($AM319:AT319)</f>
        <v>25142195.327102806</v>
      </c>
      <c r="BI319" s="48">
        <f>AG319+SUM($AM319:AU319)</f>
        <v>24890773.373831779</v>
      </c>
      <c r="BJ319" s="48">
        <f>AH319+SUM($AM319:AV319)</f>
        <v>24639351.420560751</v>
      </c>
      <c r="BK319" s="48">
        <f>AI319+SUM($AM319:AW319)</f>
        <v>24387929.467289723</v>
      </c>
      <c r="BL319" s="48">
        <f>AJ319+SUM($AM319:AX319)</f>
        <v>24136507.514018696</v>
      </c>
      <c r="BM319" s="48">
        <f>AK319+SUM($AM319:AY319)</f>
        <v>23885085.560747668</v>
      </c>
      <c r="BO319" s="47"/>
    </row>
    <row r="320" spans="3:67" s="41" customFormat="1" hidden="1" x14ac:dyDescent="0.3">
      <c r="C320" s="41" t="s">
        <v>1340</v>
      </c>
      <c r="D320" s="42" t="s">
        <v>357</v>
      </c>
      <c r="E320" s="42" t="str">
        <f t="shared" si="14"/>
        <v>212</v>
      </c>
      <c r="F320" s="41" t="str">
        <f>_xlfn.XLOOKUP($D320,MD_Account_Asset_Type[Nhóm tài sản],MD_Account_Asset_Type[Tên Nhóm tài sản])</f>
        <v>TSCĐ thuê TC: Phương tiện vận tải, truyền dẫn - SX 627</v>
      </c>
      <c r="G320" s="41" t="str">
        <f>_xlfn.XLOOKUP($D320,MD_Account_Asset_Type[Nhóm tài sản],MD_Account_Asset_Type[Tên nhóm TS-Rút gọn])</f>
        <v>Phương tiện vận tải thuê tài chính</v>
      </c>
      <c r="H320" s="41" t="str">
        <f>_xlfn.XLOOKUP($D320,MD_Account_Asset_Type[Nhóm tài sản],MD_Account_Asset_Type[Tên nhóm TS-Rút gọn-v2])</f>
        <v>Phương tiện vận tải thuê tài chính</v>
      </c>
      <c r="I320" s="43" t="s">
        <v>1199</v>
      </c>
      <c r="J320" s="42" t="s">
        <v>817</v>
      </c>
      <c r="K320" s="41" t="s">
        <v>1161</v>
      </c>
      <c r="L320" s="42" t="s">
        <v>48</v>
      </c>
      <c r="M320" s="42" t="s">
        <v>123</v>
      </c>
      <c r="N320" s="44">
        <v>0</v>
      </c>
      <c r="O320" s="44"/>
      <c r="P320" s="41" t="s">
        <v>463</v>
      </c>
      <c r="Q320" s="41" t="str">
        <f t="shared" si="13"/>
        <v>627</v>
      </c>
      <c r="R320" s="41" t="str">
        <f>_xlfn.XLOOKUP($L320,MD_Cost_Center[Mã Cost Center],MD_Cost_Center[Ngành])</f>
        <v>PET</v>
      </c>
      <c r="S320" s="41" t="str">
        <f>_xlfn.XLOOKUP($L320,MD_Cost_Center[Mã Cost Center],MD_Cost_Center[Ngành-Tách PET-Xơ sợi])</f>
        <v>Chung-PET</v>
      </c>
      <c r="T320" s="45">
        <v>45627</v>
      </c>
      <c r="U320" s="46">
        <v>47239</v>
      </c>
      <c r="V320" s="47">
        <v>120</v>
      </c>
      <c r="W320" s="47">
        <v>34799383</v>
      </c>
      <c r="X320" s="47">
        <v>-245455</v>
      </c>
      <c r="Y320" s="47">
        <v>34799383</v>
      </c>
      <c r="Z320" s="47">
        <v>34799383</v>
      </c>
      <c r="AA320" s="47">
        <v>34799383</v>
      </c>
      <c r="AB320" s="47">
        <v>34799383</v>
      </c>
      <c r="AC320" s="47">
        <v>34799383</v>
      </c>
      <c r="AD320" s="47">
        <v>34799383</v>
      </c>
      <c r="AE320" s="47">
        <v>34799383</v>
      </c>
      <c r="AF320" s="47">
        <v>34799383</v>
      </c>
      <c r="AG320" s="47">
        <v>34799383</v>
      </c>
      <c r="AH320" s="47">
        <v>34799383</v>
      </c>
      <c r="AI320" s="47">
        <v>34799383</v>
      </c>
      <c r="AJ320" s="47">
        <v>34799383</v>
      </c>
      <c r="AK320" s="47">
        <v>34799383</v>
      </c>
      <c r="AL320" s="47">
        <v>-7879106</v>
      </c>
      <c r="AM320" s="47">
        <v>-8535698</v>
      </c>
      <c r="AN320" s="47">
        <v>-245455</v>
      </c>
      <c r="AO320" s="47">
        <v>-245455</v>
      </c>
      <c r="AP320" s="47">
        <v>-245455</v>
      </c>
      <c r="AQ320" s="47">
        <v>-245455</v>
      </c>
      <c r="AR320" s="47">
        <v>-245455</v>
      </c>
      <c r="AS320" s="47">
        <v>-245455</v>
      </c>
      <c r="AT320" s="47">
        <v>-245455</v>
      </c>
      <c r="AU320" s="47">
        <v>-245455</v>
      </c>
      <c r="AV320" s="47">
        <v>-245455</v>
      </c>
      <c r="AW320" s="47">
        <v>-245455</v>
      </c>
      <c r="AX320" s="47">
        <v>-245455</v>
      </c>
      <c r="AY320" s="47">
        <v>-245455</v>
      </c>
      <c r="AZ320" s="58">
        <f t="shared" si="15"/>
        <v>-2945460</v>
      </c>
      <c r="BA320" s="47">
        <f>Y320+SUM($AM320:AM320)</f>
        <v>26263685</v>
      </c>
      <c r="BB320" s="48">
        <f>Z320+SUM($AM320:AN320)</f>
        <v>26018230</v>
      </c>
      <c r="BC320" s="48">
        <f>AA320+SUM($AM320:AO320)</f>
        <v>25772775</v>
      </c>
      <c r="BD320" s="48">
        <f>AB320+SUM($AM320:AP320)</f>
        <v>25527320</v>
      </c>
      <c r="BE320" s="48">
        <f>AC320+SUM($AM320:AQ320)</f>
        <v>25281865</v>
      </c>
      <c r="BF320" s="48">
        <f>AD320+SUM($AM320:AR320)</f>
        <v>25036410</v>
      </c>
      <c r="BG320" s="48">
        <f>AE320+SUM($AM320:AS320)</f>
        <v>24790955</v>
      </c>
      <c r="BH320" s="48">
        <f>AF320+SUM($AM320:AT320)</f>
        <v>24545500</v>
      </c>
      <c r="BI320" s="48">
        <f>AG320+SUM($AM320:AU320)</f>
        <v>24300045</v>
      </c>
      <c r="BJ320" s="48">
        <f>AH320+SUM($AM320:AV320)</f>
        <v>24054590</v>
      </c>
      <c r="BK320" s="48">
        <f>AI320+SUM($AM320:AW320)</f>
        <v>23809135</v>
      </c>
      <c r="BL320" s="48">
        <f>AJ320+SUM($AM320:AX320)</f>
        <v>23563680</v>
      </c>
      <c r="BM320" s="48">
        <f>AK320+SUM($AM320:AY320)</f>
        <v>23318225</v>
      </c>
      <c r="BO320" s="47"/>
    </row>
    <row r="321" spans="3:67" s="41" customFormat="1" hidden="1" x14ac:dyDescent="0.3">
      <c r="C321" s="41" t="s">
        <v>1340</v>
      </c>
      <c r="D321" s="42" t="s">
        <v>371</v>
      </c>
      <c r="E321" s="42" t="str">
        <f t="shared" si="14"/>
        <v>212</v>
      </c>
      <c r="F321" s="41" t="str">
        <f>_xlfn.XLOOKUP($D321,MD_Account_Asset_Type[Nhóm tài sản],MD_Account_Asset_Type[Tên Nhóm tài sản])</f>
        <v>TSCĐ thuê TC: Phương tiện vận tải, truyền dẫn - BH 641</v>
      </c>
      <c r="G321" s="41" t="str">
        <f>_xlfn.XLOOKUP($D321,MD_Account_Asset_Type[Nhóm tài sản],MD_Account_Asset_Type[Tên nhóm TS-Rút gọn])</f>
        <v>Phương tiện vận tải thuê tài chính</v>
      </c>
      <c r="H321" s="41" t="str">
        <f>_xlfn.XLOOKUP($D321,MD_Account_Asset_Type[Nhóm tài sản],MD_Account_Asset_Type[Tên nhóm TS-Rút gọn-v2])</f>
        <v>Phương tiện vận tải thuê tài chính</v>
      </c>
      <c r="I321" s="43" t="s">
        <v>1200</v>
      </c>
      <c r="J321" s="42" t="s">
        <v>818</v>
      </c>
      <c r="K321" s="41" t="s">
        <v>1161</v>
      </c>
      <c r="L321" s="42" t="s">
        <v>40</v>
      </c>
      <c r="M321" s="42" t="s">
        <v>115</v>
      </c>
      <c r="N321" s="44">
        <v>0</v>
      </c>
      <c r="O321" s="44"/>
      <c r="P321" s="41" t="s">
        <v>469</v>
      </c>
      <c r="Q321" s="41" t="str">
        <f t="shared" si="13"/>
        <v>641</v>
      </c>
      <c r="R321" s="41" t="str">
        <f>_xlfn.XLOOKUP($L321,MD_Cost_Center[Mã Cost Center],MD_Cost_Center[Ngành])</f>
        <v>Chung</v>
      </c>
      <c r="S321" s="41" t="str">
        <f>_xlfn.XLOOKUP($L321,MD_Cost_Center[Mã Cost Center],MD_Cost_Center[Ngành-Tách PET-Xơ sợi])</f>
        <v>Chung</v>
      </c>
      <c r="T321" s="45">
        <v>45627</v>
      </c>
      <c r="U321" s="46">
        <v>46508</v>
      </c>
      <c r="V321" s="47">
        <v>120</v>
      </c>
      <c r="W321" s="47">
        <v>201500000</v>
      </c>
      <c r="X321" s="47">
        <v>-1038994.5233644859</v>
      </c>
      <c r="Y321" s="47">
        <v>201500000</v>
      </c>
      <c r="Z321" s="47">
        <v>201500000</v>
      </c>
      <c r="AA321" s="47">
        <v>201500000</v>
      </c>
      <c r="AB321" s="47">
        <v>201500000</v>
      </c>
      <c r="AC321" s="47">
        <v>201500000</v>
      </c>
      <c r="AD321" s="47">
        <v>201500000</v>
      </c>
      <c r="AE321" s="47">
        <v>201500000</v>
      </c>
      <c r="AF321" s="47">
        <v>201500000</v>
      </c>
      <c r="AG321" s="47">
        <v>201500000</v>
      </c>
      <c r="AH321" s="47">
        <v>201500000</v>
      </c>
      <c r="AI321" s="47">
        <v>201500000</v>
      </c>
      <c r="AJ321" s="47">
        <v>201500000</v>
      </c>
      <c r="AK321" s="47">
        <v>201500000</v>
      </c>
      <c r="AL321" s="47">
        <v>-83379310</v>
      </c>
      <c r="AM321" s="47">
        <v>-90327586</v>
      </c>
      <c r="AN321" s="47">
        <v>-1038994.5233644859</v>
      </c>
      <c r="AO321" s="47">
        <v>-1038994.5233644859</v>
      </c>
      <c r="AP321" s="47">
        <v>-1038994.5233644859</v>
      </c>
      <c r="AQ321" s="47">
        <v>-1038994.5233644859</v>
      </c>
      <c r="AR321" s="47">
        <v>-1038994.5233644859</v>
      </c>
      <c r="AS321" s="47">
        <v>-1038994.5233644859</v>
      </c>
      <c r="AT321" s="47">
        <v>-1038994.5233644859</v>
      </c>
      <c r="AU321" s="47">
        <v>-1038994.5233644859</v>
      </c>
      <c r="AV321" s="47">
        <v>-1038994.5233644859</v>
      </c>
      <c r="AW321" s="47">
        <v>-1038994.5233644859</v>
      </c>
      <c r="AX321" s="47">
        <v>-1038994.5233644859</v>
      </c>
      <c r="AY321" s="47">
        <v>-1038994.5233644859</v>
      </c>
      <c r="AZ321" s="58">
        <f t="shared" si="15"/>
        <v>-12467934.280373832</v>
      </c>
      <c r="BA321" s="47">
        <f>Y321+SUM($AM321:AM321)</f>
        <v>111172414</v>
      </c>
      <c r="BB321" s="48">
        <f>Z321+SUM($AM321:AN321)</f>
        <v>110133419.47663552</v>
      </c>
      <c r="BC321" s="48">
        <f>AA321+SUM($AM321:AO321)</f>
        <v>109094424.95327103</v>
      </c>
      <c r="BD321" s="48">
        <f>AB321+SUM($AM321:AP321)</f>
        <v>108055430.42990655</v>
      </c>
      <c r="BE321" s="48">
        <f>AC321+SUM($AM321:AQ321)</f>
        <v>107016435.90654206</v>
      </c>
      <c r="BF321" s="48">
        <f>AD321+SUM($AM321:AR321)</f>
        <v>105977441.38317758</v>
      </c>
      <c r="BG321" s="48">
        <f>AE321+SUM($AM321:AS321)</f>
        <v>104938446.85981309</v>
      </c>
      <c r="BH321" s="48">
        <f>AF321+SUM($AM321:AT321)</f>
        <v>103899452.33644861</v>
      </c>
      <c r="BI321" s="48">
        <f>AG321+SUM($AM321:AU321)</f>
        <v>102860457.81308413</v>
      </c>
      <c r="BJ321" s="48">
        <f>AH321+SUM($AM321:AV321)</f>
        <v>101821463.28971964</v>
      </c>
      <c r="BK321" s="48">
        <f>AI321+SUM($AM321:AW321)</f>
        <v>100782468.76635516</v>
      </c>
      <c r="BL321" s="48">
        <f>AJ321+SUM($AM321:AX321)</f>
        <v>99743474.242990673</v>
      </c>
      <c r="BM321" s="48">
        <f>AK321+SUM($AM321:AY321)</f>
        <v>98704479.719626188</v>
      </c>
      <c r="BO321" s="47"/>
    </row>
    <row r="322" spans="3:67" s="41" customFormat="1" hidden="1" x14ac:dyDescent="0.3">
      <c r="C322" s="41" t="s">
        <v>1340</v>
      </c>
      <c r="D322" s="42" t="s">
        <v>405</v>
      </c>
      <c r="E322" s="42" t="str">
        <f t="shared" si="14"/>
        <v>213</v>
      </c>
      <c r="F322" s="41" t="str">
        <f>_xlfn.XLOOKUP($D322,MD_Account_Asset_Type[Nhóm tài sản],MD_Account_Asset_Type[Tên Nhóm tài sản])</f>
        <v>Phần mềm máy vi tính - QL 642</v>
      </c>
      <c r="G322" s="41" t="str">
        <f>_xlfn.XLOOKUP($D322,MD_Account_Asset_Type[Nhóm tài sản],MD_Account_Asset_Type[Tên nhóm TS-Rút gọn])</f>
        <v>Phần mềm công nghệ thông tin</v>
      </c>
      <c r="H322" s="41" t="str">
        <f>_xlfn.XLOOKUP($D322,MD_Account_Asset_Type[Nhóm tài sản],MD_Account_Asset_Type[Tên nhóm TS-Rút gọn-v2])</f>
        <v>Phần mềm công nghệ thông tin</v>
      </c>
      <c r="I322" s="43" t="s">
        <v>1207</v>
      </c>
      <c r="J322" s="42" t="s">
        <v>819</v>
      </c>
      <c r="K322" s="41" t="s">
        <v>830</v>
      </c>
      <c r="L322" s="42" t="s">
        <v>41</v>
      </c>
      <c r="M322" s="42" t="s">
        <v>116</v>
      </c>
      <c r="N322" s="44">
        <v>0</v>
      </c>
      <c r="O322" s="44"/>
      <c r="P322" s="41" t="s">
        <v>489</v>
      </c>
      <c r="Q322" s="41" t="str">
        <f t="shared" si="13"/>
        <v>642</v>
      </c>
      <c r="R322" s="41" t="str">
        <f>_xlfn.XLOOKUP($L322,MD_Cost_Center[Mã Cost Center],MD_Cost_Center[Ngành])</f>
        <v>Chung</v>
      </c>
      <c r="S322" s="41" t="str">
        <f>_xlfn.XLOOKUP($L322,MD_Cost_Center[Mã Cost Center],MD_Cost_Center[Ngành-Tách PET-Xơ sợi])</f>
        <v>Chung</v>
      </c>
      <c r="T322" s="45">
        <v>45748</v>
      </c>
      <c r="U322" s="46">
        <v>46844</v>
      </c>
      <c r="V322" s="47">
        <v>96</v>
      </c>
      <c r="W322" s="47">
        <v>487610783</v>
      </c>
      <c r="X322" s="47">
        <v>-4203541.2298850575</v>
      </c>
      <c r="Y322" s="47">
        <v>487610783</v>
      </c>
      <c r="Z322" s="47">
        <v>487610783</v>
      </c>
      <c r="AA322" s="47">
        <v>487610783</v>
      </c>
      <c r="AB322" s="47">
        <v>487610783</v>
      </c>
      <c r="AC322" s="47">
        <v>487610783</v>
      </c>
      <c r="AD322" s="47">
        <v>487610783</v>
      </c>
      <c r="AE322" s="47">
        <v>487610783</v>
      </c>
      <c r="AF322" s="47">
        <v>487610783</v>
      </c>
      <c r="AG322" s="47">
        <v>487610783</v>
      </c>
      <c r="AH322" s="47">
        <v>487610783</v>
      </c>
      <c r="AI322" s="47">
        <v>487610783</v>
      </c>
      <c r="AJ322" s="47">
        <v>487610783</v>
      </c>
      <c r="AK322" s="47">
        <v>487610783</v>
      </c>
      <c r="AL322" s="47">
        <v>-121902696</v>
      </c>
      <c r="AM322" s="47">
        <v>-121902696</v>
      </c>
      <c r="AN322" s="47">
        <v>-4203541.2298850575</v>
      </c>
      <c r="AO322" s="47">
        <v>-4203541.2298850575</v>
      </c>
      <c r="AP322" s="47">
        <v>-4203541.2298850575</v>
      </c>
      <c r="AQ322" s="47">
        <v>-4203541.2298850575</v>
      </c>
      <c r="AR322" s="47">
        <v>-4203541.2298850575</v>
      </c>
      <c r="AS322" s="47">
        <v>-4203541.2298850575</v>
      </c>
      <c r="AT322" s="47">
        <v>-4203541.2298850575</v>
      </c>
      <c r="AU322" s="47">
        <v>-4203541.2298850575</v>
      </c>
      <c r="AV322" s="47">
        <v>-4203541.2298850575</v>
      </c>
      <c r="AW322" s="47">
        <v>-4203541.2298850575</v>
      </c>
      <c r="AX322" s="47">
        <v>-4203541.2298850575</v>
      </c>
      <c r="AY322" s="47">
        <v>-4203541.2298850575</v>
      </c>
      <c r="AZ322" s="58">
        <f t="shared" si="15"/>
        <v>-50442494.758620687</v>
      </c>
      <c r="BA322" s="47">
        <f>Y322+SUM($AM322:AM322)</f>
        <v>365708087</v>
      </c>
      <c r="BB322" s="48">
        <f>Z322+SUM($AM322:AN322)</f>
        <v>361504545.77011496</v>
      </c>
      <c r="BC322" s="48">
        <f>AA322+SUM($AM322:AO322)</f>
        <v>357301004.54022992</v>
      </c>
      <c r="BD322" s="48">
        <f>AB322+SUM($AM322:AP322)</f>
        <v>353097463.31034482</v>
      </c>
      <c r="BE322" s="48">
        <f>AC322+SUM($AM322:AQ322)</f>
        <v>348893922.08045971</v>
      </c>
      <c r="BF322" s="48">
        <f>AD322+SUM($AM322:AR322)</f>
        <v>344690380.85057467</v>
      </c>
      <c r="BG322" s="48">
        <f>AE322+SUM($AM322:AS322)</f>
        <v>340486839.62068963</v>
      </c>
      <c r="BH322" s="48">
        <f>AF322+SUM($AM322:AT322)</f>
        <v>336283298.39080453</v>
      </c>
      <c r="BI322" s="48">
        <f>AG322+SUM($AM322:AU322)</f>
        <v>332079757.16091943</v>
      </c>
      <c r="BJ322" s="48">
        <f>AH322+SUM($AM322:AV322)</f>
        <v>327876215.93103439</v>
      </c>
      <c r="BK322" s="48">
        <f>AI322+SUM($AM322:AW322)</f>
        <v>323672674.70114934</v>
      </c>
      <c r="BL322" s="48">
        <f>AJ322+SUM($AM322:AX322)</f>
        <v>319469133.47126424</v>
      </c>
      <c r="BM322" s="48">
        <f>AK322+SUM($AM322:AY322)</f>
        <v>315265592.24137914</v>
      </c>
      <c r="BO322" s="47"/>
    </row>
    <row r="323" spans="3:67" s="41" customFormat="1" hidden="1" x14ac:dyDescent="0.3">
      <c r="C323" s="41" t="s">
        <v>1340</v>
      </c>
      <c r="D323" s="42" t="s">
        <v>404</v>
      </c>
      <c r="E323" s="42" t="str">
        <f t="shared" si="14"/>
        <v>213</v>
      </c>
      <c r="F323" s="41" t="str">
        <f>_xlfn.XLOOKUP($D323,MD_Account_Asset_Type[Nhóm tài sản],MD_Account_Asset_Type[Tên Nhóm tài sản])</f>
        <v>Phần mềm máy vi tính - SX 627</v>
      </c>
      <c r="G323" s="41" t="str">
        <f>_xlfn.XLOOKUP($D323,MD_Account_Asset_Type[Nhóm tài sản],MD_Account_Asset_Type[Tên nhóm TS-Rút gọn])</f>
        <v>Phần mềm công nghệ thông tin</v>
      </c>
      <c r="H323" s="41" t="str">
        <f>_xlfn.XLOOKUP($D323,MD_Account_Asset_Type[Nhóm tài sản],MD_Account_Asset_Type[Tên nhóm TS-Rút gọn-v2])</f>
        <v>Phần mềm công nghệ thông tin</v>
      </c>
      <c r="I323" s="43" t="s">
        <v>1201</v>
      </c>
      <c r="J323" s="42" t="s">
        <v>820</v>
      </c>
      <c r="K323" s="41" t="s">
        <v>830</v>
      </c>
      <c r="L323" s="42" t="s">
        <v>45</v>
      </c>
      <c r="M323" s="42" t="s">
        <v>120</v>
      </c>
      <c r="N323" s="44">
        <v>0</v>
      </c>
      <c r="O323" s="44"/>
      <c r="P323" s="41" t="s">
        <v>481</v>
      </c>
      <c r="Q323" s="41" t="str">
        <f t="shared" si="13"/>
        <v>627</v>
      </c>
      <c r="R323" s="41" t="str">
        <f>_xlfn.XLOOKUP($L323,MD_Cost_Center[Mã Cost Center],MD_Cost_Center[Ngành])</f>
        <v>Chung</v>
      </c>
      <c r="S323" s="41" t="str">
        <f>_xlfn.XLOOKUP($L323,MD_Cost_Center[Mã Cost Center],MD_Cost_Center[Ngành-Tách PET-Xơ sợi])</f>
        <v>Chung</v>
      </c>
      <c r="T323" s="45">
        <v>45139</v>
      </c>
      <c r="U323" s="46">
        <v>46784</v>
      </c>
      <c r="V323" s="47">
        <v>96</v>
      </c>
      <c r="W323" s="47">
        <v>53870000</v>
      </c>
      <c r="X323" s="47">
        <v>-372236.04477611941</v>
      </c>
      <c r="Y323" s="47">
        <v>53870000</v>
      </c>
      <c r="Z323" s="47">
        <v>53870000</v>
      </c>
      <c r="AA323" s="47">
        <v>53870000</v>
      </c>
      <c r="AB323" s="47">
        <v>53870000</v>
      </c>
      <c r="AC323" s="47">
        <v>53870000</v>
      </c>
      <c r="AD323" s="47">
        <v>53870000</v>
      </c>
      <c r="AE323" s="47">
        <v>53870000</v>
      </c>
      <c r="AF323" s="47">
        <v>53870000</v>
      </c>
      <c r="AG323" s="47">
        <v>53870000</v>
      </c>
      <c r="AH323" s="47">
        <v>53870000</v>
      </c>
      <c r="AI323" s="47">
        <v>53870000</v>
      </c>
      <c r="AJ323" s="47">
        <v>53870000</v>
      </c>
      <c r="AK323" s="47">
        <v>53870000</v>
      </c>
      <c r="AL323" s="47">
        <v>-11971111</v>
      </c>
      <c r="AM323" s="47">
        <v>-28930185</v>
      </c>
      <c r="AN323" s="47">
        <v>-372236.04477611941</v>
      </c>
      <c r="AO323" s="47">
        <v>-372236.04477611941</v>
      </c>
      <c r="AP323" s="47">
        <v>-372236.04477611941</v>
      </c>
      <c r="AQ323" s="47">
        <v>-372236.04477611941</v>
      </c>
      <c r="AR323" s="47">
        <v>-372236.04477611941</v>
      </c>
      <c r="AS323" s="47">
        <v>-372236.04477611941</v>
      </c>
      <c r="AT323" s="47">
        <v>-372236.04477611941</v>
      </c>
      <c r="AU323" s="47">
        <v>-372236.04477611941</v>
      </c>
      <c r="AV323" s="47">
        <v>-372236.04477611941</v>
      </c>
      <c r="AW323" s="47">
        <v>-372236.04477611941</v>
      </c>
      <c r="AX323" s="47">
        <v>-372236.04477611941</v>
      </c>
      <c r="AY323" s="47">
        <v>-372236.04477611941</v>
      </c>
      <c r="AZ323" s="58">
        <f t="shared" si="15"/>
        <v>-4466832.5373134324</v>
      </c>
      <c r="BA323" s="47">
        <f>Y323+SUM($AM323:AM323)</f>
        <v>24939815</v>
      </c>
      <c r="BB323" s="48">
        <f>Z323+SUM($AM323:AN323)</f>
        <v>24567578.955223881</v>
      </c>
      <c r="BC323" s="48">
        <f>AA323+SUM($AM323:AO323)</f>
        <v>24195342.910447761</v>
      </c>
      <c r="BD323" s="48">
        <f>AB323+SUM($AM323:AP323)</f>
        <v>23823106.865671642</v>
      </c>
      <c r="BE323" s="48">
        <f>AC323+SUM($AM323:AQ323)</f>
        <v>23450870.820895523</v>
      </c>
      <c r="BF323" s="48">
        <f>AD323+SUM($AM323:AR323)</f>
        <v>23078634.776119404</v>
      </c>
      <c r="BG323" s="48">
        <f>AE323+SUM($AM323:AS323)</f>
        <v>22706398.731343284</v>
      </c>
      <c r="BH323" s="48">
        <f>AF323+SUM($AM323:AT323)</f>
        <v>22334162.686567165</v>
      </c>
      <c r="BI323" s="48">
        <f>AG323+SUM($AM323:AU323)</f>
        <v>21961926.641791046</v>
      </c>
      <c r="BJ323" s="48">
        <f>AH323+SUM($AM323:AV323)</f>
        <v>21589690.597014926</v>
      </c>
      <c r="BK323" s="48">
        <f>AI323+SUM($AM323:AW323)</f>
        <v>21217454.552238807</v>
      </c>
      <c r="BL323" s="48">
        <f>AJ323+SUM($AM323:AX323)</f>
        <v>20845218.507462688</v>
      </c>
      <c r="BM323" s="48">
        <f>AK323+SUM($AM323:AY323)</f>
        <v>20472982.462686568</v>
      </c>
      <c r="BO323" s="47"/>
    </row>
    <row r="324" spans="3:67" s="41" customFormat="1" hidden="1" x14ac:dyDescent="0.3">
      <c r="C324" s="41" t="s">
        <v>1340</v>
      </c>
      <c r="D324" s="42" t="s">
        <v>406</v>
      </c>
      <c r="E324" s="42" t="str">
        <f t="shared" si="14"/>
        <v>213</v>
      </c>
      <c r="F324" s="41" t="str">
        <f>_xlfn.XLOOKUP($D324,MD_Account_Asset_Type[Nhóm tài sản],MD_Account_Asset_Type[Tên Nhóm tài sản])</f>
        <v>Phần mềm máy vi tính - BH 641</v>
      </c>
      <c r="G324" s="41" t="str">
        <f>_xlfn.XLOOKUP($D324,MD_Account_Asset_Type[Nhóm tài sản],MD_Account_Asset_Type[Tên nhóm TS-Rút gọn])</f>
        <v>Phần mềm công nghệ thông tin</v>
      </c>
      <c r="H324" s="41" t="str">
        <f>_xlfn.XLOOKUP($D324,MD_Account_Asset_Type[Nhóm tài sản],MD_Account_Asset_Type[Tên nhóm TS-Rút gọn-v2])</f>
        <v>Phần mềm công nghệ thông tin</v>
      </c>
      <c r="I324" s="43" t="s">
        <v>1206</v>
      </c>
      <c r="J324" s="42" t="s">
        <v>821</v>
      </c>
      <c r="K324" s="41" t="s">
        <v>830</v>
      </c>
      <c r="L324" s="42" t="s">
        <v>40</v>
      </c>
      <c r="M324" s="42" t="s">
        <v>115</v>
      </c>
      <c r="N324" s="44">
        <v>0</v>
      </c>
      <c r="O324" s="44"/>
      <c r="P324" s="41" t="s">
        <v>484</v>
      </c>
      <c r="Q324" s="41" t="str">
        <f t="shared" ref="Q324:Q386" si="16">LEFT($P324,3)</f>
        <v>641</v>
      </c>
      <c r="R324" s="41" t="str">
        <f>_xlfn.XLOOKUP($L324,MD_Cost_Center[Mã Cost Center],MD_Cost_Center[Ngành])</f>
        <v>Chung</v>
      </c>
      <c r="S324" s="41" t="str">
        <f>_xlfn.XLOOKUP($L324,MD_Cost_Center[Mã Cost Center],MD_Cost_Center[Ngành-Tách PET-Xơ sợi])</f>
        <v>Chung</v>
      </c>
      <c r="T324" s="45">
        <v>45931</v>
      </c>
      <c r="U324" s="46">
        <v>47392</v>
      </c>
      <c r="V324" s="47">
        <v>96</v>
      </c>
      <c r="W324" s="47">
        <v>1938493958</v>
      </c>
      <c r="X324" s="47">
        <v>-19541269.741935484</v>
      </c>
      <c r="Y324" s="47">
        <v>1938493958</v>
      </c>
      <c r="Z324" s="47">
        <v>1938493958</v>
      </c>
      <c r="AA324" s="47">
        <v>1938493958</v>
      </c>
      <c r="AB324" s="47">
        <v>1938493958</v>
      </c>
      <c r="AC324" s="47">
        <v>1938493958</v>
      </c>
      <c r="AD324" s="47">
        <v>1938493958</v>
      </c>
      <c r="AE324" s="47">
        <v>1938493958</v>
      </c>
      <c r="AF324" s="47">
        <v>1938493958</v>
      </c>
      <c r="AG324" s="47">
        <v>1938493958</v>
      </c>
      <c r="AH324" s="47">
        <v>1938493958</v>
      </c>
      <c r="AI324" s="47">
        <v>1938493958</v>
      </c>
      <c r="AJ324" s="47">
        <v>1938493958</v>
      </c>
      <c r="AK324" s="47">
        <v>1938493958</v>
      </c>
      <c r="AL324" s="47">
        <v>-121155872</v>
      </c>
      <c r="AM324" s="47">
        <v>-121155872</v>
      </c>
      <c r="AN324" s="47">
        <v>-19541269.741935484</v>
      </c>
      <c r="AO324" s="47">
        <v>-19541269.741935484</v>
      </c>
      <c r="AP324" s="47">
        <v>-19541269.741935484</v>
      </c>
      <c r="AQ324" s="47">
        <v>-19541269.741935484</v>
      </c>
      <c r="AR324" s="47">
        <v>-19541269.741935484</v>
      </c>
      <c r="AS324" s="47">
        <v>-19541269.741935484</v>
      </c>
      <c r="AT324" s="47">
        <v>-19541269.741935484</v>
      </c>
      <c r="AU324" s="47">
        <v>-19541269.741935484</v>
      </c>
      <c r="AV324" s="47">
        <v>-19541269.741935484</v>
      </c>
      <c r="AW324" s="47">
        <v>-19541269.741935484</v>
      </c>
      <c r="AX324" s="47">
        <v>-19541269.741935484</v>
      </c>
      <c r="AY324" s="47">
        <v>-19541269.741935484</v>
      </c>
      <c r="AZ324" s="58">
        <f t="shared" si="15"/>
        <v>-234495236.90322587</v>
      </c>
      <c r="BA324" s="47">
        <f>Y324+SUM($AM324:AM324)</f>
        <v>1817338086</v>
      </c>
      <c r="BB324" s="48">
        <f>Z324+SUM($AM324:AN324)</f>
        <v>1797796816.2580645</v>
      </c>
      <c r="BC324" s="48">
        <f>AA324+SUM($AM324:AO324)</f>
        <v>1778255546.516129</v>
      </c>
      <c r="BD324" s="48">
        <f>AB324+SUM($AM324:AP324)</f>
        <v>1758714276.7741935</v>
      </c>
      <c r="BE324" s="48">
        <f>AC324+SUM($AM324:AQ324)</f>
        <v>1739173007.032258</v>
      </c>
      <c r="BF324" s="48">
        <f>AD324+SUM($AM324:AR324)</f>
        <v>1719631737.2903225</v>
      </c>
      <c r="BG324" s="48">
        <f>AE324+SUM($AM324:AS324)</f>
        <v>1700090467.5483871</v>
      </c>
      <c r="BH324" s="48">
        <f>AF324+SUM($AM324:AT324)</f>
        <v>1680549197.8064516</v>
      </c>
      <c r="BI324" s="48">
        <f>AG324+SUM($AM324:AU324)</f>
        <v>1661007928.0645161</v>
      </c>
      <c r="BJ324" s="48">
        <f>AH324+SUM($AM324:AV324)</f>
        <v>1641466658.3225806</v>
      </c>
      <c r="BK324" s="48">
        <f>AI324+SUM($AM324:AW324)</f>
        <v>1621925388.5806451</v>
      </c>
      <c r="BL324" s="48">
        <f>AJ324+SUM($AM324:AX324)</f>
        <v>1602384118.8387096</v>
      </c>
      <c r="BM324" s="48">
        <f>AK324+SUM($AM324:AY324)</f>
        <v>1582842849.0967741</v>
      </c>
      <c r="BO324" s="47"/>
    </row>
    <row r="325" spans="3:67" s="41" customFormat="1" hidden="1" x14ac:dyDescent="0.3">
      <c r="C325" s="41" t="s">
        <v>1340</v>
      </c>
      <c r="D325" s="42" t="s">
        <v>409</v>
      </c>
      <c r="E325" s="42" t="str">
        <f t="shared" si="14"/>
        <v>213</v>
      </c>
      <c r="F325" s="41" t="str">
        <f>_xlfn.XLOOKUP($D325,MD_Account_Asset_Type[Nhóm tài sản],MD_Account_Asset_Type[Tên Nhóm tài sản])</f>
        <v>TSCĐ vô hình khác - QL 642</v>
      </c>
      <c r="G325" s="41" t="str">
        <f>_xlfn.XLOOKUP($D325,MD_Account_Asset_Type[Nhóm tài sản],MD_Account_Asset_Type[Tên nhóm TS-Rút gọn])</f>
        <v>TSCĐ vô hình khác</v>
      </c>
      <c r="H325" s="41" t="str">
        <f>_xlfn.XLOOKUP($D325,MD_Account_Asset_Type[Nhóm tài sản],MD_Account_Asset_Type[Tên nhóm TS-Rút gọn-v2])</f>
        <v>TSCĐVH-Khác</v>
      </c>
      <c r="I325" s="43" t="s">
        <v>1209</v>
      </c>
      <c r="J325" s="42" t="s">
        <v>822</v>
      </c>
      <c r="K325" s="41" t="s">
        <v>830</v>
      </c>
      <c r="L325" s="42" t="s">
        <v>33</v>
      </c>
      <c r="M325" s="42" t="s">
        <v>108</v>
      </c>
      <c r="N325" s="44">
        <v>0</v>
      </c>
      <c r="O325" s="44"/>
      <c r="P325" s="41" t="s">
        <v>479</v>
      </c>
      <c r="Q325" s="41" t="str">
        <f t="shared" si="16"/>
        <v>642</v>
      </c>
      <c r="R325" s="41" t="str">
        <f>_xlfn.XLOOKUP($L325,MD_Cost_Center[Mã Cost Center],MD_Cost_Center[Ngành])</f>
        <v>Chung</v>
      </c>
      <c r="S325" s="41" t="str">
        <f>_xlfn.XLOOKUP($L325,MD_Cost_Center[Mã Cost Center],MD_Cost_Center[Ngành-Tách PET-Xơ sợi])</f>
        <v>Chung</v>
      </c>
      <c r="T325" s="45">
        <v>44438</v>
      </c>
      <c r="U325" s="46">
        <v>46264</v>
      </c>
      <c r="V325" s="47">
        <v>240</v>
      </c>
      <c r="W325" s="47">
        <v>468054545</v>
      </c>
      <c r="X325" s="47">
        <v>-292012.64171122992</v>
      </c>
      <c r="Y325" s="47">
        <v>468054545</v>
      </c>
      <c r="Z325" s="47">
        <v>468054545</v>
      </c>
      <c r="AA325" s="47">
        <v>468054545</v>
      </c>
      <c r="AB325" s="47">
        <v>468054545</v>
      </c>
      <c r="AC325" s="47">
        <v>468054545</v>
      </c>
      <c r="AD325" s="47">
        <v>468054545</v>
      </c>
      <c r="AE325" s="47">
        <v>468054545</v>
      </c>
      <c r="AF325" s="47">
        <v>468054545</v>
      </c>
      <c r="AG325" s="47">
        <v>468054545</v>
      </c>
      <c r="AH325" s="47">
        <v>468054545</v>
      </c>
      <c r="AI325" s="47">
        <v>468054545</v>
      </c>
      <c r="AJ325" s="47">
        <v>468054545</v>
      </c>
      <c r="AK325" s="47">
        <v>468054545</v>
      </c>
      <c r="AL325" s="47">
        <v>-93610909</v>
      </c>
      <c r="AM325" s="47">
        <v>-413448181</v>
      </c>
      <c r="AN325" s="47">
        <v>-292012.64171122992</v>
      </c>
      <c r="AO325" s="47">
        <v>-292012.64171122992</v>
      </c>
      <c r="AP325" s="47">
        <v>-292012.64171122992</v>
      </c>
      <c r="AQ325" s="47">
        <v>-292012.64171122992</v>
      </c>
      <c r="AR325" s="47">
        <v>-292012.64171122992</v>
      </c>
      <c r="AS325" s="47">
        <v>-292012.64171122992</v>
      </c>
      <c r="AT325" s="47">
        <v>-292012.64171122992</v>
      </c>
      <c r="AU325" s="47">
        <v>-292012.64171122992</v>
      </c>
      <c r="AV325" s="47">
        <v>-292012.64171122992</v>
      </c>
      <c r="AW325" s="47">
        <v>-292012.64171122992</v>
      </c>
      <c r="AX325" s="47">
        <v>-292012.64171122992</v>
      </c>
      <c r="AY325" s="47">
        <v>-292012.64171122992</v>
      </c>
      <c r="AZ325" s="58">
        <f t="shared" si="15"/>
        <v>-3504151.7005347591</v>
      </c>
      <c r="BA325" s="47">
        <f>Y325+SUM($AM325:AM325)</f>
        <v>54606364</v>
      </c>
      <c r="BB325" s="48">
        <f>Z325+SUM($AM325:AN325)</f>
        <v>54314351.358288765</v>
      </c>
      <c r="BC325" s="48">
        <f>AA325+SUM($AM325:AO325)</f>
        <v>54022338.71657753</v>
      </c>
      <c r="BD325" s="48">
        <f>AB325+SUM($AM325:AP325)</f>
        <v>53730326.074866295</v>
      </c>
      <c r="BE325" s="48">
        <f>AC325+SUM($AM325:AQ325)</f>
        <v>53438313.43315506</v>
      </c>
      <c r="BF325" s="48">
        <f>AD325+SUM($AM325:AR325)</f>
        <v>53146300.791443825</v>
      </c>
      <c r="BG325" s="48">
        <f>AE325+SUM($AM325:AS325)</f>
        <v>52854288.14973259</v>
      </c>
      <c r="BH325" s="48">
        <f>AF325+SUM($AM325:AT325)</f>
        <v>52562275.508021355</v>
      </c>
      <c r="BI325" s="48">
        <f>AG325+SUM($AM325:AU325)</f>
        <v>52270262.86631012</v>
      </c>
      <c r="BJ325" s="48">
        <f>AH325+SUM($AM325:AV325)</f>
        <v>51978250.224598885</v>
      </c>
      <c r="BK325" s="48">
        <f>AI325+SUM($AM325:AW325)</f>
        <v>51686237.58288765</v>
      </c>
      <c r="BL325" s="48">
        <f>AJ325+SUM($AM325:AX325)</f>
        <v>51394224.941176414</v>
      </c>
      <c r="BM325" s="48">
        <f>AK325+SUM($AM325:AY325)</f>
        <v>51102212.299465179</v>
      </c>
      <c r="BO325" s="47"/>
    </row>
    <row r="326" spans="3:67" s="41" customFormat="1" hidden="1" x14ac:dyDescent="0.3">
      <c r="C326" s="41" t="s">
        <v>1340</v>
      </c>
      <c r="D326" s="42" t="s">
        <v>409</v>
      </c>
      <c r="E326" s="42" t="str">
        <f t="shared" si="14"/>
        <v>213</v>
      </c>
      <c r="F326" s="41" t="str">
        <f>_xlfn.XLOOKUP($D326,MD_Account_Asset_Type[Nhóm tài sản],MD_Account_Asset_Type[Tên Nhóm tài sản])</f>
        <v>TSCĐ vô hình khác - QL 642</v>
      </c>
      <c r="G326" s="41" t="str">
        <f>_xlfn.XLOOKUP($D326,MD_Account_Asset_Type[Nhóm tài sản],MD_Account_Asset_Type[Tên nhóm TS-Rút gọn])</f>
        <v>TSCĐ vô hình khác</v>
      </c>
      <c r="H326" s="41" t="str">
        <f>_xlfn.XLOOKUP($D326,MD_Account_Asset_Type[Nhóm tài sản],MD_Account_Asset_Type[Tên nhóm TS-Rút gọn-v2])</f>
        <v>TSCĐVH-Khác</v>
      </c>
      <c r="I326" s="43" t="s">
        <v>1212</v>
      </c>
      <c r="J326" s="42" t="s">
        <v>823</v>
      </c>
      <c r="K326" s="41" t="s">
        <v>830</v>
      </c>
      <c r="L326" s="42" t="s">
        <v>38</v>
      </c>
      <c r="M326" s="42" t="s">
        <v>113</v>
      </c>
      <c r="N326" s="44">
        <v>0</v>
      </c>
      <c r="O326" s="44"/>
      <c r="P326" s="41" t="s">
        <v>479</v>
      </c>
      <c r="Q326" s="41" t="str">
        <f t="shared" si="16"/>
        <v>642</v>
      </c>
      <c r="R326" s="41" t="str">
        <f>_xlfn.XLOOKUP($L326,MD_Cost_Center[Mã Cost Center],MD_Cost_Center[Ngành])</f>
        <v>Chung</v>
      </c>
      <c r="S326" s="41" t="str">
        <f>_xlfn.XLOOKUP($L326,MD_Cost_Center[Mã Cost Center],MD_Cost_Center[Ngành-Tách PET-Xơ sợi])</f>
        <v>Chung</v>
      </c>
      <c r="T326" s="45">
        <v>44819</v>
      </c>
      <c r="U326" s="46">
        <v>46645</v>
      </c>
      <c r="V326" s="47">
        <v>240</v>
      </c>
      <c r="W326" s="47">
        <v>215935347</v>
      </c>
      <c r="X326" s="47">
        <v>-359892.245</v>
      </c>
      <c r="Y326" s="47">
        <v>215935347</v>
      </c>
      <c r="Z326" s="47">
        <v>215935347</v>
      </c>
      <c r="AA326" s="47">
        <v>215935347</v>
      </c>
      <c r="AB326" s="47">
        <v>215935347</v>
      </c>
      <c r="AC326" s="47">
        <v>215935347</v>
      </c>
      <c r="AD326" s="47">
        <v>215935347</v>
      </c>
      <c r="AE326" s="47">
        <v>215935347</v>
      </c>
      <c r="AF326" s="47">
        <v>215935347</v>
      </c>
      <c r="AG326" s="47">
        <v>215935347</v>
      </c>
      <c r="AH326" s="47">
        <v>215935347</v>
      </c>
      <c r="AI326" s="47">
        <v>215935347</v>
      </c>
      <c r="AJ326" s="47">
        <v>215935347</v>
      </c>
      <c r="AK326" s="47">
        <v>215935347</v>
      </c>
      <c r="AL326" s="47">
        <v>-43187070</v>
      </c>
      <c r="AM326" s="47">
        <v>-143956898</v>
      </c>
      <c r="AN326" s="47">
        <v>-359892.245</v>
      </c>
      <c r="AO326" s="47">
        <v>-359892.245</v>
      </c>
      <c r="AP326" s="47">
        <v>-359892.245</v>
      </c>
      <c r="AQ326" s="47">
        <v>-359892.245</v>
      </c>
      <c r="AR326" s="47">
        <v>-359892.245</v>
      </c>
      <c r="AS326" s="47">
        <v>-359892.245</v>
      </c>
      <c r="AT326" s="47">
        <v>-359892.245</v>
      </c>
      <c r="AU326" s="47">
        <v>-359892.245</v>
      </c>
      <c r="AV326" s="47">
        <v>-359892.245</v>
      </c>
      <c r="AW326" s="47">
        <v>-359892.245</v>
      </c>
      <c r="AX326" s="47">
        <v>-359892.245</v>
      </c>
      <c r="AY326" s="47">
        <v>-359892.245</v>
      </c>
      <c r="AZ326" s="58">
        <f t="shared" si="15"/>
        <v>-4318706.9400000004</v>
      </c>
      <c r="BA326" s="47">
        <f>Y326+SUM($AM326:AM326)</f>
        <v>71978449</v>
      </c>
      <c r="BB326" s="48">
        <f>Z326+SUM($AM326:AN326)</f>
        <v>71618556.754999995</v>
      </c>
      <c r="BC326" s="48">
        <f>AA326+SUM($AM326:AO326)</f>
        <v>71258664.50999999</v>
      </c>
      <c r="BD326" s="48">
        <f>AB326+SUM($AM326:AP326)</f>
        <v>70898772.264999986</v>
      </c>
      <c r="BE326" s="48">
        <f>AC326+SUM($AM326:AQ326)</f>
        <v>70538880.019999981</v>
      </c>
      <c r="BF326" s="48">
        <f>AD326+SUM($AM326:AR326)</f>
        <v>70178987.774999976</v>
      </c>
      <c r="BG326" s="48">
        <f>AE326+SUM($AM326:AS326)</f>
        <v>69819095.529999971</v>
      </c>
      <c r="BH326" s="48">
        <f>AF326+SUM($AM326:AT326)</f>
        <v>69459203.284999967</v>
      </c>
      <c r="BI326" s="48">
        <f>AG326+SUM($AM326:AU326)</f>
        <v>69099311.039999962</v>
      </c>
      <c r="BJ326" s="48">
        <f>AH326+SUM($AM326:AV326)</f>
        <v>68739418.794999957</v>
      </c>
      <c r="BK326" s="48">
        <f>AI326+SUM($AM326:AW326)</f>
        <v>68379526.549999952</v>
      </c>
      <c r="BL326" s="48">
        <f>AJ326+SUM($AM326:AX326)</f>
        <v>68019634.304999948</v>
      </c>
      <c r="BM326" s="48">
        <f>AK326+SUM($AM326:AY326)</f>
        <v>67659742.059999943</v>
      </c>
      <c r="BO326" s="47"/>
    </row>
    <row r="327" spans="3:67" s="41" customFormat="1" hidden="1" x14ac:dyDescent="0.3">
      <c r="C327" s="41" t="s">
        <v>1340</v>
      </c>
      <c r="D327" s="42" t="s">
        <v>409</v>
      </c>
      <c r="E327" s="42" t="str">
        <f t="shared" si="14"/>
        <v>213</v>
      </c>
      <c r="F327" s="41" t="str">
        <f>_xlfn.XLOOKUP($D327,MD_Account_Asset_Type[Nhóm tài sản],MD_Account_Asset_Type[Tên Nhóm tài sản])</f>
        <v>TSCĐ vô hình khác - QL 642</v>
      </c>
      <c r="G327" s="41" t="str">
        <f>_xlfn.XLOOKUP($D327,MD_Account_Asset_Type[Nhóm tài sản],MD_Account_Asset_Type[Tên nhóm TS-Rút gọn])</f>
        <v>TSCĐ vô hình khác</v>
      </c>
      <c r="H327" s="41" t="str">
        <f>_xlfn.XLOOKUP($D327,MD_Account_Asset_Type[Nhóm tài sản],MD_Account_Asset_Type[Tên nhóm TS-Rút gọn-v2])</f>
        <v>TSCĐVH-Khác</v>
      </c>
      <c r="I327" s="43" t="s">
        <v>1213</v>
      </c>
      <c r="J327" s="42" t="s">
        <v>824</v>
      </c>
      <c r="K327" s="41" t="s">
        <v>830</v>
      </c>
      <c r="L327" s="42" t="s">
        <v>36</v>
      </c>
      <c r="M327" s="42" t="s">
        <v>111</v>
      </c>
      <c r="N327" s="44">
        <v>0</v>
      </c>
      <c r="O327" s="44"/>
      <c r="P327" s="41" t="s">
        <v>479</v>
      </c>
      <c r="Q327" s="41" t="str">
        <f t="shared" si="16"/>
        <v>642</v>
      </c>
      <c r="R327" s="41" t="str">
        <f>_xlfn.XLOOKUP($L327,MD_Cost_Center[Mã Cost Center],MD_Cost_Center[Ngành])</f>
        <v>Chung</v>
      </c>
      <c r="S327" s="41" t="str">
        <f>_xlfn.XLOOKUP($L327,MD_Cost_Center[Mã Cost Center],MD_Cost_Center[Ngành-Tách PET-Xơ sợi])</f>
        <v>Chung</v>
      </c>
      <c r="T327" s="45">
        <v>44819</v>
      </c>
      <c r="U327" s="46">
        <v>46645</v>
      </c>
      <c r="V327" s="47">
        <v>240</v>
      </c>
      <c r="W327" s="47">
        <v>303920466</v>
      </c>
      <c r="X327" s="47">
        <v>-506534.11</v>
      </c>
      <c r="Y327" s="47">
        <v>303920466</v>
      </c>
      <c r="Z327" s="47">
        <v>303920466</v>
      </c>
      <c r="AA327" s="47">
        <v>303920466</v>
      </c>
      <c r="AB327" s="47">
        <v>303920466</v>
      </c>
      <c r="AC327" s="47">
        <v>303920466</v>
      </c>
      <c r="AD327" s="47">
        <v>303920466</v>
      </c>
      <c r="AE327" s="47">
        <v>303920466</v>
      </c>
      <c r="AF327" s="47">
        <v>303920466</v>
      </c>
      <c r="AG327" s="47">
        <v>303920466</v>
      </c>
      <c r="AH327" s="47">
        <v>303920466</v>
      </c>
      <c r="AI327" s="47">
        <v>303920466</v>
      </c>
      <c r="AJ327" s="47">
        <v>303920466</v>
      </c>
      <c r="AK327" s="47">
        <v>303920466</v>
      </c>
      <c r="AL327" s="47">
        <v>-60784094</v>
      </c>
      <c r="AM327" s="47">
        <v>-202613644</v>
      </c>
      <c r="AN327" s="47">
        <v>-506534.11</v>
      </c>
      <c r="AO327" s="47">
        <v>-506534.11</v>
      </c>
      <c r="AP327" s="47">
        <v>-506534.11</v>
      </c>
      <c r="AQ327" s="47">
        <v>-506534.11</v>
      </c>
      <c r="AR327" s="47">
        <v>-506534.11</v>
      </c>
      <c r="AS327" s="47">
        <v>-506534.11</v>
      </c>
      <c r="AT327" s="47">
        <v>-506534.11</v>
      </c>
      <c r="AU327" s="47">
        <v>-506534.11</v>
      </c>
      <c r="AV327" s="47">
        <v>-506534.11</v>
      </c>
      <c r="AW327" s="47">
        <v>-506534.11</v>
      </c>
      <c r="AX327" s="47">
        <v>-506534.11</v>
      </c>
      <c r="AY327" s="47">
        <v>-506534.11</v>
      </c>
      <c r="AZ327" s="58">
        <f t="shared" si="15"/>
        <v>-6078409.3200000003</v>
      </c>
      <c r="BA327" s="47">
        <f>Y327+SUM($AM327:AM327)</f>
        <v>101306822</v>
      </c>
      <c r="BB327" s="48">
        <f>Z327+SUM($AM327:AN327)</f>
        <v>100800287.88999999</v>
      </c>
      <c r="BC327" s="48">
        <f>AA327+SUM($AM327:AO327)</f>
        <v>100293753.77999997</v>
      </c>
      <c r="BD327" s="48">
        <f>AB327+SUM($AM327:AP327)</f>
        <v>99787219.669999957</v>
      </c>
      <c r="BE327" s="48">
        <f>AC327+SUM($AM327:AQ327)</f>
        <v>99280685.559999943</v>
      </c>
      <c r="BF327" s="48">
        <f>AD327+SUM($AM327:AR327)</f>
        <v>98774151.449999928</v>
      </c>
      <c r="BG327" s="48">
        <f>AE327+SUM($AM327:AS327)</f>
        <v>98267617.339999914</v>
      </c>
      <c r="BH327" s="48">
        <f>AF327+SUM($AM327:AT327)</f>
        <v>97761083.2299999</v>
      </c>
      <c r="BI327" s="48">
        <f>AG327+SUM($AM327:AU327)</f>
        <v>97254549.119999886</v>
      </c>
      <c r="BJ327" s="48">
        <f>AH327+SUM($AM327:AV327)</f>
        <v>96748015.009999871</v>
      </c>
      <c r="BK327" s="48">
        <f>AI327+SUM($AM327:AW327)</f>
        <v>96241480.899999857</v>
      </c>
      <c r="BL327" s="48">
        <f>AJ327+SUM($AM327:AX327)</f>
        <v>95734946.789999843</v>
      </c>
      <c r="BM327" s="48">
        <f>AK327+SUM($AM327:AY327)</f>
        <v>95228412.679999828</v>
      </c>
      <c r="BO327" s="47"/>
    </row>
    <row r="328" spans="3:67" s="41" customFormat="1" hidden="1" x14ac:dyDescent="0.3">
      <c r="C328" s="41" t="s">
        <v>1340</v>
      </c>
      <c r="D328" s="42" t="s">
        <v>409</v>
      </c>
      <c r="E328" s="42" t="str">
        <f t="shared" si="14"/>
        <v>213</v>
      </c>
      <c r="F328" s="41" t="str">
        <f>_xlfn.XLOOKUP($D328,MD_Account_Asset_Type[Nhóm tài sản],MD_Account_Asset_Type[Tên Nhóm tài sản])</f>
        <v>TSCĐ vô hình khác - QL 642</v>
      </c>
      <c r="G328" s="41" t="str">
        <f>_xlfn.XLOOKUP($D328,MD_Account_Asset_Type[Nhóm tài sản],MD_Account_Asset_Type[Tên nhóm TS-Rút gọn])</f>
        <v>TSCĐ vô hình khác</v>
      </c>
      <c r="H328" s="41" t="str">
        <f>_xlfn.XLOOKUP($D328,MD_Account_Asset_Type[Nhóm tài sản],MD_Account_Asset_Type[Tên nhóm TS-Rút gọn-v2])</f>
        <v>TSCĐVH-Khác</v>
      </c>
      <c r="I328" s="43" t="s">
        <v>1214</v>
      </c>
      <c r="J328" s="42" t="s">
        <v>825</v>
      </c>
      <c r="K328" s="41" t="s">
        <v>830</v>
      </c>
      <c r="L328" s="42" t="s">
        <v>38</v>
      </c>
      <c r="M328" s="42" t="s">
        <v>113</v>
      </c>
      <c r="N328" s="44">
        <v>0</v>
      </c>
      <c r="O328" s="44"/>
      <c r="P328" s="41" t="s">
        <v>479</v>
      </c>
      <c r="Q328" s="41" t="str">
        <f t="shared" si="16"/>
        <v>642</v>
      </c>
      <c r="R328" s="41" t="str">
        <f>_xlfn.XLOOKUP($L328,MD_Cost_Center[Mã Cost Center],MD_Cost_Center[Ngành])</f>
        <v>Chung</v>
      </c>
      <c r="S328" s="41" t="str">
        <f>_xlfn.XLOOKUP($L328,MD_Cost_Center[Mã Cost Center],MD_Cost_Center[Ngành-Tách PET-Xơ sợi])</f>
        <v>Chung</v>
      </c>
      <c r="T328" s="45">
        <v>44819</v>
      </c>
      <c r="U328" s="46">
        <v>47741</v>
      </c>
      <c r="V328" s="47">
        <v>240</v>
      </c>
      <c r="W328" s="47">
        <v>987208013</v>
      </c>
      <c r="X328" s="47">
        <v>-2879356.7</v>
      </c>
      <c r="Y328" s="47">
        <v>987208013</v>
      </c>
      <c r="Z328" s="47">
        <v>987208013</v>
      </c>
      <c r="AA328" s="47">
        <v>987208013</v>
      </c>
      <c r="AB328" s="47">
        <v>987208013</v>
      </c>
      <c r="AC328" s="47">
        <v>987208013</v>
      </c>
      <c r="AD328" s="47">
        <v>987208013</v>
      </c>
      <c r="AE328" s="47">
        <v>987208013</v>
      </c>
      <c r="AF328" s="47">
        <v>987208013</v>
      </c>
      <c r="AG328" s="47">
        <v>987208013</v>
      </c>
      <c r="AH328" s="47">
        <v>987208013</v>
      </c>
      <c r="AI328" s="47">
        <v>987208013</v>
      </c>
      <c r="AJ328" s="47">
        <v>987208013</v>
      </c>
      <c r="AK328" s="47">
        <v>987208013</v>
      </c>
      <c r="AL328" s="47">
        <v>-123401002</v>
      </c>
      <c r="AM328" s="47">
        <v>-411336673</v>
      </c>
      <c r="AN328" s="47">
        <v>-2879356.7</v>
      </c>
      <c r="AO328" s="47">
        <v>-2879356.7</v>
      </c>
      <c r="AP328" s="47">
        <v>-2879356.7</v>
      </c>
      <c r="AQ328" s="47">
        <v>-2879356.7</v>
      </c>
      <c r="AR328" s="47">
        <v>-2879356.7</v>
      </c>
      <c r="AS328" s="47">
        <v>-2879356.7</v>
      </c>
      <c r="AT328" s="47">
        <v>-2879356.7</v>
      </c>
      <c r="AU328" s="47">
        <v>-2879356.7</v>
      </c>
      <c r="AV328" s="47">
        <v>-2879356.7</v>
      </c>
      <c r="AW328" s="47">
        <v>-2879356.7</v>
      </c>
      <c r="AX328" s="47">
        <v>-2879356.7</v>
      </c>
      <c r="AY328" s="47">
        <v>-2879356.7</v>
      </c>
      <c r="AZ328" s="58">
        <f t="shared" si="15"/>
        <v>-34552280.399999999</v>
      </c>
      <c r="BA328" s="47">
        <f>Y328+SUM($AM328:AM328)</f>
        <v>575871340</v>
      </c>
      <c r="BB328" s="48">
        <f>Z328+SUM($AM328:AN328)</f>
        <v>572991983.29999995</v>
      </c>
      <c r="BC328" s="48">
        <f>AA328+SUM($AM328:AO328)</f>
        <v>570112626.60000002</v>
      </c>
      <c r="BD328" s="48">
        <f>AB328+SUM($AM328:AP328)</f>
        <v>567233269.9000001</v>
      </c>
      <c r="BE328" s="48">
        <f>AC328+SUM($AM328:AQ328)</f>
        <v>564353913.20000005</v>
      </c>
      <c r="BF328" s="48">
        <f>AD328+SUM($AM328:AR328)</f>
        <v>561474556.5</v>
      </c>
      <c r="BG328" s="48">
        <f>AE328+SUM($AM328:AS328)</f>
        <v>558595199.80000007</v>
      </c>
      <c r="BH328" s="48">
        <f>AF328+SUM($AM328:AT328)</f>
        <v>555715843.10000014</v>
      </c>
      <c r="BI328" s="48">
        <f>AG328+SUM($AM328:AU328)</f>
        <v>552836486.4000001</v>
      </c>
      <c r="BJ328" s="48">
        <f>AH328+SUM($AM328:AV328)</f>
        <v>549957129.70000005</v>
      </c>
      <c r="BK328" s="48">
        <f>AI328+SUM($AM328:AW328)</f>
        <v>547077773.00000012</v>
      </c>
      <c r="BL328" s="48">
        <f>AJ328+SUM($AM328:AX328)</f>
        <v>544198416.30000019</v>
      </c>
      <c r="BM328" s="48">
        <f>AK328+SUM($AM328:AY328)</f>
        <v>541319059.60000014</v>
      </c>
      <c r="BO328" s="47"/>
    </row>
    <row r="329" spans="3:67" s="41" customFormat="1" hidden="1" x14ac:dyDescent="0.3">
      <c r="C329" s="41" t="s">
        <v>1340</v>
      </c>
      <c r="D329" s="42" t="s">
        <v>409</v>
      </c>
      <c r="E329" s="42" t="str">
        <f t="shared" si="14"/>
        <v>213</v>
      </c>
      <c r="F329" s="41" t="str">
        <f>_xlfn.XLOOKUP($D329,MD_Account_Asset_Type[Nhóm tài sản],MD_Account_Asset_Type[Tên Nhóm tài sản])</f>
        <v>TSCĐ vô hình khác - QL 642</v>
      </c>
      <c r="G329" s="41" t="str">
        <f>_xlfn.XLOOKUP($D329,MD_Account_Asset_Type[Nhóm tài sản],MD_Account_Asset_Type[Tên nhóm TS-Rút gọn])</f>
        <v>TSCĐ vô hình khác</v>
      </c>
      <c r="H329" s="41" t="str">
        <f>_xlfn.XLOOKUP($D329,MD_Account_Asset_Type[Nhóm tài sản],MD_Account_Asset_Type[Tên nhóm TS-Rút gọn-v2])</f>
        <v>TSCĐVH-Khác</v>
      </c>
      <c r="I329" s="43" t="s">
        <v>1215</v>
      </c>
      <c r="J329" s="42" t="s">
        <v>826</v>
      </c>
      <c r="K329" s="41" t="s">
        <v>502</v>
      </c>
      <c r="L329" s="42" t="s">
        <v>36</v>
      </c>
      <c r="M329" s="42" t="s">
        <v>111</v>
      </c>
      <c r="N329" s="44">
        <v>0</v>
      </c>
      <c r="O329" s="44"/>
      <c r="P329" s="41" t="s">
        <v>479</v>
      </c>
      <c r="Q329" s="41" t="str">
        <f t="shared" si="16"/>
        <v>642</v>
      </c>
      <c r="R329" s="41" t="str">
        <f>_xlfn.XLOOKUP($L329,MD_Cost_Center[Mã Cost Center],MD_Cost_Center[Ngành])</f>
        <v>Chung</v>
      </c>
      <c r="S329" s="41" t="str">
        <f>_xlfn.XLOOKUP($L329,MD_Cost_Center[Mã Cost Center],MD_Cost_Center[Ngành-Tách PET-Xơ sợi])</f>
        <v>Chung</v>
      </c>
      <c r="T329" s="45">
        <v>45383</v>
      </c>
      <c r="U329" s="46">
        <v>46478</v>
      </c>
      <c r="V329" s="47">
        <v>240</v>
      </c>
      <c r="W329" s="47">
        <v>431300039</v>
      </c>
      <c r="X329" s="47">
        <v>-820586.06849315064</v>
      </c>
      <c r="Y329" s="47">
        <v>431300039</v>
      </c>
      <c r="Z329" s="47">
        <v>431300039</v>
      </c>
      <c r="AA329" s="47">
        <v>431300039</v>
      </c>
      <c r="AB329" s="47">
        <v>431300039</v>
      </c>
      <c r="AC329" s="47">
        <v>431300039</v>
      </c>
      <c r="AD329" s="47">
        <v>431300039</v>
      </c>
      <c r="AE329" s="47">
        <v>431300039</v>
      </c>
      <c r="AF329" s="47">
        <v>431300039</v>
      </c>
      <c r="AG329" s="47">
        <v>431300039</v>
      </c>
      <c r="AH329" s="47">
        <v>431300039</v>
      </c>
      <c r="AI329" s="47">
        <v>431300039</v>
      </c>
      <c r="AJ329" s="47">
        <v>431300039</v>
      </c>
      <c r="AK329" s="47">
        <v>431300039</v>
      </c>
      <c r="AL329" s="47">
        <v>-143766680</v>
      </c>
      <c r="AM329" s="47">
        <v>-251591690</v>
      </c>
      <c r="AN329" s="47">
        <v>-820586.06849315064</v>
      </c>
      <c r="AO329" s="47">
        <v>-820586.06849315064</v>
      </c>
      <c r="AP329" s="47">
        <v>-820586.06849315064</v>
      </c>
      <c r="AQ329" s="47">
        <v>-820586.06849315064</v>
      </c>
      <c r="AR329" s="47">
        <v>-820586.06849315064</v>
      </c>
      <c r="AS329" s="47">
        <v>-820586.06849315064</v>
      </c>
      <c r="AT329" s="47">
        <v>-820586.06849315064</v>
      </c>
      <c r="AU329" s="47">
        <v>-820586.06849315064</v>
      </c>
      <c r="AV329" s="47">
        <v>-820586.06849315064</v>
      </c>
      <c r="AW329" s="47">
        <v>-820586.06849315064</v>
      </c>
      <c r="AX329" s="47">
        <v>-820586.06849315064</v>
      </c>
      <c r="AY329" s="47">
        <v>-820586.06849315064</v>
      </c>
      <c r="AZ329" s="58">
        <f t="shared" si="15"/>
        <v>-9847032.8219178058</v>
      </c>
      <c r="BA329" s="47">
        <f>Y329+SUM($AM329:AM329)</f>
        <v>179708349</v>
      </c>
      <c r="BB329" s="48">
        <f>Z329+SUM($AM329:AN329)</f>
        <v>178887762.93150684</v>
      </c>
      <c r="BC329" s="48">
        <f>AA329+SUM($AM329:AO329)</f>
        <v>178067176.86301368</v>
      </c>
      <c r="BD329" s="48">
        <f>AB329+SUM($AM329:AP329)</f>
        <v>177246590.79452053</v>
      </c>
      <c r="BE329" s="48">
        <f>AC329+SUM($AM329:AQ329)</f>
        <v>176426004.72602737</v>
      </c>
      <c r="BF329" s="48">
        <f>AD329+SUM($AM329:AR329)</f>
        <v>175605418.65753421</v>
      </c>
      <c r="BG329" s="48">
        <f>AE329+SUM($AM329:AS329)</f>
        <v>174784832.58904105</v>
      </c>
      <c r="BH329" s="48">
        <f>AF329+SUM($AM329:AT329)</f>
        <v>173964246.5205479</v>
      </c>
      <c r="BI329" s="48">
        <f>AG329+SUM($AM329:AU329)</f>
        <v>173143660.45205474</v>
      </c>
      <c r="BJ329" s="48">
        <f>AH329+SUM($AM329:AV329)</f>
        <v>172323074.38356158</v>
      </c>
      <c r="BK329" s="48">
        <f>AI329+SUM($AM329:AW329)</f>
        <v>171502488.31506842</v>
      </c>
      <c r="BL329" s="48">
        <f>AJ329+SUM($AM329:AX329)</f>
        <v>170681902.24657527</v>
      </c>
      <c r="BM329" s="48">
        <f>AK329+SUM($AM329:AY329)</f>
        <v>169861316.17808211</v>
      </c>
      <c r="BO329" s="47"/>
    </row>
    <row r="330" spans="3:67" s="41" customFormat="1" hidden="1" x14ac:dyDescent="0.3">
      <c r="C330" s="41" t="s">
        <v>1340</v>
      </c>
      <c r="D330" s="42" t="s">
        <v>409</v>
      </c>
      <c r="E330" s="42" t="str">
        <f t="shared" ref="E330:E393" si="17">MID($D330,2,3)</f>
        <v>213</v>
      </c>
      <c r="F330" s="41" t="str">
        <f>_xlfn.XLOOKUP($D330,MD_Account_Asset_Type[Nhóm tài sản],MD_Account_Asset_Type[Tên Nhóm tài sản])</f>
        <v>TSCĐ vô hình khác - QL 642</v>
      </c>
      <c r="G330" s="41" t="str">
        <f>_xlfn.XLOOKUP($D330,MD_Account_Asset_Type[Nhóm tài sản],MD_Account_Asset_Type[Tên nhóm TS-Rút gọn])</f>
        <v>TSCĐ vô hình khác</v>
      </c>
      <c r="H330" s="41" t="str">
        <f>_xlfn.XLOOKUP($D330,MD_Account_Asset_Type[Nhóm tài sản],MD_Account_Asset_Type[Tên nhóm TS-Rút gọn-v2])</f>
        <v>TSCĐVH-Khác</v>
      </c>
      <c r="I330" s="43" t="s">
        <v>1216</v>
      </c>
      <c r="J330" s="42" t="s">
        <v>827</v>
      </c>
      <c r="K330" s="41" t="s">
        <v>830</v>
      </c>
      <c r="L330" s="42" t="s">
        <v>36</v>
      </c>
      <c r="M330" s="42" t="s">
        <v>111</v>
      </c>
      <c r="N330" s="44">
        <v>0</v>
      </c>
      <c r="O330" s="44"/>
      <c r="P330" s="41" t="s">
        <v>479</v>
      </c>
      <c r="Q330" s="41" t="str">
        <f t="shared" si="16"/>
        <v>642</v>
      </c>
      <c r="R330" s="41" t="str">
        <f>_xlfn.XLOOKUP($L330,MD_Cost_Center[Mã Cost Center],MD_Cost_Center[Ngành])</f>
        <v>Chung</v>
      </c>
      <c r="S330" s="41" t="str">
        <f>_xlfn.XLOOKUP($L330,MD_Cost_Center[Mã Cost Center],MD_Cost_Center[Ngành-Tách PET-Xơ sợi])</f>
        <v>Chung</v>
      </c>
      <c r="T330" s="45">
        <v>45658</v>
      </c>
      <c r="U330" s="46">
        <v>46753</v>
      </c>
      <c r="V330" s="47">
        <v>240</v>
      </c>
      <c r="W330" s="47">
        <v>529122899</v>
      </c>
      <c r="X330" s="47">
        <v>-1547142.9780701755</v>
      </c>
      <c r="Y330" s="47">
        <v>529122899</v>
      </c>
      <c r="Z330" s="47">
        <v>529122899</v>
      </c>
      <c r="AA330" s="47">
        <v>529122899</v>
      </c>
      <c r="AB330" s="47">
        <v>529122899</v>
      </c>
      <c r="AC330" s="47">
        <v>529122899</v>
      </c>
      <c r="AD330" s="47">
        <v>529122899</v>
      </c>
      <c r="AE330" s="47">
        <v>529122899</v>
      </c>
      <c r="AF330" s="47">
        <v>529122899</v>
      </c>
      <c r="AG330" s="47">
        <v>529122899</v>
      </c>
      <c r="AH330" s="47">
        <v>529122899</v>
      </c>
      <c r="AI330" s="47">
        <v>529122899</v>
      </c>
      <c r="AJ330" s="47">
        <v>529122899</v>
      </c>
      <c r="AK330" s="47">
        <v>529122899</v>
      </c>
      <c r="AL330" s="47">
        <v>-176374300</v>
      </c>
      <c r="AM330" s="47">
        <v>-176374300</v>
      </c>
      <c r="AN330" s="47">
        <v>-1547142.9780701755</v>
      </c>
      <c r="AO330" s="47">
        <v>-1547142.9780701755</v>
      </c>
      <c r="AP330" s="47">
        <v>-1547142.9780701755</v>
      </c>
      <c r="AQ330" s="47">
        <v>-1547142.9780701755</v>
      </c>
      <c r="AR330" s="47">
        <v>-1547142.9780701755</v>
      </c>
      <c r="AS330" s="47">
        <v>-1547142.9780701755</v>
      </c>
      <c r="AT330" s="47">
        <v>-1547142.9780701755</v>
      </c>
      <c r="AU330" s="47">
        <v>-1547142.9780701755</v>
      </c>
      <c r="AV330" s="47">
        <v>-1547142.9780701755</v>
      </c>
      <c r="AW330" s="47">
        <v>-1547142.9780701755</v>
      </c>
      <c r="AX330" s="47">
        <v>-1547142.9780701755</v>
      </c>
      <c r="AY330" s="47">
        <v>-1547142.9780701755</v>
      </c>
      <c r="AZ330" s="58">
        <f t="shared" si="15"/>
        <v>-18565715.736842107</v>
      </c>
      <c r="BA330" s="47">
        <f>Y330+SUM($AM330:AM330)</f>
        <v>352748599</v>
      </c>
      <c r="BB330" s="48">
        <f>Z330+SUM($AM330:AN330)</f>
        <v>351201456.02192986</v>
      </c>
      <c r="BC330" s="48">
        <f>AA330+SUM($AM330:AO330)</f>
        <v>349654313.04385966</v>
      </c>
      <c r="BD330" s="48">
        <f>AB330+SUM($AM330:AP330)</f>
        <v>348107170.06578946</v>
      </c>
      <c r="BE330" s="48">
        <f>AC330+SUM($AM330:AQ330)</f>
        <v>346560027.08771932</v>
      </c>
      <c r="BF330" s="48">
        <f>AD330+SUM($AM330:AR330)</f>
        <v>345012884.10964918</v>
      </c>
      <c r="BG330" s="48">
        <f>AE330+SUM($AM330:AS330)</f>
        <v>343465741.13157898</v>
      </c>
      <c r="BH330" s="48">
        <f>AF330+SUM($AM330:AT330)</f>
        <v>341918598.15350878</v>
      </c>
      <c r="BI330" s="48">
        <f>AG330+SUM($AM330:AU330)</f>
        <v>340371455.17543864</v>
      </c>
      <c r="BJ330" s="48">
        <f>AH330+SUM($AM330:AV330)</f>
        <v>338824312.1973685</v>
      </c>
      <c r="BK330" s="48">
        <f>AI330+SUM($AM330:AW330)</f>
        <v>337277169.2192983</v>
      </c>
      <c r="BL330" s="48">
        <f>AJ330+SUM($AM330:AX330)</f>
        <v>335730026.2412281</v>
      </c>
      <c r="BM330" s="48">
        <f>AK330+SUM($AM330:AY330)</f>
        <v>334182883.26315796</v>
      </c>
      <c r="BO330" s="47"/>
    </row>
    <row r="331" spans="3:67" s="41" customFormat="1" hidden="1" x14ac:dyDescent="0.3">
      <c r="C331" s="41" t="s">
        <v>1340</v>
      </c>
      <c r="D331" s="42" t="s">
        <v>338</v>
      </c>
      <c r="E331" s="42" t="str">
        <f t="shared" si="17"/>
        <v>211</v>
      </c>
      <c r="F331" s="41" t="str">
        <f>_xlfn.XLOOKUP($D331,MD_Account_Asset_Type[Nhóm tài sản],MD_Account_Asset_Type[Tên Nhóm tài sản])</f>
        <v>Máy móc, thiết bị - SX 627</v>
      </c>
      <c r="G331" s="41" t="str">
        <f>_xlfn.XLOOKUP($D331,MD_Account_Asset_Type[Nhóm tài sản],MD_Account_Asset_Type[Tên nhóm TS-Rút gọn])</f>
        <v>Máy móc thiết bị</v>
      </c>
      <c r="H331" s="41" t="str">
        <f>_xlfn.XLOOKUP($D331,MD_Account_Asset_Type[Nhóm tài sản],MD_Account_Asset_Type[Tên nhóm TS-Rút gọn-v2])</f>
        <v>Máy móc thiết bị</v>
      </c>
      <c r="I331" s="43" t="s">
        <v>855</v>
      </c>
      <c r="J331" s="42" t="s">
        <v>856</v>
      </c>
      <c r="K331" s="41" t="s">
        <v>830</v>
      </c>
      <c r="L331" s="42" t="s">
        <v>46</v>
      </c>
      <c r="M331" s="42" t="s">
        <v>121</v>
      </c>
      <c r="N331" s="44">
        <v>0</v>
      </c>
      <c r="O331" s="44"/>
      <c r="P331" s="41" t="s">
        <v>462</v>
      </c>
      <c r="Q331" s="41" t="str">
        <f t="shared" si="16"/>
        <v>627</v>
      </c>
      <c r="R331" s="41" t="str">
        <f>_xlfn.XLOOKUP($L331,MD_Cost_Center[Mã Cost Center],MD_Cost_Center[Ngành])</f>
        <v>Chung</v>
      </c>
      <c r="S331" s="41" t="str">
        <f>_xlfn.XLOOKUP($L331,MD_Cost_Center[Mã Cost Center],MD_Cost_Center[Ngành-Tách PET-Xơ sợi])</f>
        <v>Chung</v>
      </c>
      <c r="T331" s="45">
        <v>44683</v>
      </c>
      <c r="U331" s="46">
        <v>45779</v>
      </c>
      <c r="V331" s="47">
        <v>36</v>
      </c>
      <c r="W331" s="47">
        <v>33250000</v>
      </c>
      <c r="X331" s="47">
        <v>-923611</v>
      </c>
      <c r="Y331" s="47">
        <v>33250000</v>
      </c>
      <c r="Z331" s="47">
        <v>33250000</v>
      </c>
      <c r="AA331" s="47">
        <v>33250000</v>
      </c>
      <c r="AB331" s="47">
        <v>33250000</v>
      </c>
      <c r="AC331" s="47">
        <v>33250000</v>
      </c>
      <c r="AD331" s="47">
        <v>33250000</v>
      </c>
      <c r="AE331" s="47">
        <v>33250000</v>
      </c>
      <c r="AF331" s="47">
        <v>33250000</v>
      </c>
      <c r="AG331" s="47">
        <v>33250000</v>
      </c>
      <c r="AH331" s="47">
        <v>33250000</v>
      </c>
      <c r="AI331" s="47">
        <v>33250000</v>
      </c>
      <c r="AJ331" s="47">
        <v>33250000</v>
      </c>
      <c r="AK331" s="47">
        <v>33250000</v>
      </c>
      <c r="AL331" s="47">
        <v>-3694444</v>
      </c>
      <c r="AM331" s="47">
        <v>-33250000</v>
      </c>
      <c r="AN331" s="47">
        <v>0</v>
      </c>
      <c r="AO331" s="47">
        <v>0</v>
      </c>
      <c r="AP331" s="47">
        <v>0</v>
      </c>
      <c r="AQ331" s="47">
        <v>0</v>
      </c>
      <c r="AR331" s="47">
        <v>0</v>
      </c>
      <c r="AS331" s="47">
        <v>0</v>
      </c>
      <c r="AT331" s="47">
        <v>0</v>
      </c>
      <c r="AU331" s="47">
        <v>0</v>
      </c>
      <c r="AV331" s="47">
        <v>0</v>
      </c>
      <c r="AW331" s="47">
        <v>0</v>
      </c>
      <c r="AX331" s="47">
        <v>0</v>
      </c>
      <c r="AY331" s="47">
        <v>0</v>
      </c>
      <c r="AZ331" s="58">
        <f t="shared" si="15"/>
        <v>0</v>
      </c>
      <c r="BA331" s="47">
        <f>Y331+SUM($AM331:AM331)</f>
        <v>0</v>
      </c>
      <c r="BB331" s="48">
        <f>Z331+SUM($AM331:AN331)</f>
        <v>0</v>
      </c>
      <c r="BC331" s="48">
        <f>AA331+SUM($AM331:AO331)</f>
        <v>0</v>
      </c>
      <c r="BD331" s="48">
        <f>AB331+SUM($AM331:AP331)</f>
        <v>0</v>
      </c>
      <c r="BE331" s="48">
        <f>AC331+SUM($AM331:AQ331)</f>
        <v>0</v>
      </c>
      <c r="BF331" s="48">
        <f>AD331+SUM($AM331:AR331)</f>
        <v>0</v>
      </c>
      <c r="BG331" s="48">
        <f>AE331+SUM($AM331:AS331)</f>
        <v>0</v>
      </c>
      <c r="BH331" s="48">
        <f>AF331+SUM($AM331:AT331)</f>
        <v>0</v>
      </c>
      <c r="BI331" s="48">
        <f>AG331+SUM($AM331:AU331)</f>
        <v>0</v>
      </c>
      <c r="BJ331" s="48">
        <f>AH331+SUM($AM331:AV331)</f>
        <v>0</v>
      </c>
      <c r="BK331" s="48">
        <f>AI331+SUM($AM331:AW331)</f>
        <v>0</v>
      </c>
      <c r="BL331" s="48">
        <f>AJ331+SUM($AM331:AX331)</f>
        <v>0</v>
      </c>
      <c r="BM331" s="48">
        <f>AK331+SUM($AM331:AY331)</f>
        <v>0</v>
      </c>
      <c r="BO331" s="47"/>
    </row>
    <row r="332" spans="3:67" s="41" customFormat="1" hidden="1" x14ac:dyDescent="0.3">
      <c r="C332" s="41" t="s">
        <v>1340</v>
      </c>
      <c r="D332" s="42" t="s">
        <v>338</v>
      </c>
      <c r="E332" s="42" t="str">
        <f t="shared" si="17"/>
        <v>211</v>
      </c>
      <c r="F332" s="41" t="str">
        <f>_xlfn.XLOOKUP($D332,MD_Account_Asset_Type[Nhóm tài sản],MD_Account_Asset_Type[Tên Nhóm tài sản])</f>
        <v>Máy móc, thiết bị - SX 627</v>
      </c>
      <c r="G332" s="41" t="str">
        <f>_xlfn.XLOOKUP($D332,MD_Account_Asset_Type[Nhóm tài sản],MD_Account_Asset_Type[Tên nhóm TS-Rút gọn])</f>
        <v>Máy móc thiết bị</v>
      </c>
      <c r="H332" s="41" t="str">
        <f>_xlfn.XLOOKUP($D332,MD_Account_Asset_Type[Nhóm tài sản],MD_Account_Asset_Type[Tên nhóm TS-Rút gọn-v2])</f>
        <v>Máy móc thiết bị</v>
      </c>
      <c r="I332" s="43" t="s">
        <v>859</v>
      </c>
      <c r="J332" s="42" t="s">
        <v>860</v>
      </c>
      <c r="K332" s="41" t="s">
        <v>830</v>
      </c>
      <c r="L332" s="42" t="s">
        <v>48</v>
      </c>
      <c r="M332" s="42" t="s">
        <v>123</v>
      </c>
      <c r="N332" s="44">
        <v>0</v>
      </c>
      <c r="O332" s="44"/>
      <c r="P332" s="41" t="s">
        <v>462</v>
      </c>
      <c r="Q332" s="41" t="str">
        <f t="shared" si="16"/>
        <v>627</v>
      </c>
      <c r="R332" s="41" t="str">
        <f>_xlfn.XLOOKUP($L332,MD_Cost_Center[Mã Cost Center],MD_Cost_Center[Ngành])</f>
        <v>PET</v>
      </c>
      <c r="S332" s="41" t="str">
        <f>_xlfn.XLOOKUP($L332,MD_Cost_Center[Mã Cost Center],MD_Cost_Center[Ngành-Tách PET-Xơ sợi])</f>
        <v>Chung-PET</v>
      </c>
      <c r="T332" s="45">
        <v>44722</v>
      </c>
      <c r="U332" s="46">
        <v>45818</v>
      </c>
      <c r="V332" s="47">
        <v>36</v>
      </c>
      <c r="W332" s="47">
        <v>65500000</v>
      </c>
      <c r="X332" s="47">
        <v>-1819444</v>
      </c>
      <c r="Y332" s="47">
        <v>65500000</v>
      </c>
      <c r="Z332" s="47">
        <v>65500000</v>
      </c>
      <c r="AA332" s="47">
        <v>65500000</v>
      </c>
      <c r="AB332" s="47">
        <v>65500000</v>
      </c>
      <c r="AC332" s="47">
        <v>65500000</v>
      </c>
      <c r="AD332" s="47">
        <v>65500000</v>
      </c>
      <c r="AE332" s="47">
        <v>65500000</v>
      </c>
      <c r="AF332" s="47">
        <v>65500000</v>
      </c>
      <c r="AG332" s="47">
        <v>65500000</v>
      </c>
      <c r="AH332" s="47">
        <v>65500000</v>
      </c>
      <c r="AI332" s="47">
        <v>65500000</v>
      </c>
      <c r="AJ332" s="47">
        <v>65500000</v>
      </c>
      <c r="AK332" s="47">
        <v>65500000</v>
      </c>
      <c r="AL332" s="47">
        <v>-9097222</v>
      </c>
      <c r="AM332" s="47">
        <v>-65500000</v>
      </c>
      <c r="AN332" s="47">
        <v>0</v>
      </c>
      <c r="AO332" s="47">
        <v>0</v>
      </c>
      <c r="AP332" s="47">
        <v>0</v>
      </c>
      <c r="AQ332" s="47">
        <v>0</v>
      </c>
      <c r="AR332" s="47">
        <v>0</v>
      </c>
      <c r="AS332" s="47">
        <v>0</v>
      </c>
      <c r="AT332" s="47">
        <v>0</v>
      </c>
      <c r="AU332" s="47">
        <v>0</v>
      </c>
      <c r="AV332" s="47">
        <v>0</v>
      </c>
      <c r="AW332" s="47">
        <v>0</v>
      </c>
      <c r="AX332" s="47">
        <v>0</v>
      </c>
      <c r="AY332" s="47">
        <v>0</v>
      </c>
      <c r="AZ332" s="58">
        <f t="shared" si="15"/>
        <v>0</v>
      </c>
      <c r="BA332" s="47">
        <f>Y332+SUM($AM332:AM332)</f>
        <v>0</v>
      </c>
      <c r="BB332" s="48">
        <f>Z332+SUM($AM332:AN332)</f>
        <v>0</v>
      </c>
      <c r="BC332" s="48">
        <f>AA332+SUM($AM332:AO332)</f>
        <v>0</v>
      </c>
      <c r="BD332" s="48">
        <f>AB332+SUM($AM332:AP332)</f>
        <v>0</v>
      </c>
      <c r="BE332" s="48">
        <f>AC332+SUM($AM332:AQ332)</f>
        <v>0</v>
      </c>
      <c r="BF332" s="48">
        <f>AD332+SUM($AM332:AR332)</f>
        <v>0</v>
      </c>
      <c r="BG332" s="48">
        <f>AE332+SUM($AM332:AS332)</f>
        <v>0</v>
      </c>
      <c r="BH332" s="48">
        <f>AF332+SUM($AM332:AT332)</f>
        <v>0</v>
      </c>
      <c r="BI332" s="48">
        <f>AG332+SUM($AM332:AU332)</f>
        <v>0</v>
      </c>
      <c r="BJ332" s="48">
        <f>AH332+SUM($AM332:AV332)</f>
        <v>0</v>
      </c>
      <c r="BK332" s="48">
        <f>AI332+SUM($AM332:AW332)</f>
        <v>0</v>
      </c>
      <c r="BL332" s="48">
        <f>AJ332+SUM($AM332:AX332)</f>
        <v>0</v>
      </c>
      <c r="BM332" s="48">
        <f>AK332+SUM($AM332:AY332)</f>
        <v>0</v>
      </c>
      <c r="BO332" s="47"/>
    </row>
    <row r="333" spans="3:67" s="41" customFormat="1" hidden="1" x14ac:dyDescent="0.3">
      <c r="C333" s="41" t="s">
        <v>1340</v>
      </c>
      <c r="D333" s="42" t="s">
        <v>338</v>
      </c>
      <c r="E333" s="42" t="str">
        <f t="shared" si="17"/>
        <v>211</v>
      </c>
      <c r="F333" s="41" t="str">
        <f>_xlfn.XLOOKUP($D333,MD_Account_Asset_Type[Nhóm tài sản],MD_Account_Asset_Type[Tên Nhóm tài sản])</f>
        <v>Máy móc, thiết bị - SX 627</v>
      </c>
      <c r="G333" s="41" t="str">
        <f>_xlfn.XLOOKUP($D333,MD_Account_Asset_Type[Nhóm tài sản],MD_Account_Asset_Type[Tên nhóm TS-Rút gọn])</f>
        <v>Máy móc thiết bị</v>
      </c>
      <c r="H333" s="41" t="str">
        <f>_xlfn.XLOOKUP($D333,MD_Account_Asset_Type[Nhóm tài sản],MD_Account_Asset_Type[Tên nhóm TS-Rút gọn-v2])</f>
        <v>Máy móc thiết bị</v>
      </c>
      <c r="I333" s="43" t="s">
        <v>862</v>
      </c>
      <c r="J333" s="42" t="s">
        <v>863</v>
      </c>
      <c r="K333" s="41" t="s">
        <v>830</v>
      </c>
      <c r="L333" s="42" t="s">
        <v>48</v>
      </c>
      <c r="M333" s="42" t="s">
        <v>123</v>
      </c>
      <c r="N333" s="44">
        <v>0</v>
      </c>
      <c r="O333" s="44"/>
      <c r="P333" s="41" t="s">
        <v>462</v>
      </c>
      <c r="Q333" s="41" t="str">
        <f t="shared" si="16"/>
        <v>627</v>
      </c>
      <c r="R333" s="41" t="str">
        <f>_xlfn.XLOOKUP($L333,MD_Cost_Center[Mã Cost Center],MD_Cost_Center[Ngành])</f>
        <v>PET</v>
      </c>
      <c r="S333" s="41" t="str">
        <f>_xlfn.XLOOKUP($L333,MD_Cost_Center[Mã Cost Center],MD_Cost_Center[Ngành-Tách PET-Xơ sợi])</f>
        <v>Chung-PET</v>
      </c>
      <c r="T333" s="45">
        <v>44757</v>
      </c>
      <c r="U333" s="46">
        <v>45853</v>
      </c>
      <c r="V333" s="47">
        <v>36</v>
      </c>
      <c r="W333" s="47">
        <v>76000000</v>
      </c>
      <c r="X333" s="47">
        <v>-2111111</v>
      </c>
      <c r="Y333" s="47">
        <v>76000000</v>
      </c>
      <c r="Z333" s="47">
        <v>76000000</v>
      </c>
      <c r="AA333" s="47">
        <v>76000000</v>
      </c>
      <c r="AB333" s="47">
        <v>76000000</v>
      </c>
      <c r="AC333" s="47">
        <v>76000000</v>
      </c>
      <c r="AD333" s="47">
        <v>76000000</v>
      </c>
      <c r="AE333" s="47">
        <v>76000000</v>
      </c>
      <c r="AF333" s="47">
        <v>76000000</v>
      </c>
      <c r="AG333" s="47">
        <v>76000000</v>
      </c>
      <c r="AH333" s="47">
        <v>76000000</v>
      </c>
      <c r="AI333" s="47">
        <v>76000000</v>
      </c>
      <c r="AJ333" s="47">
        <v>76000000</v>
      </c>
      <c r="AK333" s="47">
        <v>76000000</v>
      </c>
      <c r="AL333" s="47">
        <v>-12666667</v>
      </c>
      <c r="AM333" s="47">
        <v>-76000000</v>
      </c>
      <c r="AN333" s="47">
        <v>0</v>
      </c>
      <c r="AO333" s="47">
        <v>0</v>
      </c>
      <c r="AP333" s="47">
        <v>0</v>
      </c>
      <c r="AQ333" s="47">
        <v>0</v>
      </c>
      <c r="AR333" s="47">
        <v>0</v>
      </c>
      <c r="AS333" s="47">
        <v>0</v>
      </c>
      <c r="AT333" s="47">
        <v>0</v>
      </c>
      <c r="AU333" s="47">
        <v>0</v>
      </c>
      <c r="AV333" s="47">
        <v>0</v>
      </c>
      <c r="AW333" s="47">
        <v>0</v>
      </c>
      <c r="AX333" s="47">
        <v>0</v>
      </c>
      <c r="AY333" s="47">
        <v>0</v>
      </c>
      <c r="AZ333" s="58">
        <f t="shared" si="15"/>
        <v>0</v>
      </c>
      <c r="BA333" s="47">
        <f>Y333+SUM($AM333:AM333)</f>
        <v>0</v>
      </c>
      <c r="BB333" s="48">
        <f>Z333+SUM($AM333:AN333)</f>
        <v>0</v>
      </c>
      <c r="BC333" s="48">
        <f>AA333+SUM($AM333:AO333)</f>
        <v>0</v>
      </c>
      <c r="BD333" s="48">
        <f>AB333+SUM($AM333:AP333)</f>
        <v>0</v>
      </c>
      <c r="BE333" s="48">
        <f>AC333+SUM($AM333:AQ333)</f>
        <v>0</v>
      </c>
      <c r="BF333" s="48">
        <f>AD333+SUM($AM333:AR333)</f>
        <v>0</v>
      </c>
      <c r="BG333" s="48">
        <f>AE333+SUM($AM333:AS333)</f>
        <v>0</v>
      </c>
      <c r="BH333" s="48">
        <f>AF333+SUM($AM333:AT333)</f>
        <v>0</v>
      </c>
      <c r="BI333" s="48">
        <f>AG333+SUM($AM333:AU333)</f>
        <v>0</v>
      </c>
      <c r="BJ333" s="48">
        <f>AH333+SUM($AM333:AV333)</f>
        <v>0</v>
      </c>
      <c r="BK333" s="48">
        <f>AI333+SUM($AM333:AW333)</f>
        <v>0</v>
      </c>
      <c r="BL333" s="48">
        <f>AJ333+SUM($AM333:AX333)</f>
        <v>0</v>
      </c>
      <c r="BM333" s="48">
        <f>AK333+SUM($AM333:AY333)</f>
        <v>0</v>
      </c>
      <c r="BO333" s="47"/>
    </row>
    <row r="334" spans="3:67" s="41" customFormat="1" hidden="1" x14ac:dyDescent="0.3">
      <c r="C334" s="41" t="s">
        <v>1340</v>
      </c>
      <c r="D334" s="42" t="s">
        <v>338</v>
      </c>
      <c r="E334" s="42" t="str">
        <f t="shared" si="17"/>
        <v>211</v>
      </c>
      <c r="F334" s="41" t="str">
        <f>_xlfn.XLOOKUP($D334,MD_Account_Asset_Type[Nhóm tài sản],MD_Account_Asset_Type[Tên Nhóm tài sản])</f>
        <v>Máy móc, thiết bị - SX 627</v>
      </c>
      <c r="G334" s="41" t="str">
        <f>_xlfn.XLOOKUP($D334,MD_Account_Asset_Type[Nhóm tài sản],MD_Account_Asset_Type[Tên nhóm TS-Rút gọn])</f>
        <v>Máy móc thiết bị</v>
      </c>
      <c r="H334" s="41" t="str">
        <f>_xlfn.XLOOKUP($D334,MD_Account_Asset_Type[Nhóm tài sản],MD_Account_Asset_Type[Tên nhóm TS-Rút gọn-v2])</f>
        <v>Máy móc thiết bị</v>
      </c>
      <c r="I334" s="43" t="s">
        <v>872</v>
      </c>
      <c r="J334" s="42" t="s">
        <v>873</v>
      </c>
      <c r="K334" s="41" t="s">
        <v>830</v>
      </c>
      <c r="L334" s="42" t="s">
        <v>48</v>
      </c>
      <c r="M334" s="42" t="s">
        <v>123</v>
      </c>
      <c r="N334" s="44">
        <v>0</v>
      </c>
      <c r="O334" s="44"/>
      <c r="P334" s="41" t="s">
        <v>462</v>
      </c>
      <c r="Q334" s="41" t="str">
        <f t="shared" si="16"/>
        <v>627</v>
      </c>
      <c r="R334" s="41" t="str">
        <f>_xlfn.XLOOKUP($L334,MD_Cost_Center[Mã Cost Center],MD_Cost_Center[Ngành])</f>
        <v>PET</v>
      </c>
      <c r="S334" s="41" t="str">
        <f>_xlfn.XLOOKUP($L334,MD_Cost_Center[Mã Cost Center],MD_Cost_Center[Ngành-Tách PET-Xơ sợi])</f>
        <v>Chung-PET</v>
      </c>
      <c r="T334" s="45">
        <v>45017</v>
      </c>
      <c r="U334" s="46">
        <v>45383</v>
      </c>
      <c r="V334" s="47">
        <v>12</v>
      </c>
      <c r="W334" s="47">
        <v>904588000</v>
      </c>
      <c r="X334" s="47">
        <v>-75382333</v>
      </c>
      <c r="Y334" s="47">
        <v>904588000</v>
      </c>
      <c r="Z334" s="47">
        <v>904588000</v>
      </c>
      <c r="AA334" s="47">
        <v>904588000</v>
      </c>
      <c r="AB334" s="47">
        <v>904588000</v>
      </c>
      <c r="AC334" s="47">
        <v>904588000</v>
      </c>
      <c r="AD334" s="47">
        <v>904588000</v>
      </c>
      <c r="AE334" s="47">
        <v>904588000</v>
      </c>
      <c r="AF334" s="47">
        <v>904588000</v>
      </c>
      <c r="AG334" s="47">
        <v>904588000</v>
      </c>
      <c r="AH334" s="47">
        <v>904588000</v>
      </c>
      <c r="AI334" s="47">
        <v>904588000</v>
      </c>
      <c r="AJ334" s="47">
        <v>904588000</v>
      </c>
      <c r="AK334" s="47">
        <v>904588000</v>
      </c>
      <c r="AL334" s="47">
        <v>0</v>
      </c>
      <c r="AM334" s="47">
        <v>-904588000</v>
      </c>
      <c r="AN334" s="47">
        <v>0</v>
      </c>
      <c r="AO334" s="47">
        <v>0</v>
      </c>
      <c r="AP334" s="47">
        <v>0</v>
      </c>
      <c r="AQ334" s="47">
        <v>0</v>
      </c>
      <c r="AR334" s="47">
        <v>0</v>
      </c>
      <c r="AS334" s="47">
        <v>0</v>
      </c>
      <c r="AT334" s="47">
        <v>0</v>
      </c>
      <c r="AU334" s="47">
        <v>0</v>
      </c>
      <c r="AV334" s="47">
        <v>0</v>
      </c>
      <c r="AW334" s="47">
        <v>0</v>
      </c>
      <c r="AX334" s="47">
        <v>0</v>
      </c>
      <c r="AY334" s="47">
        <v>0</v>
      </c>
      <c r="AZ334" s="58">
        <f t="shared" si="15"/>
        <v>0</v>
      </c>
      <c r="BA334" s="47">
        <f>Y334+SUM($AM334:AM334)</f>
        <v>0</v>
      </c>
      <c r="BB334" s="48">
        <f>Z334+SUM($AM334:AN334)</f>
        <v>0</v>
      </c>
      <c r="BC334" s="48">
        <f>AA334+SUM($AM334:AO334)</f>
        <v>0</v>
      </c>
      <c r="BD334" s="48">
        <f>AB334+SUM($AM334:AP334)</f>
        <v>0</v>
      </c>
      <c r="BE334" s="48">
        <f>AC334+SUM($AM334:AQ334)</f>
        <v>0</v>
      </c>
      <c r="BF334" s="48">
        <f>AD334+SUM($AM334:AR334)</f>
        <v>0</v>
      </c>
      <c r="BG334" s="48">
        <f>AE334+SUM($AM334:AS334)</f>
        <v>0</v>
      </c>
      <c r="BH334" s="48">
        <f>AF334+SUM($AM334:AT334)</f>
        <v>0</v>
      </c>
      <c r="BI334" s="48">
        <f>AG334+SUM($AM334:AU334)</f>
        <v>0</v>
      </c>
      <c r="BJ334" s="48">
        <f>AH334+SUM($AM334:AV334)</f>
        <v>0</v>
      </c>
      <c r="BK334" s="48">
        <f>AI334+SUM($AM334:AW334)</f>
        <v>0</v>
      </c>
      <c r="BL334" s="48">
        <f>AJ334+SUM($AM334:AX334)</f>
        <v>0</v>
      </c>
      <c r="BM334" s="48">
        <f>AK334+SUM($AM334:AY334)</f>
        <v>0</v>
      </c>
      <c r="BO334" s="47"/>
    </row>
    <row r="335" spans="3:67" s="41" customFormat="1" hidden="1" x14ac:dyDescent="0.3">
      <c r="C335" s="41" t="s">
        <v>1340</v>
      </c>
      <c r="D335" s="42" t="s">
        <v>338</v>
      </c>
      <c r="E335" s="42" t="str">
        <f t="shared" si="17"/>
        <v>211</v>
      </c>
      <c r="F335" s="41" t="str">
        <f>_xlfn.XLOOKUP($D335,MD_Account_Asset_Type[Nhóm tài sản],MD_Account_Asset_Type[Tên Nhóm tài sản])</f>
        <v>Máy móc, thiết bị - SX 627</v>
      </c>
      <c r="G335" s="41" t="str">
        <f>_xlfn.XLOOKUP($D335,MD_Account_Asset_Type[Nhóm tài sản],MD_Account_Asset_Type[Tên nhóm TS-Rút gọn])</f>
        <v>Máy móc thiết bị</v>
      </c>
      <c r="H335" s="41" t="str">
        <f>_xlfn.XLOOKUP($D335,MD_Account_Asset_Type[Nhóm tài sản],MD_Account_Asset_Type[Tên nhóm TS-Rút gọn-v2])</f>
        <v>Máy móc thiết bị</v>
      </c>
      <c r="I335" s="43" t="s">
        <v>878</v>
      </c>
      <c r="J335" s="42" t="s">
        <v>879</v>
      </c>
      <c r="K335" s="41" t="s">
        <v>830</v>
      </c>
      <c r="L335" s="42" t="s">
        <v>46</v>
      </c>
      <c r="M335" s="42" t="s">
        <v>121</v>
      </c>
      <c r="N335" s="44">
        <v>0</v>
      </c>
      <c r="O335" s="44"/>
      <c r="P335" s="41" t="s">
        <v>462</v>
      </c>
      <c r="Q335" s="41" t="str">
        <f t="shared" si="16"/>
        <v>627</v>
      </c>
      <c r="R335" s="41" t="str">
        <f>_xlfn.XLOOKUP($L335,MD_Cost_Center[Mã Cost Center],MD_Cost_Center[Ngành])</f>
        <v>Chung</v>
      </c>
      <c r="S335" s="41" t="str">
        <f>_xlfn.XLOOKUP($L335,MD_Cost_Center[Mã Cost Center],MD_Cost_Center[Ngành-Tách PET-Xơ sợi])</f>
        <v>Chung</v>
      </c>
      <c r="T335" s="45">
        <v>45139</v>
      </c>
      <c r="U335" s="46">
        <v>45870</v>
      </c>
      <c r="V335" s="47">
        <v>24</v>
      </c>
      <c r="W335" s="47">
        <v>8144000</v>
      </c>
      <c r="X335" s="47">
        <v>-339333</v>
      </c>
      <c r="Y335" s="47">
        <v>8144000</v>
      </c>
      <c r="Z335" s="47">
        <v>8144000</v>
      </c>
      <c r="AA335" s="47">
        <v>8144000</v>
      </c>
      <c r="AB335" s="47">
        <v>8144000</v>
      </c>
      <c r="AC335" s="47">
        <v>8144000</v>
      </c>
      <c r="AD335" s="47">
        <v>8144000</v>
      </c>
      <c r="AE335" s="47">
        <v>8144000</v>
      </c>
      <c r="AF335" s="47">
        <v>8144000</v>
      </c>
      <c r="AG335" s="47">
        <v>8144000</v>
      </c>
      <c r="AH335" s="47">
        <v>8144000</v>
      </c>
      <c r="AI335" s="47">
        <v>8144000</v>
      </c>
      <c r="AJ335" s="47">
        <v>8144000</v>
      </c>
      <c r="AK335" s="47">
        <v>8144000</v>
      </c>
      <c r="AL335" s="47">
        <v>-2375333</v>
      </c>
      <c r="AM335" s="47">
        <v>-8144000</v>
      </c>
      <c r="AN335" s="47">
        <v>0</v>
      </c>
      <c r="AO335" s="47">
        <v>0</v>
      </c>
      <c r="AP335" s="47">
        <v>0</v>
      </c>
      <c r="AQ335" s="47">
        <v>0</v>
      </c>
      <c r="AR335" s="47">
        <v>0</v>
      </c>
      <c r="AS335" s="47">
        <v>0</v>
      </c>
      <c r="AT335" s="47">
        <v>0</v>
      </c>
      <c r="AU335" s="47">
        <v>0</v>
      </c>
      <c r="AV335" s="47">
        <v>0</v>
      </c>
      <c r="AW335" s="47">
        <v>0</v>
      </c>
      <c r="AX335" s="47">
        <v>0</v>
      </c>
      <c r="AY335" s="47">
        <v>0</v>
      </c>
      <c r="AZ335" s="58">
        <f t="shared" si="15"/>
        <v>0</v>
      </c>
      <c r="BA335" s="47">
        <f>Y335+SUM($AM335:AM335)</f>
        <v>0</v>
      </c>
      <c r="BB335" s="48">
        <f>Z335+SUM($AM335:AN335)</f>
        <v>0</v>
      </c>
      <c r="BC335" s="48">
        <f>AA335+SUM($AM335:AO335)</f>
        <v>0</v>
      </c>
      <c r="BD335" s="48">
        <f>AB335+SUM($AM335:AP335)</f>
        <v>0</v>
      </c>
      <c r="BE335" s="48">
        <f>AC335+SUM($AM335:AQ335)</f>
        <v>0</v>
      </c>
      <c r="BF335" s="48">
        <f>AD335+SUM($AM335:AR335)</f>
        <v>0</v>
      </c>
      <c r="BG335" s="48">
        <f>AE335+SUM($AM335:AS335)</f>
        <v>0</v>
      </c>
      <c r="BH335" s="48">
        <f>AF335+SUM($AM335:AT335)</f>
        <v>0</v>
      </c>
      <c r="BI335" s="48">
        <f>AG335+SUM($AM335:AU335)</f>
        <v>0</v>
      </c>
      <c r="BJ335" s="48">
        <f>AH335+SUM($AM335:AV335)</f>
        <v>0</v>
      </c>
      <c r="BK335" s="48">
        <f>AI335+SUM($AM335:AW335)</f>
        <v>0</v>
      </c>
      <c r="BL335" s="48">
        <f>AJ335+SUM($AM335:AX335)</f>
        <v>0</v>
      </c>
      <c r="BM335" s="48">
        <f>AK335+SUM($AM335:AY335)</f>
        <v>0</v>
      </c>
      <c r="BO335" s="47"/>
    </row>
    <row r="336" spans="3:67" s="41" customFormat="1" hidden="1" x14ac:dyDescent="0.3">
      <c r="C336" s="41" t="s">
        <v>1340</v>
      </c>
      <c r="D336" s="42" t="s">
        <v>337</v>
      </c>
      <c r="E336" s="42" t="str">
        <f t="shared" si="17"/>
        <v>211</v>
      </c>
      <c r="F336" s="41" t="str">
        <f>_xlfn.XLOOKUP($D336,MD_Account_Asset_Type[Nhóm tài sản],MD_Account_Asset_Type[Tên Nhóm tài sản])</f>
        <v>Máy móc, thiết bị phụ - SX 627</v>
      </c>
      <c r="G336" s="41" t="str">
        <f>_xlfn.XLOOKUP($D336,MD_Account_Asset_Type[Nhóm tài sản],MD_Account_Asset_Type[Tên nhóm TS-Rút gọn])</f>
        <v>Máy móc thiết bị</v>
      </c>
      <c r="H336" s="41" t="str">
        <f>_xlfn.XLOOKUP($D336,MD_Account_Asset_Type[Nhóm tài sản],MD_Account_Asset_Type[Tên nhóm TS-Rút gọn-v2])</f>
        <v>Máy móc thiết bị</v>
      </c>
      <c r="I336" s="43" t="s">
        <v>953</v>
      </c>
      <c r="J336" s="42" t="s">
        <v>954</v>
      </c>
      <c r="K336" s="41" t="s">
        <v>830</v>
      </c>
      <c r="L336" s="42" t="s">
        <v>51</v>
      </c>
      <c r="M336" s="42" t="s">
        <v>126</v>
      </c>
      <c r="N336" s="44" t="s">
        <v>244</v>
      </c>
      <c r="O336" s="44"/>
      <c r="P336" s="41" t="s">
        <v>461</v>
      </c>
      <c r="Q336" s="41" t="str">
        <f t="shared" si="16"/>
        <v>627</v>
      </c>
      <c r="R336" s="41" t="str">
        <f>_xlfn.XLOOKUP($L336,MD_Cost_Center[Mã Cost Center],MD_Cost_Center[Ngành])</f>
        <v>PET</v>
      </c>
      <c r="S336" s="41" t="str">
        <f>_xlfn.XLOOKUP($L336,MD_Cost_Center[Mã Cost Center],MD_Cost_Center[Ngành-Tách PET-Xơ sợi])</f>
        <v>Chung-PET</v>
      </c>
      <c r="T336" s="45">
        <v>44322</v>
      </c>
      <c r="U336" s="46">
        <v>45418</v>
      </c>
      <c r="V336" s="47">
        <v>36</v>
      </c>
      <c r="W336" s="47">
        <v>60000000</v>
      </c>
      <c r="X336" s="47">
        <v>-1666667</v>
      </c>
      <c r="Y336" s="47">
        <v>60000000</v>
      </c>
      <c r="Z336" s="47">
        <v>60000000</v>
      </c>
      <c r="AA336" s="47">
        <v>60000000</v>
      </c>
      <c r="AB336" s="47">
        <v>60000000</v>
      </c>
      <c r="AC336" s="47">
        <v>60000000</v>
      </c>
      <c r="AD336" s="47">
        <v>60000000</v>
      </c>
      <c r="AE336" s="47">
        <v>60000000</v>
      </c>
      <c r="AF336" s="47">
        <v>60000000</v>
      </c>
      <c r="AG336" s="47">
        <v>60000000</v>
      </c>
      <c r="AH336" s="47">
        <v>60000000</v>
      </c>
      <c r="AI336" s="47">
        <v>60000000</v>
      </c>
      <c r="AJ336" s="47">
        <v>60000000</v>
      </c>
      <c r="AK336" s="47">
        <v>60000000</v>
      </c>
      <c r="AL336" s="47">
        <v>0</v>
      </c>
      <c r="AM336" s="47">
        <v>-60000000</v>
      </c>
      <c r="AN336" s="47">
        <v>0</v>
      </c>
      <c r="AO336" s="47">
        <v>0</v>
      </c>
      <c r="AP336" s="47">
        <v>0</v>
      </c>
      <c r="AQ336" s="47">
        <v>0</v>
      </c>
      <c r="AR336" s="47">
        <v>0</v>
      </c>
      <c r="AS336" s="47">
        <v>0</v>
      </c>
      <c r="AT336" s="47">
        <v>0</v>
      </c>
      <c r="AU336" s="47">
        <v>0</v>
      </c>
      <c r="AV336" s="47">
        <v>0</v>
      </c>
      <c r="AW336" s="47">
        <v>0</v>
      </c>
      <c r="AX336" s="47">
        <v>0</v>
      </c>
      <c r="AY336" s="47">
        <v>0</v>
      </c>
      <c r="AZ336" s="58">
        <f t="shared" si="15"/>
        <v>0</v>
      </c>
      <c r="BA336" s="47">
        <f>Y336+SUM($AM336:AM336)</f>
        <v>0</v>
      </c>
      <c r="BB336" s="48">
        <f>Z336+SUM($AM336:AN336)</f>
        <v>0</v>
      </c>
      <c r="BC336" s="48">
        <f>AA336+SUM($AM336:AO336)</f>
        <v>0</v>
      </c>
      <c r="BD336" s="48">
        <f>AB336+SUM($AM336:AP336)</f>
        <v>0</v>
      </c>
      <c r="BE336" s="48">
        <f>AC336+SUM($AM336:AQ336)</f>
        <v>0</v>
      </c>
      <c r="BF336" s="48">
        <f>AD336+SUM($AM336:AR336)</f>
        <v>0</v>
      </c>
      <c r="BG336" s="48">
        <f>AE336+SUM($AM336:AS336)</f>
        <v>0</v>
      </c>
      <c r="BH336" s="48">
        <f>AF336+SUM($AM336:AT336)</f>
        <v>0</v>
      </c>
      <c r="BI336" s="48">
        <f>AG336+SUM($AM336:AU336)</f>
        <v>0</v>
      </c>
      <c r="BJ336" s="48">
        <f>AH336+SUM($AM336:AV336)</f>
        <v>0</v>
      </c>
      <c r="BK336" s="48">
        <f>AI336+SUM($AM336:AW336)</f>
        <v>0</v>
      </c>
      <c r="BL336" s="48">
        <f>AJ336+SUM($AM336:AX336)</f>
        <v>0</v>
      </c>
      <c r="BM336" s="48">
        <f>AK336+SUM($AM336:AY336)</f>
        <v>0</v>
      </c>
      <c r="BO336" s="47"/>
    </row>
    <row r="337" spans="3:67" s="41" customFormat="1" hidden="1" x14ac:dyDescent="0.3">
      <c r="C337" s="41" t="s">
        <v>1340</v>
      </c>
      <c r="D337" s="42" t="s">
        <v>337</v>
      </c>
      <c r="E337" s="42" t="str">
        <f t="shared" si="17"/>
        <v>211</v>
      </c>
      <c r="F337" s="41" t="str">
        <f>_xlfn.XLOOKUP($D337,MD_Account_Asset_Type[Nhóm tài sản],MD_Account_Asset_Type[Tên Nhóm tài sản])</f>
        <v>Máy móc, thiết bị phụ - SX 627</v>
      </c>
      <c r="G337" s="41" t="str">
        <f>_xlfn.XLOOKUP($D337,MD_Account_Asset_Type[Nhóm tài sản],MD_Account_Asset_Type[Tên nhóm TS-Rút gọn])</f>
        <v>Máy móc thiết bị</v>
      </c>
      <c r="H337" s="41" t="str">
        <f>_xlfn.XLOOKUP($D337,MD_Account_Asset_Type[Nhóm tài sản],MD_Account_Asset_Type[Tên nhóm TS-Rút gọn-v2])</f>
        <v>Máy móc thiết bị</v>
      </c>
      <c r="I337" s="43" t="s">
        <v>964</v>
      </c>
      <c r="J337" s="42" t="s">
        <v>965</v>
      </c>
      <c r="K337" s="41" t="s">
        <v>830</v>
      </c>
      <c r="L337" s="42" t="s">
        <v>51</v>
      </c>
      <c r="M337" s="42" t="s">
        <v>126</v>
      </c>
      <c r="N337" s="44" t="s">
        <v>244</v>
      </c>
      <c r="O337" s="44"/>
      <c r="P337" s="41" t="s">
        <v>461</v>
      </c>
      <c r="Q337" s="41" t="str">
        <f t="shared" si="16"/>
        <v>627</v>
      </c>
      <c r="R337" s="41" t="str">
        <f>_xlfn.XLOOKUP($L337,MD_Cost_Center[Mã Cost Center],MD_Cost_Center[Ngành])</f>
        <v>PET</v>
      </c>
      <c r="S337" s="41" t="str">
        <f>_xlfn.XLOOKUP($L337,MD_Cost_Center[Mã Cost Center],MD_Cost_Center[Ngành-Tách PET-Xơ sợi])</f>
        <v>Chung-PET</v>
      </c>
      <c r="T337" s="45">
        <v>44440</v>
      </c>
      <c r="U337" s="46">
        <v>45536</v>
      </c>
      <c r="V337" s="47">
        <v>36</v>
      </c>
      <c r="W337" s="47">
        <v>76120000</v>
      </c>
      <c r="X337" s="47">
        <v>-2114444</v>
      </c>
      <c r="Y337" s="47">
        <v>76120000</v>
      </c>
      <c r="Z337" s="47">
        <v>76120000</v>
      </c>
      <c r="AA337" s="47">
        <v>76120000</v>
      </c>
      <c r="AB337" s="47">
        <v>76120000</v>
      </c>
      <c r="AC337" s="47">
        <v>76120000</v>
      </c>
      <c r="AD337" s="47">
        <v>76120000</v>
      </c>
      <c r="AE337" s="47">
        <v>76120000</v>
      </c>
      <c r="AF337" s="47">
        <v>76120000</v>
      </c>
      <c r="AG337" s="47">
        <v>76120000</v>
      </c>
      <c r="AH337" s="47">
        <v>76120000</v>
      </c>
      <c r="AI337" s="47">
        <v>76120000</v>
      </c>
      <c r="AJ337" s="47">
        <v>76120000</v>
      </c>
      <c r="AK337" s="47">
        <v>76120000</v>
      </c>
      <c r="AL337" s="47">
        <v>0</v>
      </c>
      <c r="AM337" s="47">
        <v>-76120000</v>
      </c>
      <c r="AN337" s="47">
        <v>0</v>
      </c>
      <c r="AO337" s="47">
        <v>0</v>
      </c>
      <c r="AP337" s="47">
        <v>0</v>
      </c>
      <c r="AQ337" s="47">
        <v>0</v>
      </c>
      <c r="AR337" s="47">
        <v>0</v>
      </c>
      <c r="AS337" s="47">
        <v>0</v>
      </c>
      <c r="AT337" s="47">
        <v>0</v>
      </c>
      <c r="AU337" s="47">
        <v>0</v>
      </c>
      <c r="AV337" s="47">
        <v>0</v>
      </c>
      <c r="AW337" s="47">
        <v>0</v>
      </c>
      <c r="AX337" s="47">
        <v>0</v>
      </c>
      <c r="AY337" s="47">
        <v>0</v>
      </c>
      <c r="AZ337" s="58">
        <f t="shared" si="15"/>
        <v>0</v>
      </c>
      <c r="BA337" s="47">
        <f>Y337+SUM($AM337:AM337)</f>
        <v>0</v>
      </c>
      <c r="BB337" s="48">
        <f>Z337+SUM($AM337:AN337)</f>
        <v>0</v>
      </c>
      <c r="BC337" s="48">
        <f>AA337+SUM($AM337:AO337)</f>
        <v>0</v>
      </c>
      <c r="BD337" s="48">
        <f>AB337+SUM($AM337:AP337)</f>
        <v>0</v>
      </c>
      <c r="BE337" s="48">
        <f>AC337+SUM($AM337:AQ337)</f>
        <v>0</v>
      </c>
      <c r="BF337" s="48">
        <f>AD337+SUM($AM337:AR337)</f>
        <v>0</v>
      </c>
      <c r="BG337" s="48">
        <f>AE337+SUM($AM337:AS337)</f>
        <v>0</v>
      </c>
      <c r="BH337" s="48">
        <f>AF337+SUM($AM337:AT337)</f>
        <v>0</v>
      </c>
      <c r="BI337" s="48">
        <f>AG337+SUM($AM337:AU337)</f>
        <v>0</v>
      </c>
      <c r="BJ337" s="48">
        <f>AH337+SUM($AM337:AV337)</f>
        <v>0</v>
      </c>
      <c r="BK337" s="48">
        <f>AI337+SUM($AM337:AW337)</f>
        <v>0</v>
      </c>
      <c r="BL337" s="48">
        <f>AJ337+SUM($AM337:AX337)</f>
        <v>0</v>
      </c>
      <c r="BM337" s="48">
        <f>AK337+SUM($AM337:AY337)</f>
        <v>0</v>
      </c>
      <c r="BO337" s="47"/>
    </row>
    <row r="338" spans="3:67" s="41" customFormat="1" hidden="1" x14ac:dyDescent="0.3">
      <c r="C338" s="41" t="s">
        <v>1340</v>
      </c>
      <c r="D338" s="42" t="s">
        <v>337</v>
      </c>
      <c r="E338" s="42" t="str">
        <f t="shared" si="17"/>
        <v>211</v>
      </c>
      <c r="F338" s="41" t="str">
        <f>_xlfn.XLOOKUP($D338,MD_Account_Asset_Type[Nhóm tài sản],MD_Account_Asset_Type[Tên Nhóm tài sản])</f>
        <v>Máy móc, thiết bị phụ - SX 627</v>
      </c>
      <c r="G338" s="41" t="str">
        <f>_xlfn.XLOOKUP($D338,MD_Account_Asset_Type[Nhóm tài sản],MD_Account_Asset_Type[Tên nhóm TS-Rút gọn])</f>
        <v>Máy móc thiết bị</v>
      </c>
      <c r="H338" s="41" t="str">
        <f>_xlfn.XLOOKUP($D338,MD_Account_Asset_Type[Nhóm tài sản],MD_Account_Asset_Type[Tên nhóm TS-Rút gọn-v2])</f>
        <v>Máy móc thiết bị</v>
      </c>
      <c r="I338" s="43" t="s">
        <v>967</v>
      </c>
      <c r="J338" s="42" t="s">
        <v>968</v>
      </c>
      <c r="K338" s="41" t="s">
        <v>830</v>
      </c>
      <c r="L338" s="42" t="s">
        <v>48</v>
      </c>
      <c r="M338" s="42" t="s">
        <v>123</v>
      </c>
      <c r="N338" s="44">
        <v>0</v>
      </c>
      <c r="O338" s="44"/>
      <c r="P338" s="41" t="s">
        <v>461</v>
      </c>
      <c r="Q338" s="41" t="str">
        <f t="shared" si="16"/>
        <v>627</v>
      </c>
      <c r="R338" s="41" t="str">
        <f>_xlfn.XLOOKUP($L338,MD_Cost_Center[Mã Cost Center],MD_Cost_Center[Ngành])</f>
        <v>PET</v>
      </c>
      <c r="S338" s="41" t="str">
        <f>_xlfn.XLOOKUP($L338,MD_Cost_Center[Mã Cost Center],MD_Cost_Center[Ngành-Tách PET-Xơ sợi])</f>
        <v>Chung-PET</v>
      </c>
      <c r="T338" s="45">
        <v>44532</v>
      </c>
      <c r="U338" s="46">
        <v>45628</v>
      </c>
      <c r="V338" s="47">
        <v>36</v>
      </c>
      <c r="W338" s="47">
        <v>66378000</v>
      </c>
      <c r="X338" s="47">
        <v>-1843833</v>
      </c>
      <c r="Y338" s="47">
        <v>66378000</v>
      </c>
      <c r="Z338" s="47">
        <v>66378000</v>
      </c>
      <c r="AA338" s="47">
        <v>66378000</v>
      </c>
      <c r="AB338" s="47">
        <v>66378000</v>
      </c>
      <c r="AC338" s="47">
        <v>66378000</v>
      </c>
      <c r="AD338" s="47">
        <v>66378000</v>
      </c>
      <c r="AE338" s="47">
        <v>66378000</v>
      </c>
      <c r="AF338" s="47">
        <v>66378000</v>
      </c>
      <c r="AG338" s="47">
        <v>66378000</v>
      </c>
      <c r="AH338" s="47">
        <v>66378000</v>
      </c>
      <c r="AI338" s="47">
        <v>66378000</v>
      </c>
      <c r="AJ338" s="47">
        <v>66378000</v>
      </c>
      <c r="AK338" s="47">
        <v>66378000</v>
      </c>
      <c r="AL338" s="47">
        <v>0</v>
      </c>
      <c r="AM338" s="47">
        <v>-66378000</v>
      </c>
      <c r="AN338" s="47">
        <v>0</v>
      </c>
      <c r="AO338" s="47">
        <v>0</v>
      </c>
      <c r="AP338" s="47">
        <v>0</v>
      </c>
      <c r="AQ338" s="47">
        <v>0</v>
      </c>
      <c r="AR338" s="47">
        <v>0</v>
      </c>
      <c r="AS338" s="47">
        <v>0</v>
      </c>
      <c r="AT338" s="47">
        <v>0</v>
      </c>
      <c r="AU338" s="47">
        <v>0</v>
      </c>
      <c r="AV338" s="47">
        <v>0</v>
      </c>
      <c r="AW338" s="47">
        <v>0</v>
      </c>
      <c r="AX338" s="47">
        <v>0</v>
      </c>
      <c r="AY338" s="47">
        <v>0</v>
      </c>
      <c r="AZ338" s="58">
        <f t="shared" si="15"/>
        <v>0</v>
      </c>
      <c r="BA338" s="47">
        <f>Y338+SUM($AM338:AM338)</f>
        <v>0</v>
      </c>
      <c r="BB338" s="48">
        <f>Z338+SUM($AM338:AN338)</f>
        <v>0</v>
      </c>
      <c r="BC338" s="48">
        <f>AA338+SUM($AM338:AO338)</f>
        <v>0</v>
      </c>
      <c r="BD338" s="48">
        <f>AB338+SUM($AM338:AP338)</f>
        <v>0</v>
      </c>
      <c r="BE338" s="48">
        <f>AC338+SUM($AM338:AQ338)</f>
        <v>0</v>
      </c>
      <c r="BF338" s="48">
        <f>AD338+SUM($AM338:AR338)</f>
        <v>0</v>
      </c>
      <c r="BG338" s="48">
        <f>AE338+SUM($AM338:AS338)</f>
        <v>0</v>
      </c>
      <c r="BH338" s="48">
        <f>AF338+SUM($AM338:AT338)</f>
        <v>0</v>
      </c>
      <c r="BI338" s="48">
        <f>AG338+SUM($AM338:AU338)</f>
        <v>0</v>
      </c>
      <c r="BJ338" s="48">
        <f>AH338+SUM($AM338:AV338)</f>
        <v>0</v>
      </c>
      <c r="BK338" s="48">
        <f>AI338+SUM($AM338:AW338)</f>
        <v>0</v>
      </c>
      <c r="BL338" s="48">
        <f>AJ338+SUM($AM338:AX338)</f>
        <v>0</v>
      </c>
      <c r="BM338" s="48">
        <f>AK338+SUM($AM338:AY338)</f>
        <v>0</v>
      </c>
      <c r="BO338" s="47"/>
    </row>
    <row r="339" spans="3:67" s="41" customFormat="1" hidden="1" x14ac:dyDescent="0.3">
      <c r="C339" s="41" t="s">
        <v>1340</v>
      </c>
      <c r="D339" s="42" t="s">
        <v>337</v>
      </c>
      <c r="E339" s="42" t="str">
        <f t="shared" si="17"/>
        <v>211</v>
      </c>
      <c r="F339" s="41" t="str">
        <f>_xlfn.XLOOKUP($D339,MD_Account_Asset_Type[Nhóm tài sản],MD_Account_Asset_Type[Tên Nhóm tài sản])</f>
        <v>Máy móc, thiết bị phụ - SX 627</v>
      </c>
      <c r="G339" s="41" t="str">
        <f>_xlfn.XLOOKUP($D339,MD_Account_Asset_Type[Nhóm tài sản],MD_Account_Asset_Type[Tên nhóm TS-Rút gọn])</f>
        <v>Máy móc thiết bị</v>
      </c>
      <c r="H339" s="41" t="str">
        <f>_xlfn.XLOOKUP($D339,MD_Account_Asset_Type[Nhóm tài sản],MD_Account_Asset_Type[Tên nhóm TS-Rút gọn-v2])</f>
        <v>Máy móc thiết bị</v>
      </c>
      <c r="I339" s="43" t="s">
        <v>969</v>
      </c>
      <c r="J339" s="42" t="s">
        <v>970</v>
      </c>
      <c r="K339" s="41" t="s">
        <v>830</v>
      </c>
      <c r="L339" s="42" t="s">
        <v>51</v>
      </c>
      <c r="M339" s="42" t="s">
        <v>126</v>
      </c>
      <c r="N339" s="44" t="s">
        <v>244</v>
      </c>
      <c r="O339" s="44"/>
      <c r="P339" s="41" t="s">
        <v>461</v>
      </c>
      <c r="Q339" s="41" t="str">
        <f t="shared" si="16"/>
        <v>627</v>
      </c>
      <c r="R339" s="41" t="str">
        <f>_xlfn.XLOOKUP($L339,MD_Cost_Center[Mã Cost Center],MD_Cost_Center[Ngành])</f>
        <v>PET</v>
      </c>
      <c r="S339" s="41" t="str">
        <f>_xlfn.XLOOKUP($L339,MD_Cost_Center[Mã Cost Center],MD_Cost_Center[Ngành-Tách PET-Xơ sợi])</f>
        <v>Chung-PET</v>
      </c>
      <c r="T339" s="45">
        <v>44593</v>
      </c>
      <c r="U339" s="46">
        <v>45689</v>
      </c>
      <c r="V339" s="47">
        <v>36</v>
      </c>
      <c r="W339" s="47">
        <v>53000000</v>
      </c>
      <c r="X339" s="47">
        <v>-1472222</v>
      </c>
      <c r="Y339" s="47">
        <v>53000000</v>
      </c>
      <c r="Z339" s="47">
        <v>53000000</v>
      </c>
      <c r="AA339" s="47">
        <v>53000000</v>
      </c>
      <c r="AB339" s="47">
        <v>53000000</v>
      </c>
      <c r="AC339" s="47">
        <v>53000000</v>
      </c>
      <c r="AD339" s="47">
        <v>53000000</v>
      </c>
      <c r="AE339" s="47">
        <v>53000000</v>
      </c>
      <c r="AF339" s="47">
        <v>53000000</v>
      </c>
      <c r="AG339" s="47">
        <v>53000000</v>
      </c>
      <c r="AH339" s="47">
        <v>53000000</v>
      </c>
      <c r="AI339" s="47">
        <v>53000000</v>
      </c>
      <c r="AJ339" s="47">
        <v>53000000</v>
      </c>
      <c r="AK339" s="47">
        <v>53000000</v>
      </c>
      <c r="AL339" s="47">
        <v>-1472222</v>
      </c>
      <c r="AM339" s="47">
        <v>-53000000</v>
      </c>
      <c r="AN339" s="47">
        <v>0</v>
      </c>
      <c r="AO339" s="47">
        <v>0</v>
      </c>
      <c r="AP339" s="47">
        <v>0</v>
      </c>
      <c r="AQ339" s="47">
        <v>0</v>
      </c>
      <c r="AR339" s="47">
        <v>0</v>
      </c>
      <c r="AS339" s="47">
        <v>0</v>
      </c>
      <c r="AT339" s="47">
        <v>0</v>
      </c>
      <c r="AU339" s="47">
        <v>0</v>
      </c>
      <c r="AV339" s="47">
        <v>0</v>
      </c>
      <c r="AW339" s="47">
        <v>0</v>
      </c>
      <c r="AX339" s="47">
        <v>0</v>
      </c>
      <c r="AY339" s="47">
        <v>0</v>
      </c>
      <c r="AZ339" s="58">
        <f t="shared" si="15"/>
        <v>0</v>
      </c>
      <c r="BA339" s="47">
        <f>Y339+SUM($AM339:AM339)</f>
        <v>0</v>
      </c>
      <c r="BB339" s="48">
        <f>Z339+SUM($AM339:AN339)</f>
        <v>0</v>
      </c>
      <c r="BC339" s="48">
        <f>AA339+SUM($AM339:AO339)</f>
        <v>0</v>
      </c>
      <c r="BD339" s="48">
        <f>AB339+SUM($AM339:AP339)</f>
        <v>0</v>
      </c>
      <c r="BE339" s="48">
        <f>AC339+SUM($AM339:AQ339)</f>
        <v>0</v>
      </c>
      <c r="BF339" s="48">
        <f>AD339+SUM($AM339:AR339)</f>
        <v>0</v>
      </c>
      <c r="BG339" s="48">
        <f>AE339+SUM($AM339:AS339)</f>
        <v>0</v>
      </c>
      <c r="BH339" s="48">
        <f>AF339+SUM($AM339:AT339)</f>
        <v>0</v>
      </c>
      <c r="BI339" s="48">
        <f>AG339+SUM($AM339:AU339)</f>
        <v>0</v>
      </c>
      <c r="BJ339" s="48">
        <f>AH339+SUM($AM339:AV339)</f>
        <v>0</v>
      </c>
      <c r="BK339" s="48">
        <f>AI339+SUM($AM339:AW339)</f>
        <v>0</v>
      </c>
      <c r="BL339" s="48">
        <f>AJ339+SUM($AM339:AX339)</f>
        <v>0</v>
      </c>
      <c r="BM339" s="48">
        <f>AK339+SUM($AM339:AY339)</f>
        <v>0</v>
      </c>
      <c r="BO339" s="47"/>
    </row>
    <row r="340" spans="3:67" s="41" customFormat="1" hidden="1" x14ac:dyDescent="0.3">
      <c r="C340" s="41" t="s">
        <v>1340</v>
      </c>
      <c r="D340" s="42" t="s">
        <v>337</v>
      </c>
      <c r="E340" s="42" t="str">
        <f t="shared" si="17"/>
        <v>211</v>
      </c>
      <c r="F340" s="41" t="str">
        <f>_xlfn.XLOOKUP($D340,MD_Account_Asset_Type[Nhóm tài sản],MD_Account_Asset_Type[Tên Nhóm tài sản])</f>
        <v>Máy móc, thiết bị phụ - SX 627</v>
      </c>
      <c r="G340" s="41" t="str">
        <f>_xlfn.XLOOKUP($D340,MD_Account_Asset_Type[Nhóm tài sản],MD_Account_Asset_Type[Tên nhóm TS-Rút gọn])</f>
        <v>Máy móc thiết bị</v>
      </c>
      <c r="H340" s="41" t="str">
        <f>_xlfn.XLOOKUP($D340,MD_Account_Asset_Type[Nhóm tài sản],MD_Account_Asset_Type[Tên nhóm TS-Rút gọn-v2])</f>
        <v>Máy móc thiết bị</v>
      </c>
      <c r="I340" s="43" t="s">
        <v>976</v>
      </c>
      <c r="J340" s="42" t="s">
        <v>977</v>
      </c>
      <c r="K340" s="41" t="s">
        <v>830</v>
      </c>
      <c r="L340" s="42" t="s">
        <v>56</v>
      </c>
      <c r="M340" s="42" t="s">
        <v>131</v>
      </c>
      <c r="N340" s="44" t="s">
        <v>249</v>
      </c>
      <c r="O340" s="44"/>
      <c r="P340" s="41" t="s">
        <v>461</v>
      </c>
      <c r="Q340" s="41" t="str">
        <f t="shared" si="16"/>
        <v>627</v>
      </c>
      <c r="R340" s="41" t="str">
        <f>_xlfn.XLOOKUP($L340,MD_Cost_Center[Mã Cost Center],MD_Cost_Center[Ngành])</f>
        <v>PET</v>
      </c>
      <c r="S340" s="41" t="str">
        <f>_xlfn.XLOOKUP($L340,MD_Cost_Center[Mã Cost Center],MD_Cost_Center[Ngành-Tách PET-Xơ sợi])</f>
        <v>Chung-PET</v>
      </c>
      <c r="T340" s="45">
        <v>44713</v>
      </c>
      <c r="U340" s="46">
        <v>45809</v>
      </c>
      <c r="V340" s="47">
        <v>36</v>
      </c>
      <c r="W340" s="47">
        <v>72000000</v>
      </c>
      <c r="X340" s="47">
        <v>-2000000</v>
      </c>
      <c r="Y340" s="47">
        <v>72000000</v>
      </c>
      <c r="Z340" s="47">
        <v>72000000</v>
      </c>
      <c r="AA340" s="47">
        <v>72000000</v>
      </c>
      <c r="AB340" s="47">
        <v>72000000</v>
      </c>
      <c r="AC340" s="47">
        <v>72000000</v>
      </c>
      <c r="AD340" s="47">
        <v>72000000</v>
      </c>
      <c r="AE340" s="47">
        <v>72000000</v>
      </c>
      <c r="AF340" s="47">
        <v>72000000</v>
      </c>
      <c r="AG340" s="47">
        <v>72000000</v>
      </c>
      <c r="AH340" s="47">
        <v>72000000</v>
      </c>
      <c r="AI340" s="47">
        <v>72000000</v>
      </c>
      <c r="AJ340" s="47">
        <v>72000000</v>
      </c>
      <c r="AK340" s="47">
        <v>72000000</v>
      </c>
      <c r="AL340" s="47">
        <v>-10000000</v>
      </c>
      <c r="AM340" s="47">
        <v>-72000000</v>
      </c>
      <c r="AN340" s="47">
        <v>0</v>
      </c>
      <c r="AO340" s="47">
        <v>0</v>
      </c>
      <c r="AP340" s="47">
        <v>0</v>
      </c>
      <c r="AQ340" s="47">
        <v>0</v>
      </c>
      <c r="AR340" s="47">
        <v>0</v>
      </c>
      <c r="AS340" s="47">
        <v>0</v>
      </c>
      <c r="AT340" s="47">
        <v>0</v>
      </c>
      <c r="AU340" s="47">
        <v>0</v>
      </c>
      <c r="AV340" s="47">
        <v>0</v>
      </c>
      <c r="AW340" s="47">
        <v>0</v>
      </c>
      <c r="AX340" s="47">
        <v>0</v>
      </c>
      <c r="AY340" s="47">
        <v>0</v>
      </c>
      <c r="AZ340" s="58">
        <f t="shared" si="15"/>
        <v>0</v>
      </c>
      <c r="BA340" s="47">
        <f>Y340+SUM($AM340:AM340)</f>
        <v>0</v>
      </c>
      <c r="BB340" s="48">
        <f>Z340+SUM($AM340:AN340)</f>
        <v>0</v>
      </c>
      <c r="BC340" s="48">
        <f>AA340+SUM($AM340:AO340)</f>
        <v>0</v>
      </c>
      <c r="BD340" s="48">
        <f>AB340+SUM($AM340:AP340)</f>
        <v>0</v>
      </c>
      <c r="BE340" s="48">
        <f>AC340+SUM($AM340:AQ340)</f>
        <v>0</v>
      </c>
      <c r="BF340" s="48">
        <f>AD340+SUM($AM340:AR340)</f>
        <v>0</v>
      </c>
      <c r="BG340" s="48">
        <f>AE340+SUM($AM340:AS340)</f>
        <v>0</v>
      </c>
      <c r="BH340" s="48">
        <f>AF340+SUM($AM340:AT340)</f>
        <v>0</v>
      </c>
      <c r="BI340" s="48">
        <f>AG340+SUM($AM340:AU340)</f>
        <v>0</v>
      </c>
      <c r="BJ340" s="48">
        <f>AH340+SUM($AM340:AV340)</f>
        <v>0</v>
      </c>
      <c r="BK340" s="48">
        <f>AI340+SUM($AM340:AW340)</f>
        <v>0</v>
      </c>
      <c r="BL340" s="48">
        <f>AJ340+SUM($AM340:AX340)</f>
        <v>0</v>
      </c>
      <c r="BM340" s="48">
        <f>AK340+SUM($AM340:AY340)</f>
        <v>0</v>
      </c>
      <c r="BO340" s="47"/>
    </row>
    <row r="341" spans="3:67" s="41" customFormat="1" hidden="1" x14ac:dyDescent="0.3">
      <c r="C341" s="41" t="s">
        <v>1340</v>
      </c>
      <c r="D341" s="42" t="s">
        <v>337</v>
      </c>
      <c r="E341" s="42" t="str">
        <f t="shared" si="17"/>
        <v>211</v>
      </c>
      <c r="F341" s="41" t="str">
        <f>_xlfn.XLOOKUP($D341,MD_Account_Asset_Type[Nhóm tài sản],MD_Account_Asset_Type[Tên Nhóm tài sản])</f>
        <v>Máy móc, thiết bị phụ - SX 627</v>
      </c>
      <c r="G341" s="41" t="str">
        <f>_xlfn.XLOOKUP($D341,MD_Account_Asset_Type[Nhóm tài sản],MD_Account_Asset_Type[Tên nhóm TS-Rút gọn])</f>
        <v>Máy móc thiết bị</v>
      </c>
      <c r="H341" s="41" t="str">
        <f>_xlfn.XLOOKUP($D341,MD_Account_Asset_Type[Nhóm tài sản],MD_Account_Asset_Type[Tên nhóm TS-Rút gọn-v2])</f>
        <v>Máy móc thiết bị</v>
      </c>
      <c r="I341" s="43" t="s">
        <v>980</v>
      </c>
      <c r="J341" s="42" t="s">
        <v>981</v>
      </c>
      <c r="K341" s="41" t="s">
        <v>830</v>
      </c>
      <c r="L341" s="42" t="s">
        <v>46</v>
      </c>
      <c r="M341" s="42" t="s">
        <v>121</v>
      </c>
      <c r="N341" s="44">
        <v>0</v>
      </c>
      <c r="O341" s="44"/>
      <c r="P341" s="41" t="s">
        <v>461</v>
      </c>
      <c r="Q341" s="41" t="str">
        <f t="shared" si="16"/>
        <v>627</v>
      </c>
      <c r="R341" s="41" t="str">
        <f>_xlfn.XLOOKUP($L341,MD_Cost_Center[Mã Cost Center],MD_Cost_Center[Ngành])</f>
        <v>Chung</v>
      </c>
      <c r="S341" s="41" t="str">
        <f>_xlfn.XLOOKUP($L341,MD_Cost_Center[Mã Cost Center],MD_Cost_Center[Ngành-Tách PET-Xơ sợi])</f>
        <v>Chung</v>
      </c>
      <c r="T341" s="45">
        <v>44835</v>
      </c>
      <c r="U341" s="46">
        <v>45931</v>
      </c>
      <c r="V341" s="47">
        <v>36</v>
      </c>
      <c r="W341" s="47">
        <v>49000000</v>
      </c>
      <c r="X341" s="47">
        <v>-1361111</v>
      </c>
      <c r="Y341" s="47">
        <v>49000000</v>
      </c>
      <c r="Z341" s="47">
        <v>49000000</v>
      </c>
      <c r="AA341" s="47">
        <v>49000000</v>
      </c>
      <c r="AB341" s="47">
        <v>49000000</v>
      </c>
      <c r="AC341" s="47">
        <v>49000000</v>
      </c>
      <c r="AD341" s="47">
        <v>49000000</v>
      </c>
      <c r="AE341" s="47">
        <v>49000000</v>
      </c>
      <c r="AF341" s="47">
        <v>49000000</v>
      </c>
      <c r="AG341" s="47">
        <v>49000000</v>
      </c>
      <c r="AH341" s="47">
        <v>49000000</v>
      </c>
      <c r="AI341" s="47">
        <v>49000000</v>
      </c>
      <c r="AJ341" s="47">
        <v>49000000</v>
      </c>
      <c r="AK341" s="47">
        <v>49000000</v>
      </c>
      <c r="AL341" s="47">
        <v>-14700000</v>
      </c>
      <c r="AM341" s="47">
        <v>-49000000</v>
      </c>
      <c r="AN341" s="47">
        <v>0</v>
      </c>
      <c r="AO341" s="47">
        <v>0</v>
      </c>
      <c r="AP341" s="47">
        <v>0</v>
      </c>
      <c r="AQ341" s="47">
        <v>0</v>
      </c>
      <c r="AR341" s="47">
        <v>0</v>
      </c>
      <c r="AS341" s="47">
        <v>0</v>
      </c>
      <c r="AT341" s="47">
        <v>0</v>
      </c>
      <c r="AU341" s="47">
        <v>0</v>
      </c>
      <c r="AV341" s="47">
        <v>0</v>
      </c>
      <c r="AW341" s="47">
        <v>0</v>
      </c>
      <c r="AX341" s="47">
        <v>0</v>
      </c>
      <c r="AY341" s="47">
        <v>0</v>
      </c>
      <c r="AZ341" s="58">
        <f t="shared" si="15"/>
        <v>0</v>
      </c>
      <c r="BA341" s="47">
        <f>Y341+SUM($AM341:AM341)</f>
        <v>0</v>
      </c>
      <c r="BB341" s="48">
        <f>Z341+SUM($AM341:AN341)</f>
        <v>0</v>
      </c>
      <c r="BC341" s="48">
        <f>AA341+SUM($AM341:AO341)</f>
        <v>0</v>
      </c>
      <c r="BD341" s="48">
        <f>AB341+SUM($AM341:AP341)</f>
        <v>0</v>
      </c>
      <c r="BE341" s="48">
        <f>AC341+SUM($AM341:AQ341)</f>
        <v>0</v>
      </c>
      <c r="BF341" s="48">
        <f>AD341+SUM($AM341:AR341)</f>
        <v>0</v>
      </c>
      <c r="BG341" s="48">
        <f>AE341+SUM($AM341:AS341)</f>
        <v>0</v>
      </c>
      <c r="BH341" s="48">
        <f>AF341+SUM($AM341:AT341)</f>
        <v>0</v>
      </c>
      <c r="BI341" s="48">
        <f>AG341+SUM($AM341:AU341)</f>
        <v>0</v>
      </c>
      <c r="BJ341" s="48">
        <f>AH341+SUM($AM341:AV341)</f>
        <v>0</v>
      </c>
      <c r="BK341" s="48">
        <f>AI341+SUM($AM341:AW341)</f>
        <v>0</v>
      </c>
      <c r="BL341" s="48">
        <f>AJ341+SUM($AM341:AX341)</f>
        <v>0</v>
      </c>
      <c r="BM341" s="48">
        <f>AK341+SUM($AM341:AY341)</f>
        <v>0</v>
      </c>
      <c r="BO341" s="47"/>
    </row>
    <row r="342" spans="3:67" s="41" customFormat="1" hidden="1" x14ac:dyDescent="0.3">
      <c r="C342" s="41" t="s">
        <v>1340</v>
      </c>
      <c r="D342" s="42" t="s">
        <v>337</v>
      </c>
      <c r="E342" s="42" t="str">
        <f t="shared" si="17"/>
        <v>211</v>
      </c>
      <c r="F342" s="41" t="str">
        <f>_xlfn.XLOOKUP($D342,MD_Account_Asset_Type[Nhóm tài sản],MD_Account_Asset_Type[Tên Nhóm tài sản])</f>
        <v>Máy móc, thiết bị phụ - SX 627</v>
      </c>
      <c r="G342" s="41" t="str">
        <f>_xlfn.XLOOKUP($D342,MD_Account_Asset_Type[Nhóm tài sản],MD_Account_Asset_Type[Tên nhóm TS-Rút gọn])</f>
        <v>Máy móc thiết bị</v>
      </c>
      <c r="H342" s="41" t="str">
        <f>_xlfn.XLOOKUP($D342,MD_Account_Asset_Type[Nhóm tài sản],MD_Account_Asset_Type[Tên nhóm TS-Rút gọn-v2])</f>
        <v>Máy móc thiết bị</v>
      </c>
      <c r="I342" s="43" t="s">
        <v>1000</v>
      </c>
      <c r="J342" s="42" t="s">
        <v>1001</v>
      </c>
      <c r="K342" s="41" t="s">
        <v>830</v>
      </c>
      <c r="L342" s="42" t="s">
        <v>48</v>
      </c>
      <c r="M342" s="42" t="s">
        <v>123</v>
      </c>
      <c r="N342" s="44">
        <v>0</v>
      </c>
      <c r="O342" s="44"/>
      <c r="P342" s="41" t="s">
        <v>461</v>
      </c>
      <c r="Q342" s="41" t="str">
        <f t="shared" si="16"/>
        <v>627</v>
      </c>
      <c r="R342" s="41" t="str">
        <f>_xlfn.XLOOKUP($L342,MD_Cost_Center[Mã Cost Center],MD_Cost_Center[Ngành])</f>
        <v>PET</v>
      </c>
      <c r="S342" s="41" t="str">
        <f>_xlfn.XLOOKUP($L342,MD_Cost_Center[Mã Cost Center],MD_Cost_Center[Ngành-Tách PET-Xơ sợi])</f>
        <v>Chung-PET</v>
      </c>
      <c r="T342" s="45">
        <v>44986</v>
      </c>
      <c r="U342" s="46">
        <v>45717</v>
      </c>
      <c r="V342" s="47">
        <v>24</v>
      </c>
      <c r="W342" s="47">
        <v>422500000</v>
      </c>
      <c r="X342" s="47">
        <v>-17604167</v>
      </c>
      <c r="Y342" s="47">
        <v>422500000</v>
      </c>
      <c r="Z342" s="47">
        <v>422500000</v>
      </c>
      <c r="AA342" s="47">
        <v>422500000</v>
      </c>
      <c r="AB342" s="47">
        <v>422500000</v>
      </c>
      <c r="AC342" s="47">
        <v>422500000</v>
      </c>
      <c r="AD342" s="47">
        <v>422500000</v>
      </c>
      <c r="AE342" s="47">
        <v>422500000</v>
      </c>
      <c r="AF342" s="47">
        <v>422500000</v>
      </c>
      <c r="AG342" s="47">
        <v>422500000</v>
      </c>
      <c r="AH342" s="47">
        <v>422500000</v>
      </c>
      <c r="AI342" s="47">
        <v>422500000</v>
      </c>
      <c r="AJ342" s="47">
        <v>422500000</v>
      </c>
      <c r="AK342" s="47">
        <v>422500000</v>
      </c>
      <c r="AL342" s="47">
        <v>-35208333</v>
      </c>
      <c r="AM342" s="47">
        <v>-422500000</v>
      </c>
      <c r="AN342" s="47">
        <v>0</v>
      </c>
      <c r="AO342" s="47">
        <v>0</v>
      </c>
      <c r="AP342" s="47">
        <v>0</v>
      </c>
      <c r="AQ342" s="47">
        <v>0</v>
      </c>
      <c r="AR342" s="47">
        <v>0</v>
      </c>
      <c r="AS342" s="47">
        <v>0</v>
      </c>
      <c r="AT342" s="47">
        <v>0</v>
      </c>
      <c r="AU342" s="47">
        <v>0</v>
      </c>
      <c r="AV342" s="47">
        <v>0</v>
      </c>
      <c r="AW342" s="47">
        <v>0</v>
      </c>
      <c r="AX342" s="47">
        <v>0</v>
      </c>
      <c r="AY342" s="47">
        <v>0</v>
      </c>
      <c r="AZ342" s="58">
        <f t="shared" si="15"/>
        <v>0</v>
      </c>
      <c r="BA342" s="47">
        <f>Y342+SUM($AM342:AM342)</f>
        <v>0</v>
      </c>
      <c r="BB342" s="48">
        <f>Z342+SUM($AM342:AN342)</f>
        <v>0</v>
      </c>
      <c r="BC342" s="48">
        <f>AA342+SUM($AM342:AO342)</f>
        <v>0</v>
      </c>
      <c r="BD342" s="48">
        <f>AB342+SUM($AM342:AP342)</f>
        <v>0</v>
      </c>
      <c r="BE342" s="48">
        <f>AC342+SUM($AM342:AQ342)</f>
        <v>0</v>
      </c>
      <c r="BF342" s="48">
        <f>AD342+SUM($AM342:AR342)</f>
        <v>0</v>
      </c>
      <c r="BG342" s="48">
        <f>AE342+SUM($AM342:AS342)</f>
        <v>0</v>
      </c>
      <c r="BH342" s="48">
        <f>AF342+SUM($AM342:AT342)</f>
        <v>0</v>
      </c>
      <c r="BI342" s="48">
        <f>AG342+SUM($AM342:AU342)</f>
        <v>0</v>
      </c>
      <c r="BJ342" s="48">
        <f>AH342+SUM($AM342:AV342)</f>
        <v>0</v>
      </c>
      <c r="BK342" s="48">
        <f>AI342+SUM($AM342:AW342)</f>
        <v>0</v>
      </c>
      <c r="BL342" s="48">
        <f>AJ342+SUM($AM342:AX342)</f>
        <v>0</v>
      </c>
      <c r="BM342" s="48">
        <f>AK342+SUM($AM342:AY342)</f>
        <v>0</v>
      </c>
      <c r="BO342" s="47"/>
    </row>
    <row r="343" spans="3:67" s="41" customFormat="1" hidden="1" x14ac:dyDescent="0.3">
      <c r="C343" s="41" t="s">
        <v>1340</v>
      </c>
      <c r="D343" s="42" t="s">
        <v>341</v>
      </c>
      <c r="E343" s="42" t="str">
        <f t="shared" si="17"/>
        <v>211</v>
      </c>
      <c r="F343" s="41" t="str">
        <f>_xlfn.XLOOKUP($D343,MD_Account_Asset_Type[Nhóm tài sản],MD_Account_Asset_Type[Tên Nhóm tài sản])</f>
        <v>Máy móc, thiết bị - QL 642</v>
      </c>
      <c r="G343" s="41" t="str">
        <f>_xlfn.XLOOKUP($D343,MD_Account_Asset_Type[Nhóm tài sản],MD_Account_Asset_Type[Tên nhóm TS-Rút gọn])</f>
        <v>Máy móc thiết bị</v>
      </c>
      <c r="H343" s="41" t="str">
        <f>_xlfn.XLOOKUP($D343,MD_Account_Asset_Type[Nhóm tài sản],MD_Account_Asset_Type[Tên nhóm TS-Rút gọn-v2])</f>
        <v>Máy móc thiết bị</v>
      </c>
      <c r="I343" s="43" t="s">
        <v>1056</v>
      </c>
      <c r="J343" s="42" t="s">
        <v>1057</v>
      </c>
      <c r="K343" s="41" t="s">
        <v>830</v>
      </c>
      <c r="L343" s="42" t="s">
        <v>36</v>
      </c>
      <c r="M343" s="42" t="s">
        <v>111</v>
      </c>
      <c r="N343" s="44">
        <v>0</v>
      </c>
      <c r="O343" s="44"/>
      <c r="P343" s="41" t="s">
        <v>459</v>
      </c>
      <c r="Q343" s="41" t="str">
        <f t="shared" si="16"/>
        <v>642</v>
      </c>
      <c r="R343" s="41" t="str">
        <f>_xlfn.XLOOKUP($L343,MD_Cost_Center[Mã Cost Center],MD_Cost_Center[Ngành])</f>
        <v>Chung</v>
      </c>
      <c r="S343" s="41" t="str">
        <f>_xlfn.XLOOKUP($L343,MD_Cost_Center[Mã Cost Center],MD_Cost_Center[Ngành-Tách PET-Xơ sợi])</f>
        <v>Chung</v>
      </c>
      <c r="T343" s="45">
        <v>43843</v>
      </c>
      <c r="U343" s="46">
        <v>45670</v>
      </c>
      <c r="V343" s="47">
        <v>60</v>
      </c>
      <c r="W343" s="47">
        <v>57000000</v>
      </c>
      <c r="X343" s="47">
        <v>-950000</v>
      </c>
      <c r="Y343" s="47">
        <v>57000000</v>
      </c>
      <c r="Z343" s="47">
        <v>57000000</v>
      </c>
      <c r="AA343" s="47">
        <v>57000000</v>
      </c>
      <c r="AB343" s="47">
        <v>57000000</v>
      </c>
      <c r="AC343" s="47">
        <v>57000000</v>
      </c>
      <c r="AD343" s="47">
        <v>57000000</v>
      </c>
      <c r="AE343" s="47">
        <v>57000000</v>
      </c>
      <c r="AF343" s="47">
        <v>57000000</v>
      </c>
      <c r="AG343" s="47">
        <v>57000000</v>
      </c>
      <c r="AH343" s="47">
        <v>57000000</v>
      </c>
      <c r="AI343" s="47">
        <v>57000000</v>
      </c>
      <c r="AJ343" s="47">
        <v>57000000</v>
      </c>
      <c r="AK343" s="47">
        <v>57000000</v>
      </c>
      <c r="AL343" s="47">
        <v>0</v>
      </c>
      <c r="AM343" s="47">
        <v>-57000000</v>
      </c>
      <c r="AN343" s="47">
        <v>0</v>
      </c>
      <c r="AO343" s="47">
        <v>0</v>
      </c>
      <c r="AP343" s="47">
        <v>0</v>
      </c>
      <c r="AQ343" s="47">
        <v>0</v>
      </c>
      <c r="AR343" s="47">
        <v>0</v>
      </c>
      <c r="AS343" s="47">
        <v>0</v>
      </c>
      <c r="AT343" s="47">
        <v>0</v>
      </c>
      <c r="AU343" s="47">
        <v>0</v>
      </c>
      <c r="AV343" s="47">
        <v>0</v>
      </c>
      <c r="AW343" s="47">
        <v>0</v>
      </c>
      <c r="AX343" s="47">
        <v>0</v>
      </c>
      <c r="AY343" s="47">
        <v>0</v>
      </c>
      <c r="AZ343" s="58">
        <f t="shared" si="15"/>
        <v>0</v>
      </c>
      <c r="BA343" s="47">
        <f>Y343+SUM($AM343:AM343)</f>
        <v>0</v>
      </c>
      <c r="BB343" s="48">
        <f>Z343+SUM($AM343:AN343)</f>
        <v>0</v>
      </c>
      <c r="BC343" s="48">
        <f>AA343+SUM($AM343:AO343)</f>
        <v>0</v>
      </c>
      <c r="BD343" s="48">
        <f>AB343+SUM($AM343:AP343)</f>
        <v>0</v>
      </c>
      <c r="BE343" s="48">
        <f>AC343+SUM($AM343:AQ343)</f>
        <v>0</v>
      </c>
      <c r="BF343" s="48">
        <f>AD343+SUM($AM343:AR343)</f>
        <v>0</v>
      </c>
      <c r="BG343" s="48">
        <f>AE343+SUM($AM343:AS343)</f>
        <v>0</v>
      </c>
      <c r="BH343" s="48">
        <f>AF343+SUM($AM343:AT343)</f>
        <v>0</v>
      </c>
      <c r="BI343" s="48">
        <f>AG343+SUM($AM343:AU343)</f>
        <v>0</v>
      </c>
      <c r="BJ343" s="48">
        <f>AH343+SUM($AM343:AV343)</f>
        <v>0</v>
      </c>
      <c r="BK343" s="48">
        <f>AI343+SUM($AM343:AW343)</f>
        <v>0</v>
      </c>
      <c r="BL343" s="48">
        <f>AJ343+SUM($AM343:AX343)</f>
        <v>0</v>
      </c>
      <c r="BM343" s="48">
        <f>AK343+SUM($AM343:AY343)</f>
        <v>0</v>
      </c>
      <c r="BO343" s="47"/>
    </row>
    <row r="344" spans="3:67" s="41" customFormat="1" hidden="1" x14ac:dyDescent="0.3">
      <c r="C344" s="41" t="s">
        <v>1340</v>
      </c>
      <c r="D344" s="42" t="s">
        <v>341</v>
      </c>
      <c r="E344" s="42" t="str">
        <f t="shared" si="17"/>
        <v>211</v>
      </c>
      <c r="F344" s="41" t="str">
        <f>_xlfn.XLOOKUP($D344,MD_Account_Asset_Type[Nhóm tài sản],MD_Account_Asset_Type[Tên Nhóm tài sản])</f>
        <v>Máy móc, thiết bị - QL 642</v>
      </c>
      <c r="G344" s="41" t="str">
        <f>_xlfn.XLOOKUP($D344,MD_Account_Asset_Type[Nhóm tài sản],MD_Account_Asset_Type[Tên nhóm TS-Rút gọn])</f>
        <v>Máy móc thiết bị</v>
      </c>
      <c r="H344" s="41" t="str">
        <f>_xlfn.XLOOKUP($D344,MD_Account_Asset_Type[Nhóm tài sản],MD_Account_Asset_Type[Tên nhóm TS-Rút gọn-v2])</f>
        <v>Máy móc thiết bị</v>
      </c>
      <c r="I344" s="43" t="s">
        <v>1058</v>
      </c>
      <c r="J344" s="42" t="s">
        <v>1059</v>
      </c>
      <c r="K344" s="41" t="s">
        <v>830</v>
      </c>
      <c r="L344" s="42" t="s">
        <v>36</v>
      </c>
      <c r="M344" s="42" t="s">
        <v>111</v>
      </c>
      <c r="N344" s="44">
        <v>0</v>
      </c>
      <c r="O344" s="44"/>
      <c r="P344" s="41" t="s">
        <v>459</v>
      </c>
      <c r="Q344" s="41" t="str">
        <f t="shared" si="16"/>
        <v>642</v>
      </c>
      <c r="R344" s="41" t="str">
        <f>_xlfn.XLOOKUP($L344,MD_Cost_Center[Mã Cost Center],MD_Cost_Center[Ngành])</f>
        <v>Chung</v>
      </c>
      <c r="S344" s="41" t="str">
        <f>_xlfn.XLOOKUP($L344,MD_Cost_Center[Mã Cost Center],MD_Cost_Center[Ngành-Tách PET-Xơ sợi])</f>
        <v>Chung</v>
      </c>
      <c r="T344" s="45">
        <v>44299</v>
      </c>
      <c r="U344" s="46">
        <v>45395</v>
      </c>
      <c r="V344" s="47">
        <v>36</v>
      </c>
      <c r="W344" s="47">
        <v>72000000</v>
      </c>
      <c r="X344" s="47">
        <v>-2000000</v>
      </c>
      <c r="Y344" s="47">
        <v>72000000</v>
      </c>
      <c r="Z344" s="47">
        <v>72000000</v>
      </c>
      <c r="AA344" s="47">
        <v>72000000</v>
      </c>
      <c r="AB344" s="47">
        <v>72000000</v>
      </c>
      <c r="AC344" s="47">
        <v>72000000</v>
      </c>
      <c r="AD344" s="47">
        <v>72000000</v>
      </c>
      <c r="AE344" s="47">
        <v>72000000</v>
      </c>
      <c r="AF344" s="47">
        <v>72000000</v>
      </c>
      <c r="AG344" s="47">
        <v>72000000</v>
      </c>
      <c r="AH344" s="47">
        <v>72000000</v>
      </c>
      <c r="AI344" s="47">
        <v>72000000</v>
      </c>
      <c r="AJ344" s="47">
        <v>72000000</v>
      </c>
      <c r="AK344" s="47">
        <v>72000000</v>
      </c>
      <c r="AL344" s="47">
        <v>0</v>
      </c>
      <c r="AM344" s="47">
        <v>-72000000</v>
      </c>
      <c r="AN344" s="47">
        <v>0</v>
      </c>
      <c r="AO344" s="47">
        <v>0</v>
      </c>
      <c r="AP344" s="47">
        <v>0</v>
      </c>
      <c r="AQ344" s="47">
        <v>0</v>
      </c>
      <c r="AR344" s="47">
        <v>0</v>
      </c>
      <c r="AS344" s="47">
        <v>0</v>
      </c>
      <c r="AT344" s="47">
        <v>0</v>
      </c>
      <c r="AU344" s="47">
        <v>0</v>
      </c>
      <c r="AV344" s="47">
        <v>0</v>
      </c>
      <c r="AW344" s="47">
        <v>0</v>
      </c>
      <c r="AX344" s="47">
        <v>0</v>
      </c>
      <c r="AY344" s="47">
        <v>0</v>
      </c>
      <c r="AZ344" s="58">
        <f t="shared" si="15"/>
        <v>0</v>
      </c>
      <c r="BA344" s="47">
        <f>Y344+SUM($AM344:AM344)</f>
        <v>0</v>
      </c>
      <c r="BB344" s="48">
        <f>Z344+SUM($AM344:AN344)</f>
        <v>0</v>
      </c>
      <c r="BC344" s="48">
        <f>AA344+SUM($AM344:AO344)</f>
        <v>0</v>
      </c>
      <c r="BD344" s="48">
        <f>AB344+SUM($AM344:AP344)</f>
        <v>0</v>
      </c>
      <c r="BE344" s="48">
        <f>AC344+SUM($AM344:AQ344)</f>
        <v>0</v>
      </c>
      <c r="BF344" s="48">
        <f>AD344+SUM($AM344:AR344)</f>
        <v>0</v>
      </c>
      <c r="BG344" s="48">
        <f>AE344+SUM($AM344:AS344)</f>
        <v>0</v>
      </c>
      <c r="BH344" s="48">
        <f>AF344+SUM($AM344:AT344)</f>
        <v>0</v>
      </c>
      <c r="BI344" s="48">
        <f>AG344+SUM($AM344:AU344)</f>
        <v>0</v>
      </c>
      <c r="BJ344" s="48">
        <f>AH344+SUM($AM344:AV344)</f>
        <v>0</v>
      </c>
      <c r="BK344" s="48">
        <f>AI344+SUM($AM344:AW344)</f>
        <v>0</v>
      </c>
      <c r="BL344" s="48">
        <f>AJ344+SUM($AM344:AX344)</f>
        <v>0</v>
      </c>
      <c r="BM344" s="48">
        <f>AK344+SUM($AM344:AY344)</f>
        <v>0</v>
      </c>
      <c r="BO344" s="47"/>
    </row>
    <row r="345" spans="3:67" s="41" customFormat="1" hidden="1" x14ac:dyDescent="0.3">
      <c r="C345" s="41" t="s">
        <v>1340</v>
      </c>
      <c r="D345" s="42" t="s">
        <v>342</v>
      </c>
      <c r="E345" s="42" t="str">
        <f t="shared" si="17"/>
        <v>211</v>
      </c>
      <c r="F345" s="41" t="str">
        <f>_xlfn.XLOOKUP($D345,MD_Account_Asset_Type[Nhóm tài sản],MD_Account_Asset_Type[Tên Nhóm tài sản])</f>
        <v>Phương tiện vận tải , truyền dẫn - SX 627</v>
      </c>
      <c r="G345" s="41" t="str">
        <f>_xlfn.XLOOKUP($D345,MD_Account_Asset_Type[Nhóm tài sản],MD_Account_Asset_Type[Tên nhóm TS-Rút gọn])</f>
        <v>Phương tiện vận tải</v>
      </c>
      <c r="H345" s="41" t="str">
        <f>_xlfn.XLOOKUP($D345,MD_Account_Asset_Type[Nhóm tài sản],MD_Account_Asset_Type[Tên nhóm TS-Rút gọn-v2])</f>
        <v>Phương tiện vận tải</v>
      </c>
      <c r="I345" s="43" t="s">
        <v>1066</v>
      </c>
      <c r="J345" s="42" t="s">
        <v>1067</v>
      </c>
      <c r="K345" s="41" t="s">
        <v>830</v>
      </c>
      <c r="L345" s="42" t="s">
        <v>48</v>
      </c>
      <c r="M345" s="42" t="s">
        <v>123</v>
      </c>
      <c r="N345" s="44">
        <v>0</v>
      </c>
      <c r="O345" s="44"/>
      <c r="P345" s="41" t="s">
        <v>463</v>
      </c>
      <c r="Q345" s="41" t="str">
        <f t="shared" si="16"/>
        <v>627</v>
      </c>
      <c r="R345" s="41" t="str">
        <f>_xlfn.XLOOKUP($L345,MD_Cost_Center[Mã Cost Center],MD_Cost_Center[Ngành])</f>
        <v>PET</v>
      </c>
      <c r="S345" s="41" t="str">
        <f>_xlfn.XLOOKUP($L345,MD_Cost_Center[Mã Cost Center],MD_Cost_Center[Ngành-Tách PET-Xơ sợi])</f>
        <v>Chung-PET</v>
      </c>
      <c r="T345" s="45">
        <v>44118</v>
      </c>
      <c r="U345" s="46">
        <v>45944</v>
      </c>
      <c r="V345" s="47">
        <v>60</v>
      </c>
      <c r="W345" s="47">
        <v>380000000</v>
      </c>
      <c r="X345" s="47">
        <v>-6333333</v>
      </c>
      <c r="Y345" s="47">
        <v>380000000</v>
      </c>
      <c r="Z345" s="47">
        <v>380000000</v>
      </c>
      <c r="AA345" s="47">
        <v>380000000</v>
      </c>
      <c r="AB345" s="47">
        <v>380000000</v>
      </c>
      <c r="AC345" s="47">
        <v>380000000</v>
      </c>
      <c r="AD345" s="47">
        <v>380000000</v>
      </c>
      <c r="AE345" s="47">
        <v>380000000</v>
      </c>
      <c r="AF345" s="47">
        <v>380000000</v>
      </c>
      <c r="AG345" s="47">
        <v>380000000</v>
      </c>
      <c r="AH345" s="47">
        <v>380000000</v>
      </c>
      <c r="AI345" s="47">
        <v>380000000</v>
      </c>
      <c r="AJ345" s="47">
        <v>380000000</v>
      </c>
      <c r="AK345" s="47">
        <v>380000000</v>
      </c>
      <c r="AL345" s="47">
        <v>-57000000</v>
      </c>
      <c r="AM345" s="47">
        <v>-380000000</v>
      </c>
      <c r="AN345" s="47">
        <v>0</v>
      </c>
      <c r="AO345" s="47">
        <v>0</v>
      </c>
      <c r="AP345" s="47">
        <v>0</v>
      </c>
      <c r="AQ345" s="47">
        <v>0</v>
      </c>
      <c r="AR345" s="47">
        <v>0</v>
      </c>
      <c r="AS345" s="47">
        <v>0</v>
      </c>
      <c r="AT345" s="47">
        <v>0</v>
      </c>
      <c r="AU345" s="47">
        <v>0</v>
      </c>
      <c r="AV345" s="47">
        <v>0</v>
      </c>
      <c r="AW345" s="47">
        <v>0</v>
      </c>
      <c r="AX345" s="47">
        <v>0</v>
      </c>
      <c r="AY345" s="47">
        <v>0</v>
      </c>
      <c r="AZ345" s="58">
        <f t="shared" si="15"/>
        <v>0</v>
      </c>
      <c r="BA345" s="47">
        <f>Y345+SUM($AM345:AM345)</f>
        <v>0</v>
      </c>
      <c r="BB345" s="48">
        <f>Z345+SUM($AM345:AN345)</f>
        <v>0</v>
      </c>
      <c r="BC345" s="48">
        <f>AA345+SUM($AM345:AO345)</f>
        <v>0</v>
      </c>
      <c r="BD345" s="48">
        <f>AB345+SUM($AM345:AP345)</f>
        <v>0</v>
      </c>
      <c r="BE345" s="48">
        <f>AC345+SUM($AM345:AQ345)</f>
        <v>0</v>
      </c>
      <c r="BF345" s="48">
        <f>AD345+SUM($AM345:AR345)</f>
        <v>0</v>
      </c>
      <c r="BG345" s="48">
        <f>AE345+SUM($AM345:AS345)</f>
        <v>0</v>
      </c>
      <c r="BH345" s="48">
        <f>AF345+SUM($AM345:AT345)</f>
        <v>0</v>
      </c>
      <c r="BI345" s="48">
        <f>AG345+SUM($AM345:AU345)</f>
        <v>0</v>
      </c>
      <c r="BJ345" s="48">
        <f>AH345+SUM($AM345:AV345)</f>
        <v>0</v>
      </c>
      <c r="BK345" s="48">
        <f>AI345+SUM($AM345:AW345)</f>
        <v>0</v>
      </c>
      <c r="BL345" s="48">
        <f>AJ345+SUM($AM345:AX345)</f>
        <v>0</v>
      </c>
      <c r="BM345" s="48">
        <f>AK345+SUM($AM345:AY345)</f>
        <v>0</v>
      </c>
      <c r="BO345" s="47"/>
    </row>
    <row r="346" spans="3:67" s="41" customFormat="1" hidden="1" x14ac:dyDescent="0.3">
      <c r="C346" s="41" t="s">
        <v>1340</v>
      </c>
      <c r="D346" s="42" t="s">
        <v>345</v>
      </c>
      <c r="E346" s="42" t="str">
        <f t="shared" si="17"/>
        <v>211</v>
      </c>
      <c r="F346" s="41" t="str">
        <f>_xlfn.XLOOKUP($D346,MD_Account_Asset_Type[Nhóm tài sản],MD_Account_Asset_Type[Tên Nhóm tài sản])</f>
        <v>Thiết bị, dụng cụ quản lý - SX 627</v>
      </c>
      <c r="G346" s="41" t="str">
        <f>_xlfn.XLOOKUP($D346,MD_Account_Asset_Type[Nhóm tài sản],MD_Account_Asset_Type[Tên nhóm TS-Rút gọn])</f>
        <v>Thiết bị quản lý</v>
      </c>
      <c r="H346" s="41" t="str">
        <f>_xlfn.XLOOKUP($D346,MD_Account_Asset_Type[Nhóm tài sản],MD_Account_Asset_Type[Tên nhóm TS-Rút gọn-v2])</f>
        <v>Thiết bị quản lý</v>
      </c>
      <c r="I346" s="43" t="s">
        <v>1099</v>
      </c>
      <c r="J346" s="42" t="s">
        <v>1100</v>
      </c>
      <c r="K346" s="41" t="s">
        <v>830</v>
      </c>
      <c r="L346" s="42" t="s">
        <v>48</v>
      </c>
      <c r="M346" s="42" t="s">
        <v>123</v>
      </c>
      <c r="N346" s="44">
        <v>0</v>
      </c>
      <c r="O346" s="44"/>
      <c r="P346" s="41" t="s">
        <v>464</v>
      </c>
      <c r="Q346" s="41" t="str">
        <f t="shared" si="16"/>
        <v>627</v>
      </c>
      <c r="R346" s="41" t="str">
        <f>_xlfn.XLOOKUP($L346,MD_Cost_Center[Mã Cost Center],MD_Cost_Center[Ngành])</f>
        <v>PET</v>
      </c>
      <c r="S346" s="41" t="str">
        <f>_xlfn.XLOOKUP($L346,MD_Cost_Center[Mã Cost Center],MD_Cost_Center[Ngành-Tách PET-Xơ sợi])</f>
        <v>Chung-PET</v>
      </c>
      <c r="T346" s="45">
        <v>44564</v>
      </c>
      <c r="U346" s="46">
        <v>45660</v>
      </c>
      <c r="V346" s="47">
        <v>36</v>
      </c>
      <c r="W346" s="47">
        <v>42000000</v>
      </c>
      <c r="X346" s="47">
        <v>-1166667</v>
      </c>
      <c r="Y346" s="47">
        <v>42000000</v>
      </c>
      <c r="Z346" s="47">
        <v>42000000</v>
      </c>
      <c r="AA346" s="47">
        <v>42000000</v>
      </c>
      <c r="AB346" s="47">
        <v>42000000</v>
      </c>
      <c r="AC346" s="47">
        <v>42000000</v>
      </c>
      <c r="AD346" s="47">
        <v>42000000</v>
      </c>
      <c r="AE346" s="47">
        <v>42000000</v>
      </c>
      <c r="AF346" s="47">
        <v>42000000</v>
      </c>
      <c r="AG346" s="47">
        <v>42000000</v>
      </c>
      <c r="AH346" s="47">
        <v>42000000</v>
      </c>
      <c r="AI346" s="47">
        <v>42000000</v>
      </c>
      <c r="AJ346" s="47">
        <v>42000000</v>
      </c>
      <c r="AK346" s="47">
        <v>42000000</v>
      </c>
      <c r="AL346" s="47">
        <v>0</v>
      </c>
      <c r="AM346" s="47">
        <v>-42000000</v>
      </c>
      <c r="AN346" s="47">
        <v>0</v>
      </c>
      <c r="AO346" s="47">
        <v>0</v>
      </c>
      <c r="AP346" s="47">
        <v>0</v>
      </c>
      <c r="AQ346" s="47">
        <v>0</v>
      </c>
      <c r="AR346" s="47">
        <v>0</v>
      </c>
      <c r="AS346" s="47">
        <v>0</v>
      </c>
      <c r="AT346" s="47">
        <v>0</v>
      </c>
      <c r="AU346" s="47">
        <v>0</v>
      </c>
      <c r="AV346" s="47">
        <v>0</v>
      </c>
      <c r="AW346" s="47">
        <v>0</v>
      </c>
      <c r="AX346" s="47">
        <v>0</v>
      </c>
      <c r="AY346" s="47">
        <v>0</v>
      </c>
      <c r="AZ346" s="58">
        <f t="shared" si="15"/>
        <v>0</v>
      </c>
      <c r="BA346" s="47">
        <f>Y346+SUM($AM346:AM346)</f>
        <v>0</v>
      </c>
      <c r="BB346" s="48">
        <f>Z346+SUM($AM346:AN346)</f>
        <v>0</v>
      </c>
      <c r="BC346" s="48">
        <f>AA346+SUM($AM346:AO346)</f>
        <v>0</v>
      </c>
      <c r="BD346" s="48">
        <f>AB346+SUM($AM346:AP346)</f>
        <v>0</v>
      </c>
      <c r="BE346" s="48">
        <f>AC346+SUM($AM346:AQ346)</f>
        <v>0</v>
      </c>
      <c r="BF346" s="48">
        <f>AD346+SUM($AM346:AR346)</f>
        <v>0</v>
      </c>
      <c r="BG346" s="48">
        <f>AE346+SUM($AM346:AS346)</f>
        <v>0</v>
      </c>
      <c r="BH346" s="48">
        <f>AF346+SUM($AM346:AT346)</f>
        <v>0</v>
      </c>
      <c r="BI346" s="48">
        <f>AG346+SUM($AM346:AU346)</f>
        <v>0</v>
      </c>
      <c r="BJ346" s="48">
        <f>AH346+SUM($AM346:AV346)</f>
        <v>0</v>
      </c>
      <c r="BK346" s="48">
        <f>AI346+SUM($AM346:AW346)</f>
        <v>0</v>
      </c>
      <c r="BL346" s="48">
        <f>AJ346+SUM($AM346:AX346)</f>
        <v>0</v>
      </c>
      <c r="BM346" s="48">
        <f>AK346+SUM($AM346:AY346)</f>
        <v>0</v>
      </c>
      <c r="BO346" s="47"/>
    </row>
    <row r="347" spans="3:67" s="41" customFormat="1" hidden="1" x14ac:dyDescent="0.3">
      <c r="C347" s="41" t="s">
        <v>1340</v>
      </c>
      <c r="D347" s="42" t="s">
        <v>347</v>
      </c>
      <c r="E347" s="42" t="str">
        <f t="shared" si="17"/>
        <v>211</v>
      </c>
      <c r="F347" s="41" t="str">
        <f>_xlfn.XLOOKUP($D347,MD_Account_Asset_Type[Nhóm tài sản],MD_Account_Asset_Type[Tên Nhóm tài sản])</f>
        <v>Thiết bị, dụng cụ quản lý - QL 642</v>
      </c>
      <c r="G347" s="41" t="str">
        <f>_xlfn.XLOOKUP($D347,MD_Account_Asset_Type[Nhóm tài sản],MD_Account_Asset_Type[Tên nhóm TS-Rút gọn])</f>
        <v>Thiết bị quản lý</v>
      </c>
      <c r="H347" s="41" t="str">
        <f>_xlfn.XLOOKUP($D347,MD_Account_Asset_Type[Nhóm tài sản],MD_Account_Asset_Type[Tên nhóm TS-Rút gọn-v2])</f>
        <v>Thiết bị quản lý</v>
      </c>
      <c r="I347" s="43" t="s">
        <v>1106</v>
      </c>
      <c r="J347" s="42" t="s">
        <v>1107</v>
      </c>
      <c r="K347" s="41" t="s">
        <v>830</v>
      </c>
      <c r="L347" s="42" t="s">
        <v>36</v>
      </c>
      <c r="M347" s="42" t="s">
        <v>111</v>
      </c>
      <c r="N347" s="44">
        <v>0</v>
      </c>
      <c r="O347" s="44"/>
      <c r="P347" s="41" t="s">
        <v>474</v>
      </c>
      <c r="Q347" s="41" t="str">
        <f t="shared" si="16"/>
        <v>642</v>
      </c>
      <c r="R347" s="41" t="str">
        <f>_xlfn.XLOOKUP($L347,MD_Cost_Center[Mã Cost Center],MD_Cost_Center[Ngành])</f>
        <v>Chung</v>
      </c>
      <c r="S347" s="41" t="str">
        <f>_xlfn.XLOOKUP($L347,MD_Cost_Center[Mã Cost Center],MD_Cost_Center[Ngành-Tách PET-Xơ sợi])</f>
        <v>Chung</v>
      </c>
      <c r="T347" s="45">
        <v>44368</v>
      </c>
      <c r="U347" s="46">
        <v>45464</v>
      </c>
      <c r="V347" s="47">
        <v>36</v>
      </c>
      <c r="W347" s="47">
        <v>52516000</v>
      </c>
      <c r="X347" s="47">
        <v>-1458778</v>
      </c>
      <c r="Y347" s="47">
        <v>52516000</v>
      </c>
      <c r="Z347" s="47">
        <v>52516000</v>
      </c>
      <c r="AA347" s="47">
        <v>52516000</v>
      </c>
      <c r="AB347" s="47">
        <v>52516000</v>
      </c>
      <c r="AC347" s="47">
        <v>52516000</v>
      </c>
      <c r="AD347" s="47">
        <v>52516000</v>
      </c>
      <c r="AE347" s="47">
        <v>52516000</v>
      </c>
      <c r="AF347" s="47">
        <v>52516000</v>
      </c>
      <c r="AG347" s="47">
        <v>52516000</v>
      </c>
      <c r="AH347" s="47">
        <v>52516000</v>
      </c>
      <c r="AI347" s="47">
        <v>52516000</v>
      </c>
      <c r="AJ347" s="47">
        <v>52516000</v>
      </c>
      <c r="AK347" s="47">
        <v>52516000</v>
      </c>
      <c r="AL347" s="47">
        <v>0</v>
      </c>
      <c r="AM347" s="47">
        <v>-52516000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0</v>
      </c>
      <c r="AX347" s="47">
        <v>0</v>
      </c>
      <c r="AY347" s="47">
        <v>0</v>
      </c>
      <c r="AZ347" s="58">
        <f t="shared" si="15"/>
        <v>0</v>
      </c>
      <c r="BA347" s="47">
        <f>Y347+SUM($AM347:AM347)</f>
        <v>0</v>
      </c>
      <c r="BB347" s="48">
        <f>Z347+SUM($AM347:AN347)</f>
        <v>0</v>
      </c>
      <c r="BC347" s="48">
        <f>AA347+SUM($AM347:AO347)</f>
        <v>0</v>
      </c>
      <c r="BD347" s="48">
        <f>AB347+SUM($AM347:AP347)</f>
        <v>0</v>
      </c>
      <c r="BE347" s="48">
        <f>AC347+SUM($AM347:AQ347)</f>
        <v>0</v>
      </c>
      <c r="BF347" s="48">
        <f>AD347+SUM($AM347:AR347)</f>
        <v>0</v>
      </c>
      <c r="BG347" s="48">
        <f>AE347+SUM($AM347:AS347)</f>
        <v>0</v>
      </c>
      <c r="BH347" s="48">
        <f>AF347+SUM($AM347:AT347)</f>
        <v>0</v>
      </c>
      <c r="BI347" s="48">
        <f>AG347+SUM($AM347:AU347)</f>
        <v>0</v>
      </c>
      <c r="BJ347" s="48">
        <f>AH347+SUM($AM347:AV347)</f>
        <v>0</v>
      </c>
      <c r="BK347" s="48">
        <f>AI347+SUM($AM347:AW347)</f>
        <v>0</v>
      </c>
      <c r="BL347" s="48">
        <f>AJ347+SUM($AM347:AX347)</f>
        <v>0</v>
      </c>
      <c r="BM347" s="48">
        <f>AK347+SUM($AM347:AY347)</f>
        <v>0</v>
      </c>
      <c r="BO347" s="47"/>
    </row>
    <row r="348" spans="3:67" s="41" customFormat="1" hidden="1" x14ac:dyDescent="0.3">
      <c r="C348" s="41" t="s">
        <v>1340</v>
      </c>
      <c r="D348" s="42" t="s">
        <v>347</v>
      </c>
      <c r="E348" s="42" t="str">
        <f t="shared" si="17"/>
        <v>211</v>
      </c>
      <c r="F348" s="41" t="str">
        <f>_xlfn.XLOOKUP($D348,MD_Account_Asset_Type[Nhóm tài sản],MD_Account_Asset_Type[Tên Nhóm tài sản])</f>
        <v>Thiết bị, dụng cụ quản lý - QL 642</v>
      </c>
      <c r="G348" s="41" t="str">
        <f>_xlfn.XLOOKUP($D348,MD_Account_Asset_Type[Nhóm tài sản],MD_Account_Asset_Type[Tên nhóm TS-Rút gọn])</f>
        <v>Thiết bị quản lý</v>
      </c>
      <c r="H348" s="41" t="str">
        <f>_xlfn.XLOOKUP($D348,MD_Account_Asset_Type[Nhóm tài sản],MD_Account_Asset_Type[Tên nhóm TS-Rút gọn-v2])</f>
        <v>Thiết bị quản lý</v>
      </c>
      <c r="I348" s="43" t="s">
        <v>1108</v>
      </c>
      <c r="J348" s="42" t="s">
        <v>1109</v>
      </c>
      <c r="K348" s="41" t="s">
        <v>830</v>
      </c>
      <c r="L348" s="42" t="s">
        <v>41</v>
      </c>
      <c r="M348" s="42" t="s">
        <v>116</v>
      </c>
      <c r="N348" s="44">
        <v>0</v>
      </c>
      <c r="O348" s="44"/>
      <c r="P348" s="41" t="s">
        <v>474</v>
      </c>
      <c r="Q348" s="41" t="str">
        <f t="shared" si="16"/>
        <v>642</v>
      </c>
      <c r="R348" s="41" t="str">
        <f>_xlfn.XLOOKUP($L348,MD_Cost_Center[Mã Cost Center],MD_Cost_Center[Ngành])</f>
        <v>Chung</v>
      </c>
      <c r="S348" s="41" t="str">
        <f>_xlfn.XLOOKUP($L348,MD_Cost_Center[Mã Cost Center],MD_Cost_Center[Ngành-Tách PET-Xơ sợi])</f>
        <v>Chung</v>
      </c>
      <c r="T348" s="45">
        <v>44680</v>
      </c>
      <c r="U348" s="46">
        <v>45045</v>
      </c>
      <c r="V348" s="47">
        <v>12</v>
      </c>
      <c r="W348" s="47">
        <v>7520000</v>
      </c>
      <c r="X348" s="47">
        <v>-626667</v>
      </c>
      <c r="Y348" s="47">
        <v>7520000</v>
      </c>
      <c r="Z348" s="47">
        <v>7520000</v>
      </c>
      <c r="AA348" s="47">
        <v>7520000</v>
      </c>
      <c r="AB348" s="47">
        <v>7520000</v>
      </c>
      <c r="AC348" s="47">
        <v>7520000</v>
      </c>
      <c r="AD348" s="47">
        <v>7520000</v>
      </c>
      <c r="AE348" s="47">
        <v>7520000</v>
      </c>
      <c r="AF348" s="47">
        <v>7520000</v>
      </c>
      <c r="AG348" s="47">
        <v>7520000</v>
      </c>
      <c r="AH348" s="47">
        <v>7520000</v>
      </c>
      <c r="AI348" s="47">
        <v>7520000</v>
      </c>
      <c r="AJ348" s="47">
        <v>7520000</v>
      </c>
      <c r="AK348" s="47">
        <v>7520000</v>
      </c>
      <c r="AL348" s="47">
        <v>0</v>
      </c>
      <c r="AM348" s="47">
        <v>-7520000</v>
      </c>
      <c r="AN348" s="47">
        <v>0</v>
      </c>
      <c r="AO348" s="47">
        <v>0</v>
      </c>
      <c r="AP348" s="47">
        <v>0</v>
      </c>
      <c r="AQ348" s="47">
        <v>0</v>
      </c>
      <c r="AR348" s="47">
        <v>0</v>
      </c>
      <c r="AS348" s="47">
        <v>0</v>
      </c>
      <c r="AT348" s="47">
        <v>0</v>
      </c>
      <c r="AU348" s="47">
        <v>0</v>
      </c>
      <c r="AV348" s="47">
        <v>0</v>
      </c>
      <c r="AW348" s="47">
        <v>0</v>
      </c>
      <c r="AX348" s="47">
        <v>0</v>
      </c>
      <c r="AY348" s="47">
        <v>0</v>
      </c>
      <c r="AZ348" s="58">
        <f t="shared" si="15"/>
        <v>0</v>
      </c>
      <c r="BA348" s="47">
        <f>Y348+SUM($AM348:AM348)</f>
        <v>0</v>
      </c>
      <c r="BB348" s="48">
        <f>Z348+SUM($AM348:AN348)</f>
        <v>0</v>
      </c>
      <c r="BC348" s="48">
        <f>AA348+SUM($AM348:AO348)</f>
        <v>0</v>
      </c>
      <c r="BD348" s="48">
        <f>AB348+SUM($AM348:AP348)</f>
        <v>0</v>
      </c>
      <c r="BE348" s="48">
        <f>AC348+SUM($AM348:AQ348)</f>
        <v>0</v>
      </c>
      <c r="BF348" s="48">
        <f>AD348+SUM($AM348:AR348)</f>
        <v>0</v>
      </c>
      <c r="BG348" s="48">
        <f>AE348+SUM($AM348:AS348)</f>
        <v>0</v>
      </c>
      <c r="BH348" s="48">
        <f>AF348+SUM($AM348:AT348)</f>
        <v>0</v>
      </c>
      <c r="BI348" s="48">
        <f>AG348+SUM($AM348:AU348)</f>
        <v>0</v>
      </c>
      <c r="BJ348" s="48">
        <f>AH348+SUM($AM348:AV348)</f>
        <v>0</v>
      </c>
      <c r="BK348" s="48">
        <f>AI348+SUM($AM348:AW348)</f>
        <v>0</v>
      </c>
      <c r="BL348" s="48">
        <f>AJ348+SUM($AM348:AX348)</f>
        <v>0</v>
      </c>
      <c r="BM348" s="48">
        <f>AK348+SUM($AM348:AY348)</f>
        <v>0</v>
      </c>
      <c r="BO348" s="47"/>
    </row>
    <row r="349" spans="3:67" s="41" customFormat="1" hidden="1" x14ac:dyDescent="0.3">
      <c r="C349" s="41" t="s">
        <v>1340</v>
      </c>
      <c r="D349" s="42" t="s">
        <v>347</v>
      </c>
      <c r="E349" s="42" t="str">
        <f t="shared" si="17"/>
        <v>211</v>
      </c>
      <c r="F349" s="41" t="str">
        <f>_xlfn.XLOOKUP($D349,MD_Account_Asset_Type[Nhóm tài sản],MD_Account_Asset_Type[Tên Nhóm tài sản])</f>
        <v>Thiết bị, dụng cụ quản lý - QL 642</v>
      </c>
      <c r="G349" s="41" t="str">
        <f>_xlfn.XLOOKUP($D349,MD_Account_Asset_Type[Nhóm tài sản],MD_Account_Asset_Type[Tên nhóm TS-Rút gọn])</f>
        <v>Thiết bị quản lý</v>
      </c>
      <c r="H349" s="41" t="str">
        <f>_xlfn.XLOOKUP($D349,MD_Account_Asset_Type[Nhóm tài sản],MD_Account_Asset_Type[Tên nhóm TS-Rút gọn-v2])</f>
        <v>Thiết bị quản lý</v>
      </c>
      <c r="I349" s="43" t="s">
        <v>1110</v>
      </c>
      <c r="J349" s="42" t="s">
        <v>1111</v>
      </c>
      <c r="K349" s="41" t="s">
        <v>830</v>
      </c>
      <c r="L349" s="42" t="s">
        <v>36</v>
      </c>
      <c r="M349" s="42" t="s">
        <v>111</v>
      </c>
      <c r="N349" s="44">
        <v>0</v>
      </c>
      <c r="O349" s="44"/>
      <c r="P349" s="41" t="s">
        <v>474</v>
      </c>
      <c r="Q349" s="41" t="str">
        <f t="shared" si="16"/>
        <v>642</v>
      </c>
      <c r="R349" s="41" t="str">
        <f>_xlfn.XLOOKUP($L349,MD_Cost_Center[Mã Cost Center],MD_Cost_Center[Ngành])</f>
        <v>Chung</v>
      </c>
      <c r="S349" s="41" t="str">
        <f>_xlfn.XLOOKUP($L349,MD_Cost_Center[Mã Cost Center],MD_Cost_Center[Ngành-Tách PET-Xơ sợi])</f>
        <v>Chung</v>
      </c>
      <c r="T349" s="45">
        <v>44728</v>
      </c>
      <c r="U349" s="46">
        <v>45824</v>
      </c>
      <c r="V349" s="47">
        <v>36</v>
      </c>
      <c r="W349" s="47">
        <v>46318182</v>
      </c>
      <c r="X349" s="47">
        <v>-1286616</v>
      </c>
      <c r="Y349" s="47">
        <v>46318182</v>
      </c>
      <c r="Z349" s="47">
        <v>46318182</v>
      </c>
      <c r="AA349" s="47">
        <v>46318182</v>
      </c>
      <c r="AB349" s="47">
        <v>46318182</v>
      </c>
      <c r="AC349" s="47">
        <v>46318182</v>
      </c>
      <c r="AD349" s="47">
        <v>46318182</v>
      </c>
      <c r="AE349" s="47">
        <v>46318182</v>
      </c>
      <c r="AF349" s="47">
        <v>46318182</v>
      </c>
      <c r="AG349" s="47">
        <v>46318182</v>
      </c>
      <c r="AH349" s="47">
        <v>46318182</v>
      </c>
      <c r="AI349" s="47">
        <v>46318182</v>
      </c>
      <c r="AJ349" s="47">
        <v>46318182</v>
      </c>
      <c r="AK349" s="47">
        <v>46318182</v>
      </c>
      <c r="AL349" s="47">
        <v>-6433081</v>
      </c>
      <c r="AM349" s="47">
        <v>-46318182</v>
      </c>
      <c r="AN349" s="47">
        <v>0</v>
      </c>
      <c r="AO349" s="47">
        <v>0</v>
      </c>
      <c r="AP349" s="47">
        <v>0</v>
      </c>
      <c r="AQ349" s="47">
        <v>0</v>
      </c>
      <c r="AR349" s="47">
        <v>0</v>
      </c>
      <c r="AS349" s="47">
        <v>0</v>
      </c>
      <c r="AT349" s="47">
        <v>0</v>
      </c>
      <c r="AU349" s="47">
        <v>0</v>
      </c>
      <c r="AV349" s="47">
        <v>0</v>
      </c>
      <c r="AW349" s="47">
        <v>0</v>
      </c>
      <c r="AX349" s="47">
        <v>0</v>
      </c>
      <c r="AY349" s="47">
        <v>0</v>
      </c>
      <c r="AZ349" s="58">
        <f t="shared" si="15"/>
        <v>0</v>
      </c>
      <c r="BA349" s="47">
        <f>Y349+SUM($AM349:AM349)</f>
        <v>0</v>
      </c>
      <c r="BB349" s="48">
        <f>Z349+SUM($AM349:AN349)</f>
        <v>0</v>
      </c>
      <c r="BC349" s="48">
        <f>AA349+SUM($AM349:AO349)</f>
        <v>0</v>
      </c>
      <c r="BD349" s="48">
        <f>AB349+SUM($AM349:AP349)</f>
        <v>0</v>
      </c>
      <c r="BE349" s="48">
        <f>AC349+SUM($AM349:AQ349)</f>
        <v>0</v>
      </c>
      <c r="BF349" s="48">
        <f>AD349+SUM($AM349:AR349)</f>
        <v>0</v>
      </c>
      <c r="BG349" s="48">
        <f>AE349+SUM($AM349:AS349)</f>
        <v>0</v>
      </c>
      <c r="BH349" s="48">
        <f>AF349+SUM($AM349:AT349)</f>
        <v>0</v>
      </c>
      <c r="BI349" s="48">
        <f>AG349+SUM($AM349:AU349)</f>
        <v>0</v>
      </c>
      <c r="BJ349" s="48">
        <f>AH349+SUM($AM349:AV349)</f>
        <v>0</v>
      </c>
      <c r="BK349" s="48">
        <f>AI349+SUM($AM349:AW349)</f>
        <v>0</v>
      </c>
      <c r="BL349" s="48">
        <f>AJ349+SUM($AM349:AX349)</f>
        <v>0</v>
      </c>
      <c r="BM349" s="48">
        <f>AK349+SUM($AM349:AY349)</f>
        <v>0</v>
      </c>
      <c r="BO349" s="47"/>
    </row>
    <row r="350" spans="3:67" s="41" customFormat="1" hidden="1" x14ac:dyDescent="0.3">
      <c r="C350" s="41" t="s">
        <v>1340</v>
      </c>
      <c r="D350" s="42" t="s">
        <v>347</v>
      </c>
      <c r="E350" s="42" t="str">
        <f t="shared" si="17"/>
        <v>211</v>
      </c>
      <c r="F350" s="41" t="str">
        <f>_xlfn.XLOOKUP($D350,MD_Account_Asset_Type[Nhóm tài sản],MD_Account_Asset_Type[Tên Nhóm tài sản])</f>
        <v>Thiết bị, dụng cụ quản lý - QL 642</v>
      </c>
      <c r="G350" s="41" t="str">
        <f>_xlfn.XLOOKUP($D350,MD_Account_Asset_Type[Nhóm tài sản],MD_Account_Asset_Type[Tên nhóm TS-Rút gọn])</f>
        <v>Thiết bị quản lý</v>
      </c>
      <c r="H350" s="41" t="str">
        <f>_xlfn.XLOOKUP($D350,MD_Account_Asset_Type[Nhóm tài sản],MD_Account_Asset_Type[Tên nhóm TS-Rút gọn-v2])</f>
        <v>Thiết bị quản lý</v>
      </c>
      <c r="I350" s="43" t="s">
        <v>1112</v>
      </c>
      <c r="J350" s="42" t="s">
        <v>1113</v>
      </c>
      <c r="K350" s="41" t="s">
        <v>830</v>
      </c>
      <c r="L350" s="42" t="s">
        <v>36</v>
      </c>
      <c r="M350" s="42" t="s">
        <v>111</v>
      </c>
      <c r="N350" s="44">
        <v>0</v>
      </c>
      <c r="O350" s="44"/>
      <c r="P350" s="41" t="s">
        <v>474</v>
      </c>
      <c r="Q350" s="41" t="str">
        <f t="shared" si="16"/>
        <v>642</v>
      </c>
      <c r="R350" s="41" t="str">
        <f>_xlfn.XLOOKUP($L350,MD_Cost_Center[Mã Cost Center],MD_Cost_Center[Ngành])</f>
        <v>Chung</v>
      </c>
      <c r="S350" s="41" t="str">
        <f>_xlfn.XLOOKUP($L350,MD_Cost_Center[Mã Cost Center],MD_Cost_Center[Ngành-Tách PET-Xơ sợi])</f>
        <v>Chung</v>
      </c>
      <c r="T350" s="45">
        <v>44728</v>
      </c>
      <c r="U350" s="46">
        <v>45824</v>
      </c>
      <c r="V350" s="47">
        <v>36</v>
      </c>
      <c r="W350" s="47">
        <v>46318182</v>
      </c>
      <c r="X350" s="47">
        <v>-1286616</v>
      </c>
      <c r="Y350" s="47">
        <v>46318182</v>
      </c>
      <c r="Z350" s="47">
        <v>46318182</v>
      </c>
      <c r="AA350" s="47">
        <v>46318182</v>
      </c>
      <c r="AB350" s="47">
        <v>46318182</v>
      </c>
      <c r="AC350" s="47">
        <v>46318182</v>
      </c>
      <c r="AD350" s="47">
        <v>46318182</v>
      </c>
      <c r="AE350" s="47">
        <v>46318182</v>
      </c>
      <c r="AF350" s="47">
        <v>46318182</v>
      </c>
      <c r="AG350" s="47">
        <v>46318182</v>
      </c>
      <c r="AH350" s="47">
        <v>46318182</v>
      </c>
      <c r="AI350" s="47">
        <v>46318182</v>
      </c>
      <c r="AJ350" s="47">
        <v>46318182</v>
      </c>
      <c r="AK350" s="47">
        <v>46318182</v>
      </c>
      <c r="AL350" s="47">
        <v>-6433081</v>
      </c>
      <c r="AM350" s="47">
        <v>-46318182</v>
      </c>
      <c r="AN350" s="47">
        <v>0</v>
      </c>
      <c r="AO350" s="47">
        <v>0</v>
      </c>
      <c r="AP350" s="47">
        <v>0</v>
      </c>
      <c r="AQ350" s="47">
        <v>0</v>
      </c>
      <c r="AR350" s="47">
        <v>0</v>
      </c>
      <c r="AS350" s="47">
        <v>0</v>
      </c>
      <c r="AT350" s="47">
        <v>0</v>
      </c>
      <c r="AU350" s="47">
        <v>0</v>
      </c>
      <c r="AV350" s="47">
        <v>0</v>
      </c>
      <c r="AW350" s="47">
        <v>0</v>
      </c>
      <c r="AX350" s="47">
        <v>0</v>
      </c>
      <c r="AY350" s="47">
        <v>0</v>
      </c>
      <c r="AZ350" s="58">
        <f t="shared" si="15"/>
        <v>0</v>
      </c>
      <c r="BA350" s="47">
        <f>Y350+SUM($AM350:AM350)</f>
        <v>0</v>
      </c>
      <c r="BB350" s="48">
        <f>Z350+SUM($AM350:AN350)</f>
        <v>0</v>
      </c>
      <c r="BC350" s="48">
        <f>AA350+SUM($AM350:AO350)</f>
        <v>0</v>
      </c>
      <c r="BD350" s="48">
        <f>AB350+SUM($AM350:AP350)</f>
        <v>0</v>
      </c>
      <c r="BE350" s="48">
        <f>AC350+SUM($AM350:AQ350)</f>
        <v>0</v>
      </c>
      <c r="BF350" s="48">
        <f>AD350+SUM($AM350:AR350)</f>
        <v>0</v>
      </c>
      <c r="BG350" s="48">
        <f>AE350+SUM($AM350:AS350)</f>
        <v>0</v>
      </c>
      <c r="BH350" s="48">
        <f>AF350+SUM($AM350:AT350)</f>
        <v>0</v>
      </c>
      <c r="BI350" s="48">
        <f>AG350+SUM($AM350:AU350)</f>
        <v>0</v>
      </c>
      <c r="BJ350" s="48">
        <f>AH350+SUM($AM350:AV350)</f>
        <v>0</v>
      </c>
      <c r="BK350" s="48">
        <f>AI350+SUM($AM350:AW350)</f>
        <v>0</v>
      </c>
      <c r="BL350" s="48">
        <f>AJ350+SUM($AM350:AX350)</f>
        <v>0</v>
      </c>
      <c r="BM350" s="48">
        <f>AK350+SUM($AM350:AY350)</f>
        <v>0</v>
      </c>
      <c r="BO350" s="47"/>
    </row>
    <row r="351" spans="3:67" s="41" customFormat="1" hidden="1" x14ac:dyDescent="0.3">
      <c r="C351" s="41" t="s">
        <v>1340</v>
      </c>
      <c r="D351" s="42" t="s">
        <v>347</v>
      </c>
      <c r="E351" s="42" t="str">
        <f t="shared" si="17"/>
        <v>211</v>
      </c>
      <c r="F351" s="41" t="str">
        <f>_xlfn.XLOOKUP($D351,MD_Account_Asset_Type[Nhóm tài sản],MD_Account_Asset_Type[Tên Nhóm tài sản])</f>
        <v>Thiết bị, dụng cụ quản lý - QL 642</v>
      </c>
      <c r="G351" s="41" t="str">
        <f>_xlfn.XLOOKUP($D351,MD_Account_Asset_Type[Nhóm tài sản],MD_Account_Asset_Type[Tên nhóm TS-Rút gọn])</f>
        <v>Thiết bị quản lý</v>
      </c>
      <c r="H351" s="41" t="str">
        <f>_xlfn.XLOOKUP($D351,MD_Account_Asset_Type[Nhóm tài sản],MD_Account_Asset_Type[Tên nhóm TS-Rút gọn-v2])</f>
        <v>Thiết bị quản lý</v>
      </c>
      <c r="I351" s="43" t="s">
        <v>1115</v>
      </c>
      <c r="J351" s="42" t="s">
        <v>1116</v>
      </c>
      <c r="K351" s="41" t="s">
        <v>830</v>
      </c>
      <c r="L351" s="42" t="s">
        <v>33</v>
      </c>
      <c r="M351" s="42" t="s">
        <v>108</v>
      </c>
      <c r="N351" s="44">
        <v>0</v>
      </c>
      <c r="O351" s="44"/>
      <c r="P351" s="41" t="s">
        <v>474</v>
      </c>
      <c r="Q351" s="41" t="str">
        <f t="shared" si="16"/>
        <v>642</v>
      </c>
      <c r="R351" s="41" t="str">
        <f>_xlfn.XLOOKUP($L351,MD_Cost_Center[Mã Cost Center],MD_Cost_Center[Ngành])</f>
        <v>Chung</v>
      </c>
      <c r="S351" s="41" t="str">
        <f>_xlfn.XLOOKUP($L351,MD_Cost_Center[Mã Cost Center],MD_Cost_Center[Ngành-Tách PET-Xơ sợi])</f>
        <v>Chung</v>
      </c>
      <c r="T351" s="45">
        <v>44765</v>
      </c>
      <c r="U351" s="46">
        <v>45130</v>
      </c>
      <c r="V351" s="47">
        <v>12</v>
      </c>
      <c r="W351" s="47">
        <v>43445455</v>
      </c>
      <c r="X351" s="47">
        <v>-3620455</v>
      </c>
      <c r="Y351" s="47">
        <v>43445455</v>
      </c>
      <c r="Z351" s="47">
        <v>43445455</v>
      </c>
      <c r="AA351" s="47">
        <v>43445455</v>
      </c>
      <c r="AB351" s="47">
        <v>43445455</v>
      </c>
      <c r="AC351" s="47">
        <v>43445455</v>
      </c>
      <c r="AD351" s="47">
        <v>43445455</v>
      </c>
      <c r="AE351" s="47">
        <v>43445455</v>
      </c>
      <c r="AF351" s="47">
        <v>43445455</v>
      </c>
      <c r="AG351" s="47">
        <v>43445455</v>
      </c>
      <c r="AH351" s="47">
        <v>43445455</v>
      </c>
      <c r="AI351" s="47">
        <v>43445455</v>
      </c>
      <c r="AJ351" s="47">
        <v>43445455</v>
      </c>
      <c r="AK351" s="47">
        <v>43445455</v>
      </c>
      <c r="AL351" s="47">
        <v>0</v>
      </c>
      <c r="AM351" s="47">
        <v>-43445455</v>
      </c>
      <c r="AN351" s="47">
        <v>0</v>
      </c>
      <c r="AO351" s="47">
        <v>0</v>
      </c>
      <c r="AP351" s="47">
        <v>0</v>
      </c>
      <c r="AQ351" s="47">
        <v>0</v>
      </c>
      <c r="AR351" s="47">
        <v>0</v>
      </c>
      <c r="AS351" s="47">
        <v>0</v>
      </c>
      <c r="AT351" s="47">
        <v>0</v>
      </c>
      <c r="AU351" s="47">
        <v>0</v>
      </c>
      <c r="AV351" s="47">
        <v>0</v>
      </c>
      <c r="AW351" s="47">
        <v>0</v>
      </c>
      <c r="AX351" s="47">
        <v>0</v>
      </c>
      <c r="AY351" s="47">
        <v>0</v>
      </c>
      <c r="AZ351" s="58">
        <f t="shared" si="15"/>
        <v>0</v>
      </c>
      <c r="BA351" s="47">
        <f>Y351+SUM($AM351:AM351)</f>
        <v>0</v>
      </c>
      <c r="BB351" s="48">
        <f>Z351+SUM($AM351:AN351)</f>
        <v>0</v>
      </c>
      <c r="BC351" s="48">
        <f>AA351+SUM($AM351:AO351)</f>
        <v>0</v>
      </c>
      <c r="BD351" s="48">
        <f>AB351+SUM($AM351:AP351)</f>
        <v>0</v>
      </c>
      <c r="BE351" s="48">
        <f>AC351+SUM($AM351:AQ351)</f>
        <v>0</v>
      </c>
      <c r="BF351" s="48">
        <f>AD351+SUM($AM351:AR351)</f>
        <v>0</v>
      </c>
      <c r="BG351" s="48">
        <f>AE351+SUM($AM351:AS351)</f>
        <v>0</v>
      </c>
      <c r="BH351" s="48">
        <f>AF351+SUM($AM351:AT351)</f>
        <v>0</v>
      </c>
      <c r="BI351" s="48">
        <f>AG351+SUM($AM351:AU351)</f>
        <v>0</v>
      </c>
      <c r="BJ351" s="48">
        <f>AH351+SUM($AM351:AV351)</f>
        <v>0</v>
      </c>
      <c r="BK351" s="48">
        <f>AI351+SUM($AM351:AW351)</f>
        <v>0</v>
      </c>
      <c r="BL351" s="48">
        <f>AJ351+SUM($AM351:AX351)</f>
        <v>0</v>
      </c>
      <c r="BM351" s="48">
        <f>AK351+SUM($AM351:AY351)</f>
        <v>0</v>
      </c>
      <c r="BO351" s="47"/>
    </row>
    <row r="352" spans="3:67" s="41" customFormat="1" hidden="1" x14ac:dyDescent="0.3">
      <c r="C352" s="41" t="s">
        <v>1340</v>
      </c>
      <c r="D352" s="42" t="s">
        <v>347</v>
      </c>
      <c r="E352" s="42" t="str">
        <f t="shared" si="17"/>
        <v>211</v>
      </c>
      <c r="F352" s="41" t="str">
        <f>_xlfn.XLOOKUP($D352,MD_Account_Asset_Type[Nhóm tài sản],MD_Account_Asset_Type[Tên Nhóm tài sản])</f>
        <v>Thiết bị, dụng cụ quản lý - QL 642</v>
      </c>
      <c r="G352" s="41" t="str">
        <f>_xlfn.XLOOKUP($D352,MD_Account_Asset_Type[Nhóm tài sản],MD_Account_Asset_Type[Tên nhóm TS-Rút gọn])</f>
        <v>Thiết bị quản lý</v>
      </c>
      <c r="H352" s="41" t="str">
        <f>_xlfn.XLOOKUP($D352,MD_Account_Asset_Type[Nhóm tài sản],MD_Account_Asset_Type[Tên nhóm TS-Rút gọn-v2])</f>
        <v>Thiết bị quản lý</v>
      </c>
      <c r="I352" s="43" t="s">
        <v>1117</v>
      </c>
      <c r="J352" s="42" t="s">
        <v>1118</v>
      </c>
      <c r="K352" s="41" t="s">
        <v>830</v>
      </c>
      <c r="L352" s="42" t="s">
        <v>36</v>
      </c>
      <c r="M352" s="42" t="s">
        <v>111</v>
      </c>
      <c r="N352" s="44">
        <v>0</v>
      </c>
      <c r="O352" s="44"/>
      <c r="P352" s="41" t="s">
        <v>474</v>
      </c>
      <c r="Q352" s="41" t="str">
        <f t="shared" si="16"/>
        <v>642</v>
      </c>
      <c r="R352" s="41" t="str">
        <f>_xlfn.XLOOKUP($L352,MD_Cost_Center[Mã Cost Center],MD_Cost_Center[Ngành])</f>
        <v>Chung</v>
      </c>
      <c r="S352" s="41" t="str">
        <f>_xlfn.XLOOKUP($L352,MD_Cost_Center[Mã Cost Center],MD_Cost_Center[Ngành-Tách PET-Xơ sợi])</f>
        <v>Chung</v>
      </c>
      <c r="T352" s="45">
        <v>44986</v>
      </c>
      <c r="U352" s="46">
        <v>45352</v>
      </c>
      <c r="V352" s="47">
        <v>12</v>
      </c>
      <c r="W352" s="47">
        <v>53420000</v>
      </c>
      <c r="X352" s="47">
        <v>-4451667</v>
      </c>
      <c r="Y352" s="47">
        <v>53420000</v>
      </c>
      <c r="Z352" s="47">
        <v>53420000</v>
      </c>
      <c r="AA352" s="47">
        <v>53420000</v>
      </c>
      <c r="AB352" s="47">
        <v>53420000</v>
      </c>
      <c r="AC352" s="47">
        <v>53420000</v>
      </c>
      <c r="AD352" s="47">
        <v>53420000</v>
      </c>
      <c r="AE352" s="47">
        <v>53420000</v>
      </c>
      <c r="AF352" s="47">
        <v>53420000</v>
      </c>
      <c r="AG352" s="47">
        <v>53420000</v>
      </c>
      <c r="AH352" s="47">
        <v>53420000</v>
      </c>
      <c r="AI352" s="47">
        <v>53420000</v>
      </c>
      <c r="AJ352" s="47">
        <v>53420000</v>
      </c>
      <c r="AK352" s="47">
        <v>53420000</v>
      </c>
      <c r="AL352" s="47">
        <v>0</v>
      </c>
      <c r="AM352" s="47">
        <v>-53420000</v>
      </c>
      <c r="AN352" s="47">
        <v>0</v>
      </c>
      <c r="AO352" s="47">
        <v>0</v>
      </c>
      <c r="AP352" s="47">
        <v>0</v>
      </c>
      <c r="AQ352" s="47">
        <v>0</v>
      </c>
      <c r="AR352" s="47">
        <v>0</v>
      </c>
      <c r="AS352" s="47">
        <v>0</v>
      </c>
      <c r="AT352" s="47">
        <v>0</v>
      </c>
      <c r="AU352" s="47">
        <v>0</v>
      </c>
      <c r="AV352" s="47">
        <v>0</v>
      </c>
      <c r="AW352" s="47">
        <v>0</v>
      </c>
      <c r="AX352" s="47">
        <v>0</v>
      </c>
      <c r="AY352" s="47">
        <v>0</v>
      </c>
      <c r="AZ352" s="58">
        <f t="shared" si="15"/>
        <v>0</v>
      </c>
      <c r="BA352" s="47">
        <f>Y352+SUM($AM352:AM352)</f>
        <v>0</v>
      </c>
      <c r="BB352" s="48">
        <f>Z352+SUM($AM352:AN352)</f>
        <v>0</v>
      </c>
      <c r="BC352" s="48">
        <f>AA352+SUM($AM352:AO352)</f>
        <v>0</v>
      </c>
      <c r="BD352" s="48">
        <f>AB352+SUM($AM352:AP352)</f>
        <v>0</v>
      </c>
      <c r="BE352" s="48">
        <f>AC352+SUM($AM352:AQ352)</f>
        <v>0</v>
      </c>
      <c r="BF352" s="48">
        <f>AD352+SUM($AM352:AR352)</f>
        <v>0</v>
      </c>
      <c r="BG352" s="48">
        <f>AE352+SUM($AM352:AS352)</f>
        <v>0</v>
      </c>
      <c r="BH352" s="48">
        <f>AF352+SUM($AM352:AT352)</f>
        <v>0</v>
      </c>
      <c r="BI352" s="48">
        <f>AG352+SUM($AM352:AU352)</f>
        <v>0</v>
      </c>
      <c r="BJ352" s="48">
        <f>AH352+SUM($AM352:AV352)</f>
        <v>0</v>
      </c>
      <c r="BK352" s="48">
        <f>AI352+SUM($AM352:AW352)</f>
        <v>0</v>
      </c>
      <c r="BL352" s="48">
        <f>AJ352+SUM($AM352:AX352)</f>
        <v>0</v>
      </c>
      <c r="BM352" s="48">
        <f>AK352+SUM($AM352:AY352)</f>
        <v>0</v>
      </c>
      <c r="BO352" s="47"/>
    </row>
    <row r="353" spans="3:67" s="41" customFormat="1" hidden="1" x14ac:dyDescent="0.3">
      <c r="C353" s="41" t="s">
        <v>1340</v>
      </c>
      <c r="D353" s="42" t="s">
        <v>350</v>
      </c>
      <c r="E353" s="42" t="str">
        <f t="shared" si="17"/>
        <v>211</v>
      </c>
      <c r="F353" s="41" t="str">
        <f>_xlfn.XLOOKUP($D353,MD_Account_Asset_Type[Nhóm tài sản],MD_Account_Asset_Type[Tên Nhóm tài sản])</f>
        <v>TSCĐ khác - SX 627</v>
      </c>
      <c r="G353" s="41" t="str">
        <f>_xlfn.XLOOKUP($D353,MD_Account_Asset_Type[Nhóm tài sản],MD_Account_Asset_Type[Tên nhóm TS-Rút gọn])</f>
        <v>Khác</v>
      </c>
      <c r="H353" s="41" t="str">
        <f>_xlfn.XLOOKUP($D353,MD_Account_Asset_Type[Nhóm tài sản],MD_Account_Asset_Type[Tên nhóm TS-Rút gọn-v2])</f>
        <v>TSCĐHH-Khác</v>
      </c>
      <c r="I353" s="43" t="s">
        <v>1131</v>
      </c>
      <c r="J353" s="42" t="s">
        <v>1132</v>
      </c>
      <c r="K353" s="41" t="s">
        <v>830</v>
      </c>
      <c r="L353" s="42" t="s">
        <v>48</v>
      </c>
      <c r="M353" s="42" t="s">
        <v>123</v>
      </c>
      <c r="N353" s="44">
        <v>0</v>
      </c>
      <c r="O353" s="44"/>
      <c r="P353" s="41" t="s">
        <v>466</v>
      </c>
      <c r="Q353" s="41" t="str">
        <f t="shared" si="16"/>
        <v>627</v>
      </c>
      <c r="R353" s="41" t="str">
        <f>_xlfn.XLOOKUP($L353,MD_Cost_Center[Mã Cost Center],MD_Cost_Center[Ngành])</f>
        <v>PET</v>
      </c>
      <c r="S353" s="41" t="str">
        <f>_xlfn.XLOOKUP($L353,MD_Cost_Center[Mã Cost Center],MD_Cost_Center[Ngành-Tách PET-Xơ sợi])</f>
        <v>Chung-PET</v>
      </c>
      <c r="T353" s="45">
        <v>44740</v>
      </c>
      <c r="U353" s="46">
        <v>45654</v>
      </c>
      <c r="V353" s="47">
        <v>30</v>
      </c>
      <c r="W353" s="47">
        <v>60800000</v>
      </c>
      <c r="X353" s="47">
        <v>-2026667</v>
      </c>
      <c r="Y353" s="47">
        <v>60800000</v>
      </c>
      <c r="Z353" s="47">
        <v>60800000</v>
      </c>
      <c r="AA353" s="47">
        <v>60800000</v>
      </c>
      <c r="AB353" s="47">
        <v>60800000</v>
      </c>
      <c r="AC353" s="47">
        <v>60800000</v>
      </c>
      <c r="AD353" s="47">
        <v>60800000</v>
      </c>
      <c r="AE353" s="47">
        <v>60800000</v>
      </c>
      <c r="AF353" s="47">
        <v>60800000</v>
      </c>
      <c r="AG353" s="47">
        <v>60800000</v>
      </c>
      <c r="AH353" s="47">
        <v>60800000</v>
      </c>
      <c r="AI353" s="47">
        <v>60800000</v>
      </c>
      <c r="AJ353" s="47">
        <v>60800000</v>
      </c>
      <c r="AK353" s="47">
        <v>60800000</v>
      </c>
      <c r="AL353" s="47">
        <v>0</v>
      </c>
      <c r="AM353" s="47">
        <v>-60800000</v>
      </c>
      <c r="AN353" s="47">
        <v>0</v>
      </c>
      <c r="AO353" s="47">
        <v>0</v>
      </c>
      <c r="AP353" s="47">
        <v>0</v>
      </c>
      <c r="AQ353" s="47">
        <v>0</v>
      </c>
      <c r="AR353" s="47">
        <v>0</v>
      </c>
      <c r="AS353" s="47">
        <v>0</v>
      </c>
      <c r="AT353" s="47">
        <v>0</v>
      </c>
      <c r="AU353" s="47">
        <v>0</v>
      </c>
      <c r="AV353" s="47">
        <v>0</v>
      </c>
      <c r="AW353" s="47">
        <v>0</v>
      </c>
      <c r="AX353" s="47">
        <v>0</v>
      </c>
      <c r="AY353" s="47">
        <v>0</v>
      </c>
      <c r="AZ353" s="58">
        <f t="shared" si="15"/>
        <v>0</v>
      </c>
      <c r="BA353" s="47">
        <f>Y353+SUM($AM353:AM353)</f>
        <v>0</v>
      </c>
      <c r="BB353" s="48">
        <f>Z353+SUM($AM353:AN353)</f>
        <v>0</v>
      </c>
      <c r="BC353" s="48">
        <f>AA353+SUM($AM353:AO353)</f>
        <v>0</v>
      </c>
      <c r="BD353" s="48">
        <f>AB353+SUM($AM353:AP353)</f>
        <v>0</v>
      </c>
      <c r="BE353" s="48">
        <f>AC353+SUM($AM353:AQ353)</f>
        <v>0</v>
      </c>
      <c r="BF353" s="48">
        <f>AD353+SUM($AM353:AR353)</f>
        <v>0</v>
      </c>
      <c r="BG353" s="48">
        <f>AE353+SUM($AM353:AS353)</f>
        <v>0</v>
      </c>
      <c r="BH353" s="48">
        <f>AF353+SUM($AM353:AT353)</f>
        <v>0</v>
      </c>
      <c r="BI353" s="48">
        <f>AG353+SUM($AM353:AU353)</f>
        <v>0</v>
      </c>
      <c r="BJ353" s="48">
        <f>AH353+SUM($AM353:AV353)</f>
        <v>0</v>
      </c>
      <c r="BK353" s="48">
        <f>AI353+SUM($AM353:AW353)</f>
        <v>0</v>
      </c>
      <c r="BL353" s="48">
        <f>AJ353+SUM($AM353:AX353)</f>
        <v>0</v>
      </c>
      <c r="BM353" s="48">
        <f>AK353+SUM($AM353:AY353)</f>
        <v>0</v>
      </c>
      <c r="BO353" s="47"/>
    </row>
    <row r="354" spans="3:67" s="41" customFormat="1" hidden="1" x14ac:dyDescent="0.3">
      <c r="C354" s="41" t="s">
        <v>1340</v>
      </c>
      <c r="D354" s="42" t="s">
        <v>406</v>
      </c>
      <c r="E354" s="42" t="str">
        <f t="shared" si="17"/>
        <v>213</v>
      </c>
      <c r="F354" s="41" t="str">
        <f>_xlfn.XLOOKUP($D354,MD_Account_Asset_Type[Nhóm tài sản],MD_Account_Asset_Type[Tên Nhóm tài sản])</f>
        <v>Phần mềm máy vi tính - BH 641</v>
      </c>
      <c r="G354" s="41" t="str">
        <f>_xlfn.XLOOKUP($D354,MD_Account_Asset_Type[Nhóm tài sản],MD_Account_Asset_Type[Tên nhóm TS-Rút gọn])</f>
        <v>Phần mềm công nghệ thông tin</v>
      </c>
      <c r="H354" s="41" t="str">
        <f>_xlfn.XLOOKUP($D354,MD_Account_Asset_Type[Nhóm tài sản],MD_Account_Asset_Type[Tên nhóm TS-Rút gọn-v2])</f>
        <v>Phần mềm công nghệ thông tin</v>
      </c>
      <c r="I354" s="43" t="s">
        <v>1202</v>
      </c>
      <c r="J354" s="42" t="s">
        <v>1203</v>
      </c>
      <c r="K354" s="41" t="s">
        <v>830</v>
      </c>
      <c r="L354" s="42" t="s">
        <v>38</v>
      </c>
      <c r="M354" s="42" t="s">
        <v>113</v>
      </c>
      <c r="N354" s="44">
        <v>0</v>
      </c>
      <c r="O354" s="44"/>
      <c r="P354" s="41" t="s">
        <v>484</v>
      </c>
      <c r="Q354" s="41" t="str">
        <f t="shared" si="16"/>
        <v>641</v>
      </c>
      <c r="R354" s="41" t="str">
        <f>_xlfn.XLOOKUP($L354,MD_Cost_Center[Mã Cost Center],MD_Cost_Center[Ngành])</f>
        <v>Chung</v>
      </c>
      <c r="S354" s="41" t="str">
        <f>_xlfn.XLOOKUP($L354,MD_Cost_Center[Mã Cost Center],MD_Cost_Center[Ngành-Tách PET-Xơ sợi])</f>
        <v>Chung</v>
      </c>
      <c r="T354" s="45">
        <v>40175</v>
      </c>
      <c r="U354" s="46">
        <v>41271</v>
      </c>
      <c r="V354" s="47">
        <v>36</v>
      </c>
      <c r="W354" s="47">
        <v>77554250</v>
      </c>
      <c r="X354" s="47">
        <v>-2154285</v>
      </c>
      <c r="Y354" s="47">
        <v>77554250</v>
      </c>
      <c r="Z354" s="47">
        <v>77554250</v>
      </c>
      <c r="AA354" s="47">
        <v>77554250</v>
      </c>
      <c r="AB354" s="47">
        <v>77554250</v>
      </c>
      <c r="AC354" s="47">
        <v>77554250</v>
      </c>
      <c r="AD354" s="47">
        <v>77554250</v>
      </c>
      <c r="AE354" s="47">
        <v>77554250</v>
      </c>
      <c r="AF354" s="47">
        <v>77554250</v>
      </c>
      <c r="AG354" s="47">
        <v>77554250</v>
      </c>
      <c r="AH354" s="47">
        <v>77554250</v>
      </c>
      <c r="AI354" s="47">
        <v>77554250</v>
      </c>
      <c r="AJ354" s="47">
        <v>77554250</v>
      </c>
      <c r="AK354" s="47">
        <v>77554250</v>
      </c>
      <c r="AL354" s="47">
        <v>0</v>
      </c>
      <c r="AM354" s="47">
        <v>-77554250</v>
      </c>
      <c r="AN354" s="47">
        <v>0</v>
      </c>
      <c r="AO354" s="47">
        <v>0</v>
      </c>
      <c r="AP354" s="47">
        <v>0</v>
      </c>
      <c r="AQ354" s="47">
        <v>0</v>
      </c>
      <c r="AR354" s="47">
        <v>0</v>
      </c>
      <c r="AS354" s="47">
        <v>0</v>
      </c>
      <c r="AT354" s="47">
        <v>0</v>
      </c>
      <c r="AU354" s="47">
        <v>0</v>
      </c>
      <c r="AV354" s="47">
        <v>0</v>
      </c>
      <c r="AW354" s="47">
        <v>0</v>
      </c>
      <c r="AX354" s="47">
        <v>0</v>
      </c>
      <c r="AY354" s="47">
        <v>0</v>
      </c>
      <c r="AZ354" s="58">
        <f t="shared" si="15"/>
        <v>0</v>
      </c>
      <c r="BA354" s="47">
        <f>Y354+SUM($AM354:AM354)</f>
        <v>0</v>
      </c>
      <c r="BB354" s="48">
        <f>Z354+SUM($AM354:AN354)</f>
        <v>0</v>
      </c>
      <c r="BC354" s="48">
        <f>AA354+SUM($AM354:AO354)</f>
        <v>0</v>
      </c>
      <c r="BD354" s="48">
        <f>AB354+SUM($AM354:AP354)</f>
        <v>0</v>
      </c>
      <c r="BE354" s="48">
        <f>AC354+SUM($AM354:AQ354)</f>
        <v>0</v>
      </c>
      <c r="BF354" s="48">
        <f>AD354+SUM($AM354:AR354)</f>
        <v>0</v>
      </c>
      <c r="BG354" s="48">
        <f>AE354+SUM($AM354:AS354)</f>
        <v>0</v>
      </c>
      <c r="BH354" s="48">
        <f>AF354+SUM($AM354:AT354)</f>
        <v>0</v>
      </c>
      <c r="BI354" s="48">
        <f>AG354+SUM($AM354:AU354)</f>
        <v>0</v>
      </c>
      <c r="BJ354" s="48">
        <f>AH354+SUM($AM354:AV354)</f>
        <v>0</v>
      </c>
      <c r="BK354" s="48">
        <f>AI354+SUM($AM354:AW354)</f>
        <v>0</v>
      </c>
      <c r="BL354" s="48">
        <f>AJ354+SUM($AM354:AX354)</f>
        <v>0</v>
      </c>
      <c r="BM354" s="48">
        <f>AK354+SUM($AM354:AY354)</f>
        <v>0</v>
      </c>
      <c r="BO354" s="47"/>
    </row>
    <row r="355" spans="3:67" s="41" customFormat="1" hidden="1" x14ac:dyDescent="0.3">
      <c r="C355" s="41" t="s">
        <v>1340</v>
      </c>
      <c r="D355" s="42" t="s">
        <v>406</v>
      </c>
      <c r="E355" s="42" t="str">
        <f t="shared" si="17"/>
        <v>213</v>
      </c>
      <c r="F355" s="41" t="str">
        <f>_xlfn.XLOOKUP($D355,MD_Account_Asset_Type[Nhóm tài sản],MD_Account_Asset_Type[Tên Nhóm tài sản])</f>
        <v>Phần mềm máy vi tính - BH 641</v>
      </c>
      <c r="G355" s="41" t="str">
        <f>_xlfn.XLOOKUP($D355,MD_Account_Asset_Type[Nhóm tài sản],MD_Account_Asset_Type[Tên nhóm TS-Rút gọn])</f>
        <v>Phần mềm công nghệ thông tin</v>
      </c>
      <c r="H355" s="41" t="str">
        <f>_xlfn.XLOOKUP($D355,MD_Account_Asset_Type[Nhóm tài sản],MD_Account_Asset_Type[Tên nhóm TS-Rút gọn-v2])</f>
        <v>Phần mềm công nghệ thông tin</v>
      </c>
      <c r="I355" s="43" t="s">
        <v>1204</v>
      </c>
      <c r="J355" s="42" t="s">
        <v>1205</v>
      </c>
      <c r="K355" s="41" t="s">
        <v>830</v>
      </c>
      <c r="L355" s="42" t="s">
        <v>36</v>
      </c>
      <c r="M355" s="42" t="s">
        <v>111</v>
      </c>
      <c r="N355" s="44">
        <v>0</v>
      </c>
      <c r="O355" s="44"/>
      <c r="P355" s="41" t="s">
        <v>484</v>
      </c>
      <c r="Q355" s="41" t="str">
        <f t="shared" si="16"/>
        <v>641</v>
      </c>
      <c r="R355" s="41" t="str">
        <f>_xlfn.XLOOKUP($L355,MD_Cost_Center[Mã Cost Center],MD_Cost_Center[Ngành])</f>
        <v>Chung</v>
      </c>
      <c r="S355" s="41" t="str">
        <f>_xlfn.XLOOKUP($L355,MD_Cost_Center[Mã Cost Center],MD_Cost_Center[Ngành-Tách PET-Xơ sợi])</f>
        <v>Chung</v>
      </c>
      <c r="T355" s="45">
        <v>44684</v>
      </c>
      <c r="U355" s="46">
        <v>45049</v>
      </c>
      <c r="V355" s="47">
        <v>12</v>
      </c>
      <c r="W355" s="47">
        <v>211690000</v>
      </c>
      <c r="X355" s="47">
        <v>-17640833</v>
      </c>
      <c r="Y355" s="47">
        <v>211690000</v>
      </c>
      <c r="Z355" s="47">
        <v>211690000</v>
      </c>
      <c r="AA355" s="47">
        <v>211690000</v>
      </c>
      <c r="AB355" s="47">
        <v>211690000</v>
      </c>
      <c r="AC355" s="47">
        <v>211690000</v>
      </c>
      <c r="AD355" s="47">
        <v>211690000</v>
      </c>
      <c r="AE355" s="47">
        <v>211690000</v>
      </c>
      <c r="AF355" s="47">
        <v>211690000</v>
      </c>
      <c r="AG355" s="47">
        <v>211690000</v>
      </c>
      <c r="AH355" s="47">
        <v>211690000</v>
      </c>
      <c r="AI355" s="47">
        <v>211690000</v>
      </c>
      <c r="AJ355" s="47">
        <v>211690000</v>
      </c>
      <c r="AK355" s="47">
        <v>211690000</v>
      </c>
      <c r="AL355" s="47">
        <v>0</v>
      </c>
      <c r="AM355" s="47">
        <v>-211690000</v>
      </c>
      <c r="AN355" s="47">
        <v>0</v>
      </c>
      <c r="AO355" s="47">
        <v>0</v>
      </c>
      <c r="AP355" s="47">
        <v>0</v>
      </c>
      <c r="AQ355" s="47">
        <v>0</v>
      </c>
      <c r="AR355" s="47">
        <v>0</v>
      </c>
      <c r="AS355" s="47">
        <v>0</v>
      </c>
      <c r="AT355" s="47">
        <v>0</v>
      </c>
      <c r="AU355" s="47">
        <v>0</v>
      </c>
      <c r="AV355" s="47">
        <v>0</v>
      </c>
      <c r="AW355" s="47">
        <v>0</v>
      </c>
      <c r="AX355" s="47">
        <v>0</v>
      </c>
      <c r="AY355" s="47">
        <v>0</v>
      </c>
      <c r="AZ355" s="58">
        <f t="shared" si="15"/>
        <v>0</v>
      </c>
      <c r="BA355" s="47">
        <f>Y355+SUM($AM355:AM355)</f>
        <v>0</v>
      </c>
      <c r="BB355" s="48">
        <f>Z355+SUM($AM355:AN355)</f>
        <v>0</v>
      </c>
      <c r="BC355" s="48">
        <f>AA355+SUM($AM355:AO355)</f>
        <v>0</v>
      </c>
      <c r="BD355" s="48">
        <f>AB355+SUM($AM355:AP355)</f>
        <v>0</v>
      </c>
      <c r="BE355" s="48">
        <f>AC355+SUM($AM355:AQ355)</f>
        <v>0</v>
      </c>
      <c r="BF355" s="48">
        <f>AD355+SUM($AM355:AR355)</f>
        <v>0</v>
      </c>
      <c r="BG355" s="48">
        <f>AE355+SUM($AM355:AS355)</f>
        <v>0</v>
      </c>
      <c r="BH355" s="48">
        <f>AF355+SUM($AM355:AT355)</f>
        <v>0</v>
      </c>
      <c r="BI355" s="48">
        <f>AG355+SUM($AM355:AU355)</f>
        <v>0</v>
      </c>
      <c r="BJ355" s="48">
        <f>AH355+SUM($AM355:AV355)</f>
        <v>0</v>
      </c>
      <c r="BK355" s="48">
        <f>AI355+SUM($AM355:AW355)</f>
        <v>0</v>
      </c>
      <c r="BL355" s="48">
        <f>AJ355+SUM($AM355:AX355)</f>
        <v>0</v>
      </c>
      <c r="BM355" s="48">
        <f>AK355+SUM($AM355:AY355)</f>
        <v>0</v>
      </c>
      <c r="BO355" s="47"/>
    </row>
    <row r="356" spans="3:67" s="41" customFormat="1" hidden="1" x14ac:dyDescent="0.3">
      <c r="C356" s="41" t="s">
        <v>1340</v>
      </c>
      <c r="D356" s="42" t="s">
        <v>409</v>
      </c>
      <c r="E356" s="42" t="str">
        <f t="shared" si="17"/>
        <v>213</v>
      </c>
      <c r="F356" s="41" t="str">
        <f>_xlfn.XLOOKUP($D356,MD_Account_Asset_Type[Nhóm tài sản],MD_Account_Asset_Type[Tên Nhóm tài sản])</f>
        <v>TSCĐ vô hình khác - QL 642</v>
      </c>
      <c r="G356" s="41" t="str">
        <f>_xlfn.XLOOKUP($D356,MD_Account_Asset_Type[Nhóm tài sản],MD_Account_Asset_Type[Tên nhóm TS-Rút gọn])</f>
        <v>TSCĐ vô hình khác</v>
      </c>
      <c r="H356" s="41" t="str">
        <f>_xlfn.XLOOKUP($D356,MD_Account_Asset_Type[Nhóm tài sản],MD_Account_Asset_Type[Tên nhóm TS-Rút gọn-v2])</f>
        <v>TSCĐVH-Khác</v>
      </c>
      <c r="I356" s="43" t="s">
        <v>1210</v>
      </c>
      <c r="J356" s="42" t="s">
        <v>1211</v>
      </c>
      <c r="K356" s="41" t="s">
        <v>830</v>
      </c>
      <c r="L356" s="42" t="s">
        <v>36</v>
      </c>
      <c r="M356" s="42" t="s">
        <v>111</v>
      </c>
      <c r="N356" s="44">
        <v>0</v>
      </c>
      <c r="O356" s="44"/>
      <c r="P356" s="41" t="s">
        <v>479</v>
      </c>
      <c r="Q356" s="41" t="str">
        <f t="shared" si="16"/>
        <v>642</v>
      </c>
      <c r="R356" s="41" t="str">
        <f>_xlfn.XLOOKUP($L356,MD_Cost_Center[Mã Cost Center],MD_Cost_Center[Ngành])</f>
        <v>Chung</v>
      </c>
      <c r="S356" s="41" t="str">
        <f>_xlfn.XLOOKUP($L356,MD_Cost_Center[Mã Cost Center],MD_Cost_Center[Ngành-Tách PET-Xơ sợi])</f>
        <v>Chung</v>
      </c>
      <c r="T356" s="45">
        <v>44819</v>
      </c>
      <c r="U356" s="46">
        <v>45915</v>
      </c>
      <c r="V356" s="47">
        <v>36</v>
      </c>
      <c r="W356" s="47">
        <v>52602439</v>
      </c>
      <c r="X356" s="47">
        <v>-1461179</v>
      </c>
      <c r="Y356" s="47">
        <v>52602439</v>
      </c>
      <c r="Z356" s="47">
        <v>52602439</v>
      </c>
      <c r="AA356" s="47">
        <v>52602439</v>
      </c>
      <c r="AB356" s="47">
        <v>52602439</v>
      </c>
      <c r="AC356" s="47">
        <v>52602439</v>
      </c>
      <c r="AD356" s="47">
        <v>52602439</v>
      </c>
      <c r="AE356" s="47">
        <v>52602439</v>
      </c>
      <c r="AF356" s="47">
        <v>52602439</v>
      </c>
      <c r="AG356" s="47">
        <v>52602439</v>
      </c>
      <c r="AH356" s="47">
        <v>52602439</v>
      </c>
      <c r="AI356" s="47">
        <v>52602439</v>
      </c>
      <c r="AJ356" s="47">
        <v>52602439</v>
      </c>
      <c r="AK356" s="47">
        <v>52602439</v>
      </c>
      <c r="AL356" s="47">
        <v>-11689431</v>
      </c>
      <c r="AM356" s="47">
        <v>-52602439</v>
      </c>
      <c r="AN356" s="47">
        <v>0</v>
      </c>
      <c r="AO356" s="47">
        <v>0</v>
      </c>
      <c r="AP356" s="47">
        <v>0</v>
      </c>
      <c r="AQ356" s="47">
        <v>0</v>
      </c>
      <c r="AR356" s="47">
        <v>0</v>
      </c>
      <c r="AS356" s="47">
        <v>0</v>
      </c>
      <c r="AT356" s="47">
        <v>0</v>
      </c>
      <c r="AU356" s="47">
        <v>0</v>
      </c>
      <c r="AV356" s="47">
        <v>0</v>
      </c>
      <c r="AW356" s="47">
        <v>0</v>
      </c>
      <c r="AX356" s="47">
        <v>0</v>
      </c>
      <c r="AY356" s="47">
        <v>0</v>
      </c>
      <c r="AZ356" s="58">
        <f t="shared" si="15"/>
        <v>0</v>
      </c>
      <c r="BA356" s="47">
        <f>Y356+SUM($AM356:AM356)</f>
        <v>0</v>
      </c>
      <c r="BB356" s="48">
        <f>Z356+SUM($AM356:AN356)</f>
        <v>0</v>
      </c>
      <c r="BC356" s="48">
        <f>AA356+SUM($AM356:AO356)</f>
        <v>0</v>
      </c>
      <c r="BD356" s="48">
        <f>AB356+SUM($AM356:AP356)</f>
        <v>0</v>
      </c>
      <c r="BE356" s="48">
        <f>AC356+SUM($AM356:AQ356)</f>
        <v>0</v>
      </c>
      <c r="BF356" s="48">
        <f>AD356+SUM($AM356:AR356)</f>
        <v>0</v>
      </c>
      <c r="BG356" s="48">
        <f>AE356+SUM($AM356:AS356)</f>
        <v>0</v>
      </c>
      <c r="BH356" s="48">
        <f>AF356+SUM($AM356:AT356)</f>
        <v>0</v>
      </c>
      <c r="BI356" s="48">
        <f>AG356+SUM($AM356:AU356)</f>
        <v>0</v>
      </c>
      <c r="BJ356" s="48">
        <f>AH356+SUM($AM356:AV356)</f>
        <v>0</v>
      </c>
      <c r="BK356" s="48">
        <f>AI356+SUM($AM356:AW356)</f>
        <v>0</v>
      </c>
      <c r="BL356" s="48">
        <f>AJ356+SUM($AM356:AX356)</f>
        <v>0</v>
      </c>
      <c r="BM356" s="48">
        <f>AK356+SUM($AM356:AY356)</f>
        <v>0</v>
      </c>
      <c r="BO356" s="47"/>
    </row>
    <row r="357" spans="3:67" s="41" customFormat="1" hidden="1" x14ac:dyDescent="0.3">
      <c r="C357" s="41" t="s">
        <v>1340</v>
      </c>
      <c r="D357" s="42" t="s">
        <v>319</v>
      </c>
      <c r="E357" s="42" t="str">
        <f t="shared" si="17"/>
        <v>211</v>
      </c>
      <c r="F357" s="41" t="str">
        <f>_xlfn.XLOOKUP($D357,MD_Account_Asset_Type[Nhóm tài sản],MD_Account_Asset_Type[Tên Nhóm tài sản])</f>
        <v>Nhà cửa, vật kiến trúc - SX 627</v>
      </c>
      <c r="G357" s="41" t="str">
        <f>_xlfn.XLOOKUP($D357,MD_Account_Asset_Type[Nhóm tài sản],MD_Account_Asset_Type[Tên nhóm TS-Rút gọn])</f>
        <v>Nhà cửa, vật kiến trúc</v>
      </c>
      <c r="H357" s="41" t="str">
        <f>_xlfn.XLOOKUP($D357,MD_Account_Asset_Type[Nhóm tài sản],MD_Account_Asset_Type[Tên nhóm TS-Rút gọn-v2])</f>
        <v>Nhà cửa, vật kiến trúc</v>
      </c>
      <c r="I357" s="43" t="s">
        <v>1563</v>
      </c>
      <c r="J357" s="42" t="s">
        <v>1220</v>
      </c>
      <c r="K357" s="41" t="s">
        <v>830</v>
      </c>
      <c r="L357" s="42" t="s">
        <v>92</v>
      </c>
      <c r="M357" s="42" t="s">
        <v>167</v>
      </c>
      <c r="N357" s="44"/>
      <c r="O357" s="44"/>
      <c r="P357" s="41" t="s">
        <v>460</v>
      </c>
      <c r="Q357" s="41" t="str">
        <f t="shared" si="16"/>
        <v>627</v>
      </c>
      <c r="R357" s="41" t="str">
        <f>_xlfn.XLOOKUP($L357,MD_Cost_Center[Mã Cost Center],MD_Cost_Center[Ngành])</f>
        <v>Chung</v>
      </c>
      <c r="S357" s="41" t="str">
        <f>_xlfn.XLOOKUP($L357,MD_Cost_Center[Mã Cost Center],MD_Cost_Center[Ngành-Tách PET-Xơ sợi])</f>
        <v>Chung</v>
      </c>
      <c r="T357" s="45">
        <v>45962</v>
      </c>
      <c r="U357" s="46">
        <v>55093</v>
      </c>
      <c r="V357" s="47">
        <v>300</v>
      </c>
      <c r="W357" s="47">
        <v>723140800</v>
      </c>
      <c r="X357" s="47">
        <v>-2410469</v>
      </c>
      <c r="Y357" s="47">
        <v>723140800</v>
      </c>
      <c r="Z357" s="47">
        <v>723140800</v>
      </c>
      <c r="AA357" s="47">
        <v>723140800</v>
      </c>
      <c r="AB357" s="47">
        <v>723140800</v>
      </c>
      <c r="AC357" s="47">
        <v>723140800</v>
      </c>
      <c r="AD357" s="47">
        <v>723140800</v>
      </c>
      <c r="AE357" s="47">
        <v>723140800</v>
      </c>
      <c r="AF357" s="47">
        <v>723140800</v>
      </c>
      <c r="AG357" s="47">
        <v>723140800</v>
      </c>
      <c r="AH357" s="47">
        <v>723140800</v>
      </c>
      <c r="AI357" s="47">
        <v>723140800</v>
      </c>
      <c r="AJ357" s="47">
        <v>723140800</v>
      </c>
      <c r="AK357" s="47">
        <v>723140800</v>
      </c>
      <c r="AL357" s="47">
        <v>-24104693</v>
      </c>
      <c r="AM357" s="47">
        <v>-4820938</v>
      </c>
      <c r="AN357" s="47">
        <v>-2345758.7483221479</v>
      </c>
      <c r="AO357" s="47">
        <v>-2345758.7483221479</v>
      </c>
      <c r="AP357" s="47">
        <v>-2345758.7483221479</v>
      </c>
      <c r="AQ357" s="47">
        <v>-2345758.7483221479</v>
      </c>
      <c r="AR357" s="47">
        <v>-2345758.7483221479</v>
      </c>
      <c r="AS357" s="47">
        <v>-2345758.7483221479</v>
      </c>
      <c r="AT357" s="47">
        <v>-2345758.7483221479</v>
      </c>
      <c r="AU357" s="47">
        <v>-2345758.7483221479</v>
      </c>
      <c r="AV357" s="47">
        <v>-2345758.7483221479</v>
      </c>
      <c r="AW357" s="47">
        <v>-2345758.7483221479</v>
      </c>
      <c r="AX357" s="47">
        <v>-2345758.7483221479</v>
      </c>
      <c r="AY357" s="47">
        <v>-2345758.7483221479</v>
      </c>
      <c r="AZ357" s="58">
        <f t="shared" si="15"/>
        <v>-28149104.979865775</v>
      </c>
      <c r="BA357" s="47">
        <f>Y357+SUM($AM357:AM357)</f>
        <v>718319862</v>
      </c>
      <c r="BB357" s="47">
        <f>Z357+SUM($AM357:AN357)</f>
        <v>715974103.25167787</v>
      </c>
      <c r="BC357" s="47">
        <f>AA357+SUM($AM357:AO357)</f>
        <v>713628344.50335574</v>
      </c>
      <c r="BD357" s="47">
        <f>AB357+SUM($AM357:AP357)</f>
        <v>711282585.75503361</v>
      </c>
      <c r="BE357" s="47">
        <f>AC357+SUM($AM357:AQ357)</f>
        <v>708936827.00671136</v>
      </c>
      <c r="BF357" s="47">
        <f>AD357+SUM($AM357:AR357)</f>
        <v>706591068.25838923</v>
      </c>
      <c r="BG357" s="47">
        <f>AE357+SUM($AM357:AS357)</f>
        <v>704245309.51006711</v>
      </c>
      <c r="BH357" s="47">
        <f>AF357+SUM($AM357:AT357)</f>
        <v>701899550.76174498</v>
      </c>
      <c r="BI357" s="47">
        <f>AG357+SUM($AM357:AU357)</f>
        <v>699553792.01342285</v>
      </c>
      <c r="BJ357" s="47">
        <f>AH357+SUM($AM357:AV357)</f>
        <v>697208033.26510072</v>
      </c>
      <c r="BK357" s="47">
        <f>AI357+SUM($AM357:AW357)</f>
        <v>694862274.51677847</v>
      </c>
      <c r="BL357" s="47">
        <f>AJ357+SUM($AM357:AX357)</f>
        <v>692516515.76845634</v>
      </c>
      <c r="BM357" s="47">
        <f>AK357+SUM($AM357:AY357)</f>
        <v>690170757.02013421</v>
      </c>
      <c r="BO357" s="47"/>
    </row>
    <row r="358" spans="3:67" s="41" customFormat="1" hidden="1" x14ac:dyDescent="0.3">
      <c r="C358" s="41" t="s">
        <v>1340</v>
      </c>
      <c r="D358" s="42" t="s">
        <v>337</v>
      </c>
      <c r="E358" s="42" t="str">
        <f t="shared" si="17"/>
        <v>211</v>
      </c>
      <c r="F358" s="41" t="str">
        <f>_xlfn.XLOOKUP($D358,MD_Account_Asset_Type[Nhóm tài sản],MD_Account_Asset_Type[Tên Nhóm tài sản])</f>
        <v>Máy móc, thiết bị phụ - SX 627</v>
      </c>
      <c r="G358" s="41" t="str">
        <f>_xlfn.XLOOKUP($D358,MD_Account_Asset_Type[Nhóm tài sản],MD_Account_Asset_Type[Tên nhóm TS-Rút gọn])</f>
        <v>Máy móc thiết bị</v>
      </c>
      <c r="H358" s="41" t="str">
        <f>_xlfn.XLOOKUP($D358,MD_Account_Asset_Type[Nhóm tài sản],MD_Account_Asset_Type[Tên nhóm TS-Rút gọn-v2])</f>
        <v>Máy móc thiết bị</v>
      </c>
      <c r="I358" s="43" t="s">
        <v>1467</v>
      </c>
      <c r="J358" s="42" t="s">
        <v>1221</v>
      </c>
      <c r="K358" s="41" t="s">
        <v>830</v>
      </c>
      <c r="L358" s="42" t="s">
        <v>45</v>
      </c>
      <c r="M358" s="42" t="s">
        <v>120</v>
      </c>
      <c r="N358" s="44"/>
      <c r="O358" s="44"/>
      <c r="P358" s="41" t="s">
        <v>461</v>
      </c>
      <c r="Q358" s="41" t="str">
        <f t="shared" si="16"/>
        <v>627</v>
      </c>
      <c r="R358" s="41" t="str">
        <f>_xlfn.XLOOKUP($L358,MD_Cost_Center[Mã Cost Center],MD_Cost_Center[Ngành])</f>
        <v>Chung</v>
      </c>
      <c r="S358" s="41" t="str">
        <f>_xlfn.XLOOKUP($L358,MD_Cost_Center[Mã Cost Center],MD_Cost_Center[Ngành-Tách PET-Xơ sợi])</f>
        <v>Chung</v>
      </c>
      <c r="T358" s="45">
        <v>45962</v>
      </c>
      <c r="U358" s="46">
        <v>50345</v>
      </c>
      <c r="V358" s="47">
        <v>144</v>
      </c>
      <c r="W358" s="47">
        <v>680000000</v>
      </c>
      <c r="X358" s="47">
        <v>-4722222</v>
      </c>
      <c r="Y358" s="47">
        <v>680000000</v>
      </c>
      <c r="Z358" s="47">
        <v>680000000</v>
      </c>
      <c r="AA358" s="47">
        <v>680000000</v>
      </c>
      <c r="AB358" s="47">
        <v>680000000</v>
      </c>
      <c r="AC358" s="47">
        <v>680000000</v>
      </c>
      <c r="AD358" s="47">
        <v>680000000</v>
      </c>
      <c r="AE358" s="47">
        <v>680000000</v>
      </c>
      <c r="AF358" s="47">
        <v>680000000</v>
      </c>
      <c r="AG358" s="47">
        <v>680000000</v>
      </c>
      <c r="AH358" s="47">
        <v>680000000</v>
      </c>
      <c r="AI358" s="47">
        <v>680000000</v>
      </c>
      <c r="AJ358" s="47">
        <v>680000000</v>
      </c>
      <c r="AK358" s="47">
        <v>680000000</v>
      </c>
      <c r="AL358" s="47">
        <v>-9444444</v>
      </c>
      <c r="AM358" s="47">
        <v>-9444444</v>
      </c>
      <c r="AN358" s="47">
        <v>-4722222.2253521131</v>
      </c>
      <c r="AO358" s="47">
        <v>-4722222.2253521131</v>
      </c>
      <c r="AP358" s="47">
        <v>-4722222.2253521131</v>
      </c>
      <c r="AQ358" s="47">
        <v>-4722222.2253521131</v>
      </c>
      <c r="AR358" s="47">
        <v>-4722222.2253521131</v>
      </c>
      <c r="AS358" s="47">
        <v>-4722222.2253521131</v>
      </c>
      <c r="AT358" s="47">
        <v>-4722222.2253521131</v>
      </c>
      <c r="AU358" s="47">
        <v>-4722222.2253521131</v>
      </c>
      <c r="AV358" s="47">
        <v>-4722222.2253521131</v>
      </c>
      <c r="AW358" s="47">
        <v>-4722222.2253521131</v>
      </c>
      <c r="AX358" s="47">
        <v>-4722222.2253521131</v>
      </c>
      <c r="AY358" s="47">
        <v>-4722222.2253521131</v>
      </c>
      <c r="AZ358" s="58">
        <f t="shared" si="15"/>
        <v>-56666666.704225369</v>
      </c>
      <c r="BA358" s="47">
        <f>Y358+SUM($AM358:AM358)</f>
        <v>670555556</v>
      </c>
      <c r="BB358" s="47">
        <f>Z358+SUM($AM358:AN358)</f>
        <v>665833333.77464783</v>
      </c>
      <c r="BC358" s="47">
        <f>AA358+SUM($AM358:AO358)</f>
        <v>661111111.54929578</v>
      </c>
      <c r="BD358" s="47">
        <f>AB358+SUM($AM358:AP358)</f>
        <v>656388889.32394361</v>
      </c>
      <c r="BE358" s="47">
        <f>AC358+SUM($AM358:AQ358)</f>
        <v>651666667.09859157</v>
      </c>
      <c r="BF358" s="47">
        <f>AD358+SUM($AM358:AR358)</f>
        <v>646944444.8732394</v>
      </c>
      <c r="BG358" s="47">
        <f>AE358+SUM($AM358:AS358)</f>
        <v>642222222.64788735</v>
      </c>
      <c r="BH358" s="47">
        <f>AF358+SUM($AM358:AT358)</f>
        <v>637500000.42253518</v>
      </c>
      <c r="BI358" s="47">
        <f>AG358+SUM($AM358:AU358)</f>
        <v>632777778.19718313</v>
      </c>
      <c r="BJ358" s="47">
        <f>AH358+SUM($AM358:AV358)</f>
        <v>628055555.97183096</v>
      </c>
      <c r="BK358" s="47">
        <f>AI358+SUM($AM358:AW358)</f>
        <v>623333333.74647892</v>
      </c>
      <c r="BL358" s="47">
        <f>AJ358+SUM($AM358:AX358)</f>
        <v>618611111.52112675</v>
      </c>
      <c r="BM358" s="47">
        <f>AK358+SUM($AM358:AY358)</f>
        <v>613888889.29577458</v>
      </c>
      <c r="BO358" s="47"/>
    </row>
    <row r="359" spans="3:67" s="41" customFormat="1" hidden="1" x14ac:dyDescent="0.3">
      <c r="C359" s="41" t="s">
        <v>1340</v>
      </c>
      <c r="D359" s="42" t="s">
        <v>337</v>
      </c>
      <c r="E359" s="42" t="str">
        <f t="shared" si="17"/>
        <v>211</v>
      </c>
      <c r="F359" s="41" t="str">
        <f>_xlfn.XLOOKUP($D359,MD_Account_Asset_Type[Nhóm tài sản],MD_Account_Asset_Type[Tên Nhóm tài sản])</f>
        <v>Máy móc, thiết bị phụ - SX 627</v>
      </c>
      <c r="G359" s="41" t="str">
        <f>_xlfn.XLOOKUP($D359,MD_Account_Asset_Type[Nhóm tài sản],MD_Account_Asset_Type[Tên nhóm TS-Rút gọn])</f>
        <v>Máy móc thiết bị</v>
      </c>
      <c r="H359" s="41" t="str">
        <f>_xlfn.XLOOKUP($D359,MD_Account_Asset_Type[Nhóm tài sản],MD_Account_Asset_Type[Tên nhóm TS-Rút gọn-v2])</f>
        <v>Máy móc thiết bị</v>
      </c>
      <c r="I359" s="43" t="s">
        <v>1047</v>
      </c>
      <c r="J359" s="42" t="s">
        <v>1048</v>
      </c>
      <c r="K359" s="41" t="s">
        <v>830</v>
      </c>
      <c r="L359" s="42" t="s">
        <v>47</v>
      </c>
      <c r="M359" s="42" t="s">
        <v>122</v>
      </c>
      <c r="N359" s="44"/>
      <c r="O359" s="44"/>
      <c r="P359" s="41" t="s">
        <v>461</v>
      </c>
      <c r="Q359" s="41" t="str">
        <f t="shared" si="16"/>
        <v>627</v>
      </c>
      <c r="R359" s="41" t="str">
        <f>_xlfn.XLOOKUP($L359,MD_Cost_Center[Mã Cost Center],MD_Cost_Center[Ngành])</f>
        <v>Chung</v>
      </c>
      <c r="S359" s="41" t="str">
        <f>_xlfn.XLOOKUP($L359,MD_Cost_Center[Mã Cost Center],MD_Cost_Center[Ngành-Tách PET-Xơ sợi])</f>
        <v>Chung</v>
      </c>
      <c r="T359" s="45">
        <v>45962</v>
      </c>
      <c r="U359" s="46">
        <v>47788</v>
      </c>
      <c r="V359" s="47">
        <v>60</v>
      </c>
      <c r="W359" s="47">
        <v>30000000</v>
      </c>
      <c r="X359" s="47">
        <v>-500000</v>
      </c>
      <c r="Y359" s="47">
        <v>30000000</v>
      </c>
      <c r="Z359" s="47">
        <v>30000000</v>
      </c>
      <c r="AA359" s="47">
        <v>30000000</v>
      </c>
      <c r="AB359" s="47">
        <v>30000000</v>
      </c>
      <c r="AC359" s="47">
        <v>30000000</v>
      </c>
      <c r="AD359" s="47">
        <v>30000000</v>
      </c>
      <c r="AE359" s="47">
        <v>30000000</v>
      </c>
      <c r="AF359" s="47">
        <v>30000000</v>
      </c>
      <c r="AG359" s="47">
        <v>30000000</v>
      </c>
      <c r="AH359" s="47">
        <v>30000000</v>
      </c>
      <c r="AI359" s="47">
        <v>30000000</v>
      </c>
      <c r="AJ359" s="47">
        <v>30000000</v>
      </c>
      <c r="AK359" s="47">
        <v>30000000</v>
      </c>
      <c r="AL359" s="47">
        <v>-1000000</v>
      </c>
      <c r="AM359" s="47">
        <v>-1000000</v>
      </c>
      <c r="AN359" s="47">
        <v>-500000</v>
      </c>
      <c r="AO359" s="47">
        <v>-500000</v>
      </c>
      <c r="AP359" s="47">
        <v>-500000</v>
      </c>
      <c r="AQ359" s="47">
        <v>-500000</v>
      </c>
      <c r="AR359" s="47">
        <v>-500000</v>
      </c>
      <c r="AS359" s="47">
        <v>-500000</v>
      </c>
      <c r="AT359" s="47">
        <v>-500000</v>
      </c>
      <c r="AU359" s="47">
        <v>-500000</v>
      </c>
      <c r="AV359" s="47">
        <v>-500000</v>
      </c>
      <c r="AW359" s="47">
        <v>-500000</v>
      </c>
      <c r="AX359" s="47">
        <v>-500000</v>
      </c>
      <c r="AY359" s="47">
        <v>-500000</v>
      </c>
      <c r="AZ359" s="58">
        <f t="shared" si="15"/>
        <v>-6000000</v>
      </c>
      <c r="BA359" s="47">
        <f>Y359+SUM($AM359:AM359)</f>
        <v>29000000</v>
      </c>
      <c r="BB359" s="47">
        <f>Z359+SUM($AM359:AN359)</f>
        <v>28500000</v>
      </c>
      <c r="BC359" s="47">
        <f>AA359+SUM($AM359:AO359)</f>
        <v>28000000</v>
      </c>
      <c r="BD359" s="47">
        <f>AB359+SUM($AM359:AP359)</f>
        <v>27500000</v>
      </c>
      <c r="BE359" s="47">
        <f>AC359+SUM($AM359:AQ359)</f>
        <v>27000000</v>
      </c>
      <c r="BF359" s="47">
        <f>AD359+SUM($AM359:AR359)</f>
        <v>26500000</v>
      </c>
      <c r="BG359" s="47">
        <f>AE359+SUM($AM359:AS359)</f>
        <v>26000000</v>
      </c>
      <c r="BH359" s="47">
        <f>AF359+SUM($AM359:AT359)</f>
        <v>25500000</v>
      </c>
      <c r="BI359" s="47">
        <f>AG359+SUM($AM359:AU359)</f>
        <v>25000000</v>
      </c>
      <c r="BJ359" s="47">
        <f>AH359+SUM($AM359:AV359)</f>
        <v>24500000</v>
      </c>
      <c r="BK359" s="47">
        <f>AI359+SUM($AM359:AW359)</f>
        <v>24000000</v>
      </c>
      <c r="BL359" s="47">
        <f>AJ359+SUM($AM359:AX359)</f>
        <v>23500000</v>
      </c>
      <c r="BM359" s="47">
        <f>AK359+SUM($AM359:AY359)</f>
        <v>23000000</v>
      </c>
      <c r="BO359" s="47"/>
    </row>
    <row r="360" spans="3:67" s="41" customFormat="1" hidden="1" x14ac:dyDescent="0.3">
      <c r="C360" s="41" t="s">
        <v>1340</v>
      </c>
      <c r="D360" s="42" t="s">
        <v>338</v>
      </c>
      <c r="E360" s="42" t="str">
        <f t="shared" si="17"/>
        <v>211</v>
      </c>
      <c r="F360" s="41" t="str">
        <f>_xlfn.XLOOKUP($D360,MD_Account_Asset_Type[Nhóm tài sản],MD_Account_Asset_Type[Tên Nhóm tài sản])</f>
        <v>Máy móc, thiết bị - SX 627</v>
      </c>
      <c r="G360" s="41" t="str">
        <f>_xlfn.XLOOKUP($D360,MD_Account_Asset_Type[Nhóm tài sản],MD_Account_Asset_Type[Tên nhóm TS-Rút gọn])</f>
        <v>Máy móc thiết bị</v>
      </c>
      <c r="H360" s="41" t="str">
        <f>_xlfn.XLOOKUP($D360,MD_Account_Asset_Type[Nhóm tài sản],MD_Account_Asset_Type[Tên nhóm TS-Rút gọn-v2])</f>
        <v>Máy móc thiết bị</v>
      </c>
      <c r="I360" s="43" t="s">
        <v>1598</v>
      </c>
      <c r="J360" s="42" t="s">
        <v>1506</v>
      </c>
      <c r="K360" s="41" t="s">
        <v>830</v>
      </c>
      <c r="L360" s="42" t="s">
        <v>106</v>
      </c>
      <c r="M360" s="42" t="s">
        <v>181</v>
      </c>
      <c r="N360" s="44" t="s">
        <v>289</v>
      </c>
      <c r="O360" s="44"/>
      <c r="P360" s="41" t="s">
        <v>462</v>
      </c>
      <c r="Q360" s="41" t="str">
        <f t="shared" si="16"/>
        <v>627</v>
      </c>
      <c r="R360" s="41" t="str">
        <f>_xlfn.XLOOKUP($L360,MD_Cost_Center[Mã Cost Center],MD_Cost_Center[Ngành])</f>
        <v>PET</v>
      </c>
      <c r="S360" s="41" t="str">
        <f>_xlfn.XLOOKUP($L360,MD_Cost_Center[Mã Cost Center],MD_Cost_Center[Ngành-Tách PET-Xơ sợi])</f>
        <v>Chung-PET</v>
      </c>
      <c r="T360" s="45">
        <v>45962</v>
      </c>
      <c r="U360" s="46">
        <v>50345</v>
      </c>
      <c r="V360" s="47">
        <v>144</v>
      </c>
      <c r="W360" s="47">
        <v>162982346</v>
      </c>
      <c r="X360" s="47">
        <v>-1131821.8450704226</v>
      </c>
      <c r="Y360" s="47">
        <v>162982346</v>
      </c>
      <c r="Z360" s="47">
        <v>162982346</v>
      </c>
      <c r="AA360" s="47">
        <v>162982346</v>
      </c>
      <c r="AB360" s="47">
        <v>162982346</v>
      </c>
      <c r="AC360" s="47">
        <v>162982346</v>
      </c>
      <c r="AD360" s="47">
        <v>162982346</v>
      </c>
      <c r="AE360" s="47">
        <v>162982346</v>
      </c>
      <c r="AF360" s="47">
        <v>162982346</v>
      </c>
      <c r="AG360" s="47">
        <v>162982346</v>
      </c>
      <c r="AH360" s="47">
        <v>162982346</v>
      </c>
      <c r="AI360" s="47">
        <v>162982346</v>
      </c>
      <c r="AJ360" s="47">
        <v>162982346</v>
      </c>
      <c r="AK360" s="47">
        <v>162982346</v>
      </c>
      <c r="AL360" s="47">
        <v>-2263644</v>
      </c>
      <c r="AM360" s="47">
        <v>-2263644</v>
      </c>
      <c r="AN360" s="47">
        <v>-1131821.8450704226</v>
      </c>
      <c r="AO360" s="47">
        <v>-1131821.8450704226</v>
      </c>
      <c r="AP360" s="47">
        <v>-1131821.8450704226</v>
      </c>
      <c r="AQ360" s="47">
        <v>-1131821.8450704226</v>
      </c>
      <c r="AR360" s="47">
        <v>-1131821.8450704226</v>
      </c>
      <c r="AS360" s="47">
        <v>-1131821.8450704226</v>
      </c>
      <c r="AT360" s="47">
        <v>-1131821.8450704226</v>
      </c>
      <c r="AU360" s="47">
        <v>-1131821.8450704226</v>
      </c>
      <c r="AV360" s="47">
        <v>-1131821.8450704226</v>
      </c>
      <c r="AW360" s="47">
        <v>-1131821.8450704226</v>
      </c>
      <c r="AX360" s="47">
        <v>-1131821.8450704226</v>
      </c>
      <c r="AY360" s="47">
        <v>-1131821.8450704226</v>
      </c>
      <c r="AZ360" s="58">
        <f t="shared" si="15"/>
        <v>-13581862.140845068</v>
      </c>
      <c r="BA360" s="47">
        <f>Y360+SUM($AM360:AM360)</f>
        <v>160718702</v>
      </c>
      <c r="BB360" s="47">
        <f>Z360+SUM($AM360:AN360)</f>
        <v>159586880.15492958</v>
      </c>
      <c r="BC360" s="47">
        <f>AA360+SUM($AM360:AO360)</f>
        <v>158455058.30985916</v>
      </c>
      <c r="BD360" s="47">
        <f>AB360+SUM($AM360:AP360)</f>
        <v>157323236.46478873</v>
      </c>
      <c r="BE360" s="47">
        <f>AC360+SUM($AM360:AQ360)</f>
        <v>156191414.61971831</v>
      </c>
      <c r="BF360" s="47">
        <f>AD360+SUM($AM360:AR360)</f>
        <v>155059592.77464789</v>
      </c>
      <c r="BG360" s="47">
        <f>AE360+SUM($AM360:AS360)</f>
        <v>153927770.92957747</v>
      </c>
      <c r="BH360" s="47">
        <f>AF360+SUM($AM360:AT360)</f>
        <v>152795949.08450705</v>
      </c>
      <c r="BI360" s="47">
        <f>AG360+SUM($AM360:AU360)</f>
        <v>151664127.23943663</v>
      </c>
      <c r="BJ360" s="47">
        <f>AH360+SUM($AM360:AV360)</f>
        <v>150532305.3943662</v>
      </c>
      <c r="BK360" s="47">
        <f>AI360+SUM($AM360:AW360)</f>
        <v>149400483.54929578</v>
      </c>
      <c r="BL360" s="47">
        <f>AJ360+SUM($AM360:AX360)</f>
        <v>148268661.70422536</v>
      </c>
      <c r="BM360" s="47">
        <f>AK360+SUM($AM360:AY360)</f>
        <v>147136839.85915494</v>
      </c>
      <c r="BO360" s="47"/>
    </row>
    <row r="361" spans="3:67" s="41" customFormat="1" hidden="1" x14ac:dyDescent="0.3">
      <c r="C361" s="41" t="s">
        <v>1340</v>
      </c>
      <c r="D361" s="42" t="s">
        <v>337</v>
      </c>
      <c r="E361" s="42" t="str">
        <f t="shared" si="17"/>
        <v>211</v>
      </c>
      <c r="F361" s="41" t="str">
        <f>_xlfn.XLOOKUP($D361,MD_Account_Asset_Type[Nhóm tài sản],MD_Account_Asset_Type[Tên Nhóm tài sản])</f>
        <v>Máy móc, thiết bị phụ - SX 627</v>
      </c>
      <c r="G361" s="41" t="str">
        <f>_xlfn.XLOOKUP($D361,MD_Account_Asset_Type[Nhóm tài sản],MD_Account_Asset_Type[Tên nhóm TS-Rút gọn])</f>
        <v>Máy móc thiết bị</v>
      </c>
      <c r="H361" s="41" t="str">
        <f>_xlfn.XLOOKUP($D361,MD_Account_Asset_Type[Nhóm tài sản],MD_Account_Asset_Type[Tên nhóm TS-Rút gọn-v2])</f>
        <v>Máy móc thiết bị</v>
      </c>
      <c r="I361" s="43" t="s">
        <v>1507</v>
      </c>
      <c r="J361" s="42" t="s">
        <v>1218</v>
      </c>
      <c r="K361" s="41" t="s">
        <v>830</v>
      </c>
      <c r="L361" s="42" t="s">
        <v>45</v>
      </c>
      <c r="M361" s="42" t="s">
        <v>120</v>
      </c>
      <c r="N361" s="44">
        <v>0</v>
      </c>
      <c r="O361" s="44"/>
      <c r="P361" s="41" t="s">
        <v>461</v>
      </c>
      <c r="Q361" s="41" t="str">
        <f t="shared" si="16"/>
        <v>627</v>
      </c>
      <c r="R361" s="41" t="str">
        <f>_xlfn.XLOOKUP($L361,MD_Cost_Center[Mã Cost Center],MD_Cost_Center[Ngành])</f>
        <v>Chung</v>
      </c>
      <c r="S361" s="41" t="str">
        <f>_xlfn.XLOOKUP($L361,MD_Cost_Center[Mã Cost Center],MD_Cost_Center[Ngành-Tách PET-Xơ sợi])</f>
        <v>Chung</v>
      </c>
      <c r="T361" s="45">
        <v>45962</v>
      </c>
      <c r="U361" s="46">
        <v>50345</v>
      </c>
      <c r="V361" s="47">
        <v>144</v>
      </c>
      <c r="W361" s="47">
        <v>1195290458</v>
      </c>
      <c r="X361" s="47">
        <v>-8300628.1830985919</v>
      </c>
      <c r="Y361" s="47">
        <v>1195290458</v>
      </c>
      <c r="Z361" s="47">
        <v>1195290458</v>
      </c>
      <c r="AA361" s="47">
        <v>1195290458</v>
      </c>
      <c r="AB361" s="47">
        <v>1195290458</v>
      </c>
      <c r="AC361" s="47">
        <v>1195290458</v>
      </c>
      <c r="AD361" s="47">
        <v>1195290458</v>
      </c>
      <c r="AE361" s="47">
        <v>1195290458</v>
      </c>
      <c r="AF361" s="47">
        <v>1195290458</v>
      </c>
      <c r="AG361" s="47">
        <v>1195290458</v>
      </c>
      <c r="AH361" s="47">
        <v>1195290458</v>
      </c>
      <c r="AI361" s="47">
        <v>1195290458</v>
      </c>
      <c r="AJ361" s="47">
        <v>1195290458</v>
      </c>
      <c r="AK361" s="47">
        <v>1195290458</v>
      </c>
      <c r="AL361" s="47">
        <v>-16601256</v>
      </c>
      <c r="AM361" s="47">
        <v>-16601256</v>
      </c>
      <c r="AN361" s="47">
        <v>-8300628.1830985919</v>
      </c>
      <c r="AO361" s="47">
        <v>-8300628.1830985919</v>
      </c>
      <c r="AP361" s="47">
        <v>-8300628.1830985919</v>
      </c>
      <c r="AQ361" s="47">
        <v>-8300628.1830985919</v>
      </c>
      <c r="AR361" s="47">
        <v>-8300628.1830985919</v>
      </c>
      <c r="AS361" s="47">
        <v>-8300628.1830985919</v>
      </c>
      <c r="AT361" s="47">
        <v>-8300628.1830985919</v>
      </c>
      <c r="AU361" s="47">
        <v>-8300628.1830985919</v>
      </c>
      <c r="AV361" s="47">
        <v>-8300628.1830985919</v>
      </c>
      <c r="AW361" s="47">
        <v>-8300628.1830985919</v>
      </c>
      <c r="AX361" s="47">
        <v>-8300628.1830985919</v>
      </c>
      <c r="AY361" s="47">
        <v>-8300628.1830985919</v>
      </c>
      <c r="AZ361" s="58">
        <f t="shared" si="15"/>
        <v>-99607538.197183073</v>
      </c>
      <c r="BA361" s="47">
        <f>Y361+SUM($AM361:AM361)</f>
        <v>1178689202</v>
      </c>
      <c r="BB361" s="47">
        <f>Z361+SUM($AM361:AN361)</f>
        <v>1170388573.8169014</v>
      </c>
      <c r="BC361" s="47">
        <f>AA361+SUM($AM361:AO361)</f>
        <v>1162087945.6338029</v>
      </c>
      <c r="BD361" s="47">
        <f>AB361+SUM($AM361:AP361)</f>
        <v>1153787317.4507043</v>
      </c>
      <c r="BE361" s="47">
        <f>AC361+SUM($AM361:AQ361)</f>
        <v>1145486689.2676055</v>
      </c>
      <c r="BF361" s="47">
        <f>AD361+SUM($AM361:AR361)</f>
        <v>1137186061.084507</v>
      </c>
      <c r="BG361" s="47">
        <f>AE361+SUM($AM361:AS361)</f>
        <v>1128885432.9014084</v>
      </c>
      <c r="BH361" s="47">
        <f>AF361+SUM($AM361:AT361)</f>
        <v>1120584804.7183099</v>
      </c>
      <c r="BI361" s="47">
        <f>AG361+SUM($AM361:AU361)</f>
        <v>1112284176.5352113</v>
      </c>
      <c r="BJ361" s="47">
        <f>AH361+SUM($AM361:AV361)</f>
        <v>1103983548.3521128</v>
      </c>
      <c r="BK361" s="47">
        <f>AI361+SUM($AM361:AW361)</f>
        <v>1095682920.169014</v>
      </c>
      <c r="BL361" s="47">
        <f>AJ361+SUM($AM361:AX361)</f>
        <v>1087382291.9859154</v>
      </c>
      <c r="BM361" s="47">
        <f>AK361+SUM($AM361:AY361)</f>
        <v>1079081663.8028169</v>
      </c>
      <c r="BO361" s="47"/>
    </row>
    <row r="362" spans="3:67" s="41" customFormat="1" hidden="1" x14ac:dyDescent="0.3">
      <c r="C362" s="41" t="s">
        <v>1340</v>
      </c>
      <c r="D362" s="42" t="s">
        <v>337</v>
      </c>
      <c r="E362" s="42" t="str">
        <f t="shared" si="17"/>
        <v>211</v>
      </c>
      <c r="F362" s="41" t="str">
        <f>_xlfn.XLOOKUP($D362,MD_Account_Asset_Type[Nhóm tài sản],MD_Account_Asset_Type[Tên Nhóm tài sản])</f>
        <v>Máy móc, thiết bị phụ - SX 627</v>
      </c>
      <c r="G362" s="41" t="str">
        <f>_xlfn.XLOOKUP($D362,MD_Account_Asset_Type[Nhóm tài sản],MD_Account_Asset_Type[Tên nhóm TS-Rút gọn])</f>
        <v>Máy móc thiết bị</v>
      </c>
      <c r="H362" s="41" t="str">
        <f>_xlfn.XLOOKUP($D362,MD_Account_Asset_Type[Nhóm tài sản],MD_Account_Asset_Type[Tên nhóm TS-Rút gọn-v2])</f>
        <v>Máy móc thiết bị</v>
      </c>
      <c r="I362" s="43" t="s">
        <v>1044</v>
      </c>
      <c r="J362" s="42" t="s">
        <v>1045</v>
      </c>
      <c r="K362" s="41" t="s">
        <v>830</v>
      </c>
      <c r="L362" s="42" t="s">
        <v>48</v>
      </c>
      <c r="M362" s="42" t="s">
        <v>123</v>
      </c>
      <c r="N362" s="44">
        <v>0</v>
      </c>
      <c r="O362" s="44"/>
      <c r="P362" s="41" t="s">
        <v>461</v>
      </c>
      <c r="Q362" s="41" t="str">
        <f t="shared" si="16"/>
        <v>627</v>
      </c>
      <c r="R362" s="41" t="str">
        <f>_xlfn.XLOOKUP($L362,MD_Cost_Center[Mã Cost Center],MD_Cost_Center[Ngành])</f>
        <v>PET</v>
      </c>
      <c r="S362" s="41" t="str">
        <f>_xlfn.XLOOKUP($L362,MD_Cost_Center[Mã Cost Center],MD_Cost_Center[Ngành-Tách PET-Xơ sợi])</f>
        <v>Chung-PET</v>
      </c>
      <c r="T362" s="45">
        <v>45962</v>
      </c>
      <c r="U362" s="46">
        <v>47788</v>
      </c>
      <c r="V362" s="47">
        <v>60</v>
      </c>
      <c r="W362" s="47">
        <v>81000000</v>
      </c>
      <c r="X362" s="47">
        <v>-1350000</v>
      </c>
      <c r="Y362" s="47">
        <v>81000000</v>
      </c>
      <c r="Z362" s="47">
        <v>81000000</v>
      </c>
      <c r="AA362" s="47">
        <v>81000000</v>
      </c>
      <c r="AB362" s="47">
        <v>81000000</v>
      </c>
      <c r="AC362" s="47">
        <v>81000000</v>
      </c>
      <c r="AD362" s="47">
        <v>81000000</v>
      </c>
      <c r="AE362" s="47">
        <v>81000000</v>
      </c>
      <c r="AF362" s="47">
        <v>81000000</v>
      </c>
      <c r="AG362" s="47">
        <v>81000000</v>
      </c>
      <c r="AH362" s="47">
        <v>81000000</v>
      </c>
      <c r="AI362" s="47">
        <v>81000000</v>
      </c>
      <c r="AJ362" s="47">
        <v>81000000</v>
      </c>
      <c r="AK362" s="47">
        <v>81000000</v>
      </c>
      <c r="AL362" s="47">
        <v>-2700000</v>
      </c>
      <c r="AM362" s="47">
        <v>-2700000</v>
      </c>
      <c r="AN362" s="47">
        <v>-551408.45070422534</v>
      </c>
      <c r="AO362" s="47">
        <v>-551408.45070422534</v>
      </c>
      <c r="AP362" s="47">
        <v>-551408.45070422534</v>
      </c>
      <c r="AQ362" s="47">
        <v>-551408.45070422534</v>
      </c>
      <c r="AR362" s="47">
        <v>-551408.45070422534</v>
      </c>
      <c r="AS362" s="47">
        <v>-551408.45070422534</v>
      </c>
      <c r="AT362" s="47">
        <v>-551408.45070422534</v>
      </c>
      <c r="AU362" s="47">
        <v>-551408.45070422534</v>
      </c>
      <c r="AV362" s="47">
        <v>-551408.45070422534</v>
      </c>
      <c r="AW362" s="47">
        <v>-551408.45070422534</v>
      </c>
      <c r="AX362" s="47">
        <v>-551408.45070422534</v>
      </c>
      <c r="AY362" s="47">
        <v>-551408.45070422534</v>
      </c>
      <c r="AZ362" s="58">
        <f>SUM(AN362:AY362)</f>
        <v>-6616901.4084507041</v>
      </c>
      <c r="BA362" s="47">
        <f>Y362+SUM($AM362:AM362)</f>
        <v>78300000</v>
      </c>
      <c r="BB362" s="47">
        <f>Z362+SUM($AM362:AN362)</f>
        <v>77748591.549295768</v>
      </c>
      <c r="BC362" s="47">
        <f>AA362+SUM($AM362:AO362)</f>
        <v>77197183.098591551</v>
      </c>
      <c r="BD362" s="47">
        <f>AB362+SUM($AM362:AP362)</f>
        <v>76645774.647887319</v>
      </c>
      <c r="BE362" s="47">
        <f>AC362+SUM($AM362:AQ362)</f>
        <v>76094366.197183102</v>
      </c>
      <c r="BF362" s="47">
        <f>AD362+SUM($AM362:AR362)</f>
        <v>75542957.746478871</v>
      </c>
      <c r="BG362" s="47">
        <f>AE362+SUM($AM362:AS362)</f>
        <v>74991549.295774654</v>
      </c>
      <c r="BH362" s="47">
        <f>AF362+SUM($AM362:AT362)</f>
        <v>74440140.845070422</v>
      </c>
      <c r="BI362" s="47">
        <f>AG362+SUM($AM362:AU362)</f>
        <v>73888732.394366205</v>
      </c>
      <c r="BJ362" s="47">
        <f>AH362+SUM($AM362:AV362)</f>
        <v>73337323.943661973</v>
      </c>
      <c r="BK362" s="47">
        <f>AI362+SUM($AM362:AW362)</f>
        <v>72785915.492957741</v>
      </c>
      <c r="BL362" s="47">
        <f>AJ362+SUM($AM362:AX362)</f>
        <v>72234507.042253524</v>
      </c>
      <c r="BM362" s="47">
        <f>AK362+SUM($AM362:AY362)</f>
        <v>71683098.591549292</v>
      </c>
      <c r="BO362" s="47"/>
    </row>
    <row r="363" spans="3:67" s="132" customFormat="1" hidden="1" x14ac:dyDescent="0.3">
      <c r="C363" s="132" t="s">
        <v>1474</v>
      </c>
      <c r="D363" s="133" t="s">
        <v>336</v>
      </c>
      <c r="E363" s="219" t="str">
        <f t="shared" si="17"/>
        <v>211</v>
      </c>
      <c r="F363" s="132" t="str">
        <f>_xlfn.XLOOKUP($D363,MD_Account_Asset_Type[Nhóm tài sản],MD_Account_Asset_Type[Tên Nhóm tài sản])</f>
        <v>Nhà cửa, vật kiến trúc - QL 642</v>
      </c>
      <c r="G363" s="132" t="str">
        <f>_xlfn.XLOOKUP($D363,MD_Account_Asset_Type[Nhóm tài sản],MD_Account_Asset_Type[Tên nhóm TS-Rút gọn])</f>
        <v>Nhà cửa, vật kiến trúc</v>
      </c>
      <c r="H363" s="132" t="str">
        <f>_xlfn.XLOOKUP($D363,MD_Account_Asset_Type[Nhóm tài sản],MD_Account_Asset_Type[Tên nhóm TS-Rút gọn-v2])</f>
        <v>Nhà cửa, vật kiến trúc</v>
      </c>
      <c r="I363" s="134" t="s">
        <v>1469</v>
      </c>
      <c r="J363" s="133" t="s">
        <v>1468</v>
      </c>
      <c r="K363" s="132" t="s">
        <v>830</v>
      </c>
      <c r="L363" s="133" t="s">
        <v>38</v>
      </c>
      <c r="M363" s="133" t="s">
        <v>113</v>
      </c>
      <c r="N363" s="135"/>
      <c r="O363" s="135"/>
      <c r="P363" s="132" t="s">
        <v>472</v>
      </c>
      <c r="Q363" s="132" t="str">
        <f t="shared" si="16"/>
        <v>642</v>
      </c>
      <c r="R363" s="132" t="str">
        <f>_xlfn.XLOOKUP($L363,MD_Cost_Center[Mã Cost Center],MD_Cost_Center[Ngành])</f>
        <v>Chung</v>
      </c>
      <c r="S363" s="132" t="str">
        <f>_xlfn.XLOOKUP($L363,MD_Cost_Center[Mã Cost Center],MD_Cost_Center[Ngành-Tách PET-Xơ sợi])</f>
        <v>Chung</v>
      </c>
      <c r="T363" s="136">
        <v>45992</v>
      </c>
      <c r="U363" s="137">
        <v>55123</v>
      </c>
      <c r="V363" s="138">
        <v>300</v>
      </c>
      <c r="W363" s="138">
        <v>250000000</v>
      </c>
      <c r="X363" s="138">
        <v>-833333</v>
      </c>
      <c r="Y363" s="138">
        <v>250000000</v>
      </c>
      <c r="Z363" s="138">
        <v>250000000</v>
      </c>
      <c r="AA363" s="138">
        <v>250000000</v>
      </c>
      <c r="AB363" s="138">
        <v>250000000</v>
      </c>
      <c r="AC363" s="138">
        <v>250000000</v>
      </c>
      <c r="AD363" s="138">
        <v>250000000</v>
      </c>
      <c r="AE363" s="138">
        <v>250000000</v>
      </c>
      <c r="AF363" s="138">
        <v>250000000</v>
      </c>
      <c r="AG363" s="138">
        <v>250000000</v>
      </c>
      <c r="AH363" s="138">
        <v>250000000</v>
      </c>
      <c r="AI363" s="138">
        <v>250000000</v>
      </c>
      <c r="AJ363" s="138">
        <v>250000000</v>
      </c>
      <c r="AK363" s="138">
        <v>250000000</v>
      </c>
      <c r="AL363" s="138">
        <v>-833333</v>
      </c>
      <c r="AM363" s="138">
        <v>-833333</v>
      </c>
      <c r="AN363" s="138">
        <v>-833333</v>
      </c>
      <c r="AO363" s="138">
        <v>-833333</v>
      </c>
      <c r="AP363" s="138">
        <v>-833333</v>
      </c>
      <c r="AQ363" s="138">
        <v>-833333</v>
      </c>
      <c r="AR363" s="138">
        <v>-833333</v>
      </c>
      <c r="AS363" s="138">
        <v>-833333</v>
      </c>
      <c r="AT363" s="138">
        <v>-833333</v>
      </c>
      <c r="AU363" s="138">
        <v>-833333</v>
      </c>
      <c r="AV363" s="138">
        <v>-833333</v>
      </c>
      <c r="AW363" s="138">
        <v>-833333</v>
      </c>
      <c r="AX363" s="138">
        <v>-833333</v>
      </c>
      <c r="AY363" s="138">
        <v>-833333</v>
      </c>
      <c r="AZ363" s="139">
        <f t="shared" si="15"/>
        <v>-9999996</v>
      </c>
      <c r="BA363" s="138">
        <f>Y363+SUM($AM363:AM363)</f>
        <v>249166667</v>
      </c>
      <c r="BB363" s="138">
        <f>Z363+SUM($AM363:AN363)</f>
        <v>248333334</v>
      </c>
      <c r="BC363" s="138">
        <f>AA363+SUM($AM363:AO363)</f>
        <v>247500001</v>
      </c>
      <c r="BD363" s="138">
        <f>AB363+SUM($AM363:AP363)</f>
        <v>246666668</v>
      </c>
      <c r="BE363" s="138">
        <f>AC363+SUM($AM363:AQ363)</f>
        <v>245833335</v>
      </c>
      <c r="BF363" s="138">
        <f>AD363+SUM($AM363:AR363)</f>
        <v>245000002</v>
      </c>
      <c r="BG363" s="138">
        <f>AE363+SUM($AM363:AS363)</f>
        <v>244166669</v>
      </c>
      <c r="BH363" s="138">
        <f>AF363+SUM($AM363:AT363)</f>
        <v>243333336</v>
      </c>
      <c r="BI363" s="138">
        <f>AG363+SUM($AM363:AU363)</f>
        <v>242500003</v>
      </c>
      <c r="BJ363" s="138">
        <f>AH363+SUM($AM363:AV363)</f>
        <v>241666670</v>
      </c>
      <c r="BK363" s="138">
        <f>AI363+SUM($AM363:AW363)</f>
        <v>240833337</v>
      </c>
      <c r="BL363" s="138">
        <f>AJ363+SUM($AM363:AX363)</f>
        <v>240000004</v>
      </c>
      <c r="BM363" s="138">
        <f>AK363+SUM($AM363:AY363)</f>
        <v>239166671</v>
      </c>
      <c r="BO363" s="138"/>
    </row>
    <row r="364" spans="3:67" s="132" customFormat="1" hidden="1" x14ac:dyDescent="0.3">
      <c r="C364" s="132" t="s">
        <v>1474</v>
      </c>
      <c r="D364" s="133" t="s">
        <v>347</v>
      </c>
      <c r="E364" s="219" t="str">
        <f t="shared" si="17"/>
        <v>211</v>
      </c>
      <c r="F364" s="132" t="str">
        <f>_xlfn.XLOOKUP($D364,MD_Account_Asset_Type[Nhóm tài sản],MD_Account_Asset_Type[Tên Nhóm tài sản])</f>
        <v>Thiết bị, dụng cụ quản lý - QL 642</v>
      </c>
      <c r="G364" s="132" t="str">
        <f>_xlfn.XLOOKUP($D364,MD_Account_Asset_Type[Nhóm tài sản],MD_Account_Asset_Type[Tên nhóm TS-Rút gọn])</f>
        <v>Thiết bị quản lý</v>
      </c>
      <c r="H364" s="132" t="str">
        <f>_xlfn.XLOOKUP($D364,MD_Account_Asset_Type[Nhóm tài sản],MD_Account_Asset_Type[Tên nhóm TS-Rút gọn-v2])</f>
        <v>Thiết bị quản lý</v>
      </c>
      <c r="I364" s="134" t="s">
        <v>1471</v>
      </c>
      <c r="J364" s="133" t="s">
        <v>1472</v>
      </c>
      <c r="K364" s="132" t="s">
        <v>830</v>
      </c>
      <c r="L364" s="133" t="s">
        <v>36</v>
      </c>
      <c r="M364" s="133" t="s">
        <v>111</v>
      </c>
      <c r="N364" s="135"/>
      <c r="O364" s="135"/>
      <c r="P364" s="132" t="s">
        <v>474</v>
      </c>
      <c r="Q364" s="132" t="str">
        <f t="shared" si="16"/>
        <v>642</v>
      </c>
      <c r="R364" s="132" t="str">
        <f>_xlfn.XLOOKUP($L364,MD_Cost_Center[Mã Cost Center],MD_Cost_Center[Ngành])</f>
        <v>Chung</v>
      </c>
      <c r="S364" s="132" t="str">
        <f>_xlfn.XLOOKUP($L364,MD_Cost_Center[Mã Cost Center],MD_Cost_Center[Ngành-Tách PET-Xơ sợi])</f>
        <v>Chung</v>
      </c>
      <c r="T364" s="136">
        <v>46023</v>
      </c>
      <c r="U364" s="137">
        <v>49675</v>
      </c>
      <c r="V364" s="138">
        <v>120</v>
      </c>
      <c r="W364" s="138">
        <v>108680000</v>
      </c>
      <c r="X364" s="138">
        <v>-905667</v>
      </c>
      <c r="Y364" s="138">
        <v>108680000</v>
      </c>
      <c r="Z364" s="138">
        <v>108680000</v>
      </c>
      <c r="AA364" s="138">
        <v>108680000</v>
      </c>
      <c r="AB364" s="138">
        <v>108680000</v>
      </c>
      <c r="AC364" s="138">
        <v>108680000</v>
      </c>
      <c r="AD364" s="138">
        <v>108680000</v>
      </c>
      <c r="AE364" s="138">
        <v>108680000</v>
      </c>
      <c r="AF364" s="138">
        <v>108680000</v>
      </c>
      <c r="AG364" s="138">
        <v>108680000</v>
      </c>
      <c r="AH364" s="138">
        <v>108680000</v>
      </c>
      <c r="AI364" s="138">
        <v>108680000</v>
      </c>
      <c r="AJ364" s="138">
        <v>108680000</v>
      </c>
      <c r="AK364" s="138">
        <v>108680000</v>
      </c>
      <c r="AL364" s="138">
        <v>0</v>
      </c>
      <c r="AM364" s="138">
        <v>0</v>
      </c>
      <c r="AN364" s="138">
        <v>-905667</v>
      </c>
      <c r="AO364" s="138">
        <v>-905667</v>
      </c>
      <c r="AP364" s="138">
        <v>-905667</v>
      </c>
      <c r="AQ364" s="138">
        <v>-905667</v>
      </c>
      <c r="AR364" s="138">
        <v>-905667</v>
      </c>
      <c r="AS364" s="138">
        <v>-905667</v>
      </c>
      <c r="AT364" s="138">
        <v>-905667</v>
      </c>
      <c r="AU364" s="138">
        <v>-905667</v>
      </c>
      <c r="AV364" s="138">
        <v>-905667</v>
      </c>
      <c r="AW364" s="138">
        <v>-905667</v>
      </c>
      <c r="AX364" s="138">
        <v>-905667</v>
      </c>
      <c r="AY364" s="138">
        <v>-905667</v>
      </c>
      <c r="AZ364" s="139">
        <f t="shared" ref="AZ364:AZ400" si="18">SUM(AN364:AY364)</f>
        <v>-10868004</v>
      </c>
      <c r="BA364" s="138">
        <f>Y364+SUM($AM364:AM364)</f>
        <v>108680000</v>
      </c>
      <c r="BB364" s="138">
        <f>Z364+SUM($AM364:AN364)</f>
        <v>107774333</v>
      </c>
      <c r="BC364" s="138">
        <f>AA364+SUM($AM364:AO364)</f>
        <v>106868666</v>
      </c>
      <c r="BD364" s="138">
        <f>AB364+SUM($AM364:AP364)</f>
        <v>105962999</v>
      </c>
      <c r="BE364" s="138">
        <f>AC364+SUM($AM364:AQ364)</f>
        <v>105057332</v>
      </c>
      <c r="BF364" s="138">
        <f>AD364+SUM($AM364:AR364)</f>
        <v>104151665</v>
      </c>
      <c r="BG364" s="138">
        <f>AE364+SUM($AM364:AS364)</f>
        <v>103245998</v>
      </c>
      <c r="BH364" s="138">
        <f>AF364+SUM($AM364:AT364)</f>
        <v>102340331</v>
      </c>
      <c r="BI364" s="138">
        <f>AG364+SUM($AM364:AU364)</f>
        <v>101434664</v>
      </c>
      <c r="BJ364" s="138">
        <f>AH364+SUM($AM364:AV364)</f>
        <v>100528997</v>
      </c>
      <c r="BK364" s="138">
        <f>AI364+SUM($AM364:AW364)</f>
        <v>99623330</v>
      </c>
      <c r="BL364" s="138">
        <f>AJ364+SUM($AM364:AX364)</f>
        <v>98717663</v>
      </c>
      <c r="BM364" s="138">
        <f>AK364+SUM($AM364:AY364)</f>
        <v>97811996</v>
      </c>
      <c r="BO364" s="138"/>
    </row>
    <row r="365" spans="3:67" s="132" customFormat="1" x14ac:dyDescent="0.3">
      <c r="C365" s="132" t="s">
        <v>1474</v>
      </c>
      <c r="D365" s="133" t="s">
        <v>337</v>
      </c>
      <c r="E365" s="219" t="str">
        <f t="shared" si="17"/>
        <v>211</v>
      </c>
      <c r="F365" s="132" t="str">
        <f>_xlfn.XLOOKUP($D365,MD_Account_Asset_Type[Nhóm tài sản],MD_Account_Asset_Type[Tên Nhóm tài sản])</f>
        <v>Máy móc, thiết bị phụ - SX 627</v>
      </c>
      <c r="G365" s="132" t="str">
        <f>_xlfn.XLOOKUP($D365,MD_Account_Asset_Type[Nhóm tài sản],MD_Account_Asset_Type[Tên nhóm TS-Rút gọn])</f>
        <v>Máy móc thiết bị</v>
      </c>
      <c r="H365" s="132" t="str">
        <f>_xlfn.XLOOKUP($D365,MD_Account_Asset_Type[Nhóm tài sản],MD_Account_Asset_Type[Tên nhóm TS-Rút gọn-v2])</f>
        <v>Máy móc thiết bị</v>
      </c>
      <c r="I365" s="134" t="s">
        <v>1473</v>
      </c>
      <c r="J365" s="133" t="s">
        <v>1475</v>
      </c>
      <c r="K365" s="132" t="s">
        <v>830</v>
      </c>
      <c r="L365" s="133" t="s">
        <v>48</v>
      </c>
      <c r="M365" s="133" t="s">
        <v>123</v>
      </c>
      <c r="N365" s="135"/>
      <c r="O365" s="135" t="s">
        <v>1482</v>
      </c>
      <c r="P365" s="132" t="s">
        <v>461</v>
      </c>
      <c r="Q365" s="132" t="str">
        <f t="shared" si="16"/>
        <v>627</v>
      </c>
      <c r="R365" s="132" t="str">
        <f>_xlfn.XLOOKUP($L365,MD_Cost_Center[Mã Cost Center],MD_Cost_Center[Ngành])</f>
        <v>PET</v>
      </c>
      <c r="S365" s="132" t="str">
        <f>_xlfn.XLOOKUP($L365,MD_Cost_Center[Mã Cost Center],MD_Cost_Center[Ngành-Tách PET-Xơ sợi])</f>
        <v>Chung-PET</v>
      </c>
      <c r="T365" s="136">
        <v>46023</v>
      </c>
      <c r="U365" s="137">
        <v>49675</v>
      </c>
      <c r="V365" s="138">
        <v>144</v>
      </c>
      <c r="W365" s="138">
        <v>81000000</v>
      </c>
      <c r="X365" s="138">
        <v>-562500</v>
      </c>
      <c r="Y365" s="138">
        <v>81000000</v>
      </c>
      <c r="Z365" s="138">
        <v>81000000</v>
      </c>
      <c r="AA365" s="138">
        <v>81000000</v>
      </c>
      <c r="AB365" s="138">
        <v>81000000</v>
      </c>
      <c r="AC365" s="138">
        <v>81000000</v>
      </c>
      <c r="AD365" s="138">
        <v>81000000</v>
      </c>
      <c r="AE365" s="138">
        <v>81000000</v>
      </c>
      <c r="AF365" s="138">
        <v>81000000</v>
      </c>
      <c r="AG365" s="138">
        <v>81000000</v>
      </c>
      <c r="AH365" s="138">
        <v>81000000</v>
      </c>
      <c r="AI365" s="138">
        <v>81000000</v>
      </c>
      <c r="AJ365" s="138">
        <v>81000000</v>
      </c>
      <c r="AK365" s="138">
        <v>81000000</v>
      </c>
      <c r="AL365" s="138">
        <v>0</v>
      </c>
      <c r="AM365" s="138">
        <v>0</v>
      </c>
      <c r="AN365" s="138">
        <v>-562500</v>
      </c>
      <c r="AO365" s="138">
        <v>-562500</v>
      </c>
      <c r="AP365" s="138">
        <v>-562500</v>
      </c>
      <c r="AQ365" s="138">
        <v>-562500</v>
      </c>
      <c r="AR365" s="138">
        <v>-562500</v>
      </c>
      <c r="AS365" s="138">
        <v>-562500</v>
      </c>
      <c r="AT365" s="138">
        <v>-562500</v>
      </c>
      <c r="AU365" s="138">
        <v>-562500</v>
      </c>
      <c r="AV365" s="138">
        <v>-562500</v>
      </c>
      <c r="AW365" s="138">
        <v>-562500</v>
      </c>
      <c r="AX365" s="138">
        <v>-562500</v>
      </c>
      <c r="AY365" s="138">
        <v>-562500</v>
      </c>
      <c r="AZ365" s="139">
        <f t="shared" si="18"/>
        <v>-6750000</v>
      </c>
      <c r="BA365" s="138">
        <f>Y365+SUM($AM365:AM365)</f>
        <v>81000000</v>
      </c>
      <c r="BB365" s="138">
        <f>Z365+SUM($AM365:AN365)</f>
        <v>80437500</v>
      </c>
      <c r="BC365" s="138">
        <f>AA365+SUM($AM365:AO365)</f>
        <v>79875000</v>
      </c>
      <c r="BD365" s="138">
        <f>AB365+SUM($AM365:AP365)</f>
        <v>79312500</v>
      </c>
      <c r="BE365" s="138">
        <f>AC365+SUM($AM365:AQ365)</f>
        <v>78750000</v>
      </c>
      <c r="BF365" s="138">
        <f>AD365+SUM($AM365:AR365)</f>
        <v>78187500</v>
      </c>
      <c r="BG365" s="138">
        <f>AE365+SUM($AM365:AS365)</f>
        <v>77625000</v>
      </c>
      <c r="BH365" s="138">
        <f>AF365+SUM($AM365:AT365)</f>
        <v>77062500</v>
      </c>
      <c r="BI365" s="138">
        <f>AG365+SUM($AM365:AU365)</f>
        <v>76500000</v>
      </c>
      <c r="BJ365" s="138">
        <f>AH365+SUM($AM365:AV365)</f>
        <v>75937500</v>
      </c>
      <c r="BK365" s="138">
        <f>AI365+SUM($AM365:AW365)</f>
        <v>75375000</v>
      </c>
      <c r="BL365" s="138">
        <f>AJ365+SUM($AM365:AX365)</f>
        <v>74812500</v>
      </c>
      <c r="BM365" s="138">
        <f>AK365+SUM($AM365:AY365)</f>
        <v>74250000</v>
      </c>
      <c r="BO365" s="138"/>
    </row>
    <row r="366" spans="3:67" s="132" customFormat="1" x14ac:dyDescent="0.3">
      <c r="C366" s="132" t="s">
        <v>1474</v>
      </c>
      <c r="D366" s="133" t="s">
        <v>350</v>
      </c>
      <c r="E366" s="219" t="str">
        <f t="shared" si="17"/>
        <v>211</v>
      </c>
      <c r="F366" s="132" t="str">
        <f>_xlfn.XLOOKUP($D366,MD_Account_Asset_Type[Nhóm tài sản],MD_Account_Asset_Type[Tên Nhóm tài sản])</f>
        <v>TSCĐ khác - SX 627</v>
      </c>
      <c r="G366" s="132" t="str">
        <f>_xlfn.XLOOKUP($D366,MD_Account_Asset_Type[Nhóm tài sản],MD_Account_Asset_Type[Tên nhóm TS-Rút gọn])</f>
        <v>Khác</v>
      </c>
      <c r="H366" s="132" t="str">
        <f>_xlfn.XLOOKUP($D366,MD_Account_Asset_Type[Nhóm tài sản],MD_Account_Asset_Type[Tên nhóm TS-Rút gọn-v2])</f>
        <v>TSCĐHH-Khác</v>
      </c>
      <c r="I366" s="134" t="s">
        <v>1478</v>
      </c>
      <c r="J366" s="133" t="s">
        <v>1476</v>
      </c>
      <c r="K366" s="132" t="s">
        <v>830</v>
      </c>
      <c r="L366" s="133" t="s">
        <v>92</v>
      </c>
      <c r="M366" s="133" t="s">
        <v>167</v>
      </c>
      <c r="N366" s="135"/>
      <c r="O366" s="135"/>
      <c r="P366" s="132" t="s">
        <v>466</v>
      </c>
      <c r="Q366" s="132" t="str">
        <f t="shared" si="16"/>
        <v>627</v>
      </c>
      <c r="R366" s="132" t="str">
        <f>_xlfn.XLOOKUP($L366,MD_Cost_Center[Mã Cost Center],MD_Cost_Center[Ngành])</f>
        <v>Chung</v>
      </c>
      <c r="S366" s="132" t="str">
        <f>_xlfn.XLOOKUP($L366,MD_Cost_Center[Mã Cost Center],MD_Cost_Center[Ngành-Tách PET-Xơ sợi])</f>
        <v>Chung</v>
      </c>
      <c r="T366" s="136">
        <v>46023</v>
      </c>
      <c r="U366" s="137">
        <v>49675</v>
      </c>
      <c r="V366" s="138">
        <v>120</v>
      </c>
      <c r="W366" s="138">
        <v>74000000</v>
      </c>
      <c r="X366" s="138">
        <v>-616666</v>
      </c>
      <c r="Y366" s="138">
        <v>74000000</v>
      </c>
      <c r="Z366" s="138">
        <v>74000000</v>
      </c>
      <c r="AA366" s="138">
        <v>74000000</v>
      </c>
      <c r="AB366" s="138">
        <v>74000000</v>
      </c>
      <c r="AC366" s="138">
        <v>74000000</v>
      </c>
      <c r="AD366" s="138">
        <v>74000000</v>
      </c>
      <c r="AE366" s="138">
        <v>74000000</v>
      </c>
      <c r="AF366" s="138">
        <v>74000000</v>
      </c>
      <c r="AG366" s="138">
        <v>74000000</v>
      </c>
      <c r="AH366" s="138">
        <v>74000000</v>
      </c>
      <c r="AI366" s="138">
        <v>74000000</v>
      </c>
      <c r="AJ366" s="138">
        <v>74000000</v>
      </c>
      <c r="AK366" s="138">
        <v>74000000</v>
      </c>
      <c r="AL366" s="138">
        <v>0</v>
      </c>
      <c r="AM366" s="138">
        <v>0</v>
      </c>
      <c r="AN366" s="138">
        <v>-616666</v>
      </c>
      <c r="AO366" s="138">
        <v>-616666</v>
      </c>
      <c r="AP366" s="138">
        <v>-616666</v>
      </c>
      <c r="AQ366" s="138">
        <v>-616666</v>
      </c>
      <c r="AR366" s="138">
        <v>-616666</v>
      </c>
      <c r="AS366" s="138">
        <v>-616666</v>
      </c>
      <c r="AT366" s="138">
        <v>-616666</v>
      </c>
      <c r="AU366" s="138">
        <v>-616666</v>
      </c>
      <c r="AV366" s="138">
        <v>-616666</v>
      </c>
      <c r="AW366" s="138">
        <v>-616666</v>
      </c>
      <c r="AX366" s="138">
        <v>-616666</v>
      </c>
      <c r="AY366" s="138">
        <v>-616666</v>
      </c>
      <c r="AZ366" s="139">
        <f t="shared" si="18"/>
        <v>-7399992</v>
      </c>
      <c r="BA366" s="138">
        <f>Y366+SUM($AM366:AM366)</f>
        <v>74000000</v>
      </c>
      <c r="BB366" s="138">
        <f>Z366+SUM($AM366:AN366)</f>
        <v>73383334</v>
      </c>
      <c r="BC366" s="138">
        <f>AA366+SUM($AM366:AO366)</f>
        <v>72766668</v>
      </c>
      <c r="BD366" s="138">
        <f>AB366+SUM($AM366:AP366)</f>
        <v>72150002</v>
      </c>
      <c r="BE366" s="138">
        <f>AC366+SUM($AM366:AQ366)</f>
        <v>71533336</v>
      </c>
      <c r="BF366" s="138">
        <f>AD366+SUM($AM366:AR366)</f>
        <v>70916670</v>
      </c>
      <c r="BG366" s="138">
        <f>AE366+SUM($AM366:AS366)</f>
        <v>70300004</v>
      </c>
      <c r="BH366" s="138">
        <f>AF366+SUM($AM366:AT366)</f>
        <v>69683338</v>
      </c>
      <c r="BI366" s="138">
        <f>AG366+SUM($AM366:AU366)</f>
        <v>69066672</v>
      </c>
      <c r="BJ366" s="138">
        <f>AH366+SUM($AM366:AV366)</f>
        <v>68450006</v>
      </c>
      <c r="BK366" s="138">
        <f>AI366+SUM($AM366:AW366)</f>
        <v>67833340</v>
      </c>
      <c r="BL366" s="138">
        <f>AJ366+SUM($AM366:AX366)</f>
        <v>67216674</v>
      </c>
      <c r="BM366" s="138">
        <f>AK366+SUM($AM366:AY366)</f>
        <v>66600008</v>
      </c>
      <c r="BO366" s="138"/>
    </row>
    <row r="367" spans="3:67" s="132" customFormat="1" x14ac:dyDescent="0.3">
      <c r="C367" s="132" t="s">
        <v>1474</v>
      </c>
      <c r="D367" s="133" t="s">
        <v>337</v>
      </c>
      <c r="E367" s="219" t="str">
        <f t="shared" si="17"/>
        <v>211</v>
      </c>
      <c r="F367" s="132" t="str">
        <f>_xlfn.XLOOKUP($D367,MD_Account_Asset_Type[Nhóm tài sản],MD_Account_Asset_Type[Tên Nhóm tài sản])</f>
        <v>Máy móc, thiết bị phụ - SX 627</v>
      </c>
      <c r="G367" s="132" t="str">
        <f>_xlfn.XLOOKUP($D367,MD_Account_Asset_Type[Nhóm tài sản],MD_Account_Asset_Type[Tên nhóm TS-Rút gọn])</f>
        <v>Máy móc thiết bị</v>
      </c>
      <c r="H367" s="132" t="str">
        <f>_xlfn.XLOOKUP($D367,MD_Account_Asset_Type[Nhóm tài sản],MD_Account_Asset_Type[Tên nhóm TS-Rút gọn-v2])</f>
        <v>Máy móc thiết bị</v>
      </c>
      <c r="I367" s="134" t="s">
        <v>1479</v>
      </c>
      <c r="J367" s="133" t="s">
        <v>1477</v>
      </c>
      <c r="K367" s="132" t="s">
        <v>830</v>
      </c>
      <c r="L367" s="133" t="s">
        <v>48</v>
      </c>
      <c r="M367" s="133" t="s">
        <v>123</v>
      </c>
      <c r="N367" s="135"/>
      <c r="O367" s="135" t="s">
        <v>1483</v>
      </c>
      <c r="P367" s="132" t="s">
        <v>461</v>
      </c>
      <c r="Q367" s="132" t="str">
        <f t="shared" si="16"/>
        <v>627</v>
      </c>
      <c r="R367" s="132" t="str">
        <f>_xlfn.XLOOKUP($L367,MD_Cost_Center[Mã Cost Center],MD_Cost_Center[Ngành])</f>
        <v>PET</v>
      </c>
      <c r="S367" s="132" t="str">
        <f>_xlfn.XLOOKUP($L367,MD_Cost_Center[Mã Cost Center],MD_Cost_Center[Ngành-Tách PET-Xơ sợi])</f>
        <v>Chung-PET</v>
      </c>
      <c r="T367" s="136">
        <v>46023</v>
      </c>
      <c r="U367" s="137">
        <v>49675</v>
      </c>
      <c r="V367" s="138">
        <v>120</v>
      </c>
      <c r="W367" s="138">
        <v>150000000</v>
      </c>
      <c r="X367" s="138">
        <v>-1250000</v>
      </c>
      <c r="Y367" s="138">
        <v>150000000</v>
      </c>
      <c r="Z367" s="138">
        <v>150000000</v>
      </c>
      <c r="AA367" s="138">
        <v>150000000</v>
      </c>
      <c r="AB367" s="138">
        <v>150000000</v>
      </c>
      <c r="AC367" s="138">
        <v>150000000</v>
      </c>
      <c r="AD367" s="138">
        <v>150000000</v>
      </c>
      <c r="AE367" s="138">
        <v>150000000</v>
      </c>
      <c r="AF367" s="138">
        <v>150000000</v>
      </c>
      <c r="AG367" s="138">
        <v>150000000</v>
      </c>
      <c r="AH367" s="138">
        <v>150000000</v>
      </c>
      <c r="AI367" s="138">
        <v>150000000</v>
      </c>
      <c r="AJ367" s="138">
        <v>150000000</v>
      </c>
      <c r="AK367" s="138">
        <v>150000000</v>
      </c>
      <c r="AL367" s="138">
        <v>0</v>
      </c>
      <c r="AM367" s="138">
        <v>0</v>
      </c>
      <c r="AN367" s="138">
        <v>-1250000</v>
      </c>
      <c r="AO367" s="138">
        <v>-1250000</v>
      </c>
      <c r="AP367" s="138">
        <v>-1250000</v>
      </c>
      <c r="AQ367" s="138">
        <v>-1250000</v>
      </c>
      <c r="AR367" s="138">
        <v>-1250000</v>
      </c>
      <c r="AS367" s="138">
        <v>-1250000</v>
      </c>
      <c r="AT367" s="138">
        <v>-1250000</v>
      </c>
      <c r="AU367" s="138">
        <v>-1250000</v>
      </c>
      <c r="AV367" s="138">
        <v>-1250000</v>
      </c>
      <c r="AW367" s="138">
        <v>-1250000</v>
      </c>
      <c r="AX367" s="138">
        <v>-1250000</v>
      </c>
      <c r="AY367" s="138">
        <v>-1250000</v>
      </c>
      <c r="AZ367" s="139">
        <f t="shared" si="18"/>
        <v>-15000000</v>
      </c>
      <c r="BA367" s="138">
        <f>Y367+SUM($AM367:AM367)</f>
        <v>150000000</v>
      </c>
      <c r="BB367" s="138">
        <f>Z367+SUM($AM367:AN367)</f>
        <v>148750000</v>
      </c>
      <c r="BC367" s="138">
        <f>AA367+SUM($AM367:AO367)</f>
        <v>147500000</v>
      </c>
      <c r="BD367" s="138">
        <f>AB367+SUM($AM367:AP367)</f>
        <v>146250000</v>
      </c>
      <c r="BE367" s="138">
        <f>AC367+SUM($AM367:AQ367)</f>
        <v>145000000</v>
      </c>
      <c r="BF367" s="138">
        <f>AD367+SUM($AM367:AR367)</f>
        <v>143750000</v>
      </c>
      <c r="BG367" s="138">
        <f>AE367+SUM($AM367:AS367)</f>
        <v>142500000</v>
      </c>
      <c r="BH367" s="138">
        <f>AF367+SUM($AM367:AT367)</f>
        <v>141250000</v>
      </c>
      <c r="BI367" s="138">
        <f>AG367+SUM($AM367:AU367)</f>
        <v>140000000</v>
      </c>
      <c r="BJ367" s="138">
        <f>AH367+SUM($AM367:AV367)</f>
        <v>138750000</v>
      </c>
      <c r="BK367" s="138">
        <f>AI367+SUM($AM367:AW367)</f>
        <v>137500000</v>
      </c>
      <c r="BL367" s="138">
        <f>AJ367+SUM($AM367:AX367)</f>
        <v>136250000</v>
      </c>
      <c r="BM367" s="138">
        <f>AK367+SUM($AM367:AY367)</f>
        <v>135000000</v>
      </c>
      <c r="BO367" s="138"/>
    </row>
    <row r="368" spans="3:67" s="132" customFormat="1" hidden="1" x14ac:dyDescent="0.3">
      <c r="C368" s="132" t="s">
        <v>1474</v>
      </c>
      <c r="D368" s="133" t="s">
        <v>338</v>
      </c>
      <c r="E368" s="219" t="str">
        <f t="shared" si="17"/>
        <v>211</v>
      </c>
      <c r="F368" s="132" t="str">
        <f>_xlfn.XLOOKUP($D368,MD_Account_Asset_Type[Nhóm tài sản],MD_Account_Asset_Type[Tên Nhóm tài sản])</f>
        <v>Máy móc, thiết bị - SX 627</v>
      </c>
      <c r="G368" s="132" t="str">
        <f>_xlfn.XLOOKUP($D368,MD_Account_Asset_Type[Nhóm tài sản],MD_Account_Asset_Type[Tên nhóm TS-Rút gọn])</f>
        <v>Máy móc thiết bị</v>
      </c>
      <c r="H368" s="132" t="str">
        <f>_xlfn.XLOOKUP($D368,MD_Account_Asset_Type[Nhóm tài sản],MD_Account_Asset_Type[Tên nhóm TS-Rút gọn-v2])</f>
        <v>Máy móc thiết bị</v>
      </c>
      <c r="I368" s="134" t="s">
        <v>1480</v>
      </c>
      <c r="J368" s="133" t="s">
        <v>1219</v>
      </c>
      <c r="K368" s="132" t="s">
        <v>830</v>
      </c>
      <c r="L368" s="133" t="s">
        <v>1365</v>
      </c>
      <c r="M368" s="133" t="s">
        <v>1366</v>
      </c>
      <c r="N368" s="135" t="s">
        <v>1364</v>
      </c>
      <c r="O368" s="135"/>
      <c r="P368" s="132" t="s">
        <v>462</v>
      </c>
      <c r="Q368" s="132" t="str">
        <f t="shared" si="16"/>
        <v>627</v>
      </c>
      <c r="R368" s="132" t="str">
        <f>_xlfn.XLOOKUP($L368,MD_Cost_Center[Mã Cost Center],MD_Cost_Center[Ngành])</f>
        <v>PET</v>
      </c>
      <c r="S368" s="132" t="str">
        <f>_xlfn.XLOOKUP($L368,MD_Cost_Center[Mã Cost Center],MD_Cost_Center[Ngành-Tách PET-Xơ sợi])</f>
        <v>Chung-PET</v>
      </c>
      <c r="T368" s="136">
        <v>45992</v>
      </c>
      <c r="U368" s="137">
        <v>50375</v>
      </c>
      <c r="V368" s="138">
        <v>144</v>
      </c>
      <c r="W368" s="138">
        <v>19466516621</v>
      </c>
      <c r="X368" s="138">
        <v>-136129486.86013985</v>
      </c>
      <c r="Y368" s="138">
        <v>19466516621</v>
      </c>
      <c r="Z368" s="138">
        <v>19466516621</v>
      </c>
      <c r="AA368" s="138">
        <v>19466516621</v>
      </c>
      <c r="AB368" s="138">
        <v>19466516621</v>
      </c>
      <c r="AC368" s="138">
        <v>19466516621</v>
      </c>
      <c r="AD368" s="138">
        <v>19466516621</v>
      </c>
      <c r="AE368" s="138">
        <v>19466516621</v>
      </c>
      <c r="AF368" s="138">
        <v>19466516621</v>
      </c>
      <c r="AG368" s="138">
        <v>19466516621</v>
      </c>
      <c r="AH368" s="138">
        <v>19466516621</v>
      </c>
      <c r="AI368" s="138">
        <v>19466516621</v>
      </c>
      <c r="AJ368" s="138">
        <v>19466516621</v>
      </c>
      <c r="AK368" s="138">
        <v>19466516621</v>
      </c>
      <c r="AL368" s="138">
        <v>-136129487</v>
      </c>
      <c r="AM368" s="138">
        <v>-136129486.86013985</v>
      </c>
      <c r="AN368" s="138">
        <v>-136129486.86013985</v>
      </c>
      <c r="AO368" s="138">
        <v>-136129486.86013985</v>
      </c>
      <c r="AP368" s="138">
        <v>-136129486.86013985</v>
      </c>
      <c r="AQ368" s="138">
        <v>-136129486.86013985</v>
      </c>
      <c r="AR368" s="138">
        <v>-136129486.86013985</v>
      </c>
      <c r="AS368" s="138">
        <v>-136129486.86013985</v>
      </c>
      <c r="AT368" s="138">
        <v>-136129486.86013985</v>
      </c>
      <c r="AU368" s="138">
        <v>-136129486.86013985</v>
      </c>
      <c r="AV368" s="138">
        <v>-136129486.86013985</v>
      </c>
      <c r="AW368" s="138">
        <v>-136129486.86013985</v>
      </c>
      <c r="AX368" s="138">
        <v>-136129486.86013985</v>
      </c>
      <c r="AY368" s="138">
        <v>-136129486.86013985</v>
      </c>
      <c r="AZ368" s="139">
        <f t="shared" si="18"/>
        <v>-1633553842.3216782</v>
      </c>
      <c r="BA368" s="138">
        <f>Y368+SUM($AM368:AM368)</f>
        <v>19330387134.139862</v>
      </c>
      <c r="BB368" s="138">
        <f>Z368+SUM($AM368:AN368)</f>
        <v>19194257647.27972</v>
      </c>
      <c r="BC368" s="138">
        <f>AA368+SUM($AM368:AO368)</f>
        <v>19058128160.419579</v>
      </c>
      <c r="BD368" s="138">
        <f>AB368+SUM($AM368:AP368)</f>
        <v>18921998673.559441</v>
      </c>
      <c r="BE368" s="138">
        <f>AC368+SUM($AM368:AQ368)</f>
        <v>18785869186.699303</v>
      </c>
      <c r="BF368" s="138">
        <f>AD368+SUM($AM368:AR368)</f>
        <v>18649739699.839161</v>
      </c>
      <c r="BG368" s="138">
        <f>AE368+SUM($AM368:AS368)</f>
        <v>18513610212.979019</v>
      </c>
      <c r="BH368" s="138">
        <f>AF368+SUM($AM368:AT368)</f>
        <v>18377480726.118881</v>
      </c>
      <c r="BI368" s="138">
        <f>AG368+SUM($AM368:AU368)</f>
        <v>18241351239.258743</v>
      </c>
      <c r="BJ368" s="138">
        <f>AH368+SUM($AM368:AV368)</f>
        <v>18105221752.398602</v>
      </c>
      <c r="BK368" s="138">
        <f>AI368+SUM($AM368:AW368)</f>
        <v>17969092265.53846</v>
      </c>
      <c r="BL368" s="138">
        <f>AJ368+SUM($AM368:AX368)</f>
        <v>17832962778.678322</v>
      </c>
      <c r="BM368" s="138">
        <f>AK368+SUM($AM368:AY368)</f>
        <v>17696833291.818184</v>
      </c>
      <c r="BO368" s="138"/>
    </row>
    <row r="369" spans="3:67" s="132" customFormat="1" hidden="1" x14ac:dyDescent="0.3">
      <c r="C369" s="132" t="s">
        <v>1474</v>
      </c>
      <c r="D369" s="133" t="s">
        <v>338</v>
      </c>
      <c r="E369" s="219" t="str">
        <f t="shared" si="17"/>
        <v>211</v>
      </c>
      <c r="F369" s="132" t="str">
        <f>_xlfn.XLOOKUP($D369,MD_Account_Asset_Type[Nhóm tài sản],MD_Account_Asset_Type[Tên Nhóm tài sản])</f>
        <v>Máy móc, thiết bị - SX 627</v>
      </c>
      <c r="G369" s="132" t="str">
        <f>_xlfn.XLOOKUP($D369,MD_Account_Asset_Type[Nhóm tài sản],MD_Account_Asset_Type[Tên nhóm TS-Rút gọn])</f>
        <v>Máy móc thiết bị</v>
      </c>
      <c r="H369" s="132" t="str">
        <f>_xlfn.XLOOKUP($D369,MD_Account_Asset_Type[Nhóm tài sản],MD_Account_Asset_Type[Tên nhóm TS-Rút gọn-v2])</f>
        <v>Máy móc thiết bị</v>
      </c>
      <c r="I369" s="134" t="s">
        <v>1516</v>
      </c>
      <c r="J369" s="133" t="s">
        <v>1509</v>
      </c>
      <c r="K369" s="132" t="s">
        <v>830</v>
      </c>
      <c r="L369" s="133" t="s">
        <v>51</v>
      </c>
      <c r="M369" s="133" t="s">
        <v>126</v>
      </c>
      <c r="N369" s="135" t="s">
        <v>244</v>
      </c>
      <c r="O369" s="135"/>
      <c r="P369" s="132" t="s">
        <v>462</v>
      </c>
      <c r="Q369" s="132" t="str">
        <f t="shared" si="16"/>
        <v>627</v>
      </c>
      <c r="R369" s="132" t="str">
        <f>_xlfn.XLOOKUP($L369,MD_Cost_Center[Mã Cost Center],MD_Cost_Center[Ngành])</f>
        <v>PET</v>
      </c>
      <c r="S369" s="132" t="str">
        <f>_xlfn.XLOOKUP($L369,MD_Cost_Center[Mã Cost Center],MD_Cost_Center[Ngành-Tách PET-Xơ sợi])</f>
        <v>Chung-PET</v>
      </c>
      <c r="T369" s="136">
        <v>45992</v>
      </c>
      <c r="U369" s="137">
        <v>50375</v>
      </c>
      <c r="V369" s="138">
        <v>144</v>
      </c>
      <c r="W369" s="138">
        <v>1750000000</v>
      </c>
      <c r="X369" s="138">
        <v>-12152778</v>
      </c>
      <c r="Y369" s="138">
        <v>1750000000</v>
      </c>
      <c r="Z369" s="138">
        <v>1750000000</v>
      </c>
      <c r="AA369" s="138">
        <v>1750000000</v>
      </c>
      <c r="AB369" s="138">
        <v>1750000000</v>
      </c>
      <c r="AC369" s="138">
        <v>1750000000</v>
      </c>
      <c r="AD369" s="138">
        <v>1750000000</v>
      </c>
      <c r="AE369" s="138">
        <v>1750000000</v>
      </c>
      <c r="AF369" s="138">
        <v>1750000000</v>
      </c>
      <c r="AG369" s="138">
        <v>1750000000</v>
      </c>
      <c r="AH369" s="138">
        <v>1750000000</v>
      </c>
      <c r="AI369" s="138">
        <v>1750000000</v>
      </c>
      <c r="AJ369" s="138">
        <v>1750000000</v>
      </c>
      <c r="AK369" s="138">
        <v>1750000000</v>
      </c>
      <c r="AL369" s="138">
        <v>-12152778</v>
      </c>
      <c r="AM369" s="138">
        <v>-12152778</v>
      </c>
      <c r="AN369" s="138">
        <v>-12152778</v>
      </c>
      <c r="AO369" s="138">
        <v>-12152778</v>
      </c>
      <c r="AP369" s="138">
        <v>-12152778</v>
      </c>
      <c r="AQ369" s="138">
        <v>-12152778</v>
      </c>
      <c r="AR369" s="138">
        <v>-12152778</v>
      </c>
      <c r="AS369" s="138">
        <v>-12152778</v>
      </c>
      <c r="AT369" s="138">
        <v>-12152778</v>
      </c>
      <c r="AU369" s="138">
        <v>-12152778</v>
      </c>
      <c r="AV369" s="138">
        <v>-12152778</v>
      </c>
      <c r="AW369" s="138">
        <v>-12152778</v>
      </c>
      <c r="AX369" s="138">
        <v>-12152778</v>
      </c>
      <c r="AY369" s="138">
        <v>-12152778</v>
      </c>
      <c r="AZ369" s="139">
        <f t="shared" si="18"/>
        <v>-145833336</v>
      </c>
      <c r="BA369" s="138">
        <f>Y369+SUM($AM369:AM369)</f>
        <v>1737847222</v>
      </c>
      <c r="BB369" s="138">
        <f>Z369+SUM($AM369:AN369)</f>
        <v>1725694444</v>
      </c>
      <c r="BC369" s="138">
        <f>AA369+SUM($AM369:AO369)</f>
        <v>1713541666</v>
      </c>
      <c r="BD369" s="138">
        <f>AB369+SUM($AM369:AP369)</f>
        <v>1701388888</v>
      </c>
      <c r="BE369" s="138">
        <f>AC369+SUM($AM369:AQ369)</f>
        <v>1689236110</v>
      </c>
      <c r="BF369" s="138">
        <f>AD369+SUM($AM369:AR369)</f>
        <v>1677083332</v>
      </c>
      <c r="BG369" s="138">
        <f>AE369+SUM($AM369:AS369)</f>
        <v>1664930554</v>
      </c>
      <c r="BH369" s="138">
        <f>AF369+SUM($AM369:AT369)</f>
        <v>1652777776</v>
      </c>
      <c r="BI369" s="138">
        <f>AG369+SUM($AM369:AU369)</f>
        <v>1640624998</v>
      </c>
      <c r="BJ369" s="138">
        <f>AH369+SUM($AM369:AV369)</f>
        <v>1628472220</v>
      </c>
      <c r="BK369" s="138">
        <f>AI369+SUM($AM369:AW369)</f>
        <v>1616319442</v>
      </c>
      <c r="BL369" s="138">
        <f>AJ369+SUM($AM369:AX369)</f>
        <v>1604166664</v>
      </c>
      <c r="BM369" s="138">
        <f>AK369+SUM($AM369:AY369)</f>
        <v>1592013886</v>
      </c>
      <c r="BO369" s="138"/>
    </row>
    <row r="370" spans="3:67" s="132" customFormat="1" hidden="1" x14ac:dyDescent="0.3">
      <c r="C370" s="132" t="s">
        <v>1474</v>
      </c>
      <c r="D370" s="133" t="s">
        <v>338</v>
      </c>
      <c r="E370" s="219" t="str">
        <f t="shared" si="17"/>
        <v>211</v>
      </c>
      <c r="F370" s="132" t="str">
        <f>_xlfn.XLOOKUP($D370,MD_Account_Asset_Type[Nhóm tài sản],MD_Account_Asset_Type[Tên Nhóm tài sản])</f>
        <v>Máy móc, thiết bị - SX 627</v>
      </c>
      <c r="G370" s="132" t="str">
        <f>_xlfn.XLOOKUP($D370,MD_Account_Asset_Type[Nhóm tài sản],MD_Account_Asset_Type[Tên nhóm TS-Rút gọn])</f>
        <v>Máy móc thiết bị</v>
      </c>
      <c r="H370" s="132" t="str">
        <f>_xlfn.XLOOKUP($D370,MD_Account_Asset_Type[Nhóm tài sản],MD_Account_Asset_Type[Tên nhóm TS-Rút gọn-v2])</f>
        <v>Máy móc thiết bị</v>
      </c>
      <c r="I370" s="134" t="s">
        <v>1517</v>
      </c>
      <c r="J370" s="133" t="s">
        <v>1510</v>
      </c>
      <c r="K370" s="132" t="s">
        <v>830</v>
      </c>
      <c r="L370" s="133" t="s">
        <v>64</v>
      </c>
      <c r="M370" s="133" t="s">
        <v>139</v>
      </c>
      <c r="N370" s="135" t="s">
        <v>257</v>
      </c>
      <c r="O370" s="135"/>
      <c r="P370" s="132" t="s">
        <v>462</v>
      </c>
      <c r="Q370" s="132" t="str">
        <f t="shared" si="16"/>
        <v>627</v>
      </c>
      <c r="R370" s="132" t="str">
        <f>_xlfn.XLOOKUP($L370,MD_Cost_Center[Mã Cost Center],MD_Cost_Center[Ngành])</f>
        <v>PET</v>
      </c>
      <c r="S370" s="132" t="str">
        <f>_xlfn.XLOOKUP($L370,MD_Cost_Center[Mã Cost Center],MD_Cost_Center[Ngành-Tách PET-Xơ sợi])</f>
        <v>Chung-PET</v>
      </c>
      <c r="T370" s="136">
        <v>45992</v>
      </c>
      <c r="U370" s="137">
        <v>50375</v>
      </c>
      <c r="V370" s="138">
        <v>144</v>
      </c>
      <c r="W370" s="138">
        <v>1750000000</v>
      </c>
      <c r="X370" s="138">
        <v>-12152778</v>
      </c>
      <c r="Y370" s="138">
        <v>1750000000</v>
      </c>
      <c r="Z370" s="138">
        <v>1750000000</v>
      </c>
      <c r="AA370" s="138">
        <v>1750000000</v>
      </c>
      <c r="AB370" s="138">
        <v>1750000000</v>
      </c>
      <c r="AC370" s="138">
        <v>1750000000</v>
      </c>
      <c r="AD370" s="138">
        <v>1750000000</v>
      </c>
      <c r="AE370" s="138">
        <v>1750000000</v>
      </c>
      <c r="AF370" s="138">
        <v>1750000000</v>
      </c>
      <c r="AG370" s="138">
        <v>1750000000</v>
      </c>
      <c r="AH370" s="138">
        <v>1750000000</v>
      </c>
      <c r="AI370" s="138">
        <v>1750000000</v>
      </c>
      <c r="AJ370" s="138">
        <v>1750000000</v>
      </c>
      <c r="AK370" s="138">
        <v>1750000000</v>
      </c>
      <c r="AL370" s="138">
        <v>-12152778</v>
      </c>
      <c r="AM370" s="138">
        <v>-12152778</v>
      </c>
      <c r="AN370" s="138">
        <v>-12152778</v>
      </c>
      <c r="AO370" s="138">
        <v>-12152778</v>
      </c>
      <c r="AP370" s="138">
        <v>-12152778</v>
      </c>
      <c r="AQ370" s="138">
        <v>-12152778</v>
      </c>
      <c r="AR370" s="138">
        <v>-12152778</v>
      </c>
      <c r="AS370" s="138">
        <v>-12152778</v>
      </c>
      <c r="AT370" s="138">
        <v>-12152778</v>
      </c>
      <c r="AU370" s="138">
        <v>-12152778</v>
      </c>
      <c r="AV370" s="138">
        <v>-12152778</v>
      </c>
      <c r="AW370" s="138">
        <v>-12152778</v>
      </c>
      <c r="AX370" s="138">
        <v>-12152778</v>
      </c>
      <c r="AY370" s="138">
        <v>-12152778</v>
      </c>
      <c r="AZ370" s="139">
        <f t="shared" si="18"/>
        <v>-145833336</v>
      </c>
      <c r="BA370" s="138">
        <f>Y370+SUM($AM370:AM370)</f>
        <v>1737847222</v>
      </c>
      <c r="BB370" s="138">
        <f>Z370+SUM($AM370:AN370)</f>
        <v>1725694444</v>
      </c>
      <c r="BC370" s="138">
        <f>AA370+SUM($AM370:AO370)</f>
        <v>1713541666</v>
      </c>
      <c r="BD370" s="138">
        <f>AB370+SUM($AM370:AP370)</f>
        <v>1701388888</v>
      </c>
      <c r="BE370" s="138">
        <f>AC370+SUM($AM370:AQ370)</f>
        <v>1689236110</v>
      </c>
      <c r="BF370" s="138">
        <f>AD370+SUM($AM370:AR370)</f>
        <v>1677083332</v>
      </c>
      <c r="BG370" s="138">
        <f>AE370+SUM($AM370:AS370)</f>
        <v>1664930554</v>
      </c>
      <c r="BH370" s="138">
        <f>AF370+SUM($AM370:AT370)</f>
        <v>1652777776</v>
      </c>
      <c r="BI370" s="138">
        <f>AG370+SUM($AM370:AU370)</f>
        <v>1640624998</v>
      </c>
      <c r="BJ370" s="138">
        <f>AH370+SUM($AM370:AV370)</f>
        <v>1628472220</v>
      </c>
      <c r="BK370" s="138">
        <f>AI370+SUM($AM370:AW370)</f>
        <v>1616319442</v>
      </c>
      <c r="BL370" s="138">
        <f>AJ370+SUM($AM370:AX370)</f>
        <v>1604166664</v>
      </c>
      <c r="BM370" s="138">
        <f>AK370+SUM($AM370:AY370)</f>
        <v>1592013886</v>
      </c>
      <c r="BO370" s="138"/>
    </row>
    <row r="371" spans="3:67" s="132" customFormat="1" hidden="1" x14ac:dyDescent="0.3">
      <c r="C371" s="132" t="s">
        <v>1474</v>
      </c>
      <c r="D371" s="133" t="s">
        <v>338</v>
      </c>
      <c r="E371" s="219" t="str">
        <f t="shared" si="17"/>
        <v>211</v>
      </c>
      <c r="F371" s="132" t="str">
        <f>_xlfn.XLOOKUP($D371,MD_Account_Asset_Type[Nhóm tài sản],MD_Account_Asset_Type[Tên Nhóm tài sản])</f>
        <v>Máy móc, thiết bị - SX 627</v>
      </c>
      <c r="G371" s="132" t="str">
        <f>_xlfn.XLOOKUP($D371,MD_Account_Asset_Type[Nhóm tài sản],MD_Account_Asset_Type[Tên nhóm TS-Rút gọn])</f>
        <v>Máy móc thiết bị</v>
      </c>
      <c r="H371" s="132" t="str">
        <f>_xlfn.XLOOKUP($D371,MD_Account_Asset_Type[Nhóm tài sản],MD_Account_Asset_Type[Tên nhóm TS-Rút gọn-v2])</f>
        <v>Máy móc thiết bị</v>
      </c>
      <c r="I371" s="134" t="s">
        <v>1518</v>
      </c>
      <c r="J371" s="133" t="s">
        <v>1511</v>
      </c>
      <c r="K371" s="132" t="s">
        <v>830</v>
      </c>
      <c r="L371" s="133" t="s">
        <v>71</v>
      </c>
      <c r="M371" s="133" t="s">
        <v>146</v>
      </c>
      <c r="N371" s="135" t="s">
        <v>264</v>
      </c>
      <c r="O371" s="135"/>
      <c r="P371" s="132" t="s">
        <v>462</v>
      </c>
      <c r="Q371" s="132" t="str">
        <f t="shared" si="16"/>
        <v>627</v>
      </c>
      <c r="R371" s="132" t="str">
        <f>_xlfn.XLOOKUP($L371,MD_Cost_Center[Mã Cost Center],MD_Cost_Center[Ngành])</f>
        <v>PET</v>
      </c>
      <c r="S371" s="132" t="str">
        <f>_xlfn.XLOOKUP($L371,MD_Cost_Center[Mã Cost Center],MD_Cost_Center[Ngành-Tách PET-Xơ sợi])</f>
        <v>Chung-PET</v>
      </c>
      <c r="T371" s="136">
        <v>45992</v>
      </c>
      <c r="U371" s="137">
        <v>50375</v>
      </c>
      <c r="V371" s="138">
        <v>144</v>
      </c>
      <c r="W371" s="138">
        <v>1750000000</v>
      </c>
      <c r="X371" s="138">
        <v>-12152778</v>
      </c>
      <c r="Y371" s="138">
        <v>1750000000</v>
      </c>
      <c r="Z371" s="138">
        <v>1750000000</v>
      </c>
      <c r="AA371" s="138">
        <v>1750000000</v>
      </c>
      <c r="AB371" s="138">
        <v>1750000000</v>
      </c>
      <c r="AC371" s="138">
        <v>1750000000</v>
      </c>
      <c r="AD371" s="138">
        <v>1750000000</v>
      </c>
      <c r="AE371" s="138">
        <v>1750000000</v>
      </c>
      <c r="AF371" s="138">
        <v>1750000000</v>
      </c>
      <c r="AG371" s="138">
        <v>1750000000</v>
      </c>
      <c r="AH371" s="138">
        <v>1750000000</v>
      </c>
      <c r="AI371" s="138">
        <v>1750000000</v>
      </c>
      <c r="AJ371" s="138">
        <v>1750000000</v>
      </c>
      <c r="AK371" s="138">
        <v>1750000000</v>
      </c>
      <c r="AL371" s="138">
        <v>-12152778</v>
      </c>
      <c r="AM371" s="138">
        <v>-12152778</v>
      </c>
      <c r="AN371" s="138">
        <v>-12152778</v>
      </c>
      <c r="AO371" s="138">
        <v>-12152778</v>
      </c>
      <c r="AP371" s="138">
        <v>-12152778</v>
      </c>
      <c r="AQ371" s="138">
        <v>-12152778</v>
      </c>
      <c r="AR371" s="138">
        <v>-12152778</v>
      </c>
      <c r="AS371" s="138">
        <v>-12152778</v>
      </c>
      <c r="AT371" s="138">
        <v>-12152778</v>
      </c>
      <c r="AU371" s="138">
        <v>-12152778</v>
      </c>
      <c r="AV371" s="138">
        <v>-12152778</v>
      </c>
      <c r="AW371" s="138">
        <v>-12152778</v>
      </c>
      <c r="AX371" s="138">
        <v>-12152778</v>
      </c>
      <c r="AY371" s="138">
        <v>-12152778</v>
      </c>
      <c r="AZ371" s="139">
        <f t="shared" si="18"/>
        <v>-145833336</v>
      </c>
      <c r="BA371" s="138">
        <f>Y371+SUM($AM371:AM371)</f>
        <v>1737847222</v>
      </c>
      <c r="BB371" s="138">
        <f>Z371+SUM($AM371:AN371)</f>
        <v>1725694444</v>
      </c>
      <c r="BC371" s="138">
        <f>AA371+SUM($AM371:AO371)</f>
        <v>1713541666</v>
      </c>
      <c r="BD371" s="138">
        <f>AB371+SUM($AM371:AP371)</f>
        <v>1701388888</v>
      </c>
      <c r="BE371" s="138">
        <f>AC371+SUM($AM371:AQ371)</f>
        <v>1689236110</v>
      </c>
      <c r="BF371" s="138">
        <f>AD371+SUM($AM371:AR371)</f>
        <v>1677083332</v>
      </c>
      <c r="BG371" s="138">
        <f>AE371+SUM($AM371:AS371)</f>
        <v>1664930554</v>
      </c>
      <c r="BH371" s="138">
        <f>AF371+SUM($AM371:AT371)</f>
        <v>1652777776</v>
      </c>
      <c r="BI371" s="138">
        <f>AG371+SUM($AM371:AU371)</f>
        <v>1640624998</v>
      </c>
      <c r="BJ371" s="138">
        <f>AH371+SUM($AM371:AV371)</f>
        <v>1628472220</v>
      </c>
      <c r="BK371" s="138">
        <f>AI371+SUM($AM371:AW371)</f>
        <v>1616319442</v>
      </c>
      <c r="BL371" s="138">
        <f>AJ371+SUM($AM371:AX371)</f>
        <v>1604166664</v>
      </c>
      <c r="BM371" s="138">
        <f>AK371+SUM($AM371:AY371)</f>
        <v>1592013886</v>
      </c>
      <c r="BO371" s="138"/>
    </row>
    <row r="372" spans="3:67" s="132" customFormat="1" hidden="1" x14ac:dyDescent="0.3">
      <c r="C372" s="132" t="s">
        <v>1474</v>
      </c>
      <c r="D372" s="133" t="s">
        <v>338</v>
      </c>
      <c r="E372" s="219" t="str">
        <f t="shared" si="17"/>
        <v>211</v>
      </c>
      <c r="F372" s="132" t="str">
        <f>_xlfn.XLOOKUP($D372,MD_Account_Asset_Type[Nhóm tài sản],MD_Account_Asset_Type[Tên Nhóm tài sản])</f>
        <v>Máy móc, thiết bị - SX 627</v>
      </c>
      <c r="G372" s="132" t="str">
        <f>_xlfn.XLOOKUP($D372,MD_Account_Asset_Type[Nhóm tài sản],MD_Account_Asset_Type[Tên nhóm TS-Rút gọn])</f>
        <v>Máy móc thiết bị</v>
      </c>
      <c r="H372" s="132" t="str">
        <f>_xlfn.XLOOKUP($D372,MD_Account_Asset_Type[Nhóm tài sản],MD_Account_Asset_Type[Tên nhóm TS-Rút gọn-v2])</f>
        <v>Máy móc thiết bị</v>
      </c>
      <c r="I372" s="134" t="s">
        <v>1519</v>
      </c>
      <c r="J372" s="133" t="s">
        <v>1512</v>
      </c>
      <c r="K372" s="132" t="s">
        <v>830</v>
      </c>
      <c r="L372" s="133" t="s">
        <v>51</v>
      </c>
      <c r="M372" s="133" t="s">
        <v>126</v>
      </c>
      <c r="N372" s="135" t="s">
        <v>244</v>
      </c>
      <c r="O372" s="135"/>
      <c r="P372" s="132" t="s">
        <v>462</v>
      </c>
      <c r="Q372" s="132" t="str">
        <f t="shared" si="16"/>
        <v>627</v>
      </c>
      <c r="R372" s="132" t="str">
        <f>_xlfn.XLOOKUP($L372,MD_Cost_Center[Mã Cost Center],MD_Cost_Center[Ngành])</f>
        <v>PET</v>
      </c>
      <c r="S372" s="132" t="str">
        <f>_xlfn.XLOOKUP($L372,MD_Cost_Center[Mã Cost Center],MD_Cost_Center[Ngành-Tách PET-Xơ sợi])</f>
        <v>Chung-PET</v>
      </c>
      <c r="T372" s="136">
        <v>45992</v>
      </c>
      <c r="U372" s="137">
        <v>50375</v>
      </c>
      <c r="V372" s="138">
        <v>144</v>
      </c>
      <c r="W372" s="138">
        <v>373575000</v>
      </c>
      <c r="X372" s="138">
        <v>-2594271</v>
      </c>
      <c r="Y372" s="138">
        <v>373575000</v>
      </c>
      <c r="Z372" s="138">
        <v>373575000</v>
      </c>
      <c r="AA372" s="138">
        <v>373575000</v>
      </c>
      <c r="AB372" s="138">
        <v>373575000</v>
      </c>
      <c r="AC372" s="138">
        <v>373575000</v>
      </c>
      <c r="AD372" s="138">
        <v>373575000</v>
      </c>
      <c r="AE372" s="138">
        <v>373575000</v>
      </c>
      <c r="AF372" s="138">
        <v>373575000</v>
      </c>
      <c r="AG372" s="138">
        <v>373575000</v>
      </c>
      <c r="AH372" s="138">
        <v>373575000</v>
      </c>
      <c r="AI372" s="138">
        <v>373575000</v>
      </c>
      <c r="AJ372" s="138">
        <v>373575000</v>
      </c>
      <c r="AK372" s="138">
        <v>373575000</v>
      </c>
      <c r="AL372" s="138">
        <v>-2594271</v>
      </c>
      <c r="AM372" s="138">
        <v>-2594271</v>
      </c>
      <c r="AN372" s="138">
        <v>-2594271</v>
      </c>
      <c r="AO372" s="138">
        <v>-2594271</v>
      </c>
      <c r="AP372" s="138">
        <v>-2594271</v>
      </c>
      <c r="AQ372" s="138">
        <v>-2594271</v>
      </c>
      <c r="AR372" s="138">
        <v>-2594271</v>
      </c>
      <c r="AS372" s="138">
        <v>-2594271</v>
      </c>
      <c r="AT372" s="138">
        <v>-2594271</v>
      </c>
      <c r="AU372" s="138">
        <v>-2594271</v>
      </c>
      <c r="AV372" s="138">
        <v>-2594271</v>
      </c>
      <c r="AW372" s="138">
        <v>-2594271</v>
      </c>
      <c r="AX372" s="138">
        <v>-2594271</v>
      </c>
      <c r="AY372" s="138">
        <v>-2594271</v>
      </c>
      <c r="AZ372" s="139">
        <f t="shared" si="18"/>
        <v>-31131252</v>
      </c>
      <c r="BA372" s="138">
        <f>Y372+SUM($AM372:AM372)</f>
        <v>370980729</v>
      </c>
      <c r="BB372" s="138">
        <f>Z372+SUM($AM372:AN372)</f>
        <v>368386458</v>
      </c>
      <c r="BC372" s="138">
        <f>AA372+SUM($AM372:AO372)</f>
        <v>365792187</v>
      </c>
      <c r="BD372" s="138">
        <f>AB372+SUM($AM372:AP372)</f>
        <v>363197916</v>
      </c>
      <c r="BE372" s="138">
        <f>AC372+SUM($AM372:AQ372)</f>
        <v>360603645</v>
      </c>
      <c r="BF372" s="138">
        <f>AD372+SUM($AM372:AR372)</f>
        <v>358009374</v>
      </c>
      <c r="BG372" s="138">
        <f>AE372+SUM($AM372:AS372)</f>
        <v>355415103</v>
      </c>
      <c r="BH372" s="138">
        <f>AF372+SUM($AM372:AT372)</f>
        <v>352820832</v>
      </c>
      <c r="BI372" s="138">
        <f>AG372+SUM($AM372:AU372)</f>
        <v>350226561</v>
      </c>
      <c r="BJ372" s="138">
        <f>AH372+SUM($AM372:AV372)</f>
        <v>347632290</v>
      </c>
      <c r="BK372" s="138">
        <f>AI372+SUM($AM372:AW372)</f>
        <v>345038019</v>
      </c>
      <c r="BL372" s="138">
        <f>AJ372+SUM($AM372:AX372)</f>
        <v>342443748</v>
      </c>
      <c r="BM372" s="138">
        <f>AK372+SUM($AM372:AY372)</f>
        <v>339849477</v>
      </c>
      <c r="BO372" s="138"/>
    </row>
    <row r="373" spans="3:67" s="132" customFormat="1" hidden="1" x14ac:dyDescent="0.3">
      <c r="C373" s="132" t="s">
        <v>1474</v>
      </c>
      <c r="D373" s="133" t="s">
        <v>338</v>
      </c>
      <c r="E373" s="219" t="str">
        <f t="shared" si="17"/>
        <v>211</v>
      </c>
      <c r="F373" s="132" t="str">
        <f>_xlfn.XLOOKUP($D373,MD_Account_Asset_Type[Nhóm tài sản],MD_Account_Asset_Type[Tên Nhóm tài sản])</f>
        <v>Máy móc, thiết bị - SX 627</v>
      </c>
      <c r="G373" s="132" t="str">
        <f>_xlfn.XLOOKUP($D373,MD_Account_Asset_Type[Nhóm tài sản],MD_Account_Asset_Type[Tên nhóm TS-Rút gọn])</f>
        <v>Máy móc thiết bị</v>
      </c>
      <c r="H373" s="132" t="str">
        <f>_xlfn.XLOOKUP($D373,MD_Account_Asset_Type[Nhóm tài sản],MD_Account_Asset_Type[Tên nhóm TS-Rút gọn-v2])</f>
        <v>Máy móc thiết bị</v>
      </c>
      <c r="I373" s="134" t="s">
        <v>1520</v>
      </c>
      <c r="J373" s="133" t="s">
        <v>1513</v>
      </c>
      <c r="K373" s="132" t="s">
        <v>830</v>
      </c>
      <c r="L373" s="133" t="s">
        <v>64</v>
      </c>
      <c r="M373" s="133" t="s">
        <v>139</v>
      </c>
      <c r="N373" s="135" t="s">
        <v>257</v>
      </c>
      <c r="O373" s="135"/>
      <c r="P373" s="132" t="s">
        <v>462</v>
      </c>
      <c r="Q373" s="132" t="str">
        <f t="shared" si="16"/>
        <v>627</v>
      </c>
      <c r="R373" s="132" t="str">
        <f>_xlfn.XLOOKUP($L373,MD_Cost_Center[Mã Cost Center],MD_Cost_Center[Ngành])</f>
        <v>PET</v>
      </c>
      <c r="S373" s="132" t="str">
        <f>_xlfn.XLOOKUP($L373,MD_Cost_Center[Mã Cost Center],MD_Cost_Center[Ngành-Tách PET-Xơ sợi])</f>
        <v>Chung-PET</v>
      </c>
      <c r="T373" s="136">
        <v>45992</v>
      </c>
      <c r="U373" s="137">
        <v>50375</v>
      </c>
      <c r="V373" s="138">
        <v>144</v>
      </c>
      <c r="W373" s="138">
        <v>373575000</v>
      </c>
      <c r="X373" s="138">
        <v>-2594271</v>
      </c>
      <c r="Y373" s="138">
        <v>373575000</v>
      </c>
      <c r="Z373" s="138">
        <v>373575000</v>
      </c>
      <c r="AA373" s="138">
        <v>373575000</v>
      </c>
      <c r="AB373" s="138">
        <v>373575000</v>
      </c>
      <c r="AC373" s="138">
        <v>373575000</v>
      </c>
      <c r="AD373" s="138">
        <v>373575000</v>
      </c>
      <c r="AE373" s="138">
        <v>373575000</v>
      </c>
      <c r="AF373" s="138">
        <v>373575000</v>
      </c>
      <c r="AG373" s="138">
        <v>373575000</v>
      </c>
      <c r="AH373" s="138">
        <v>373575000</v>
      </c>
      <c r="AI373" s="138">
        <v>373575000</v>
      </c>
      <c r="AJ373" s="138">
        <v>373575000</v>
      </c>
      <c r="AK373" s="138">
        <v>373575000</v>
      </c>
      <c r="AL373" s="138">
        <v>-2594271</v>
      </c>
      <c r="AM373" s="138">
        <v>-2594271</v>
      </c>
      <c r="AN373" s="138">
        <v>-2594271</v>
      </c>
      <c r="AO373" s="138">
        <v>-2594271</v>
      </c>
      <c r="AP373" s="138">
        <v>-2594271</v>
      </c>
      <c r="AQ373" s="138">
        <v>-2594271</v>
      </c>
      <c r="AR373" s="138">
        <v>-2594271</v>
      </c>
      <c r="AS373" s="138">
        <v>-2594271</v>
      </c>
      <c r="AT373" s="138">
        <v>-2594271</v>
      </c>
      <c r="AU373" s="138">
        <v>-2594271</v>
      </c>
      <c r="AV373" s="138">
        <v>-2594271</v>
      </c>
      <c r="AW373" s="138">
        <v>-2594271</v>
      </c>
      <c r="AX373" s="138">
        <v>-2594271</v>
      </c>
      <c r="AY373" s="138">
        <v>-2594271</v>
      </c>
      <c r="AZ373" s="139">
        <f t="shared" si="18"/>
        <v>-31131252</v>
      </c>
      <c r="BA373" s="138">
        <f>Y373+SUM($AM373:AM373)</f>
        <v>370980729</v>
      </c>
      <c r="BB373" s="138">
        <f>Z373+SUM($AM373:AN373)</f>
        <v>368386458</v>
      </c>
      <c r="BC373" s="138">
        <f>AA373+SUM($AM373:AO373)</f>
        <v>365792187</v>
      </c>
      <c r="BD373" s="138">
        <f>AB373+SUM($AM373:AP373)</f>
        <v>363197916</v>
      </c>
      <c r="BE373" s="138">
        <f>AC373+SUM($AM373:AQ373)</f>
        <v>360603645</v>
      </c>
      <c r="BF373" s="138">
        <f>AD373+SUM($AM373:AR373)</f>
        <v>358009374</v>
      </c>
      <c r="BG373" s="138">
        <f>AE373+SUM($AM373:AS373)</f>
        <v>355415103</v>
      </c>
      <c r="BH373" s="138">
        <f>AF373+SUM($AM373:AT373)</f>
        <v>352820832</v>
      </c>
      <c r="BI373" s="138">
        <f>AG373+SUM($AM373:AU373)</f>
        <v>350226561</v>
      </c>
      <c r="BJ373" s="138">
        <f>AH373+SUM($AM373:AV373)</f>
        <v>347632290</v>
      </c>
      <c r="BK373" s="138">
        <f>AI373+SUM($AM373:AW373)</f>
        <v>345038019</v>
      </c>
      <c r="BL373" s="138">
        <f>AJ373+SUM($AM373:AX373)</f>
        <v>342443748</v>
      </c>
      <c r="BM373" s="138">
        <f>AK373+SUM($AM373:AY373)</f>
        <v>339849477</v>
      </c>
      <c r="BO373" s="138"/>
    </row>
    <row r="374" spans="3:67" s="132" customFormat="1" hidden="1" x14ac:dyDescent="0.3">
      <c r="C374" s="132" t="s">
        <v>1474</v>
      </c>
      <c r="D374" s="133" t="s">
        <v>338</v>
      </c>
      <c r="E374" s="219" t="str">
        <f t="shared" si="17"/>
        <v>211</v>
      </c>
      <c r="F374" s="132" t="str">
        <f>_xlfn.XLOOKUP($D374,MD_Account_Asset_Type[Nhóm tài sản],MD_Account_Asset_Type[Tên Nhóm tài sản])</f>
        <v>Máy móc, thiết bị - SX 627</v>
      </c>
      <c r="G374" s="132" t="str">
        <f>_xlfn.XLOOKUP($D374,MD_Account_Asset_Type[Nhóm tài sản],MD_Account_Asset_Type[Tên nhóm TS-Rút gọn])</f>
        <v>Máy móc thiết bị</v>
      </c>
      <c r="H374" s="132" t="str">
        <f>_xlfn.XLOOKUP($D374,MD_Account_Asset_Type[Nhóm tài sản],MD_Account_Asset_Type[Tên nhóm TS-Rút gọn-v2])</f>
        <v>Máy móc thiết bị</v>
      </c>
      <c r="I374" s="134" t="s">
        <v>1521</v>
      </c>
      <c r="J374" s="133" t="s">
        <v>1514</v>
      </c>
      <c r="K374" s="132" t="s">
        <v>830</v>
      </c>
      <c r="L374" s="133" t="s">
        <v>100</v>
      </c>
      <c r="M374" s="133" t="s">
        <v>175</v>
      </c>
      <c r="N374" s="135" t="s">
        <v>286</v>
      </c>
      <c r="O374" s="135"/>
      <c r="P374" s="132" t="s">
        <v>462</v>
      </c>
      <c r="Q374" s="132" t="str">
        <f t="shared" si="16"/>
        <v>627</v>
      </c>
      <c r="R374" s="132" t="str">
        <f>_xlfn.XLOOKUP($L374,MD_Cost_Center[Mã Cost Center],MD_Cost_Center[Ngành])</f>
        <v>PET</v>
      </c>
      <c r="S374" s="132" t="str">
        <f>_xlfn.XLOOKUP($L374,MD_Cost_Center[Mã Cost Center],MD_Cost_Center[Ngành-Tách PET-Xơ sợi])</f>
        <v>Chung-PET</v>
      </c>
      <c r="T374" s="136">
        <v>45992</v>
      </c>
      <c r="U374" s="137">
        <v>50375</v>
      </c>
      <c r="V374" s="138">
        <v>144</v>
      </c>
      <c r="W374" s="138">
        <v>373575000</v>
      </c>
      <c r="X374" s="138">
        <v>-2594271</v>
      </c>
      <c r="Y374" s="138">
        <v>373575000</v>
      </c>
      <c r="Z374" s="138">
        <v>373575000</v>
      </c>
      <c r="AA374" s="138">
        <v>373575000</v>
      </c>
      <c r="AB374" s="138">
        <v>373575000</v>
      </c>
      <c r="AC374" s="138">
        <v>373575000</v>
      </c>
      <c r="AD374" s="138">
        <v>373575000</v>
      </c>
      <c r="AE374" s="138">
        <v>373575000</v>
      </c>
      <c r="AF374" s="138">
        <v>373575000</v>
      </c>
      <c r="AG374" s="138">
        <v>373575000</v>
      </c>
      <c r="AH374" s="138">
        <v>373575000</v>
      </c>
      <c r="AI374" s="138">
        <v>373575000</v>
      </c>
      <c r="AJ374" s="138">
        <v>373575000</v>
      </c>
      <c r="AK374" s="138">
        <v>373575000</v>
      </c>
      <c r="AL374" s="138">
        <v>-2594271</v>
      </c>
      <c r="AM374" s="138">
        <v>-2594271</v>
      </c>
      <c r="AN374" s="138">
        <v>-2594271</v>
      </c>
      <c r="AO374" s="138">
        <v>-2594271</v>
      </c>
      <c r="AP374" s="138">
        <v>-2594271</v>
      </c>
      <c r="AQ374" s="138">
        <v>-2594271</v>
      </c>
      <c r="AR374" s="138">
        <v>-2594271</v>
      </c>
      <c r="AS374" s="138">
        <v>-2594271</v>
      </c>
      <c r="AT374" s="138">
        <v>-2594271</v>
      </c>
      <c r="AU374" s="138">
        <v>-2594271</v>
      </c>
      <c r="AV374" s="138">
        <v>-2594271</v>
      </c>
      <c r="AW374" s="138">
        <v>-2594271</v>
      </c>
      <c r="AX374" s="138">
        <v>-2594271</v>
      </c>
      <c r="AY374" s="138">
        <v>-2594271</v>
      </c>
      <c r="AZ374" s="139">
        <f t="shared" si="18"/>
        <v>-31131252</v>
      </c>
      <c r="BA374" s="138">
        <f>Y374+SUM($AM374:AM374)</f>
        <v>370980729</v>
      </c>
      <c r="BB374" s="138">
        <f>Z374+SUM($AM374:AN374)</f>
        <v>368386458</v>
      </c>
      <c r="BC374" s="138">
        <f>AA374+SUM($AM374:AO374)</f>
        <v>365792187</v>
      </c>
      <c r="BD374" s="138">
        <f>AB374+SUM($AM374:AP374)</f>
        <v>363197916</v>
      </c>
      <c r="BE374" s="138">
        <f>AC374+SUM($AM374:AQ374)</f>
        <v>360603645</v>
      </c>
      <c r="BF374" s="138">
        <f>AD374+SUM($AM374:AR374)</f>
        <v>358009374</v>
      </c>
      <c r="BG374" s="138">
        <f>AE374+SUM($AM374:AS374)</f>
        <v>355415103</v>
      </c>
      <c r="BH374" s="138">
        <f>AF374+SUM($AM374:AT374)</f>
        <v>352820832</v>
      </c>
      <c r="BI374" s="138">
        <f>AG374+SUM($AM374:AU374)</f>
        <v>350226561</v>
      </c>
      <c r="BJ374" s="138">
        <f>AH374+SUM($AM374:AV374)</f>
        <v>347632290</v>
      </c>
      <c r="BK374" s="138">
        <f>AI374+SUM($AM374:AW374)</f>
        <v>345038019</v>
      </c>
      <c r="BL374" s="138">
        <f>AJ374+SUM($AM374:AX374)</f>
        <v>342443748</v>
      </c>
      <c r="BM374" s="138">
        <f>AK374+SUM($AM374:AY374)</f>
        <v>339849477</v>
      </c>
      <c r="BO374" s="138"/>
    </row>
    <row r="375" spans="3:67" s="132" customFormat="1" hidden="1" x14ac:dyDescent="0.3">
      <c r="C375" s="132" t="s">
        <v>1474</v>
      </c>
      <c r="D375" s="133" t="s">
        <v>337</v>
      </c>
      <c r="E375" s="219" t="str">
        <f t="shared" si="17"/>
        <v>211</v>
      </c>
      <c r="F375" s="132" t="str">
        <f>_xlfn.XLOOKUP($D375,MD_Account_Asset_Type[Nhóm tài sản],MD_Account_Asset_Type[Tên Nhóm tài sản])</f>
        <v>Máy móc, thiết bị phụ - SX 627</v>
      </c>
      <c r="G375" s="132" t="str">
        <f>_xlfn.XLOOKUP($D375,MD_Account_Asset_Type[Nhóm tài sản],MD_Account_Asset_Type[Tên nhóm TS-Rút gọn])</f>
        <v>Máy móc thiết bị</v>
      </c>
      <c r="H375" s="132" t="str">
        <f>_xlfn.XLOOKUP($D375,MD_Account_Asset_Type[Nhóm tài sản],MD_Account_Asset_Type[Tên nhóm TS-Rút gọn-v2])</f>
        <v>Máy móc thiết bị</v>
      </c>
      <c r="I375" s="134" t="s">
        <v>1522</v>
      </c>
      <c r="J375" s="133" t="s">
        <v>1515</v>
      </c>
      <c r="K375" s="132" t="s">
        <v>830</v>
      </c>
      <c r="L375" s="133" t="s">
        <v>45</v>
      </c>
      <c r="M375" s="133" t="s">
        <v>120</v>
      </c>
      <c r="N375" s="135">
        <v>0</v>
      </c>
      <c r="O375" s="135"/>
      <c r="P375" s="132" t="s">
        <v>461</v>
      </c>
      <c r="Q375" s="132" t="str">
        <f t="shared" si="16"/>
        <v>627</v>
      </c>
      <c r="R375" s="132" t="str">
        <f>_xlfn.XLOOKUP($L375,MD_Cost_Center[Mã Cost Center],MD_Cost_Center[Ngành])</f>
        <v>Chung</v>
      </c>
      <c r="S375" s="132" t="str">
        <f>_xlfn.XLOOKUP($L375,MD_Cost_Center[Mã Cost Center],MD_Cost_Center[Ngành-Tách PET-Xơ sợi])</f>
        <v>Chung</v>
      </c>
      <c r="T375" s="136">
        <v>45992</v>
      </c>
      <c r="U375" s="137">
        <v>50375</v>
      </c>
      <c r="V375" s="138">
        <v>144</v>
      </c>
      <c r="W375" s="138">
        <v>333234000</v>
      </c>
      <c r="X375" s="138">
        <v>-2314125</v>
      </c>
      <c r="Y375" s="138">
        <v>333234000</v>
      </c>
      <c r="Z375" s="138">
        <v>333234000</v>
      </c>
      <c r="AA375" s="138">
        <v>333234000</v>
      </c>
      <c r="AB375" s="138">
        <v>333234000</v>
      </c>
      <c r="AC375" s="138">
        <v>333234000</v>
      </c>
      <c r="AD375" s="138">
        <v>333234000</v>
      </c>
      <c r="AE375" s="138">
        <v>333234000</v>
      </c>
      <c r="AF375" s="138">
        <v>333234000</v>
      </c>
      <c r="AG375" s="138">
        <v>333234000</v>
      </c>
      <c r="AH375" s="138">
        <v>333234000</v>
      </c>
      <c r="AI375" s="138">
        <v>333234000</v>
      </c>
      <c r="AJ375" s="138">
        <v>333234000</v>
      </c>
      <c r="AK375" s="138">
        <v>333234000</v>
      </c>
      <c r="AL375" s="138">
        <v>-2314125</v>
      </c>
      <c r="AM375" s="138">
        <v>-2314125</v>
      </c>
      <c r="AN375" s="138">
        <v>-2314125</v>
      </c>
      <c r="AO375" s="138">
        <v>-2314125</v>
      </c>
      <c r="AP375" s="138">
        <v>-2314125</v>
      </c>
      <c r="AQ375" s="138">
        <v>-2314125</v>
      </c>
      <c r="AR375" s="138">
        <v>-2314125</v>
      </c>
      <c r="AS375" s="138">
        <v>-2314125</v>
      </c>
      <c r="AT375" s="138">
        <v>-2314125</v>
      </c>
      <c r="AU375" s="138">
        <v>-2314125</v>
      </c>
      <c r="AV375" s="138">
        <v>-2314125</v>
      </c>
      <c r="AW375" s="138">
        <v>-2314125</v>
      </c>
      <c r="AX375" s="138">
        <v>-2314125</v>
      </c>
      <c r="AY375" s="138">
        <v>-2314125</v>
      </c>
      <c r="AZ375" s="139">
        <f t="shared" si="18"/>
        <v>-27769500</v>
      </c>
      <c r="BA375" s="138">
        <f>Y375+SUM($AM375:AM375)</f>
        <v>330919875</v>
      </c>
      <c r="BB375" s="138">
        <f>Z375+SUM($AM375:AN375)</f>
        <v>328605750</v>
      </c>
      <c r="BC375" s="138">
        <f>AA375+SUM($AM375:AO375)</f>
        <v>326291625</v>
      </c>
      <c r="BD375" s="138">
        <f>AB375+SUM($AM375:AP375)</f>
        <v>323977500</v>
      </c>
      <c r="BE375" s="138">
        <f>AC375+SUM($AM375:AQ375)</f>
        <v>321663375</v>
      </c>
      <c r="BF375" s="138">
        <f>AD375+SUM($AM375:AR375)</f>
        <v>319349250</v>
      </c>
      <c r="BG375" s="138">
        <f>AE375+SUM($AM375:AS375)</f>
        <v>317035125</v>
      </c>
      <c r="BH375" s="138">
        <f>AF375+SUM($AM375:AT375)</f>
        <v>314721000</v>
      </c>
      <c r="BI375" s="138">
        <f>AG375+SUM($AM375:AU375)</f>
        <v>312406875</v>
      </c>
      <c r="BJ375" s="138">
        <f>AH375+SUM($AM375:AV375)</f>
        <v>310092750</v>
      </c>
      <c r="BK375" s="138">
        <f>AI375+SUM($AM375:AW375)</f>
        <v>307778625</v>
      </c>
      <c r="BL375" s="138">
        <f>AJ375+SUM($AM375:AX375)</f>
        <v>305464500</v>
      </c>
      <c r="BM375" s="138">
        <f>AK375+SUM($AM375:AY375)</f>
        <v>303150375</v>
      </c>
      <c r="BO375" s="138"/>
    </row>
    <row r="376" spans="3:67" s="132" customFormat="1" hidden="1" x14ac:dyDescent="0.3">
      <c r="C376" s="132" t="s">
        <v>1474</v>
      </c>
      <c r="D376" s="133" t="s">
        <v>342</v>
      </c>
      <c r="E376" s="219" t="str">
        <f t="shared" si="17"/>
        <v>211</v>
      </c>
      <c r="F376" s="132" t="str">
        <f>_xlfn.XLOOKUP($D376,MD_Account_Asset_Type[Nhóm tài sản],MD_Account_Asset_Type[Tên Nhóm tài sản])</f>
        <v>Phương tiện vận tải , truyền dẫn - SX 627</v>
      </c>
      <c r="G376" s="132" t="str">
        <f>_xlfn.XLOOKUP($D376,MD_Account_Asset_Type[Nhóm tài sản],MD_Account_Asset_Type[Tên nhóm TS-Rút gọn])</f>
        <v>Phương tiện vận tải</v>
      </c>
      <c r="H376" s="132" t="str">
        <f>_xlfn.XLOOKUP($D376,MD_Account_Asset_Type[Nhóm tài sản],MD_Account_Asset_Type[Tên nhóm TS-Rút gọn-v2])</f>
        <v>Phương tiện vận tải</v>
      </c>
      <c r="I376" s="134" t="s">
        <v>1523</v>
      </c>
      <c r="J376" s="133" t="s">
        <v>1524</v>
      </c>
      <c r="K376" s="132" t="s">
        <v>830</v>
      </c>
      <c r="L376" s="133" t="s">
        <v>41</v>
      </c>
      <c r="M376" s="133" t="s">
        <v>116</v>
      </c>
      <c r="N376" s="135">
        <v>0</v>
      </c>
      <c r="O376" s="135"/>
      <c r="P376" s="132" t="s">
        <v>463</v>
      </c>
      <c r="Q376" s="132" t="str">
        <f t="shared" si="16"/>
        <v>627</v>
      </c>
      <c r="R376" s="132" t="str">
        <f>_xlfn.XLOOKUP($L376,MD_Cost_Center[Mã Cost Center],MD_Cost_Center[Ngành])</f>
        <v>Chung</v>
      </c>
      <c r="S376" s="132" t="str">
        <f>_xlfn.XLOOKUP($L376,MD_Cost_Center[Mã Cost Center],MD_Cost_Center[Ngành-Tách PET-Xơ sợi])</f>
        <v>Chung</v>
      </c>
      <c r="T376" s="136">
        <v>45992</v>
      </c>
      <c r="U376" s="137">
        <v>49644</v>
      </c>
      <c r="V376" s="138">
        <v>120</v>
      </c>
      <c r="W376" s="138">
        <v>1555000000</v>
      </c>
      <c r="X376" s="138">
        <v>-12958333</v>
      </c>
      <c r="Y376" s="138">
        <v>1555000000</v>
      </c>
      <c r="Z376" s="138">
        <v>1555000000</v>
      </c>
      <c r="AA376" s="138">
        <v>1555000000</v>
      </c>
      <c r="AB376" s="138">
        <v>1555000000</v>
      </c>
      <c r="AC376" s="138">
        <v>1555000000</v>
      </c>
      <c r="AD376" s="138">
        <v>1555000000</v>
      </c>
      <c r="AE376" s="138">
        <v>1555000000</v>
      </c>
      <c r="AF376" s="138">
        <v>1555000000</v>
      </c>
      <c r="AG376" s="138">
        <v>1555000000</v>
      </c>
      <c r="AH376" s="138">
        <v>1555000000</v>
      </c>
      <c r="AI376" s="138">
        <v>1555000000</v>
      </c>
      <c r="AJ376" s="138">
        <v>1555000000</v>
      </c>
      <c r="AK376" s="138">
        <v>1555000000</v>
      </c>
      <c r="AL376" s="138">
        <v>-12958333</v>
      </c>
      <c r="AM376" s="138">
        <v>-12958333</v>
      </c>
      <c r="AN376" s="138">
        <v>-12958333</v>
      </c>
      <c r="AO376" s="138">
        <v>-12958333</v>
      </c>
      <c r="AP376" s="138">
        <v>-12958333</v>
      </c>
      <c r="AQ376" s="138">
        <v>-12958333</v>
      </c>
      <c r="AR376" s="138">
        <v>-12958333</v>
      </c>
      <c r="AS376" s="138">
        <v>-12958333</v>
      </c>
      <c r="AT376" s="138">
        <v>-12958333</v>
      </c>
      <c r="AU376" s="138">
        <v>-12958333</v>
      </c>
      <c r="AV376" s="138">
        <v>-12958333</v>
      </c>
      <c r="AW376" s="138">
        <v>-12958333</v>
      </c>
      <c r="AX376" s="138">
        <v>-12958333</v>
      </c>
      <c r="AY376" s="138">
        <v>-12958333</v>
      </c>
      <c r="AZ376" s="139">
        <f t="shared" si="18"/>
        <v>-155499996</v>
      </c>
      <c r="BA376" s="138">
        <f>Y376+SUM($AM376:AM376)</f>
        <v>1542041667</v>
      </c>
      <c r="BB376" s="138">
        <f>Z376+SUM($AM376:AN376)</f>
        <v>1529083334</v>
      </c>
      <c r="BC376" s="138">
        <f>AA376+SUM($AM376:AO376)</f>
        <v>1516125001</v>
      </c>
      <c r="BD376" s="138">
        <f>AB376+SUM($AM376:AP376)</f>
        <v>1503166668</v>
      </c>
      <c r="BE376" s="138">
        <f>AC376+SUM($AM376:AQ376)</f>
        <v>1490208335</v>
      </c>
      <c r="BF376" s="138">
        <f>AD376+SUM($AM376:AR376)</f>
        <v>1477250002</v>
      </c>
      <c r="BG376" s="138">
        <f>AE376+SUM($AM376:AS376)</f>
        <v>1464291669</v>
      </c>
      <c r="BH376" s="138">
        <f>AF376+SUM($AM376:AT376)</f>
        <v>1451333336</v>
      </c>
      <c r="BI376" s="138">
        <f>AG376+SUM($AM376:AU376)</f>
        <v>1438375003</v>
      </c>
      <c r="BJ376" s="138">
        <f>AH376+SUM($AM376:AV376)</f>
        <v>1425416670</v>
      </c>
      <c r="BK376" s="138">
        <f>AI376+SUM($AM376:AW376)</f>
        <v>1412458337</v>
      </c>
      <c r="BL376" s="138">
        <f>AJ376+SUM($AM376:AX376)</f>
        <v>1399500004</v>
      </c>
      <c r="BM376" s="138">
        <f>AK376+SUM($AM376:AY376)</f>
        <v>1386541671</v>
      </c>
      <c r="BO376" s="138"/>
    </row>
    <row r="377" spans="3:67" s="132" customFormat="1" hidden="1" x14ac:dyDescent="0.3">
      <c r="C377" s="132" t="s">
        <v>1474</v>
      </c>
      <c r="D377" s="133" t="s">
        <v>342</v>
      </c>
      <c r="E377" s="219" t="str">
        <f t="shared" si="17"/>
        <v>211</v>
      </c>
      <c r="F377" s="132" t="str">
        <f>_xlfn.XLOOKUP($D377,MD_Account_Asset_Type[Nhóm tài sản],MD_Account_Asset_Type[Tên Nhóm tài sản])</f>
        <v>Phương tiện vận tải , truyền dẫn - SX 627</v>
      </c>
      <c r="G377" s="132" t="str">
        <f>_xlfn.XLOOKUP($D377,MD_Account_Asset_Type[Nhóm tài sản],MD_Account_Asset_Type[Tên nhóm TS-Rút gọn])</f>
        <v>Phương tiện vận tải</v>
      </c>
      <c r="H377" s="132" t="str">
        <f>_xlfn.XLOOKUP($D377,MD_Account_Asset_Type[Nhóm tài sản],MD_Account_Asset_Type[Tên nhóm TS-Rút gọn-v2])</f>
        <v>Phương tiện vận tải</v>
      </c>
      <c r="I377" s="134" t="s">
        <v>1527</v>
      </c>
      <c r="J377" s="133" t="s">
        <v>1525</v>
      </c>
      <c r="K377" s="132" t="s">
        <v>830</v>
      </c>
      <c r="L377" s="133" t="s">
        <v>41</v>
      </c>
      <c r="M377" s="133" t="s">
        <v>116</v>
      </c>
      <c r="N377" s="135">
        <v>0</v>
      </c>
      <c r="O377" s="135"/>
      <c r="P377" s="132" t="s">
        <v>463</v>
      </c>
      <c r="Q377" s="132" t="str">
        <f t="shared" si="16"/>
        <v>627</v>
      </c>
      <c r="R377" s="132" t="str">
        <f>_xlfn.XLOOKUP($L377,MD_Cost_Center[Mã Cost Center],MD_Cost_Center[Ngành])</f>
        <v>Chung</v>
      </c>
      <c r="S377" s="132" t="str">
        <f>_xlfn.XLOOKUP($L377,MD_Cost_Center[Mã Cost Center],MD_Cost_Center[Ngành-Tách PET-Xơ sợi])</f>
        <v>Chung</v>
      </c>
      <c r="T377" s="136">
        <v>45992</v>
      </c>
      <c r="U377" s="137">
        <v>49644</v>
      </c>
      <c r="V377" s="138">
        <v>120</v>
      </c>
      <c r="W377" s="138">
        <v>1555000000</v>
      </c>
      <c r="X377" s="138">
        <v>-12958333</v>
      </c>
      <c r="Y377" s="138">
        <v>1555000000</v>
      </c>
      <c r="Z377" s="138">
        <v>1555000000</v>
      </c>
      <c r="AA377" s="138">
        <v>1555000000</v>
      </c>
      <c r="AB377" s="138">
        <v>1555000000</v>
      </c>
      <c r="AC377" s="138">
        <v>1555000000</v>
      </c>
      <c r="AD377" s="138">
        <v>1555000000</v>
      </c>
      <c r="AE377" s="138">
        <v>1555000000</v>
      </c>
      <c r="AF377" s="138">
        <v>1555000000</v>
      </c>
      <c r="AG377" s="138">
        <v>1555000000</v>
      </c>
      <c r="AH377" s="138">
        <v>1555000000</v>
      </c>
      <c r="AI377" s="138">
        <v>1555000000</v>
      </c>
      <c r="AJ377" s="138">
        <v>1555000000</v>
      </c>
      <c r="AK377" s="138">
        <v>1555000000</v>
      </c>
      <c r="AL377" s="138">
        <v>-12958333</v>
      </c>
      <c r="AM377" s="138">
        <v>-12958333</v>
      </c>
      <c r="AN377" s="138">
        <v>-12958333</v>
      </c>
      <c r="AO377" s="138">
        <v>-12958333</v>
      </c>
      <c r="AP377" s="138">
        <v>-12958333</v>
      </c>
      <c r="AQ377" s="138">
        <v>-12958333</v>
      </c>
      <c r="AR377" s="138">
        <v>-12958333</v>
      </c>
      <c r="AS377" s="138">
        <v>-12958333</v>
      </c>
      <c r="AT377" s="138">
        <v>-12958333</v>
      </c>
      <c r="AU377" s="138">
        <v>-12958333</v>
      </c>
      <c r="AV377" s="138">
        <v>-12958333</v>
      </c>
      <c r="AW377" s="138">
        <v>-12958333</v>
      </c>
      <c r="AX377" s="138">
        <v>-12958333</v>
      </c>
      <c r="AY377" s="138">
        <v>-12958333</v>
      </c>
      <c r="AZ377" s="139">
        <f t="shared" si="18"/>
        <v>-155499996</v>
      </c>
      <c r="BA377" s="138">
        <f>Y377+SUM($AM377:AM377)</f>
        <v>1542041667</v>
      </c>
      <c r="BB377" s="138">
        <f>Z377+SUM($AM377:AN377)</f>
        <v>1529083334</v>
      </c>
      <c r="BC377" s="138">
        <f>AA377+SUM($AM377:AO377)</f>
        <v>1516125001</v>
      </c>
      <c r="BD377" s="138">
        <f>AB377+SUM($AM377:AP377)</f>
        <v>1503166668</v>
      </c>
      <c r="BE377" s="138">
        <f>AC377+SUM($AM377:AQ377)</f>
        <v>1490208335</v>
      </c>
      <c r="BF377" s="138">
        <f>AD377+SUM($AM377:AR377)</f>
        <v>1477250002</v>
      </c>
      <c r="BG377" s="138">
        <f>AE377+SUM($AM377:AS377)</f>
        <v>1464291669</v>
      </c>
      <c r="BH377" s="138">
        <f>AF377+SUM($AM377:AT377)</f>
        <v>1451333336</v>
      </c>
      <c r="BI377" s="138">
        <f>AG377+SUM($AM377:AU377)</f>
        <v>1438375003</v>
      </c>
      <c r="BJ377" s="138">
        <f>AH377+SUM($AM377:AV377)</f>
        <v>1425416670</v>
      </c>
      <c r="BK377" s="138">
        <f>AI377+SUM($AM377:AW377)</f>
        <v>1412458337</v>
      </c>
      <c r="BL377" s="138">
        <f>AJ377+SUM($AM377:AX377)</f>
        <v>1399500004</v>
      </c>
      <c r="BM377" s="138">
        <f>AK377+SUM($AM377:AY377)</f>
        <v>1386541671</v>
      </c>
      <c r="BO377" s="138"/>
    </row>
    <row r="378" spans="3:67" s="132" customFormat="1" hidden="1" x14ac:dyDescent="0.3">
      <c r="C378" s="132" t="s">
        <v>1474</v>
      </c>
      <c r="D378" s="133" t="s">
        <v>342</v>
      </c>
      <c r="E378" s="219" t="str">
        <f t="shared" si="17"/>
        <v>211</v>
      </c>
      <c r="F378" s="132" t="str">
        <f>_xlfn.XLOOKUP($D378,MD_Account_Asset_Type[Nhóm tài sản],MD_Account_Asset_Type[Tên Nhóm tài sản])</f>
        <v>Phương tiện vận tải , truyền dẫn - SX 627</v>
      </c>
      <c r="G378" s="132" t="str">
        <f>_xlfn.XLOOKUP($D378,MD_Account_Asset_Type[Nhóm tài sản],MD_Account_Asset_Type[Tên nhóm TS-Rút gọn])</f>
        <v>Phương tiện vận tải</v>
      </c>
      <c r="H378" s="132" t="str">
        <f>_xlfn.XLOOKUP($D378,MD_Account_Asset_Type[Nhóm tài sản],MD_Account_Asset_Type[Tên nhóm TS-Rút gọn-v2])</f>
        <v>Phương tiện vận tải</v>
      </c>
      <c r="I378" s="134" t="s">
        <v>1528</v>
      </c>
      <c r="J378" s="133" t="s">
        <v>1526</v>
      </c>
      <c r="K378" s="132" t="s">
        <v>830</v>
      </c>
      <c r="L378" s="133" t="s">
        <v>41</v>
      </c>
      <c r="M378" s="133" t="s">
        <v>116</v>
      </c>
      <c r="N378" s="135">
        <v>0</v>
      </c>
      <c r="O378" s="135"/>
      <c r="P378" s="132" t="s">
        <v>463</v>
      </c>
      <c r="Q378" s="132" t="str">
        <f t="shared" si="16"/>
        <v>627</v>
      </c>
      <c r="R378" s="132" t="str">
        <f>_xlfn.XLOOKUP($L378,MD_Cost_Center[Mã Cost Center],MD_Cost_Center[Ngành])</f>
        <v>Chung</v>
      </c>
      <c r="S378" s="132" t="str">
        <f>_xlfn.XLOOKUP($L378,MD_Cost_Center[Mã Cost Center],MD_Cost_Center[Ngành-Tách PET-Xơ sợi])</f>
        <v>Chung</v>
      </c>
      <c r="T378" s="136">
        <v>45992</v>
      </c>
      <c r="U378" s="137">
        <v>49644</v>
      </c>
      <c r="V378" s="138">
        <v>120</v>
      </c>
      <c r="W378" s="138">
        <v>1555000000</v>
      </c>
      <c r="X378" s="138">
        <v>-12958333</v>
      </c>
      <c r="Y378" s="138">
        <v>1555000000</v>
      </c>
      <c r="Z378" s="138">
        <v>1555000000</v>
      </c>
      <c r="AA378" s="138">
        <v>1555000000</v>
      </c>
      <c r="AB378" s="138">
        <v>1555000000</v>
      </c>
      <c r="AC378" s="138">
        <v>1555000000</v>
      </c>
      <c r="AD378" s="138">
        <v>1555000000</v>
      </c>
      <c r="AE378" s="138">
        <v>1555000000</v>
      </c>
      <c r="AF378" s="138">
        <v>1555000000</v>
      </c>
      <c r="AG378" s="138">
        <v>1555000000</v>
      </c>
      <c r="AH378" s="138">
        <v>1555000000</v>
      </c>
      <c r="AI378" s="138">
        <v>1555000000</v>
      </c>
      <c r="AJ378" s="138">
        <v>1555000000</v>
      </c>
      <c r="AK378" s="138">
        <v>1555000000</v>
      </c>
      <c r="AL378" s="138">
        <v>-12958333</v>
      </c>
      <c r="AM378" s="138">
        <v>-12958333</v>
      </c>
      <c r="AN378" s="138">
        <v>-12958333</v>
      </c>
      <c r="AO378" s="138">
        <v>-12958333</v>
      </c>
      <c r="AP378" s="138">
        <v>-12958333</v>
      </c>
      <c r="AQ378" s="138">
        <v>-12958333</v>
      </c>
      <c r="AR378" s="138">
        <v>-12958333</v>
      </c>
      <c r="AS378" s="138">
        <v>-12958333</v>
      </c>
      <c r="AT378" s="138">
        <v>-12958333</v>
      </c>
      <c r="AU378" s="138">
        <v>-12958333</v>
      </c>
      <c r="AV378" s="138">
        <v>-12958333</v>
      </c>
      <c r="AW378" s="138">
        <v>-12958333</v>
      </c>
      <c r="AX378" s="138">
        <v>-12958333</v>
      </c>
      <c r="AY378" s="138">
        <v>-12958333</v>
      </c>
      <c r="AZ378" s="139">
        <f t="shared" si="18"/>
        <v>-155499996</v>
      </c>
      <c r="BA378" s="138">
        <f>Y378+SUM($AM378:AM378)</f>
        <v>1542041667</v>
      </c>
      <c r="BB378" s="138">
        <f>Z378+SUM($AM378:AN378)</f>
        <v>1529083334</v>
      </c>
      <c r="BC378" s="138">
        <f>AA378+SUM($AM378:AO378)</f>
        <v>1516125001</v>
      </c>
      <c r="BD378" s="138">
        <f>AB378+SUM($AM378:AP378)</f>
        <v>1503166668</v>
      </c>
      <c r="BE378" s="138">
        <f>AC378+SUM($AM378:AQ378)</f>
        <v>1490208335</v>
      </c>
      <c r="BF378" s="138">
        <f>AD378+SUM($AM378:AR378)</f>
        <v>1477250002</v>
      </c>
      <c r="BG378" s="138">
        <f>AE378+SUM($AM378:AS378)</f>
        <v>1464291669</v>
      </c>
      <c r="BH378" s="138">
        <f>AF378+SUM($AM378:AT378)</f>
        <v>1451333336</v>
      </c>
      <c r="BI378" s="138">
        <f>AG378+SUM($AM378:AU378)</f>
        <v>1438375003</v>
      </c>
      <c r="BJ378" s="138">
        <f>AH378+SUM($AM378:AV378)</f>
        <v>1425416670</v>
      </c>
      <c r="BK378" s="138">
        <f>AI378+SUM($AM378:AW378)</f>
        <v>1412458337</v>
      </c>
      <c r="BL378" s="138">
        <f>AJ378+SUM($AM378:AX378)</f>
        <v>1399500004</v>
      </c>
      <c r="BM378" s="138">
        <f>AK378+SUM($AM378:AY378)</f>
        <v>1386541671</v>
      </c>
      <c r="BO378" s="138"/>
    </row>
    <row r="379" spans="3:67" s="132" customFormat="1" hidden="1" x14ac:dyDescent="0.3">
      <c r="C379" s="132" t="s">
        <v>1474</v>
      </c>
      <c r="D379" s="133" t="s">
        <v>338</v>
      </c>
      <c r="E379" s="219" t="str">
        <f t="shared" si="17"/>
        <v>211</v>
      </c>
      <c r="F379" s="132" t="str">
        <f>_xlfn.XLOOKUP($D379,MD_Account_Asset_Type[Nhóm tài sản],MD_Account_Asset_Type[Tên Nhóm tài sản])</f>
        <v>Máy móc, thiết bị - SX 627</v>
      </c>
      <c r="G379" s="132" t="str">
        <f>_xlfn.XLOOKUP($D379,MD_Account_Asset_Type[Nhóm tài sản],MD_Account_Asset_Type[Tên nhóm TS-Rút gọn])</f>
        <v>Máy móc thiết bị</v>
      </c>
      <c r="H379" s="132" t="str">
        <f>_xlfn.XLOOKUP($D379,MD_Account_Asset_Type[Nhóm tài sản],MD_Account_Asset_Type[Tên nhóm TS-Rút gọn-v2])</f>
        <v>Máy móc thiết bị</v>
      </c>
      <c r="I379" s="134" t="s">
        <v>1529</v>
      </c>
      <c r="J379" s="133" t="s">
        <v>1223</v>
      </c>
      <c r="K379" s="132" t="s">
        <v>830</v>
      </c>
      <c r="L379" s="133" t="s">
        <v>1553</v>
      </c>
      <c r="M379" s="133" t="s">
        <v>1223</v>
      </c>
      <c r="N379" s="135" t="s">
        <v>1553</v>
      </c>
      <c r="O379" s="135"/>
      <c r="P379" s="135" t="s">
        <v>462</v>
      </c>
      <c r="Q379" s="135" t="str">
        <f t="shared" si="16"/>
        <v>627</v>
      </c>
      <c r="R379" s="135" t="str">
        <f>_xlfn.XLOOKUP($L379,MD_Cost_Center[Mã Cost Center],MD_Cost_Center[Ngành])</f>
        <v>PET</v>
      </c>
      <c r="S379" s="135" t="str">
        <f>_xlfn.XLOOKUP($L379,MD_Cost_Center[Mã Cost Center],MD_Cost_Center[Ngành-Tách PET-Xơ sợi])</f>
        <v>PET</v>
      </c>
      <c r="T379" s="136">
        <v>46388</v>
      </c>
      <c r="U379" s="137">
        <v>50771</v>
      </c>
      <c r="V379" s="138">
        <v>144</v>
      </c>
      <c r="W379" s="138">
        <v>163986000000</v>
      </c>
      <c r="X379" s="138">
        <v>-1685250000</v>
      </c>
      <c r="Y379" s="138">
        <v>0</v>
      </c>
      <c r="Z379" s="138">
        <v>0</v>
      </c>
      <c r="AA379" s="138">
        <v>0</v>
      </c>
      <c r="AB379" s="138">
        <v>0</v>
      </c>
      <c r="AC379" s="138">
        <v>0</v>
      </c>
      <c r="AD379" s="138">
        <v>0</v>
      </c>
      <c r="AE379" s="138">
        <v>0</v>
      </c>
      <c r="AF379" s="138">
        <v>0</v>
      </c>
      <c r="AG379" s="138">
        <v>0</v>
      </c>
      <c r="AH379" s="138">
        <v>0</v>
      </c>
      <c r="AI379" s="138">
        <v>0</v>
      </c>
      <c r="AJ379" s="138">
        <v>0</v>
      </c>
      <c r="AK379" s="138">
        <v>163986000000</v>
      </c>
      <c r="AL379" s="138">
        <v>0</v>
      </c>
      <c r="AM379" s="138"/>
      <c r="AN379" s="138">
        <v>0</v>
      </c>
      <c r="AO379" s="138">
        <v>0</v>
      </c>
      <c r="AP379" s="138">
        <v>0</v>
      </c>
      <c r="AQ379" s="138">
        <v>0</v>
      </c>
      <c r="AR379" s="138">
        <v>0</v>
      </c>
      <c r="AS379" s="138">
        <v>0</v>
      </c>
      <c r="AT379" s="138">
        <v>0</v>
      </c>
      <c r="AU379" s="138">
        <v>0</v>
      </c>
      <c r="AV379" s="138">
        <v>0</v>
      </c>
      <c r="AW379" s="138">
        <v>0</v>
      </c>
      <c r="AX379" s="138">
        <v>0</v>
      </c>
      <c r="AY379" s="138">
        <v>0</v>
      </c>
      <c r="AZ379" s="139">
        <f t="shared" si="18"/>
        <v>0</v>
      </c>
      <c r="BA379" s="138">
        <f>Y379+SUM($AM379:AM379)</f>
        <v>0</v>
      </c>
      <c r="BB379" s="138">
        <f>Z379+SUM($AM379:AN379)</f>
        <v>0</v>
      </c>
      <c r="BC379" s="138">
        <f>AA379+SUM($AM379:AO379)</f>
        <v>0</v>
      </c>
      <c r="BD379" s="138">
        <f>AB379+SUM($AM379:AP379)</f>
        <v>0</v>
      </c>
      <c r="BE379" s="138">
        <f>AC379+SUM($AM379:AQ379)</f>
        <v>0</v>
      </c>
      <c r="BF379" s="138">
        <f>AD379+SUM($AM379:AR379)</f>
        <v>0</v>
      </c>
      <c r="BG379" s="138">
        <f>AE379+SUM($AM379:AS379)</f>
        <v>0</v>
      </c>
      <c r="BH379" s="138">
        <f>AF379+SUM($AM379:AT379)</f>
        <v>0</v>
      </c>
      <c r="BI379" s="138">
        <f>AG379+SUM($AM379:AU379)</f>
        <v>0</v>
      </c>
      <c r="BJ379" s="138">
        <f>AH379+SUM($AM379:AV379)</f>
        <v>0</v>
      </c>
      <c r="BK379" s="138">
        <f>AI379+SUM($AM379:AW379)</f>
        <v>0</v>
      </c>
      <c r="BL379" s="138">
        <f>AJ379+SUM($AM379:AX379)</f>
        <v>0</v>
      </c>
      <c r="BM379" s="138">
        <f>AK379+SUM($AM379:AY379)</f>
        <v>163986000000</v>
      </c>
      <c r="BO379" s="138"/>
    </row>
    <row r="380" spans="3:67" s="132" customFormat="1" x14ac:dyDescent="0.3">
      <c r="C380" s="132" t="s">
        <v>1474</v>
      </c>
      <c r="D380" s="133" t="s">
        <v>338</v>
      </c>
      <c r="E380" s="219" t="str">
        <f t="shared" si="17"/>
        <v>211</v>
      </c>
      <c r="F380" s="132" t="str">
        <f>_xlfn.XLOOKUP($D380,MD_Account_Asset_Type[Nhóm tài sản],MD_Account_Asset_Type[Tên Nhóm tài sản])</f>
        <v>Máy móc, thiết bị - SX 627</v>
      </c>
      <c r="G380" s="132" t="str">
        <f>_xlfn.XLOOKUP($D380,MD_Account_Asset_Type[Nhóm tài sản],MD_Account_Asset_Type[Tên nhóm TS-Rút gọn])</f>
        <v>Máy móc thiết bị</v>
      </c>
      <c r="H380" s="132" t="str">
        <f>_xlfn.XLOOKUP($D380,MD_Account_Asset_Type[Nhóm tài sản],MD_Account_Asset_Type[Tên nhóm TS-Rút gọn-v2])</f>
        <v>Máy móc thiết bị</v>
      </c>
      <c r="I380" s="134" t="s">
        <v>1539</v>
      </c>
      <c r="J380" s="133" t="s">
        <v>1530</v>
      </c>
      <c r="K380" s="132" t="s">
        <v>830</v>
      </c>
      <c r="L380" s="133" t="s">
        <v>62</v>
      </c>
      <c r="M380" s="133" t="s">
        <v>137</v>
      </c>
      <c r="N380" s="135" t="s">
        <v>1557</v>
      </c>
      <c r="O380" s="135"/>
      <c r="P380" s="135" t="s">
        <v>462</v>
      </c>
      <c r="Q380" s="135" t="str">
        <f t="shared" si="16"/>
        <v>627</v>
      </c>
      <c r="R380" s="135" t="str">
        <f>_xlfn.XLOOKUP($L380,MD_Cost_Center[Mã Cost Center],MD_Cost_Center[Ngành])</f>
        <v>PET</v>
      </c>
      <c r="S380" s="135" t="str">
        <f>_xlfn.XLOOKUP($L380,MD_Cost_Center[Mã Cost Center],MD_Cost_Center[Ngành-Tách PET-Xơ sợi])</f>
        <v>PET</v>
      </c>
      <c r="T380" s="136">
        <v>46143</v>
      </c>
      <c r="U380" s="137">
        <v>50526</v>
      </c>
      <c r="V380" s="138">
        <v>144</v>
      </c>
      <c r="W380" s="138">
        <v>13358384000</v>
      </c>
      <c r="X380" s="138">
        <v>-92766556</v>
      </c>
      <c r="Y380" s="138">
        <v>0</v>
      </c>
      <c r="Z380" s="138">
        <v>0</v>
      </c>
      <c r="AA380" s="138">
        <v>0</v>
      </c>
      <c r="AB380" s="138">
        <v>0</v>
      </c>
      <c r="AC380" s="138">
        <v>13358384000</v>
      </c>
      <c r="AD380" s="138">
        <v>13358384000</v>
      </c>
      <c r="AE380" s="138">
        <v>13358384000</v>
      </c>
      <c r="AF380" s="138">
        <v>13358384000</v>
      </c>
      <c r="AG380" s="138">
        <v>13358384000</v>
      </c>
      <c r="AH380" s="138">
        <v>13358384000</v>
      </c>
      <c r="AI380" s="138">
        <v>13358384000</v>
      </c>
      <c r="AJ380" s="138">
        <v>13358384000</v>
      </c>
      <c r="AK380" s="138">
        <v>13358384000</v>
      </c>
      <c r="AL380" s="138">
        <v>0</v>
      </c>
      <c r="AM380" s="138"/>
      <c r="AN380" s="138">
        <v>-92766556</v>
      </c>
      <c r="AO380" s="138">
        <v>-92766556</v>
      </c>
      <c r="AP380" s="138">
        <v>-92766556</v>
      </c>
      <c r="AQ380" s="138">
        <v>-92766556</v>
      </c>
      <c r="AR380" s="138">
        <v>-92766556</v>
      </c>
      <c r="AS380" s="138">
        <v>-92766556</v>
      </c>
      <c r="AT380" s="138">
        <v>-92766556</v>
      </c>
      <c r="AU380" s="138">
        <v>-92766556</v>
      </c>
      <c r="AV380" s="138">
        <v>-92766556</v>
      </c>
      <c r="AW380" s="138">
        <v>-92766556</v>
      </c>
      <c r="AX380" s="138">
        <v>-92766556</v>
      </c>
      <c r="AY380" s="138">
        <v>-92766556</v>
      </c>
      <c r="AZ380" s="139">
        <f t="shared" si="18"/>
        <v>-1113198672</v>
      </c>
      <c r="BA380" s="138">
        <f>Y380+SUM($AM380:AM380)</f>
        <v>0</v>
      </c>
      <c r="BB380" s="138">
        <f>Z380+SUM($AM380:AN380)</f>
        <v>-92766556</v>
      </c>
      <c r="BC380" s="138">
        <f>AA380+SUM($AM380:AO380)</f>
        <v>-185533112</v>
      </c>
      <c r="BD380" s="138">
        <f>AB380+SUM($AM380:AP380)</f>
        <v>-278299668</v>
      </c>
      <c r="BE380" s="138">
        <f>AC380+SUM($AM380:AQ380)</f>
        <v>12987317776</v>
      </c>
      <c r="BF380" s="138">
        <f>AD380+SUM($AM380:AR380)</f>
        <v>12894551220</v>
      </c>
      <c r="BG380" s="138">
        <f>AE380+SUM($AM380:AS380)</f>
        <v>12801784664</v>
      </c>
      <c r="BH380" s="138">
        <f>AF380+SUM($AM380:AT380)</f>
        <v>12709018108</v>
      </c>
      <c r="BI380" s="138">
        <f>AG380+SUM($AM380:AU380)</f>
        <v>12616251552</v>
      </c>
      <c r="BJ380" s="138">
        <f>AH380+SUM($AM380:AV380)</f>
        <v>12523484996</v>
      </c>
      <c r="BK380" s="138">
        <f>AI380+SUM($AM380:AW380)</f>
        <v>12430718440</v>
      </c>
      <c r="BL380" s="138">
        <f>AJ380+SUM($AM380:AX380)</f>
        <v>12337951884</v>
      </c>
      <c r="BM380" s="138">
        <f>AK380+SUM($AM380:AY380)</f>
        <v>12245185328</v>
      </c>
      <c r="BO380" s="138"/>
    </row>
    <row r="381" spans="3:67" s="132" customFormat="1" x14ac:dyDescent="0.3">
      <c r="C381" s="132" t="s">
        <v>1474</v>
      </c>
      <c r="D381" s="133" t="s">
        <v>350</v>
      </c>
      <c r="E381" s="219" t="str">
        <f t="shared" si="17"/>
        <v>211</v>
      </c>
      <c r="F381" s="132" t="str">
        <f>_xlfn.XLOOKUP($D381,MD_Account_Asset_Type[Nhóm tài sản],MD_Account_Asset_Type[Tên Nhóm tài sản])</f>
        <v>TSCĐ khác - SX 627</v>
      </c>
      <c r="G381" s="132" t="str">
        <f>_xlfn.XLOOKUP($D381,MD_Account_Asset_Type[Nhóm tài sản],MD_Account_Asset_Type[Tên nhóm TS-Rút gọn])</f>
        <v>Khác</v>
      </c>
      <c r="H381" s="132" t="str">
        <f>_xlfn.XLOOKUP($D381,MD_Account_Asset_Type[Nhóm tài sản],MD_Account_Asset_Type[Tên nhóm TS-Rút gọn-v2])</f>
        <v>TSCĐHH-Khác</v>
      </c>
      <c r="I381" s="134" t="s">
        <v>1540</v>
      </c>
      <c r="J381" s="133" t="s">
        <v>1531</v>
      </c>
      <c r="K381" s="132" t="s">
        <v>830</v>
      </c>
      <c r="L381" s="133" t="s">
        <v>45</v>
      </c>
      <c r="M381" s="133" t="s">
        <v>120</v>
      </c>
      <c r="N381" s="135">
        <v>0</v>
      </c>
      <c r="O381" s="135"/>
      <c r="P381" s="135" t="s">
        <v>466</v>
      </c>
      <c r="Q381" s="135" t="str">
        <f t="shared" si="16"/>
        <v>627</v>
      </c>
      <c r="R381" s="135" t="str">
        <f>_xlfn.XLOOKUP($L381,MD_Cost_Center[Mã Cost Center],MD_Cost_Center[Ngành])</f>
        <v>Chung</v>
      </c>
      <c r="S381" s="135" t="str">
        <f>_xlfn.XLOOKUP($L381,MD_Cost_Center[Mã Cost Center],MD_Cost_Center[Ngành-Tách PET-Xơ sợi])</f>
        <v>Chung</v>
      </c>
      <c r="T381" s="136">
        <v>46054</v>
      </c>
      <c r="U381" s="137">
        <v>50437</v>
      </c>
      <c r="V381" s="138">
        <v>144</v>
      </c>
      <c r="W381" s="138">
        <v>54374640000</v>
      </c>
      <c r="X381" s="138">
        <v>-377601667</v>
      </c>
      <c r="Y381" s="138">
        <v>0</v>
      </c>
      <c r="Z381" s="138">
        <v>54374640000</v>
      </c>
      <c r="AA381" s="138">
        <v>54374640000</v>
      </c>
      <c r="AB381" s="138">
        <v>54374640000</v>
      </c>
      <c r="AC381" s="138">
        <v>54374640000</v>
      </c>
      <c r="AD381" s="138">
        <v>54374640000</v>
      </c>
      <c r="AE381" s="138">
        <v>54374640000</v>
      </c>
      <c r="AF381" s="138">
        <v>54374640000</v>
      </c>
      <c r="AG381" s="138">
        <v>54374640000</v>
      </c>
      <c r="AH381" s="138">
        <v>54374640000</v>
      </c>
      <c r="AI381" s="138">
        <v>54374640000</v>
      </c>
      <c r="AJ381" s="138">
        <v>54374640000</v>
      </c>
      <c r="AK381" s="138">
        <v>54374640000</v>
      </c>
      <c r="AL381" s="138">
        <v>0</v>
      </c>
      <c r="AM381" s="138"/>
      <c r="AN381" s="138"/>
      <c r="AO381" s="138">
        <v>-377601667</v>
      </c>
      <c r="AP381" s="138">
        <v>-377601667</v>
      </c>
      <c r="AQ381" s="138">
        <v>-377601667</v>
      </c>
      <c r="AR381" s="138">
        <v>-377601667</v>
      </c>
      <c r="AS381" s="138">
        <v>-377601667</v>
      </c>
      <c r="AT381" s="138">
        <v>-377601667</v>
      </c>
      <c r="AU381" s="138">
        <v>-377601667</v>
      </c>
      <c r="AV381" s="138">
        <v>-377601667</v>
      </c>
      <c r="AW381" s="138">
        <v>-377601667</v>
      </c>
      <c r="AX381" s="138">
        <v>-377601667</v>
      </c>
      <c r="AY381" s="138">
        <v>-377601667</v>
      </c>
      <c r="AZ381" s="139">
        <f t="shared" si="18"/>
        <v>-4153618337</v>
      </c>
      <c r="BA381" s="138">
        <f>Y381+SUM($AM381:AM381)</f>
        <v>0</v>
      </c>
      <c r="BB381" s="138">
        <f>Z381+SUM($AM381:AN381)</f>
        <v>54374640000</v>
      </c>
      <c r="BC381" s="138">
        <f>AA381+SUM($AM381:AO381)</f>
        <v>53997038333</v>
      </c>
      <c r="BD381" s="138">
        <f>AB381+SUM($AM381:AP381)</f>
        <v>53619436666</v>
      </c>
      <c r="BE381" s="138">
        <f>AC381+SUM($AM381:AQ381)</f>
        <v>53241834999</v>
      </c>
      <c r="BF381" s="138">
        <f>AD381+SUM($AM381:AR381)</f>
        <v>52864233332</v>
      </c>
      <c r="BG381" s="138">
        <f>AE381+SUM($AM381:AS381)</f>
        <v>52486631665</v>
      </c>
      <c r="BH381" s="138">
        <f>AF381+SUM($AM381:AT381)</f>
        <v>52109029998</v>
      </c>
      <c r="BI381" s="138">
        <f>AG381+SUM($AM381:AU381)</f>
        <v>51731428331</v>
      </c>
      <c r="BJ381" s="138">
        <f>AH381+SUM($AM381:AV381)</f>
        <v>51353826664</v>
      </c>
      <c r="BK381" s="138">
        <f>AI381+SUM($AM381:AW381)</f>
        <v>50976224997</v>
      </c>
      <c r="BL381" s="138">
        <f>AJ381+SUM($AM381:AX381)</f>
        <v>50598623330</v>
      </c>
      <c r="BM381" s="138">
        <f>AK381+SUM($AM381:AY381)</f>
        <v>50221021663</v>
      </c>
      <c r="BO381" s="138"/>
    </row>
    <row r="382" spans="3:67" s="132" customFormat="1" x14ac:dyDescent="0.3">
      <c r="C382" s="132" t="s">
        <v>1474</v>
      </c>
      <c r="D382" s="133" t="s">
        <v>338</v>
      </c>
      <c r="E382" s="219" t="str">
        <f t="shared" si="17"/>
        <v>211</v>
      </c>
      <c r="F382" s="132" t="str">
        <f>_xlfn.XLOOKUP($D382,MD_Account_Asset_Type[Nhóm tài sản],MD_Account_Asset_Type[Tên Nhóm tài sản])</f>
        <v>Máy móc, thiết bị - SX 627</v>
      </c>
      <c r="G382" s="132" t="str">
        <f>_xlfn.XLOOKUP($D382,MD_Account_Asset_Type[Nhóm tài sản],MD_Account_Asset_Type[Tên nhóm TS-Rút gọn])</f>
        <v>Máy móc thiết bị</v>
      </c>
      <c r="H382" s="132" t="str">
        <f>_xlfn.XLOOKUP($D382,MD_Account_Asset_Type[Nhóm tài sản],MD_Account_Asset_Type[Tên nhóm TS-Rút gọn-v2])</f>
        <v>Máy móc thiết bị</v>
      </c>
      <c r="I382" s="134" t="s">
        <v>1541</v>
      </c>
      <c r="J382" s="133" t="s">
        <v>1559</v>
      </c>
      <c r="K382" s="132" t="s">
        <v>830</v>
      </c>
      <c r="L382" s="133" t="s">
        <v>61</v>
      </c>
      <c r="M382" s="133" t="s">
        <v>136</v>
      </c>
      <c r="N382" s="135" t="s">
        <v>254</v>
      </c>
      <c r="O382" s="135"/>
      <c r="P382" s="135" t="s">
        <v>462</v>
      </c>
      <c r="Q382" s="135" t="str">
        <f t="shared" si="16"/>
        <v>627</v>
      </c>
      <c r="R382" s="135" t="str">
        <f>_xlfn.XLOOKUP($L382,MD_Cost_Center[Mã Cost Center],MD_Cost_Center[Ngành])</f>
        <v>PET</v>
      </c>
      <c r="S382" s="135" t="str">
        <f>_xlfn.XLOOKUP($L382,MD_Cost_Center[Mã Cost Center],MD_Cost_Center[Ngành-Tách PET-Xơ sợi])</f>
        <v>Chung-PET</v>
      </c>
      <c r="T382" s="136">
        <v>46023</v>
      </c>
      <c r="U382" s="137">
        <v>50406</v>
      </c>
      <c r="V382" s="138">
        <v>144</v>
      </c>
      <c r="W382" s="138">
        <v>792000000</v>
      </c>
      <c r="X382" s="138">
        <v>-5500000</v>
      </c>
      <c r="Y382" s="138">
        <v>792000000</v>
      </c>
      <c r="Z382" s="138">
        <v>792000000</v>
      </c>
      <c r="AA382" s="138">
        <v>792000000</v>
      </c>
      <c r="AB382" s="138">
        <v>792000000</v>
      </c>
      <c r="AC382" s="138">
        <v>792000000</v>
      </c>
      <c r="AD382" s="138">
        <v>792000000</v>
      </c>
      <c r="AE382" s="138">
        <v>792000000</v>
      </c>
      <c r="AF382" s="138">
        <v>792000000</v>
      </c>
      <c r="AG382" s="138">
        <v>792000000</v>
      </c>
      <c r="AH382" s="138">
        <v>792000000</v>
      </c>
      <c r="AI382" s="138">
        <v>792000000</v>
      </c>
      <c r="AJ382" s="138">
        <v>792000000</v>
      </c>
      <c r="AK382" s="138">
        <v>792000000</v>
      </c>
      <c r="AL382" s="138">
        <v>0</v>
      </c>
      <c r="AM382" s="138"/>
      <c r="AN382" s="138">
        <f t="shared" ref="AN382:AY384" si="19">IF($T382&lt;AN$6,$X382,0)</f>
        <v>-5500000</v>
      </c>
      <c r="AO382" s="138">
        <f t="shared" si="19"/>
        <v>-5500000</v>
      </c>
      <c r="AP382" s="138">
        <f t="shared" si="19"/>
        <v>-5500000</v>
      </c>
      <c r="AQ382" s="138">
        <f t="shared" si="19"/>
        <v>-5500000</v>
      </c>
      <c r="AR382" s="138">
        <f t="shared" si="19"/>
        <v>-5500000</v>
      </c>
      <c r="AS382" s="138">
        <f t="shared" si="19"/>
        <v>-5500000</v>
      </c>
      <c r="AT382" s="138">
        <f t="shared" si="19"/>
        <v>-5500000</v>
      </c>
      <c r="AU382" s="138">
        <f t="shared" si="19"/>
        <v>-5500000</v>
      </c>
      <c r="AV382" s="138">
        <f t="shared" si="19"/>
        <v>-5500000</v>
      </c>
      <c r="AW382" s="138">
        <f t="shared" si="19"/>
        <v>-5500000</v>
      </c>
      <c r="AX382" s="138">
        <f t="shared" si="19"/>
        <v>-5500000</v>
      </c>
      <c r="AY382" s="138">
        <f t="shared" si="19"/>
        <v>-5500000</v>
      </c>
      <c r="AZ382" s="139">
        <f t="shared" si="18"/>
        <v>-66000000</v>
      </c>
      <c r="BA382" s="138">
        <f>Y382+SUM($AM382:AM382)</f>
        <v>792000000</v>
      </c>
      <c r="BB382" s="138">
        <f>Z382+SUM($AM382:AN382)</f>
        <v>786500000</v>
      </c>
      <c r="BC382" s="138">
        <f>AA382+SUM($AM382:AO382)</f>
        <v>781000000</v>
      </c>
      <c r="BD382" s="138">
        <f>AB382+SUM($AM382:AP382)</f>
        <v>775500000</v>
      </c>
      <c r="BE382" s="138">
        <f>AC382+SUM($AM382:AQ382)</f>
        <v>770000000</v>
      </c>
      <c r="BF382" s="138">
        <f>AD382+SUM($AM382:AR382)</f>
        <v>764500000</v>
      </c>
      <c r="BG382" s="138">
        <f>AE382+SUM($AM382:AS382)</f>
        <v>759000000</v>
      </c>
      <c r="BH382" s="138">
        <f>AF382+SUM($AM382:AT382)</f>
        <v>753500000</v>
      </c>
      <c r="BI382" s="138">
        <f>AG382+SUM($AM382:AU382)</f>
        <v>748000000</v>
      </c>
      <c r="BJ382" s="138">
        <f>AH382+SUM($AM382:AV382)</f>
        <v>742500000</v>
      </c>
      <c r="BK382" s="138">
        <f>AI382+SUM($AM382:AW382)</f>
        <v>737000000</v>
      </c>
      <c r="BL382" s="138">
        <f>AJ382+SUM($AM382:AX382)</f>
        <v>731500000</v>
      </c>
      <c r="BM382" s="138">
        <f>AK382+SUM($AM382:AY382)</f>
        <v>726000000</v>
      </c>
      <c r="BO382" s="138"/>
    </row>
    <row r="383" spans="3:67" s="132" customFormat="1" x14ac:dyDescent="0.3">
      <c r="C383" s="132" t="s">
        <v>1474</v>
      </c>
      <c r="D383" s="133" t="s">
        <v>338</v>
      </c>
      <c r="E383" s="219" t="str">
        <f t="shared" si="17"/>
        <v>211</v>
      </c>
      <c r="F383" s="132" t="str">
        <f>_xlfn.XLOOKUP($D383,MD_Account_Asset_Type[Nhóm tài sản],MD_Account_Asset_Type[Tên Nhóm tài sản])</f>
        <v>Máy móc, thiết bị - SX 627</v>
      </c>
      <c r="G383" s="132" t="str">
        <f>_xlfn.XLOOKUP($D383,MD_Account_Asset_Type[Nhóm tài sản],MD_Account_Asset_Type[Tên nhóm TS-Rút gọn])</f>
        <v>Máy móc thiết bị</v>
      </c>
      <c r="H383" s="132" t="str">
        <f>_xlfn.XLOOKUP($D383,MD_Account_Asset_Type[Nhóm tài sản],MD_Account_Asset_Type[Tên nhóm TS-Rút gọn-v2])</f>
        <v>Máy móc thiết bị</v>
      </c>
      <c r="I383" s="134" t="s">
        <v>1542</v>
      </c>
      <c r="J383" s="133" t="s">
        <v>1560</v>
      </c>
      <c r="K383" s="132" t="s">
        <v>830</v>
      </c>
      <c r="L383" s="133" t="s">
        <v>70</v>
      </c>
      <c r="M383" s="133" t="s">
        <v>145</v>
      </c>
      <c r="N383" s="135" t="s">
        <v>263</v>
      </c>
      <c r="O383" s="135"/>
      <c r="P383" s="135" t="s">
        <v>462</v>
      </c>
      <c r="Q383" s="135" t="str">
        <f t="shared" si="16"/>
        <v>627</v>
      </c>
      <c r="R383" s="135" t="str">
        <f>_xlfn.XLOOKUP($L383,MD_Cost_Center[Mã Cost Center],MD_Cost_Center[Ngành])</f>
        <v>PET</v>
      </c>
      <c r="S383" s="135" t="str">
        <f>_xlfn.XLOOKUP($L383,MD_Cost_Center[Mã Cost Center],MD_Cost_Center[Ngành-Tách PET-Xơ sợi])</f>
        <v>Chung-PET</v>
      </c>
      <c r="T383" s="136">
        <v>46023</v>
      </c>
      <c r="U383" s="137">
        <v>50406</v>
      </c>
      <c r="V383" s="138">
        <v>144</v>
      </c>
      <c r="W383" s="138">
        <v>792000000</v>
      </c>
      <c r="X383" s="138">
        <v>-5500000</v>
      </c>
      <c r="Y383" s="138">
        <v>792000000</v>
      </c>
      <c r="Z383" s="138">
        <v>792000000</v>
      </c>
      <c r="AA383" s="138">
        <v>792000000</v>
      </c>
      <c r="AB383" s="138">
        <v>792000000</v>
      </c>
      <c r="AC383" s="138">
        <v>792000000</v>
      </c>
      <c r="AD383" s="138">
        <v>792000000</v>
      </c>
      <c r="AE383" s="138">
        <v>792000000</v>
      </c>
      <c r="AF383" s="138">
        <v>792000000</v>
      </c>
      <c r="AG383" s="138">
        <v>792000000</v>
      </c>
      <c r="AH383" s="138">
        <v>792000000</v>
      </c>
      <c r="AI383" s="138">
        <v>792000000</v>
      </c>
      <c r="AJ383" s="138">
        <v>792000000</v>
      </c>
      <c r="AK383" s="138">
        <v>792000000</v>
      </c>
      <c r="AL383" s="138">
        <v>0</v>
      </c>
      <c r="AM383" s="138"/>
      <c r="AN383" s="138">
        <f t="shared" si="19"/>
        <v>-5500000</v>
      </c>
      <c r="AO383" s="138">
        <f t="shared" si="19"/>
        <v>-5500000</v>
      </c>
      <c r="AP383" s="138">
        <f t="shared" si="19"/>
        <v>-5500000</v>
      </c>
      <c r="AQ383" s="138">
        <f t="shared" si="19"/>
        <v>-5500000</v>
      </c>
      <c r="AR383" s="138">
        <f t="shared" si="19"/>
        <v>-5500000</v>
      </c>
      <c r="AS383" s="138">
        <f t="shared" si="19"/>
        <v>-5500000</v>
      </c>
      <c r="AT383" s="138">
        <f t="shared" si="19"/>
        <v>-5500000</v>
      </c>
      <c r="AU383" s="138">
        <f t="shared" si="19"/>
        <v>-5500000</v>
      </c>
      <c r="AV383" s="138">
        <f t="shared" si="19"/>
        <v>-5500000</v>
      </c>
      <c r="AW383" s="138">
        <f t="shared" si="19"/>
        <v>-5500000</v>
      </c>
      <c r="AX383" s="138">
        <f t="shared" si="19"/>
        <v>-5500000</v>
      </c>
      <c r="AY383" s="138">
        <f t="shared" si="19"/>
        <v>-5500000</v>
      </c>
      <c r="AZ383" s="139">
        <f t="shared" si="18"/>
        <v>-66000000</v>
      </c>
      <c r="BA383" s="138">
        <f>Y383+SUM($AM383:AM383)</f>
        <v>792000000</v>
      </c>
      <c r="BB383" s="138">
        <f>Z383+SUM($AM383:AN383)</f>
        <v>786500000</v>
      </c>
      <c r="BC383" s="138">
        <f>AA383+SUM($AM383:AO383)</f>
        <v>781000000</v>
      </c>
      <c r="BD383" s="138">
        <f>AB383+SUM($AM383:AP383)</f>
        <v>775500000</v>
      </c>
      <c r="BE383" s="138">
        <f>AC383+SUM($AM383:AQ383)</f>
        <v>770000000</v>
      </c>
      <c r="BF383" s="138">
        <f>AD383+SUM($AM383:AR383)</f>
        <v>764500000</v>
      </c>
      <c r="BG383" s="138">
        <f>AE383+SUM($AM383:AS383)</f>
        <v>759000000</v>
      </c>
      <c r="BH383" s="138">
        <f>AF383+SUM($AM383:AT383)</f>
        <v>753500000</v>
      </c>
      <c r="BI383" s="138">
        <f>AG383+SUM($AM383:AU383)</f>
        <v>748000000</v>
      </c>
      <c r="BJ383" s="138">
        <f>AH383+SUM($AM383:AV383)</f>
        <v>742500000</v>
      </c>
      <c r="BK383" s="138">
        <f>AI383+SUM($AM383:AW383)</f>
        <v>737000000</v>
      </c>
      <c r="BL383" s="138">
        <f>AJ383+SUM($AM383:AX383)</f>
        <v>731500000</v>
      </c>
      <c r="BM383" s="138">
        <f>AK383+SUM($AM383:AY383)</f>
        <v>726000000</v>
      </c>
      <c r="BO383" s="138"/>
    </row>
    <row r="384" spans="3:67" s="132" customFormat="1" x14ac:dyDescent="0.3">
      <c r="C384" s="132" t="s">
        <v>1474</v>
      </c>
      <c r="D384" s="133" t="s">
        <v>338</v>
      </c>
      <c r="E384" s="219" t="str">
        <f t="shared" si="17"/>
        <v>211</v>
      </c>
      <c r="F384" s="132" t="str">
        <f>_xlfn.XLOOKUP($D384,MD_Account_Asset_Type[Nhóm tài sản],MD_Account_Asset_Type[Tên Nhóm tài sản])</f>
        <v>Máy móc, thiết bị - SX 627</v>
      </c>
      <c r="G384" s="132" t="str">
        <f>_xlfn.XLOOKUP($D384,MD_Account_Asset_Type[Nhóm tài sản],MD_Account_Asset_Type[Tên nhóm TS-Rút gọn])</f>
        <v>Máy móc thiết bị</v>
      </c>
      <c r="H384" s="132" t="str">
        <f>_xlfn.XLOOKUP($D384,MD_Account_Asset_Type[Nhóm tài sản],MD_Account_Asset_Type[Tên nhóm TS-Rút gọn-v2])</f>
        <v>Máy móc thiết bị</v>
      </c>
      <c r="I384" s="134" t="s">
        <v>1543</v>
      </c>
      <c r="J384" s="133" t="s">
        <v>1561</v>
      </c>
      <c r="K384" s="132" t="s">
        <v>830</v>
      </c>
      <c r="L384" s="133" t="s">
        <v>71</v>
      </c>
      <c r="M384" s="133" t="s">
        <v>146</v>
      </c>
      <c r="N384" s="135" t="s">
        <v>264</v>
      </c>
      <c r="O384" s="135"/>
      <c r="P384" s="135" t="s">
        <v>462</v>
      </c>
      <c r="Q384" s="135" t="str">
        <f t="shared" si="16"/>
        <v>627</v>
      </c>
      <c r="R384" s="135" t="str">
        <f>_xlfn.XLOOKUP($L384,MD_Cost_Center[Mã Cost Center],MD_Cost_Center[Ngành])</f>
        <v>PET</v>
      </c>
      <c r="S384" s="135" t="str">
        <f>_xlfn.XLOOKUP($L384,MD_Cost_Center[Mã Cost Center],MD_Cost_Center[Ngành-Tách PET-Xơ sợi])</f>
        <v>Chung-PET</v>
      </c>
      <c r="T384" s="136">
        <v>46023</v>
      </c>
      <c r="U384" s="137">
        <v>50406</v>
      </c>
      <c r="V384" s="138">
        <v>144</v>
      </c>
      <c r="W384" s="138">
        <v>792000000</v>
      </c>
      <c r="X384" s="138">
        <v>-5500000</v>
      </c>
      <c r="Y384" s="138">
        <v>792000000</v>
      </c>
      <c r="Z384" s="138">
        <v>792000000</v>
      </c>
      <c r="AA384" s="138">
        <v>792000000</v>
      </c>
      <c r="AB384" s="138">
        <v>792000000</v>
      </c>
      <c r="AC384" s="138">
        <v>792000000</v>
      </c>
      <c r="AD384" s="138">
        <v>792000000</v>
      </c>
      <c r="AE384" s="138">
        <v>792000000</v>
      </c>
      <c r="AF384" s="138">
        <v>792000000</v>
      </c>
      <c r="AG384" s="138">
        <v>792000000</v>
      </c>
      <c r="AH384" s="138">
        <v>792000000</v>
      </c>
      <c r="AI384" s="138">
        <v>792000000</v>
      </c>
      <c r="AJ384" s="138">
        <v>792000000</v>
      </c>
      <c r="AK384" s="138">
        <v>792000000</v>
      </c>
      <c r="AL384" s="138">
        <v>0</v>
      </c>
      <c r="AM384" s="138"/>
      <c r="AN384" s="138">
        <f t="shared" si="19"/>
        <v>-5500000</v>
      </c>
      <c r="AO384" s="138">
        <f t="shared" si="19"/>
        <v>-5500000</v>
      </c>
      <c r="AP384" s="138">
        <f t="shared" si="19"/>
        <v>-5500000</v>
      </c>
      <c r="AQ384" s="138">
        <f t="shared" si="19"/>
        <v>-5500000</v>
      </c>
      <c r="AR384" s="138">
        <f t="shared" si="19"/>
        <v>-5500000</v>
      </c>
      <c r="AS384" s="138">
        <f t="shared" si="19"/>
        <v>-5500000</v>
      </c>
      <c r="AT384" s="138">
        <f t="shared" si="19"/>
        <v>-5500000</v>
      </c>
      <c r="AU384" s="138">
        <f t="shared" si="19"/>
        <v>-5500000</v>
      </c>
      <c r="AV384" s="138">
        <f t="shared" si="19"/>
        <v>-5500000</v>
      </c>
      <c r="AW384" s="138">
        <f t="shared" si="19"/>
        <v>-5500000</v>
      </c>
      <c r="AX384" s="138">
        <f t="shared" si="19"/>
        <v>-5500000</v>
      </c>
      <c r="AY384" s="138">
        <f t="shared" si="19"/>
        <v>-5500000</v>
      </c>
      <c r="AZ384" s="139">
        <f t="shared" si="18"/>
        <v>-66000000</v>
      </c>
      <c r="BA384" s="138">
        <f>Y384+SUM($AM384:AM384)</f>
        <v>792000000</v>
      </c>
      <c r="BB384" s="138">
        <f>Z384+SUM($AM384:AN384)</f>
        <v>786500000</v>
      </c>
      <c r="BC384" s="138">
        <f>AA384+SUM($AM384:AO384)</f>
        <v>781000000</v>
      </c>
      <c r="BD384" s="138">
        <f>AB384+SUM($AM384:AP384)</f>
        <v>775500000</v>
      </c>
      <c r="BE384" s="138">
        <f>AC384+SUM($AM384:AQ384)</f>
        <v>770000000</v>
      </c>
      <c r="BF384" s="138">
        <f>AD384+SUM($AM384:AR384)</f>
        <v>764500000</v>
      </c>
      <c r="BG384" s="138">
        <f>AE384+SUM($AM384:AS384)</f>
        <v>759000000</v>
      </c>
      <c r="BH384" s="138">
        <f>AF384+SUM($AM384:AT384)</f>
        <v>753500000</v>
      </c>
      <c r="BI384" s="138">
        <f>AG384+SUM($AM384:AU384)</f>
        <v>748000000</v>
      </c>
      <c r="BJ384" s="138">
        <f>AH384+SUM($AM384:AV384)</f>
        <v>742500000</v>
      </c>
      <c r="BK384" s="138">
        <f>AI384+SUM($AM384:AW384)</f>
        <v>737000000</v>
      </c>
      <c r="BL384" s="138">
        <f>AJ384+SUM($AM384:AX384)</f>
        <v>731500000</v>
      </c>
      <c r="BM384" s="138">
        <f>AK384+SUM($AM384:AY384)</f>
        <v>726000000</v>
      </c>
      <c r="BO384" s="138"/>
    </row>
    <row r="385" spans="3:67" s="132" customFormat="1" hidden="1" x14ac:dyDescent="0.3">
      <c r="C385" s="132" t="s">
        <v>1474</v>
      </c>
      <c r="D385" s="133" t="s">
        <v>338</v>
      </c>
      <c r="E385" s="219" t="str">
        <f t="shared" si="17"/>
        <v>211</v>
      </c>
      <c r="F385" s="132" t="str">
        <f>_xlfn.XLOOKUP($D385,MD_Account_Asset_Type[Nhóm tài sản],MD_Account_Asset_Type[Tên Nhóm tài sản])</f>
        <v>Máy móc, thiết bị - SX 627</v>
      </c>
      <c r="G385" s="132" t="str">
        <f>_xlfn.XLOOKUP($D385,MD_Account_Asset_Type[Nhóm tài sản],MD_Account_Asset_Type[Tên nhóm TS-Rút gọn])</f>
        <v>Máy móc thiết bị</v>
      </c>
      <c r="H385" s="132" t="str">
        <f>_xlfn.XLOOKUP($D385,MD_Account_Asset_Type[Nhóm tài sản],MD_Account_Asset_Type[Tên nhóm TS-Rút gọn-v2])</f>
        <v>Máy móc thiết bị</v>
      </c>
      <c r="I385" s="134" t="s">
        <v>1544</v>
      </c>
      <c r="J385" s="133" t="s">
        <v>1554</v>
      </c>
      <c r="K385" s="132" t="s">
        <v>830</v>
      </c>
      <c r="L385" s="133" t="s">
        <v>54</v>
      </c>
      <c r="M385" s="133" t="s">
        <v>129</v>
      </c>
      <c r="N385" s="135" t="s">
        <v>247</v>
      </c>
      <c r="O385" s="135"/>
      <c r="P385" s="135" t="s">
        <v>462</v>
      </c>
      <c r="Q385" s="135" t="str">
        <f t="shared" si="16"/>
        <v>627</v>
      </c>
      <c r="R385" s="135" t="str">
        <f>_xlfn.XLOOKUP($L385,MD_Cost_Center[Mã Cost Center],MD_Cost_Center[Ngành])</f>
        <v>PET</v>
      </c>
      <c r="S385" s="135" t="str">
        <f>_xlfn.XLOOKUP($L385,MD_Cost_Center[Mã Cost Center],MD_Cost_Center[Ngành-Tách PET-Xơ sợi])</f>
        <v>PET</v>
      </c>
      <c r="T385" s="136">
        <v>45992</v>
      </c>
      <c r="U385" s="137">
        <v>50375</v>
      </c>
      <c r="V385" s="138">
        <v>144</v>
      </c>
      <c r="W385" s="138">
        <v>651133333</v>
      </c>
      <c r="X385" s="138">
        <v>-4521759</v>
      </c>
      <c r="Y385" s="138">
        <v>651133333</v>
      </c>
      <c r="Z385" s="138">
        <v>651133333</v>
      </c>
      <c r="AA385" s="138">
        <v>651133333</v>
      </c>
      <c r="AB385" s="138">
        <v>651133333</v>
      </c>
      <c r="AC385" s="138">
        <v>651133333</v>
      </c>
      <c r="AD385" s="138">
        <v>651133333</v>
      </c>
      <c r="AE385" s="138">
        <v>651133333</v>
      </c>
      <c r="AF385" s="138">
        <v>651133333</v>
      </c>
      <c r="AG385" s="138">
        <v>651133333</v>
      </c>
      <c r="AH385" s="138">
        <v>651133333</v>
      </c>
      <c r="AI385" s="138">
        <v>651133333</v>
      </c>
      <c r="AJ385" s="138">
        <v>651133333</v>
      </c>
      <c r="AK385" s="138">
        <v>651133333</v>
      </c>
      <c r="AL385" s="138">
        <v>-4521759</v>
      </c>
      <c r="AM385" s="138">
        <v>-4521759</v>
      </c>
      <c r="AN385" s="138">
        <v>-4521759</v>
      </c>
      <c r="AO385" s="138">
        <v>-4521759</v>
      </c>
      <c r="AP385" s="138">
        <v>-4521759</v>
      </c>
      <c r="AQ385" s="138">
        <v>-4521759</v>
      </c>
      <c r="AR385" s="138">
        <v>-4521759</v>
      </c>
      <c r="AS385" s="138">
        <v>-4521759</v>
      </c>
      <c r="AT385" s="138">
        <v>-4521759</v>
      </c>
      <c r="AU385" s="138">
        <v>-4521759</v>
      </c>
      <c r="AV385" s="138">
        <v>-4521759</v>
      </c>
      <c r="AW385" s="138">
        <v>-4521759</v>
      </c>
      <c r="AX385" s="138">
        <v>-4521759</v>
      </c>
      <c r="AY385" s="138">
        <v>-4521759</v>
      </c>
      <c r="AZ385" s="139">
        <f t="shared" si="18"/>
        <v>-54261108</v>
      </c>
      <c r="BA385" s="138">
        <f>Y385+SUM($AM385:AM385)</f>
        <v>646611574</v>
      </c>
      <c r="BB385" s="138">
        <f>Z385+SUM($AM385:AN385)</f>
        <v>642089815</v>
      </c>
      <c r="BC385" s="138">
        <f>AA385+SUM($AM385:AO385)</f>
        <v>637568056</v>
      </c>
      <c r="BD385" s="138">
        <f>AB385+SUM($AM385:AP385)</f>
        <v>633046297</v>
      </c>
      <c r="BE385" s="138">
        <f>AC385+SUM($AM385:AQ385)</f>
        <v>628524538</v>
      </c>
      <c r="BF385" s="138">
        <f>AD385+SUM($AM385:AR385)</f>
        <v>624002779</v>
      </c>
      <c r="BG385" s="138">
        <f>AE385+SUM($AM385:AS385)</f>
        <v>619481020</v>
      </c>
      <c r="BH385" s="138">
        <f>AF385+SUM($AM385:AT385)</f>
        <v>614959261</v>
      </c>
      <c r="BI385" s="138">
        <f>AG385+SUM($AM385:AU385)</f>
        <v>610437502</v>
      </c>
      <c r="BJ385" s="138">
        <f>AH385+SUM($AM385:AV385)</f>
        <v>605915743</v>
      </c>
      <c r="BK385" s="138">
        <f>AI385+SUM($AM385:AW385)</f>
        <v>601393984</v>
      </c>
      <c r="BL385" s="138">
        <f>AJ385+SUM($AM385:AX385)</f>
        <v>596872225</v>
      </c>
      <c r="BM385" s="138">
        <f>AK385+SUM($AM385:AY385)</f>
        <v>592350466</v>
      </c>
      <c r="BO385" s="138"/>
    </row>
    <row r="386" spans="3:67" s="132" customFormat="1" hidden="1" x14ac:dyDescent="0.3">
      <c r="C386" s="132" t="s">
        <v>1474</v>
      </c>
      <c r="D386" s="133" t="s">
        <v>338</v>
      </c>
      <c r="E386" s="219" t="str">
        <f t="shared" si="17"/>
        <v>211</v>
      </c>
      <c r="F386" s="132" t="str">
        <f>_xlfn.XLOOKUP($D386,MD_Account_Asset_Type[Nhóm tài sản],MD_Account_Asset_Type[Tên Nhóm tài sản])</f>
        <v>Máy móc, thiết bị - SX 627</v>
      </c>
      <c r="G386" s="132" t="str">
        <f>_xlfn.XLOOKUP($D386,MD_Account_Asset_Type[Nhóm tài sản],MD_Account_Asset_Type[Tên nhóm TS-Rút gọn])</f>
        <v>Máy móc thiết bị</v>
      </c>
      <c r="H386" s="132" t="str">
        <f>_xlfn.XLOOKUP($D386,MD_Account_Asset_Type[Nhóm tài sản],MD_Account_Asset_Type[Tên nhóm TS-Rút gọn-v2])</f>
        <v>Máy móc thiết bị</v>
      </c>
      <c r="I386" s="134" t="s">
        <v>1545</v>
      </c>
      <c r="J386" s="133" t="s">
        <v>1555</v>
      </c>
      <c r="K386" s="132" t="s">
        <v>830</v>
      </c>
      <c r="L386" s="133" t="s">
        <v>62</v>
      </c>
      <c r="M386" s="133" t="s">
        <v>137</v>
      </c>
      <c r="N386" s="135" t="s">
        <v>1557</v>
      </c>
      <c r="O386" s="135"/>
      <c r="P386" s="135" t="s">
        <v>462</v>
      </c>
      <c r="Q386" s="135" t="str">
        <f t="shared" si="16"/>
        <v>627</v>
      </c>
      <c r="R386" s="135" t="str">
        <f>_xlfn.XLOOKUP($L386,MD_Cost_Center[Mã Cost Center],MD_Cost_Center[Ngành])</f>
        <v>PET</v>
      </c>
      <c r="S386" s="135" t="str">
        <f>_xlfn.XLOOKUP($L386,MD_Cost_Center[Mã Cost Center],MD_Cost_Center[Ngành-Tách PET-Xơ sợi])</f>
        <v>PET</v>
      </c>
      <c r="T386" s="136">
        <v>45992</v>
      </c>
      <c r="U386" s="137">
        <v>50375</v>
      </c>
      <c r="V386" s="138">
        <v>144</v>
      </c>
      <c r="W386" s="138">
        <v>651133333</v>
      </c>
      <c r="X386" s="138">
        <v>-4521759</v>
      </c>
      <c r="Y386" s="138">
        <v>651133333</v>
      </c>
      <c r="Z386" s="138">
        <v>651133333</v>
      </c>
      <c r="AA386" s="138">
        <v>651133333</v>
      </c>
      <c r="AB386" s="138">
        <v>651133333</v>
      </c>
      <c r="AC386" s="138">
        <v>651133333</v>
      </c>
      <c r="AD386" s="138">
        <v>651133333</v>
      </c>
      <c r="AE386" s="138">
        <v>651133333</v>
      </c>
      <c r="AF386" s="138">
        <v>651133333</v>
      </c>
      <c r="AG386" s="138">
        <v>651133333</v>
      </c>
      <c r="AH386" s="138">
        <v>651133333</v>
      </c>
      <c r="AI386" s="138">
        <v>651133333</v>
      </c>
      <c r="AJ386" s="138">
        <v>651133333</v>
      </c>
      <c r="AK386" s="138">
        <v>651133333</v>
      </c>
      <c r="AL386" s="138">
        <v>-4521759</v>
      </c>
      <c r="AM386" s="138">
        <v>-4521759</v>
      </c>
      <c r="AN386" s="138">
        <v>-4521759</v>
      </c>
      <c r="AO386" s="138">
        <v>-4521759</v>
      </c>
      <c r="AP386" s="138">
        <v>-4521759</v>
      </c>
      <c r="AQ386" s="138">
        <v>-4521759</v>
      </c>
      <c r="AR386" s="138">
        <v>-4521759</v>
      </c>
      <c r="AS386" s="138">
        <v>-4521759</v>
      </c>
      <c r="AT386" s="138">
        <v>-4521759</v>
      </c>
      <c r="AU386" s="138">
        <v>-4521759</v>
      </c>
      <c r="AV386" s="138">
        <v>-4521759</v>
      </c>
      <c r="AW386" s="138">
        <v>-4521759</v>
      </c>
      <c r="AX386" s="138">
        <v>-4521759</v>
      </c>
      <c r="AY386" s="138">
        <v>-4521759</v>
      </c>
      <c r="AZ386" s="139">
        <f t="shared" si="18"/>
        <v>-54261108</v>
      </c>
      <c r="BA386" s="138">
        <f>Y386+SUM($AM386:AM386)</f>
        <v>646611574</v>
      </c>
      <c r="BB386" s="138">
        <f>Z386+SUM($AM386:AN386)</f>
        <v>642089815</v>
      </c>
      <c r="BC386" s="138">
        <f>AA386+SUM($AM386:AO386)</f>
        <v>637568056</v>
      </c>
      <c r="BD386" s="138">
        <f>AB386+SUM($AM386:AP386)</f>
        <v>633046297</v>
      </c>
      <c r="BE386" s="138">
        <f>AC386+SUM($AM386:AQ386)</f>
        <v>628524538</v>
      </c>
      <c r="BF386" s="138">
        <f>AD386+SUM($AM386:AR386)</f>
        <v>624002779</v>
      </c>
      <c r="BG386" s="138">
        <f>AE386+SUM($AM386:AS386)</f>
        <v>619481020</v>
      </c>
      <c r="BH386" s="138">
        <f>AF386+SUM($AM386:AT386)</f>
        <v>614959261</v>
      </c>
      <c r="BI386" s="138">
        <f>AG386+SUM($AM386:AU386)</f>
        <v>610437502</v>
      </c>
      <c r="BJ386" s="138">
        <f>AH386+SUM($AM386:AV386)</f>
        <v>605915743</v>
      </c>
      <c r="BK386" s="138">
        <f>AI386+SUM($AM386:AW386)</f>
        <v>601393984</v>
      </c>
      <c r="BL386" s="138">
        <f>AJ386+SUM($AM386:AX386)</f>
        <v>596872225</v>
      </c>
      <c r="BM386" s="138">
        <f>AK386+SUM($AM386:AY386)</f>
        <v>592350466</v>
      </c>
      <c r="BO386" s="138"/>
    </row>
    <row r="387" spans="3:67" s="132" customFormat="1" hidden="1" x14ac:dyDescent="0.3">
      <c r="C387" s="132" t="s">
        <v>1474</v>
      </c>
      <c r="D387" s="133" t="s">
        <v>338</v>
      </c>
      <c r="E387" s="219" t="str">
        <f t="shared" si="17"/>
        <v>211</v>
      </c>
      <c r="F387" s="132" t="str">
        <f>_xlfn.XLOOKUP($D387,MD_Account_Asset_Type[Nhóm tài sản],MD_Account_Asset_Type[Tên Nhóm tài sản])</f>
        <v>Máy móc, thiết bị - SX 627</v>
      </c>
      <c r="G387" s="132" t="str">
        <f>_xlfn.XLOOKUP($D387,MD_Account_Asset_Type[Nhóm tài sản],MD_Account_Asset_Type[Tên nhóm TS-Rút gọn])</f>
        <v>Máy móc thiết bị</v>
      </c>
      <c r="H387" s="132" t="str">
        <f>_xlfn.XLOOKUP($D387,MD_Account_Asset_Type[Nhóm tài sản],MD_Account_Asset_Type[Tên nhóm TS-Rút gọn-v2])</f>
        <v>Máy móc thiết bị</v>
      </c>
      <c r="I387" s="134" t="s">
        <v>1546</v>
      </c>
      <c r="J387" s="133" t="s">
        <v>1556</v>
      </c>
      <c r="K387" s="132" t="s">
        <v>830</v>
      </c>
      <c r="L387" s="133" t="s">
        <v>79</v>
      </c>
      <c r="M387" s="133" t="s">
        <v>154</v>
      </c>
      <c r="N387" s="135" t="s">
        <v>272</v>
      </c>
      <c r="O387" s="135"/>
      <c r="P387" s="135" t="s">
        <v>462</v>
      </c>
      <c r="Q387" s="135" t="str">
        <f t="shared" ref="Q387:Q451" si="20">LEFT($P387,3)</f>
        <v>627</v>
      </c>
      <c r="R387" s="135" t="str">
        <f>_xlfn.XLOOKUP($L387,MD_Cost_Center[Mã Cost Center],MD_Cost_Center[Ngành])</f>
        <v>PET</v>
      </c>
      <c r="S387" s="135" t="str">
        <f>_xlfn.XLOOKUP($L387,MD_Cost_Center[Mã Cost Center],MD_Cost_Center[Ngành-Tách PET-Xơ sợi])</f>
        <v>PET</v>
      </c>
      <c r="T387" s="136">
        <v>45992</v>
      </c>
      <c r="U387" s="137">
        <v>50375</v>
      </c>
      <c r="V387" s="138">
        <v>144</v>
      </c>
      <c r="W387" s="138">
        <v>651133334</v>
      </c>
      <c r="X387" s="138">
        <v>-4521759</v>
      </c>
      <c r="Y387" s="138">
        <v>651133334</v>
      </c>
      <c r="Z387" s="138">
        <v>651133334</v>
      </c>
      <c r="AA387" s="138">
        <v>651133334</v>
      </c>
      <c r="AB387" s="138">
        <v>651133334</v>
      </c>
      <c r="AC387" s="138">
        <v>651133334</v>
      </c>
      <c r="AD387" s="138">
        <v>651133334</v>
      </c>
      <c r="AE387" s="138">
        <v>651133334</v>
      </c>
      <c r="AF387" s="138">
        <v>651133334</v>
      </c>
      <c r="AG387" s="138">
        <v>651133334</v>
      </c>
      <c r="AH387" s="138">
        <v>651133334</v>
      </c>
      <c r="AI387" s="138">
        <v>651133334</v>
      </c>
      <c r="AJ387" s="138">
        <v>651133334</v>
      </c>
      <c r="AK387" s="138">
        <v>651133334</v>
      </c>
      <c r="AL387" s="138">
        <v>-4521759</v>
      </c>
      <c r="AM387" s="138">
        <v>-4521759</v>
      </c>
      <c r="AN387" s="138">
        <v>-4521759</v>
      </c>
      <c r="AO387" s="138">
        <v>-4521759</v>
      </c>
      <c r="AP387" s="138">
        <v>-4521759</v>
      </c>
      <c r="AQ387" s="138">
        <v>-4521759</v>
      </c>
      <c r="AR387" s="138">
        <v>-4521759</v>
      </c>
      <c r="AS387" s="138">
        <v>-4521759</v>
      </c>
      <c r="AT387" s="138">
        <v>-4521759</v>
      </c>
      <c r="AU387" s="138">
        <v>-4521759</v>
      </c>
      <c r="AV387" s="138">
        <v>-4521759</v>
      </c>
      <c r="AW387" s="138">
        <v>-4521759</v>
      </c>
      <c r="AX387" s="138">
        <v>-4521759</v>
      </c>
      <c r="AY387" s="138">
        <v>-4521759</v>
      </c>
      <c r="AZ387" s="139">
        <f t="shared" si="18"/>
        <v>-54261108</v>
      </c>
      <c r="BA387" s="138">
        <f>Y387+SUM($AM387:AM387)</f>
        <v>646611575</v>
      </c>
      <c r="BB387" s="138">
        <f>Z387+SUM($AM387:AN387)</f>
        <v>642089816</v>
      </c>
      <c r="BC387" s="138">
        <f>AA387+SUM($AM387:AO387)</f>
        <v>637568057</v>
      </c>
      <c r="BD387" s="138">
        <f>AB387+SUM($AM387:AP387)</f>
        <v>633046298</v>
      </c>
      <c r="BE387" s="138">
        <f>AC387+SUM($AM387:AQ387)</f>
        <v>628524539</v>
      </c>
      <c r="BF387" s="138">
        <f>AD387+SUM($AM387:AR387)</f>
        <v>624002780</v>
      </c>
      <c r="BG387" s="138">
        <f>AE387+SUM($AM387:AS387)</f>
        <v>619481021</v>
      </c>
      <c r="BH387" s="138">
        <f>AF387+SUM($AM387:AT387)</f>
        <v>614959262</v>
      </c>
      <c r="BI387" s="138">
        <f>AG387+SUM($AM387:AU387)</f>
        <v>610437503</v>
      </c>
      <c r="BJ387" s="138">
        <f>AH387+SUM($AM387:AV387)</f>
        <v>605915744</v>
      </c>
      <c r="BK387" s="138">
        <f>AI387+SUM($AM387:AW387)</f>
        <v>601393985</v>
      </c>
      <c r="BL387" s="138">
        <f>AJ387+SUM($AM387:AX387)</f>
        <v>596872226</v>
      </c>
      <c r="BM387" s="138">
        <f>AK387+SUM($AM387:AY387)</f>
        <v>592350467</v>
      </c>
      <c r="BO387" s="138"/>
    </row>
    <row r="388" spans="3:67" s="132" customFormat="1" hidden="1" x14ac:dyDescent="0.3">
      <c r="C388" s="132" t="s">
        <v>1474</v>
      </c>
      <c r="D388" s="133" t="s">
        <v>338</v>
      </c>
      <c r="E388" s="219" t="str">
        <f t="shared" si="17"/>
        <v>211</v>
      </c>
      <c r="F388" s="132" t="str">
        <f>_xlfn.XLOOKUP($D388,MD_Account_Asset_Type[Nhóm tài sản],MD_Account_Asset_Type[Tên Nhóm tài sản])</f>
        <v>Máy móc, thiết bị - SX 627</v>
      </c>
      <c r="G388" s="132" t="str">
        <f>_xlfn.XLOOKUP($D388,MD_Account_Asset_Type[Nhóm tài sản],MD_Account_Asset_Type[Tên nhóm TS-Rút gọn])</f>
        <v>Máy móc thiết bị</v>
      </c>
      <c r="H388" s="132" t="str">
        <f>_xlfn.XLOOKUP($D388,MD_Account_Asset_Type[Nhóm tài sản],MD_Account_Asset_Type[Tên nhóm TS-Rút gọn-v2])</f>
        <v>Máy móc thiết bị</v>
      </c>
      <c r="I388" s="134" t="s">
        <v>1547</v>
      </c>
      <c r="J388" s="133" t="s">
        <v>1532</v>
      </c>
      <c r="K388" s="132" t="s">
        <v>830</v>
      </c>
      <c r="L388" s="133" t="s">
        <v>61</v>
      </c>
      <c r="M388" s="133" t="s">
        <v>136</v>
      </c>
      <c r="N388" s="135" t="s">
        <v>254</v>
      </c>
      <c r="O388" s="135"/>
      <c r="P388" s="135" t="s">
        <v>462</v>
      </c>
      <c r="Q388" s="135" t="str">
        <f t="shared" si="20"/>
        <v>627</v>
      </c>
      <c r="R388" s="135" t="str">
        <f>_xlfn.XLOOKUP($L388,MD_Cost_Center[Mã Cost Center],MD_Cost_Center[Ngành])</f>
        <v>PET</v>
      </c>
      <c r="S388" s="135" t="str">
        <f>_xlfn.XLOOKUP($L388,MD_Cost_Center[Mã Cost Center],MD_Cost_Center[Ngành-Tách PET-Xơ sợi])</f>
        <v>Chung-PET</v>
      </c>
      <c r="T388" s="136">
        <v>45992</v>
      </c>
      <c r="U388" s="137">
        <v>50375</v>
      </c>
      <c r="V388" s="138">
        <v>144</v>
      </c>
      <c r="W388" s="138">
        <v>1008000000</v>
      </c>
      <c r="X388" s="138">
        <v>-7000000</v>
      </c>
      <c r="Y388" s="138">
        <v>1008000000</v>
      </c>
      <c r="Z388" s="138">
        <v>1008000000</v>
      </c>
      <c r="AA388" s="138">
        <v>1008000000</v>
      </c>
      <c r="AB388" s="138">
        <v>1008000000</v>
      </c>
      <c r="AC388" s="138">
        <v>1008000000</v>
      </c>
      <c r="AD388" s="138">
        <v>1008000000</v>
      </c>
      <c r="AE388" s="138">
        <v>1008000000</v>
      </c>
      <c r="AF388" s="138">
        <v>1008000000</v>
      </c>
      <c r="AG388" s="138">
        <v>1008000000</v>
      </c>
      <c r="AH388" s="138">
        <v>1008000000</v>
      </c>
      <c r="AI388" s="138">
        <v>1008000000</v>
      </c>
      <c r="AJ388" s="138">
        <v>1008000000</v>
      </c>
      <c r="AK388" s="138">
        <v>1008000000</v>
      </c>
      <c r="AL388" s="138">
        <v>-7000000</v>
      </c>
      <c r="AM388" s="138">
        <v>-7000000</v>
      </c>
      <c r="AN388" s="138">
        <v>-7000000</v>
      </c>
      <c r="AO388" s="138">
        <v>-7000000</v>
      </c>
      <c r="AP388" s="138">
        <v>-7000000</v>
      </c>
      <c r="AQ388" s="138">
        <v>-7000000</v>
      </c>
      <c r="AR388" s="138">
        <v>-7000000</v>
      </c>
      <c r="AS388" s="138">
        <v>-7000000</v>
      </c>
      <c r="AT388" s="138">
        <v>-7000000</v>
      </c>
      <c r="AU388" s="138">
        <v>-7000000</v>
      </c>
      <c r="AV388" s="138">
        <v>-7000000</v>
      </c>
      <c r="AW388" s="138">
        <v>-7000000</v>
      </c>
      <c r="AX388" s="138">
        <v>-7000000</v>
      </c>
      <c r="AY388" s="138">
        <v>-7000000</v>
      </c>
      <c r="AZ388" s="139">
        <f t="shared" si="18"/>
        <v>-84000000</v>
      </c>
      <c r="BA388" s="138">
        <f>Y388+SUM($AM388:AM388)</f>
        <v>1001000000</v>
      </c>
      <c r="BB388" s="138">
        <f>Z388+SUM($AM388:AN388)</f>
        <v>994000000</v>
      </c>
      <c r="BC388" s="138">
        <f>AA388+SUM($AM388:AO388)</f>
        <v>987000000</v>
      </c>
      <c r="BD388" s="138">
        <f>AB388+SUM($AM388:AP388)</f>
        <v>980000000</v>
      </c>
      <c r="BE388" s="138">
        <f>AC388+SUM($AM388:AQ388)</f>
        <v>973000000</v>
      </c>
      <c r="BF388" s="138">
        <f>AD388+SUM($AM388:AR388)</f>
        <v>966000000</v>
      </c>
      <c r="BG388" s="138">
        <f>AE388+SUM($AM388:AS388)</f>
        <v>959000000</v>
      </c>
      <c r="BH388" s="138">
        <f>AF388+SUM($AM388:AT388)</f>
        <v>952000000</v>
      </c>
      <c r="BI388" s="138">
        <f>AG388+SUM($AM388:AU388)</f>
        <v>945000000</v>
      </c>
      <c r="BJ388" s="138">
        <f>AH388+SUM($AM388:AV388)</f>
        <v>938000000</v>
      </c>
      <c r="BK388" s="138">
        <f>AI388+SUM($AM388:AW388)</f>
        <v>931000000</v>
      </c>
      <c r="BL388" s="138">
        <f>AJ388+SUM($AM388:AX388)</f>
        <v>924000000</v>
      </c>
      <c r="BM388" s="138">
        <f>AK388+SUM($AM388:AY388)</f>
        <v>917000000</v>
      </c>
      <c r="BO388" s="138"/>
    </row>
    <row r="389" spans="3:67" s="132" customFormat="1" hidden="1" x14ac:dyDescent="0.3">
      <c r="C389" s="132" t="s">
        <v>1474</v>
      </c>
      <c r="D389" s="133" t="s">
        <v>338</v>
      </c>
      <c r="E389" s="219" t="str">
        <f t="shared" si="17"/>
        <v>211</v>
      </c>
      <c r="F389" s="132" t="str">
        <f>_xlfn.XLOOKUP($D389,MD_Account_Asset_Type[Nhóm tài sản],MD_Account_Asset_Type[Tên Nhóm tài sản])</f>
        <v>Máy móc, thiết bị - SX 627</v>
      </c>
      <c r="G389" s="132" t="str">
        <f>_xlfn.XLOOKUP($D389,MD_Account_Asset_Type[Nhóm tài sản],MD_Account_Asset_Type[Tên nhóm TS-Rút gọn])</f>
        <v>Máy móc thiết bị</v>
      </c>
      <c r="H389" s="132" t="str">
        <f>_xlfn.XLOOKUP($D389,MD_Account_Asset_Type[Nhóm tài sản],MD_Account_Asset_Type[Tên nhóm TS-Rút gọn-v2])</f>
        <v>Máy móc thiết bị</v>
      </c>
      <c r="I389" s="134" t="s">
        <v>1548</v>
      </c>
      <c r="J389" s="133" t="s">
        <v>1533</v>
      </c>
      <c r="K389" s="132" t="s">
        <v>830</v>
      </c>
      <c r="L389" s="133" t="s">
        <v>70</v>
      </c>
      <c r="M389" s="133" t="s">
        <v>145</v>
      </c>
      <c r="N389" s="135" t="s">
        <v>263</v>
      </c>
      <c r="O389" s="135"/>
      <c r="P389" s="135" t="s">
        <v>462</v>
      </c>
      <c r="Q389" s="135" t="str">
        <f t="shared" si="20"/>
        <v>627</v>
      </c>
      <c r="R389" s="135" t="str">
        <f>_xlfn.XLOOKUP($L389,MD_Cost_Center[Mã Cost Center],MD_Cost_Center[Ngành])</f>
        <v>PET</v>
      </c>
      <c r="S389" s="135" t="str">
        <f>_xlfn.XLOOKUP($L389,MD_Cost_Center[Mã Cost Center],MD_Cost_Center[Ngành-Tách PET-Xơ sợi])</f>
        <v>Chung-PET</v>
      </c>
      <c r="T389" s="136">
        <v>45992</v>
      </c>
      <c r="U389" s="137">
        <v>50375</v>
      </c>
      <c r="V389" s="138">
        <v>144</v>
      </c>
      <c r="W389" s="138">
        <v>1008000000</v>
      </c>
      <c r="X389" s="138">
        <v>-7000000</v>
      </c>
      <c r="Y389" s="138">
        <v>1008000000</v>
      </c>
      <c r="Z389" s="138">
        <v>1008000000</v>
      </c>
      <c r="AA389" s="138">
        <v>1008000000</v>
      </c>
      <c r="AB389" s="138">
        <v>1008000000</v>
      </c>
      <c r="AC389" s="138">
        <v>1008000000</v>
      </c>
      <c r="AD389" s="138">
        <v>1008000000</v>
      </c>
      <c r="AE389" s="138">
        <v>1008000000</v>
      </c>
      <c r="AF389" s="138">
        <v>1008000000</v>
      </c>
      <c r="AG389" s="138">
        <v>1008000000</v>
      </c>
      <c r="AH389" s="138">
        <v>1008000000</v>
      </c>
      <c r="AI389" s="138">
        <v>1008000000</v>
      </c>
      <c r="AJ389" s="138">
        <v>1008000000</v>
      </c>
      <c r="AK389" s="138">
        <v>1008000000</v>
      </c>
      <c r="AL389" s="138">
        <v>-7000000</v>
      </c>
      <c r="AM389" s="138">
        <v>-7000000</v>
      </c>
      <c r="AN389" s="138">
        <v>-7000000</v>
      </c>
      <c r="AO389" s="138">
        <v>-7000000</v>
      </c>
      <c r="AP389" s="138">
        <v>-7000000</v>
      </c>
      <c r="AQ389" s="138">
        <v>-7000000</v>
      </c>
      <c r="AR389" s="138">
        <v>-7000000</v>
      </c>
      <c r="AS389" s="138">
        <v>-7000000</v>
      </c>
      <c r="AT389" s="138">
        <v>-7000000</v>
      </c>
      <c r="AU389" s="138">
        <v>-7000000</v>
      </c>
      <c r="AV389" s="138">
        <v>-7000000</v>
      </c>
      <c r="AW389" s="138">
        <v>-7000000</v>
      </c>
      <c r="AX389" s="138">
        <v>-7000000</v>
      </c>
      <c r="AY389" s="138">
        <v>-7000000</v>
      </c>
      <c r="AZ389" s="139">
        <f t="shared" si="18"/>
        <v>-84000000</v>
      </c>
      <c r="BA389" s="138">
        <f>Y389+SUM($AM389:AM389)</f>
        <v>1001000000</v>
      </c>
      <c r="BB389" s="138">
        <f>Z389+SUM($AM389:AN389)</f>
        <v>994000000</v>
      </c>
      <c r="BC389" s="138">
        <f>AA389+SUM($AM389:AO389)</f>
        <v>987000000</v>
      </c>
      <c r="BD389" s="138">
        <f>AB389+SUM($AM389:AP389)</f>
        <v>980000000</v>
      </c>
      <c r="BE389" s="138">
        <f>AC389+SUM($AM389:AQ389)</f>
        <v>973000000</v>
      </c>
      <c r="BF389" s="138">
        <f>AD389+SUM($AM389:AR389)</f>
        <v>966000000</v>
      </c>
      <c r="BG389" s="138">
        <f>AE389+SUM($AM389:AS389)</f>
        <v>959000000</v>
      </c>
      <c r="BH389" s="138">
        <f>AF389+SUM($AM389:AT389)</f>
        <v>952000000</v>
      </c>
      <c r="BI389" s="138">
        <f>AG389+SUM($AM389:AU389)</f>
        <v>945000000</v>
      </c>
      <c r="BJ389" s="138">
        <f>AH389+SUM($AM389:AV389)</f>
        <v>938000000</v>
      </c>
      <c r="BK389" s="138">
        <f>AI389+SUM($AM389:AW389)</f>
        <v>931000000</v>
      </c>
      <c r="BL389" s="138">
        <f>AJ389+SUM($AM389:AX389)</f>
        <v>924000000</v>
      </c>
      <c r="BM389" s="138">
        <f>AK389+SUM($AM389:AY389)</f>
        <v>917000000</v>
      </c>
      <c r="BO389" s="138"/>
    </row>
    <row r="390" spans="3:67" s="132" customFormat="1" x14ac:dyDescent="0.3">
      <c r="C390" s="132" t="s">
        <v>1474</v>
      </c>
      <c r="D390" s="133" t="s">
        <v>338</v>
      </c>
      <c r="E390" s="219" t="str">
        <f t="shared" si="17"/>
        <v>211</v>
      </c>
      <c r="F390" s="132" t="str">
        <f>_xlfn.XLOOKUP($D390,MD_Account_Asset_Type[Nhóm tài sản],MD_Account_Asset_Type[Tên Nhóm tài sản])</f>
        <v>Máy móc, thiết bị - SX 627</v>
      </c>
      <c r="G390" s="132" t="str">
        <f>_xlfn.XLOOKUP($D390,MD_Account_Asset_Type[Nhóm tài sản],MD_Account_Asset_Type[Tên nhóm TS-Rút gọn])</f>
        <v>Máy móc thiết bị</v>
      </c>
      <c r="H390" s="132" t="str">
        <f>_xlfn.XLOOKUP($D390,MD_Account_Asset_Type[Nhóm tài sản],MD_Account_Asset_Type[Tên nhóm TS-Rút gọn-v2])</f>
        <v>Máy móc thiết bị</v>
      </c>
      <c r="I390" s="134" t="s">
        <v>1549</v>
      </c>
      <c r="J390" s="133" t="s">
        <v>1534</v>
      </c>
      <c r="K390" s="132" t="s">
        <v>830</v>
      </c>
      <c r="L390" s="133" t="s">
        <v>54</v>
      </c>
      <c r="M390" s="133" t="s">
        <v>129</v>
      </c>
      <c r="N390" s="135" t="s">
        <v>247</v>
      </c>
      <c r="O390" s="135"/>
      <c r="P390" s="135" t="s">
        <v>462</v>
      </c>
      <c r="Q390" s="135" t="str">
        <f t="shared" si="20"/>
        <v>627</v>
      </c>
      <c r="R390" s="135" t="str">
        <f>_xlfn.XLOOKUP($L390,MD_Cost_Center[Mã Cost Center],MD_Cost_Center[Ngành])</f>
        <v>PET</v>
      </c>
      <c r="S390" s="135" t="str">
        <f>_xlfn.XLOOKUP($L390,MD_Cost_Center[Mã Cost Center],MD_Cost_Center[Ngành-Tách PET-Xơ sợi])</f>
        <v>PET</v>
      </c>
      <c r="T390" s="136">
        <v>46023</v>
      </c>
      <c r="U390" s="137">
        <v>50406</v>
      </c>
      <c r="V390" s="138">
        <v>144</v>
      </c>
      <c r="W390" s="138">
        <v>1828961333.3333333</v>
      </c>
      <c r="X390" s="138">
        <v>-12701120</v>
      </c>
      <c r="Y390" s="138">
        <v>1828961333.3333333</v>
      </c>
      <c r="Z390" s="138">
        <v>1828961333.3333333</v>
      </c>
      <c r="AA390" s="138">
        <v>1828961333.3333333</v>
      </c>
      <c r="AB390" s="138">
        <v>1828961333.3333333</v>
      </c>
      <c r="AC390" s="138">
        <v>1828961333.3333333</v>
      </c>
      <c r="AD390" s="138">
        <v>1828961333.3333333</v>
      </c>
      <c r="AE390" s="138">
        <v>1828961333.3333333</v>
      </c>
      <c r="AF390" s="138">
        <v>1828961333.3333333</v>
      </c>
      <c r="AG390" s="138">
        <v>1828961333.3333333</v>
      </c>
      <c r="AH390" s="138">
        <v>1828961333.3333333</v>
      </c>
      <c r="AI390" s="138">
        <v>1828961333.3333333</v>
      </c>
      <c r="AJ390" s="138">
        <v>1828961333.3333333</v>
      </c>
      <c r="AK390" s="138">
        <v>1828961333.3333333</v>
      </c>
      <c r="AL390" s="138">
        <v>0</v>
      </c>
      <c r="AM390" s="138"/>
      <c r="AN390" s="138">
        <v>-12701120</v>
      </c>
      <c r="AO390" s="138">
        <v>-12701120</v>
      </c>
      <c r="AP390" s="138">
        <v>-12701120</v>
      </c>
      <c r="AQ390" s="138">
        <v>-12701120</v>
      </c>
      <c r="AR390" s="138">
        <v>-12701120</v>
      </c>
      <c r="AS390" s="138">
        <v>-12701120</v>
      </c>
      <c r="AT390" s="138">
        <v>-12701120</v>
      </c>
      <c r="AU390" s="138">
        <v>-12701120</v>
      </c>
      <c r="AV390" s="138">
        <v>-12701120</v>
      </c>
      <c r="AW390" s="138">
        <v>-12701120</v>
      </c>
      <c r="AX390" s="138">
        <v>-12701120</v>
      </c>
      <c r="AY390" s="138">
        <v>-12701120</v>
      </c>
      <c r="AZ390" s="139">
        <f t="shared" si="18"/>
        <v>-152413440</v>
      </c>
      <c r="BA390" s="138">
        <f>Y390+SUM($AM390:AM390)</f>
        <v>1828961333.3333333</v>
      </c>
      <c r="BB390" s="138">
        <f>Z390+SUM($AM390:AN390)</f>
        <v>1816260213.3333333</v>
      </c>
      <c r="BC390" s="138">
        <f>AA390+SUM($AM390:AO390)</f>
        <v>1803559093.3333333</v>
      </c>
      <c r="BD390" s="138">
        <f>AB390+SUM($AM390:AP390)</f>
        <v>1790857973.3333333</v>
      </c>
      <c r="BE390" s="138">
        <f>AC390+SUM($AM390:AQ390)</f>
        <v>1778156853.3333333</v>
      </c>
      <c r="BF390" s="138">
        <f>AD390+SUM($AM390:AR390)</f>
        <v>1765455733.3333333</v>
      </c>
      <c r="BG390" s="138">
        <f>AE390+SUM($AM390:AS390)</f>
        <v>1752754613.3333333</v>
      </c>
      <c r="BH390" s="138">
        <f>AF390+SUM($AM390:AT390)</f>
        <v>1740053493.3333333</v>
      </c>
      <c r="BI390" s="138">
        <f>AG390+SUM($AM390:AU390)</f>
        <v>1727352373.3333333</v>
      </c>
      <c r="BJ390" s="138">
        <f>AH390+SUM($AM390:AV390)</f>
        <v>1714651253.3333333</v>
      </c>
      <c r="BK390" s="138">
        <f>AI390+SUM($AM390:AW390)</f>
        <v>1701950133.3333333</v>
      </c>
      <c r="BL390" s="138">
        <f>AJ390+SUM($AM390:AX390)</f>
        <v>1689249013.3333333</v>
      </c>
      <c r="BM390" s="138">
        <f>AK390+SUM($AM390:AY390)</f>
        <v>1676547893.3333333</v>
      </c>
      <c r="BO390" s="138"/>
    </row>
    <row r="391" spans="3:67" s="132" customFormat="1" x14ac:dyDescent="0.3">
      <c r="C391" s="132" t="s">
        <v>1474</v>
      </c>
      <c r="D391" s="133" t="s">
        <v>338</v>
      </c>
      <c r="E391" s="219" t="str">
        <f t="shared" si="17"/>
        <v>211</v>
      </c>
      <c r="F391" s="132" t="str">
        <f>_xlfn.XLOOKUP($D391,MD_Account_Asset_Type[Nhóm tài sản],MD_Account_Asset_Type[Tên Nhóm tài sản])</f>
        <v>Máy móc, thiết bị - SX 627</v>
      </c>
      <c r="G391" s="132" t="str">
        <f>_xlfn.XLOOKUP($D391,MD_Account_Asset_Type[Nhóm tài sản],MD_Account_Asset_Type[Tên nhóm TS-Rút gọn])</f>
        <v>Máy móc thiết bị</v>
      </c>
      <c r="H391" s="132" t="str">
        <f>_xlfn.XLOOKUP($D391,MD_Account_Asset_Type[Nhóm tài sản],MD_Account_Asset_Type[Tên nhóm TS-Rút gọn-v2])</f>
        <v>Máy móc thiết bị</v>
      </c>
      <c r="I391" s="134" t="s">
        <v>1550</v>
      </c>
      <c r="J391" s="133" t="s">
        <v>1535</v>
      </c>
      <c r="K391" s="132" t="s">
        <v>830</v>
      </c>
      <c r="L391" s="133" t="s">
        <v>79</v>
      </c>
      <c r="M391" s="133" t="s">
        <v>154</v>
      </c>
      <c r="N391" s="135" t="s">
        <v>272</v>
      </c>
      <c r="O391" s="135"/>
      <c r="P391" s="135" t="s">
        <v>462</v>
      </c>
      <c r="Q391" s="135" t="str">
        <f t="shared" si="20"/>
        <v>627</v>
      </c>
      <c r="R391" s="135" t="str">
        <f>_xlfn.XLOOKUP($L391,MD_Cost_Center[Mã Cost Center],MD_Cost_Center[Ngành])</f>
        <v>PET</v>
      </c>
      <c r="S391" s="135" t="str">
        <f>_xlfn.XLOOKUP($L391,MD_Cost_Center[Mã Cost Center],MD_Cost_Center[Ngành-Tách PET-Xơ sợi])</f>
        <v>PET</v>
      </c>
      <c r="T391" s="136">
        <v>46023</v>
      </c>
      <c r="U391" s="137">
        <v>50406</v>
      </c>
      <c r="V391" s="138">
        <v>144</v>
      </c>
      <c r="W391" s="138">
        <v>3657922666.6666665</v>
      </c>
      <c r="X391" s="138">
        <v>-25402241</v>
      </c>
      <c r="Y391" s="138">
        <v>3657922666.6666665</v>
      </c>
      <c r="Z391" s="138">
        <v>3657922666.6666665</v>
      </c>
      <c r="AA391" s="138">
        <v>3657922666.6666665</v>
      </c>
      <c r="AB391" s="138">
        <v>3657922666.6666665</v>
      </c>
      <c r="AC391" s="138">
        <v>3657922666.6666665</v>
      </c>
      <c r="AD391" s="138">
        <v>3657922666.6666665</v>
      </c>
      <c r="AE391" s="138">
        <v>3657922666.6666665</v>
      </c>
      <c r="AF391" s="138">
        <v>3657922666.6666665</v>
      </c>
      <c r="AG391" s="138">
        <v>3657922666.6666665</v>
      </c>
      <c r="AH391" s="138">
        <v>3657922666.6666665</v>
      </c>
      <c r="AI391" s="138">
        <v>3657922666.6666665</v>
      </c>
      <c r="AJ391" s="138">
        <v>3657922666.6666665</v>
      </c>
      <c r="AK391" s="138">
        <v>3657922666.6666665</v>
      </c>
      <c r="AL391" s="138">
        <v>0</v>
      </c>
      <c r="AM391" s="138"/>
      <c r="AN391" s="138">
        <v>-25402241</v>
      </c>
      <c r="AO391" s="138">
        <v>-25402241</v>
      </c>
      <c r="AP391" s="138">
        <v>-25402241</v>
      </c>
      <c r="AQ391" s="138">
        <v>-25402241</v>
      </c>
      <c r="AR391" s="138">
        <v>-25402241</v>
      </c>
      <c r="AS391" s="138">
        <v>-25402241</v>
      </c>
      <c r="AT391" s="138">
        <v>-25402241</v>
      </c>
      <c r="AU391" s="138">
        <v>-25402241</v>
      </c>
      <c r="AV391" s="138">
        <v>-25402241</v>
      </c>
      <c r="AW391" s="138">
        <v>-25402241</v>
      </c>
      <c r="AX391" s="138">
        <v>-25402241</v>
      </c>
      <c r="AY391" s="138">
        <v>-25402241</v>
      </c>
      <c r="AZ391" s="139">
        <f t="shared" si="18"/>
        <v>-304826892</v>
      </c>
      <c r="BA391" s="138">
        <f>Y391+SUM($AM391:AM391)</f>
        <v>3657922666.6666665</v>
      </c>
      <c r="BB391" s="138">
        <f>Z391+SUM($AM391:AN391)</f>
        <v>3632520425.6666665</v>
      </c>
      <c r="BC391" s="138">
        <f>AA391+SUM($AM391:AO391)</f>
        <v>3607118184.6666665</v>
      </c>
      <c r="BD391" s="138">
        <f>AB391+SUM($AM391:AP391)</f>
        <v>3581715943.6666665</v>
      </c>
      <c r="BE391" s="138">
        <f>AC391+SUM($AM391:AQ391)</f>
        <v>3556313702.6666665</v>
      </c>
      <c r="BF391" s="138">
        <f>AD391+SUM($AM391:AR391)</f>
        <v>3530911461.6666665</v>
      </c>
      <c r="BG391" s="138">
        <f>AE391+SUM($AM391:AS391)</f>
        <v>3505509220.6666665</v>
      </c>
      <c r="BH391" s="138">
        <f>AF391+SUM($AM391:AT391)</f>
        <v>3480106979.6666665</v>
      </c>
      <c r="BI391" s="138">
        <f>AG391+SUM($AM391:AU391)</f>
        <v>3454704738.6666665</v>
      </c>
      <c r="BJ391" s="138">
        <f>AH391+SUM($AM391:AV391)</f>
        <v>3429302497.6666665</v>
      </c>
      <c r="BK391" s="138">
        <f>AI391+SUM($AM391:AW391)</f>
        <v>3403900256.6666665</v>
      </c>
      <c r="BL391" s="138">
        <f>AJ391+SUM($AM391:AX391)</f>
        <v>3378498015.6666665</v>
      </c>
      <c r="BM391" s="138">
        <f>AK391+SUM($AM391:AY391)</f>
        <v>3353095774.6666665</v>
      </c>
      <c r="BO391" s="138"/>
    </row>
    <row r="392" spans="3:67" s="132" customFormat="1" x14ac:dyDescent="0.3">
      <c r="C392" s="132" t="s">
        <v>1474</v>
      </c>
      <c r="D392" s="133" t="s">
        <v>338</v>
      </c>
      <c r="E392" s="219" t="str">
        <f t="shared" si="17"/>
        <v>211</v>
      </c>
      <c r="F392" s="132" t="str">
        <f>_xlfn.XLOOKUP($D392,MD_Account_Asset_Type[Nhóm tài sản],MD_Account_Asset_Type[Tên Nhóm tài sản])</f>
        <v>Máy móc, thiết bị - SX 627</v>
      </c>
      <c r="G392" s="132" t="str">
        <f>_xlfn.XLOOKUP($D392,MD_Account_Asset_Type[Nhóm tài sản],MD_Account_Asset_Type[Tên nhóm TS-Rút gọn])</f>
        <v>Máy móc thiết bị</v>
      </c>
      <c r="H392" s="132" t="str">
        <f>_xlfn.XLOOKUP($D392,MD_Account_Asset_Type[Nhóm tài sản],MD_Account_Asset_Type[Tên nhóm TS-Rút gọn-v2])</f>
        <v>Máy móc thiết bị</v>
      </c>
      <c r="I392" s="134" t="s">
        <v>1551</v>
      </c>
      <c r="J392" s="133" t="s">
        <v>1536</v>
      </c>
      <c r="K392" s="132" t="s">
        <v>830</v>
      </c>
      <c r="L392" s="133" t="s">
        <v>69</v>
      </c>
      <c r="M392" s="133" t="s">
        <v>144</v>
      </c>
      <c r="N392" s="135" t="s">
        <v>262</v>
      </c>
      <c r="O392" s="135"/>
      <c r="P392" s="135" t="s">
        <v>462</v>
      </c>
      <c r="Q392" s="135" t="str">
        <f t="shared" si="20"/>
        <v>627</v>
      </c>
      <c r="R392" s="135" t="str">
        <f>_xlfn.XLOOKUP($L392,MD_Cost_Center[Mã Cost Center],MD_Cost_Center[Ngành])</f>
        <v>PET</v>
      </c>
      <c r="S392" s="135" t="str">
        <f>_xlfn.XLOOKUP($L392,MD_Cost_Center[Mã Cost Center],MD_Cost_Center[Ngành-Tách PET-Xơ sợi])</f>
        <v>Chung-PET</v>
      </c>
      <c r="T392" s="136">
        <v>46023</v>
      </c>
      <c r="U392" s="137">
        <v>50406</v>
      </c>
      <c r="V392" s="138">
        <v>144</v>
      </c>
      <c r="W392" s="138">
        <v>225000000</v>
      </c>
      <c r="X392" s="138">
        <v>-1562500</v>
      </c>
      <c r="Y392" s="138">
        <v>225000000</v>
      </c>
      <c r="Z392" s="138">
        <v>225000000</v>
      </c>
      <c r="AA392" s="138">
        <v>225000000</v>
      </c>
      <c r="AB392" s="138">
        <v>225000000</v>
      </c>
      <c r="AC392" s="138">
        <v>225000000</v>
      </c>
      <c r="AD392" s="138">
        <v>225000000</v>
      </c>
      <c r="AE392" s="138">
        <v>225000000</v>
      </c>
      <c r="AF392" s="138">
        <v>225000000</v>
      </c>
      <c r="AG392" s="138">
        <v>225000000</v>
      </c>
      <c r="AH392" s="138">
        <v>225000000</v>
      </c>
      <c r="AI392" s="138">
        <v>225000000</v>
      </c>
      <c r="AJ392" s="138">
        <v>225000000</v>
      </c>
      <c r="AK392" s="138">
        <v>225000000</v>
      </c>
      <c r="AL392" s="138">
        <v>0</v>
      </c>
      <c r="AM392" s="138"/>
      <c r="AN392" s="138">
        <v>-1562500</v>
      </c>
      <c r="AO392" s="138">
        <v>-1562500</v>
      </c>
      <c r="AP392" s="138">
        <v>-1562500</v>
      </c>
      <c r="AQ392" s="138">
        <v>-1562500</v>
      </c>
      <c r="AR392" s="138">
        <v>-1562500</v>
      </c>
      <c r="AS392" s="138">
        <v>-1562500</v>
      </c>
      <c r="AT392" s="138">
        <v>-1562500</v>
      </c>
      <c r="AU392" s="138">
        <v>-1562500</v>
      </c>
      <c r="AV392" s="138">
        <v>-1562500</v>
      </c>
      <c r="AW392" s="138">
        <v>-1562500</v>
      </c>
      <c r="AX392" s="138">
        <v>-1562500</v>
      </c>
      <c r="AY392" s="138">
        <v>-1562500</v>
      </c>
      <c r="AZ392" s="139">
        <f t="shared" si="18"/>
        <v>-18750000</v>
      </c>
      <c r="BA392" s="138">
        <f>Y392+SUM($AM392:AM392)</f>
        <v>225000000</v>
      </c>
      <c r="BB392" s="138">
        <f>Z392+SUM($AM392:AN392)</f>
        <v>223437500</v>
      </c>
      <c r="BC392" s="138">
        <f>AA392+SUM($AM392:AO392)</f>
        <v>221875000</v>
      </c>
      <c r="BD392" s="138">
        <f>AB392+SUM($AM392:AP392)</f>
        <v>220312500</v>
      </c>
      <c r="BE392" s="138">
        <f>AC392+SUM($AM392:AQ392)</f>
        <v>218750000</v>
      </c>
      <c r="BF392" s="138">
        <f>AD392+SUM($AM392:AR392)</f>
        <v>217187500</v>
      </c>
      <c r="BG392" s="138">
        <f>AE392+SUM($AM392:AS392)</f>
        <v>215625000</v>
      </c>
      <c r="BH392" s="138">
        <f>AF392+SUM($AM392:AT392)</f>
        <v>214062500</v>
      </c>
      <c r="BI392" s="138">
        <f>AG392+SUM($AM392:AU392)</f>
        <v>212500000</v>
      </c>
      <c r="BJ392" s="138">
        <f>AH392+SUM($AM392:AV392)</f>
        <v>210937500</v>
      </c>
      <c r="BK392" s="138">
        <f>AI392+SUM($AM392:AW392)</f>
        <v>209375000</v>
      </c>
      <c r="BL392" s="138">
        <f>AJ392+SUM($AM392:AX392)</f>
        <v>207812500</v>
      </c>
      <c r="BM392" s="138">
        <f>AK392+SUM($AM392:AY392)</f>
        <v>206250000</v>
      </c>
      <c r="BO392" s="138"/>
    </row>
    <row r="393" spans="3:67" s="132" customFormat="1" x14ac:dyDescent="0.3">
      <c r="C393" s="132" t="s">
        <v>1474</v>
      </c>
      <c r="D393" s="133" t="s">
        <v>338</v>
      </c>
      <c r="E393" s="219" t="str">
        <f t="shared" si="17"/>
        <v>211</v>
      </c>
      <c r="F393" s="132" t="str">
        <f>_xlfn.XLOOKUP($D393,MD_Account_Asset_Type[Nhóm tài sản],MD_Account_Asset_Type[Tên Nhóm tài sản])</f>
        <v>Máy móc, thiết bị - SX 627</v>
      </c>
      <c r="G393" s="132" t="str">
        <f>_xlfn.XLOOKUP($D393,MD_Account_Asset_Type[Nhóm tài sản],MD_Account_Asset_Type[Tên nhóm TS-Rút gọn])</f>
        <v>Máy móc thiết bị</v>
      </c>
      <c r="H393" s="132" t="str">
        <f>_xlfn.XLOOKUP($D393,MD_Account_Asset_Type[Nhóm tài sản],MD_Account_Asset_Type[Tên nhóm TS-Rút gọn-v2])</f>
        <v>Máy móc thiết bị</v>
      </c>
      <c r="I393" s="134" t="s">
        <v>1552</v>
      </c>
      <c r="J393" s="133" t="s">
        <v>1537</v>
      </c>
      <c r="K393" s="132" t="s">
        <v>830</v>
      </c>
      <c r="L393" s="133" t="s">
        <v>87</v>
      </c>
      <c r="M393" s="133" t="s">
        <v>162</v>
      </c>
      <c r="N393" s="135" t="s">
        <v>279</v>
      </c>
      <c r="O393" s="135"/>
      <c r="P393" s="135" t="s">
        <v>462</v>
      </c>
      <c r="Q393" s="135" t="str">
        <f t="shared" si="20"/>
        <v>627</v>
      </c>
      <c r="R393" s="135" t="str">
        <f>_xlfn.XLOOKUP($L393,MD_Cost_Center[Mã Cost Center],MD_Cost_Center[Ngành])</f>
        <v>PET</v>
      </c>
      <c r="S393" s="135" t="str">
        <f>_xlfn.XLOOKUP($L393,MD_Cost_Center[Mã Cost Center],MD_Cost_Center[Ngành-Tách PET-Xơ sợi])</f>
        <v>Chung-PET</v>
      </c>
      <c r="T393" s="136">
        <v>46023</v>
      </c>
      <c r="U393" s="137">
        <v>50406</v>
      </c>
      <c r="V393" s="138">
        <v>144</v>
      </c>
      <c r="W393" s="138">
        <v>225000000</v>
      </c>
      <c r="X393" s="138">
        <v>-1562500</v>
      </c>
      <c r="Y393" s="138">
        <v>225000000</v>
      </c>
      <c r="Z393" s="138">
        <v>225000000</v>
      </c>
      <c r="AA393" s="138">
        <v>225000000</v>
      </c>
      <c r="AB393" s="138">
        <v>225000000</v>
      </c>
      <c r="AC393" s="138">
        <v>225000000</v>
      </c>
      <c r="AD393" s="138">
        <v>225000000</v>
      </c>
      <c r="AE393" s="138">
        <v>225000000</v>
      </c>
      <c r="AF393" s="138">
        <v>225000000</v>
      </c>
      <c r="AG393" s="138">
        <v>225000000</v>
      </c>
      <c r="AH393" s="138">
        <v>225000000</v>
      </c>
      <c r="AI393" s="138">
        <v>225000000</v>
      </c>
      <c r="AJ393" s="138">
        <v>225000000</v>
      </c>
      <c r="AK393" s="138">
        <v>225000000</v>
      </c>
      <c r="AL393" s="138">
        <v>0</v>
      </c>
      <c r="AM393" s="138"/>
      <c r="AN393" s="138">
        <v>-1562500</v>
      </c>
      <c r="AO393" s="138">
        <v>-1562500</v>
      </c>
      <c r="AP393" s="138">
        <v>-1562500</v>
      </c>
      <c r="AQ393" s="138">
        <v>-1562500</v>
      </c>
      <c r="AR393" s="138">
        <v>-1562500</v>
      </c>
      <c r="AS393" s="138">
        <v>-1562500</v>
      </c>
      <c r="AT393" s="138">
        <v>-1562500</v>
      </c>
      <c r="AU393" s="138">
        <v>-1562500</v>
      </c>
      <c r="AV393" s="138">
        <v>-1562500</v>
      </c>
      <c r="AW393" s="138">
        <v>-1562500</v>
      </c>
      <c r="AX393" s="138">
        <v>-1562500</v>
      </c>
      <c r="AY393" s="138">
        <v>-1562500</v>
      </c>
      <c r="AZ393" s="139">
        <f t="shared" si="18"/>
        <v>-18750000</v>
      </c>
      <c r="BA393" s="138">
        <f>Y393+SUM($AM393:AM393)</f>
        <v>225000000</v>
      </c>
      <c r="BB393" s="138">
        <f>Z393+SUM($AM393:AN393)</f>
        <v>223437500</v>
      </c>
      <c r="BC393" s="138">
        <f>AA393+SUM($AM393:AO393)</f>
        <v>221875000</v>
      </c>
      <c r="BD393" s="138">
        <f>AB393+SUM($AM393:AP393)</f>
        <v>220312500</v>
      </c>
      <c r="BE393" s="138">
        <f>AC393+SUM($AM393:AQ393)</f>
        <v>218750000</v>
      </c>
      <c r="BF393" s="138">
        <f>AD393+SUM($AM393:AR393)</f>
        <v>217187500</v>
      </c>
      <c r="BG393" s="138">
        <f>AE393+SUM($AM393:AS393)</f>
        <v>215625000</v>
      </c>
      <c r="BH393" s="138">
        <f>AF393+SUM($AM393:AT393)</f>
        <v>214062500</v>
      </c>
      <c r="BI393" s="138">
        <f>AG393+SUM($AM393:AU393)</f>
        <v>212500000</v>
      </c>
      <c r="BJ393" s="138">
        <f>AH393+SUM($AM393:AV393)</f>
        <v>210937500</v>
      </c>
      <c r="BK393" s="138">
        <f>AI393+SUM($AM393:AW393)</f>
        <v>209375000</v>
      </c>
      <c r="BL393" s="138">
        <f>AJ393+SUM($AM393:AX393)</f>
        <v>207812500</v>
      </c>
      <c r="BM393" s="138">
        <f>AK393+SUM($AM393:AY393)</f>
        <v>206250000</v>
      </c>
      <c r="BO393" s="138"/>
    </row>
    <row r="394" spans="3:67" s="132" customFormat="1" hidden="1" x14ac:dyDescent="0.3">
      <c r="C394" s="132" t="s">
        <v>1474</v>
      </c>
      <c r="D394" s="133" t="s">
        <v>319</v>
      </c>
      <c r="E394" s="219" t="str">
        <f t="shared" ref="E394:E458" si="21">MID($D394,2,3)</f>
        <v>211</v>
      </c>
      <c r="F394" s="132" t="str">
        <f>_xlfn.XLOOKUP($D394,MD_Account_Asset_Type[Nhóm tài sản],MD_Account_Asset_Type[Tên Nhóm tài sản])</f>
        <v>Nhà cửa, vật kiến trúc - SX 627</v>
      </c>
      <c r="G394" s="132" t="str">
        <f>_xlfn.XLOOKUP($D394,MD_Account_Asset_Type[Nhóm tài sản],MD_Account_Asset_Type[Tên nhóm TS-Rút gọn])</f>
        <v>Nhà cửa, vật kiến trúc</v>
      </c>
      <c r="H394" s="132" t="str">
        <f>_xlfn.XLOOKUP($D394,MD_Account_Asset_Type[Nhóm tài sản],MD_Account_Asset_Type[Tên nhóm TS-Rút gọn-v2])</f>
        <v>Nhà cửa, vật kiến trúc</v>
      </c>
      <c r="I394" s="134" t="s">
        <v>1558</v>
      </c>
      <c r="J394" s="133" t="s">
        <v>1538</v>
      </c>
      <c r="K394" s="132" t="s">
        <v>830</v>
      </c>
      <c r="L394" s="133" t="s">
        <v>45</v>
      </c>
      <c r="M394" s="133" t="s">
        <v>120</v>
      </c>
      <c r="N394" s="135">
        <v>0</v>
      </c>
      <c r="O394" s="135"/>
      <c r="P394" s="135" t="s">
        <v>460</v>
      </c>
      <c r="Q394" s="135" t="str">
        <f t="shared" si="20"/>
        <v>627</v>
      </c>
      <c r="R394" s="135" t="str">
        <f>_xlfn.XLOOKUP($L394,MD_Cost_Center[Mã Cost Center],MD_Cost_Center[Ngành])</f>
        <v>Chung</v>
      </c>
      <c r="S394" s="135" t="str">
        <f>_xlfn.XLOOKUP($L394,MD_Cost_Center[Mã Cost Center],MD_Cost_Center[Ngành-Tách PET-Xơ sợi])</f>
        <v>Chung</v>
      </c>
      <c r="T394" s="136">
        <v>45992</v>
      </c>
      <c r="U394" s="137">
        <v>49644</v>
      </c>
      <c r="V394" s="138">
        <v>120</v>
      </c>
      <c r="W394" s="138">
        <v>770789269</v>
      </c>
      <c r="X394" s="138">
        <v>-6423244</v>
      </c>
      <c r="Y394" s="138">
        <v>770789269</v>
      </c>
      <c r="Z394" s="138">
        <v>770789269</v>
      </c>
      <c r="AA394" s="138">
        <v>770789269</v>
      </c>
      <c r="AB394" s="138">
        <v>770789269</v>
      </c>
      <c r="AC394" s="138">
        <v>770789269</v>
      </c>
      <c r="AD394" s="138">
        <v>770789269</v>
      </c>
      <c r="AE394" s="138">
        <v>770789269</v>
      </c>
      <c r="AF394" s="138">
        <v>770789269</v>
      </c>
      <c r="AG394" s="138">
        <v>770789269</v>
      </c>
      <c r="AH394" s="138">
        <v>770789269</v>
      </c>
      <c r="AI394" s="138">
        <v>770789269</v>
      </c>
      <c r="AJ394" s="138">
        <v>770789269</v>
      </c>
      <c r="AK394" s="138">
        <v>770789269</v>
      </c>
      <c r="AL394" s="138">
        <v>-6423244</v>
      </c>
      <c r="AM394" s="138">
        <v>-6423244</v>
      </c>
      <c r="AN394" s="138">
        <v>-6423244</v>
      </c>
      <c r="AO394" s="138">
        <v>-6423244</v>
      </c>
      <c r="AP394" s="138">
        <v>-6423244</v>
      </c>
      <c r="AQ394" s="138">
        <v>-6423244</v>
      </c>
      <c r="AR394" s="138">
        <v>-6423244</v>
      </c>
      <c r="AS394" s="138">
        <v>-6423244</v>
      </c>
      <c r="AT394" s="138">
        <v>-6423244</v>
      </c>
      <c r="AU394" s="138">
        <v>-6423244</v>
      </c>
      <c r="AV394" s="138">
        <v>-6423244</v>
      </c>
      <c r="AW394" s="138">
        <v>-6423244</v>
      </c>
      <c r="AX394" s="138">
        <v>-6423244</v>
      </c>
      <c r="AY394" s="138">
        <v>-6423244</v>
      </c>
      <c r="AZ394" s="139">
        <f t="shared" si="18"/>
        <v>-77078928</v>
      </c>
      <c r="BA394" s="138">
        <f>Y394+SUM($AM394:AM394)</f>
        <v>764366025</v>
      </c>
      <c r="BB394" s="138">
        <f>Z394+SUM($AM394:AN394)</f>
        <v>757942781</v>
      </c>
      <c r="BC394" s="138">
        <f>AA394+SUM($AM394:AO394)</f>
        <v>751519537</v>
      </c>
      <c r="BD394" s="138">
        <f>AB394+SUM($AM394:AP394)</f>
        <v>745096293</v>
      </c>
      <c r="BE394" s="138">
        <f>AC394+SUM($AM394:AQ394)</f>
        <v>738673049</v>
      </c>
      <c r="BF394" s="138">
        <f>AD394+SUM($AM394:AR394)</f>
        <v>732249805</v>
      </c>
      <c r="BG394" s="138">
        <f>AE394+SUM($AM394:AS394)</f>
        <v>725826561</v>
      </c>
      <c r="BH394" s="138">
        <f>AF394+SUM($AM394:AT394)</f>
        <v>719403317</v>
      </c>
      <c r="BI394" s="138">
        <f>AG394+SUM($AM394:AU394)</f>
        <v>712980073</v>
      </c>
      <c r="BJ394" s="138">
        <f>AH394+SUM($AM394:AV394)</f>
        <v>706556829</v>
      </c>
      <c r="BK394" s="138">
        <f>AI394+SUM($AM394:AW394)</f>
        <v>700133585</v>
      </c>
      <c r="BL394" s="138">
        <f>AJ394+SUM($AM394:AX394)</f>
        <v>693710341</v>
      </c>
      <c r="BM394" s="138">
        <f>AK394+SUM($AM394:AY394)</f>
        <v>687287097</v>
      </c>
      <c r="BO394" s="138"/>
    </row>
    <row r="395" spans="3:67" s="132" customFormat="1" hidden="1" x14ac:dyDescent="0.3">
      <c r="C395" s="132" t="s">
        <v>1474</v>
      </c>
      <c r="D395" s="133" t="s">
        <v>337</v>
      </c>
      <c r="E395" s="219" t="str">
        <f t="shared" si="21"/>
        <v>211</v>
      </c>
      <c r="F395" s="132" t="str">
        <f>_xlfn.XLOOKUP($D395,MD_Account_Asset_Type[Nhóm tài sản],MD_Account_Asset_Type[Tên Nhóm tài sản])</f>
        <v>Máy móc, thiết bị phụ - SX 627</v>
      </c>
      <c r="G395" s="132" t="str">
        <f>_xlfn.XLOOKUP($D395,MD_Account_Asset_Type[Nhóm tài sản],MD_Account_Asset_Type[Tên nhóm TS-Rút gọn])</f>
        <v>Máy móc thiết bị</v>
      </c>
      <c r="H395" s="132" t="str">
        <f>_xlfn.XLOOKUP($D395,MD_Account_Asset_Type[Nhóm tài sản],MD_Account_Asset_Type[Tên nhóm TS-Rút gọn-v2])</f>
        <v>Máy móc thiết bị</v>
      </c>
      <c r="I395" s="134" t="s">
        <v>1562</v>
      </c>
      <c r="J395" s="133" t="s">
        <v>1217</v>
      </c>
      <c r="K395" s="132" t="s">
        <v>830</v>
      </c>
      <c r="L395" s="133" t="s">
        <v>46</v>
      </c>
      <c r="M395" s="133" t="s">
        <v>121</v>
      </c>
      <c r="N395" s="135">
        <v>0</v>
      </c>
      <c r="O395" s="135"/>
      <c r="P395" s="135" t="s">
        <v>461</v>
      </c>
      <c r="Q395" s="135" t="str">
        <f t="shared" si="20"/>
        <v>627</v>
      </c>
      <c r="R395" s="135" t="str">
        <f>_xlfn.XLOOKUP($L395,MD_Cost_Center[Mã Cost Center],MD_Cost_Center[Ngành])</f>
        <v>Chung</v>
      </c>
      <c r="S395" s="135" t="str">
        <f>_xlfn.XLOOKUP($L395,MD_Cost_Center[Mã Cost Center],MD_Cost_Center[Ngành-Tách PET-Xơ sợi])</f>
        <v>Chung</v>
      </c>
      <c r="T395" s="136">
        <v>45992</v>
      </c>
      <c r="U395" s="137">
        <v>47818</v>
      </c>
      <c r="V395" s="138">
        <v>144</v>
      </c>
      <c r="W395" s="138">
        <v>478336607</v>
      </c>
      <c r="X395" s="138">
        <v>-3321782</v>
      </c>
      <c r="Y395" s="138">
        <v>478336607</v>
      </c>
      <c r="Z395" s="138">
        <v>478336607</v>
      </c>
      <c r="AA395" s="138">
        <v>478336607</v>
      </c>
      <c r="AB395" s="138">
        <v>478336607</v>
      </c>
      <c r="AC395" s="138">
        <v>478336607</v>
      </c>
      <c r="AD395" s="138">
        <v>478336607</v>
      </c>
      <c r="AE395" s="138">
        <v>478336607</v>
      </c>
      <c r="AF395" s="138">
        <v>478336607</v>
      </c>
      <c r="AG395" s="138">
        <v>478336607</v>
      </c>
      <c r="AH395" s="138">
        <v>478336607</v>
      </c>
      <c r="AI395" s="138">
        <v>478336607</v>
      </c>
      <c r="AJ395" s="138">
        <v>478336607</v>
      </c>
      <c r="AK395" s="138">
        <v>478336607</v>
      </c>
      <c r="AL395" s="138">
        <v>-7972277</v>
      </c>
      <c r="AM395" s="138">
        <v>-7972277</v>
      </c>
      <c r="AN395" s="138">
        <v>-3289261</v>
      </c>
      <c r="AO395" s="138">
        <v>-3289261</v>
      </c>
      <c r="AP395" s="138">
        <v>-3289261</v>
      </c>
      <c r="AQ395" s="138">
        <v>-3289261</v>
      </c>
      <c r="AR395" s="138">
        <v>-3289261</v>
      </c>
      <c r="AS395" s="138">
        <v>-3289261</v>
      </c>
      <c r="AT395" s="138">
        <v>-3289261</v>
      </c>
      <c r="AU395" s="138">
        <v>-3289261</v>
      </c>
      <c r="AV395" s="138">
        <v>-3289261</v>
      </c>
      <c r="AW395" s="138">
        <v>-3289261</v>
      </c>
      <c r="AX395" s="138">
        <v>-3289261</v>
      </c>
      <c r="AY395" s="138">
        <v>-3289261</v>
      </c>
      <c r="AZ395" s="139">
        <f t="shared" si="18"/>
        <v>-39471132</v>
      </c>
      <c r="BA395" s="138">
        <f>Y395+SUM($AM395:AM395)</f>
        <v>470364330</v>
      </c>
      <c r="BB395" s="138">
        <f>Z395+SUM($AM395:AN395)</f>
        <v>467075069</v>
      </c>
      <c r="BC395" s="138">
        <f>AA395+SUM($AM395:AO395)</f>
        <v>463785808</v>
      </c>
      <c r="BD395" s="138">
        <f>AB395+SUM($AM395:AP395)</f>
        <v>460496547</v>
      </c>
      <c r="BE395" s="138">
        <f>AC395+SUM($AM395:AQ395)</f>
        <v>457207286</v>
      </c>
      <c r="BF395" s="138">
        <f>AD395+SUM($AM395:AR395)</f>
        <v>453918025</v>
      </c>
      <c r="BG395" s="138">
        <f>AE395+SUM($AM395:AS395)</f>
        <v>450628764</v>
      </c>
      <c r="BH395" s="138">
        <f>AF395+SUM($AM395:AT395)</f>
        <v>447339503</v>
      </c>
      <c r="BI395" s="138">
        <f>AG395+SUM($AM395:AU395)</f>
        <v>444050242</v>
      </c>
      <c r="BJ395" s="138">
        <f>AH395+SUM($AM395:AV395)</f>
        <v>440760981</v>
      </c>
      <c r="BK395" s="138">
        <f>AI395+SUM($AM395:AW395)</f>
        <v>437471720</v>
      </c>
      <c r="BL395" s="138">
        <f>AJ395+SUM($AM395:AX395)</f>
        <v>434182459</v>
      </c>
      <c r="BM395" s="138">
        <f>AK395+SUM($AM395:AY395)</f>
        <v>430893198</v>
      </c>
      <c r="BO395" s="138"/>
    </row>
    <row r="396" spans="3:67" s="132" customFormat="1" hidden="1" x14ac:dyDescent="0.3">
      <c r="C396" s="132" t="s">
        <v>1474</v>
      </c>
      <c r="D396" s="133" t="s">
        <v>337</v>
      </c>
      <c r="E396" s="219" t="str">
        <f t="shared" si="21"/>
        <v>211</v>
      </c>
      <c r="F396" s="132" t="str">
        <f>_xlfn.XLOOKUP($D396,MD_Account_Asset_Type[Nhóm tài sản],MD_Account_Asset_Type[Tên Nhóm tài sản])</f>
        <v>Máy móc, thiết bị phụ - SX 627</v>
      </c>
      <c r="G396" s="132" t="str">
        <f>_xlfn.XLOOKUP($D396,MD_Account_Asset_Type[Nhóm tài sản],MD_Account_Asset_Type[Tên nhóm TS-Rút gọn])</f>
        <v>Máy móc thiết bị</v>
      </c>
      <c r="H396" s="132" t="str">
        <f>_xlfn.XLOOKUP($D396,MD_Account_Asset_Type[Nhóm tài sản],MD_Account_Asset_Type[Tên nhóm TS-Rút gọn-v2])</f>
        <v>Máy móc thiết bị</v>
      </c>
      <c r="I396" s="134" t="s">
        <v>1564</v>
      </c>
      <c r="J396" s="133" t="s">
        <v>1222</v>
      </c>
      <c r="K396" s="132" t="s">
        <v>830</v>
      </c>
      <c r="L396" s="133" t="s">
        <v>48</v>
      </c>
      <c r="M396" s="133" t="s">
        <v>123</v>
      </c>
      <c r="N396" s="135">
        <v>0</v>
      </c>
      <c r="O396" s="135"/>
      <c r="P396" s="135" t="s">
        <v>461</v>
      </c>
      <c r="Q396" s="135" t="str">
        <f t="shared" si="20"/>
        <v>627</v>
      </c>
      <c r="R396" s="135" t="str">
        <f>_xlfn.XLOOKUP($L396,MD_Cost_Center[Mã Cost Center],MD_Cost_Center[Ngành])</f>
        <v>PET</v>
      </c>
      <c r="S396" s="135" t="str">
        <f>_xlfn.XLOOKUP($L396,MD_Cost_Center[Mã Cost Center],MD_Cost_Center[Ngành-Tách PET-Xơ sợi])</f>
        <v>Chung-PET</v>
      </c>
      <c r="T396" s="136">
        <v>45962</v>
      </c>
      <c r="U396" s="137">
        <v>47788</v>
      </c>
      <c r="V396" s="138">
        <v>144</v>
      </c>
      <c r="W396" s="138">
        <v>738317830</v>
      </c>
      <c r="X396" s="138">
        <v>-5127207</v>
      </c>
      <c r="Y396" s="138">
        <v>738317830</v>
      </c>
      <c r="Z396" s="138">
        <v>738317830</v>
      </c>
      <c r="AA396" s="138">
        <v>738317830</v>
      </c>
      <c r="AB396" s="138">
        <v>738317830</v>
      </c>
      <c r="AC396" s="138">
        <v>738317830</v>
      </c>
      <c r="AD396" s="138">
        <v>738317830</v>
      </c>
      <c r="AE396" s="138">
        <v>738317830</v>
      </c>
      <c r="AF396" s="138">
        <v>738317830</v>
      </c>
      <c r="AG396" s="138">
        <v>738317830</v>
      </c>
      <c r="AH396" s="138">
        <v>738317830</v>
      </c>
      <c r="AI396" s="138">
        <v>738317830</v>
      </c>
      <c r="AJ396" s="138">
        <v>738317830</v>
      </c>
      <c r="AK396" s="138">
        <v>738317830</v>
      </c>
      <c r="AL396" s="138">
        <v>-24610594</v>
      </c>
      <c r="AM396" s="138">
        <v>-24610594</v>
      </c>
      <c r="AN396" s="138">
        <v>-5026107</v>
      </c>
      <c r="AO396" s="138">
        <v>-5026107</v>
      </c>
      <c r="AP396" s="138">
        <v>-5026107</v>
      </c>
      <c r="AQ396" s="138">
        <v>-5026107</v>
      </c>
      <c r="AR396" s="138">
        <v>-5026107</v>
      </c>
      <c r="AS396" s="138">
        <v>-5026107</v>
      </c>
      <c r="AT396" s="138">
        <v>-5026107</v>
      </c>
      <c r="AU396" s="138">
        <v>-5026107</v>
      </c>
      <c r="AV396" s="138">
        <v>-5026107</v>
      </c>
      <c r="AW396" s="138">
        <v>-5026107</v>
      </c>
      <c r="AX396" s="138">
        <v>-5026107</v>
      </c>
      <c r="AY396" s="138">
        <v>-5026107</v>
      </c>
      <c r="AZ396" s="139">
        <f t="shared" si="18"/>
        <v>-60313284</v>
      </c>
      <c r="BA396" s="138">
        <f>Y396+SUM($AM396:AM396)</f>
        <v>713707236</v>
      </c>
      <c r="BB396" s="138">
        <f>Z396+SUM($AM396:AN396)</f>
        <v>708681129</v>
      </c>
      <c r="BC396" s="138">
        <f>AA396+SUM($AM396:AO396)</f>
        <v>703655022</v>
      </c>
      <c r="BD396" s="138">
        <f>AB396+SUM($AM396:AP396)</f>
        <v>698628915</v>
      </c>
      <c r="BE396" s="138">
        <f>AC396+SUM($AM396:AQ396)</f>
        <v>693602808</v>
      </c>
      <c r="BF396" s="138">
        <f>AD396+SUM($AM396:AR396)</f>
        <v>688576701</v>
      </c>
      <c r="BG396" s="138">
        <f>AE396+SUM($AM396:AS396)</f>
        <v>683550594</v>
      </c>
      <c r="BH396" s="138">
        <f>AF396+SUM($AM396:AT396)</f>
        <v>678524487</v>
      </c>
      <c r="BI396" s="138">
        <f>AG396+SUM($AM396:AU396)</f>
        <v>673498380</v>
      </c>
      <c r="BJ396" s="138">
        <f>AH396+SUM($AM396:AV396)</f>
        <v>668472273</v>
      </c>
      <c r="BK396" s="138">
        <f>AI396+SUM($AM396:AW396)</f>
        <v>663446166</v>
      </c>
      <c r="BL396" s="138">
        <f>AJ396+SUM($AM396:AX396)</f>
        <v>658420059</v>
      </c>
      <c r="BM396" s="138">
        <f>AK396+SUM($AM396:AY396)</f>
        <v>653393952</v>
      </c>
      <c r="BO396" s="138"/>
    </row>
    <row r="397" spans="3:67" s="132" customFormat="1" hidden="1" x14ac:dyDescent="0.3">
      <c r="C397" s="132" t="s">
        <v>1474</v>
      </c>
      <c r="D397" s="133" t="s">
        <v>337</v>
      </c>
      <c r="E397" s="219" t="str">
        <f t="shared" si="21"/>
        <v>211</v>
      </c>
      <c r="F397" s="132" t="str">
        <f>_xlfn.XLOOKUP($D397,MD_Account_Asset_Type[Nhóm tài sản],MD_Account_Asset_Type[Tên Nhóm tài sản])</f>
        <v>Máy móc, thiết bị phụ - SX 627</v>
      </c>
      <c r="G397" s="132" t="str">
        <f>_xlfn.XLOOKUP($D397,MD_Account_Asset_Type[Nhóm tài sản],MD_Account_Asset_Type[Tên nhóm TS-Rút gọn])</f>
        <v>Máy móc thiết bị</v>
      </c>
      <c r="H397" s="132" t="str">
        <f>_xlfn.XLOOKUP($D397,MD_Account_Asset_Type[Nhóm tài sản],MD_Account_Asset_Type[Tên nhóm TS-Rút gọn-v2])</f>
        <v>Máy móc thiết bị</v>
      </c>
      <c r="I397" s="134" t="s">
        <v>1565</v>
      </c>
      <c r="J397" s="133" t="s">
        <v>1224</v>
      </c>
      <c r="K397" s="132" t="s">
        <v>830</v>
      </c>
      <c r="L397" s="133" t="s">
        <v>46</v>
      </c>
      <c r="M397" s="133" t="s">
        <v>121</v>
      </c>
      <c r="N397" s="135">
        <v>0</v>
      </c>
      <c r="O397" s="135"/>
      <c r="P397" s="135" t="s">
        <v>461</v>
      </c>
      <c r="Q397" s="135" t="str">
        <f t="shared" si="20"/>
        <v>627</v>
      </c>
      <c r="R397" s="135" t="str">
        <f>_xlfn.XLOOKUP($L397,MD_Cost_Center[Mã Cost Center],MD_Cost_Center[Ngành])</f>
        <v>Chung</v>
      </c>
      <c r="S397" s="135" t="str">
        <f>_xlfn.XLOOKUP($L397,MD_Cost_Center[Mã Cost Center],MD_Cost_Center[Ngành-Tách PET-Xơ sợi])</f>
        <v>Chung</v>
      </c>
      <c r="T397" s="136">
        <v>45962</v>
      </c>
      <c r="U397" s="137">
        <v>47788</v>
      </c>
      <c r="V397" s="138">
        <v>144</v>
      </c>
      <c r="W397" s="138">
        <v>34000000</v>
      </c>
      <c r="X397" s="138">
        <v>-236111</v>
      </c>
      <c r="Y397" s="138">
        <v>34000000</v>
      </c>
      <c r="Z397" s="138">
        <v>34000000</v>
      </c>
      <c r="AA397" s="138">
        <v>34000000</v>
      </c>
      <c r="AB397" s="138">
        <v>34000000</v>
      </c>
      <c r="AC397" s="138">
        <v>34000000</v>
      </c>
      <c r="AD397" s="138">
        <v>34000000</v>
      </c>
      <c r="AE397" s="138">
        <v>34000000</v>
      </c>
      <c r="AF397" s="138">
        <v>34000000</v>
      </c>
      <c r="AG397" s="138">
        <v>34000000</v>
      </c>
      <c r="AH397" s="138">
        <v>34000000</v>
      </c>
      <c r="AI397" s="138">
        <v>34000000</v>
      </c>
      <c r="AJ397" s="138">
        <v>34000000</v>
      </c>
      <c r="AK397" s="138">
        <v>34000000</v>
      </c>
      <c r="AL397" s="138">
        <v>-1133334</v>
      </c>
      <c r="AM397" s="138">
        <v>-1133334</v>
      </c>
      <c r="AN397" s="138">
        <v>-231455</v>
      </c>
      <c r="AO397" s="138">
        <v>-231455</v>
      </c>
      <c r="AP397" s="138">
        <v>-231455</v>
      </c>
      <c r="AQ397" s="138">
        <v>-231455</v>
      </c>
      <c r="AR397" s="138">
        <v>-231455</v>
      </c>
      <c r="AS397" s="138">
        <v>-231455</v>
      </c>
      <c r="AT397" s="138">
        <v>-231455</v>
      </c>
      <c r="AU397" s="138">
        <v>-231455</v>
      </c>
      <c r="AV397" s="138">
        <v>-231455</v>
      </c>
      <c r="AW397" s="138">
        <v>-231455</v>
      </c>
      <c r="AX397" s="138">
        <v>-231455</v>
      </c>
      <c r="AY397" s="138">
        <v>-231455</v>
      </c>
      <c r="AZ397" s="139">
        <f t="shared" si="18"/>
        <v>-2777460</v>
      </c>
      <c r="BA397" s="138">
        <f>Y397+SUM($AM397:AM397)</f>
        <v>32866666</v>
      </c>
      <c r="BB397" s="138">
        <f>Z397+SUM($AM397:AN397)</f>
        <v>32635211</v>
      </c>
      <c r="BC397" s="138">
        <f>AA397+SUM($AM397:AO397)</f>
        <v>32403756</v>
      </c>
      <c r="BD397" s="138">
        <f>AB397+SUM($AM397:AP397)</f>
        <v>32172301</v>
      </c>
      <c r="BE397" s="138">
        <f>AC397+SUM($AM397:AQ397)</f>
        <v>31940846</v>
      </c>
      <c r="BF397" s="138">
        <f>AD397+SUM($AM397:AR397)</f>
        <v>31709391</v>
      </c>
      <c r="BG397" s="138">
        <f>AE397+SUM($AM397:AS397)</f>
        <v>31477936</v>
      </c>
      <c r="BH397" s="138">
        <f>AF397+SUM($AM397:AT397)</f>
        <v>31246481</v>
      </c>
      <c r="BI397" s="138">
        <f>AG397+SUM($AM397:AU397)</f>
        <v>31015026</v>
      </c>
      <c r="BJ397" s="138">
        <f>AH397+SUM($AM397:AV397)</f>
        <v>30783571</v>
      </c>
      <c r="BK397" s="138">
        <f>AI397+SUM($AM397:AW397)</f>
        <v>30552116</v>
      </c>
      <c r="BL397" s="138">
        <f>AJ397+SUM($AM397:AX397)</f>
        <v>30320661</v>
      </c>
      <c r="BM397" s="138">
        <f>AK397+SUM($AM397:AY397)</f>
        <v>30089206</v>
      </c>
      <c r="BO397" s="138"/>
    </row>
    <row r="398" spans="3:67" s="132" customFormat="1" x14ac:dyDescent="0.3">
      <c r="C398" s="132" t="s">
        <v>1474</v>
      </c>
      <c r="D398" s="133" t="s">
        <v>319</v>
      </c>
      <c r="E398" s="219" t="str">
        <f t="shared" si="21"/>
        <v>211</v>
      </c>
      <c r="F398" s="132" t="str">
        <f>_xlfn.XLOOKUP($D398,MD_Account_Asset_Type[Nhóm tài sản],MD_Account_Asset_Type[Tên Nhóm tài sản])</f>
        <v>Nhà cửa, vật kiến trúc - SX 627</v>
      </c>
      <c r="G398" s="132" t="str">
        <f>_xlfn.XLOOKUP($D398,MD_Account_Asset_Type[Nhóm tài sản],MD_Account_Asset_Type[Tên nhóm TS-Rút gọn])</f>
        <v>Nhà cửa, vật kiến trúc</v>
      </c>
      <c r="H398" s="132" t="str">
        <f>_xlfn.XLOOKUP($D398,MD_Account_Asset_Type[Nhóm tài sản],MD_Account_Asset_Type[Tên nhóm TS-Rút gọn-v2])</f>
        <v>Nhà cửa, vật kiến trúc</v>
      </c>
      <c r="I398" s="134" t="s">
        <v>1566</v>
      </c>
      <c r="J398" s="133" t="s">
        <v>1225</v>
      </c>
      <c r="K398" s="132" t="s">
        <v>830</v>
      </c>
      <c r="L398" s="133" t="s">
        <v>48</v>
      </c>
      <c r="M398" s="133" t="s">
        <v>123</v>
      </c>
      <c r="N398" s="135">
        <v>0</v>
      </c>
      <c r="O398" s="135"/>
      <c r="P398" s="135" t="s">
        <v>460</v>
      </c>
      <c r="Q398" s="135" t="str">
        <f t="shared" si="20"/>
        <v>627</v>
      </c>
      <c r="R398" s="135" t="str">
        <f>_xlfn.XLOOKUP($L398,MD_Cost_Center[Mã Cost Center],MD_Cost_Center[Ngành])</f>
        <v>PET</v>
      </c>
      <c r="S398" s="135" t="str">
        <f>_xlfn.XLOOKUP($L398,MD_Cost_Center[Mã Cost Center],MD_Cost_Center[Ngành-Tách PET-Xơ sợi])</f>
        <v>Chung-PET</v>
      </c>
      <c r="T398" s="136">
        <v>46023</v>
      </c>
      <c r="U398" s="137">
        <v>49675</v>
      </c>
      <c r="V398" s="138">
        <v>120</v>
      </c>
      <c r="W398" s="138">
        <v>308671649</v>
      </c>
      <c r="X398" s="138">
        <v>-2572264</v>
      </c>
      <c r="Y398" s="138">
        <v>308671649</v>
      </c>
      <c r="Z398" s="138">
        <v>308671649</v>
      </c>
      <c r="AA398" s="138">
        <v>308671649</v>
      </c>
      <c r="AB398" s="138">
        <v>308671649</v>
      </c>
      <c r="AC398" s="138">
        <v>308671649</v>
      </c>
      <c r="AD398" s="138">
        <v>308671649</v>
      </c>
      <c r="AE398" s="138">
        <v>308671649</v>
      </c>
      <c r="AF398" s="138">
        <v>308671649</v>
      </c>
      <c r="AG398" s="138">
        <v>308671649</v>
      </c>
      <c r="AH398" s="138">
        <v>308671649</v>
      </c>
      <c r="AI398" s="138">
        <v>308671649</v>
      </c>
      <c r="AJ398" s="138">
        <v>308671649</v>
      </c>
      <c r="AK398" s="138">
        <v>308671649</v>
      </c>
      <c r="AL398" s="138">
        <v>0</v>
      </c>
      <c r="AM398" s="138">
        <v>0</v>
      </c>
      <c r="AN398" s="138">
        <v>-2572264</v>
      </c>
      <c r="AO398" s="138">
        <v>-2572264</v>
      </c>
      <c r="AP398" s="138">
        <v>-2572264</v>
      </c>
      <c r="AQ398" s="138">
        <v>-2572264</v>
      </c>
      <c r="AR398" s="138">
        <v>-2572264</v>
      </c>
      <c r="AS398" s="138">
        <v>-2572264</v>
      </c>
      <c r="AT398" s="138">
        <v>-2572264</v>
      </c>
      <c r="AU398" s="138">
        <v>-2572264</v>
      </c>
      <c r="AV398" s="138">
        <v>-2572264</v>
      </c>
      <c r="AW398" s="138">
        <v>-2572264</v>
      </c>
      <c r="AX398" s="138">
        <v>-2572264</v>
      </c>
      <c r="AY398" s="138">
        <v>-2572264</v>
      </c>
      <c r="AZ398" s="139">
        <f t="shared" si="18"/>
        <v>-30867168</v>
      </c>
      <c r="BA398" s="138">
        <f>Y398+SUM($AM398:AM398)</f>
        <v>308671649</v>
      </c>
      <c r="BB398" s="138">
        <f>Z398+SUM($AM398:AN398)</f>
        <v>306099385</v>
      </c>
      <c r="BC398" s="138">
        <f>AA398+SUM($AM398:AO398)</f>
        <v>303527121</v>
      </c>
      <c r="BD398" s="138">
        <f>AB398+SUM($AM398:AP398)</f>
        <v>300954857</v>
      </c>
      <c r="BE398" s="138">
        <f>AC398+SUM($AM398:AQ398)</f>
        <v>298382593</v>
      </c>
      <c r="BF398" s="138">
        <f>AD398+SUM($AM398:AR398)</f>
        <v>295810329</v>
      </c>
      <c r="BG398" s="138">
        <f>AE398+SUM($AM398:AS398)</f>
        <v>293238065</v>
      </c>
      <c r="BH398" s="138">
        <f>AF398+SUM($AM398:AT398)</f>
        <v>290665801</v>
      </c>
      <c r="BI398" s="138">
        <f>AG398+SUM($AM398:AU398)</f>
        <v>288093537</v>
      </c>
      <c r="BJ398" s="138">
        <f>AH398+SUM($AM398:AV398)</f>
        <v>285521273</v>
      </c>
      <c r="BK398" s="138">
        <f>AI398+SUM($AM398:AW398)</f>
        <v>282949009</v>
      </c>
      <c r="BL398" s="138">
        <f>AJ398+SUM($AM398:AX398)</f>
        <v>280376745</v>
      </c>
      <c r="BM398" s="138">
        <f>AK398+SUM($AM398:AY398)</f>
        <v>277804481</v>
      </c>
      <c r="BO398" s="138"/>
    </row>
    <row r="399" spans="3:67" s="132" customFormat="1" hidden="1" x14ac:dyDescent="0.3">
      <c r="C399" s="132" t="s">
        <v>1474</v>
      </c>
      <c r="D399" s="133" t="s">
        <v>347</v>
      </c>
      <c r="E399" s="219" t="str">
        <f t="shared" si="21"/>
        <v>211</v>
      </c>
      <c r="F399" s="132" t="str">
        <f>_xlfn.XLOOKUP($D399,MD_Account_Asset_Type[Nhóm tài sản],MD_Account_Asset_Type[Tên Nhóm tài sản])</f>
        <v>Thiết bị, dụng cụ quản lý - QL 642</v>
      </c>
      <c r="G399" s="132" t="str">
        <f>_xlfn.XLOOKUP($D399,MD_Account_Asset_Type[Nhóm tài sản],MD_Account_Asset_Type[Tên nhóm TS-Rút gọn])</f>
        <v>Thiết bị quản lý</v>
      </c>
      <c r="H399" s="132" t="str">
        <f>_xlfn.XLOOKUP($D399,MD_Account_Asset_Type[Nhóm tài sản],MD_Account_Asset_Type[Tên nhóm TS-Rút gọn-v2])</f>
        <v>Thiết bị quản lý</v>
      </c>
      <c r="I399" s="134" t="s">
        <v>1568</v>
      </c>
      <c r="J399" s="133" t="s">
        <v>1567</v>
      </c>
      <c r="K399" s="132" t="s">
        <v>830</v>
      </c>
      <c r="L399" s="133" t="s">
        <v>36</v>
      </c>
      <c r="M399" s="133" t="s">
        <v>111</v>
      </c>
      <c r="N399" s="135">
        <v>0</v>
      </c>
      <c r="O399" s="135"/>
      <c r="P399" s="135" t="s">
        <v>474</v>
      </c>
      <c r="Q399" s="135" t="str">
        <f t="shared" si="20"/>
        <v>642</v>
      </c>
      <c r="R399" s="135" t="str">
        <f>_xlfn.XLOOKUP($L399,MD_Cost_Center[Mã Cost Center],MD_Cost_Center[Ngành])</f>
        <v>Chung</v>
      </c>
      <c r="S399" s="135" t="str">
        <f>_xlfn.XLOOKUP($L399,MD_Cost_Center[Mã Cost Center],MD_Cost_Center[Ngành-Tách PET-Xơ sợi])</f>
        <v>Chung</v>
      </c>
      <c r="T399" s="136">
        <v>45992</v>
      </c>
      <c r="U399" s="137">
        <v>47088</v>
      </c>
      <c r="V399" s="138">
        <v>120</v>
      </c>
      <c r="W399" s="138">
        <v>203801000</v>
      </c>
      <c r="X399" s="138">
        <v>-1665041</v>
      </c>
      <c r="Y399" s="138">
        <v>203801000</v>
      </c>
      <c r="Z399" s="138">
        <v>203801000</v>
      </c>
      <c r="AA399" s="138">
        <v>203801000</v>
      </c>
      <c r="AB399" s="138">
        <v>203801000</v>
      </c>
      <c r="AC399" s="138">
        <v>203801000</v>
      </c>
      <c r="AD399" s="138">
        <v>203801000</v>
      </c>
      <c r="AE399" s="138">
        <v>203801000</v>
      </c>
      <c r="AF399" s="138">
        <v>203801000</v>
      </c>
      <c r="AG399" s="138">
        <v>203801000</v>
      </c>
      <c r="AH399" s="138">
        <v>203801000</v>
      </c>
      <c r="AI399" s="138">
        <v>203801000</v>
      </c>
      <c r="AJ399" s="138">
        <v>203801000</v>
      </c>
      <c r="AK399" s="138">
        <v>203801000</v>
      </c>
      <c r="AL399" s="138">
        <v>-5661139</v>
      </c>
      <c r="AM399" s="138">
        <v>-5661139</v>
      </c>
      <c r="AN399" s="138">
        <v>-1665041</v>
      </c>
      <c r="AO399" s="138">
        <v>-1665041</v>
      </c>
      <c r="AP399" s="138">
        <v>-1665041</v>
      </c>
      <c r="AQ399" s="138">
        <v>-1665041</v>
      </c>
      <c r="AR399" s="138">
        <v>-1665041</v>
      </c>
      <c r="AS399" s="138">
        <v>-1665041</v>
      </c>
      <c r="AT399" s="138">
        <v>-1665041</v>
      </c>
      <c r="AU399" s="138">
        <v>-1665041</v>
      </c>
      <c r="AV399" s="138">
        <v>-1665041</v>
      </c>
      <c r="AW399" s="138">
        <v>-1665041</v>
      </c>
      <c r="AX399" s="138">
        <v>-1665041</v>
      </c>
      <c r="AY399" s="138">
        <v>-1665041</v>
      </c>
      <c r="AZ399" s="139">
        <f t="shared" si="18"/>
        <v>-19980492</v>
      </c>
      <c r="BA399" s="138">
        <f>Y399+SUM($AM399:AM399)</f>
        <v>198139861</v>
      </c>
      <c r="BB399" s="138">
        <f>Z399+SUM($AM399:AN399)</f>
        <v>196474820</v>
      </c>
      <c r="BC399" s="138">
        <f>AA399+SUM($AM399:AO399)</f>
        <v>194809779</v>
      </c>
      <c r="BD399" s="138">
        <f>AB399+SUM($AM399:AP399)</f>
        <v>193144738</v>
      </c>
      <c r="BE399" s="138">
        <f>AC399+SUM($AM399:AQ399)</f>
        <v>191479697</v>
      </c>
      <c r="BF399" s="138">
        <f>AD399+SUM($AM399:AR399)</f>
        <v>189814656</v>
      </c>
      <c r="BG399" s="138">
        <f>AE399+SUM($AM399:AS399)</f>
        <v>188149615</v>
      </c>
      <c r="BH399" s="138">
        <f>AF399+SUM($AM399:AT399)</f>
        <v>186484574</v>
      </c>
      <c r="BI399" s="138">
        <f>AG399+SUM($AM399:AU399)</f>
        <v>184819533</v>
      </c>
      <c r="BJ399" s="138">
        <f>AH399+SUM($AM399:AV399)</f>
        <v>183154492</v>
      </c>
      <c r="BK399" s="138">
        <f>AI399+SUM($AM399:AW399)</f>
        <v>181489451</v>
      </c>
      <c r="BL399" s="138">
        <f>AJ399+SUM($AM399:AX399)</f>
        <v>179824410</v>
      </c>
      <c r="BM399" s="138">
        <f>AK399+SUM($AM399:AY399)</f>
        <v>178159369</v>
      </c>
      <c r="BO399" s="138"/>
    </row>
    <row r="400" spans="3:67" s="132" customFormat="1" x14ac:dyDescent="0.3">
      <c r="C400" s="132" t="s">
        <v>1474</v>
      </c>
      <c r="D400" s="133" t="s">
        <v>408</v>
      </c>
      <c r="E400" s="219" t="str">
        <f t="shared" si="21"/>
        <v>213</v>
      </c>
      <c r="F400" s="132" t="str">
        <f>_xlfn.XLOOKUP($D400,MD_Account_Asset_Type[Nhóm tài sản],MD_Account_Asset_Type[Tên Nhóm tài sản])</f>
        <v>TSCĐ vô hình khác - SX 627</v>
      </c>
      <c r="G400" s="132" t="str">
        <f>_xlfn.XLOOKUP($D400,MD_Account_Asset_Type[Nhóm tài sản],MD_Account_Asset_Type[Tên nhóm TS-Rút gọn])</f>
        <v>TSCĐ vô hình khác</v>
      </c>
      <c r="H400" s="132" t="str">
        <f>_xlfn.XLOOKUP($D400,MD_Account_Asset_Type[Nhóm tài sản],MD_Account_Asset_Type[Tên nhóm TS-Rút gọn-v2])</f>
        <v>TSCĐVH-Khác</v>
      </c>
      <c r="I400" s="134" t="s">
        <v>1695</v>
      </c>
      <c r="J400" s="133" t="s">
        <v>1696</v>
      </c>
      <c r="K400" s="132" t="s">
        <v>830</v>
      </c>
      <c r="L400" s="133" t="s">
        <v>45</v>
      </c>
      <c r="M400" s="133" t="s">
        <v>120</v>
      </c>
      <c r="N400" s="135"/>
      <c r="O400" s="135"/>
      <c r="P400" s="135" t="s">
        <v>477</v>
      </c>
      <c r="Q400" s="135" t="s">
        <v>1575</v>
      </c>
      <c r="R400" s="135" t="str">
        <f>_xlfn.XLOOKUP($L400,MD_Cost_Center[Mã Cost Center],MD_Cost_Center[Ngành])</f>
        <v>Chung</v>
      </c>
      <c r="S400" s="135" t="str">
        <f>_xlfn.XLOOKUP($L400,MD_Cost_Center[Mã Cost Center],MD_Cost_Center[Ngành-Tách PET-Xơ sợi])</f>
        <v>Chung</v>
      </c>
      <c r="T400" s="136">
        <v>46023</v>
      </c>
      <c r="U400" s="137">
        <v>49675</v>
      </c>
      <c r="V400" s="138">
        <v>120</v>
      </c>
      <c r="W400" s="138">
        <v>1031240000</v>
      </c>
      <c r="X400" s="138">
        <v>-8593667</v>
      </c>
      <c r="Y400" s="138">
        <v>1031240000</v>
      </c>
      <c r="Z400" s="138">
        <v>1031240000</v>
      </c>
      <c r="AA400" s="138">
        <v>1031240000</v>
      </c>
      <c r="AB400" s="138">
        <v>1031240000</v>
      </c>
      <c r="AC400" s="138">
        <v>1031240000</v>
      </c>
      <c r="AD400" s="138">
        <v>1031240000</v>
      </c>
      <c r="AE400" s="138">
        <v>1031240000</v>
      </c>
      <c r="AF400" s="138">
        <v>1031240000</v>
      </c>
      <c r="AG400" s="138">
        <v>1031240000</v>
      </c>
      <c r="AH400" s="138">
        <v>1031240000</v>
      </c>
      <c r="AI400" s="138">
        <v>1031240000</v>
      </c>
      <c r="AJ400" s="138">
        <v>1031240000</v>
      </c>
      <c r="AK400" s="138">
        <v>1031240000</v>
      </c>
      <c r="AL400" s="138">
        <v>0</v>
      </c>
      <c r="AM400" s="138">
        <v>0</v>
      </c>
      <c r="AN400" s="138">
        <v>-8593667</v>
      </c>
      <c r="AO400" s="138">
        <v>-8593667</v>
      </c>
      <c r="AP400" s="138">
        <v>-8593667</v>
      </c>
      <c r="AQ400" s="138">
        <v>-8593667</v>
      </c>
      <c r="AR400" s="138">
        <v>-8593667</v>
      </c>
      <c r="AS400" s="138">
        <v>-8593667</v>
      </c>
      <c r="AT400" s="138">
        <v>-8593667</v>
      </c>
      <c r="AU400" s="138">
        <v>-8593667</v>
      </c>
      <c r="AV400" s="138">
        <v>-8593667</v>
      </c>
      <c r="AW400" s="138">
        <v>-8593667</v>
      </c>
      <c r="AX400" s="138">
        <v>-8593667</v>
      </c>
      <c r="AY400" s="138">
        <v>-8593667</v>
      </c>
      <c r="AZ400" s="139">
        <f t="shared" si="18"/>
        <v>-103124004</v>
      </c>
      <c r="BA400" s="138">
        <f>Y400+SUM($AM400:AM400)</f>
        <v>1031240000</v>
      </c>
      <c r="BB400" s="138">
        <f>Z400+SUM($AM400:AN400)</f>
        <v>1022646333</v>
      </c>
      <c r="BC400" s="138">
        <f>AA400+SUM($AM400:AO400)</f>
        <v>1014052666</v>
      </c>
      <c r="BD400" s="138">
        <f>AB400+SUM($AM400:AP400)</f>
        <v>1005458999</v>
      </c>
      <c r="BE400" s="138">
        <f>AC400+SUM($AM400:AQ400)</f>
        <v>996865332</v>
      </c>
      <c r="BF400" s="138">
        <f>AD400+SUM($AM400:AR400)</f>
        <v>988271665</v>
      </c>
      <c r="BG400" s="138">
        <f>AE400+SUM($AM400:AS400)</f>
        <v>979677998</v>
      </c>
      <c r="BH400" s="138">
        <f>AF400+SUM($AM400:AT400)</f>
        <v>971084331</v>
      </c>
      <c r="BI400" s="138">
        <f>AG400+SUM($AM400:AU400)</f>
        <v>962490664</v>
      </c>
      <c r="BJ400" s="138">
        <f>AH400+SUM($AM400:AV400)</f>
        <v>953896997</v>
      </c>
      <c r="BK400" s="138">
        <f>AI400+SUM($AM400:AW400)</f>
        <v>945303330</v>
      </c>
      <c r="BL400" s="138">
        <f>AJ400+SUM($AM400:AX400)</f>
        <v>936709663</v>
      </c>
      <c r="BM400" s="138">
        <f>AK400+SUM($AM400:AY400)</f>
        <v>928115996</v>
      </c>
      <c r="BO400" s="138"/>
    </row>
    <row r="401" spans="3:67" s="49" customFormat="1" x14ac:dyDescent="0.3">
      <c r="C401" s="49" t="s">
        <v>1576</v>
      </c>
      <c r="D401" s="50" t="s">
        <v>338</v>
      </c>
      <c r="E401" s="50" t="str">
        <f t="shared" si="21"/>
        <v>211</v>
      </c>
      <c r="F401" s="49" t="str">
        <f>_xlfn.XLOOKUP($D401,MD_Account_Asset_Type[Nhóm tài sản],MD_Account_Asset_Type[Tên Nhóm tài sản])</f>
        <v>Máy móc, thiết bị - SX 627</v>
      </c>
      <c r="G401" s="49" t="str">
        <f>_xlfn.XLOOKUP($D401,MD_Account_Asset_Type[Nhóm tài sản],MD_Account_Asset_Type[Tên nhóm TS-Rút gọn])</f>
        <v>Máy móc thiết bị</v>
      </c>
      <c r="H401" s="49" t="str">
        <f>_xlfn.XLOOKUP($D401,MD_Account_Asset_Type[Nhóm tài sản],MD_Account_Asset_Type[Tên nhóm TS-Rút gọn-v2])</f>
        <v>Máy móc thiết bị</v>
      </c>
      <c r="I401" s="51" t="s">
        <v>1253</v>
      </c>
      <c r="J401" s="50" t="s">
        <v>1226</v>
      </c>
      <c r="K401" s="49" t="s">
        <v>1357</v>
      </c>
      <c r="L401" s="50" t="s">
        <v>51</v>
      </c>
      <c r="M401" s="50" t="s">
        <v>126</v>
      </c>
      <c r="N401" s="52" t="s">
        <v>244</v>
      </c>
      <c r="O401" s="52"/>
      <c r="P401" s="49" t="s">
        <v>462</v>
      </c>
      <c r="Q401" s="49" t="str">
        <f t="shared" si="20"/>
        <v>627</v>
      </c>
      <c r="R401" s="49" t="str">
        <f>_xlfn.XLOOKUP($L401,MD_Cost_Center[Mã Cost Center],MD_Cost_Center[Ngành])</f>
        <v>PET</v>
      </c>
      <c r="S401" s="49" t="str">
        <f>_xlfn.XLOOKUP($L401,MD_Cost_Center[Mã Cost Center],MD_Cost_Center[Ngành-Tách PET-Xơ sợi])</f>
        <v>Chung-PET</v>
      </c>
      <c r="T401" s="53">
        <v>46023</v>
      </c>
      <c r="U401" s="54">
        <v>47849</v>
      </c>
      <c r="V401" s="55">
        <v>144</v>
      </c>
      <c r="W401" s="55">
        <v>1319363307</v>
      </c>
      <c r="X401" s="55">
        <f t="shared" ref="X401:X409" si="22">ROUND(-W401/V401,0)</f>
        <v>-9162245</v>
      </c>
      <c r="Y401" s="55">
        <f>IF($T401-1&lt;=Y$6,$W401,0)</f>
        <v>1319363307</v>
      </c>
      <c r="Z401" s="55">
        <f t="shared" ref="Z401:AK416" si="23">IF($T401-1&lt;=Z$6,$W401,0)</f>
        <v>1319363307</v>
      </c>
      <c r="AA401" s="55">
        <f t="shared" si="23"/>
        <v>1319363307</v>
      </c>
      <c r="AB401" s="55">
        <f t="shared" si="23"/>
        <v>1319363307</v>
      </c>
      <c r="AC401" s="55">
        <f t="shared" si="23"/>
        <v>1319363307</v>
      </c>
      <c r="AD401" s="55">
        <f t="shared" si="23"/>
        <v>1319363307</v>
      </c>
      <c r="AE401" s="55">
        <f t="shared" si="23"/>
        <v>1319363307</v>
      </c>
      <c r="AF401" s="55">
        <f t="shared" si="23"/>
        <v>1319363307</v>
      </c>
      <c r="AG401" s="55">
        <f t="shared" si="23"/>
        <v>1319363307</v>
      </c>
      <c r="AH401" s="55">
        <f t="shared" si="23"/>
        <v>1319363307</v>
      </c>
      <c r="AI401" s="55">
        <f t="shared" si="23"/>
        <v>1319363307</v>
      </c>
      <c r="AJ401" s="55">
        <f t="shared" si="23"/>
        <v>1319363307</v>
      </c>
      <c r="AK401" s="55">
        <f t="shared" si="23"/>
        <v>1319363307</v>
      </c>
      <c r="AL401" s="55"/>
      <c r="AM401" s="55">
        <v>0</v>
      </c>
      <c r="AN401" s="55">
        <f>IF($T401&lt;AN$6,$X401,0)</f>
        <v>-9162245</v>
      </c>
      <c r="AO401" s="55">
        <f t="shared" ref="AO401:AY416" si="24">IF($T401&lt;AO$6,$X401,0)</f>
        <v>-9162245</v>
      </c>
      <c r="AP401" s="55">
        <f t="shared" si="24"/>
        <v>-9162245</v>
      </c>
      <c r="AQ401" s="55">
        <f t="shared" si="24"/>
        <v>-9162245</v>
      </c>
      <c r="AR401" s="55">
        <f t="shared" si="24"/>
        <v>-9162245</v>
      </c>
      <c r="AS401" s="55">
        <f t="shared" si="24"/>
        <v>-9162245</v>
      </c>
      <c r="AT401" s="55">
        <f t="shared" si="24"/>
        <v>-9162245</v>
      </c>
      <c r="AU401" s="55">
        <f t="shared" si="24"/>
        <v>-9162245</v>
      </c>
      <c r="AV401" s="55">
        <f t="shared" si="24"/>
        <v>-9162245</v>
      </c>
      <c r="AW401" s="55">
        <f t="shared" si="24"/>
        <v>-9162245</v>
      </c>
      <c r="AX401" s="55">
        <f t="shared" si="24"/>
        <v>-9162245</v>
      </c>
      <c r="AY401" s="55">
        <f t="shared" si="24"/>
        <v>-9162245</v>
      </c>
      <c r="AZ401" s="59">
        <f t="shared" si="15"/>
        <v>-109946940</v>
      </c>
      <c r="BA401" s="55">
        <f t="shared" ref="BA401:BA439" si="25">Y401+AM401</f>
        <v>1319363307</v>
      </c>
      <c r="BB401" s="56">
        <f t="shared" ref="BB401:BB439" si="26">BA401+AN401</f>
        <v>1310201062</v>
      </c>
      <c r="BC401" s="56">
        <f t="shared" ref="BC401:BC439" si="27">BB401+AO401</f>
        <v>1301038817</v>
      </c>
      <c r="BD401" s="56">
        <f t="shared" ref="BD401:BD439" si="28">BC401+AP401</f>
        <v>1291876572</v>
      </c>
      <c r="BE401" s="56">
        <f t="shared" ref="BE401:BE439" si="29">BD401+AQ401</f>
        <v>1282714327</v>
      </c>
      <c r="BF401" s="56">
        <f t="shared" ref="BF401:BF439" si="30">BE401+AR401</f>
        <v>1273552082</v>
      </c>
      <c r="BG401" s="56">
        <f t="shared" ref="BG401:BG439" si="31">BF401+AS401</f>
        <v>1264389837</v>
      </c>
      <c r="BH401" s="56">
        <f t="shared" ref="BH401:BH439" si="32">BG401+AT401</f>
        <v>1255227592</v>
      </c>
      <c r="BI401" s="56">
        <f t="shared" ref="BI401:BI439" si="33">BH401+AU401</f>
        <v>1246065347</v>
      </c>
      <c r="BJ401" s="56">
        <f t="shared" ref="BJ401:BJ439" si="34">BI401+AV401</f>
        <v>1236903102</v>
      </c>
      <c r="BK401" s="56">
        <f t="shared" ref="BK401:BK439" si="35">BJ401+AW401</f>
        <v>1227740857</v>
      </c>
      <c r="BL401" s="56">
        <f t="shared" ref="BL401:BL439" si="36">BK401+AX401</f>
        <v>1218578612</v>
      </c>
      <c r="BM401" s="56">
        <f t="shared" ref="BM401:BM439" si="37">BL401+AY401</f>
        <v>1209416367</v>
      </c>
      <c r="BO401" s="55"/>
    </row>
    <row r="402" spans="3:67" s="49" customFormat="1" x14ac:dyDescent="0.3">
      <c r="C402" s="49" t="s">
        <v>1576</v>
      </c>
      <c r="D402" s="50" t="s">
        <v>337</v>
      </c>
      <c r="E402" s="50" t="str">
        <f t="shared" si="21"/>
        <v>211</v>
      </c>
      <c r="F402" s="49" t="str">
        <f>_xlfn.XLOOKUP($D402,MD_Account_Asset_Type[Nhóm tài sản],MD_Account_Asset_Type[Tên Nhóm tài sản])</f>
        <v>Máy móc, thiết bị phụ - SX 627</v>
      </c>
      <c r="G402" s="49" t="str">
        <f>_xlfn.XLOOKUP($D402,MD_Account_Asset_Type[Nhóm tài sản],MD_Account_Asset_Type[Tên nhóm TS-Rút gọn])</f>
        <v>Máy móc thiết bị</v>
      </c>
      <c r="H402" s="49" t="str">
        <f>_xlfn.XLOOKUP($D402,MD_Account_Asset_Type[Nhóm tài sản],MD_Account_Asset_Type[Tên nhóm TS-Rút gọn-v2])</f>
        <v>Máy móc thiết bị</v>
      </c>
      <c r="I402" s="51" t="s">
        <v>1254</v>
      </c>
      <c r="J402" s="50" t="s">
        <v>1227</v>
      </c>
      <c r="K402" s="49" t="s">
        <v>1357</v>
      </c>
      <c r="L402" s="50" t="s">
        <v>48</v>
      </c>
      <c r="M402" s="50" t="s">
        <v>123</v>
      </c>
      <c r="N402" s="52">
        <v>0</v>
      </c>
      <c r="O402" s="52"/>
      <c r="P402" s="49" t="s">
        <v>461</v>
      </c>
      <c r="Q402" s="49" t="str">
        <f t="shared" si="20"/>
        <v>627</v>
      </c>
      <c r="R402" s="49" t="str">
        <f>_xlfn.XLOOKUP($L402,MD_Cost_Center[Mã Cost Center],MD_Cost_Center[Ngành])</f>
        <v>PET</v>
      </c>
      <c r="S402" s="49" t="str">
        <f>_xlfn.XLOOKUP($L402,MD_Cost_Center[Mã Cost Center],MD_Cost_Center[Ngành-Tách PET-Xơ sợi])</f>
        <v>Chung-PET</v>
      </c>
      <c r="T402" s="53">
        <v>46023</v>
      </c>
      <c r="U402" s="54">
        <v>47849</v>
      </c>
      <c r="V402" s="55">
        <v>144</v>
      </c>
      <c r="W402" s="55">
        <v>404333333</v>
      </c>
      <c r="X402" s="55">
        <f t="shared" si="22"/>
        <v>-2807870</v>
      </c>
      <c r="Y402" s="55">
        <f t="shared" ref="Y402:AK435" si="38">IF($T402-1&lt;=Y$6,$W402,0)</f>
        <v>404333333</v>
      </c>
      <c r="Z402" s="55">
        <f t="shared" si="23"/>
        <v>404333333</v>
      </c>
      <c r="AA402" s="55">
        <f t="shared" si="23"/>
        <v>404333333</v>
      </c>
      <c r="AB402" s="55">
        <f t="shared" si="23"/>
        <v>404333333</v>
      </c>
      <c r="AC402" s="55">
        <f t="shared" si="23"/>
        <v>404333333</v>
      </c>
      <c r="AD402" s="55">
        <f t="shared" si="23"/>
        <v>404333333</v>
      </c>
      <c r="AE402" s="55">
        <f t="shared" si="23"/>
        <v>404333333</v>
      </c>
      <c r="AF402" s="55">
        <f t="shared" si="23"/>
        <v>404333333</v>
      </c>
      <c r="AG402" s="55">
        <f t="shared" si="23"/>
        <v>404333333</v>
      </c>
      <c r="AH402" s="55">
        <f t="shared" si="23"/>
        <v>404333333</v>
      </c>
      <c r="AI402" s="55">
        <f t="shared" si="23"/>
        <v>404333333</v>
      </c>
      <c r="AJ402" s="55">
        <f t="shared" si="23"/>
        <v>404333333</v>
      </c>
      <c r="AK402" s="55">
        <f t="shared" si="23"/>
        <v>404333333</v>
      </c>
      <c r="AL402" s="55"/>
      <c r="AM402" s="55">
        <v>0</v>
      </c>
      <c r="AN402" s="55">
        <f t="shared" ref="AN402:AY436" si="39">IF($T402&lt;AN$6,$X402,0)</f>
        <v>-2807870</v>
      </c>
      <c r="AO402" s="55">
        <f t="shared" si="24"/>
        <v>-2807870</v>
      </c>
      <c r="AP402" s="55">
        <f t="shared" si="24"/>
        <v>-2807870</v>
      </c>
      <c r="AQ402" s="55">
        <f t="shared" si="24"/>
        <v>-2807870</v>
      </c>
      <c r="AR402" s="55">
        <f t="shared" si="24"/>
        <v>-2807870</v>
      </c>
      <c r="AS402" s="55">
        <f t="shared" si="24"/>
        <v>-2807870</v>
      </c>
      <c r="AT402" s="55">
        <f t="shared" si="24"/>
        <v>-2807870</v>
      </c>
      <c r="AU402" s="55">
        <f t="shared" si="24"/>
        <v>-2807870</v>
      </c>
      <c r="AV402" s="55">
        <f t="shared" si="24"/>
        <v>-2807870</v>
      </c>
      <c r="AW402" s="55">
        <f t="shared" si="24"/>
        <v>-2807870</v>
      </c>
      <c r="AX402" s="55">
        <f t="shared" si="24"/>
        <v>-2807870</v>
      </c>
      <c r="AY402" s="55">
        <f t="shared" si="24"/>
        <v>-2807870</v>
      </c>
      <c r="AZ402" s="59">
        <f t="shared" si="15"/>
        <v>-33694440</v>
      </c>
      <c r="BA402" s="55">
        <f t="shared" si="25"/>
        <v>404333333</v>
      </c>
      <c r="BB402" s="56">
        <f t="shared" si="26"/>
        <v>401525463</v>
      </c>
      <c r="BC402" s="56">
        <f t="shared" si="27"/>
        <v>398717593</v>
      </c>
      <c r="BD402" s="56">
        <f t="shared" si="28"/>
        <v>395909723</v>
      </c>
      <c r="BE402" s="56">
        <f t="shared" si="29"/>
        <v>393101853</v>
      </c>
      <c r="BF402" s="56">
        <f t="shared" si="30"/>
        <v>390293983</v>
      </c>
      <c r="BG402" s="56">
        <f t="shared" si="31"/>
        <v>387486113</v>
      </c>
      <c r="BH402" s="56">
        <f t="shared" si="32"/>
        <v>384678243</v>
      </c>
      <c r="BI402" s="56">
        <f t="shared" si="33"/>
        <v>381870373</v>
      </c>
      <c r="BJ402" s="56">
        <f t="shared" si="34"/>
        <v>379062503</v>
      </c>
      <c r="BK402" s="56">
        <f t="shared" si="35"/>
        <v>376254633</v>
      </c>
      <c r="BL402" s="56">
        <f t="shared" si="36"/>
        <v>373446763</v>
      </c>
      <c r="BM402" s="56">
        <f t="shared" si="37"/>
        <v>370638893</v>
      </c>
      <c r="BO402" s="55"/>
    </row>
    <row r="403" spans="3:67" s="49" customFormat="1" x14ac:dyDescent="0.3">
      <c r="C403" s="49" t="s">
        <v>1576</v>
      </c>
      <c r="D403" s="50" t="s">
        <v>338</v>
      </c>
      <c r="E403" s="50" t="str">
        <f t="shared" si="21"/>
        <v>211</v>
      </c>
      <c r="F403" s="49" t="str">
        <f>_xlfn.XLOOKUP($D403,MD_Account_Asset_Type[Nhóm tài sản],MD_Account_Asset_Type[Tên Nhóm tài sản])</f>
        <v>Máy móc, thiết bị - SX 627</v>
      </c>
      <c r="G403" s="49" t="str">
        <f>_xlfn.XLOOKUP($D403,MD_Account_Asset_Type[Nhóm tài sản],MD_Account_Asset_Type[Tên nhóm TS-Rút gọn])</f>
        <v>Máy móc thiết bị</v>
      </c>
      <c r="H403" s="49" t="str">
        <f>_xlfn.XLOOKUP($D403,MD_Account_Asset_Type[Nhóm tài sản],MD_Account_Asset_Type[Tên nhóm TS-Rút gọn-v2])</f>
        <v>Máy móc thiết bị</v>
      </c>
      <c r="I403" s="51" t="s">
        <v>1255</v>
      </c>
      <c r="J403" s="50" t="s">
        <v>1228</v>
      </c>
      <c r="K403" s="49" t="s">
        <v>1357</v>
      </c>
      <c r="L403" s="50" t="s">
        <v>54</v>
      </c>
      <c r="M403" s="50" t="s">
        <v>129</v>
      </c>
      <c r="N403" s="52" t="s">
        <v>247</v>
      </c>
      <c r="O403" s="52"/>
      <c r="P403" s="49" t="s">
        <v>462</v>
      </c>
      <c r="Q403" s="49" t="str">
        <f t="shared" si="20"/>
        <v>627</v>
      </c>
      <c r="R403" s="49" t="str">
        <f>_xlfn.XLOOKUP($L403,MD_Cost_Center[Mã Cost Center],MD_Cost_Center[Ngành])</f>
        <v>PET</v>
      </c>
      <c r="S403" s="49" t="str">
        <f>_xlfn.XLOOKUP($L403,MD_Cost_Center[Mã Cost Center],MD_Cost_Center[Ngành-Tách PET-Xơ sợi])</f>
        <v>PET</v>
      </c>
      <c r="T403" s="53">
        <v>46023</v>
      </c>
      <c r="U403" s="54">
        <v>47849</v>
      </c>
      <c r="V403" s="55">
        <v>144</v>
      </c>
      <c r="W403" s="55">
        <v>1387270999</v>
      </c>
      <c r="X403" s="55">
        <f t="shared" si="22"/>
        <v>-9633826</v>
      </c>
      <c r="Y403" s="55">
        <f t="shared" si="38"/>
        <v>1387270999</v>
      </c>
      <c r="Z403" s="55">
        <f t="shared" si="23"/>
        <v>1387270999</v>
      </c>
      <c r="AA403" s="55">
        <f t="shared" si="23"/>
        <v>1387270999</v>
      </c>
      <c r="AB403" s="55">
        <f t="shared" si="23"/>
        <v>1387270999</v>
      </c>
      <c r="AC403" s="55">
        <f t="shared" si="23"/>
        <v>1387270999</v>
      </c>
      <c r="AD403" s="55">
        <f t="shared" si="23"/>
        <v>1387270999</v>
      </c>
      <c r="AE403" s="55">
        <f t="shared" si="23"/>
        <v>1387270999</v>
      </c>
      <c r="AF403" s="55">
        <f t="shared" si="23"/>
        <v>1387270999</v>
      </c>
      <c r="AG403" s="55">
        <f t="shared" si="23"/>
        <v>1387270999</v>
      </c>
      <c r="AH403" s="55">
        <f t="shared" si="23"/>
        <v>1387270999</v>
      </c>
      <c r="AI403" s="55">
        <f t="shared" si="23"/>
        <v>1387270999</v>
      </c>
      <c r="AJ403" s="55">
        <f t="shared" si="23"/>
        <v>1387270999</v>
      </c>
      <c r="AK403" s="55">
        <f t="shared" si="23"/>
        <v>1387270999</v>
      </c>
      <c r="AL403" s="55"/>
      <c r="AM403" s="55">
        <v>0</v>
      </c>
      <c r="AN403" s="55">
        <f t="shared" si="39"/>
        <v>-9633826</v>
      </c>
      <c r="AO403" s="55">
        <f t="shared" si="24"/>
        <v>-9633826</v>
      </c>
      <c r="AP403" s="55">
        <f t="shared" si="24"/>
        <v>-9633826</v>
      </c>
      <c r="AQ403" s="55">
        <f t="shared" si="24"/>
        <v>-9633826</v>
      </c>
      <c r="AR403" s="55">
        <f t="shared" si="24"/>
        <v>-9633826</v>
      </c>
      <c r="AS403" s="55">
        <f t="shared" si="24"/>
        <v>-9633826</v>
      </c>
      <c r="AT403" s="55">
        <f t="shared" si="24"/>
        <v>-9633826</v>
      </c>
      <c r="AU403" s="55">
        <f t="shared" si="24"/>
        <v>-9633826</v>
      </c>
      <c r="AV403" s="55">
        <f t="shared" si="24"/>
        <v>-9633826</v>
      </c>
      <c r="AW403" s="55">
        <f t="shared" si="24"/>
        <v>-9633826</v>
      </c>
      <c r="AX403" s="55">
        <f t="shared" si="24"/>
        <v>-9633826</v>
      </c>
      <c r="AY403" s="55">
        <f t="shared" si="24"/>
        <v>-9633826</v>
      </c>
      <c r="AZ403" s="59">
        <f t="shared" si="15"/>
        <v>-115605912</v>
      </c>
      <c r="BA403" s="55">
        <f t="shared" si="25"/>
        <v>1387270999</v>
      </c>
      <c r="BB403" s="56">
        <f t="shared" si="26"/>
        <v>1377637173</v>
      </c>
      <c r="BC403" s="56">
        <f t="shared" si="27"/>
        <v>1368003347</v>
      </c>
      <c r="BD403" s="56">
        <f t="shared" si="28"/>
        <v>1358369521</v>
      </c>
      <c r="BE403" s="56">
        <f t="shared" si="29"/>
        <v>1348735695</v>
      </c>
      <c r="BF403" s="56">
        <f t="shared" si="30"/>
        <v>1339101869</v>
      </c>
      <c r="BG403" s="56">
        <f t="shared" si="31"/>
        <v>1329468043</v>
      </c>
      <c r="BH403" s="56">
        <f t="shared" si="32"/>
        <v>1319834217</v>
      </c>
      <c r="BI403" s="56">
        <f t="shared" si="33"/>
        <v>1310200391</v>
      </c>
      <c r="BJ403" s="56">
        <f t="shared" si="34"/>
        <v>1300566565</v>
      </c>
      <c r="BK403" s="56">
        <f t="shared" si="35"/>
        <v>1290932739</v>
      </c>
      <c r="BL403" s="56">
        <f t="shared" si="36"/>
        <v>1281298913</v>
      </c>
      <c r="BM403" s="56">
        <f t="shared" si="37"/>
        <v>1271665087</v>
      </c>
      <c r="BO403" s="55"/>
    </row>
    <row r="404" spans="3:67" s="49" customFormat="1" x14ac:dyDescent="0.3">
      <c r="C404" s="49" t="s">
        <v>1576</v>
      </c>
      <c r="D404" s="50" t="s">
        <v>338</v>
      </c>
      <c r="E404" s="50" t="str">
        <f t="shared" si="21"/>
        <v>211</v>
      </c>
      <c r="F404" s="49" t="str">
        <f>_xlfn.XLOOKUP($D404,MD_Account_Asset_Type[Nhóm tài sản],MD_Account_Asset_Type[Tên Nhóm tài sản])</f>
        <v>Máy móc, thiết bị - SX 627</v>
      </c>
      <c r="G404" s="49" t="str">
        <f>_xlfn.XLOOKUP($D404,MD_Account_Asset_Type[Nhóm tài sản],MD_Account_Asset_Type[Tên nhóm TS-Rút gọn])</f>
        <v>Máy móc thiết bị</v>
      </c>
      <c r="H404" s="49" t="str">
        <f>_xlfn.XLOOKUP($D404,MD_Account_Asset_Type[Nhóm tài sản],MD_Account_Asset_Type[Tên nhóm TS-Rút gọn-v2])</f>
        <v>Máy móc thiết bị</v>
      </c>
      <c r="I404" s="51" t="s">
        <v>1281</v>
      </c>
      <c r="J404" s="50" t="s">
        <v>1284</v>
      </c>
      <c r="K404" s="49" t="s">
        <v>1357</v>
      </c>
      <c r="L404" s="50" t="s">
        <v>65</v>
      </c>
      <c r="M404" s="50" t="s">
        <v>140</v>
      </c>
      <c r="N404" s="52" t="s">
        <v>258</v>
      </c>
      <c r="O404" s="52"/>
      <c r="P404" s="49" t="s">
        <v>462</v>
      </c>
      <c r="Q404" s="49" t="str">
        <f t="shared" si="20"/>
        <v>627</v>
      </c>
      <c r="R404" s="49" t="str">
        <f>_xlfn.XLOOKUP($L404,MD_Cost_Center[Mã Cost Center],MD_Cost_Center[Ngành])</f>
        <v>PET</v>
      </c>
      <c r="S404" s="49" t="str">
        <f>_xlfn.XLOOKUP($L404,MD_Cost_Center[Mã Cost Center],MD_Cost_Center[Ngành-Tách PET-Xơ sợi])</f>
        <v>Chung-PET</v>
      </c>
      <c r="T404" s="53">
        <v>46023</v>
      </c>
      <c r="U404" s="54">
        <v>49675</v>
      </c>
      <c r="V404" s="55">
        <v>144</v>
      </c>
      <c r="W404" s="55">
        <v>10986846578</v>
      </c>
      <c r="X404" s="55">
        <f t="shared" si="22"/>
        <v>-76297546</v>
      </c>
      <c r="Y404" s="55">
        <f t="shared" si="38"/>
        <v>10986846578</v>
      </c>
      <c r="Z404" s="55">
        <f t="shared" si="23"/>
        <v>10986846578</v>
      </c>
      <c r="AA404" s="55">
        <f t="shared" si="23"/>
        <v>10986846578</v>
      </c>
      <c r="AB404" s="55">
        <f t="shared" si="23"/>
        <v>10986846578</v>
      </c>
      <c r="AC404" s="55">
        <f t="shared" si="23"/>
        <v>10986846578</v>
      </c>
      <c r="AD404" s="55">
        <f t="shared" si="23"/>
        <v>10986846578</v>
      </c>
      <c r="AE404" s="55">
        <f t="shared" si="23"/>
        <v>10986846578</v>
      </c>
      <c r="AF404" s="55">
        <f t="shared" si="23"/>
        <v>10986846578</v>
      </c>
      <c r="AG404" s="55">
        <f t="shared" si="23"/>
        <v>10986846578</v>
      </c>
      <c r="AH404" s="55">
        <f t="shared" si="23"/>
        <v>10986846578</v>
      </c>
      <c r="AI404" s="55">
        <f t="shared" si="23"/>
        <v>10986846578</v>
      </c>
      <c r="AJ404" s="55">
        <f t="shared" si="23"/>
        <v>10986846578</v>
      </c>
      <c r="AK404" s="55">
        <f t="shared" si="23"/>
        <v>10986846578</v>
      </c>
      <c r="AL404" s="55"/>
      <c r="AM404" s="55">
        <v>0</v>
      </c>
      <c r="AN404" s="55">
        <f t="shared" si="39"/>
        <v>-76297546</v>
      </c>
      <c r="AO404" s="55">
        <f t="shared" si="24"/>
        <v>-76297546</v>
      </c>
      <c r="AP404" s="55">
        <f t="shared" si="24"/>
        <v>-76297546</v>
      </c>
      <c r="AQ404" s="55">
        <f t="shared" si="24"/>
        <v>-76297546</v>
      </c>
      <c r="AR404" s="55">
        <f t="shared" si="24"/>
        <v>-76297546</v>
      </c>
      <c r="AS404" s="55">
        <f t="shared" si="24"/>
        <v>-76297546</v>
      </c>
      <c r="AT404" s="55">
        <f t="shared" si="24"/>
        <v>-76297546</v>
      </c>
      <c r="AU404" s="55">
        <f t="shared" si="24"/>
        <v>-76297546</v>
      </c>
      <c r="AV404" s="55">
        <f t="shared" si="24"/>
        <v>-76297546</v>
      </c>
      <c r="AW404" s="55">
        <f t="shared" si="24"/>
        <v>-76297546</v>
      </c>
      <c r="AX404" s="55">
        <f t="shared" si="24"/>
        <v>-76297546</v>
      </c>
      <c r="AY404" s="55">
        <f t="shared" si="24"/>
        <v>-76297546</v>
      </c>
      <c r="AZ404" s="59">
        <f t="shared" si="15"/>
        <v>-915570552</v>
      </c>
      <c r="BA404" s="55">
        <f t="shared" si="25"/>
        <v>10986846578</v>
      </c>
      <c r="BB404" s="56">
        <f t="shared" si="26"/>
        <v>10910549032</v>
      </c>
      <c r="BC404" s="56">
        <f t="shared" si="27"/>
        <v>10834251486</v>
      </c>
      <c r="BD404" s="56">
        <f t="shared" si="28"/>
        <v>10757953940</v>
      </c>
      <c r="BE404" s="56">
        <f t="shared" si="29"/>
        <v>10681656394</v>
      </c>
      <c r="BF404" s="56">
        <f t="shared" si="30"/>
        <v>10605358848</v>
      </c>
      <c r="BG404" s="56">
        <f t="shared" si="31"/>
        <v>10529061302</v>
      </c>
      <c r="BH404" s="56">
        <f t="shared" si="32"/>
        <v>10452763756</v>
      </c>
      <c r="BI404" s="56">
        <f t="shared" si="33"/>
        <v>10376466210</v>
      </c>
      <c r="BJ404" s="56">
        <f t="shared" si="34"/>
        <v>10300168664</v>
      </c>
      <c r="BK404" s="56">
        <f t="shared" si="35"/>
        <v>10223871118</v>
      </c>
      <c r="BL404" s="56">
        <f t="shared" si="36"/>
        <v>10147573572</v>
      </c>
      <c r="BM404" s="56">
        <f t="shared" si="37"/>
        <v>10071276026</v>
      </c>
      <c r="BO404" s="55"/>
    </row>
    <row r="405" spans="3:67" s="49" customFormat="1" x14ac:dyDescent="0.3">
      <c r="C405" s="49" t="s">
        <v>1576</v>
      </c>
      <c r="D405" s="50" t="s">
        <v>338</v>
      </c>
      <c r="E405" s="50" t="str">
        <f t="shared" si="21"/>
        <v>211</v>
      </c>
      <c r="F405" s="49" t="str">
        <f>_xlfn.XLOOKUP($D405,MD_Account_Asset_Type[Nhóm tài sản],MD_Account_Asset_Type[Tên Nhóm tài sản])</f>
        <v>Máy móc, thiết bị - SX 627</v>
      </c>
      <c r="G405" s="49" t="str">
        <f>_xlfn.XLOOKUP($D405,MD_Account_Asset_Type[Nhóm tài sản],MD_Account_Asset_Type[Tên nhóm TS-Rút gọn])</f>
        <v>Máy móc thiết bị</v>
      </c>
      <c r="H405" s="49" t="str">
        <f>_xlfn.XLOOKUP($D405,MD_Account_Asset_Type[Nhóm tài sản],MD_Account_Asset_Type[Tên nhóm TS-Rút gọn-v2])</f>
        <v>Máy móc thiết bị</v>
      </c>
      <c r="I405" s="51" t="s">
        <v>1282</v>
      </c>
      <c r="J405" s="50" t="s">
        <v>1283</v>
      </c>
      <c r="K405" s="49" t="s">
        <v>1357</v>
      </c>
      <c r="L405" s="50" t="s">
        <v>64</v>
      </c>
      <c r="M405" s="50" t="s">
        <v>139</v>
      </c>
      <c r="N405" s="52" t="s">
        <v>257</v>
      </c>
      <c r="O405" s="52"/>
      <c r="P405" s="49" t="s">
        <v>462</v>
      </c>
      <c r="Q405" s="49" t="str">
        <f t="shared" si="20"/>
        <v>627</v>
      </c>
      <c r="R405" s="49" t="str">
        <f>_xlfn.XLOOKUP($L405,MD_Cost_Center[Mã Cost Center],MD_Cost_Center[Ngành])</f>
        <v>PET</v>
      </c>
      <c r="S405" s="49" t="str">
        <f>_xlfn.XLOOKUP($L405,MD_Cost_Center[Mã Cost Center],MD_Cost_Center[Ngành-Tách PET-Xơ sợi])</f>
        <v>Chung-PET</v>
      </c>
      <c r="T405" s="53">
        <v>46023</v>
      </c>
      <c r="U405" s="54">
        <v>49675</v>
      </c>
      <c r="V405" s="55">
        <v>144</v>
      </c>
      <c r="W405" s="55">
        <v>10986846578</v>
      </c>
      <c r="X405" s="55">
        <f t="shared" si="22"/>
        <v>-76297546</v>
      </c>
      <c r="Y405" s="55">
        <f t="shared" si="38"/>
        <v>10986846578</v>
      </c>
      <c r="Z405" s="55">
        <f t="shared" si="23"/>
        <v>10986846578</v>
      </c>
      <c r="AA405" s="55">
        <f t="shared" si="23"/>
        <v>10986846578</v>
      </c>
      <c r="AB405" s="55">
        <f t="shared" si="23"/>
        <v>10986846578</v>
      </c>
      <c r="AC405" s="55">
        <f t="shared" si="23"/>
        <v>10986846578</v>
      </c>
      <c r="AD405" s="55">
        <f t="shared" si="23"/>
        <v>10986846578</v>
      </c>
      <c r="AE405" s="55">
        <f t="shared" si="23"/>
        <v>10986846578</v>
      </c>
      <c r="AF405" s="55">
        <f t="shared" si="23"/>
        <v>10986846578</v>
      </c>
      <c r="AG405" s="55">
        <f t="shared" si="23"/>
        <v>10986846578</v>
      </c>
      <c r="AH405" s="55">
        <f t="shared" si="23"/>
        <v>10986846578</v>
      </c>
      <c r="AI405" s="55">
        <f t="shared" si="23"/>
        <v>10986846578</v>
      </c>
      <c r="AJ405" s="55">
        <f t="shared" si="23"/>
        <v>10986846578</v>
      </c>
      <c r="AK405" s="55">
        <f t="shared" si="23"/>
        <v>10986846578</v>
      </c>
      <c r="AL405" s="55"/>
      <c r="AM405" s="55">
        <v>0</v>
      </c>
      <c r="AN405" s="55">
        <f t="shared" si="39"/>
        <v>-76297546</v>
      </c>
      <c r="AO405" s="55">
        <f t="shared" si="24"/>
        <v>-76297546</v>
      </c>
      <c r="AP405" s="55">
        <f t="shared" si="24"/>
        <v>-76297546</v>
      </c>
      <c r="AQ405" s="55">
        <f t="shared" si="24"/>
        <v>-76297546</v>
      </c>
      <c r="AR405" s="55">
        <f t="shared" si="24"/>
        <v>-76297546</v>
      </c>
      <c r="AS405" s="55">
        <f t="shared" si="24"/>
        <v>-76297546</v>
      </c>
      <c r="AT405" s="55">
        <f t="shared" si="24"/>
        <v>-76297546</v>
      </c>
      <c r="AU405" s="55">
        <f t="shared" si="24"/>
        <v>-76297546</v>
      </c>
      <c r="AV405" s="55">
        <f t="shared" si="24"/>
        <v>-76297546</v>
      </c>
      <c r="AW405" s="55">
        <f t="shared" si="24"/>
        <v>-76297546</v>
      </c>
      <c r="AX405" s="55">
        <f t="shared" si="24"/>
        <v>-76297546</v>
      </c>
      <c r="AY405" s="55">
        <f t="shared" si="24"/>
        <v>-76297546</v>
      </c>
      <c r="AZ405" s="59">
        <f t="shared" si="15"/>
        <v>-915570552</v>
      </c>
      <c r="BA405" s="55">
        <f t="shared" si="25"/>
        <v>10986846578</v>
      </c>
      <c r="BB405" s="56">
        <f t="shared" si="26"/>
        <v>10910549032</v>
      </c>
      <c r="BC405" s="56">
        <f t="shared" si="27"/>
        <v>10834251486</v>
      </c>
      <c r="BD405" s="56">
        <f t="shared" si="28"/>
        <v>10757953940</v>
      </c>
      <c r="BE405" s="56">
        <f t="shared" si="29"/>
        <v>10681656394</v>
      </c>
      <c r="BF405" s="56">
        <f t="shared" si="30"/>
        <v>10605358848</v>
      </c>
      <c r="BG405" s="56">
        <f t="shared" si="31"/>
        <v>10529061302</v>
      </c>
      <c r="BH405" s="56">
        <f t="shared" si="32"/>
        <v>10452763756</v>
      </c>
      <c r="BI405" s="56">
        <f t="shared" si="33"/>
        <v>10376466210</v>
      </c>
      <c r="BJ405" s="56">
        <f t="shared" si="34"/>
        <v>10300168664</v>
      </c>
      <c r="BK405" s="56">
        <f t="shared" si="35"/>
        <v>10223871118</v>
      </c>
      <c r="BL405" s="56">
        <f t="shared" si="36"/>
        <v>10147573572</v>
      </c>
      <c r="BM405" s="56">
        <f t="shared" si="37"/>
        <v>10071276026</v>
      </c>
      <c r="BO405" s="55"/>
    </row>
    <row r="406" spans="3:67" s="49" customFormat="1" x14ac:dyDescent="0.3">
      <c r="C406" s="49" t="s">
        <v>1576</v>
      </c>
      <c r="D406" s="50" t="s">
        <v>338</v>
      </c>
      <c r="E406" s="50" t="str">
        <f t="shared" si="21"/>
        <v>211</v>
      </c>
      <c r="F406" s="49" t="str">
        <f>_xlfn.XLOOKUP($D406,MD_Account_Asset_Type[Nhóm tài sản],MD_Account_Asset_Type[Tên Nhóm tài sản])</f>
        <v>Máy móc, thiết bị - SX 627</v>
      </c>
      <c r="G406" s="49" t="str">
        <f>_xlfn.XLOOKUP($D406,MD_Account_Asset_Type[Nhóm tài sản],MD_Account_Asset_Type[Tên nhóm TS-Rút gọn])</f>
        <v>Máy móc thiết bị</v>
      </c>
      <c r="H406" s="49" t="str">
        <f>_xlfn.XLOOKUP($D406,MD_Account_Asset_Type[Nhóm tài sản],MD_Account_Asset_Type[Tên nhóm TS-Rút gọn-v2])</f>
        <v>Máy móc thiết bị</v>
      </c>
      <c r="I406" s="51" t="s">
        <v>1285</v>
      </c>
      <c r="J406" s="50" t="s">
        <v>1287</v>
      </c>
      <c r="K406" s="49" t="s">
        <v>1357</v>
      </c>
      <c r="L406" s="50" t="s">
        <v>70</v>
      </c>
      <c r="M406" s="50" t="s">
        <v>145</v>
      </c>
      <c r="N406" s="52" t="s">
        <v>263</v>
      </c>
      <c r="O406" s="52"/>
      <c r="P406" s="49" t="s">
        <v>462</v>
      </c>
      <c r="Q406" s="49" t="str">
        <f t="shared" si="20"/>
        <v>627</v>
      </c>
      <c r="R406" s="49" t="str">
        <f>_xlfn.XLOOKUP($L406,MD_Cost_Center[Mã Cost Center],MD_Cost_Center[Ngành])</f>
        <v>PET</v>
      </c>
      <c r="S406" s="49" t="str">
        <f>_xlfn.XLOOKUP($L406,MD_Cost_Center[Mã Cost Center],MD_Cost_Center[Ngành-Tách PET-Xơ sợi])</f>
        <v>Chung-PET</v>
      </c>
      <c r="T406" s="53">
        <v>46023</v>
      </c>
      <c r="U406" s="54">
        <v>48214</v>
      </c>
      <c r="V406" s="55">
        <v>144</v>
      </c>
      <c r="W406" s="55">
        <v>3025919614</v>
      </c>
      <c r="X406" s="55">
        <f t="shared" si="22"/>
        <v>-21013331</v>
      </c>
      <c r="Y406" s="55">
        <f t="shared" si="38"/>
        <v>3025919614</v>
      </c>
      <c r="Z406" s="55">
        <f t="shared" si="23"/>
        <v>3025919614</v>
      </c>
      <c r="AA406" s="55">
        <f t="shared" si="23"/>
        <v>3025919614</v>
      </c>
      <c r="AB406" s="55">
        <f t="shared" si="23"/>
        <v>3025919614</v>
      </c>
      <c r="AC406" s="55">
        <f t="shared" si="23"/>
        <v>3025919614</v>
      </c>
      <c r="AD406" s="55">
        <f t="shared" si="23"/>
        <v>3025919614</v>
      </c>
      <c r="AE406" s="55">
        <f t="shared" si="23"/>
        <v>3025919614</v>
      </c>
      <c r="AF406" s="55">
        <f t="shared" si="23"/>
        <v>3025919614</v>
      </c>
      <c r="AG406" s="55">
        <f t="shared" si="23"/>
        <v>3025919614</v>
      </c>
      <c r="AH406" s="55">
        <f t="shared" si="23"/>
        <v>3025919614</v>
      </c>
      <c r="AI406" s="55">
        <f t="shared" si="23"/>
        <v>3025919614</v>
      </c>
      <c r="AJ406" s="55">
        <f t="shared" si="23"/>
        <v>3025919614</v>
      </c>
      <c r="AK406" s="55">
        <f t="shared" si="23"/>
        <v>3025919614</v>
      </c>
      <c r="AL406" s="55"/>
      <c r="AM406" s="55">
        <v>0</v>
      </c>
      <c r="AN406" s="55">
        <f t="shared" si="39"/>
        <v>-21013331</v>
      </c>
      <c r="AO406" s="55">
        <f t="shared" si="24"/>
        <v>-21013331</v>
      </c>
      <c r="AP406" s="55">
        <f t="shared" si="24"/>
        <v>-21013331</v>
      </c>
      <c r="AQ406" s="55">
        <f t="shared" si="24"/>
        <v>-21013331</v>
      </c>
      <c r="AR406" s="55">
        <f t="shared" si="24"/>
        <v>-21013331</v>
      </c>
      <c r="AS406" s="55">
        <f t="shared" si="24"/>
        <v>-21013331</v>
      </c>
      <c r="AT406" s="55">
        <f t="shared" si="24"/>
        <v>-21013331</v>
      </c>
      <c r="AU406" s="55">
        <f t="shared" si="24"/>
        <v>-21013331</v>
      </c>
      <c r="AV406" s="55">
        <f t="shared" si="24"/>
        <v>-21013331</v>
      </c>
      <c r="AW406" s="55">
        <f t="shared" si="24"/>
        <v>-21013331</v>
      </c>
      <c r="AX406" s="55">
        <f t="shared" si="24"/>
        <v>-21013331</v>
      </c>
      <c r="AY406" s="55">
        <f t="shared" si="24"/>
        <v>-21013331</v>
      </c>
      <c r="AZ406" s="59">
        <f t="shared" si="15"/>
        <v>-252159972</v>
      </c>
      <c r="BA406" s="55">
        <f t="shared" si="25"/>
        <v>3025919614</v>
      </c>
      <c r="BB406" s="56">
        <f t="shared" si="26"/>
        <v>3004906283</v>
      </c>
      <c r="BC406" s="56">
        <f t="shared" si="27"/>
        <v>2983892952</v>
      </c>
      <c r="BD406" s="56">
        <f t="shared" si="28"/>
        <v>2962879621</v>
      </c>
      <c r="BE406" s="56">
        <f t="shared" si="29"/>
        <v>2941866290</v>
      </c>
      <c r="BF406" s="56">
        <f t="shared" si="30"/>
        <v>2920852959</v>
      </c>
      <c r="BG406" s="56">
        <f t="shared" si="31"/>
        <v>2899839628</v>
      </c>
      <c r="BH406" s="56">
        <f t="shared" si="32"/>
        <v>2878826297</v>
      </c>
      <c r="BI406" s="56">
        <f t="shared" si="33"/>
        <v>2857812966</v>
      </c>
      <c r="BJ406" s="56">
        <f t="shared" si="34"/>
        <v>2836799635</v>
      </c>
      <c r="BK406" s="56">
        <f t="shared" si="35"/>
        <v>2815786304</v>
      </c>
      <c r="BL406" s="56">
        <f t="shared" si="36"/>
        <v>2794772973</v>
      </c>
      <c r="BM406" s="56">
        <f t="shared" si="37"/>
        <v>2773759642</v>
      </c>
      <c r="BO406" s="55"/>
    </row>
    <row r="407" spans="3:67" s="49" customFormat="1" x14ac:dyDescent="0.3">
      <c r="C407" s="49" t="s">
        <v>1576</v>
      </c>
      <c r="D407" s="50" t="s">
        <v>338</v>
      </c>
      <c r="E407" s="50" t="str">
        <f t="shared" si="21"/>
        <v>211</v>
      </c>
      <c r="F407" s="49" t="str">
        <f>_xlfn.XLOOKUP($D407,MD_Account_Asset_Type[Nhóm tài sản],MD_Account_Asset_Type[Tên Nhóm tài sản])</f>
        <v>Máy móc, thiết bị - SX 627</v>
      </c>
      <c r="G407" s="49" t="str">
        <f>_xlfn.XLOOKUP($D407,MD_Account_Asset_Type[Nhóm tài sản],MD_Account_Asset_Type[Tên nhóm TS-Rút gọn])</f>
        <v>Máy móc thiết bị</v>
      </c>
      <c r="H407" s="49" t="str">
        <f>_xlfn.XLOOKUP($D407,MD_Account_Asset_Type[Nhóm tài sản],MD_Account_Asset_Type[Tên nhóm TS-Rút gọn-v2])</f>
        <v>Máy móc thiết bị</v>
      </c>
      <c r="I407" s="51" t="s">
        <v>1286</v>
      </c>
      <c r="J407" s="50" t="s">
        <v>1288</v>
      </c>
      <c r="K407" s="49" t="s">
        <v>1357</v>
      </c>
      <c r="L407" s="50" t="s">
        <v>71</v>
      </c>
      <c r="M407" s="50" t="s">
        <v>146</v>
      </c>
      <c r="N407" s="52" t="s">
        <v>264</v>
      </c>
      <c r="O407" s="52"/>
      <c r="P407" s="49" t="s">
        <v>462</v>
      </c>
      <c r="Q407" s="49" t="str">
        <f t="shared" si="20"/>
        <v>627</v>
      </c>
      <c r="R407" s="49" t="str">
        <f>_xlfn.XLOOKUP($L407,MD_Cost_Center[Mã Cost Center],MD_Cost_Center[Ngành])</f>
        <v>PET</v>
      </c>
      <c r="S407" s="49" t="str">
        <f>_xlfn.XLOOKUP($L407,MD_Cost_Center[Mã Cost Center],MD_Cost_Center[Ngành-Tách PET-Xơ sợi])</f>
        <v>Chung-PET</v>
      </c>
      <c r="T407" s="53">
        <v>46023</v>
      </c>
      <c r="U407" s="54">
        <v>48214</v>
      </c>
      <c r="V407" s="55">
        <v>144</v>
      </c>
      <c r="W407" s="55">
        <v>3025919614</v>
      </c>
      <c r="X407" s="55">
        <f t="shared" si="22"/>
        <v>-21013331</v>
      </c>
      <c r="Y407" s="55">
        <f t="shared" si="38"/>
        <v>3025919614</v>
      </c>
      <c r="Z407" s="55">
        <f t="shared" si="23"/>
        <v>3025919614</v>
      </c>
      <c r="AA407" s="55">
        <f t="shared" si="23"/>
        <v>3025919614</v>
      </c>
      <c r="AB407" s="55">
        <f t="shared" si="23"/>
        <v>3025919614</v>
      </c>
      <c r="AC407" s="55">
        <f t="shared" si="23"/>
        <v>3025919614</v>
      </c>
      <c r="AD407" s="55">
        <f t="shared" si="23"/>
        <v>3025919614</v>
      </c>
      <c r="AE407" s="55">
        <f t="shared" si="23"/>
        <v>3025919614</v>
      </c>
      <c r="AF407" s="55">
        <f t="shared" si="23"/>
        <v>3025919614</v>
      </c>
      <c r="AG407" s="55">
        <f t="shared" si="23"/>
        <v>3025919614</v>
      </c>
      <c r="AH407" s="55">
        <f t="shared" si="23"/>
        <v>3025919614</v>
      </c>
      <c r="AI407" s="55">
        <f t="shared" si="23"/>
        <v>3025919614</v>
      </c>
      <c r="AJ407" s="55">
        <f t="shared" si="23"/>
        <v>3025919614</v>
      </c>
      <c r="AK407" s="55">
        <f t="shared" si="23"/>
        <v>3025919614</v>
      </c>
      <c r="AL407" s="55"/>
      <c r="AM407" s="55">
        <v>0</v>
      </c>
      <c r="AN407" s="55">
        <f t="shared" si="39"/>
        <v>-21013331</v>
      </c>
      <c r="AO407" s="55">
        <f t="shared" si="24"/>
        <v>-21013331</v>
      </c>
      <c r="AP407" s="55">
        <f t="shared" si="24"/>
        <v>-21013331</v>
      </c>
      <c r="AQ407" s="55">
        <f t="shared" si="24"/>
        <v>-21013331</v>
      </c>
      <c r="AR407" s="55">
        <f t="shared" si="24"/>
        <v>-21013331</v>
      </c>
      <c r="AS407" s="55">
        <f t="shared" si="24"/>
        <v>-21013331</v>
      </c>
      <c r="AT407" s="55">
        <f t="shared" si="24"/>
        <v>-21013331</v>
      </c>
      <c r="AU407" s="55">
        <f t="shared" si="24"/>
        <v>-21013331</v>
      </c>
      <c r="AV407" s="55">
        <f t="shared" si="24"/>
        <v>-21013331</v>
      </c>
      <c r="AW407" s="55">
        <f t="shared" si="24"/>
        <v>-21013331</v>
      </c>
      <c r="AX407" s="55">
        <f t="shared" si="24"/>
        <v>-21013331</v>
      </c>
      <c r="AY407" s="55">
        <f t="shared" si="24"/>
        <v>-21013331</v>
      </c>
      <c r="AZ407" s="59">
        <f t="shared" si="15"/>
        <v>-252159972</v>
      </c>
      <c r="BA407" s="55">
        <f t="shared" si="25"/>
        <v>3025919614</v>
      </c>
      <c r="BB407" s="56">
        <f t="shared" si="26"/>
        <v>3004906283</v>
      </c>
      <c r="BC407" s="56">
        <f t="shared" si="27"/>
        <v>2983892952</v>
      </c>
      <c r="BD407" s="56">
        <f t="shared" si="28"/>
        <v>2962879621</v>
      </c>
      <c r="BE407" s="56">
        <f t="shared" si="29"/>
        <v>2941866290</v>
      </c>
      <c r="BF407" s="56">
        <f t="shared" si="30"/>
        <v>2920852959</v>
      </c>
      <c r="BG407" s="56">
        <f t="shared" si="31"/>
        <v>2899839628</v>
      </c>
      <c r="BH407" s="56">
        <f t="shared" si="32"/>
        <v>2878826297</v>
      </c>
      <c r="BI407" s="56">
        <f t="shared" si="33"/>
        <v>2857812966</v>
      </c>
      <c r="BJ407" s="56">
        <f t="shared" si="34"/>
        <v>2836799635</v>
      </c>
      <c r="BK407" s="56">
        <f t="shared" si="35"/>
        <v>2815786304</v>
      </c>
      <c r="BL407" s="56">
        <f t="shared" si="36"/>
        <v>2794772973</v>
      </c>
      <c r="BM407" s="56">
        <f t="shared" si="37"/>
        <v>2773759642</v>
      </c>
      <c r="BO407" s="55"/>
    </row>
    <row r="408" spans="3:67" s="49" customFormat="1" x14ac:dyDescent="0.3">
      <c r="C408" s="49" t="s">
        <v>1576</v>
      </c>
      <c r="D408" s="50" t="s">
        <v>338</v>
      </c>
      <c r="E408" s="50" t="str">
        <f t="shared" si="21"/>
        <v>211</v>
      </c>
      <c r="F408" s="49" t="str">
        <f>_xlfn.XLOOKUP($D408,MD_Account_Asset_Type[Nhóm tài sản],MD_Account_Asset_Type[Tên Nhóm tài sản])</f>
        <v>Máy móc, thiết bị - SX 627</v>
      </c>
      <c r="G408" s="49" t="str">
        <f>_xlfn.XLOOKUP($D408,MD_Account_Asset_Type[Nhóm tài sản],MD_Account_Asset_Type[Tên nhóm TS-Rút gọn])</f>
        <v>Máy móc thiết bị</v>
      </c>
      <c r="H408" s="49" t="str">
        <f>_xlfn.XLOOKUP($D408,MD_Account_Asset_Type[Nhóm tài sản],MD_Account_Asset_Type[Tên nhóm TS-Rút gọn-v2])</f>
        <v>Máy móc thiết bị</v>
      </c>
      <c r="I408" s="51" t="s">
        <v>1256</v>
      </c>
      <c r="J408" s="50" t="s">
        <v>1229</v>
      </c>
      <c r="K408" s="49" t="s">
        <v>1357</v>
      </c>
      <c r="L408" s="50" t="s">
        <v>67</v>
      </c>
      <c r="M408" s="50" t="s">
        <v>142</v>
      </c>
      <c r="N408" s="52" t="s">
        <v>260</v>
      </c>
      <c r="O408" s="52"/>
      <c r="P408" s="49" t="s">
        <v>462</v>
      </c>
      <c r="Q408" s="49" t="str">
        <f t="shared" si="20"/>
        <v>627</v>
      </c>
      <c r="R408" s="49" t="str">
        <f>_xlfn.XLOOKUP($L408,MD_Cost_Center[Mã Cost Center],MD_Cost_Center[Ngành])</f>
        <v>HD/PP</v>
      </c>
      <c r="S408" s="49" t="str">
        <f>_xlfn.XLOOKUP($L408,MD_Cost_Center[Mã Cost Center],MD_Cost_Center[Ngành-Tách PET-Xơ sợi])</f>
        <v>Chung-PET</v>
      </c>
      <c r="T408" s="53">
        <v>46023</v>
      </c>
      <c r="U408" s="54">
        <v>47849</v>
      </c>
      <c r="V408" s="55">
        <v>144</v>
      </c>
      <c r="W408" s="55">
        <v>2219731018</v>
      </c>
      <c r="X408" s="55">
        <f t="shared" si="22"/>
        <v>-15414799</v>
      </c>
      <c r="Y408" s="55">
        <f t="shared" si="38"/>
        <v>2219731018</v>
      </c>
      <c r="Z408" s="55">
        <f t="shared" si="23"/>
        <v>2219731018</v>
      </c>
      <c r="AA408" s="55">
        <f t="shared" si="23"/>
        <v>2219731018</v>
      </c>
      <c r="AB408" s="55">
        <f t="shared" si="23"/>
        <v>2219731018</v>
      </c>
      <c r="AC408" s="55">
        <f t="shared" si="23"/>
        <v>2219731018</v>
      </c>
      <c r="AD408" s="55">
        <f t="shared" si="23"/>
        <v>2219731018</v>
      </c>
      <c r="AE408" s="55">
        <f t="shared" si="23"/>
        <v>2219731018</v>
      </c>
      <c r="AF408" s="55">
        <f t="shared" si="23"/>
        <v>2219731018</v>
      </c>
      <c r="AG408" s="55">
        <f t="shared" si="23"/>
        <v>2219731018</v>
      </c>
      <c r="AH408" s="55">
        <f t="shared" si="23"/>
        <v>2219731018</v>
      </c>
      <c r="AI408" s="55">
        <f t="shared" si="23"/>
        <v>2219731018</v>
      </c>
      <c r="AJ408" s="55">
        <f t="shared" si="23"/>
        <v>2219731018</v>
      </c>
      <c r="AK408" s="55">
        <f t="shared" si="23"/>
        <v>2219731018</v>
      </c>
      <c r="AL408" s="55"/>
      <c r="AM408" s="55">
        <v>0</v>
      </c>
      <c r="AN408" s="55">
        <f t="shared" si="39"/>
        <v>-15414799</v>
      </c>
      <c r="AO408" s="55">
        <f t="shared" si="24"/>
        <v>-15414799</v>
      </c>
      <c r="AP408" s="55">
        <f t="shared" si="24"/>
        <v>-15414799</v>
      </c>
      <c r="AQ408" s="55">
        <f t="shared" si="24"/>
        <v>-15414799</v>
      </c>
      <c r="AR408" s="55">
        <f t="shared" si="24"/>
        <v>-15414799</v>
      </c>
      <c r="AS408" s="55">
        <f t="shared" si="24"/>
        <v>-15414799</v>
      </c>
      <c r="AT408" s="55">
        <f t="shared" si="24"/>
        <v>-15414799</v>
      </c>
      <c r="AU408" s="55">
        <f t="shared" si="24"/>
        <v>-15414799</v>
      </c>
      <c r="AV408" s="55">
        <f t="shared" si="24"/>
        <v>-15414799</v>
      </c>
      <c r="AW408" s="55">
        <f t="shared" si="24"/>
        <v>-15414799</v>
      </c>
      <c r="AX408" s="55">
        <f t="shared" si="24"/>
        <v>-15414799</v>
      </c>
      <c r="AY408" s="55">
        <f t="shared" si="24"/>
        <v>-15414799</v>
      </c>
      <c r="AZ408" s="59">
        <f t="shared" si="15"/>
        <v>-184977588</v>
      </c>
      <c r="BA408" s="55">
        <f t="shared" si="25"/>
        <v>2219731018</v>
      </c>
      <c r="BB408" s="56">
        <f t="shared" si="26"/>
        <v>2204316219</v>
      </c>
      <c r="BC408" s="56">
        <f t="shared" si="27"/>
        <v>2188901420</v>
      </c>
      <c r="BD408" s="56">
        <f t="shared" si="28"/>
        <v>2173486621</v>
      </c>
      <c r="BE408" s="56">
        <f t="shared" si="29"/>
        <v>2158071822</v>
      </c>
      <c r="BF408" s="56">
        <f t="shared" si="30"/>
        <v>2142657023</v>
      </c>
      <c r="BG408" s="56">
        <f t="shared" si="31"/>
        <v>2127242224</v>
      </c>
      <c r="BH408" s="56">
        <f t="shared" si="32"/>
        <v>2111827425</v>
      </c>
      <c r="BI408" s="56">
        <f t="shared" si="33"/>
        <v>2096412626</v>
      </c>
      <c r="BJ408" s="56">
        <f t="shared" si="34"/>
        <v>2080997827</v>
      </c>
      <c r="BK408" s="56">
        <f t="shared" si="35"/>
        <v>2065583028</v>
      </c>
      <c r="BL408" s="56">
        <f t="shared" si="36"/>
        <v>2050168229</v>
      </c>
      <c r="BM408" s="56">
        <f t="shared" si="37"/>
        <v>2034753430</v>
      </c>
      <c r="BO408" s="55"/>
    </row>
    <row r="409" spans="3:67" s="49" customFormat="1" x14ac:dyDescent="0.3">
      <c r="C409" s="49" t="s">
        <v>1576</v>
      </c>
      <c r="D409" s="50" t="s">
        <v>337</v>
      </c>
      <c r="E409" s="50" t="str">
        <f t="shared" si="21"/>
        <v>211</v>
      </c>
      <c r="F409" s="49" t="str">
        <f>_xlfn.XLOOKUP($D409,MD_Account_Asset_Type[Nhóm tài sản],MD_Account_Asset_Type[Tên Nhóm tài sản])</f>
        <v>Máy móc, thiết bị phụ - SX 627</v>
      </c>
      <c r="G409" s="49" t="str">
        <f>_xlfn.XLOOKUP($D409,MD_Account_Asset_Type[Nhóm tài sản],MD_Account_Asset_Type[Tên nhóm TS-Rút gọn])</f>
        <v>Máy móc thiết bị</v>
      </c>
      <c r="H409" s="49" t="str">
        <f>_xlfn.XLOOKUP($D409,MD_Account_Asset_Type[Nhóm tài sản],MD_Account_Asset_Type[Tên nhóm TS-Rút gọn-v2])</f>
        <v>Máy móc thiết bị</v>
      </c>
      <c r="I409" s="51" t="s">
        <v>1257</v>
      </c>
      <c r="J409" s="50" t="s">
        <v>1230</v>
      </c>
      <c r="K409" s="49" t="s">
        <v>1357</v>
      </c>
      <c r="L409" s="50" t="s">
        <v>46</v>
      </c>
      <c r="M409" s="50" t="s">
        <v>121</v>
      </c>
      <c r="N409" s="52">
        <v>0</v>
      </c>
      <c r="O409" s="52"/>
      <c r="P409" s="49" t="s">
        <v>461</v>
      </c>
      <c r="Q409" s="49" t="str">
        <f t="shared" si="20"/>
        <v>627</v>
      </c>
      <c r="R409" s="49" t="str">
        <f>_xlfn.XLOOKUP($L409,MD_Cost_Center[Mã Cost Center],MD_Cost_Center[Ngành])</f>
        <v>Chung</v>
      </c>
      <c r="S409" s="49" t="str">
        <f>_xlfn.XLOOKUP($L409,MD_Cost_Center[Mã Cost Center],MD_Cost_Center[Ngành-Tách PET-Xơ sợi])</f>
        <v>Chung</v>
      </c>
      <c r="T409" s="53">
        <v>46023</v>
      </c>
      <c r="U409" s="54">
        <v>47849</v>
      </c>
      <c r="V409" s="55">
        <v>144</v>
      </c>
      <c r="W409" s="55">
        <v>1473505118</v>
      </c>
      <c r="X409" s="55">
        <f t="shared" si="22"/>
        <v>-10232674</v>
      </c>
      <c r="Y409" s="55">
        <f t="shared" si="38"/>
        <v>1473505118</v>
      </c>
      <c r="Z409" s="55">
        <f t="shared" si="23"/>
        <v>1473505118</v>
      </c>
      <c r="AA409" s="55">
        <f t="shared" si="23"/>
        <v>1473505118</v>
      </c>
      <c r="AB409" s="55">
        <f t="shared" si="23"/>
        <v>1473505118</v>
      </c>
      <c r="AC409" s="55">
        <f t="shared" si="23"/>
        <v>1473505118</v>
      </c>
      <c r="AD409" s="55">
        <f t="shared" si="23"/>
        <v>1473505118</v>
      </c>
      <c r="AE409" s="55">
        <f t="shared" si="23"/>
        <v>1473505118</v>
      </c>
      <c r="AF409" s="55">
        <f t="shared" si="23"/>
        <v>1473505118</v>
      </c>
      <c r="AG409" s="55">
        <f t="shared" si="23"/>
        <v>1473505118</v>
      </c>
      <c r="AH409" s="55">
        <f t="shared" si="23"/>
        <v>1473505118</v>
      </c>
      <c r="AI409" s="55">
        <f t="shared" si="23"/>
        <v>1473505118</v>
      </c>
      <c r="AJ409" s="55">
        <f t="shared" si="23"/>
        <v>1473505118</v>
      </c>
      <c r="AK409" s="55">
        <f t="shared" si="23"/>
        <v>1473505118</v>
      </c>
      <c r="AL409" s="55"/>
      <c r="AM409" s="55">
        <v>0</v>
      </c>
      <c r="AN409" s="55">
        <f t="shared" si="39"/>
        <v>-10232674</v>
      </c>
      <c r="AO409" s="55">
        <f t="shared" si="24"/>
        <v>-10232674</v>
      </c>
      <c r="AP409" s="55">
        <f t="shared" si="24"/>
        <v>-10232674</v>
      </c>
      <c r="AQ409" s="55">
        <f t="shared" si="24"/>
        <v>-10232674</v>
      </c>
      <c r="AR409" s="55">
        <f t="shared" si="24"/>
        <v>-10232674</v>
      </c>
      <c r="AS409" s="55">
        <f t="shared" si="24"/>
        <v>-10232674</v>
      </c>
      <c r="AT409" s="55">
        <f t="shared" si="24"/>
        <v>-10232674</v>
      </c>
      <c r="AU409" s="55">
        <f t="shared" si="24"/>
        <v>-10232674</v>
      </c>
      <c r="AV409" s="55">
        <f t="shared" si="24"/>
        <v>-10232674</v>
      </c>
      <c r="AW409" s="55">
        <f t="shared" si="24"/>
        <v>-10232674</v>
      </c>
      <c r="AX409" s="55">
        <f t="shared" si="24"/>
        <v>-10232674</v>
      </c>
      <c r="AY409" s="55">
        <f t="shared" si="24"/>
        <v>-10232674</v>
      </c>
      <c r="AZ409" s="59">
        <f t="shared" si="15"/>
        <v>-122792088</v>
      </c>
      <c r="BA409" s="55">
        <f t="shared" si="25"/>
        <v>1473505118</v>
      </c>
      <c r="BB409" s="56">
        <f t="shared" si="26"/>
        <v>1463272444</v>
      </c>
      <c r="BC409" s="56">
        <f t="shared" si="27"/>
        <v>1453039770</v>
      </c>
      <c r="BD409" s="56">
        <f t="shared" si="28"/>
        <v>1442807096</v>
      </c>
      <c r="BE409" s="56">
        <f t="shared" si="29"/>
        <v>1432574422</v>
      </c>
      <c r="BF409" s="56">
        <f t="shared" si="30"/>
        <v>1422341748</v>
      </c>
      <c r="BG409" s="56">
        <f t="shared" si="31"/>
        <v>1412109074</v>
      </c>
      <c r="BH409" s="56">
        <f t="shared" si="32"/>
        <v>1401876400</v>
      </c>
      <c r="BI409" s="56">
        <f t="shared" si="33"/>
        <v>1391643726</v>
      </c>
      <c r="BJ409" s="56">
        <f t="shared" si="34"/>
        <v>1381411052</v>
      </c>
      <c r="BK409" s="56">
        <f t="shared" si="35"/>
        <v>1371178378</v>
      </c>
      <c r="BL409" s="56">
        <f t="shared" si="36"/>
        <v>1360945704</v>
      </c>
      <c r="BM409" s="56">
        <f t="shared" si="37"/>
        <v>1350713030</v>
      </c>
      <c r="BO409" s="55"/>
    </row>
    <row r="410" spans="3:67" s="49" customFormat="1" x14ac:dyDescent="0.3">
      <c r="C410" s="49" t="s">
        <v>1576</v>
      </c>
      <c r="D410" s="50" t="s">
        <v>338</v>
      </c>
      <c r="E410" s="50" t="str">
        <f t="shared" si="21"/>
        <v>211</v>
      </c>
      <c r="F410" s="49" t="str">
        <f>_xlfn.XLOOKUP($D410,MD_Account_Asset_Type[Nhóm tài sản],MD_Account_Asset_Type[Tên Nhóm tài sản])</f>
        <v>Máy móc, thiết bị - SX 627</v>
      </c>
      <c r="G410" s="49" t="str">
        <f>_xlfn.XLOOKUP($D410,MD_Account_Asset_Type[Nhóm tài sản],MD_Account_Asset_Type[Tên nhóm TS-Rút gọn])</f>
        <v>Máy móc thiết bị</v>
      </c>
      <c r="H410" s="49" t="str">
        <f>_xlfn.XLOOKUP($D410,MD_Account_Asset_Type[Nhóm tài sản],MD_Account_Asset_Type[Tên nhóm TS-Rút gọn-v2])</f>
        <v>Máy móc thiết bị</v>
      </c>
      <c r="I410" s="51" t="s">
        <v>1258</v>
      </c>
      <c r="J410" s="50" t="s">
        <v>1231</v>
      </c>
      <c r="K410" s="49" t="s">
        <v>1357</v>
      </c>
      <c r="L410" s="50" t="s">
        <v>59</v>
      </c>
      <c r="M410" s="50" t="s">
        <v>134</v>
      </c>
      <c r="N410" s="52" t="s">
        <v>252</v>
      </c>
      <c r="O410" s="52"/>
      <c r="P410" s="49" t="s">
        <v>462</v>
      </c>
      <c r="Q410" s="49" t="str">
        <f t="shared" si="20"/>
        <v>627</v>
      </c>
      <c r="R410" s="49" t="str">
        <f>_xlfn.XLOOKUP($L410,MD_Cost_Center[Mã Cost Center],MD_Cost_Center[Ngành])</f>
        <v>HD/PP</v>
      </c>
      <c r="S410" s="49" t="str">
        <f>_xlfn.XLOOKUP($L410,MD_Cost_Center[Mã Cost Center],MD_Cost_Center[Ngành-Tách PET-Xơ sợi])</f>
        <v>Chung-PET</v>
      </c>
      <c r="T410" s="53">
        <v>46023</v>
      </c>
      <c r="U410" s="54">
        <v>48945</v>
      </c>
      <c r="V410" s="55">
        <v>144</v>
      </c>
      <c r="W410" s="55">
        <v>5825852922</v>
      </c>
      <c r="X410" s="55">
        <f t="shared" ref="X410:X454" si="40">ROUND(-W410/V410,0)</f>
        <v>-40457312</v>
      </c>
      <c r="Y410" s="55">
        <f t="shared" si="38"/>
        <v>5825852922</v>
      </c>
      <c r="Z410" s="55">
        <f t="shared" si="23"/>
        <v>5825852922</v>
      </c>
      <c r="AA410" s="55">
        <f t="shared" si="23"/>
        <v>5825852922</v>
      </c>
      <c r="AB410" s="55">
        <f t="shared" si="23"/>
        <v>5825852922</v>
      </c>
      <c r="AC410" s="55">
        <f t="shared" si="23"/>
        <v>5825852922</v>
      </c>
      <c r="AD410" s="55">
        <f t="shared" si="23"/>
        <v>5825852922</v>
      </c>
      <c r="AE410" s="55">
        <f t="shared" si="23"/>
        <v>5825852922</v>
      </c>
      <c r="AF410" s="55">
        <f t="shared" si="23"/>
        <v>5825852922</v>
      </c>
      <c r="AG410" s="55">
        <f t="shared" si="23"/>
        <v>5825852922</v>
      </c>
      <c r="AH410" s="55">
        <f t="shared" si="23"/>
        <v>5825852922</v>
      </c>
      <c r="AI410" s="55">
        <f t="shared" si="23"/>
        <v>5825852922</v>
      </c>
      <c r="AJ410" s="55">
        <f t="shared" si="23"/>
        <v>5825852922</v>
      </c>
      <c r="AK410" s="55">
        <f t="shared" si="23"/>
        <v>5825852922</v>
      </c>
      <c r="AL410" s="55"/>
      <c r="AM410" s="55">
        <v>0</v>
      </c>
      <c r="AN410" s="55">
        <f t="shared" si="39"/>
        <v>-40457312</v>
      </c>
      <c r="AO410" s="55">
        <f t="shared" si="24"/>
        <v>-40457312</v>
      </c>
      <c r="AP410" s="55">
        <f t="shared" si="24"/>
        <v>-40457312</v>
      </c>
      <c r="AQ410" s="55">
        <f t="shared" si="24"/>
        <v>-40457312</v>
      </c>
      <c r="AR410" s="55">
        <f t="shared" si="24"/>
        <v>-40457312</v>
      </c>
      <c r="AS410" s="55">
        <f t="shared" si="24"/>
        <v>-40457312</v>
      </c>
      <c r="AT410" s="55">
        <f t="shared" si="24"/>
        <v>-40457312</v>
      </c>
      <c r="AU410" s="55">
        <f t="shared" si="24"/>
        <v>-40457312</v>
      </c>
      <c r="AV410" s="55">
        <f t="shared" si="24"/>
        <v>-40457312</v>
      </c>
      <c r="AW410" s="55">
        <f t="shared" si="24"/>
        <v>-40457312</v>
      </c>
      <c r="AX410" s="55">
        <f t="shared" si="24"/>
        <v>-40457312</v>
      </c>
      <c r="AY410" s="55">
        <f t="shared" si="24"/>
        <v>-40457312</v>
      </c>
      <c r="AZ410" s="59">
        <f t="shared" ref="AZ410:AZ439" si="41">SUM(AN410:AY410)</f>
        <v>-485487744</v>
      </c>
      <c r="BA410" s="55">
        <f t="shared" si="25"/>
        <v>5825852922</v>
      </c>
      <c r="BB410" s="56">
        <f t="shared" si="26"/>
        <v>5785395610</v>
      </c>
      <c r="BC410" s="56">
        <f t="shared" si="27"/>
        <v>5744938298</v>
      </c>
      <c r="BD410" s="56">
        <f t="shared" si="28"/>
        <v>5704480986</v>
      </c>
      <c r="BE410" s="56">
        <f t="shared" si="29"/>
        <v>5664023674</v>
      </c>
      <c r="BF410" s="56">
        <f t="shared" si="30"/>
        <v>5623566362</v>
      </c>
      <c r="BG410" s="56">
        <f t="shared" si="31"/>
        <v>5583109050</v>
      </c>
      <c r="BH410" s="56">
        <f t="shared" si="32"/>
        <v>5542651738</v>
      </c>
      <c r="BI410" s="56">
        <f t="shared" si="33"/>
        <v>5502194426</v>
      </c>
      <c r="BJ410" s="56">
        <f t="shared" si="34"/>
        <v>5461737114</v>
      </c>
      <c r="BK410" s="56">
        <f t="shared" si="35"/>
        <v>5421279802</v>
      </c>
      <c r="BL410" s="56">
        <f t="shared" si="36"/>
        <v>5380822490</v>
      </c>
      <c r="BM410" s="56">
        <f t="shared" si="37"/>
        <v>5340365178</v>
      </c>
      <c r="BO410" s="55"/>
    </row>
    <row r="411" spans="3:67" s="49" customFormat="1" x14ac:dyDescent="0.3">
      <c r="C411" s="49" t="s">
        <v>1576</v>
      </c>
      <c r="D411" s="50" t="s">
        <v>338</v>
      </c>
      <c r="E411" s="50" t="str">
        <f t="shared" si="21"/>
        <v>211</v>
      </c>
      <c r="F411" s="49" t="str">
        <f>_xlfn.XLOOKUP($D411,MD_Account_Asset_Type[Nhóm tài sản],MD_Account_Asset_Type[Tên Nhóm tài sản])</f>
        <v>Máy móc, thiết bị - SX 627</v>
      </c>
      <c r="G411" s="49" t="str">
        <f>_xlfn.XLOOKUP($D411,MD_Account_Asset_Type[Nhóm tài sản],MD_Account_Asset_Type[Tên nhóm TS-Rút gọn])</f>
        <v>Máy móc thiết bị</v>
      </c>
      <c r="H411" s="49" t="str">
        <f>_xlfn.XLOOKUP($D411,MD_Account_Asset_Type[Nhóm tài sản],MD_Account_Asset_Type[Tên nhóm TS-Rút gọn-v2])</f>
        <v>Máy móc thiết bị</v>
      </c>
      <c r="I411" s="51" t="s">
        <v>1289</v>
      </c>
      <c r="J411" s="50" t="s">
        <v>1292</v>
      </c>
      <c r="K411" s="49" t="s">
        <v>1357</v>
      </c>
      <c r="L411" s="50" t="s">
        <v>54</v>
      </c>
      <c r="M411" s="50" t="s">
        <v>129</v>
      </c>
      <c r="N411" s="52" t="s">
        <v>247</v>
      </c>
      <c r="O411" s="52"/>
      <c r="P411" s="49" t="s">
        <v>462</v>
      </c>
      <c r="Q411" s="49" t="str">
        <f t="shared" si="20"/>
        <v>627</v>
      </c>
      <c r="R411" s="49" t="str">
        <f>_xlfn.XLOOKUP($L411,MD_Cost_Center[Mã Cost Center],MD_Cost_Center[Ngành])</f>
        <v>PET</v>
      </c>
      <c r="S411" s="49" t="str">
        <f>_xlfn.XLOOKUP($L411,MD_Cost_Center[Mã Cost Center],MD_Cost_Center[Ngành-Tách PET-Xơ sợi])</f>
        <v>PET</v>
      </c>
      <c r="T411" s="53">
        <v>46023</v>
      </c>
      <c r="U411" s="54">
        <v>47849</v>
      </c>
      <c r="V411" s="55">
        <v>144</v>
      </c>
      <c r="W411" s="55">
        <v>2362127925</v>
      </c>
      <c r="X411" s="55">
        <f t="shared" si="40"/>
        <v>-16403666</v>
      </c>
      <c r="Y411" s="55">
        <f t="shared" si="38"/>
        <v>2362127925</v>
      </c>
      <c r="Z411" s="55">
        <f t="shared" si="23"/>
        <v>2362127925</v>
      </c>
      <c r="AA411" s="55">
        <f t="shared" si="23"/>
        <v>2362127925</v>
      </c>
      <c r="AB411" s="55">
        <f t="shared" si="23"/>
        <v>2362127925</v>
      </c>
      <c r="AC411" s="55">
        <f t="shared" si="23"/>
        <v>2362127925</v>
      </c>
      <c r="AD411" s="55">
        <f t="shared" si="23"/>
        <v>2362127925</v>
      </c>
      <c r="AE411" s="55">
        <f t="shared" si="23"/>
        <v>2362127925</v>
      </c>
      <c r="AF411" s="55">
        <f t="shared" si="23"/>
        <v>2362127925</v>
      </c>
      <c r="AG411" s="55">
        <f t="shared" si="23"/>
        <v>2362127925</v>
      </c>
      <c r="AH411" s="55">
        <f t="shared" si="23"/>
        <v>2362127925</v>
      </c>
      <c r="AI411" s="55">
        <f t="shared" si="23"/>
        <v>2362127925</v>
      </c>
      <c r="AJ411" s="55">
        <f t="shared" si="23"/>
        <v>2362127925</v>
      </c>
      <c r="AK411" s="55">
        <f t="shared" si="23"/>
        <v>2362127925</v>
      </c>
      <c r="AL411" s="55"/>
      <c r="AM411" s="55">
        <v>0</v>
      </c>
      <c r="AN411" s="55">
        <f t="shared" si="39"/>
        <v>-16403666</v>
      </c>
      <c r="AO411" s="55">
        <f t="shared" si="24"/>
        <v>-16403666</v>
      </c>
      <c r="AP411" s="55">
        <f t="shared" si="24"/>
        <v>-16403666</v>
      </c>
      <c r="AQ411" s="55">
        <f t="shared" si="24"/>
        <v>-16403666</v>
      </c>
      <c r="AR411" s="55">
        <f t="shared" si="24"/>
        <v>-16403666</v>
      </c>
      <c r="AS411" s="55">
        <f t="shared" si="24"/>
        <v>-16403666</v>
      </c>
      <c r="AT411" s="55">
        <f t="shared" si="24"/>
        <v>-16403666</v>
      </c>
      <c r="AU411" s="55">
        <f t="shared" si="24"/>
        <v>-16403666</v>
      </c>
      <c r="AV411" s="55">
        <f t="shared" si="24"/>
        <v>-16403666</v>
      </c>
      <c r="AW411" s="55">
        <f t="shared" si="24"/>
        <v>-16403666</v>
      </c>
      <c r="AX411" s="55">
        <f t="shared" si="24"/>
        <v>-16403666</v>
      </c>
      <c r="AY411" s="55">
        <f t="shared" si="24"/>
        <v>-16403666</v>
      </c>
      <c r="AZ411" s="59">
        <f t="shared" si="41"/>
        <v>-196843992</v>
      </c>
      <c r="BA411" s="55">
        <f t="shared" si="25"/>
        <v>2362127925</v>
      </c>
      <c r="BB411" s="56">
        <f t="shared" si="26"/>
        <v>2345724259</v>
      </c>
      <c r="BC411" s="56">
        <f t="shared" si="27"/>
        <v>2329320593</v>
      </c>
      <c r="BD411" s="56">
        <f t="shared" si="28"/>
        <v>2312916927</v>
      </c>
      <c r="BE411" s="56">
        <f t="shared" si="29"/>
        <v>2296513261</v>
      </c>
      <c r="BF411" s="56">
        <f t="shared" si="30"/>
        <v>2280109595</v>
      </c>
      <c r="BG411" s="56">
        <f t="shared" si="31"/>
        <v>2263705929</v>
      </c>
      <c r="BH411" s="56">
        <f t="shared" si="32"/>
        <v>2247302263</v>
      </c>
      <c r="BI411" s="56">
        <f t="shared" si="33"/>
        <v>2230898597</v>
      </c>
      <c r="BJ411" s="56">
        <f t="shared" si="34"/>
        <v>2214494931</v>
      </c>
      <c r="BK411" s="56">
        <f t="shared" si="35"/>
        <v>2198091265</v>
      </c>
      <c r="BL411" s="56">
        <f t="shared" si="36"/>
        <v>2181687599</v>
      </c>
      <c r="BM411" s="56">
        <f t="shared" si="37"/>
        <v>2165283933</v>
      </c>
      <c r="BO411" s="55"/>
    </row>
    <row r="412" spans="3:67" s="49" customFormat="1" x14ac:dyDescent="0.3">
      <c r="C412" s="49" t="s">
        <v>1576</v>
      </c>
      <c r="D412" s="50" t="s">
        <v>338</v>
      </c>
      <c r="E412" s="50" t="str">
        <f t="shared" si="21"/>
        <v>211</v>
      </c>
      <c r="F412" s="49" t="str">
        <f>_xlfn.XLOOKUP($D412,MD_Account_Asset_Type[Nhóm tài sản],MD_Account_Asset_Type[Tên Nhóm tài sản])</f>
        <v>Máy móc, thiết bị - SX 627</v>
      </c>
      <c r="G412" s="49" t="str">
        <f>_xlfn.XLOOKUP($D412,MD_Account_Asset_Type[Nhóm tài sản],MD_Account_Asset_Type[Tên nhóm TS-Rút gọn])</f>
        <v>Máy móc thiết bị</v>
      </c>
      <c r="H412" s="49" t="str">
        <f>_xlfn.XLOOKUP($D412,MD_Account_Asset_Type[Nhóm tài sản],MD_Account_Asset_Type[Tên nhóm TS-Rút gọn-v2])</f>
        <v>Máy móc thiết bị</v>
      </c>
      <c r="I412" s="51" t="s">
        <v>1290</v>
      </c>
      <c r="J412" s="50" t="s">
        <v>1293</v>
      </c>
      <c r="K412" s="49" t="s">
        <v>1357</v>
      </c>
      <c r="L412" s="50" t="s">
        <v>62</v>
      </c>
      <c r="M412" s="50" t="s">
        <v>137</v>
      </c>
      <c r="N412" s="52" t="s">
        <v>255</v>
      </c>
      <c r="O412" s="52"/>
      <c r="P412" s="49" t="s">
        <v>462</v>
      </c>
      <c r="Q412" s="49" t="str">
        <f t="shared" si="20"/>
        <v>627</v>
      </c>
      <c r="R412" s="49" t="str">
        <f>_xlfn.XLOOKUP($L412,MD_Cost_Center[Mã Cost Center],MD_Cost_Center[Ngành])</f>
        <v>PET</v>
      </c>
      <c r="S412" s="49" t="str">
        <f>_xlfn.XLOOKUP($L412,MD_Cost_Center[Mã Cost Center],MD_Cost_Center[Ngành-Tách PET-Xơ sợi])</f>
        <v>PET</v>
      </c>
      <c r="T412" s="53">
        <v>46023</v>
      </c>
      <c r="U412" s="54">
        <v>47849</v>
      </c>
      <c r="V412" s="55">
        <v>144</v>
      </c>
      <c r="W412" s="55">
        <v>2362127925</v>
      </c>
      <c r="X412" s="55">
        <f t="shared" si="40"/>
        <v>-16403666</v>
      </c>
      <c r="Y412" s="55">
        <f t="shared" si="38"/>
        <v>2362127925</v>
      </c>
      <c r="Z412" s="55">
        <f t="shared" si="23"/>
        <v>2362127925</v>
      </c>
      <c r="AA412" s="55">
        <f t="shared" si="23"/>
        <v>2362127925</v>
      </c>
      <c r="AB412" s="55">
        <f t="shared" si="23"/>
        <v>2362127925</v>
      </c>
      <c r="AC412" s="55">
        <f t="shared" si="23"/>
        <v>2362127925</v>
      </c>
      <c r="AD412" s="55">
        <f t="shared" si="23"/>
        <v>2362127925</v>
      </c>
      <c r="AE412" s="55">
        <f t="shared" si="23"/>
        <v>2362127925</v>
      </c>
      <c r="AF412" s="55">
        <f t="shared" si="23"/>
        <v>2362127925</v>
      </c>
      <c r="AG412" s="55">
        <f t="shared" si="23"/>
        <v>2362127925</v>
      </c>
      <c r="AH412" s="55">
        <f t="shared" si="23"/>
        <v>2362127925</v>
      </c>
      <c r="AI412" s="55">
        <f t="shared" si="23"/>
        <v>2362127925</v>
      </c>
      <c r="AJ412" s="55">
        <f t="shared" si="23"/>
        <v>2362127925</v>
      </c>
      <c r="AK412" s="55">
        <f t="shared" si="23"/>
        <v>2362127925</v>
      </c>
      <c r="AL412" s="55"/>
      <c r="AM412" s="55">
        <v>0</v>
      </c>
      <c r="AN412" s="55">
        <f t="shared" si="39"/>
        <v>-16403666</v>
      </c>
      <c r="AO412" s="55">
        <f t="shared" si="24"/>
        <v>-16403666</v>
      </c>
      <c r="AP412" s="55">
        <f t="shared" si="24"/>
        <v>-16403666</v>
      </c>
      <c r="AQ412" s="55">
        <f t="shared" si="24"/>
        <v>-16403666</v>
      </c>
      <c r="AR412" s="55">
        <f t="shared" si="24"/>
        <v>-16403666</v>
      </c>
      <c r="AS412" s="55">
        <f t="shared" si="24"/>
        <v>-16403666</v>
      </c>
      <c r="AT412" s="55">
        <f t="shared" si="24"/>
        <v>-16403666</v>
      </c>
      <c r="AU412" s="55">
        <f t="shared" si="24"/>
        <v>-16403666</v>
      </c>
      <c r="AV412" s="55">
        <f t="shared" si="24"/>
        <v>-16403666</v>
      </c>
      <c r="AW412" s="55">
        <f t="shared" si="24"/>
        <v>-16403666</v>
      </c>
      <c r="AX412" s="55">
        <f t="shared" si="24"/>
        <v>-16403666</v>
      </c>
      <c r="AY412" s="55">
        <f t="shared" si="24"/>
        <v>-16403666</v>
      </c>
      <c r="AZ412" s="59">
        <f t="shared" si="41"/>
        <v>-196843992</v>
      </c>
      <c r="BA412" s="55">
        <f t="shared" si="25"/>
        <v>2362127925</v>
      </c>
      <c r="BB412" s="56">
        <f t="shared" si="26"/>
        <v>2345724259</v>
      </c>
      <c r="BC412" s="56">
        <f t="shared" si="27"/>
        <v>2329320593</v>
      </c>
      <c r="BD412" s="56">
        <f t="shared" si="28"/>
        <v>2312916927</v>
      </c>
      <c r="BE412" s="56">
        <f t="shared" si="29"/>
        <v>2296513261</v>
      </c>
      <c r="BF412" s="56">
        <f t="shared" si="30"/>
        <v>2280109595</v>
      </c>
      <c r="BG412" s="56">
        <f t="shared" si="31"/>
        <v>2263705929</v>
      </c>
      <c r="BH412" s="56">
        <f t="shared" si="32"/>
        <v>2247302263</v>
      </c>
      <c r="BI412" s="56">
        <f t="shared" si="33"/>
        <v>2230898597</v>
      </c>
      <c r="BJ412" s="56">
        <f t="shared" si="34"/>
        <v>2214494931</v>
      </c>
      <c r="BK412" s="56">
        <f t="shared" si="35"/>
        <v>2198091265</v>
      </c>
      <c r="BL412" s="56">
        <f t="shared" si="36"/>
        <v>2181687599</v>
      </c>
      <c r="BM412" s="56">
        <f t="shared" si="37"/>
        <v>2165283933</v>
      </c>
      <c r="BO412" s="55"/>
    </row>
    <row r="413" spans="3:67" s="49" customFormat="1" x14ac:dyDescent="0.3">
      <c r="C413" s="49" t="s">
        <v>1576</v>
      </c>
      <c r="D413" s="50" t="s">
        <v>338</v>
      </c>
      <c r="E413" s="50" t="str">
        <f t="shared" si="21"/>
        <v>211</v>
      </c>
      <c r="F413" s="49" t="str">
        <f>_xlfn.XLOOKUP($D413,MD_Account_Asset_Type[Nhóm tài sản],MD_Account_Asset_Type[Tên Nhóm tài sản])</f>
        <v>Máy móc, thiết bị - SX 627</v>
      </c>
      <c r="G413" s="49" t="str">
        <f>_xlfn.XLOOKUP($D413,MD_Account_Asset_Type[Nhóm tài sản],MD_Account_Asset_Type[Tên nhóm TS-Rút gọn])</f>
        <v>Máy móc thiết bị</v>
      </c>
      <c r="H413" s="49" t="str">
        <f>_xlfn.XLOOKUP($D413,MD_Account_Asset_Type[Nhóm tài sản],MD_Account_Asset_Type[Tên nhóm TS-Rút gọn-v2])</f>
        <v>Máy móc thiết bị</v>
      </c>
      <c r="I413" s="51" t="s">
        <v>1291</v>
      </c>
      <c r="J413" s="50" t="s">
        <v>1294</v>
      </c>
      <c r="K413" s="49" t="s">
        <v>1357</v>
      </c>
      <c r="L413" s="50" t="s">
        <v>79</v>
      </c>
      <c r="M413" s="50" t="s">
        <v>154</v>
      </c>
      <c r="N413" s="52" t="s">
        <v>272</v>
      </c>
      <c r="O413" s="52"/>
      <c r="P413" s="49" t="s">
        <v>462</v>
      </c>
      <c r="Q413" s="49" t="str">
        <f t="shared" si="20"/>
        <v>627</v>
      </c>
      <c r="R413" s="49" t="str">
        <f>_xlfn.XLOOKUP($L413,MD_Cost_Center[Mã Cost Center],MD_Cost_Center[Ngành])</f>
        <v>PET</v>
      </c>
      <c r="S413" s="49" t="str">
        <f>_xlfn.XLOOKUP($L413,MD_Cost_Center[Mã Cost Center],MD_Cost_Center[Ngành-Tách PET-Xơ sợi])</f>
        <v>PET</v>
      </c>
      <c r="T413" s="53">
        <v>46023</v>
      </c>
      <c r="U413" s="54">
        <v>47849</v>
      </c>
      <c r="V413" s="55">
        <v>144</v>
      </c>
      <c r="W413" s="55">
        <v>2362127925</v>
      </c>
      <c r="X413" s="55">
        <f t="shared" si="40"/>
        <v>-16403666</v>
      </c>
      <c r="Y413" s="55">
        <f t="shared" si="38"/>
        <v>2362127925</v>
      </c>
      <c r="Z413" s="55">
        <f t="shared" si="23"/>
        <v>2362127925</v>
      </c>
      <c r="AA413" s="55">
        <f t="shared" si="23"/>
        <v>2362127925</v>
      </c>
      <c r="AB413" s="55">
        <f t="shared" si="23"/>
        <v>2362127925</v>
      </c>
      <c r="AC413" s="55">
        <f t="shared" si="23"/>
        <v>2362127925</v>
      </c>
      <c r="AD413" s="55">
        <f t="shared" si="23"/>
        <v>2362127925</v>
      </c>
      <c r="AE413" s="55">
        <f t="shared" si="23"/>
        <v>2362127925</v>
      </c>
      <c r="AF413" s="55">
        <f t="shared" si="23"/>
        <v>2362127925</v>
      </c>
      <c r="AG413" s="55">
        <f t="shared" si="23"/>
        <v>2362127925</v>
      </c>
      <c r="AH413" s="55">
        <f t="shared" si="23"/>
        <v>2362127925</v>
      </c>
      <c r="AI413" s="55">
        <f t="shared" si="23"/>
        <v>2362127925</v>
      </c>
      <c r="AJ413" s="55">
        <f t="shared" si="23"/>
        <v>2362127925</v>
      </c>
      <c r="AK413" s="55">
        <f t="shared" si="23"/>
        <v>2362127925</v>
      </c>
      <c r="AL413" s="55"/>
      <c r="AM413" s="55">
        <v>0</v>
      </c>
      <c r="AN413" s="55">
        <f t="shared" si="39"/>
        <v>-16403666</v>
      </c>
      <c r="AO413" s="55">
        <f t="shared" si="24"/>
        <v>-16403666</v>
      </c>
      <c r="AP413" s="55">
        <f t="shared" si="24"/>
        <v>-16403666</v>
      </c>
      <c r="AQ413" s="55">
        <f t="shared" si="24"/>
        <v>-16403666</v>
      </c>
      <c r="AR413" s="55">
        <f t="shared" si="24"/>
        <v>-16403666</v>
      </c>
      <c r="AS413" s="55">
        <f t="shared" si="24"/>
        <v>-16403666</v>
      </c>
      <c r="AT413" s="55">
        <f t="shared" si="24"/>
        <v>-16403666</v>
      </c>
      <c r="AU413" s="55">
        <f t="shared" si="24"/>
        <v>-16403666</v>
      </c>
      <c r="AV413" s="55">
        <f t="shared" si="24"/>
        <v>-16403666</v>
      </c>
      <c r="AW413" s="55">
        <f t="shared" si="24"/>
        <v>-16403666</v>
      </c>
      <c r="AX413" s="55">
        <f t="shared" si="24"/>
        <v>-16403666</v>
      </c>
      <c r="AY413" s="55">
        <f t="shared" si="24"/>
        <v>-16403666</v>
      </c>
      <c r="AZ413" s="59">
        <f t="shared" si="41"/>
        <v>-196843992</v>
      </c>
      <c r="BA413" s="55">
        <f t="shared" si="25"/>
        <v>2362127925</v>
      </c>
      <c r="BB413" s="56">
        <f t="shared" si="26"/>
        <v>2345724259</v>
      </c>
      <c r="BC413" s="56">
        <f t="shared" si="27"/>
        <v>2329320593</v>
      </c>
      <c r="BD413" s="56">
        <f t="shared" si="28"/>
        <v>2312916927</v>
      </c>
      <c r="BE413" s="56">
        <f t="shared" si="29"/>
        <v>2296513261</v>
      </c>
      <c r="BF413" s="56">
        <f t="shared" si="30"/>
        <v>2280109595</v>
      </c>
      <c r="BG413" s="56">
        <f t="shared" si="31"/>
        <v>2263705929</v>
      </c>
      <c r="BH413" s="56">
        <f t="shared" si="32"/>
        <v>2247302263</v>
      </c>
      <c r="BI413" s="56">
        <f t="shared" si="33"/>
        <v>2230898597</v>
      </c>
      <c r="BJ413" s="56">
        <f t="shared" si="34"/>
        <v>2214494931</v>
      </c>
      <c r="BK413" s="56">
        <f t="shared" si="35"/>
        <v>2198091265</v>
      </c>
      <c r="BL413" s="56">
        <f t="shared" si="36"/>
        <v>2181687599</v>
      </c>
      <c r="BM413" s="56">
        <f t="shared" si="37"/>
        <v>2165283933</v>
      </c>
      <c r="BO413" s="55"/>
    </row>
    <row r="414" spans="3:67" s="49" customFormat="1" x14ac:dyDescent="0.3">
      <c r="C414" s="49" t="s">
        <v>1576</v>
      </c>
      <c r="D414" s="50" t="s">
        <v>338</v>
      </c>
      <c r="E414" s="50" t="str">
        <f t="shared" si="21"/>
        <v>211</v>
      </c>
      <c r="F414" s="49" t="str">
        <f>_xlfn.XLOOKUP($D414,MD_Account_Asset_Type[Nhóm tài sản],MD_Account_Asset_Type[Tên Nhóm tài sản])</f>
        <v>Máy móc, thiết bị - SX 627</v>
      </c>
      <c r="G414" s="49" t="str">
        <f>_xlfn.XLOOKUP($D414,MD_Account_Asset_Type[Nhóm tài sản],MD_Account_Asset_Type[Tên nhóm TS-Rút gọn])</f>
        <v>Máy móc thiết bị</v>
      </c>
      <c r="H414" s="49" t="str">
        <f>_xlfn.XLOOKUP($D414,MD_Account_Asset_Type[Nhóm tài sản],MD_Account_Asset_Type[Tên nhóm TS-Rút gọn-v2])</f>
        <v>Máy móc thiết bị</v>
      </c>
      <c r="I414" s="51" t="s">
        <v>1259</v>
      </c>
      <c r="J414" s="50" t="s">
        <v>1232</v>
      </c>
      <c r="K414" s="49" t="s">
        <v>1357</v>
      </c>
      <c r="L414" s="50" t="s">
        <v>72</v>
      </c>
      <c r="M414" s="50" t="s">
        <v>147</v>
      </c>
      <c r="N414" s="52" t="s">
        <v>265</v>
      </c>
      <c r="O414" s="52"/>
      <c r="P414" s="49" t="s">
        <v>462</v>
      </c>
      <c r="Q414" s="49" t="str">
        <f t="shared" si="20"/>
        <v>627</v>
      </c>
      <c r="R414" s="49" t="str">
        <f>_xlfn.XLOOKUP($L414,MD_Cost_Center[Mã Cost Center],MD_Cost_Center[Ngành])</f>
        <v>HD/PP</v>
      </c>
      <c r="S414" s="49" t="str">
        <f>_xlfn.XLOOKUP($L414,MD_Cost_Center[Mã Cost Center],MD_Cost_Center[Ngành-Tách PET-Xơ sợi])</f>
        <v>HD/PP</v>
      </c>
      <c r="T414" s="53">
        <v>46023</v>
      </c>
      <c r="U414" s="54">
        <v>47849</v>
      </c>
      <c r="V414" s="55">
        <v>144</v>
      </c>
      <c r="W414" s="55">
        <v>2577281834</v>
      </c>
      <c r="X414" s="55">
        <f t="shared" si="40"/>
        <v>-17897791</v>
      </c>
      <c r="Y414" s="55">
        <f t="shared" si="38"/>
        <v>2577281834</v>
      </c>
      <c r="Z414" s="55">
        <f t="shared" si="23"/>
        <v>2577281834</v>
      </c>
      <c r="AA414" s="55">
        <f t="shared" si="23"/>
        <v>2577281834</v>
      </c>
      <c r="AB414" s="55">
        <f t="shared" si="23"/>
        <v>2577281834</v>
      </c>
      <c r="AC414" s="55">
        <f t="shared" si="23"/>
        <v>2577281834</v>
      </c>
      <c r="AD414" s="55">
        <f t="shared" si="23"/>
        <v>2577281834</v>
      </c>
      <c r="AE414" s="55">
        <f t="shared" si="23"/>
        <v>2577281834</v>
      </c>
      <c r="AF414" s="55">
        <f t="shared" si="23"/>
        <v>2577281834</v>
      </c>
      <c r="AG414" s="55">
        <f t="shared" si="23"/>
        <v>2577281834</v>
      </c>
      <c r="AH414" s="55">
        <f t="shared" si="23"/>
        <v>2577281834</v>
      </c>
      <c r="AI414" s="55">
        <f t="shared" si="23"/>
        <v>2577281834</v>
      </c>
      <c r="AJ414" s="55">
        <f t="shared" si="23"/>
        <v>2577281834</v>
      </c>
      <c r="AK414" s="55">
        <f t="shared" si="23"/>
        <v>2577281834</v>
      </c>
      <c r="AL414" s="55"/>
      <c r="AM414" s="55">
        <v>0</v>
      </c>
      <c r="AN414" s="55">
        <f t="shared" si="39"/>
        <v>-17897791</v>
      </c>
      <c r="AO414" s="55">
        <f t="shared" si="24"/>
        <v>-17897791</v>
      </c>
      <c r="AP414" s="55">
        <f t="shared" si="24"/>
        <v>-17897791</v>
      </c>
      <c r="AQ414" s="55">
        <f t="shared" si="24"/>
        <v>-17897791</v>
      </c>
      <c r="AR414" s="55">
        <f t="shared" si="24"/>
        <v>-17897791</v>
      </c>
      <c r="AS414" s="55">
        <f t="shared" si="24"/>
        <v>-17897791</v>
      </c>
      <c r="AT414" s="55">
        <f t="shared" si="24"/>
        <v>-17897791</v>
      </c>
      <c r="AU414" s="55">
        <f t="shared" si="24"/>
        <v>-17897791</v>
      </c>
      <c r="AV414" s="55">
        <f t="shared" si="24"/>
        <v>-17897791</v>
      </c>
      <c r="AW414" s="55">
        <f t="shared" si="24"/>
        <v>-17897791</v>
      </c>
      <c r="AX414" s="55">
        <f t="shared" si="24"/>
        <v>-17897791</v>
      </c>
      <c r="AY414" s="55">
        <f t="shared" si="24"/>
        <v>-17897791</v>
      </c>
      <c r="AZ414" s="59">
        <f t="shared" si="41"/>
        <v>-214773492</v>
      </c>
      <c r="BA414" s="55">
        <f t="shared" si="25"/>
        <v>2577281834</v>
      </c>
      <c r="BB414" s="56">
        <f t="shared" si="26"/>
        <v>2559384043</v>
      </c>
      <c r="BC414" s="56">
        <f t="shared" si="27"/>
        <v>2541486252</v>
      </c>
      <c r="BD414" s="56">
        <f t="shared" si="28"/>
        <v>2523588461</v>
      </c>
      <c r="BE414" s="56">
        <f t="shared" si="29"/>
        <v>2505690670</v>
      </c>
      <c r="BF414" s="56">
        <f t="shared" si="30"/>
        <v>2487792879</v>
      </c>
      <c r="BG414" s="56">
        <f t="shared" si="31"/>
        <v>2469895088</v>
      </c>
      <c r="BH414" s="56">
        <f t="shared" si="32"/>
        <v>2451997297</v>
      </c>
      <c r="BI414" s="56">
        <f t="shared" si="33"/>
        <v>2434099506</v>
      </c>
      <c r="BJ414" s="56">
        <f t="shared" si="34"/>
        <v>2416201715</v>
      </c>
      <c r="BK414" s="56">
        <f t="shared" si="35"/>
        <v>2398303924</v>
      </c>
      <c r="BL414" s="56">
        <f t="shared" si="36"/>
        <v>2380406133</v>
      </c>
      <c r="BM414" s="56">
        <f t="shared" si="37"/>
        <v>2362508342</v>
      </c>
      <c r="BO414" s="55"/>
    </row>
    <row r="415" spans="3:67" s="49" customFormat="1" x14ac:dyDescent="0.3">
      <c r="C415" s="49" t="s">
        <v>1576</v>
      </c>
      <c r="D415" s="50" t="s">
        <v>337</v>
      </c>
      <c r="E415" s="50" t="str">
        <f t="shared" si="21"/>
        <v>211</v>
      </c>
      <c r="F415" s="49" t="str">
        <f>_xlfn.XLOOKUP($D415,MD_Account_Asset_Type[Nhóm tài sản],MD_Account_Asset_Type[Tên Nhóm tài sản])</f>
        <v>Máy móc, thiết bị phụ - SX 627</v>
      </c>
      <c r="G415" s="49" t="str">
        <f>_xlfn.XLOOKUP($D415,MD_Account_Asset_Type[Nhóm tài sản],MD_Account_Asset_Type[Tên nhóm TS-Rút gọn])</f>
        <v>Máy móc thiết bị</v>
      </c>
      <c r="H415" s="49" t="str">
        <f>_xlfn.XLOOKUP($D415,MD_Account_Asset_Type[Nhóm tài sản],MD_Account_Asset_Type[Tên nhóm TS-Rút gọn-v2])</f>
        <v>Máy móc thiết bị</v>
      </c>
      <c r="I415" s="51" t="s">
        <v>1260</v>
      </c>
      <c r="J415" s="50" t="s">
        <v>1233</v>
      </c>
      <c r="K415" s="49" t="s">
        <v>1357</v>
      </c>
      <c r="L415" s="50" t="s">
        <v>46</v>
      </c>
      <c r="M415" s="50" t="s">
        <v>121</v>
      </c>
      <c r="N415" s="52">
        <v>0</v>
      </c>
      <c r="O415" s="52"/>
      <c r="P415" s="49" t="s">
        <v>461</v>
      </c>
      <c r="Q415" s="49" t="str">
        <f t="shared" si="20"/>
        <v>627</v>
      </c>
      <c r="R415" s="49" t="str">
        <f>_xlfn.XLOOKUP($L415,MD_Cost_Center[Mã Cost Center],MD_Cost_Center[Ngành])</f>
        <v>Chung</v>
      </c>
      <c r="S415" s="49" t="str">
        <f>_xlfn.XLOOKUP($L415,MD_Cost_Center[Mã Cost Center],MD_Cost_Center[Ngành-Tách PET-Xơ sợi])</f>
        <v>Chung</v>
      </c>
      <c r="T415" s="53">
        <v>46023</v>
      </c>
      <c r="U415" s="54">
        <v>47849</v>
      </c>
      <c r="V415" s="55">
        <v>144</v>
      </c>
      <c r="W415" s="55">
        <v>2026319152</v>
      </c>
      <c r="X415" s="55">
        <f t="shared" si="40"/>
        <v>-14071661</v>
      </c>
      <c r="Y415" s="55">
        <f t="shared" si="38"/>
        <v>2026319152</v>
      </c>
      <c r="Z415" s="55">
        <f t="shared" si="23"/>
        <v>2026319152</v>
      </c>
      <c r="AA415" s="55">
        <f t="shared" si="23"/>
        <v>2026319152</v>
      </c>
      <c r="AB415" s="55">
        <f t="shared" si="23"/>
        <v>2026319152</v>
      </c>
      <c r="AC415" s="55">
        <f t="shared" si="23"/>
        <v>2026319152</v>
      </c>
      <c r="AD415" s="55">
        <f t="shared" si="23"/>
        <v>2026319152</v>
      </c>
      <c r="AE415" s="55">
        <f t="shared" si="23"/>
        <v>2026319152</v>
      </c>
      <c r="AF415" s="55">
        <f t="shared" si="23"/>
        <v>2026319152</v>
      </c>
      <c r="AG415" s="55">
        <f t="shared" si="23"/>
        <v>2026319152</v>
      </c>
      <c r="AH415" s="55">
        <f t="shared" si="23"/>
        <v>2026319152</v>
      </c>
      <c r="AI415" s="55">
        <f t="shared" si="23"/>
        <v>2026319152</v>
      </c>
      <c r="AJ415" s="55">
        <f t="shared" si="23"/>
        <v>2026319152</v>
      </c>
      <c r="AK415" s="55">
        <f t="shared" si="23"/>
        <v>2026319152</v>
      </c>
      <c r="AL415" s="55"/>
      <c r="AM415" s="55">
        <v>0</v>
      </c>
      <c r="AN415" s="55">
        <f t="shared" si="39"/>
        <v>-14071661</v>
      </c>
      <c r="AO415" s="55">
        <f t="shared" si="24"/>
        <v>-14071661</v>
      </c>
      <c r="AP415" s="55">
        <f t="shared" si="24"/>
        <v>-14071661</v>
      </c>
      <c r="AQ415" s="55">
        <f t="shared" si="24"/>
        <v>-14071661</v>
      </c>
      <c r="AR415" s="55">
        <f t="shared" si="24"/>
        <v>-14071661</v>
      </c>
      <c r="AS415" s="55">
        <f t="shared" si="24"/>
        <v>-14071661</v>
      </c>
      <c r="AT415" s="55">
        <f t="shared" si="24"/>
        <v>-14071661</v>
      </c>
      <c r="AU415" s="55">
        <f t="shared" si="24"/>
        <v>-14071661</v>
      </c>
      <c r="AV415" s="55">
        <f t="shared" si="24"/>
        <v>-14071661</v>
      </c>
      <c r="AW415" s="55">
        <f t="shared" si="24"/>
        <v>-14071661</v>
      </c>
      <c r="AX415" s="55">
        <f t="shared" si="24"/>
        <v>-14071661</v>
      </c>
      <c r="AY415" s="55">
        <f t="shared" si="24"/>
        <v>-14071661</v>
      </c>
      <c r="AZ415" s="59">
        <f t="shared" si="41"/>
        <v>-168859932</v>
      </c>
      <c r="BA415" s="55">
        <f t="shared" si="25"/>
        <v>2026319152</v>
      </c>
      <c r="BB415" s="56">
        <f t="shared" si="26"/>
        <v>2012247491</v>
      </c>
      <c r="BC415" s="56">
        <f t="shared" si="27"/>
        <v>1998175830</v>
      </c>
      <c r="BD415" s="56">
        <f t="shared" si="28"/>
        <v>1984104169</v>
      </c>
      <c r="BE415" s="56">
        <f t="shared" si="29"/>
        <v>1970032508</v>
      </c>
      <c r="BF415" s="56">
        <f t="shared" si="30"/>
        <v>1955960847</v>
      </c>
      <c r="BG415" s="56">
        <f t="shared" si="31"/>
        <v>1941889186</v>
      </c>
      <c r="BH415" s="56">
        <f t="shared" si="32"/>
        <v>1927817525</v>
      </c>
      <c r="BI415" s="56">
        <f t="shared" si="33"/>
        <v>1913745864</v>
      </c>
      <c r="BJ415" s="56">
        <f t="shared" si="34"/>
        <v>1899674203</v>
      </c>
      <c r="BK415" s="56">
        <f t="shared" si="35"/>
        <v>1885602542</v>
      </c>
      <c r="BL415" s="56">
        <f t="shared" si="36"/>
        <v>1871530881</v>
      </c>
      <c r="BM415" s="56">
        <f t="shared" si="37"/>
        <v>1857459220</v>
      </c>
      <c r="BO415" s="55"/>
    </row>
    <row r="416" spans="3:67" s="49" customFormat="1" x14ac:dyDescent="0.3">
      <c r="C416" s="49" t="s">
        <v>1576</v>
      </c>
      <c r="D416" s="50" t="s">
        <v>337</v>
      </c>
      <c r="E416" s="50" t="str">
        <f t="shared" si="21"/>
        <v>211</v>
      </c>
      <c r="F416" s="49" t="str">
        <f>_xlfn.XLOOKUP($D416,MD_Account_Asset_Type[Nhóm tài sản],MD_Account_Asset_Type[Tên Nhóm tài sản])</f>
        <v>Máy móc, thiết bị phụ - SX 627</v>
      </c>
      <c r="G416" s="49" t="str">
        <f>_xlfn.XLOOKUP($D416,MD_Account_Asset_Type[Nhóm tài sản],MD_Account_Asset_Type[Tên nhóm TS-Rút gọn])</f>
        <v>Máy móc thiết bị</v>
      </c>
      <c r="H416" s="49" t="str">
        <f>_xlfn.XLOOKUP($D416,MD_Account_Asset_Type[Nhóm tài sản],MD_Account_Asset_Type[Tên nhóm TS-Rút gọn-v2])</f>
        <v>Máy móc thiết bị</v>
      </c>
      <c r="I416" s="51" t="s">
        <v>1261</v>
      </c>
      <c r="J416" s="50" t="s">
        <v>1234</v>
      </c>
      <c r="K416" s="49" t="s">
        <v>1357</v>
      </c>
      <c r="L416" s="50" t="s">
        <v>46</v>
      </c>
      <c r="M416" s="50" t="s">
        <v>121</v>
      </c>
      <c r="N416" s="52">
        <v>0</v>
      </c>
      <c r="O416" s="52"/>
      <c r="P416" s="49" t="s">
        <v>461</v>
      </c>
      <c r="Q416" s="49" t="str">
        <f t="shared" si="20"/>
        <v>627</v>
      </c>
      <c r="R416" s="49" t="str">
        <f>_xlfn.XLOOKUP($L416,MD_Cost_Center[Mã Cost Center],MD_Cost_Center[Ngành])</f>
        <v>Chung</v>
      </c>
      <c r="S416" s="49" t="str">
        <f>_xlfn.XLOOKUP($L416,MD_Cost_Center[Mã Cost Center],MD_Cost_Center[Ngành-Tách PET-Xơ sợi])</f>
        <v>Chung</v>
      </c>
      <c r="T416" s="53">
        <v>46023</v>
      </c>
      <c r="U416" s="54">
        <v>48214</v>
      </c>
      <c r="V416" s="55">
        <v>144</v>
      </c>
      <c r="W416" s="55">
        <v>3168188873</v>
      </c>
      <c r="X416" s="55">
        <f t="shared" si="40"/>
        <v>-22001312</v>
      </c>
      <c r="Y416" s="55">
        <f t="shared" si="38"/>
        <v>3168188873</v>
      </c>
      <c r="Z416" s="55">
        <f t="shared" si="23"/>
        <v>3168188873</v>
      </c>
      <c r="AA416" s="55">
        <f t="shared" si="23"/>
        <v>3168188873</v>
      </c>
      <c r="AB416" s="55">
        <f t="shared" si="23"/>
        <v>3168188873</v>
      </c>
      <c r="AC416" s="55">
        <f t="shared" si="23"/>
        <v>3168188873</v>
      </c>
      <c r="AD416" s="55">
        <f t="shared" si="23"/>
        <v>3168188873</v>
      </c>
      <c r="AE416" s="55">
        <f t="shared" si="23"/>
        <v>3168188873</v>
      </c>
      <c r="AF416" s="55">
        <f t="shared" si="23"/>
        <v>3168188873</v>
      </c>
      <c r="AG416" s="55">
        <f t="shared" si="23"/>
        <v>3168188873</v>
      </c>
      <c r="AH416" s="55">
        <f t="shared" si="23"/>
        <v>3168188873</v>
      </c>
      <c r="AI416" s="55">
        <f t="shared" si="23"/>
        <v>3168188873</v>
      </c>
      <c r="AJ416" s="55">
        <f t="shared" si="23"/>
        <v>3168188873</v>
      </c>
      <c r="AK416" s="55">
        <f t="shared" si="23"/>
        <v>3168188873</v>
      </c>
      <c r="AL416" s="55"/>
      <c r="AM416" s="55">
        <v>0</v>
      </c>
      <c r="AN416" s="55">
        <f t="shared" si="39"/>
        <v>-22001312</v>
      </c>
      <c r="AO416" s="55">
        <f t="shared" si="24"/>
        <v>-22001312</v>
      </c>
      <c r="AP416" s="55">
        <f t="shared" si="24"/>
        <v>-22001312</v>
      </c>
      <c r="AQ416" s="55">
        <f t="shared" si="24"/>
        <v>-22001312</v>
      </c>
      <c r="AR416" s="55">
        <f t="shared" si="24"/>
        <v>-22001312</v>
      </c>
      <c r="AS416" s="55">
        <f t="shared" si="24"/>
        <v>-22001312</v>
      </c>
      <c r="AT416" s="55">
        <f t="shared" si="24"/>
        <v>-22001312</v>
      </c>
      <c r="AU416" s="55">
        <f t="shared" si="24"/>
        <v>-22001312</v>
      </c>
      <c r="AV416" s="55">
        <f t="shared" si="24"/>
        <v>-22001312</v>
      </c>
      <c r="AW416" s="55">
        <f t="shared" si="24"/>
        <v>-22001312</v>
      </c>
      <c r="AX416" s="55">
        <f t="shared" si="24"/>
        <v>-22001312</v>
      </c>
      <c r="AY416" s="55">
        <f t="shared" si="24"/>
        <v>-22001312</v>
      </c>
      <c r="AZ416" s="59">
        <f t="shared" si="41"/>
        <v>-264015744</v>
      </c>
      <c r="BA416" s="55">
        <f t="shared" si="25"/>
        <v>3168188873</v>
      </c>
      <c r="BB416" s="56">
        <f t="shared" si="26"/>
        <v>3146187561</v>
      </c>
      <c r="BC416" s="56">
        <f t="shared" si="27"/>
        <v>3124186249</v>
      </c>
      <c r="BD416" s="56">
        <f t="shared" si="28"/>
        <v>3102184937</v>
      </c>
      <c r="BE416" s="56">
        <f t="shared" si="29"/>
        <v>3080183625</v>
      </c>
      <c r="BF416" s="56">
        <f t="shared" si="30"/>
        <v>3058182313</v>
      </c>
      <c r="BG416" s="56">
        <f t="shared" si="31"/>
        <v>3036181001</v>
      </c>
      <c r="BH416" s="56">
        <f t="shared" si="32"/>
        <v>3014179689</v>
      </c>
      <c r="BI416" s="56">
        <f t="shared" si="33"/>
        <v>2992178377</v>
      </c>
      <c r="BJ416" s="56">
        <f t="shared" si="34"/>
        <v>2970177065</v>
      </c>
      <c r="BK416" s="56">
        <f t="shared" si="35"/>
        <v>2948175753</v>
      </c>
      <c r="BL416" s="56">
        <f t="shared" si="36"/>
        <v>2926174441</v>
      </c>
      <c r="BM416" s="56">
        <f t="shared" si="37"/>
        <v>2904173129</v>
      </c>
      <c r="BO416" s="55"/>
    </row>
    <row r="417" spans="3:67" s="49" customFormat="1" x14ac:dyDescent="0.3">
      <c r="C417" s="49" t="s">
        <v>1576</v>
      </c>
      <c r="D417" s="50" t="s">
        <v>338</v>
      </c>
      <c r="E417" s="50" t="str">
        <f t="shared" si="21"/>
        <v>211</v>
      </c>
      <c r="F417" s="49" t="str">
        <f>_xlfn.XLOOKUP($D417,MD_Account_Asset_Type[Nhóm tài sản],MD_Account_Asset_Type[Tên Nhóm tài sản])</f>
        <v>Máy móc, thiết bị - SX 627</v>
      </c>
      <c r="G417" s="49" t="str">
        <f>_xlfn.XLOOKUP($D417,MD_Account_Asset_Type[Nhóm tài sản],MD_Account_Asset_Type[Tên nhóm TS-Rút gọn])</f>
        <v>Máy móc thiết bị</v>
      </c>
      <c r="H417" s="49" t="str">
        <f>_xlfn.XLOOKUP($D417,MD_Account_Asset_Type[Nhóm tài sản],MD_Account_Asset_Type[Tên nhóm TS-Rút gọn-v2])</f>
        <v>Máy móc thiết bị</v>
      </c>
      <c r="I417" s="51" t="s">
        <v>1262</v>
      </c>
      <c r="J417" s="50" t="s">
        <v>1235</v>
      </c>
      <c r="K417" s="49" t="s">
        <v>1357</v>
      </c>
      <c r="L417" s="50" t="s">
        <v>56</v>
      </c>
      <c r="M417" s="50" t="s">
        <v>131</v>
      </c>
      <c r="N417" s="52" t="s">
        <v>249</v>
      </c>
      <c r="O417" s="52"/>
      <c r="P417" s="49" t="s">
        <v>462</v>
      </c>
      <c r="Q417" s="49" t="str">
        <f t="shared" si="20"/>
        <v>627</v>
      </c>
      <c r="R417" s="49" t="str">
        <f>_xlfn.XLOOKUP($L417,MD_Cost_Center[Mã Cost Center],MD_Cost_Center[Ngành])</f>
        <v>PET</v>
      </c>
      <c r="S417" s="49" t="str">
        <f>_xlfn.XLOOKUP($L417,MD_Cost_Center[Mã Cost Center],MD_Cost_Center[Ngành-Tách PET-Xơ sợi])</f>
        <v>Chung-PET</v>
      </c>
      <c r="T417" s="53">
        <v>46023</v>
      </c>
      <c r="U417" s="54">
        <v>47849</v>
      </c>
      <c r="V417" s="55">
        <v>144</v>
      </c>
      <c r="W417" s="55">
        <v>379166667</v>
      </c>
      <c r="X417" s="55">
        <f t="shared" si="40"/>
        <v>-2633102</v>
      </c>
      <c r="Y417" s="55">
        <f t="shared" si="38"/>
        <v>379166667</v>
      </c>
      <c r="Z417" s="55">
        <f t="shared" si="38"/>
        <v>379166667</v>
      </c>
      <c r="AA417" s="55">
        <f t="shared" si="38"/>
        <v>379166667</v>
      </c>
      <c r="AB417" s="55">
        <f t="shared" si="38"/>
        <v>379166667</v>
      </c>
      <c r="AC417" s="55">
        <f t="shared" si="38"/>
        <v>379166667</v>
      </c>
      <c r="AD417" s="55">
        <f t="shared" si="38"/>
        <v>379166667</v>
      </c>
      <c r="AE417" s="55">
        <f t="shared" si="38"/>
        <v>379166667</v>
      </c>
      <c r="AF417" s="55">
        <f t="shared" si="38"/>
        <v>379166667</v>
      </c>
      <c r="AG417" s="55">
        <f t="shared" si="38"/>
        <v>379166667</v>
      </c>
      <c r="AH417" s="55">
        <f t="shared" si="38"/>
        <v>379166667</v>
      </c>
      <c r="AI417" s="55">
        <f t="shared" si="38"/>
        <v>379166667</v>
      </c>
      <c r="AJ417" s="55">
        <f t="shared" si="38"/>
        <v>379166667</v>
      </c>
      <c r="AK417" s="55">
        <f t="shared" si="38"/>
        <v>379166667</v>
      </c>
      <c r="AL417" s="55"/>
      <c r="AM417" s="55">
        <v>0</v>
      </c>
      <c r="AN417" s="55">
        <f t="shared" si="39"/>
        <v>-2633102</v>
      </c>
      <c r="AO417" s="55">
        <f t="shared" si="39"/>
        <v>-2633102</v>
      </c>
      <c r="AP417" s="55">
        <f t="shared" si="39"/>
        <v>-2633102</v>
      </c>
      <c r="AQ417" s="55">
        <f t="shared" si="39"/>
        <v>-2633102</v>
      </c>
      <c r="AR417" s="55">
        <f t="shared" si="39"/>
        <v>-2633102</v>
      </c>
      <c r="AS417" s="55">
        <f t="shared" si="39"/>
        <v>-2633102</v>
      </c>
      <c r="AT417" s="55">
        <f t="shared" si="39"/>
        <v>-2633102</v>
      </c>
      <c r="AU417" s="55">
        <f t="shared" si="39"/>
        <v>-2633102</v>
      </c>
      <c r="AV417" s="55">
        <f t="shared" si="39"/>
        <v>-2633102</v>
      </c>
      <c r="AW417" s="55">
        <f t="shared" si="39"/>
        <v>-2633102</v>
      </c>
      <c r="AX417" s="55">
        <f t="shared" si="39"/>
        <v>-2633102</v>
      </c>
      <c r="AY417" s="55">
        <f t="shared" si="39"/>
        <v>-2633102</v>
      </c>
      <c r="AZ417" s="59">
        <f t="shared" si="41"/>
        <v>-31597224</v>
      </c>
      <c r="BA417" s="55">
        <f t="shared" si="25"/>
        <v>379166667</v>
      </c>
      <c r="BB417" s="56">
        <f t="shared" si="26"/>
        <v>376533565</v>
      </c>
      <c r="BC417" s="56">
        <f t="shared" si="27"/>
        <v>373900463</v>
      </c>
      <c r="BD417" s="56">
        <f t="shared" si="28"/>
        <v>371267361</v>
      </c>
      <c r="BE417" s="56">
        <f t="shared" si="29"/>
        <v>368634259</v>
      </c>
      <c r="BF417" s="56">
        <f t="shared" si="30"/>
        <v>366001157</v>
      </c>
      <c r="BG417" s="56">
        <f t="shared" si="31"/>
        <v>363368055</v>
      </c>
      <c r="BH417" s="56">
        <f t="shared" si="32"/>
        <v>360734953</v>
      </c>
      <c r="BI417" s="56">
        <f t="shared" si="33"/>
        <v>358101851</v>
      </c>
      <c r="BJ417" s="56">
        <f t="shared" si="34"/>
        <v>355468749</v>
      </c>
      <c r="BK417" s="56">
        <f t="shared" si="35"/>
        <v>352835647</v>
      </c>
      <c r="BL417" s="56">
        <f t="shared" si="36"/>
        <v>350202545</v>
      </c>
      <c r="BM417" s="56">
        <f t="shared" si="37"/>
        <v>347569443</v>
      </c>
      <c r="BO417" s="55"/>
    </row>
    <row r="418" spans="3:67" s="49" customFormat="1" x14ac:dyDescent="0.3">
      <c r="C418" s="49" t="s">
        <v>1576</v>
      </c>
      <c r="D418" s="50" t="s">
        <v>338</v>
      </c>
      <c r="E418" s="50" t="str">
        <f t="shared" si="21"/>
        <v>211</v>
      </c>
      <c r="F418" s="49" t="str">
        <f>_xlfn.XLOOKUP($D418,MD_Account_Asset_Type[Nhóm tài sản],MD_Account_Asset_Type[Tên Nhóm tài sản])</f>
        <v>Máy móc, thiết bị - SX 627</v>
      </c>
      <c r="G418" s="49" t="str">
        <f>_xlfn.XLOOKUP($D418,MD_Account_Asset_Type[Nhóm tài sản],MD_Account_Asset_Type[Tên nhóm TS-Rút gọn])</f>
        <v>Máy móc thiết bị</v>
      </c>
      <c r="H418" s="49" t="str">
        <f>_xlfn.XLOOKUP($D418,MD_Account_Asset_Type[Nhóm tài sản],MD_Account_Asset_Type[Tên nhóm TS-Rút gọn-v2])</f>
        <v>Máy móc thiết bị</v>
      </c>
      <c r="I418" s="51" t="s">
        <v>1263</v>
      </c>
      <c r="J418" s="50" t="s">
        <v>1236</v>
      </c>
      <c r="K418" s="49" t="s">
        <v>1357</v>
      </c>
      <c r="L418" s="50" t="s">
        <v>56</v>
      </c>
      <c r="M418" s="50" t="s">
        <v>131</v>
      </c>
      <c r="N418" s="52" t="s">
        <v>249</v>
      </c>
      <c r="O418" s="52"/>
      <c r="P418" s="49" t="s">
        <v>462</v>
      </c>
      <c r="Q418" s="49" t="str">
        <f t="shared" si="20"/>
        <v>627</v>
      </c>
      <c r="R418" s="49" t="str">
        <f>_xlfn.XLOOKUP($L418,MD_Cost_Center[Mã Cost Center],MD_Cost_Center[Ngành])</f>
        <v>PET</v>
      </c>
      <c r="S418" s="49" t="str">
        <f>_xlfn.XLOOKUP($L418,MD_Cost_Center[Mã Cost Center],MD_Cost_Center[Ngành-Tách PET-Xơ sợi])</f>
        <v>Chung-PET</v>
      </c>
      <c r="T418" s="53">
        <v>46023</v>
      </c>
      <c r="U418" s="54">
        <v>47849</v>
      </c>
      <c r="V418" s="55">
        <v>144</v>
      </c>
      <c r="W418" s="55">
        <v>766666667</v>
      </c>
      <c r="X418" s="55">
        <f t="shared" si="40"/>
        <v>-5324074</v>
      </c>
      <c r="Y418" s="55">
        <f t="shared" si="38"/>
        <v>766666667</v>
      </c>
      <c r="Z418" s="55">
        <f t="shared" si="38"/>
        <v>766666667</v>
      </c>
      <c r="AA418" s="55">
        <f t="shared" si="38"/>
        <v>766666667</v>
      </c>
      <c r="AB418" s="55">
        <f t="shared" si="38"/>
        <v>766666667</v>
      </c>
      <c r="AC418" s="55">
        <f t="shared" si="38"/>
        <v>766666667</v>
      </c>
      <c r="AD418" s="55">
        <f t="shared" si="38"/>
        <v>766666667</v>
      </c>
      <c r="AE418" s="55">
        <f t="shared" si="38"/>
        <v>766666667</v>
      </c>
      <c r="AF418" s="55">
        <f t="shared" si="38"/>
        <v>766666667</v>
      </c>
      <c r="AG418" s="55">
        <f t="shared" si="38"/>
        <v>766666667</v>
      </c>
      <c r="AH418" s="55">
        <f t="shared" si="38"/>
        <v>766666667</v>
      </c>
      <c r="AI418" s="55">
        <f t="shared" si="38"/>
        <v>766666667</v>
      </c>
      <c r="AJ418" s="55">
        <f t="shared" si="38"/>
        <v>766666667</v>
      </c>
      <c r="AK418" s="55">
        <f t="shared" si="38"/>
        <v>766666667</v>
      </c>
      <c r="AL418" s="55"/>
      <c r="AM418" s="55">
        <v>0</v>
      </c>
      <c r="AN418" s="55">
        <f t="shared" si="39"/>
        <v>-5324074</v>
      </c>
      <c r="AO418" s="55">
        <f t="shared" si="39"/>
        <v>-5324074</v>
      </c>
      <c r="AP418" s="55">
        <f t="shared" si="39"/>
        <v>-5324074</v>
      </c>
      <c r="AQ418" s="55">
        <f t="shared" si="39"/>
        <v>-5324074</v>
      </c>
      <c r="AR418" s="55">
        <f t="shared" si="39"/>
        <v>-5324074</v>
      </c>
      <c r="AS418" s="55">
        <f t="shared" si="39"/>
        <v>-5324074</v>
      </c>
      <c r="AT418" s="55">
        <f t="shared" si="39"/>
        <v>-5324074</v>
      </c>
      <c r="AU418" s="55">
        <f t="shared" si="39"/>
        <v>-5324074</v>
      </c>
      <c r="AV418" s="55">
        <f t="shared" si="39"/>
        <v>-5324074</v>
      </c>
      <c r="AW418" s="55">
        <f t="shared" si="39"/>
        <v>-5324074</v>
      </c>
      <c r="AX418" s="55">
        <f t="shared" si="39"/>
        <v>-5324074</v>
      </c>
      <c r="AY418" s="55">
        <f t="shared" si="39"/>
        <v>-5324074</v>
      </c>
      <c r="AZ418" s="59">
        <f t="shared" si="41"/>
        <v>-63888888</v>
      </c>
      <c r="BA418" s="55">
        <f t="shared" si="25"/>
        <v>766666667</v>
      </c>
      <c r="BB418" s="56">
        <f t="shared" si="26"/>
        <v>761342593</v>
      </c>
      <c r="BC418" s="56">
        <f t="shared" si="27"/>
        <v>756018519</v>
      </c>
      <c r="BD418" s="56">
        <f t="shared" si="28"/>
        <v>750694445</v>
      </c>
      <c r="BE418" s="56">
        <f t="shared" si="29"/>
        <v>745370371</v>
      </c>
      <c r="BF418" s="56">
        <f t="shared" si="30"/>
        <v>740046297</v>
      </c>
      <c r="BG418" s="56">
        <f t="shared" si="31"/>
        <v>734722223</v>
      </c>
      <c r="BH418" s="56">
        <f t="shared" si="32"/>
        <v>729398149</v>
      </c>
      <c r="BI418" s="56">
        <f t="shared" si="33"/>
        <v>724074075</v>
      </c>
      <c r="BJ418" s="56">
        <f t="shared" si="34"/>
        <v>718750001</v>
      </c>
      <c r="BK418" s="56">
        <f t="shared" si="35"/>
        <v>713425927</v>
      </c>
      <c r="BL418" s="56">
        <f t="shared" si="36"/>
        <v>708101853</v>
      </c>
      <c r="BM418" s="56">
        <f t="shared" si="37"/>
        <v>702777779</v>
      </c>
      <c r="BO418" s="55"/>
    </row>
    <row r="419" spans="3:67" s="49" customFormat="1" x14ac:dyDescent="0.3">
      <c r="C419" s="49" t="s">
        <v>1576</v>
      </c>
      <c r="D419" s="50" t="s">
        <v>338</v>
      </c>
      <c r="E419" s="50" t="str">
        <f t="shared" si="21"/>
        <v>211</v>
      </c>
      <c r="F419" s="49" t="str">
        <f>_xlfn.XLOOKUP($D419,MD_Account_Asset_Type[Nhóm tài sản],MD_Account_Asset_Type[Tên Nhóm tài sản])</f>
        <v>Máy móc, thiết bị - SX 627</v>
      </c>
      <c r="G419" s="49" t="str">
        <f>_xlfn.XLOOKUP($D419,MD_Account_Asset_Type[Nhóm tài sản],MD_Account_Asset_Type[Tên nhóm TS-Rút gọn])</f>
        <v>Máy móc thiết bị</v>
      </c>
      <c r="H419" s="49" t="str">
        <f>_xlfn.XLOOKUP($D419,MD_Account_Asset_Type[Nhóm tài sản],MD_Account_Asset_Type[Tên nhóm TS-Rút gọn-v2])</f>
        <v>Máy móc thiết bị</v>
      </c>
      <c r="I419" s="51" t="s">
        <v>1264</v>
      </c>
      <c r="J419" s="50" t="s">
        <v>1237</v>
      </c>
      <c r="K419" s="49" t="s">
        <v>1357</v>
      </c>
      <c r="L419" s="50" t="s">
        <v>72</v>
      </c>
      <c r="M419" s="50" t="s">
        <v>147</v>
      </c>
      <c r="N419" s="52" t="s">
        <v>265</v>
      </c>
      <c r="O419" s="52"/>
      <c r="P419" s="49" t="s">
        <v>462</v>
      </c>
      <c r="Q419" s="49" t="str">
        <f t="shared" si="20"/>
        <v>627</v>
      </c>
      <c r="R419" s="49" t="str">
        <f>_xlfn.XLOOKUP($L419,MD_Cost_Center[Mã Cost Center],MD_Cost_Center[Ngành])</f>
        <v>HD/PP</v>
      </c>
      <c r="S419" s="49" t="str">
        <f>_xlfn.XLOOKUP($L419,MD_Cost_Center[Mã Cost Center],MD_Cost_Center[Ngành-Tách PET-Xơ sợi])</f>
        <v>HD/PP</v>
      </c>
      <c r="T419" s="53">
        <v>46023</v>
      </c>
      <c r="U419" s="54">
        <v>47849</v>
      </c>
      <c r="V419" s="55">
        <v>144</v>
      </c>
      <c r="W419" s="55">
        <v>1552164104</v>
      </c>
      <c r="X419" s="55">
        <f t="shared" si="40"/>
        <v>-10778917</v>
      </c>
      <c r="Y419" s="55">
        <f t="shared" si="38"/>
        <v>1552164104</v>
      </c>
      <c r="Z419" s="55">
        <f t="shared" si="38"/>
        <v>1552164104</v>
      </c>
      <c r="AA419" s="55">
        <f t="shared" si="38"/>
        <v>1552164104</v>
      </c>
      <c r="AB419" s="55">
        <f t="shared" si="38"/>
        <v>1552164104</v>
      </c>
      <c r="AC419" s="55">
        <f t="shared" si="38"/>
        <v>1552164104</v>
      </c>
      <c r="AD419" s="55">
        <f t="shared" si="38"/>
        <v>1552164104</v>
      </c>
      <c r="AE419" s="55">
        <f t="shared" si="38"/>
        <v>1552164104</v>
      </c>
      <c r="AF419" s="55">
        <f t="shared" si="38"/>
        <v>1552164104</v>
      </c>
      <c r="AG419" s="55">
        <f t="shared" si="38"/>
        <v>1552164104</v>
      </c>
      <c r="AH419" s="55">
        <f t="shared" si="38"/>
        <v>1552164104</v>
      </c>
      <c r="AI419" s="55">
        <f t="shared" si="38"/>
        <v>1552164104</v>
      </c>
      <c r="AJ419" s="55">
        <f t="shared" si="38"/>
        <v>1552164104</v>
      </c>
      <c r="AK419" s="55">
        <f t="shared" si="38"/>
        <v>1552164104</v>
      </c>
      <c r="AL419" s="55"/>
      <c r="AM419" s="55">
        <v>0</v>
      </c>
      <c r="AN419" s="55">
        <f t="shared" si="39"/>
        <v>-10778917</v>
      </c>
      <c r="AO419" s="55">
        <f t="shared" si="39"/>
        <v>-10778917</v>
      </c>
      <c r="AP419" s="55">
        <f t="shared" si="39"/>
        <v>-10778917</v>
      </c>
      <c r="AQ419" s="55">
        <f t="shared" si="39"/>
        <v>-10778917</v>
      </c>
      <c r="AR419" s="55">
        <f t="shared" si="39"/>
        <v>-10778917</v>
      </c>
      <c r="AS419" s="55">
        <f t="shared" si="39"/>
        <v>-10778917</v>
      </c>
      <c r="AT419" s="55">
        <f t="shared" si="39"/>
        <v>-10778917</v>
      </c>
      <c r="AU419" s="55">
        <f t="shared" si="39"/>
        <v>-10778917</v>
      </c>
      <c r="AV419" s="55">
        <f t="shared" si="39"/>
        <v>-10778917</v>
      </c>
      <c r="AW419" s="55">
        <f t="shared" si="39"/>
        <v>-10778917</v>
      </c>
      <c r="AX419" s="55">
        <f t="shared" si="39"/>
        <v>-10778917</v>
      </c>
      <c r="AY419" s="55">
        <f t="shared" si="39"/>
        <v>-10778917</v>
      </c>
      <c r="AZ419" s="59">
        <f t="shared" si="41"/>
        <v>-129347004</v>
      </c>
      <c r="BA419" s="55">
        <f t="shared" si="25"/>
        <v>1552164104</v>
      </c>
      <c r="BB419" s="56">
        <f t="shared" si="26"/>
        <v>1541385187</v>
      </c>
      <c r="BC419" s="56">
        <f t="shared" si="27"/>
        <v>1530606270</v>
      </c>
      <c r="BD419" s="56">
        <f t="shared" si="28"/>
        <v>1519827353</v>
      </c>
      <c r="BE419" s="56">
        <f t="shared" si="29"/>
        <v>1509048436</v>
      </c>
      <c r="BF419" s="56">
        <f t="shared" si="30"/>
        <v>1498269519</v>
      </c>
      <c r="BG419" s="56">
        <f t="shared" si="31"/>
        <v>1487490602</v>
      </c>
      <c r="BH419" s="56">
        <f t="shared" si="32"/>
        <v>1476711685</v>
      </c>
      <c r="BI419" s="56">
        <f t="shared" si="33"/>
        <v>1465932768</v>
      </c>
      <c r="BJ419" s="56">
        <f t="shared" si="34"/>
        <v>1455153851</v>
      </c>
      <c r="BK419" s="56">
        <f t="shared" si="35"/>
        <v>1444374934</v>
      </c>
      <c r="BL419" s="56">
        <f t="shared" si="36"/>
        <v>1433596017</v>
      </c>
      <c r="BM419" s="56">
        <f t="shared" si="37"/>
        <v>1422817100</v>
      </c>
      <c r="BO419" s="55"/>
    </row>
    <row r="420" spans="3:67" s="49" customFormat="1" x14ac:dyDescent="0.3">
      <c r="C420" s="49" t="s">
        <v>1576</v>
      </c>
      <c r="D420" s="50" t="s">
        <v>338</v>
      </c>
      <c r="E420" s="50" t="str">
        <f t="shared" si="21"/>
        <v>211</v>
      </c>
      <c r="F420" s="49" t="str">
        <f>_xlfn.XLOOKUP($D420,MD_Account_Asset_Type[Nhóm tài sản],MD_Account_Asset_Type[Tên Nhóm tài sản])</f>
        <v>Máy móc, thiết bị - SX 627</v>
      </c>
      <c r="G420" s="49" t="str">
        <f>_xlfn.XLOOKUP($D420,MD_Account_Asset_Type[Nhóm tài sản],MD_Account_Asset_Type[Tên nhóm TS-Rút gọn])</f>
        <v>Máy móc thiết bị</v>
      </c>
      <c r="H420" s="49" t="str">
        <f>_xlfn.XLOOKUP($D420,MD_Account_Asset_Type[Nhóm tài sản],MD_Account_Asset_Type[Tên nhóm TS-Rút gọn-v2])</f>
        <v>Máy móc thiết bị</v>
      </c>
      <c r="I420" s="51" t="s">
        <v>1265</v>
      </c>
      <c r="J420" s="50" t="s">
        <v>1238</v>
      </c>
      <c r="K420" s="49" t="s">
        <v>1357</v>
      </c>
      <c r="L420" s="50" t="s">
        <v>79</v>
      </c>
      <c r="M420" s="50" t="s">
        <v>154</v>
      </c>
      <c r="N420" s="52" t="s">
        <v>272</v>
      </c>
      <c r="O420" s="52"/>
      <c r="P420" s="49" t="s">
        <v>462</v>
      </c>
      <c r="Q420" s="49" t="str">
        <f t="shared" si="20"/>
        <v>627</v>
      </c>
      <c r="R420" s="49" t="str">
        <f>_xlfn.XLOOKUP($L420,MD_Cost_Center[Mã Cost Center],MD_Cost_Center[Ngành])</f>
        <v>PET</v>
      </c>
      <c r="S420" s="49" t="str">
        <f>_xlfn.XLOOKUP($L420,MD_Cost_Center[Mã Cost Center],MD_Cost_Center[Ngành-Tách PET-Xơ sợi])</f>
        <v>PET</v>
      </c>
      <c r="T420" s="53">
        <v>46023</v>
      </c>
      <c r="U420" s="54">
        <v>49675</v>
      </c>
      <c r="V420" s="55">
        <v>144</v>
      </c>
      <c r="W420" s="55">
        <v>136868538373</v>
      </c>
      <c r="X420" s="55">
        <f t="shared" si="40"/>
        <v>-950475961</v>
      </c>
      <c r="Y420" s="55">
        <f t="shared" si="38"/>
        <v>136868538373</v>
      </c>
      <c r="Z420" s="55">
        <f t="shared" si="38"/>
        <v>136868538373</v>
      </c>
      <c r="AA420" s="55">
        <f t="shared" si="38"/>
        <v>136868538373</v>
      </c>
      <c r="AB420" s="55">
        <f t="shared" si="38"/>
        <v>136868538373</v>
      </c>
      <c r="AC420" s="55">
        <f t="shared" si="38"/>
        <v>136868538373</v>
      </c>
      <c r="AD420" s="55">
        <f t="shared" si="38"/>
        <v>136868538373</v>
      </c>
      <c r="AE420" s="55">
        <f t="shared" si="38"/>
        <v>136868538373</v>
      </c>
      <c r="AF420" s="55">
        <f t="shared" si="38"/>
        <v>136868538373</v>
      </c>
      <c r="AG420" s="55">
        <f t="shared" si="38"/>
        <v>136868538373</v>
      </c>
      <c r="AH420" s="55">
        <f t="shared" si="38"/>
        <v>136868538373</v>
      </c>
      <c r="AI420" s="55">
        <f t="shared" si="38"/>
        <v>136868538373</v>
      </c>
      <c r="AJ420" s="55">
        <f t="shared" si="38"/>
        <v>136868538373</v>
      </c>
      <c r="AK420" s="55">
        <f t="shared" si="38"/>
        <v>136868538373</v>
      </c>
      <c r="AL420" s="55"/>
      <c r="AM420" s="55">
        <v>0</v>
      </c>
      <c r="AN420" s="55">
        <f t="shared" si="39"/>
        <v>-950475961</v>
      </c>
      <c r="AO420" s="55">
        <f t="shared" si="39"/>
        <v>-950475961</v>
      </c>
      <c r="AP420" s="55">
        <f t="shared" si="39"/>
        <v>-950475961</v>
      </c>
      <c r="AQ420" s="55">
        <f t="shared" si="39"/>
        <v>-950475961</v>
      </c>
      <c r="AR420" s="55">
        <f t="shared" si="39"/>
        <v>-950475961</v>
      </c>
      <c r="AS420" s="55">
        <f t="shared" si="39"/>
        <v>-950475961</v>
      </c>
      <c r="AT420" s="55">
        <f t="shared" si="39"/>
        <v>-950475961</v>
      </c>
      <c r="AU420" s="55">
        <f t="shared" si="39"/>
        <v>-950475961</v>
      </c>
      <c r="AV420" s="55">
        <f t="shared" si="39"/>
        <v>-950475961</v>
      </c>
      <c r="AW420" s="55">
        <f t="shared" si="39"/>
        <v>-950475961</v>
      </c>
      <c r="AX420" s="55">
        <f t="shared" si="39"/>
        <v>-950475961</v>
      </c>
      <c r="AY420" s="55">
        <f t="shared" si="39"/>
        <v>-950475961</v>
      </c>
      <c r="AZ420" s="59">
        <f t="shared" si="41"/>
        <v>-11405711532</v>
      </c>
      <c r="BA420" s="55">
        <f t="shared" si="25"/>
        <v>136868538373</v>
      </c>
      <c r="BB420" s="56">
        <f t="shared" si="26"/>
        <v>135918062412</v>
      </c>
      <c r="BC420" s="56">
        <f t="shared" si="27"/>
        <v>134967586451</v>
      </c>
      <c r="BD420" s="56">
        <f t="shared" si="28"/>
        <v>134017110490</v>
      </c>
      <c r="BE420" s="56">
        <f t="shared" si="29"/>
        <v>133066634529</v>
      </c>
      <c r="BF420" s="56">
        <f t="shared" si="30"/>
        <v>132116158568</v>
      </c>
      <c r="BG420" s="56">
        <f t="shared" si="31"/>
        <v>131165682607</v>
      </c>
      <c r="BH420" s="56">
        <f t="shared" si="32"/>
        <v>130215206646</v>
      </c>
      <c r="BI420" s="56">
        <f t="shared" si="33"/>
        <v>129264730685</v>
      </c>
      <c r="BJ420" s="56">
        <f t="shared" si="34"/>
        <v>128314254724</v>
      </c>
      <c r="BK420" s="56">
        <f t="shared" si="35"/>
        <v>127363778763</v>
      </c>
      <c r="BL420" s="56">
        <f t="shared" si="36"/>
        <v>126413302802</v>
      </c>
      <c r="BM420" s="56">
        <f t="shared" si="37"/>
        <v>125462826841</v>
      </c>
      <c r="BO420" s="55"/>
    </row>
    <row r="421" spans="3:67" s="49" customFormat="1" x14ac:dyDescent="0.3">
      <c r="C421" s="49" t="s">
        <v>1576</v>
      </c>
      <c r="D421" s="50" t="s">
        <v>338</v>
      </c>
      <c r="E421" s="50" t="str">
        <f t="shared" si="21"/>
        <v>211</v>
      </c>
      <c r="F421" s="49" t="str">
        <f>_xlfn.XLOOKUP($D421,MD_Account_Asset_Type[Nhóm tài sản],MD_Account_Asset_Type[Tên Nhóm tài sản])</f>
        <v>Máy móc, thiết bị - SX 627</v>
      </c>
      <c r="G421" s="49" t="str">
        <f>_xlfn.XLOOKUP($D421,MD_Account_Asset_Type[Nhóm tài sản],MD_Account_Asset_Type[Tên nhóm TS-Rút gọn])</f>
        <v>Máy móc thiết bị</v>
      </c>
      <c r="H421" s="49" t="str">
        <f>_xlfn.XLOOKUP($D421,MD_Account_Asset_Type[Nhóm tài sản],MD_Account_Asset_Type[Tên nhóm TS-Rút gọn-v2])</f>
        <v>Máy móc thiết bị</v>
      </c>
      <c r="I421" s="51" t="s">
        <v>1266</v>
      </c>
      <c r="J421" s="50" t="s">
        <v>1239</v>
      </c>
      <c r="K421" s="49" t="s">
        <v>1357</v>
      </c>
      <c r="L421" s="50" t="s">
        <v>79</v>
      </c>
      <c r="M421" s="50" t="s">
        <v>154</v>
      </c>
      <c r="N421" s="52" t="s">
        <v>272</v>
      </c>
      <c r="O421" s="52"/>
      <c r="P421" s="49" t="s">
        <v>462</v>
      </c>
      <c r="Q421" s="49" t="str">
        <f t="shared" si="20"/>
        <v>627</v>
      </c>
      <c r="R421" s="49" t="str">
        <f>_xlfn.XLOOKUP($L421,MD_Cost_Center[Mã Cost Center],MD_Cost_Center[Ngành])</f>
        <v>PET</v>
      </c>
      <c r="S421" s="49" t="str">
        <f>_xlfn.XLOOKUP($L421,MD_Cost_Center[Mã Cost Center],MD_Cost_Center[Ngành-Tách PET-Xơ sợi])</f>
        <v>PET</v>
      </c>
      <c r="T421" s="53">
        <v>46023</v>
      </c>
      <c r="U421" s="54">
        <v>48214</v>
      </c>
      <c r="V421" s="55">
        <v>144</v>
      </c>
      <c r="W421" s="55">
        <v>3542824474</v>
      </c>
      <c r="X421" s="55">
        <f t="shared" si="40"/>
        <v>-24602948</v>
      </c>
      <c r="Y421" s="55">
        <f t="shared" si="38"/>
        <v>3542824474</v>
      </c>
      <c r="Z421" s="55">
        <f t="shared" si="38"/>
        <v>3542824474</v>
      </c>
      <c r="AA421" s="55">
        <f t="shared" si="38"/>
        <v>3542824474</v>
      </c>
      <c r="AB421" s="55">
        <f t="shared" si="38"/>
        <v>3542824474</v>
      </c>
      <c r="AC421" s="55">
        <f t="shared" si="38"/>
        <v>3542824474</v>
      </c>
      <c r="AD421" s="55">
        <f t="shared" si="38"/>
        <v>3542824474</v>
      </c>
      <c r="AE421" s="55">
        <f t="shared" si="38"/>
        <v>3542824474</v>
      </c>
      <c r="AF421" s="55">
        <f t="shared" si="38"/>
        <v>3542824474</v>
      </c>
      <c r="AG421" s="55">
        <f t="shared" si="38"/>
        <v>3542824474</v>
      </c>
      <c r="AH421" s="55">
        <f t="shared" si="38"/>
        <v>3542824474</v>
      </c>
      <c r="AI421" s="55">
        <f t="shared" si="38"/>
        <v>3542824474</v>
      </c>
      <c r="AJ421" s="55">
        <f t="shared" si="38"/>
        <v>3542824474</v>
      </c>
      <c r="AK421" s="55">
        <f t="shared" si="38"/>
        <v>3542824474</v>
      </c>
      <c r="AL421" s="55"/>
      <c r="AM421" s="55">
        <v>0</v>
      </c>
      <c r="AN421" s="55">
        <f t="shared" si="39"/>
        <v>-24602948</v>
      </c>
      <c r="AO421" s="55">
        <f t="shared" si="39"/>
        <v>-24602948</v>
      </c>
      <c r="AP421" s="55">
        <f t="shared" si="39"/>
        <v>-24602948</v>
      </c>
      <c r="AQ421" s="55">
        <f t="shared" si="39"/>
        <v>-24602948</v>
      </c>
      <c r="AR421" s="55">
        <f t="shared" si="39"/>
        <v>-24602948</v>
      </c>
      <c r="AS421" s="55">
        <f t="shared" si="39"/>
        <v>-24602948</v>
      </c>
      <c r="AT421" s="55">
        <f t="shared" si="39"/>
        <v>-24602948</v>
      </c>
      <c r="AU421" s="55">
        <f t="shared" si="39"/>
        <v>-24602948</v>
      </c>
      <c r="AV421" s="55">
        <f t="shared" si="39"/>
        <v>-24602948</v>
      </c>
      <c r="AW421" s="55">
        <f t="shared" si="39"/>
        <v>-24602948</v>
      </c>
      <c r="AX421" s="55">
        <f t="shared" si="39"/>
        <v>-24602948</v>
      </c>
      <c r="AY421" s="55">
        <f t="shared" si="39"/>
        <v>-24602948</v>
      </c>
      <c r="AZ421" s="59">
        <f t="shared" si="41"/>
        <v>-295235376</v>
      </c>
      <c r="BA421" s="55">
        <f t="shared" si="25"/>
        <v>3542824474</v>
      </c>
      <c r="BB421" s="56">
        <f t="shared" si="26"/>
        <v>3518221526</v>
      </c>
      <c r="BC421" s="56">
        <f t="shared" si="27"/>
        <v>3493618578</v>
      </c>
      <c r="BD421" s="56">
        <f t="shared" si="28"/>
        <v>3469015630</v>
      </c>
      <c r="BE421" s="56">
        <f t="shared" si="29"/>
        <v>3444412682</v>
      </c>
      <c r="BF421" s="56">
        <f t="shared" si="30"/>
        <v>3419809734</v>
      </c>
      <c r="BG421" s="56">
        <f t="shared" si="31"/>
        <v>3395206786</v>
      </c>
      <c r="BH421" s="56">
        <f t="shared" si="32"/>
        <v>3370603838</v>
      </c>
      <c r="BI421" s="56">
        <f t="shared" si="33"/>
        <v>3346000890</v>
      </c>
      <c r="BJ421" s="56">
        <f t="shared" si="34"/>
        <v>3321397942</v>
      </c>
      <c r="BK421" s="56">
        <f t="shared" si="35"/>
        <v>3296794994</v>
      </c>
      <c r="BL421" s="56">
        <f t="shared" si="36"/>
        <v>3272192046</v>
      </c>
      <c r="BM421" s="56">
        <f t="shared" si="37"/>
        <v>3247589098</v>
      </c>
      <c r="BO421" s="55"/>
    </row>
    <row r="422" spans="3:67" s="49" customFormat="1" x14ac:dyDescent="0.3">
      <c r="C422" s="49" t="s">
        <v>1576</v>
      </c>
      <c r="D422" s="50" t="s">
        <v>337</v>
      </c>
      <c r="E422" s="50" t="str">
        <f t="shared" si="21"/>
        <v>211</v>
      </c>
      <c r="F422" s="49" t="str">
        <f>_xlfn.XLOOKUP($D422,MD_Account_Asset_Type[Nhóm tài sản],MD_Account_Asset_Type[Tên Nhóm tài sản])</f>
        <v>Máy móc, thiết bị phụ - SX 627</v>
      </c>
      <c r="G422" s="49" t="str">
        <f>_xlfn.XLOOKUP($D422,MD_Account_Asset_Type[Nhóm tài sản],MD_Account_Asset_Type[Tên nhóm TS-Rút gọn])</f>
        <v>Máy móc thiết bị</v>
      </c>
      <c r="H422" s="49" t="str">
        <f>_xlfn.XLOOKUP($D422,MD_Account_Asset_Type[Nhóm tài sản],MD_Account_Asset_Type[Tên nhóm TS-Rút gọn-v2])</f>
        <v>Máy móc thiết bị</v>
      </c>
      <c r="I422" s="51" t="s">
        <v>1267</v>
      </c>
      <c r="J422" s="50" t="s">
        <v>1240</v>
      </c>
      <c r="K422" s="49" t="s">
        <v>1357</v>
      </c>
      <c r="L422" s="50" t="s">
        <v>48</v>
      </c>
      <c r="M422" s="50" t="s">
        <v>123</v>
      </c>
      <c r="N422" s="52">
        <v>0</v>
      </c>
      <c r="O422" s="52"/>
      <c r="P422" s="49" t="s">
        <v>461</v>
      </c>
      <c r="Q422" s="49" t="str">
        <f t="shared" si="20"/>
        <v>627</v>
      </c>
      <c r="R422" s="49" t="str">
        <f>_xlfn.XLOOKUP($L422,MD_Cost_Center[Mã Cost Center],MD_Cost_Center[Ngành])</f>
        <v>PET</v>
      </c>
      <c r="S422" s="49" t="str">
        <f>_xlfn.XLOOKUP($L422,MD_Cost_Center[Mã Cost Center],MD_Cost_Center[Ngành-Tách PET-Xơ sợi])</f>
        <v>Chung-PET</v>
      </c>
      <c r="T422" s="53">
        <v>46023</v>
      </c>
      <c r="U422" s="54">
        <v>47849</v>
      </c>
      <c r="V422" s="55">
        <v>144</v>
      </c>
      <c r="W422" s="55">
        <v>1350000000</v>
      </c>
      <c r="X422" s="55">
        <f t="shared" si="40"/>
        <v>-9375000</v>
      </c>
      <c r="Y422" s="55">
        <f t="shared" si="38"/>
        <v>1350000000</v>
      </c>
      <c r="Z422" s="55">
        <f t="shared" si="38"/>
        <v>1350000000</v>
      </c>
      <c r="AA422" s="55">
        <f t="shared" si="38"/>
        <v>1350000000</v>
      </c>
      <c r="AB422" s="55">
        <f t="shared" si="38"/>
        <v>1350000000</v>
      </c>
      <c r="AC422" s="55">
        <f t="shared" si="38"/>
        <v>1350000000</v>
      </c>
      <c r="AD422" s="55">
        <f t="shared" si="38"/>
        <v>1350000000</v>
      </c>
      <c r="AE422" s="55">
        <f t="shared" si="38"/>
        <v>1350000000</v>
      </c>
      <c r="AF422" s="55">
        <f t="shared" si="38"/>
        <v>1350000000</v>
      </c>
      <c r="AG422" s="55">
        <f t="shared" si="38"/>
        <v>1350000000</v>
      </c>
      <c r="AH422" s="55">
        <f t="shared" si="38"/>
        <v>1350000000</v>
      </c>
      <c r="AI422" s="55">
        <f t="shared" si="38"/>
        <v>1350000000</v>
      </c>
      <c r="AJ422" s="55">
        <f t="shared" si="38"/>
        <v>1350000000</v>
      </c>
      <c r="AK422" s="55">
        <f t="shared" si="38"/>
        <v>1350000000</v>
      </c>
      <c r="AL422" s="55"/>
      <c r="AM422" s="55">
        <v>0</v>
      </c>
      <c r="AN422" s="55">
        <f t="shared" si="39"/>
        <v>-9375000</v>
      </c>
      <c r="AO422" s="55">
        <f t="shared" si="39"/>
        <v>-9375000</v>
      </c>
      <c r="AP422" s="55">
        <f t="shared" si="39"/>
        <v>-9375000</v>
      </c>
      <c r="AQ422" s="55">
        <f t="shared" si="39"/>
        <v>-9375000</v>
      </c>
      <c r="AR422" s="55">
        <f t="shared" si="39"/>
        <v>-9375000</v>
      </c>
      <c r="AS422" s="55">
        <f t="shared" si="39"/>
        <v>-9375000</v>
      </c>
      <c r="AT422" s="55">
        <f t="shared" si="39"/>
        <v>-9375000</v>
      </c>
      <c r="AU422" s="55">
        <f t="shared" si="39"/>
        <v>-9375000</v>
      </c>
      <c r="AV422" s="55">
        <f t="shared" si="39"/>
        <v>-9375000</v>
      </c>
      <c r="AW422" s="55">
        <f t="shared" si="39"/>
        <v>-9375000</v>
      </c>
      <c r="AX422" s="55">
        <f t="shared" si="39"/>
        <v>-9375000</v>
      </c>
      <c r="AY422" s="55">
        <f t="shared" si="39"/>
        <v>-9375000</v>
      </c>
      <c r="AZ422" s="59">
        <f t="shared" si="41"/>
        <v>-112500000</v>
      </c>
      <c r="BA422" s="55">
        <f t="shared" si="25"/>
        <v>1350000000</v>
      </c>
      <c r="BB422" s="56">
        <f t="shared" si="26"/>
        <v>1340625000</v>
      </c>
      <c r="BC422" s="56">
        <f t="shared" si="27"/>
        <v>1331250000</v>
      </c>
      <c r="BD422" s="56">
        <f t="shared" si="28"/>
        <v>1321875000</v>
      </c>
      <c r="BE422" s="56">
        <f t="shared" si="29"/>
        <v>1312500000</v>
      </c>
      <c r="BF422" s="56">
        <f t="shared" si="30"/>
        <v>1303125000</v>
      </c>
      <c r="BG422" s="56">
        <f t="shared" si="31"/>
        <v>1293750000</v>
      </c>
      <c r="BH422" s="56">
        <f t="shared" si="32"/>
        <v>1284375000</v>
      </c>
      <c r="BI422" s="56">
        <f t="shared" si="33"/>
        <v>1275000000</v>
      </c>
      <c r="BJ422" s="56">
        <f t="shared" si="34"/>
        <v>1265625000</v>
      </c>
      <c r="BK422" s="56">
        <f t="shared" si="35"/>
        <v>1256250000</v>
      </c>
      <c r="BL422" s="56">
        <f t="shared" si="36"/>
        <v>1246875000</v>
      </c>
      <c r="BM422" s="56">
        <f t="shared" si="37"/>
        <v>1237500000</v>
      </c>
      <c r="BO422" s="55"/>
    </row>
    <row r="423" spans="3:67" s="49" customFormat="1" x14ac:dyDescent="0.3">
      <c r="C423" s="49" t="s">
        <v>1576</v>
      </c>
      <c r="D423" s="50" t="s">
        <v>338</v>
      </c>
      <c r="E423" s="50" t="str">
        <f t="shared" si="21"/>
        <v>211</v>
      </c>
      <c r="F423" s="49" t="str">
        <f>_xlfn.XLOOKUP($D423,MD_Account_Asset_Type[Nhóm tài sản],MD_Account_Asset_Type[Tên Nhóm tài sản])</f>
        <v>Máy móc, thiết bị - SX 627</v>
      </c>
      <c r="G423" s="49" t="str">
        <f>_xlfn.XLOOKUP($D423,MD_Account_Asset_Type[Nhóm tài sản],MD_Account_Asset_Type[Tên nhóm TS-Rút gọn])</f>
        <v>Máy móc thiết bị</v>
      </c>
      <c r="H423" s="49" t="str">
        <f>_xlfn.XLOOKUP($D423,MD_Account_Asset_Type[Nhóm tài sản],MD_Account_Asset_Type[Tên nhóm TS-Rút gọn-v2])</f>
        <v>Máy móc thiết bị</v>
      </c>
      <c r="I423" s="51" t="s">
        <v>1268</v>
      </c>
      <c r="J423" s="50" t="s">
        <v>1241</v>
      </c>
      <c r="K423" s="49" t="s">
        <v>1357</v>
      </c>
      <c r="L423" s="50" t="s">
        <v>72</v>
      </c>
      <c r="M423" s="50" t="s">
        <v>147</v>
      </c>
      <c r="N423" s="52" t="s">
        <v>265</v>
      </c>
      <c r="O423" s="52"/>
      <c r="P423" s="49" t="s">
        <v>462</v>
      </c>
      <c r="Q423" s="49" t="str">
        <f t="shared" si="20"/>
        <v>627</v>
      </c>
      <c r="R423" s="49" t="str">
        <f>_xlfn.XLOOKUP($L423,MD_Cost_Center[Mã Cost Center],MD_Cost_Center[Ngành])</f>
        <v>HD/PP</v>
      </c>
      <c r="S423" s="49" t="str">
        <f>_xlfn.XLOOKUP($L423,MD_Cost_Center[Mã Cost Center],MD_Cost_Center[Ngành-Tách PET-Xơ sợi])</f>
        <v>HD/PP</v>
      </c>
      <c r="T423" s="53">
        <v>46023</v>
      </c>
      <c r="U423" s="54">
        <v>47849</v>
      </c>
      <c r="V423" s="55">
        <v>144</v>
      </c>
      <c r="W423" s="55">
        <v>1715519708</v>
      </c>
      <c r="X423" s="55">
        <f t="shared" si="40"/>
        <v>-11913331</v>
      </c>
      <c r="Y423" s="55">
        <f t="shared" si="38"/>
        <v>1715519708</v>
      </c>
      <c r="Z423" s="55">
        <f t="shared" si="38"/>
        <v>1715519708</v>
      </c>
      <c r="AA423" s="55">
        <f t="shared" si="38"/>
        <v>1715519708</v>
      </c>
      <c r="AB423" s="55">
        <f t="shared" si="38"/>
        <v>1715519708</v>
      </c>
      <c r="AC423" s="55">
        <f t="shared" si="38"/>
        <v>1715519708</v>
      </c>
      <c r="AD423" s="55">
        <f t="shared" si="38"/>
        <v>1715519708</v>
      </c>
      <c r="AE423" s="55">
        <f t="shared" si="38"/>
        <v>1715519708</v>
      </c>
      <c r="AF423" s="55">
        <f t="shared" si="38"/>
        <v>1715519708</v>
      </c>
      <c r="AG423" s="55">
        <f t="shared" si="38"/>
        <v>1715519708</v>
      </c>
      <c r="AH423" s="55">
        <f t="shared" si="38"/>
        <v>1715519708</v>
      </c>
      <c r="AI423" s="55">
        <f t="shared" si="38"/>
        <v>1715519708</v>
      </c>
      <c r="AJ423" s="55">
        <f t="shared" si="38"/>
        <v>1715519708</v>
      </c>
      <c r="AK423" s="55">
        <f t="shared" si="38"/>
        <v>1715519708</v>
      </c>
      <c r="AL423" s="55"/>
      <c r="AM423" s="55">
        <v>0</v>
      </c>
      <c r="AN423" s="55">
        <f t="shared" si="39"/>
        <v>-11913331</v>
      </c>
      <c r="AO423" s="55">
        <f t="shared" si="39"/>
        <v>-11913331</v>
      </c>
      <c r="AP423" s="55">
        <f t="shared" si="39"/>
        <v>-11913331</v>
      </c>
      <c r="AQ423" s="55">
        <f t="shared" si="39"/>
        <v>-11913331</v>
      </c>
      <c r="AR423" s="55">
        <f t="shared" si="39"/>
        <v>-11913331</v>
      </c>
      <c r="AS423" s="55">
        <f t="shared" si="39"/>
        <v>-11913331</v>
      </c>
      <c r="AT423" s="55">
        <f t="shared" si="39"/>
        <v>-11913331</v>
      </c>
      <c r="AU423" s="55">
        <f t="shared" si="39"/>
        <v>-11913331</v>
      </c>
      <c r="AV423" s="55">
        <f t="shared" si="39"/>
        <v>-11913331</v>
      </c>
      <c r="AW423" s="55">
        <f t="shared" si="39"/>
        <v>-11913331</v>
      </c>
      <c r="AX423" s="55">
        <f t="shared" si="39"/>
        <v>-11913331</v>
      </c>
      <c r="AY423" s="55">
        <f t="shared" si="39"/>
        <v>-11913331</v>
      </c>
      <c r="AZ423" s="59">
        <f t="shared" si="41"/>
        <v>-142959972</v>
      </c>
      <c r="BA423" s="55">
        <f t="shared" si="25"/>
        <v>1715519708</v>
      </c>
      <c r="BB423" s="56">
        <f t="shared" si="26"/>
        <v>1703606377</v>
      </c>
      <c r="BC423" s="56">
        <f t="shared" si="27"/>
        <v>1691693046</v>
      </c>
      <c r="BD423" s="56">
        <f t="shared" si="28"/>
        <v>1679779715</v>
      </c>
      <c r="BE423" s="56">
        <f t="shared" si="29"/>
        <v>1667866384</v>
      </c>
      <c r="BF423" s="56">
        <f t="shared" si="30"/>
        <v>1655953053</v>
      </c>
      <c r="BG423" s="56">
        <f t="shared" si="31"/>
        <v>1644039722</v>
      </c>
      <c r="BH423" s="56">
        <f t="shared" si="32"/>
        <v>1632126391</v>
      </c>
      <c r="BI423" s="56">
        <f t="shared" si="33"/>
        <v>1620213060</v>
      </c>
      <c r="BJ423" s="56">
        <f t="shared" si="34"/>
        <v>1608299729</v>
      </c>
      <c r="BK423" s="56">
        <f t="shared" si="35"/>
        <v>1596386398</v>
      </c>
      <c r="BL423" s="56">
        <f t="shared" si="36"/>
        <v>1584473067</v>
      </c>
      <c r="BM423" s="56">
        <f t="shared" si="37"/>
        <v>1572559736</v>
      </c>
      <c r="BO423" s="55"/>
    </row>
    <row r="424" spans="3:67" s="49" customFormat="1" x14ac:dyDescent="0.3">
      <c r="C424" s="49" t="s">
        <v>1576</v>
      </c>
      <c r="D424" s="50" t="s">
        <v>338</v>
      </c>
      <c r="E424" s="50" t="str">
        <f t="shared" si="21"/>
        <v>211</v>
      </c>
      <c r="F424" s="49" t="str">
        <f>_xlfn.XLOOKUP($D424,MD_Account_Asset_Type[Nhóm tài sản],MD_Account_Asset_Type[Tên Nhóm tài sản])</f>
        <v>Máy móc, thiết bị - SX 627</v>
      </c>
      <c r="G424" s="49" t="str">
        <f>_xlfn.XLOOKUP($D424,MD_Account_Asset_Type[Nhóm tài sản],MD_Account_Asset_Type[Tên nhóm TS-Rút gọn])</f>
        <v>Máy móc thiết bị</v>
      </c>
      <c r="H424" s="49" t="str">
        <f>_xlfn.XLOOKUP($D424,MD_Account_Asset_Type[Nhóm tài sản],MD_Account_Asset_Type[Tên nhóm TS-Rút gọn-v2])</f>
        <v>Máy móc thiết bị</v>
      </c>
      <c r="I424" s="51" t="s">
        <v>1269</v>
      </c>
      <c r="J424" s="50" t="s">
        <v>1242</v>
      </c>
      <c r="K424" s="49" t="s">
        <v>1357</v>
      </c>
      <c r="L424" s="50" t="s">
        <v>62</v>
      </c>
      <c r="M424" s="50" t="s">
        <v>137</v>
      </c>
      <c r="N424" s="52" t="s">
        <v>255</v>
      </c>
      <c r="O424" s="52"/>
      <c r="P424" s="49" t="s">
        <v>462</v>
      </c>
      <c r="Q424" s="49" t="str">
        <f t="shared" si="20"/>
        <v>627</v>
      </c>
      <c r="R424" s="49" t="str">
        <f>_xlfn.XLOOKUP($L424,MD_Cost_Center[Mã Cost Center],MD_Cost_Center[Ngành])</f>
        <v>PET</v>
      </c>
      <c r="S424" s="49" t="str">
        <f>_xlfn.XLOOKUP($L424,MD_Cost_Center[Mã Cost Center],MD_Cost_Center[Ngành-Tách PET-Xơ sợi])</f>
        <v>PET</v>
      </c>
      <c r="T424" s="53">
        <v>46023</v>
      </c>
      <c r="U424" s="54">
        <v>49675</v>
      </c>
      <c r="V424" s="55">
        <v>144</v>
      </c>
      <c r="W424" s="55">
        <v>37770978823</v>
      </c>
      <c r="X424" s="55">
        <f t="shared" si="40"/>
        <v>-262298464</v>
      </c>
      <c r="Y424" s="55">
        <f t="shared" si="38"/>
        <v>37770978823</v>
      </c>
      <c r="Z424" s="55">
        <f t="shared" si="38"/>
        <v>37770978823</v>
      </c>
      <c r="AA424" s="55">
        <f t="shared" si="38"/>
        <v>37770978823</v>
      </c>
      <c r="AB424" s="55">
        <f t="shared" si="38"/>
        <v>37770978823</v>
      </c>
      <c r="AC424" s="55">
        <f t="shared" si="38"/>
        <v>37770978823</v>
      </c>
      <c r="AD424" s="55">
        <f t="shared" si="38"/>
        <v>37770978823</v>
      </c>
      <c r="AE424" s="55">
        <f t="shared" si="38"/>
        <v>37770978823</v>
      </c>
      <c r="AF424" s="55">
        <f t="shared" si="38"/>
        <v>37770978823</v>
      </c>
      <c r="AG424" s="55">
        <f t="shared" si="38"/>
        <v>37770978823</v>
      </c>
      <c r="AH424" s="55">
        <f t="shared" si="38"/>
        <v>37770978823</v>
      </c>
      <c r="AI424" s="55">
        <f t="shared" si="38"/>
        <v>37770978823</v>
      </c>
      <c r="AJ424" s="55">
        <f t="shared" si="38"/>
        <v>37770978823</v>
      </c>
      <c r="AK424" s="55">
        <f t="shared" si="38"/>
        <v>37770978823</v>
      </c>
      <c r="AL424" s="55"/>
      <c r="AM424" s="55">
        <v>0</v>
      </c>
      <c r="AN424" s="55">
        <f t="shared" si="39"/>
        <v>-262298464</v>
      </c>
      <c r="AO424" s="55">
        <f t="shared" si="39"/>
        <v>-262298464</v>
      </c>
      <c r="AP424" s="55">
        <f t="shared" si="39"/>
        <v>-262298464</v>
      </c>
      <c r="AQ424" s="55">
        <f t="shared" si="39"/>
        <v>-262298464</v>
      </c>
      <c r="AR424" s="55">
        <f t="shared" si="39"/>
        <v>-262298464</v>
      </c>
      <c r="AS424" s="55">
        <f t="shared" si="39"/>
        <v>-262298464</v>
      </c>
      <c r="AT424" s="55">
        <f t="shared" si="39"/>
        <v>-262298464</v>
      </c>
      <c r="AU424" s="55">
        <f t="shared" si="39"/>
        <v>-262298464</v>
      </c>
      <c r="AV424" s="55">
        <f t="shared" si="39"/>
        <v>-262298464</v>
      </c>
      <c r="AW424" s="55">
        <f t="shared" si="39"/>
        <v>-262298464</v>
      </c>
      <c r="AX424" s="55">
        <f t="shared" si="39"/>
        <v>-262298464</v>
      </c>
      <c r="AY424" s="55">
        <f t="shared" si="39"/>
        <v>-262298464</v>
      </c>
      <c r="AZ424" s="59">
        <f t="shared" si="41"/>
        <v>-3147581568</v>
      </c>
      <c r="BA424" s="55">
        <f t="shared" si="25"/>
        <v>37770978823</v>
      </c>
      <c r="BB424" s="56">
        <f t="shared" si="26"/>
        <v>37508680359</v>
      </c>
      <c r="BC424" s="56">
        <f t="shared" si="27"/>
        <v>37246381895</v>
      </c>
      <c r="BD424" s="56">
        <f t="shared" si="28"/>
        <v>36984083431</v>
      </c>
      <c r="BE424" s="56">
        <f t="shared" si="29"/>
        <v>36721784967</v>
      </c>
      <c r="BF424" s="56">
        <f t="shared" si="30"/>
        <v>36459486503</v>
      </c>
      <c r="BG424" s="56">
        <f t="shared" si="31"/>
        <v>36197188039</v>
      </c>
      <c r="BH424" s="56">
        <f t="shared" si="32"/>
        <v>35934889575</v>
      </c>
      <c r="BI424" s="56">
        <f t="shared" si="33"/>
        <v>35672591111</v>
      </c>
      <c r="BJ424" s="56">
        <f t="shared" si="34"/>
        <v>35410292647</v>
      </c>
      <c r="BK424" s="56">
        <f t="shared" si="35"/>
        <v>35147994183</v>
      </c>
      <c r="BL424" s="56">
        <f t="shared" si="36"/>
        <v>34885695719</v>
      </c>
      <c r="BM424" s="56">
        <f t="shared" si="37"/>
        <v>34623397255</v>
      </c>
      <c r="BO424" s="55"/>
    </row>
    <row r="425" spans="3:67" s="49" customFormat="1" x14ac:dyDescent="0.3">
      <c r="C425" s="49" t="s">
        <v>1576</v>
      </c>
      <c r="D425" s="50" t="s">
        <v>338</v>
      </c>
      <c r="E425" s="50" t="str">
        <f t="shared" si="21"/>
        <v>211</v>
      </c>
      <c r="F425" s="49" t="str">
        <f>_xlfn.XLOOKUP($D425,MD_Account_Asset_Type[Nhóm tài sản],MD_Account_Asset_Type[Tên Nhóm tài sản])</f>
        <v>Máy móc, thiết bị - SX 627</v>
      </c>
      <c r="G425" s="49" t="str">
        <f>_xlfn.XLOOKUP($D425,MD_Account_Asset_Type[Nhóm tài sản],MD_Account_Asset_Type[Tên nhóm TS-Rút gọn])</f>
        <v>Máy móc thiết bị</v>
      </c>
      <c r="H425" s="49" t="str">
        <f>_xlfn.XLOOKUP($D425,MD_Account_Asset_Type[Nhóm tài sản],MD_Account_Asset_Type[Tên nhóm TS-Rút gọn-v2])</f>
        <v>Máy móc thiết bị</v>
      </c>
      <c r="I425" s="51" t="s">
        <v>1270</v>
      </c>
      <c r="J425" s="50" t="s">
        <v>1243</v>
      </c>
      <c r="K425" s="49" t="s">
        <v>1357</v>
      </c>
      <c r="L425" s="50" t="s">
        <v>64</v>
      </c>
      <c r="M425" s="50" t="s">
        <v>139</v>
      </c>
      <c r="N425" s="52" t="s">
        <v>257</v>
      </c>
      <c r="O425" s="52"/>
      <c r="P425" s="49" t="s">
        <v>462</v>
      </c>
      <c r="Q425" s="49" t="str">
        <f t="shared" si="20"/>
        <v>627</v>
      </c>
      <c r="R425" s="49" t="str">
        <f>_xlfn.XLOOKUP($L425,MD_Cost_Center[Mã Cost Center],MD_Cost_Center[Ngành])</f>
        <v>PET</v>
      </c>
      <c r="S425" s="49" t="str">
        <f>_xlfn.XLOOKUP($L425,MD_Cost_Center[Mã Cost Center],MD_Cost_Center[Ngành-Tách PET-Xơ sợi])</f>
        <v>Chung-PET</v>
      </c>
      <c r="T425" s="53">
        <v>46023</v>
      </c>
      <c r="U425" s="54">
        <v>48945</v>
      </c>
      <c r="V425" s="55">
        <v>144</v>
      </c>
      <c r="W425" s="55">
        <v>5913193824</v>
      </c>
      <c r="X425" s="55">
        <f t="shared" si="40"/>
        <v>-41063846</v>
      </c>
      <c r="Y425" s="55">
        <f t="shared" si="38"/>
        <v>5913193824</v>
      </c>
      <c r="Z425" s="55">
        <f t="shared" si="38"/>
        <v>5913193824</v>
      </c>
      <c r="AA425" s="55">
        <f t="shared" si="38"/>
        <v>5913193824</v>
      </c>
      <c r="AB425" s="55">
        <f t="shared" si="38"/>
        <v>5913193824</v>
      </c>
      <c r="AC425" s="55">
        <f t="shared" si="38"/>
        <v>5913193824</v>
      </c>
      <c r="AD425" s="55">
        <f t="shared" si="38"/>
        <v>5913193824</v>
      </c>
      <c r="AE425" s="55">
        <f t="shared" si="38"/>
        <v>5913193824</v>
      </c>
      <c r="AF425" s="55">
        <f t="shared" si="38"/>
        <v>5913193824</v>
      </c>
      <c r="AG425" s="55">
        <f t="shared" si="38"/>
        <v>5913193824</v>
      </c>
      <c r="AH425" s="55">
        <f t="shared" si="38"/>
        <v>5913193824</v>
      </c>
      <c r="AI425" s="55">
        <f t="shared" si="38"/>
        <v>5913193824</v>
      </c>
      <c r="AJ425" s="55">
        <f t="shared" si="38"/>
        <v>5913193824</v>
      </c>
      <c r="AK425" s="55">
        <f t="shared" si="38"/>
        <v>5913193824</v>
      </c>
      <c r="AL425" s="55"/>
      <c r="AM425" s="55">
        <v>0</v>
      </c>
      <c r="AN425" s="55">
        <f t="shared" si="39"/>
        <v>-41063846</v>
      </c>
      <c r="AO425" s="55">
        <f t="shared" si="39"/>
        <v>-41063846</v>
      </c>
      <c r="AP425" s="55">
        <f t="shared" si="39"/>
        <v>-41063846</v>
      </c>
      <c r="AQ425" s="55">
        <f t="shared" si="39"/>
        <v>-41063846</v>
      </c>
      <c r="AR425" s="55">
        <f t="shared" si="39"/>
        <v>-41063846</v>
      </c>
      <c r="AS425" s="55">
        <f t="shared" si="39"/>
        <v>-41063846</v>
      </c>
      <c r="AT425" s="55">
        <f t="shared" si="39"/>
        <v>-41063846</v>
      </c>
      <c r="AU425" s="55">
        <f t="shared" si="39"/>
        <v>-41063846</v>
      </c>
      <c r="AV425" s="55">
        <f t="shared" si="39"/>
        <v>-41063846</v>
      </c>
      <c r="AW425" s="55">
        <f t="shared" si="39"/>
        <v>-41063846</v>
      </c>
      <c r="AX425" s="55">
        <f t="shared" si="39"/>
        <v>-41063846</v>
      </c>
      <c r="AY425" s="55">
        <f t="shared" si="39"/>
        <v>-41063846</v>
      </c>
      <c r="AZ425" s="59">
        <f t="shared" si="41"/>
        <v>-492766152</v>
      </c>
      <c r="BA425" s="55">
        <f t="shared" si="25"/>
        <v>5913193824</v>
      </c>
      <c r="BB425" s="56">
        <f t="shared" si="26"/>
        <v>5872129978</v>
      </c>
      <c r="BC425" s="56">
        <f t="shared" si="27"/>
        <v>5831066132</v>
      </c>
      <c r="BD425" s="56">
        <f t="shared" si="28"/>
        <v>5790002286</v>
      </c>
      <c r="BE425" s="56">
        <f t="shared" si="29"/>
        <v>5748938440</v>
      </c>
      <c r="BF425" s="56">
        <f t="shared" si="30"/>
        <v>5707874594</v>
      </c>
      <c r="BG425" s="56">
        <f t="shared" si="31"/>
        <v>5666810748</v>
      </c>
      <c r="BH425" s="56">
        <f t="shared" si="32"/>
        <v>5625746902</v>
      </c>
      <c r="BI425" s="56">
        <f t="shared" si="33"/>
        <v>5584683056</v>
      </c>
      <c r="BJ425" s="56">
        <f t="shared" si="34"/>
        <v>5543619210</v>
      </c>
      <c r="BK425" s="56">
        <f t="shared" si="35"/>
        <v>5502555364</v>
      </c>
      <c r="BL425" s="56">
        <f t="shared" si="36"/>
        <v>5461491518</v>
      </c>
      <c r="BM425" s="56">
        <f t="shared" si="37"/>
        <v>5420427672</v>
      </c>
      <c r="BO425" s="55"/>
    </row>
    <row r="426" spans="3:67" s="49" customFormat="1" x14ac:dyDescent="0.3">
      <c r="C426" s="49" t="s">
        <v>1576</v>
      </c>
      <c r="D426" s="50" t="s">
        <v>337</v>
      </c>
      <c r="E426" s="50" t="str">
        <f t="shared" si="21"/>
        <v>211</v>
      </c>
      <c r="F426" s="49" t="str">
        <f>_xlfn.XLOOKUP($D426,MD_Account_Asset_Type[Nhóm tài sản],MD_Account_Asset_Type[Tên Nhóm tài sản])</f>
        <v>Máy móc, thiết bị phụ - SX 627</v>
      </c>
      <c r="G426" s="49" t="str">
        <f>_xlfn.XLOOKUP($D426,MD_Account_Asset_Type[Nhóm tài sản],MD_Account_Asset_Type[Tên nhóm TS-Rút gọn])</f>
        <v>Máy móc thiết bị</v>
      </c>
      <c r="H426" s="49" t="str">
        <f>_xlfn.XLOOKUP($D426,MD_Account_Asset_Type[Nhóm tài sản],MD_Account_Asset_Type[Tên nhóm TS-Rút gọn-v2])</f>
        <v>Máy móc thiết bị</v>
      </c>
      <c r="I426" s="51" t="s">
        <v>1271</v>
      </c>
      <c r="J426" s="50" t="s">
        <v>1244</v>
      </c>
      <c r="K426" s="49" t="s">
        <v>1357</v>
      </c>
      <c r="L426" s="50" t="s">
        <v>46</v>
      </c>
      <c r="M426" s="50" t="s">
        <v>121</v>
      </c>
      <c r="N426" s="52">
        <v>0</v>
      </c>
      <c r="O426" s="52"/>
      <c r="P426" s="49" t="s">
        <v>461</v>
      </c>
      <c r="Q426" s="49" t="str">
        <f t="shared" si="20"/>
        <v>627</v>
      </c>
      <c r="R426" s="49" t="str">
        <f>_xlfn.XLOOKUP($L426,MD_Cost_Center[Mã Cost Center],MD_Cost_Center[Ngành])</f>
        <v>Chung</v>
      </c>
      <c r="S426" s="49" t="str">
        <f>_xlfn.XLOOKUP($L426,MD_Cost_Center[Mã Cost Center],MD_Cost_Center[Ngành-Tách PET-Xơ sợi])</f>
        <v>Chung</v>
      </c>
      <c r="T426" s="53">
        <v>46023</v>
      </c>
      <c r="U426" s="54">
        <v>47849</v>
      </c>
      <c r="V426" s="55">
        <v>144</v>
      </c>
      <c r="W426" s="55">
        <v>1002018233</v>
      </c>
      <c r="X426" s="55">
        <f t="shared" si="40"/>
        <v>-6958460</v>
      </c>
      <c r="Y426" s="55">
        <f t="shared" si="38"/>
        <v>1002018233</v>
      </c>
      <c r="Z426" s="55">
        <f t="shared" si="38"/>
        <v>1002018233</v>
      </c>
      <c r="AA426" s="55">
        <f t="shared" si="38"/>
        <v>1002018233</v>
      </c>
      <c r="AB426" s="55">
        <f t="shared" si="38"/>
        <v>1002018233</v>
      </c>
      <c r="AC426" s="55">
        <f t="shared" si="38"/>
        <v>1002018233</v>
      </c>
      <c r="AD426" s="55">
        <f t="shared" si="38"/>
        <v>1002018233</v>
      </c>
      <c r="AE426" s="55">
        <f t="shared" si="38"/>
        <v>1002018233</v>
      </c>
      <c r="AF426" s="55">
        <f t="shared" si="38"/>
        <v>1002018233</v>
      </c>
      <c r="AG426" s="55">
        <f t="shared" si="38"/>
        <v>1002018233</v>
      </c>
      <c r="AH426" s="55">
        <f t="shared" si="38"/>
        <v>1002018233</v>
      </c>
      <c r="AI426" s="55">
        <f t="shared" si="38"/>
        <v>1002018233</v>
      </c>
      <c r="AJ426" s="55">
        <f t="shared" si="38"/>
        <v>1002018233</v>
      </c>
      <c r="AK426" s="55">
        <f t="shared" si="38"/>
        <v>1002018233</v>
      </c>
      <c r="AL426" s="55"/>
      <c r="AM426" s="55">
        <v>0</v>
      </c>
      <c r="AN426" s="55">
        <f t="shared" si="39"/>
        <v>-6958460</v>
      </c>
      <c r="AO426" s="55">
        <f t="shared" si="39"/>
        <v>-6958460</v>
      </c>
      <c r="AP426" s="55">
        <f t="shared" si="39"/>
        <v>-6958460</v>
      </c>
      <c r="AQ426" s="55">
        <f t="shared" si="39"/>
        <v>-6958460</v>
      </c>
      <c r="AR426" s="55">
        <f t="shared" si="39"/>
        <v>-6958460</v>
      </c>
      <c r="AS426" s="55">
        <f t="shared" si="39"/>
        <v>-6958460</v>
      </c>
      <c r="AT426" s="55">
        <f t="shared" si="39"/>
        <v>-6958460</v>
      </c>
      <c r="AU426" s="55">
        <f t="shared" si="39"/>
        <v>-6958460</v>
      </c>
      <c r="AV426" s="55">
        <f t="shared" si="39"/>
        <v>-6958460</v>
      </c>
      <c r="AW426" s="55">
        <f t="shared" si="39"/>
        <v>-6958460</v>
      </c>
      <c r="AX426" s="55">
        <f t="shared" si="39"/>
        <v>-6958460</v>
      </c>
      <c r="AY426" s="55">
        <f t="shared" si="39"/>
        <v>-6958460</v>
      </c>
      <c r="AZ426" s="59">
        <f t="shared" si="41"/>
        <v>-83501520</v>
      </c>
      <c r="BA426" s="55">
        <f t="shared" si="25"/>
        <v>1002018233</v>
      </c>
      <c r="BB426" s="56">
        <f t="shared" si="26"/>
        <v>995059773</v>
      </c>
      <c r="BC426" s="56">
        <f t="shared" si="27"/>
        <v>988101313</v>
      </c>
      <c r="BD426" s="56">
        <f t="shared" si="28"/>
        <v>981142853</v>
      </c>
      <c r="BE426" s="56">
        <f t="shared" si="29"/>
        <v>974184393</v>
      </c>
      <c r="BF426" s="56">
        <f t="shared" si="30"/>
        <v>967225933</v>
      </c>
      <c r="BG426" s="56">
        <f t="shared" si="31"/>
        <v>960267473</v>
      </c>
      <c r="BH426" s="56">
        <f t="shared" si="32"/>
        <v>953309013</v>
      </c>
      <c r="BI426" s="56">
        <f t="shared" si="33"/>
        <v>946350553</v>
      </c>
      <c r="BJ426" s="56">
        <f t="shared" si="34"/>
        <v>939392093</v>
      </c>
      <c r="BK426" s="56">
        <f t="shared" si="35"/>
        <v>932433633</v>
      </c>
      <c r="BL426" s="56">
        <f t="shared" si="36"/>
        <v>925475173</v>
      </c>
      <c r="BM426" s="56">
        <f t="shared" si="37"/>
        <v>918516713</v>
      </c>
      <c r="BO426" s="55"/>
    </row>
    <row r="427" spans="3:67" s="49" customFormat="1" x14ac:dyDescent="0.3">
      <c r="C427" s="49" t="s">
        <v>1576</v>
      </c>
      <c r="D427" s="50" t="s">
        <v>338</v>
      </c>
      <c r="E427" s="50" t="str">
        <f t="shared" si="21"/>
        <v>211</v>
      </c>
      <c r="F427" s="49" t="str">
        <f>_xlfn.XLOOKUP($D427,MD_Account_Asset_Type[Nhóm tài sản],MD_Account_Asset_Type[Tên Nhóm tài sản])</f>
        <v>Máy móc, thiết bị - SX 627</v>
      </c>
      <c r="G427" s="49" t="str">
        <f>_xlfn.XLOOKUP($D427,MD_Account_Asset_Type[Nhóm tài sản],MD_Account_Asset_Type[Tên nhóm TS-Rút gọn])</f>
        <v>Máy móc thiết bị</v>
      </c>
      <c r="H427" s="49" t="str">
        <f>_xlfn.XLOOKUP($D427,MD_Account_Asset_Type[Nhóm tài sản],MD_Account_Asset_Type[Tên nhóm TS-Rút gọn-v2])</f>
        <v>Máy móc thiết bị</v>
      </c>
      <c r="I427" s="51" t="s">
        <v>1295</v>
      </c>
      <c r="J427" s="50" t="s">
        <v>1297</v>
      </c>
      <c r="K427" s="49" t="s">
        <v>1357</v>
      </c>
      <c r="L427" s="50" t="s">
        <v>70</v>
      </c>
      <c r="M427" s="50" t="s">
        <v>145</v>
      </c>
      <c r="N427" s="52" t="s">
        <v>263</v>
      </c>
      <c r="O427" s="52"/>
      <c r="P427" s="49" t="s">
        <v>462</v>
      </c>
      <c r="Q427" s="49" t="str">
        <f t="shared" si="20"/>
        <v>627</v>
      </c>
      <c r="R427" s="49" t="str">
        <f>_xlfn.XLOOKUP($L427,MD_Cost_Center[Mã Cost Center],MD_Cost_Center[Ngành])</f>
        <v>PET</v>
      </c>
      <c r="S427" s="49" t="str">
        <f>_xlfn.XLOOKUP($L427,MD_Cost_Center[Mã Cost Center],MD_Cost_Center[Ngành-Tách PET-Xơ sợi])</f>
        <v>Chung-PET</v>
      </c>
      <c r="T427" s="53">
        <v>46023</v>
      </c>
      <c r="U427" s="54">
        <v>49675</v>
      </c>
      <c r="V427" s="55">
        <v>144</v>
      </c>
      <c r="W427" s="55">
        <v>24614634398</v>
      </c>
      <c r="X427" s="55">
        <f t="shared" si="40"/>
        <v>-170934961</v>
      </c>
      <c r="Y427" s="55">
        <f t="shared" si="38"/>
        <v>24614634398</v>
      </c>
      <c r="Z427" s="55">
        <f t="shared" si="38"/>
        <v>24614634398</v>
      </c>
      <c r="AA427" s="55">
        <f t="shared" si="38"/>
        <v>24614634398</v>
      </c>
      <c r="AB427" s="55">
        <f t="shared" si="38"/>
        <v>24614634398</v>
      </c>
      <c r="AC427" s="55">
        <f t="shared" si="38"/>
        <v>24614634398</v>
      </c>
      <c r="AD427" s="55">
        <f t="shared" si="38"/>
        <v>24614634398</v>
      </c>
      <c r="AE427" s="55">
        <f t="shared" si="38"/>
        <v>24614634398</v>
      </c>
      <c r="AF427" s="55">
        <f t="shared" si="38"/>
        <v>24614634398</v>
      </c>
      <c r="AG427" s="55">
        <f t="shared" si="38"/>
        <v>24614634398</v>
      </c>
      <c r="AH427" s="55">
        <f t="shared" si="38"/>
        <v>24614634398</v>
      </c>
      <c r="AI427" s="55">
        <f t="shared" si="38"/>
        <v>24614634398</v>
      </c>
      <c r="AJ427" s="55">
        <f t="shared" si="38"/>
        <v>24614634398</v>
      </c>
      <c r="AK427" s="55">
        <f t="shared" si="38"/>
        <v>24614634398</v>
      </c>
      <c r="AL427" s="55"/>
      <c r="AM427" s="55">
        <v>0</v>
      </c>
      <c r="AN427" s="55">
        <f t="shared" si="39"/>
        <v>-170934961</v>
      </c>
      <c r="AO427" s="55">
        <f t="shared" si="39"/>
        <v>-170934961</v>
      </c>
      <c r="AP427" s="55">
        <f t="shared" si="39"/>
        <v>-170934961</v>
      </c>
      <c r="AQ427" s="55">
        <f t="shared" si="39"/>
        <v>-170934961</v>
      </c>
      <c r="AR427" s="55">
        <f t="shared" si="39"/>
        <v>-170934961</v>
      </c>
      <c r="AS427" s="55">
        <f t="shared" si="39"/>
        <v>-170934961</v>
      </c>
      <c r="AT427" s="55">
        <f t="shared" si="39"/>
        <v>-170934961</v>
      </c>
      <c r="AU427" s="55">
        <f t="shared" si="39"/>
        <v>-170934961</v>
      </c>
      <c r="AV427" s="55">
        <f t="shared" si="39"/>
        <v>-170934961</v>
      </c>
      <c r="AW427" s="55">
        <f t="shared" si="39"/>
        <v>-170934961</v>
      </c>
      <c r="AX427" s="55">
        <f t="shared" si="39"/>
        <v>-170934961</v>
      </c>
      <c r="AY427" s="55">
        <f t="shared" si="39"/>
        <v>-170934961</v>
      </c>
      <c r="AZ427" s="59">
        <f t="shared" si="41"/>
        <v>-2051219532</v>
      </c>
      <c r="BA427" s="55">
        <f t="shared" si="25"/>
        <v>24614634398</v>
      </c>
      <c r="BB427" s="56">
        <f t="shared" si="26"/>
        <v>24443699437</v>
      </c>
      <c r="BC427" s="56">
        <f t="shared" si="27"/>
        <v>24272764476</v>
      </c>
      <c r="BD427" s="56">
        <f t="shared" si="28"/>
        <v>24101829515</v>
      </c>
      <c r="BE427" s="56">
        <f t="shared" si="29"/>
        <v>23930894554</v>
      </c>
      <c r="BF427" s="56">
        <f t="shared" si="30"/>
        <v>23759959593</v>
      </c>
      <c r="BG427" s="56">
        <f t="shared" si="31"/>
        <v>23589024632</v>
      </c>
      <c r="BH427" s="56">
        <f t="shared" si="32"/>
        <v>23418089671</v>
      </c>
      <c r="BI427" s="56">
        <f t="shared" si="33"/>
        <v>23247154710</v>
      </c>
      <c r="BJ427" s="56">
        <f t="shared" si="34"/>
        <v>23076219749</v>
      </c>
      <c r="BK427" s="56">
        <f t="shared" si="35"/>
        <v>22905284788</v>
      </c>
      <c r="BL427" s="56">
        <f t="shared" si="36"/>
        <v>22734349827</v>
      </c>
      <c r="BM427" s="56">
        <f t="shared" si="37"/>
        <v>22563414866</v>
      </c>
      <c r="BO427" s="55"/>
    </row>
    <row r="428" spans="3:67" s="49" customFormat="1" x14ac:dyDescent="0.3">
      <c r="C428" s="49" t="s">
        <v>1576</v>
      </c>
      <c r="D428" s="50" t="s">
        <v>338</v>
      </c>
      <c r="E428" s="50" t="str">
        <f t="shared" si="21"/>
        <v>211</v>
      </c>
      <c r="F428" s="49" t="str">
        <f>_xlfn.XLOOKUP($D428,MD_Account_Asset_Type[Nhóm tài sản],MD_Account_Asset_Type[Tên Nhóm tài sản])</f>
        <v>Máy móc, thiết bị - SX 627</v>
      </c>
      <c r="G428" s="49" t="str">
        <f>_xlfn.XLOOKUP($D428,MD_Account_Asset_Type[Nhóm tài sản],MD_Account_Asset_Type[Tên nhóm TS-Rút gọn])</f>
        <v>Máy móc thiết bị</v>
      </c>
      <c r="H428" s="49" t="str">
        <f>_xlfn.XLOOKUP($D428,MD_Account_Asset_Type[Nhóm tài sản],MD_Account_Asset_Type[Tên nhóm TS-Rút gọn-v2])</f>
        <v>Máy móc thiết bị</v>
      </c>
      <c r="I428" s="51" t="s">
        <v>1296</v>
      </c>
      <c r="J428" s="50" t="s">
        <v>1298</v>
      </c>
      <c r="K428" s="49" t="s">
        <v>1357</v>
      </c>
      <c r="L428" s="50" t="s">
        <v>71</v>
      </c>
      <c r="M428" s="50" t="s">
        <v>146</v>
      </c>
      <c r="N428" s="52" t="s">
        <v>264</v>
      </c>
      <c r="O428" s="52"/>
      <c r="P428" s="49" t="s">
        <v>462</v>
      </c>
      <c r="Q428" s="49" t="str">
        <f t="shared" si="20"/>
        <v>627</v>
      </c>
      <c r="R428" s="49" t="str">
        <f>_xlfn.XLOOKUP($L428,MD_Cost_Center[Mã Cost Center],MD_Cost_Center[Ngành])</f>
        <v>PET</v>
      </c>
      <c r="S428" s="49" t="str">
        <f>_xlfn.XLOOKUP($L428,MD_Cost_Center[Mã Cost Center],MD_Cost_Center[Ngành-Tách PET-Xơ sợi])</f>
        <v>Chung-PET</v>
      </c>
      <c r="T428" s="53">
        <v>46023</v>
      </c>
      <c r="U428" s="54">
        <v>49675</v>
      </c>
      <c r="V428" s="55">
        <v>144</v>
      </c>
      <c r="W428" s="55">
        <v>24614634398</v>
      </c>
      <c r="X428" s="55">
        <f t="shared" si="40"/>
        <v>-170934961</v>
      </c>
      <c r="Y428" s="55">
        <f t="shared" si="38"/>
        <v>24614634398</v>
      </c>
      <c r="Z428" s="55">
        <f t="shared" si="38"/>
        <v>24614634398</v>
      </c>
      <c r="AA428" s="55">
        <f t="shared" si="38"/>
        <v>24614634398</v>
      </c>
      <c r="AB428" s="55">
        <f t="shared" si="38"/>
        <v>24614634398</v>
      </c>
      <c r="AC428" s="55">
        <f t="shared" si="38"/>
        <v>24614634398</v>
      </c>
      <c r="AD428" s="55">
        <f t="shared" si="38"/>
        <v>24614634398</v>
      </c>
      <c r="AE428" s="55">
        <f t="shared" si="38"/>
        <v>24614634398</v>
      </c>
      <c r="AF428" s="55">
        <f t="shared" si="38"/>
        <v>24614634398</v>
      </c>
      <c r="AG428" s="55">
        <f t="shared" si="38"/>
        <v>24614634398</v>
      </c>
      <c r="AH428" s="55">
        <f t="shared" si="38"/>
        <v>24614634398</v>
      </c>
      <c r="AI428" s="55">
        <f t="shared" si="38"/>
        <v>24614634398</v>
      </c>
      <c r="AJ428" s="55">
        <f t="shared" si="38"/>
        <v>24614634398</v>
      </c>
      <c r="AK428" s="55">
        <f t="shared" si="38"/>
        <v>24614634398</v>
      </c>
      <c r="AL428" s="55"/>
      <c r="AM428" s="55">
        <v>0</v>
      </c>
      <c r="AN428" s="55">
        <f t="shared" si="39"/>
        <v>-170934961</v>
      </c>
      <c r="AO428" s="55">
        <f t="shared" si="39"/>
        <v>-170934961</v>
      </c>
      <c r="AP428" s="55">
        <f t="shared" si="39"/>
        <v>-170934961</v>
      </c>
      <c r="AQ428" s="55">
        <f t="shared" si="39"/>
        <v>-170934961</v>
      </c>
      <c r="AR428" s="55">
        <f t="shared" si="39"/>
        <v>-170934961</v>
      </c>
      <c r="AS428" s="55">
        <f t="shared" si="39"/>
        <v>-170934961</v>
      </c>
      <c r="AT428" s="55">
        <f t="shared" si="39"/>
        <v>-170934961</v>
      </c>
      <c r="AU428" s="55">
        <f t="shared" si="39"/>
        <v>-170934961</v>
      </c>
      <c r="AV428" s="55">
        <f t="shared" si="39"/>
        <v>-170934961</v>
      </c>
      <c r="AW428" s="55">
        <f t="shared" si="39"/>
        <v>-170934961</v>
      </c>
      <c r="AX428" s="55">
        <f t="shared" si="39"/>
        <v>-170934961</v>
      </c>
      <c r="AY428" s="55">
        <f t="shared" si="39"/>
        <v>-170934961</v>
      </c>
      <c r="AZ428" s="59">
        <f t="shared" si="41"/>
        <v>-2051219532</v>
      </c>
      <c r="BA428" s="55">
        <f t="shared" si="25"/>
        <v>24614634398</v>
      </c>
      <c r="BB428" s="56">
        <f t="shared" si="26"/>
        <v>24443699437</v>
      </c>
      <c r="BC428" s="56">
        <f t="shared" si="27"/>
        <v>24272764476</v>
      </c>
      <c r="BD428" s="56">
        <f t="shared" si="28"/>
        <v>24101829515</v>
      </c>
      <c r="BE428" s="56">
        <f t="shared" si="29"/>
        <v>23930894554</v>
      </c>
      <c r="BF428" s="56">
        <f t="shared" si="30"/>
        <v>23759959593</v>
      </c>
      <c r="BG428" s="56">
        <f t="shared" si="31"/>
        <v>23589024632</v>
      </c>
      <c r="BH428" s="56">
        <f t="shared" si="32"/>
        <v>23418089671</v>
      </c>
      <c r="BI428" s="56">
        <f t="shared" si="33"/>
        <v>23247154710</v>
      </c>
      <c r="BJ428" s="56">
        <f t="shared" si="34"/>
        <v>23076219749</v>
      </c>
      <c r="BK428" s="56">
        <f t="shared" si="35"/>
        <v>22905284788</v>
      </c>
      <c r="BL428" s="56">
        <f t="shared" si="36"/>
        <v>22734349827</v>
      </c>
      <c r="BM428" s="56">
        <f t="shared" si="37"/>
        <v>22563414866</v>
      </c>
      <c r="BO428" s="55"/>
    </row>
    <row r="429" spans="3:67" s="49" customFormat="1" x14ac:dyDescent="0.3">
      <c r="C429" s="49" t="s">
        <v>1576</v>
      </c>
      <c r="D429" s="50" t="s">
        <v>338</v>
      </c>
      <c r="E429" s="50" t="str">
        <f t="shared" si="21"/>
        <v>211</v>
      </c>
      <c r="F429" s="49" t="str">
        <f>_xlfn.XLOOKUP($D429,MD_Account_Asset_Type[Nhóm tài sản],MD_Account_Asset_Type[Tên Nhóm tài sản])</f>
        <v>Máy móc, thiết bị - SX 627</v>
      </c>
      <c r="G429" s="49" t="str">
        <f>_xlfn.XLOOKUP($D429,MD_Account_Asset_Type[Nhóm tài sản],MD_Account_Asset_Type[Tên nhóm TS-Rút gọn])</f>
        <v>Máy móc thiết bị</v>
      </c>
      <c r="H429" s="49" t="str">
        <f>_xlfn.XLOOKUP($D429,MD_Account_Asset_Type[Nhóm tài sản],MD_Account_Asset_Type[Tên nhóm TS-Rút gọn-v2])</f>
        <v>Máy móc thiết bị</v>
      </c>
      <c r="I429" s="51" t="s">
        <v>1299</v>
      </c>
      <c r="J429" s="50" t="s">
        <v>1301</v>
      </c>
      <c r="K429" s="49" t="s">
        <v>1357</v>
      </c>
      <c r="L429" s="50" t="s">
        <v>51</v>
      </c>
      <c r="M429" s="50" t="s">
        <v>126</v>
      </c>
      <c r="N429" s="52" t="s">
        <v>244</v>
      </c>
      <c r="O429" s="52"/>
      <c r="P429" s="49" t="s">
        <v>462</v>
      </c>
      <c r="Q429" s="49" t="str">
        <f t="shared" si="20"/>
        <v>627</v>
      </c>
      <c r="R429" s="49" t="str">
        <f>_xlfn.XLOOKUP($L429,MD_Cost_Center[Mã Cost Center],MD_Cost_Center[Ngành])</f>
        <v>PET</v>
      </c>
      <c r="S429" s="49" t="str">
        <f>_xlfn.XLOOKUP($L429,MD_Cost_Center[Mã Cost Center],MD_Cost_Center[Ngành-Tách PET-Xơ sợi])</f>
        <v>Chung-PET</v>
      </c>
      <c r="T429" s="53">
        <v>46023</v>
      </c>
      <c r="U429" s="54">
        <v>47849</v>
      </c>
      <c r="V429" s="55">
        <v>144</v>
      </c>
      <c r="W429" s="55">
        <v>2638142335</v>
      </c>
      <c r="X429" s="55">
        <f t="shared" si="40"/>
        <v>-18320433</v>
      </c>
      <c r="Y429" s="55">
        <f t="shared" si="38"/>
        <v>2638142335</v>
      </c>
      <c r="Z429" s="55">
        <f t="shared" si="38"/>
        <v>2638142335</v>
      </c>
      <c r="AA429" s="55">
        <f t="shared" si="38"/>
        <v>2638142335</v>
      </c>
      <c r="AB429" s="55">
        <f t="shared" si="38"/>
        <v>2638142335</v>
      </c>
      <c r="AC429" s="55">
        <f t="shared" si="38"/>
        <v>2638142335</v>
      </c>
      <c r="AD429" s="55">
        <f t="shared" si="38"/>
        <v>2638142335</v>
      </c>
      <c r="AE429" s="55">
        <f t="shared" si="38"/>
        <v>2638142335</v>
      </c>
      <c r="AF429" s="55">
        <f t="shared" si="38"/>
        <v>2638142335</v>
      </c>
      <c r="AG429" s="55">
        <f t="shared" si="38"/>
        <v>2638142335</v>
      </c>
      <c r="AH429" s="55">
        <f t="shared" si="38"/>
        <v>2638142335</v>
      </c>
      <c r="AI429" s="55">
        <f t="shared" si="38"/>
        <v>2638142335</v>
      </c>
      <c r="AJ429" s="55">
        <f t="shared" si="38"/>
        <v>2638142335</v>
      </c>
      <c r="AK429" s="55">
        <f t="shared" si="38"/>
        <v>2638142335</v>
      </c>
      <c r="AL429" s="55"/>
      <c r="AM429" s="55">
        <v>0</v>
      </c>
      <c r="AN429" s="55">
        <f t="shared" si="39"/>
        <v>-18320433</v>
      </c>
      <c r="AO429" s="55">
        <f t="shared" si="39"/>
        <v>-18320433</v>
      </c>
      <c r="AP429" s="55">
        <f t="shared" si="39"/>
        <v>-18320433</v>
      </c>
      <c r="AQ429" s="55">
        <f t="shared" si="39"/>
        <v>-18320433</v>
      </c>
      <c r="AR429" s="55">
        <f t="shared" si="39"/>
        <v>-18320433</v>
      </c>
      <c r="AS429" s="55">
        <f t="shared" si="39"/>
        <v>-18320433</v>
      </c>
      <c r="AT429" s="55">
        <f t="shared" si="39"/>
        <v>-18320433</v>
      </c>
      <c r="AU429" s="55">
        <f t="shared" si="39"/>
        <v>-18320433</v>
      </c>
      <c r="AV429" s="55">
        <f t="shared" si="39"/>
        <v>-18320433</v>
      </c>
      <c r="AW429" s="55">
        <f t="shared" si="39"/>
        <v>-18320433</v>
      </c>
      <c r="AX429" s="55">
        <f t="shared" si="39"/>
        <v>-18320433</v>
      </c>
      <c r="AY429" s="55">
        <f t="shared" si="39"/>
        <v>-18320433</v>
      </c>
      <c r="AZ429" s="59">
        <f t="shared" si="41"/>
        <v>-219845196</v>
      </c>
      <c r="BA429" s="55">
        <f t="shared" si="25"/>
        <v>2638142335</v>
      </c>
      <c r="BB429" s="56">
        <f t="shared" si="26"/>
        <v>2619821902</v>
      </c>
      <c r="BC429" s="56">
        <f t="shared" si="27"/>
        <v>2601501469</v>
      </c>
      <c r="BD429" s="56">
        <f t="shared" si="28"/>
        <v>2583181036</v>
      </c>
      <c r="BE429" s="56">
        <f t="shared" si="29"/>
        <v>2564860603</v>
      </c>
      <c r="BF429" s="56">
        <f t="shared" si="30"/>
        <v>2546540170</v>
      </c>
      <c r="BG429" s="56">
        <f t="shared" si="31"/>
        <v>2528219737</v>
      </c>
      <c r="BH429" s="56">
        <f t="shared" si="32"/>
        <v>2509899304</v>
      </c>
      <c r="BI429" s="56">
        <f t="shared" si="33"/>
        <v>2491578871</v>
      </c>
      <c r="BJ429" s="56">
        <f t="shared" si="34"/>
        <v>2473258438</v>
      </c>
      <c r="BK429" s="56">
        <f t="shared" si="35"/>
        <v>2454938005</v>
      </c>
      <c r="BL429" s="56">
        <f t="shared" si="36"/>
        <v>2436617572</v>
      </c>
      <c r="BM429" s="56">
        <f t="shared" si="37"/>
        <v>2418297139</v>
      </c>
      <c r="BO429" s="55"/>
    </row>
    <row r="430" spans="3:67" s="49" customFormat="1" x14ac:dyDescent="0.3">
      <c r="C430" s="49" t="s">
        <v>1576</v>
      </c>
      <c r="D430" s="50" t="s">
        <v>338</v>
      </c>
      <c r="E430" s="50" t="str">
        <f t="shared" si="21"/>
        <v>211</v>
      </c>
      <c r="F430" s="49" t="str">
        <f>_xlfn.XLOOKUP($D430,MD_Account_Asset_Type[Nhóm tài sản],MD_Account_Asset_Type[Tên Nhóm tài sản])</f>
        <v>Máy móc, thiết bị - SX 627</v>
      </c>
      <c r="G430" s="49" t="str">
        <f>_xlfn.XLOOKUP($D430,MD_Account_Asset_Type[Nhóm tài sản],MD_Account_Asset_Type[Tên nhóm TS-Rút gọn])</f>
        <v>Máy móc thiết bị</v>
      </c>
      <c r="H430" s="49" t="str">
        <f>_xlfn.XLOOKUP($D430,MD_Account_Asset_Type[Nhóm tài sản],MD_Account_Asset_Type[Tên nhóm TS-Rút gọn-v2])</f>
        <v>Máy móc thiết bị</v>
      </c>
      <c r="I430" s="51" t="s">
        <v>1300</v>
      </c>
      <c r="J430" s="50" t="s">
        <v>1302</v>
      </c>
      <c r="K430" s="49" t="s">
        <v>1357</v>
      </c>
      <c r="L430" s="50" t="s">
        <v>64</v>
      </c>
      <c r="M430" s="50" t="s">
        <v>139</v>
      </c>
      <c r="N430" s="52" t="s">
        <v>257</v>
      </c>
      <c r="O430" s="52"/>
      <c r="P430" s="49" t="s">
        <v>462</v>
      </c>
      <c r="Q430" s="49" t="str">
        <f t="shared" si="20"/>
        <v>627</v>
      </c>
      <c r="R430" s="49" t="str">
        <f>_xlfn.XLOOKUP($L430,MD_Cost_Center[Mã Cost Center],MD_Cost_Center[Ngành])</f>
        <v>PET</v>
      </c>
      <c r="S430" s="49" t="str">
        <f>_xlfn.XLOOKUP($L430,MD_Cost_Center[Mã Cost Center],MD_Cost_Center[Ngành-Tách PET-Xơ sợi])</f>
        <v>Chung-PET</v>
      </c>
      <c r="T430" s="53">
        <v>46023</v>
      </c>
      <c r="U430" s="54">
        <v>47849</v>
      </c>
      <c r="V430" s="55">
        <v>144</v>
      </c>
      <c r="W430" s="55">
        <v>2638142335</v>
      </c>
      <c r="X430" s="55">
        <f t="shared" si="40"/>
        <v>-18320433</v>
      </c>
      <c r="Y430" s="55">
        <f t="shared" si="38"/>
        <v>2638142335</v>
      </c>
      <c r="Z430" s="55">
        <f t="shared" si="38"/>
        <v>2638142335</v>
      </c>
      <c r="AA430" s="55">
        <f t="shared" si="38"/>
        <v>2638142335</v>
      </c>
      <c r="AB430" s="55">
        <f t="shared" si="38"/>
        <v>2638142335</v>
      </c>
      <c r="AC430" s="55">
        <f t="shared" si="38"/>
        <v>2638142335</v>
      </c>
      <c r="AD430" s="55">
        <f t="shared" si="38"/>
        <v>2638142335</v>
      </c>
      <c r="AE430" s="55">
        <f t="shared" si="38"/>
        <v>2638142335</v>
      </c>
      <c r="AF430" s="55">
        <f t="shared" si="38"/>
        <v>2638142335</v>
      </c>
      <c r="AG430" s="55">
        <f t="shared" si="38"/>
        <v>2638142335</v>
      </c>
      <c r="AH430" s="55">
        <f t="shared" si="38"/>
        <v>2638142335</v>
      </c>
      <c r="AI430" s="55">
        <f t="shared" si="38"/>
        <v>2638142335</v>
      </c>
      <c r="AJ430" s="55">
        <f t="shared" si="38"/>
        <v>2638142335</v>
      </c>
      <c r="AK430" s="55">
        <f t="shared" si="38"/>
        <v>2638142335</v>
      </c>
      <c r="AL430" s="55"/>
      <c r="AM430" s="55">
        <v>0</v>
      </c>
      <c r="AN430" s="55">
        <f t="shared" si="39"/>
        <v>-18320433</v>
      </c>
      <c r="AO430" s="55">
        <f t="shared" si="39"/>
        <v>-18320433</v>
      </c>
      <c r="AP430" s="55">
        <f t="shared" si="39"/>
        <v>-18320433</v>
      </c>
      <c r="AQ430" s="55">
        <f t="shared" si="39"/>
        <v>-18320433</v>
      </c>
      <c r="AR430" s="55">
        <f t="shared" si="39"/>
        <v>-18320433</v>
      </c>
      <c r="AS430" s="55">
        <f t="shared" si="39"/>
        <v>-18320433</v>
      </c>
      <c r="AT430" s="55">
        <f t="shared" si="39"/>
        <v>-18320433</v>
      </c>
      <c r="AU430" s="55">
        <f t="shared" si="39"/>
        <v>-18320433</v>
      </c>
      <c r="AV430" s="55">
        <f t="shared" si="39"/>
        <v>-18320433</v>
      </c>
      <c r="AW430" s="55">
        <f t="shared" si="39"/>
        <v>-18320433</v>
      </c>
      <c r="AX430" s="55">
        <f t="shared" si="39"/>
        <v>-18320433</v>
      </c>
      <c r="AY430" s="55">
        <f t="shared" si="39"/>
        <v>-18320433</v>
      </c>
      <c r="AZ430" s="59">
        <f t="shared" si="41"/>
        <v>-219845196</v>
      </c>
      <c r="BA430" s="55">
        <f t="shared" si="25"/>
        <v>2638142335</v>
      </c>
      <c r="BB430" s="56">
        <f t="shared" si="26"/>
        <v>2619821902</v>
      </c>
      <c r="BC430" s="56">
        <f t="shared" si="27"/>
        <v>2601501469</v>
      </c>
      <c r="BD430" s="56">
        <f t="shared" si="28"/>
        <v>2583181036</v>
      </c>
      <c r="BE430" s="56">
        <f t="shared" si="29"/>
        <v>2564860603</v>
      </c>
      <c r="BF430" s="56">
        <f t="shared" si="30"/>
        <v>2546540170</v>
      </c>
      <c r="BG430" s="56">
        <f t="shared" si="31"/>
        <v>2528219737</v>
      </c>
      <c r="BH430" s="56">
        <f t="shared" si="32"/>
        <v>2509899304</v>
      </c>
      <c r="BI430" s="56">
        <f t="shared" si="33"/>
        <v>2491578871</v>
      </c>
      <c r="BJ430" s="56">
        <f t="shared" si="34"/>
        <v>2473258438</v>
      </c>
      <c r="BK430" s="56">
        <f t="shared" si="35"/>
        <v>2454938005</v>
      </c>
      <c r="BL430" s="56">
        <f t="shared" si="36"/>
        <v>2436617572</v>
      </c>
      <c r="BM430" s="56">
        <f t="shared" si="37"/>
        <v>2418297139</v>
      </c>
      <c r="BO430" s="55"/>
    </row>
    <row r="431" spans="3:67" s="49" customFormat="1" x14ac:dyDescent="0.3">
      <c r="C431" s="49" t="s">
        <v>1576</v>
      </c>
      <c r="D431" s="50" t="s">
        <v>338</v>
      </c>
      <c r="E431" s="50" t="str">
        <f t="shared" si="21"/>
        <v>211</v>
      </c>
      <c r="F431" s="49" t="str">
        <f>_xlfn.XLOOKUP($D431,MD_Account_Asset_Type[Nhóm tài sản],MD_Account_Asset_Type[Tên Nhóm tài sản])</f>
        <v>Máy móc, thiết bị - SX 627</v>
      </c>
      <c r="G431" s="49" t="str">
        <f>_xlfn.XLOOKUP($D431,MD_Account_Asset_Type[Nhóm tài sản],MD_Account_Asset_Type[Tên nhóm TS-Rút gọn])</f>
        <v>Máy móc thiết bị</v>
      </c>
      <c r="H431" s="49" t="str">
        <f>_xlfn.XLOOKUP($D431,MD_Account_Asset_Type[Nhóm tài sản],MD_Account_Asset_Type[Tên nhóm TS-Rút gọn-v2])</f>
        <v>Máy móc thiết bị</v>
      </c>
      <c r="I431" s="51" t="s">
        <v>1272</v>
      </c>
      <c r="J431" s="50" t="s">
        <v>1245</v>
      </c>
      <c r="K431" s="49" t="s">
        <v>1357</v>
      </c>
      <c r="L431" s="50" t="s">
        <v>77</v>
      </c>
      <c r="M431" s="50" t="s">
        <v>152</v>
      </c>
      <c r="N431" s="52" t="s">
        <v>270</v>
      </c>
      <c r="O431" s="52"/>
      <c r="P431" s="49" t="s">
        <v>462</v>
      </c>
      <c r="Q431" s="49" t="str">
        <f t="shared" si="20"/>
        <v>627</v>
      </c>
      <c r="R431" s="49" t="str">
        <f>_xlfn.XLOOKUP($L431,MD_Cost_Center[Mã Cost Center],MD_Cost_Center[Ngành])</f>
        <v>HD/PP</v>
      </c>
      <c r="S431" s="49" t="str">
        <f>_xlfn.XLOOKUP($L431,MD_Cost_Center[Mã Cost Center],MD_Cost_Center[Ngành-Tách PET-Xơ sợi])</f>
        <v>HD/PP</v>
      </c>
      <c r="T431" s="53">
        <v>46023</v>
      </c>
      <c r="U431" s="54">
        <v>47849</v>
      </c>
      <c r="V431" s="55">
        <v>144</v>
      </c>
      <c r="W431" s="55">
        <v>2696300000</v>
      </c>
      <c r="X431" s="55">
        <f t="shared" si="40"/>
        <v>-18724306</v>
      </c>
      <c r="Y431" s="55">
        <f t="shared" si="38"/>
        <v>2696300000</v>
      </c>
      <c r="Z431" s="55">
        <f t="shared" si="38"/>
        <v>2696300000</v>
      </c>
      <c r="AA431" s="55">
        <f t="shared" si="38"/>
        <v>2696300000</v>
      </c>
      <c r="AB431" s="55">
        <f t="shared" si="38"/>
        <v>2696300000</v>
      </c>
      <c r="AC431" s="55">
        <f t="shared" si="38"/>
        <v>2696300000</v>
      </c>
      <c r="AD431" s="55">
        <f t="shared" si="38"/>
        <v>2696300000</v>
      </c>
      <c r="AE431" s="55">
        <f t="shared" si="38"/>
        <v>2696300000</v>
      </c>
      <c r="AF431" s="55">
        <f t="shared" si="38"/>
        <v>2696300000</v>
      </c>
      <c r="AG431" s="55">
        <f t="shared" si="38"/>
        <v>2696300000</v>
      </c>
      <c r="AH431" s="55">
        <f t="shared" si="38"/>
        <v>2696300000</v>
      </c>
      <c r="AI431" s="55">
        <f t="shared" si="38"/>
        <v>2696300000</v>
      </c>
      <c r="AJ431" s="55">
        <f t="shared" si="38"/>
        <v>2696300000</v>
      </c>
      <c r="AK431" s="55">
        <f t="shared" si="38"/>
        <v>2696300000</v>
      </c>
      <c r="AL431" s="55"/>
      <c r="AM431" s="55">
        <v>0</v>
      </c>
      <c r="AN431" s="55">
        <f t="shared" si="39"/>
        <v>-18724306</v>
      </c>
      <c r="AO431" s="55">
        <f t="shared" si="39"/>
        <v>-18724306</v>
      </c>
      <c r="AP431" s="55">
        <f t="shared" si="39"/>
        <v>-18724306</v>
      </c>
      <c r="AQ431" s="55">
        <f t="shared" si="39"/>
        <v>-18724306</v>
      </c>
      <c r="AR431" s="55">
        <f t="shared" si="39"/>
        <v>-18724306</v>
      </c>
      <c r="AS431" s="55">
        <f t="shared" si="39"/>
        <v>-18724306</v>
      </c>
      <c r="AT431" s="55">
        <f t="shared" si="39"/>
        <v>-18724306</v>
      </c>
      <c r="AU431" s="55">
        <f t="shared" si="39"/>
        <v>-18724306</v>
      </c>
      <c r="AV431" s="55">
        <f t="shared" si="39"/>
        <v>-18724306</v>
      </c>
      <c r="AW431" s="55">
        <f t="shared" si="39"/>
        <v>-18724306</v>
      </c>
      <c r="AX431" s="55">
        <f t="shared" si="39"/>
        <v>-18724306</v>
      </c>
      <c r="AY431" s="55">
        <f t="shared" si="39"/>
        <v>-18724306</v>
      </c>
      <c r="AZ431" s="59">
        <f t="shared" si="41"/>
        <v>-224691672</v>
      </c>
      <c r="BA431" s="55">
        <f t="shared" si="25"/>
        <v>2696300000</v>
      </c>
      <c r="BB431" s="56">
        <f t="shared" si="26"/>
        <v>2677575694</v>
      </c>
      <c r="BC431" s="56">
        <f t="shared" si="27"/>
        <v>2658851388</v>
      </c>
      <c r="BD431" s="56">
        <f t="shared" si="28"/>
        <v>2640127082</v>
      </c>
      <c r="BE431" s="56">
        <f t="shared" si="29"/>
        <v>2621402776</v>
      </c>
      <c r="BF431" s="56">
        <f t="shared" si="30"/>
        <v>2602678470</v>
      </c>
      <c r="BG431" s="56">
        <f t="shared" si="31"/>
        <v>2583954164</v>
      </c>
      <c r="BH431" s="56">
        <f t="shared" si="32"/>
        <v>2565229858</v>
      </c>
      <c r="BI431" s="56">
        <f t="shared" si="33"/>
        <v>2546505552</v>
      </c>
      <c r="BJ431" s="56">
        <f t="shared" si="34"/>
        <v>2527781246</v>
      </c>
      <c r="BK431" s="56">
        <f t="shared" si="35"/>
        <v>2509056940</v>
      </c>
      <c r="BL431" s="56">
        <f t="shared" si="36"/>
        <v>2490332634</v>
      </c>
      <c r="BM431" s="56">
        <f t="shared" si="37"/>
        <v>2471608328</v>
      </c>
      <c r="BO431" s="55"/>
    </row>
    <row r="432" spans="3:67" s="49" customFormat="1" x14ac:dyDescent="0.3">
      <c r="C432" s="49" t="s">
        <v>1576</v>
      </c>
      <c r="D432" s="50" t="s">
        <v>338</v>
      </c>
      <c r="E432" s="50" t="str">
        <f t="shared" si="21"/>
        <v>211</v>
      </c>
      <c r="F432" s="49" t="str">
        <f>_xlfn.XLOOKUP($D432,MD_Account_Asset_Type[Nhóm tài sản],MD_Account_Asset_Type[Tên Nhóm tài sản])</f>
        <v>Máy móc, thiết bị - SX 627</v>
      </c>
      <c r="G432" s="49" t="str">
        <f>_xlfn.XLOOKUP($D432,MD_Account_Asset_Type[Nhóm tài sản],MD_Account_Asset_Type[Tên nhóm TS-Rút gọn])</f>
        <v>Máy móc thiết bị</v>
      </c>
      <c r="H432" s="49" t="str">
        <f>_xlfn.XLOOKUP($D432,MD_Account_Asset_Type[Nhóm tài sản],MD_Account_Asset_Type[Tên nhóm TS-Rút gọn-v2])</f>
        <v>Máy móc thiết bị</v>
      </c>
      <c r="I432" s="51" t="s">
        <v>1273</v>
      </c>
      <c r="J432" s="50" t="s">
        <v>1246</v>
      </c>
      <c r="K432" s="49" t="s">
        <v>1357</v>
      </c>
      <c r="L432" s="50" t="s">
        <v>77</v>
      </c>
      <c r="M432" s="50" t="s">
        <v>152</v>
      </c>
      <c r="N432" s="52" t="s">
        <v>270</v>
      </c>
      <c r="O432" s="52"/>
      <c r="P432" s="49" t="s">
        <v>462</v>
      </c>
      <c r="Q432" s="49" t="str">
        <f t="shared" si="20"/>
        <v>627</v>
      </c>
      <c r="R432" s="49" t="str">
        <f>_xlfn.XLOOKUP($L432,MD_Cost_Center[Mã Cost Center],MD_Cost_Center[Ngành])</f>
        <v>HD/PP</v>
      </c>
      <c r="S432" s="49" t="str">
        <f>_xlfn.XLOOKUP($L432,MD_Cost_Center[Mã Cost Center],MD_Cost_Center[Ngành-Tách PET-Xơ sợi])</f>
        <v>HD/PP</v>
      </c>
      <c r="T432" s="53">
        <v>46023</v>
      </c>
      <c r="U432" s="54">
        <v>47849</v>
      </c>
      <c r="V432" s="55">
        <v>144</v>
      </c>
      <c r="W432" s="55">
        <v>2157866667</v>
      </c>
      <c r="X432" s="55">
        <f t="shared" si="40"/>
        <v>-14985185</v>
      </c>
      <c r="Y432" s="55">
        <f t="shared" si="38"/>
        <v>2157866667</v>
      </c>
      <c r="Z432" s="55">
        <f t="shared" si="38"/>
        <v>2157866667</v>
      </c>
      <c r="AA432" s="55">
        <f t="shared" si="38"/>
        <v>2157866667</v>
      </c>
      <c r="AB432" s="55">
        <f t="shared" si="38"/>
        <v>2157866667</v>
      </c>
      <c r="AC432" s="55">
        <f t="shared" si="38"/>
        <v>2157866667</v>
      </c>
      <c r="AD432" s="55">
        <f t="shared" si="38"/>
        <v>2157866667</v>
      </c>
      <c r="AE432" s="55">
        <f t="shared" si="38"/>
        <v>2157866667</v>
      </c>
      <c r="AF432" s="55">
        <f t="shared" si="38"/>
        <v>2157866667</v>
      </c>
      <c r="AG432" s="55">
        <f t="shared" si="38"/>
        <v>2157866667</v>
      </c>
      <c r="AH432" s="55">
        <f t="shared" si="38"/>
        <v>2157866667</v>
      </c>
      <c r="AI432" s="55">
        <f t="shared" si="38"/>
        <v>2157866667</v>
      </c>
      <c r="AJ432" s="55">
        <f t="shared" si="38"/>
        <v>2157866667</v>
      </c>
      <c r="AK432" s="55">
        <f t="shared" si="38"/>
        <v>2157866667</v>
      </c>
      <c r="AL432" s="55"/>
      <c r="AM432" s="55">
        <v>0</v>
      </c>
      <c r="AN432" s="55">
        <f t="shared" si="39"/>
        <v>-14985185</v>
      </c>
      <c r="AO432" s="55">
        <f t="shared" si="39"/>
        <v>-14985185</v>
      </c>
      <c r="AP432" s="55">
        <f t="shared" si="39"/>
        <v>-14985185</v>
      </c>
      <c r="AQ432" s="55">
        <f t="shared" si="39"/>
        <v>-14985185</v>
      </c>
      <c r="AR432" s="55">
        <f t="shared" si="39"/>
        <v>-14985185</v>
      </c>
      <c r="AS432" s="55">
        <f t="shared" si="39"/>
        <v>-14985185</v>
      </c>
      <c r="AT432" s="55">
        <f t="shared" si="39"/>
        <v>-14985185</v>
      </c>
      <c r="AU432" s="55">
        <f t="shared" si="39"/>
        <v>-14985185</v>
      </c>
      <c r="AV432" s="55">
        <f t="shared" si="39"/>
        <v>-14985185</v>
      </c>
      <c r="AW432" s="55">
        <f t="shared" si="39"/>
        <v>-14985185</v>
      </c>
      <c r="AX432" s="55">
        <f t="shared" si="39"/>
        <v>-14985185</v>
      </c>
      <c r="AY432" s="55">
        <f t="shared" si="39"/>
        <v>-14985185</v>
      </c>
      <c r="AZ432" s="59">
        <f t="shared" si="41"/>
        <v>-179822220</v>
      </c>
      <c r="BA432" s="55">
        <f t="shared" si="25"/>
        <v>2157866667</v>
      </c>
      <c r="BB432" s="56">
        <f t="shared" si="26"/>
        <v>2142881482</v>
      </c>
      <c r="BC432" s="56">
        <f t="shared" si="27"/>
        <v>2127896297</v>
      </c>
      <c r="BD432" s="56">
        <f t="shared" si="28"/>
        <v>2112911112</v>
      </c>
      <c r="BE432" s="56">
        <f t="shared" si="29"/>
        <v>2097925927</v>
      </c>
      <c r="BF432" s="56">
        <f t="shared" si="30"/>
        <v>2082940742</v>
      </c>
      <c r="BG432" s="56">
        <f t="shared" si="31"/>
        <v>2067955557</v>
      </c>
      <c r="BH432" s="56">
        <f t="shared" si="32"/>
        <v>2052970372</v>
      </c>
      <c r="BI432" s="56">
        <f t="shared" si="33"/>
        <v>2037985187</v>
      </c>
      <c r="BJ432" s="56">
        <f t="shared" si="34"/>
        <v>2023000002</v>
      </c>
      <c r="BK432" s="56">
        <f t="shared" si="35"/>
        <v>2008014817</v>
      </c>
      <c r="BL432" s="56">
        <f t="shared" si="36"/>
        <v>1993029632</v>
      </c>
      <c r="BM432" s="56">
        <f t="shared" si="37"/>
        <v>1978044447</v>
      </c>
      <c r="BO432" s="55"/>
    </row>
    <row r="433" spans="3:67" s="49" customFormat="1" x14ac:dyDescent="0.3">
      <c r="C433" s="49" t="s">
        <v>1576</v>
      </c>
      <c r="D433" s="50" t="s">
        <v>338</v>
      </c>
      <c r="E433" s="50" t="str">
        <f t="shared" si="21"/>
        <v>211</v>
      </c>
      <c r="F433" s="49" t="str">
        <f>_xlfn.XLOOKUP($D433,MD_Account_Asset_Type[Nhóm tài sản],MD_Account_Asset_Type[Tên Nhóm tài sản])</f>
        <v>Máy móc, thiết bị - SX 627</v>
      </c>
      <c r="G433" s="49" t="str">
        <f>_xlfn.XLOOKUP($D433,MD_Account_Asset_Type[Nhóm tài sản],MD_Account_Asset_Type[Tên nhóm TS-Rút gọn])</f>
        <v>Máy móc thiết bị</v>
      </c>
      <c r="H433" s="49" t="str">
        <f>_xlfn.XLOOKUP($D433,MD_Account_Asset_Type[Nhóm tài sản],MD_Account_Asset_Type[Tên nhóm TS-Rút gọn-v2])</f>
        <v>Máy móc thiết bị</v>
      </c>
      <c r="I433" s="51" t="s">
        <v>1274</v>
      </c>
      <c r="J433" s="50" t="s">
        <v>1247</v>
      </c>
      <c r="K433" s="49" t="s">
        <v>1357</v>
      </c>
      <c r="L433" s="50" t="s">
        <v>77</v>
      </c>
      <c r="M433" s="50" t="s">
        <v>152</v>
      </c>
      <c r="N433" s="52" t="s">
        <v>270</v>
      </c>
      <c r="O433" s="52"/>
      <c r="P433" s="49" t="s">
        <v>462</v>
      </c>
      <c r="Q433" s="49" t="str">
        <f t="shared" si="20"/>
        <v>627</v>
      </c>
      <c r="R433" s="49" t="str">
        <f>_xlfn.XLOOKUP($L433,MD_Cost_Center[Mã Cost Center],MD_Cost_Center[Ngành])</f>
        <v>HD/PP</v>
      </c>
      <c r="S433" s="49" t="str">
        <f>_xlfn.XLOOKUP($L433,MD_Cost_Center[Mã Cost Center],MD_Cost_Center[Ngành-Tách PET-Xơ sợi])</f>
        <v>HD/PP</v>
      </c>
      <c r="T433" s="53">
        <v>46023</v>
      </c>
      <c r="U433" s="54">
        <v>47849</v>
      </c>
      <c r="V433" s="55">
        <v>144</v>
      </c>
      <c r="W433" s="55">
        <v>2052960000</v>
      </c>
      <c r="X433" s="55">
        <f t="shared" si="40"/>
        <v>-14256667</v>
      </c>
      <c r="Y433" s="55">
        <f t="shared" si="38"/>
        <v>2052960000</v>
      </c>
      <c r="Z433" s="55">
        <f t="shared" si="38"/>
        <v>2052960000</v>
      </c>
      <c r="AA433" s="55">
        <f t="shared" si="38"/>
        <v>2052960000</v>
      </c>
      <c r="AB433" s="55">
        <f t="shared" si="38"/>
        <v>2052960000</v>
      </c>
      <c r="AC433" s="55">
        <f t="shared" si="38"/>
        <v>2052960000</v>
      </c>
      <c r="AD433" s="55">
        <f t="shared" si="38"/>
        <v>2052960000</v>
      </c>
      <c r="AE433" s="55">
        <f t="shared" si="38"/>
        <v>2052960000</v>
      </c>
      <c r="AF433" s="55">
        <f t="shared" si="38"/>
        <v>2052960000</v>
      </c>
      <c r="AG433" s="55">
        <f t="shared" si="38"/>
        <v>2052960000</v>
      </c>
      <c r="AH433" s="55">
        <f t="shared" si="38"/>
        <v>2052960000</v>
      </c>
      <c r="AI433" s="55">
        <f t="shared" si="38"/>
        <v>2052960000</v>
      </c>
      <c r="AJ433" s="55">
        <f t="shared" si="38"/>
        <v>2052960000</v>
      </c>
      <c r="AK433" s="55">
        <f t="shared" si="38"/>
        <v>2052960000</v>
      </c>
      <c r="AL433" s="55"/>
      <c r="AM433" s="55">
        <v>0</v>
      </c>
      <c r="AN433" s="55">
        <f t="shared" si="39"/>
        <v>-14256667</v>
      </c>
      <c r="AO433" s="55">
        <f t="shared" si="39"/>
        <v>-14256667</v>
      </c>
      <c r="AP433" s="55">
        <f t="shared" si="39"/>
        <v>-14256667</v>
      </c>
      <c r="AQ433" s="55">
        <f t="shared" si="39"/>
        <v>-14256667</v>
      </c>
      <c r="AR433" s="55">
        <f t="shared" si="39"/>
        <v>-14256667</v>
      </c>
      <c r="AS433" s="55">
        <f t="shared" si="39"/>
        <v>-14256667</v>
      </c>
      <c r="AT433" s="55">
        <f t="shared" si="39"/>
        <v>-14256667</v>
      </c>
      <c r="AU433" s="55">
        <f t="shared" si="39"/>
        <v>-14256667</v>
      </c>
      <c r="AV433" s="55">
        <f t="shared" si="39"/>
        <v>-14256667</v>
      </c>
      <c r="AW433" s="55">
        <f t="shared" si="39"/>
        <v>-14256667</v>
      </c>
      <c r="AX433" s="55">
        <f t="shared" si="39"/>
        <v>-14256667</v>
      </c>
      <c r="AY433" s="55">
        <f t="shared" si="39"/>
        <v>-14256667</v>
      </c>
      <c r="AZ433" s="59">
        <f t="shared" si="41"/>
        <v>-171080004</v>
      </c>
      <c r="BA433" s="55">
        <f t="shared" si="25"/>
        <v>2052960000</v>
      </c>
      <c r="BB433" s="56">
        <f t="shared" si="26"/>
        <v>2038703333</v>
      </c>
      <c r="BC433" s="56">
        <f t="shared" si="27"/>
        <v>2024446666</v>
      </c>
      <c r="BD433" s="56">
        <f t="shared" si="28"/>
        <v>2010189999</v>
      </c>
      <c r="BE433" s="56">
        <f t="shared" si="29"/>
        <v>1995933332</v>
      </c>
      <c r="BF433" s="56">
        <f t="shared" si="30"/>
        <v>1981676665</v>
      </c>
      <c r="BG433" s="56">
        <f t="shared" si="31"/>
        <v>1967419998</v>
      </c>
      <c r="BH433" s="56">
        <f t="shared" si="32"/>
        <v>1953163331</v>
      </c>
      <c r="BI433" s="56">
        <f t="shared" si="33"/>
        <v>1938906664</v>
      </c>
      <c r="BJ433" s="56">
        <f t="shared" si="34"/>
        <v>1924649997</v>
      </c>
      <c r="BK433" s="56">
        <f t="shared" si="35"/>
        <v>1910393330</v>
      </c>
      <c r="BL433" s="56">
        <f t="shared" si="36"/>
        <v>1896136663</v>
      </c>
      <c r="BM433" s="56">
        <f t="shared" si="37"/>
        <v>1881879996</v>
      </c>
      <c r="BO433" s="55"/>
    </row>
    <row r="434" spans="3:67" s="49" customFormat="1" x14ac:dyDescent="0.3">
      <c r="C434" s="49" t="s">
        <v>1576</v>
      </c>
      <c r="D434" s="50" t="s">
        <v>338</v>
      </c>
      <c r="E434" s="50" t="str">
        <f t="shared" si="21"/>
        <v>211</v>
      </c>
      <c r="F434" s="49" t="str">
        <f>_xlfn.XLOOKUP($D434,MD_Account_Asset_Type[Nhóm tài sản],MD_Account_Asset_Type[Tên Nhóm tài sản])</f>
        <v>Máy móc, thiết bị - SX 627</v>
      </c>
      <c r="G434" s="49" t="str">
        <f>_xlfn.XLOOKUP($D434,MD_Account_Asset_Type[Nhóm tài sản],MD_Account_Asset_Type[Tên nhóm TS-Rút gọn])</f>
        <v>Máy móc thiết bị</v>
      </c>
      <c r="H434" s="49" t="str">
        <f>_xlfn.XLOOKUP($D434,MD_Account_Asset_Type[Nhóm tài sản],MD_Account_Asset_Type[Tên nhóm TS-Rút gọn-v2])</f>
        <v>Máy móc thiết bị</v>
      </c>
      <c r="I434" s="51" t="s">
        <v>1275</v>
      </c>
      <c r="J434" s="50" t="s">
        <v>1248</v>
      </c>
      <c r="K434" s="49" t="s">
        <v>1357</v>
      </c>
      <c r="L434" s="50" t="s">
        <v>74</v>
      </c>
      <c r="M434" s="50" t="s">
        <v>149</v>
      </c>
      <c r="N434" s="52" t="s">
        <v>267</v>
      </c>
      <c r="O434" s="52"/>
      <c r="P434" s="49" t="s">
        <v>462</v>
      </c>
      <c r="Q434" s="49" t="str">
        <f t="shared" si="20"/>
        <v>627</v>
      </c>
      <c r="R434" s="49" t="str">
        <f>_xlfn.XLOOKUP($L434,MD_Cost_Center[Mã Cost Center],MD_Cost_Center[Ngành])</f>
        <v>PET</v>
      </c>
      <c r="S434" s="49" t="str">
        <f>_xlfn.XLOOKUP($L434,MD_Cost_Center[Mã Cost Center],MD_Cost_Center[Ngành-Tách PET-Xơ sợi])</f>
        <v>Xơ sợi</v>
      </c>
      <c r="T434" s="53">
        <v>46023</v>
      </c>
      <c r="U434" s="54">
        <v>48945</v>
      </c>
      <c r="V434" s="55">
        <v>144</v>
      </c>
      <c r="W434" s="55">
        <v>9371349453</v>
      </c>
      <c r="X434" s="55">
        <f t="shared" si="40"/>
        <v>-65078816</v>
      </c>
      <c r="Y434" s="55">
        <f t="shared" si="38"/>
        <v>9371349453</v>
      </c>
      <c r="Z434" s="55">
        <f t="shared" si="38"/>
        <v>9371349453</v>
      </c>
      <c r="AA434" s="55">
        <f t="shared" si="38"/>
        <v>9371349453</v>
      </c>
      <c r="AB434" s="55">
        <f t="shared" si="38"/>
        <v>9371349453</v>
      </c>
      <c r="AC434" s="55">
        <f t="shared" si="38"/>
        <v>9371349453</v>
      </c>
      <c r="AD434" s="55">
        <f t="shared" si="38"/>
        <v>9371349453</v>
      </c>
      <c r="AE434" s="55">
        <f t="shared" si="38"/>
        <v>9371349453</v>
      </c>
      <c r="AF434" s="55">
        <f t="shared" si="38"/>
        <v>9371349453</v>
      </c>
      <c r="AG434" s="55">
        <f t="shared" si="38"/>
        <v>9371349453</v>
      </c>
      <c r="AH434" s="55">
        <f t="shared" si="38"/>
        <v>9371349453</v>
      </c>
      <c r="AI434" s="55">
        <f t="shared" si="38"/>
        <v>9371349453</v>
      </c>
      <c r="AJ434" s="55">
        <f t="shared" si="38"/>
        <v>9371349453</v>
      </c>
      <c r="AK434" s="55">
        <f t="shared" si="38"/>
        <v>9371349453</v>
      </c>
      <c r="AL434" s="55"/>
      <c r="AM434" s="55">
        <v>0</v>
      </c>
      <c r="AN434" s="55">
        <f t="shared" si="39"/>
        <v>-65078816</v>
      </c>
      <c r="AO434" s="55">
        <f t="shared" si="39"/>
        <v>-65078816</v>
      </c>
      <c r="AP434" s="55">
        <f t="shared" si="39"/>
        <v>-65078816</v>
      </c>
      <c r="AQ434" s="55">
        <f t="shared" si="39"/>
        <v>-65078816</v>
      </c>
      <c r="AR434" s="55">
        <f t="shared" si="39"/>
        <v>-65078816</v>
      </c>
      <c r="AS434" s="55">
        <f t="shared" si="39"/>
        <v>-65078816</v>
      </c>
      <c r="AT434" s="55">
        <f t="shared" si="39"/>
        <v>-65078816</v>
      </c>
      <c r="AU434" s="55">
        <f t="shared" si="39"/>
        <v>-65078816</v>
      </c>
      <c r="AV434" s="55">
        <f t="shared" si="39"/>
        <v>-65078816</v>
      </c>
      <c r="AW434" s="55">
        <f t="shared" si="39"/>
        <v>-65078816</v>
      </c>
      <c r="AX434" s="55">
        <f t="shared" si="39"/>
        <v>-65078816</v>
      </c>
      <c r="AY434" s="55">
        <f t="shared" si="39"/>
        <v>-65078816</v>
      </c>
      <c r="AZ434" s="59">
        <f t="shared" si="41"/>
        <v>-780945792</v>
      </c>
      <c r="BA434" s="55">
        <f t="shared" si="25"/>
        <v>9371349453</v>
      </c>
      <c r="BB434" s="56">
        <f t="shared" si="26"/>
        <v>9306270637</v>
      </c>
      <c r="BC434" s="56">
        <f t="shared" si="27"/>
        <v>9241191821</v>
      </c>
      <c r="BD434" s="56">
        <f t="shared" si="28"/>
        <v>9176113005</v>
      </c>
      <c r="BE434" s="56">
        <f t="shared" si="29"/>
        <v>9111034189</v>
      </c>
      <c r="BF434" s="56">
        <f t="shared" si="30"/>
        <v>9045955373</v>
      </c>
      <c r="BG434" s="56">
        <f t="shared" si="31"/>
        <v>8980876557</v>
      </c>
      <c r="BH434" s="56">
        <f t="shared" si="32"/>
        <v>8915797741</v>
      </c>
      <c r="BI434" s="56">
        <f t="shared" si="33"/>
        <v>8850718925</v>
      </c>
      <c r="BJ434" s="56">
        <f t="shared" si="34"/>
        <v>8785640109</v>
      </c>
      <c r="BK434" s="56">
        <f t="shared" si="35"/>
        <v>8720561293</v>
      </c>
      <c r="BL434" s="56">
        <f t="shared" si="36"/>
        <v>8655482477</v>
      </c>
      <c r="BM434" s="56">
        <f t="shared" si="37"/>
        <v>8590403661</v>
      </c>
      <c r="BO434" s="55"/>
    </row>
    <row r="435" spans="3:67" s="49" customFormat="1" x14ac:dyDescent="0.3">
      <c r="C435" s="49" t="s">
        <v>1576</v>
      </c>
      <c r="D435" s="50" t="s">
        <v>338</v>
      </c>
      <c r="E435" s="50" t="str">
        <f t="shared" si="21"/>
        <v>211</v>
      </c>
      <c r="F435" s="49" t="str">
        <f>_xlfn.XLOOKUP($D435,MD_Account_Asset_Type[Nhóm tài sản],MD_Account_Asset_Type[Tên Nhóm tài sản])</f>
        <v>Máy móc, thiết bị - SX 627</v>
      </c>
      <c r="G435" s="49" t="str">
        <f>_xlfn.XLOOKUP($D435,MD_Account_Asset_Type[Nhóm tài sản],MD_Account_Asset_Type[Tên nhóm TS-Rút gọn])</f>
        <v>Máy móc thiết bị</v>
      </c>
      <c r="H435" s="49" t="str">
        <f>_xlfn.XLOOKUP($D435,MD_Account_Asset_Type[Nhóm tài sản],MD_Account_Asset_Type[Tên nhóm TS-Rút gọn-v2])</f>
        <v>Máy móc thiết bị</v>
      </c>
      <c r="I435" s="51" t="s">
        <v>1276</v>
      </c>
      <c r="J435" s="50" t="s">
        <v>1249</v>
      </c>
      <c r="K435" s="49" t="s">
        <v>1357</v>
      </c>
      <c r="L435" s="50" t="s">
        <v>74</v>
      </c>
      <c r="M435" s="50" t="s">
        <v>149</v>
      </c>
      <c r="N435" s="52" t="s">
        <v>267</v>
      </c>
      <c r="O435" s="52"/>
      <c r="P435" s="49" t="s">
        <v>462</v>
      </c>
      <c r="Q435" s="49" t="str">
        <f t="shared" si="20"/>
        <v>627</v>
      </c>
      <c r="R435" s="49" t="str">
        <f>_xlfn.XLOOKUP($L435,MD_Cost_Center[Mã Cost Center],MD_Cost_Center[Ngành])</f>
        <v>PET</v>
      </c>
      <c r="S435" s="49" t="str">
        <f>_xlfn.XLOOKUP($L435,MD_Cost_Center[Mã Cost Center],MD_Cost_Center[Ngành-Tách PET-Xơ sợi])</f>
        <v>Xơ sợi</v>
      </c>
      <c r="T435" s="53">
        <v>46023</v>
      </c>
      <c r="U435" s="54">
        <v>47849</v>
      </c>
      <c r="V435" s="55">
        <v>144</v>
      </c>
      <c r="W435" s="55">
        <v>247730890</v>
      </c>
      <c r="X435" s="55">
        <f t="shared" si="40"/>
        <v>-1720353</v>
      </c>
      <c r="Y435" s="55">
        <f t="shared" si="38"/>
        <v>247730890</v>
      </c>
      <c r="Z435" s="55">
        <f t="shared" si="38"/>
        <v>247730890</v>
      </c>
      <c r="AA435" s="55">
        <f t="shared" si="38"/>
        <v>247730890</v>
      </c>
      <c r="AB435" s="55">
        <f t="shared" si="38"/>
        <v>247730890</v>
      </c>
      <c r="AC435" s="55">
        <f t="shared" si="38"/>
        <v>247730890</v>
      </c>
      <c r="AD435" s="55">
        <f t="shared" si="38"/>
        <v>247730890</v>
      </c>
      <c r="AE435" s="55">
        <f t="shared" ref="Z435:AK450" si="42">IF($T435-1&lt;=AE$6,$W435,0)</f>
        <v>247730890</v>
      </c>
      <c r="AF435" s="55">
        <f t="shared" si="42"/>
        <v>247730890</v>
      </c>
      <c r="AG435" s="55">
        <f t="shared" si="42"/>
        <v>247730890</v>
      </c>
      <c r="AH435" s="55">
        <f t="shared" si="42"/>
        <v>247730890</v>
      </c>
      <c r="AI435" s="55">
        <f t="shared" si="42"/>
        <v>247730890</v>
      </c>
      <c r="AJ435" s="55">
        <f t="shared" si="42"/>
        <v>247730890</v>
      </c>
      <c r="AK435" s="55">
        <f t="shared" si="42"/>
        <v>247730890</v>
      </c>
      <c r="AL435" s="55"/>
      <c r="AM435" s="55">
        <v>0</v>
      </c>
      <c r="AN435" s="55">
        <f t="shared" si="39"/>
        <v>-1720353</v>
      </c>
      <c r="AO435" s="55">
        <f t="shared" si="39"/>
        <v>-1720353</v>
      </c>
      <c r="AP435" s="55">
        <f t="shared" si="39"/>
        <v>-1720353</v>
      </c>
      <c r="AQ435" s="55">
        <f t="shared" si="39"/>
        <v>-1720353</v>
      </c>
      <c r="AR435" s="55">
        <f t="shared" si="39"/>
        <v>-1720353</v>
      </c>
      <c r="AS435" s="55">
        <f t="shared" si="39"/>
        <v>-1720353</v>
      </c>
      <c r="AT435" s="55">
        <f t="shared" si="39"/>
        <v>-1720353</v>
      </c>
      <c r="AU435" s="55">
        <f t="shared" si="39"/>
        <v>-1720353</v>
      </c>
      <c r="AV435" s="55">
        <f t="shared" si="39"/>
        <v>-1720353</v>
      </c>
      <c r="AW435" s="55">
        <f t="shared" si="39"/>
        <v>-1720353</v>
      </c>
      <c r="AX435" s="55">
        <f t="shared" si="39"/>
        <v>-1720353</v>
      </c>
      <c r="AY435" s="55">
        <f t="shared" si="39"/>
        <v>-1720353</v>
      </c>
      <c r="AZ435" s="59">
        <f t="shared" si="41"/>
        <v>-20644236</v>
      </c>
      <c r="BA435" s="55">
        <f t="shared" si="25"/>
        <v>247730890</v>
      </c>
      <c r="BB435" s="56">
        <f t="shared" si="26"/>
        <v>246010537</v>
      </c>
      <c r="BC435" s="56">
        <f t="shared" si="27"/>
        <v>244290184</v>
      </c>
      <c r="BD435" s="56">
        <f t="shared" si="28"/>
        <v>242569831</v>
      </c>
      <c r="BE435" s="56">
        <f t="shared" si="29"/>
        <v>240849478</v>
      </c>
      <c r="BF435" s="56">
        <f t="shared" si="30"/>
        <v>239129125</v>
      </c>
      <c r="BG435" s="56">
        <f t="shared" si="31"/>
        <v>237408772</v>
      </c>
      <c r="BH435" s="56">
        <f t="shared" si="32"/>
        <v>235688419</v>
      </c>
      <c r="BI435" s="56">
        <f t="shared" si="33"/>
        <v>233968066</v>
      </c>
      <c r="BJ435" s="56">
        <f t="shared" si="34"/>
        <v>232247713</v>
      </c>
      <c r="BK435" s="56">
        <f t="shared" si="35"/>
        <v>230527360</v>
      </c>
      <c r="BL435" s="56">
        <f t="shared" si="36"/>
        <v>228807007</v>
      </c>
      <c r="BM435" s="56">
        <f t="shared" si="37"/>
        <v>227086654</v>
      </c>
      <c r="BO435" s="55"/>
    </row>
    <row r="436" spans="3:67" s="49" customFormat="1" x14ac:dyDescent="0.3">
      <c r="C436" s="49" t="s">
        <v>1576</v>
      </c>
      <c r="D436" s="50" t="s">
        <v>338</v>
      </c>
      <c r="E436" s="50" t="str">
        <f t="shared" si="21"/>
        <v>211</v>
      </c>
      <c r="F436" s="49" t="str">
        <f>_xlfn.XLOOKUP($D436,MD_Account_Asset_Type[Nhóm tài sản],MD_Account_Asset_Type[Tên Nhóm tài sản])</f>
        <v>Máy móc, thiết bị - SX 627</v>
      </c>
      <c r="G436" s="49" t="str">
        <f>_xlfn.XLOOKUP($D436,MD_Account_Asset_Type[Nhóm tài sản],MD_Account_Asset_Type[Tên nhóm TS-Rút gọn])</f>
        <v>Máy móc thiết bị</v>
      </c>
      <c r="H436" s="49" t="str">
        <f>_xlfn.XLOOKUP($D436,MD_Account_Asset_Type[Nhóm tài sản],MD_Account_Asset_Type[Tên nhóm TS-Rút gọn-v2])</f>
        <v>Máy móc thiết bị</v>
      </c>
      <c r="I436" s="51" t="s">
        <v>1277</v>
      </c>
      <c r="J436" s="50" t="s">
        <v>1250</v>
      </c>
      <c r="K436" s="49" t="s">
        <v>1357</v>
      </c>
      <c r="L436" s="50" t="s">
        <v>73</v>
      </c>
      <c r="M436" s="50" t="s">
        <v>148</v>
      </c>
      <c r="N436" s="52" t="s">
        <v>266</v>
      </c>
      <c r="O436" s="52"/>
      <c r="P436" s="49" t="s">
        <v>462</v>
      </c>
      <c r="Q436" s="49" t="str">
        <f t="shared" si="20"/>
        <v>627</v>
      </c>
      <c r="R436" s="49" t="str">
        <f>_xlfn.XLOOKUP($L436,MD_Cost_Center[Mã Cost Center],MD_Cost_Center[Ngành])</f>
        <v>HD/PP</v>
      </c>
      <c r="S436" s="49" t="str">
        <f>_xlfn.XLOOKUP($L436,MD_Cost_Center[Mã Cost Center],MD_Cost_Center[Ngành-Tách PET-Xơ sợi])</f>
        <v>HD/PP</v>
      </c>
      <c r="T436" s="53">
        <v>46023</v>
      </c>
      <c r="U436" s="54">
        <v>48945</v>
      </c>
      <c r="V436" s="55">
        <v>144</v>
      </c>
      <c r="W436" s="55">
        <v>8399805665</v>
      </c>
      <c r="X436" s="55">
        <f t="shared" si="40"/>
        <v>-58331984</v>
      </c>
      <c r="Y436" s="55">
        <f t="shared" ref="Y436:AK451" si="43">IF($T436-1&lt;=Y$6,$W436,0)</f>
        <v>8399805665</v>
      </c>
      <c r="Z436" s="55">
        <f t="shared" si="42"/>
        <v>8399805665</v>
      </c>
      <c r="AA436" s="55">
        <f t="shared" si="42"/>
        <v>8399805665</v>
      </c>
      <c r="AB436" s="55">
        <f t="shared" si="42"/>
        <v>8399805665</v>
      </c>
      <c r="AC436" s="55">
        <f t="shared" si="42"/>
        <v>8399805665</v>
      </c>
      <c r="AD436" s="55">
        <f t="shared" si="42"/>
        <v>8399805665</v>
      </c>
      <c r="AE436" s="55">
        <f t="shared" si="42"/>
        <v>8399805665</v>
      </c>
      <c r="AF436" s="55">
        <f t="shared" si="42"/>
        <v>8399805665</v>
      </c>
      <c r="AG436" s="55">
        <f t="shared" si="42"/>
        <v>8399805665</v>
      </c>
      <c r="AH436" s="55">
        <f t="shared" si="42"/>
        <v>8399805665</v>
      </c>
      <c r="AI436" s="55">
        <f t="shared" si="42"/>
        <v>8399805665</v>
      </c>
      <c r="AJ436" s="55">
        <f t="shared" si="42"/>
        <v>8399805665</v>
      </c>
      <c r="AK436" s="55">
        <f t="shared" si="42"/>
        <v>8399805665</v>
      </c>
      <c r="AL436" s="55"/>
      <c r="AM436" s="55">
        <v>0</v>
      </c>
      <c r="AN436" s="55">
        <f t="shared" si="39"/>
        <v>-58331984</v>
      </c>
      <c r="AO436" s="55">
        <f t="shared" si="39"/>
        <v>-58331984</v>
      </c>
      <c r="AP436" s="55">
        <f t="shared" si="39"/>
        <v>-58331984</v>
      </c>
      <c r="AQ436" s="55">
        <f t="shared" si="39"/>
        <v>-58331984</v>
      </c>
      <c r="AR436" s="55">
        <f t="shared" si="39"/>
        <v>-58331984</v>
      </c>
      <c r="AS436" s="55">
        <f t="shared" si="39"/>
        <v>-58331984</v>
      </c>
      <c r="AT436" s="55">
        <f t="shared" si="39"/>
        <v>-58331984</v>
      </c>
      <c r="AU436" s="55">
        <f t="shared" si="39"/>
        <v>-58331984</v>
      </c>
      <c r="AV436" s="55">
        <f t="shared" si="39"/>
        <v>-58331984</v>
      </c>
      <c r="AW436" s="55">
        <f t="shared" si="39"/>
        <v>-58331984</v>
      </c>
      <c r="AX436" s="55">
        <f t="shared" si="39"/>
        <v>-58331984</v>
      </c>
      <c r="AY436" s="55">
        <f t="shared" si="39"/>
        <v>-58331984</v>
      </c>
      <c r="AZ436" s="59">
        <f t="shared" si="41"/>
        <v>-699983808</v>
      </c>
      <c r="BA436" s="55">
        <f t="shared" si="25"/>
        <v>8399805665</v>
      </c>
      <c r="BB436" s="56">
        <f t="shared" si="26"/>
        <v>8341473681</v>
      </c>
      <c r="BC436" s="56">
        <f t="shared" si="27"/>
        <v>8283141697</v>
      </c>
      <c r="BD436" s="56">
        <f t="shared" si="28"/>
        <v>8224809713</v>
      </c>
      <c r="BE436" s="56">
        <f t="shared" si="29"/>
        <v>8166477729</v>
      </c>
      <c r="BF436" s="56">
        <f t="shared" si="30"/>
        <v>8108145745</v>
      </c>
      <c r="BG436" s="56">
        <f t="shared" si="31"/>
        <v>8049813761</v>
      </c>
      <c r="BH436" s="56">
        <f t="shared" si="32"/>
        <v>7991481777</v>
      </c>
      <c r="BI436" s="56">
        <f t="shared" si="33"/>
        <v>7933149793</v>
      </c>
      <c r="BJ436" s="56">
        <f t="shared" si="34"/>
        <v>7874817809</v>
      </c>
      <c r="BK436" s="56">
        <f t="shared" si="35"/>
        <v>7816485825</v>
      </c>
      <c r="BL436" s="56">
        <f t="shared" si="36"/>
        <v>7758153841</v>
      </c>
      <c r="BM436" s="56">
        <f t="shared" si="37"/>
        <v>7699821857</v>
      </c>
      <c r="BO436" s="55"/>
    </row>
    <row r="437" spans="3:67" s="49" customFormat="1" x14ac:dyDescent="0.3">
      <c r="C437" s="49" t="s">
        <v>1576</v>
      </c>
      <c r="D437" s="50" t="s">
        <v>338</v>
      </c>
      <c r="E437" s="50" t="str">
        <f t="shared" si="21"/>
        <v>211</v>
      </c>
      <c r="F437" s="49" t="str">
        <f>_xlfn.XLOOKUP($D437,MD_Account_Asset_Type[Nhóm tài sản],MD_Account_Asset_Type[Tên Nhóm tài sản])</f>
        <v>Máy móc, thiết bị - SX 627</v>
      </c>
      <c r="G437" s="49" t="str">
        <f>_xlfn.XLOOKUP($D437,MD_Account_Asset_Type[Nhóm tài sản],MD_Account_Asset_Type[Tên nhóm TS-Rút gọn])</f>
        <v>Máy móc thiết bị</v>
      </c>
      <c r="H437" s="49" t="str">
        <f>_xlfn.XLOOKUP($D437,MD_Account_Asset_Type[Nhóm tài sản],MD_Account_Asset_Type[Tên nhóm TS-Rút gọn-v2])</f>
        <v>Máy móc thiết bị</v>
      </c>
      <c r="I437" s="51" t="s">
        <v>1278</v>
      </c>
      <c r="J437" s="50" t="s">
        <v>1251</v>
      </c>
      <c r="K437" s="49" t="s">
        <v>1357</v>
      </c>
      <c r="L437" s="50" t="s">
        <v>73</v>
      </c>
      <c r="M437" s="50" t="s">
        <v>148</v>
      </c>
      <c r="N437" s="52" t="s">
        <v>266</v>
      </c>
      <c r="O437" s="52"/>
      <c r="P437" s="49" t="s">
        <v>462</v>
      </c>
      <c r="Q437" s="49" t="str">
        <f t="shared" si="20"/>
        <v>627</v>
      </c>
      <c r="R437" s="49" t="str">
        <f>_xlfn.XLOOKUP($L437,MD_Cost_Center[Mã Cost Center],MD_Cost_Center[Ngành])</f>
        <v>HD/PP</v>
      </c>
      <c r="S437" s="49" t="str">
        <f>_xlfn.XLOOKUP($L437,MD_Cost_Center[Mã Cost Center],MD_Cost_Center[Ngành-Tách PET-Xơ sợi])</f>
        <v>HD/PP</v>
      </c>
      <c r="T437" s="53">
        <v>46023</v>
      </c>
      <c r="U437" s="54">
        <v>47849</v>
      </c>
      <c r="V437" s="55">
        <v>144</v>
      </c>
      <c r="W437" s="55">
        <v>222048207</v>
      </c>
      <c r="X437" s="55">
        <f t="shared" si="40"/>
        <v>-1542001</v>
      </c>
      <c r="Y437" s="55">
        <f t="shared" si="43"/>
        <v>222048207</v>
      </c>
      <c r="Z437" s="55">
        <f t="shared" si="42"/>
        <v>222048207</v>
      </c>
      <c r="AA437" s="55">
        <f t="shared" si="42"/>
        <v>222048207</v>
      </c>
      <c r="AB437" s="55">
        <f t="shared" si="42"/>
        <v>222048207</v>
      </c>
      <c r="AC437" s="55">
        <f t="shared" si="42"/>
        <v>222048207</v>
      </c>
      <c r="AD437" s="55">
        <f t="shared" si="42"/>
        <v>222048207</v>
      </c>
      <c r="AE437" s="55">
        <f t="shared" si="42"/>
        <v>222048207</v>
      </c>
      <c r="AF437" s="55">
        <f t="shared" si="42"/>
        <v>222048207</v>
      </c>
      <c r="AG437" s="55">
        <f t="shared" si="42"/>
        <v>222048207</v>
      </c>
      <c r="AH437" s="55">
        <f t="shared" si="42"/>
        <v>222048207</v>
      </c>
      <c r="AI437" s="55">
        <f t="shared" si="42"/>
        <v>222048207</v>
      </c>
      <c r="AJ437" s="55">
        <f t="shared" si="42"/>
        <v>222048207</v>
      </c>
      <c r="AK437" s="55">
        <f t="shared" si="42"/>
        <v>222048207</v>
      </c>
      <c r="AL437" s="55"/>
      <c r="AM437" s="55">
        <v>0</v>
      </c>
      <c r="AN437" s="55">
        <f t="shared" ref="AN437:AY452" si="44">IF($T437&lt;AN$6,$X437,0)</f>
        <v>-1542001</v>
      </c>
      <c r="AO437" s="55">
        <f t="shared" si="44"/>
        <v>-1542001</v>
      </c>
      <c r="AP437" s="55">
        <f t="shared" si="44"/>
        <v>-1542001</v>
      </c>
      <c r="AQ437" s="55">
        <f t="shared" si="44"/>
        <v>-1542001</v>
      </c>
      <c r="AR437" s="55">
        <f t="shared" si="44"/>
        <v>-1542001</v>
      </c>
      <c r="AS437" s="55">
        <f t="shared" si="44"/>
        <v>-1542001</v>
      </c>
      <c r="AT437" s="55">
        <f t="shared" si="44"/>
        <v>-1542001</v>
      </c>
      <c r="AU437" s="55">
        <f t="shared" si="44"/>
        <v>-1542001</v>
      </c>
      <c r="AV437" s="55">
        <f t="shared" si="44"/>
        <v>-1542001</v>
      </c>
      <c r="AW437" s="55">
        <f t="shared" si="44"/>
        <v>-1542001</v>
      </c>
      <c r="AX437" s="55">
        <f t="shared" si="44"/>
        <v>-1542001</v>
      </c>
      <c r="AY437" s="55">
        <f t="shared" si="44"/>
        <v>-1542001</v>
      </c>
      <c r="AZ437" s="59">
        <f t="shared" si="41"/>
        <v>-18504012</v>
      </c>
      <c r="BA437" s="55">
        <f t="shared" si="25"/>
        <v>222048207</v>
      </c>
      <c r="BB437" s="56">
        <f t="shared" si="26"/>
        <v>220506206</v>
      </c>
      <c r="BC437" s="56">
        <f t="shared" si="27"/>
        <v>218964205</v>
      </c>
      <c r="BD437" s="56">
        <f t="shared" si="28"/>
        <v>217422204</v>
      </c>
      <c r="BE437" s="56">
        <f t="shared" si="29"/>
        <v>215880203</v>
      </c>
      <c r="BF437" s="56">
        <f t="shared" si="30"/>
        <v>214338202</v>
      </c>
      <c r="BG437" s="56">
        <f t="shared" si="31"/>
        <v>212796201</v>
      </c>
      <c r="BH437" s="56">
        <f t="shared" si="32"/>
        <v>211254200</v>
      </c>
      <c r="BI437" s="56">
        <f t="shared" si="33"/>
        <v>209712199</v>
      </c>
      <c r="BJ437" s="56">
        <f t="shared" si="34"/>
        <v>208170198</v>
      </c>
      <c r="BK437" s="56">
        <f t="shared" si="35"/>
        <v>206628197</v>
      </c>
      <c r="BL437" s="56">
        <f t="shared" si="36"/>
        <v>205086196</v>
      </c>
      <c r="BM437" s="56">
        <f t="shared" si="37"/>
        <v>203544195</v>
      </c>
      <c r="BO437" s="55"/>
    </row>
    <row r="438" spans="3:67" s="49" customFormat="1" x14ac:dyDescent="0.3">
      <c r="C438" s="49" t="s">
        <v>1576</v>
      </c>
      <c r="D438" s="50" t="s">
        <v>338</v>
      </c>
      <c r="E438" s="50" t="str">
        <f t="shared" si="21"/>
        <v>211</v>
      </c>
      <c r="F438" s="49" t="str">
        <f>_xlfn.XLOOKUP($D438,MD_Account_Asset_Type[Nhóm tài sản],MD_Account_Asset_Type[Tên Nhóm tài sản])</f>
        <v>Máy móc, thiết bị - SX 627</v>
      </c>
      <c r="G438" s="49" t="str">
        <f>_xlfn.XLOOKUP($D438,MD_Account_Asset_Type[Nhóm tài sản],MD_Account_Asset_Type[Tên nhóm TS-Rút gọn])</f>
        <v>Máy móc thiết bị</v>
      </c>
      <c r="H438" s="49" t="str">
        <f>_xlfn.XLOOKUP($D438,MD_Account_Asset_Type[Nhóm tài sản],MD_Account_Asset_Type[Tên nhóm TS-Rút gọn-v2])</f>
        <v>Máy móc thiết bị</v>
      </c>
      <c r="I438" s="51" t="s">
        <v>1279</v>
      </c>
      <c r="J438" s="50" t="s">
        <v>1250</v>
      </c>
      <c r="K438" s="49" t="s">
        <v>1357</v>
      </c>
      <c r="L438" s="50" t="s">
        <v>73</v>
      </c>
      <c r="M438" s="50" t="s">
        <v>148</v>
      </c>
      <c r="N438" s="52" t="s">
        <v>266</v>
      </c>
      <c r="O438" s="52"/>
      <c r="P438" s="49" t="s">
        <v>462</v>
      </c>
      <c r="Q438" s="49" t="str">
        <f t="shared" si="20"/>
        <v>627</v>
      </c>
      <c r="R438" s="49" t="str">
        <f>_xlfn.XLOOKUP($L438,MD_Cost_Center[Mã Cost Center],MD_Cost_Center[Ngành])</f>
        <v>HD/PP</v>
      </c>
      <c r="S438" s="49" t="str">
        <f>_xlfn.XLOOKUP($L438,MD_Cost_Center[Mã Cost Center],MD_Cost_Center[Ngành-Tách PET-Xơ sợi])</f>
        <v>HD/PP</v>
      </c>
      <c r="T438" s="53">
        <v>46023</v>
      </c>
      <c r="U438" s="54">
        <v>48945</v>
      </c>
      <c r="V438" s="55">
        <v>144</v>
      </c>
      <c r="W438" s="55">
        <v>8399805665</v>
      </c>
      <c r="X438" s="55">
        <f t="shared" si="40"/>
        <v>-58331984</v>
      </c>
      <c r="Y438" s="55">
        <f t="shared" si="43"/>
        <v>8399805665</v>
      </c>
      <c r="Z438" s="55">
        <f t="shared" si="42"/>
        <v>8399805665</v>
      </c>
      <c r="AA438" s="55">
        <f t="shared" si="42"/>
        <v>8399805665</v>
      </c>
      <c r="AB438" s="55">
        <f t="shared" si="42"/>
        <v>8399805665</v>
      </c>
      <c r="AC438" s="55">
        <f t="shared" si="42"/>
        <v>8399805665</v>
      </c>
      <c r="AD438" s="55">
        <f t="shared" si="42"/>
        <v>8399805665</v>
      </c>
      <c r="AE438" s="55">
        <f t="shared" si="42"/>
        <v>8399805665</v>
      </c>
      <c r="AF438" s="55">
        <f t="shared" si="42"/>
        <v>8399805665</v>
      </c>
      <c r="AG438" s="55">
        <f t="shared" si="42"/>
        <v>8399805665</v>
      </c>
      <c r="AH438" s="55">
        <f t="shared" si="42"/>
        <v>8399805665</v>
      </c>
      <c r="AI438" s="55">
        <f t="shared" si="42"/>
        <v>8399805665</v>
      </c>
      <c r="AJ438" s="55">
        <f t="shared" si="42"/>
        <v>8399805665</v>
      </c>
      <c r="AK438" s="55">
        <f t="shared" si="42"/>
        <v>8399805665</v>
      </c>
      <c r="AL438" s="55"/>
      <c r="AM438" s="55">
        <v>0</v>
      </c>
      <c r="AN438" s="55">
        <f t="shared" si="44"/>
        <v>-58331984</v>
      </c>
      <c r="AO438" s="55">
        <f t="shared" si="44"/>
        <v>-58331984</v>
      </c>
      <c r="AP438" s="55">
        <f t="shared" si="44"/>
        <v>-58331984</v>
      </c>
      <c r="AQ438" s="55">
        <f t="shared" si="44"/>
        <v>-58331984</v>
      </c>
      <c r="AR438" s="55">
        <f t="shared" si="44"/>
        <v>-58331984</v>
      </c>
      <c r="AS438" s="55">
        <f t="shared" si="44"/>
        <v>-58331984</v>
      </c>
      <c r="AT438" s="55">
        <f t="shared" si="44"/>
        <v>-58331984</v>
      </c>
      <c r="AU438" s="55">
        <f t="shared" si="44"/>
        <v>-58331984</v>
      </c>
      <c r="AV438" s="55">
        <f t="shared" si="44"/>
        <v>-58331984</v>
      </c>
      <c r="AW438" s="55">
        <f t="shared" si="44"/>
        <v>-58331984</v>
      </c>
      <c r="AX438" s="55">
        <f t="shared" si="44"/>
        <v>-58331984</v>
      </c>
      <c r="AY438" s="55">
        <f t="shared" si="44"/>
        <v>-58331984</v>
      </c>
      <c r="AZ438" s="59">
        <f t="shared" si="41"/>
        <v>-699983808</v>
      </c>
      <c r="BA438" s="55">
        <f t="shared" si="25"/>
        <v>8399805665</v>
      </c>
      <c r="BB438" s="56">
        <f t="shared" si="26"/>
        <v>8341473681</v>
      </c>
      <c r="BC438" s="56">
        <f t="shared" si="27"/>
        <v>8283141697</v>
      </c>
      <c r="BD438" s="56">
        <f t="shared" si="28"/>
        <v>8224809713</v>
      </c>
      <c r="BE438" s="56">
        <f t="shared" si="29"/>
        <v>8166477729</v>
      </c>
      <c r="BF438" s="56">
        <f t="shared" si="30"/>
        <v>8108145745</v>
      </c>
      <c r="BG438" s="56">
        <f t="shared" si="31"/>
        <v>8049813761</v>
      </c>
      <c r="BH438" s="56">
        <f t="shared" si="32"/>
        <v>7991481777</v>
      </c>
      <c r="BI438" s="56">
        <f t="shared" si="33"/>
        <v>7933149793</v>
      </c>
      <c r="BJ438" s="56">
        <f t="shared" si="34"/>
        <v>7874817809</v>
      </c>
      <c r="BK438" s="56">
        <f t="shared" si="35"/>
        <v>7816485825</v>
      </c>
      <c r="BL438" s="56">
        <f t="shared" si="36"/>
        <v>7758153841</v>
      </c>
      <c r="BM438" s="56">
        <f t="shared" si="37"/>
        <v>7699821857</v>
      </c>
      <c r="BO438" s="55"/>
    </row>
    <row r="439" spans="3:67" s="49" customFormat="1" x14ac:dyDescent="0.3">
      <c r="C439" s="49" t="s">
        <v>1576</v>
      </c>
      <c r="D439" s="50" t="s">
        <v>338</v>
      </c>
      <c r="E439" s="50" t="str">
        <f t="shared" si="21"/>
        <v>211</v>
      </c>
      <c r="F439" s="49" t="str">
        <f>_xlfn.XLOOKUP($D439,MD_Account_Asset_Type[Nhóm tài sản],MD_Account_Asset_Type[Tên Nhóm tài sản])</f>
        <v>Máy móc, thiết bị - SX 627</v>
      </c>
      <c r="G439" s="49" t="str">
        <f>_xlfn.XLOOKUP($D439,MD_Account_Asset_Type[Nhóm tài sản],MD_Account_Asset_Type[Tên nhóm TS-Rút gọn])</f>
        <v>Máy móc thiết bị</v>
      </c>
      <c r="H439" s="49" t="str">
        <f>_xlfn.XLOOKUP($D439,MD_Account_Asset_Type[Nhóm tài sản],MD_Account_Asset_Type[Tên nhóm TS-Rút gọn-v2])</f>
        <v>Máy móc thiết bị</v>
      </c>
      <c r="I439" s="51" t="s">
        <v>1280</v>
      </c>
      <c r="J439" s="50" t="s">
        <v>1252</v>
      </c>
      <c r="K439" s="49" t="s">
        <v>1357</v>
      </c>
      <c r="L439" s="50" t="s">
        <v>73</v>
      </c>
      <c r="M439" s="50" t="s">
        <v>148</v>
      </c>
      <c r="N439" s="52" t="s">
        <v>266</v>
      </c>
      <c r="O439" s="52"/>
      <c r="P439" s="49" t="s">
        <v>462</v>
      </c>
      <c r="Q439" s="49" t="str">
        <f t="shared" si="20"/>
        <v>627</v>
      </c>
      <c r="R439" s="49" t="str">
        <f>_xlfn.XLOOKUP($L439,MD_Cost_Center[Mã Cost Center],MD_Cost_Center[Ngành])</f>
        <v>HD/PP</v>
      </c>
      <c r="S439" s="49" t="str">
        <f>_xlfn.XLOOKUP($L439,MD_Cost_Center[Mã Cost Center],MD_Cost_Center[Ngành-Tách PET-Xơ sợi])</f>
        <v>HD/PP</v>
      </c>
      <c r="T439" s="53">
        <v>46023</v>
      </c>
      <c r="U439" s="54">
        <v>47849</v>
      </c>
      <c r="V439" s="55">
        <v>144</v>
      </c>
      <c r="W439" s="55">
        <v>222048207</v>
      </c>
      <c r="X439" s="55">
        <f t="shared" si="40"/>
        <v>-1542001</v>
      </c>
      <c r="Y439" s="55">
        <f t="shared" si="43"/>
        <v>222048207</v>
      </c>
      <c r="Z439" s="55">
        <f t="shared" si="42"/>
        <v>222048207</v>
      </c>
      <c r="AA439" s="55">
        <f t="shared" si="42"/>
        <v>222048207</v>
      </c>
      <c r="AB439" s="55">
        <f t="shared" si="42"/>
        <v>222048207</v>
      </c>
      <c r="AC439" s="55">
        <f t="shared" si="42"/>
        <v>222048207</v>
      </c>
      <c r="AD439" s="55">
        <f t="shared" si="42"/>
        <v>222048207</v>
      </c>
      <c r="AE439" s="55">
        <f t="shared" si="42"/>
        <v>222048207</v>
      </c>
      <c r="AF439" s="55">
        <f t="shared" si="42"/>
        <v>222048207</v>
      </c>
      <c r="AG439" s="55">
        <f t="shared" si="42"/>
        <v>222048207</v>
      </c>
      <c r="AH439" s="55">
        <f t="shared" si="42"/>
        <v>222048207</v>
      </c>
      <c r="AI439" s="55">
        <f t="shared" si="42"/>
        <v>222048207</v>
      </c>
      <c r="AJ439" s="55">
        <f t="shared" si="42"/>
        <v>222048207</v>
      </c>
      <c r="AK439" s="55">
        <f t="shared" si="42"/>
        <v>222048207</v>
      </c>
      <c r="AL439" s="55"/>
      <c r="AM439" s="55">
        <v>0</v>
      </c>
      <c r="AN439" s="55">
        <f t="shared" si="44"/>
        <v>-1542001</v>
      </c>
      <c r="AO439" s="55">
        <f t="shared" si="44"/>
        <v>-1542001</v>
      </c>
      <c r="AP439" s="55">
        <f t="shared" si="44"/>
        <v>-1542001</v>
      </c>
      <c r="AQ439" s="55">
        <f t="shared" si="44"/>
        <v>-1542001</v>
      </c>
      <c r="AR439" s="55">
        <f t="shared" si="44"/>
        <v>-1542001</v>
      </c>
      <c r="AS439" s="55">
        <f t="shared" si="44"/>
        <v>-1542001</v>
      </c>
      <c r="AT439" s="55">
        <f t="shared" si="44"/>
        <v>-1542001</v>
      </c>
      <c r="AU439" s="55">
        <f t="shared" si="44"/>
        <v>-1542001</v>
      </c>
      <c r="AV439" s="55">
        <f t="shared" si="44"/>
        <v>-1542001</v>
      </c>
      <c r="AW439" s="55">
        <f t="shared" si="44"/>
        <v>-1542001</v>
      </c>
      <c r="AX439" s="55">
        <f t="shared" si="44"/>
        <v>-1542001</v>
      </c>
      <c r="AY439" s="55">
        <f t="shared" si="44"/>
        <v>-1542001</v>
      </c>
      <c r="AZ439" s="59">
        <f t="shared" si="41"/>
        <v>-18504012</v>
      </c>
      <c r="BA439" s="55">
        <f t="shared" si="25"/>
        <v>222048207</v>
      </c>
      <c r="BB439" s="56">
        <f t="shared" si="26"/>
        <v>220506206</v>
      </c>
      <c r="BC439" s="56">
        <f t="shared" si="27"/>
        <v>218964205</v>
      </c>
      <c r="BD439" s="56">
        <f t="shared" si="28"/>
        <v>217422204</v>
      </c>
      <c r="BE439" s="56">
        <f t="shared" si="29"/>
        <v>215880203</v>
      </c>
      <c r="BF439" s="56">
        <f t="shared" si="30"/>
        <v>214338202</v>
      </c>
      <c r="BG439" s="56">
        <f t="shared" si="31"/>
        <v>212796201</v>
      </c>
      <c r="BH439" s="56">
        <f t="shared" si="32"/>
        <v>211254200</v>
      </c>
      <c r="BI439" s="56">
        <f t="shared" si="33"/>
        <v>209712199</v>
      </c>
      <c r="BJ439" s="56">
        <f t="shared" si="34"/>
        <v>208170198</v>
      </c>
      <c r="BK439" s="56">
        <f t="shared" si="35"/>
        <v>206628197</v>
      </c>
      <c r="BL439" s="56">
        <f t="shared" si="36"/>
        <v>205086196</v>
      </c>
      <c r="BM439" s="56">
        <f t="shared" si="37"/>
        <v>203544195</v>
      </c>
      <c r="BO439" s="55"/>
    </row>
    <row r="440" spans="3:67" s="49" customFormat="1" x14ac:dyDescent="0.3">
      <c r="C440" s="49" t="s">
        <v>1576</v>
      </c>
      <c r="D440" s="50" t="s">
        <v>338</v>
      </c>
      <c r="E440" s="50" t="str">
        <f t="shared" si="21"/>
        <v>211</v>
      </c>
      <c r="F440" s="49" t="str">
        <f>_xlfn.XLOOKUP($D440,MD_Account_Asset_Type[Nhóm tài sản],MD_Account_Asset_Type[Tên Nhóm tài sản])</f>
        <v>Máy móc, thiết bị - SX 627</v>
      </c>
      <c r="G440" s="49" t="str">
        <f>_xlfn.XLOOKUP($D440,MD_Account_Asset_Type[Nhóm tài sản],MD_Account_Asset_Type[Tên nhóm TS-Rút gọn])</f>
        <v>Máy móc thiết bị</v>
      </c>
      <c r="H440" s="49" t="str">
        <f>_xlfn.XLOOKUP($D440,MD_Account_Asset_Type[Nhóm tài sản],MD_Account_Asset_Type[Tên nhóm TS-Rút gọn-v2])</f>
        <v>Máy móc thiết bị</v>
      </c>
      <c r="I440" s="51" t="s">
        <v>1315</v>
      </c>
      <c r="J440" s="50" t="s">
        <v>1304</v>
      </c>
      <c r="K440" s="49" t="s">
        <v>1368</v>
      </c>
      <c r="L440" s="50" t="s">
        <v>72</v>
      </c>
      <c r="M440" s="50" t="s">
        <v>147</v>
      </c>
      <c r="N440" s="52" t="s">
        <v>265</v>
      </c>
      <c r="O440" s="52"/>
      <c r="P440" s="49" t="s">
        <v>462</v>
      </c>
      <c r="Q440" s="49" t="str">
        <f t="shared" si="20"/>
        <v>627</v>
      </c>
      <c r="R440" s="49" t="str">
        <f>_xlfn.XLOOKUP($L440,MD_Cost_Center[Mã Cost Center],MD_Cost_Center[Ngành])</f>
        <v>HD/PP</v>
      </c>
      <c r="S440" s="49" t="str">
        <f>_xlfn.XLOOKUP($L440,MD_Cost_Center[Mã Cost Center],MD_Cost_Center[Ngành-Tách PET-Xơ sợi])</f>
        <v>HD/PP</v>
      </c>
      <c r="T440" s="53">
        <v>46023</v>
      </c>
      <c r="U440" s="54">
        <v>50406</v>
      </c>
      <c r="V440" s="55">
        <v>144</v>
      </c>
      <c r="W440" s="55">
        <v>2156489140.0000005</v>
      </c>
      <c r="X440" s="55">
        <f t="shared" si="40"/>
        <v>-14975619</v>
      </c>
      <c r="Y440" s="55">
        <f t="shared" si="43"/>
        <v>2156489140.0000005</v>
      </c>
      <c r="Z440" s="55">
        <f t="shared" si="42"/>
        <v>2156489140.0000005</v>
      </c>
      <c r="AA440" s="55">
        <f t="shared" si="42"/>
        <v>2156489140.0000005</v>
      </c>
      <c r="AB440" s="55">
        <f t="shared" si="42"/>
        <v>2156489140.0000005</v>
      </c>
      <c r="AC440" s="55">
        <f t="shared" si="42"/>
        <v>2156489140.0000005</v>
      </c>
      <c r="AD440" s="55">
        <f t="shared" si="42"/>
        <v>2156489140.0000005</v>
      </c>
      <c r="AE440" s="55">
        <f t="shared" si="42"/>
        <v>2156489140.0000005</v>
      </c>
      <c r="AF440" s="55">
        <f t="shared" si="42"/>
        <v>2156489140.0000005</v>
      </c>
      <c r="AG440" s="55">
        <f t="shared" si="42"/>
        <v>2156489140.0000005</v>
      </c>
      <c r="AH440" s="55">
        <f t="shared" si="42"/>
        <v>2156489140.0000005</v>
      </c>
      <c r="AI440" s="55">
        <f t="shared" si="42"/>
        <v>2156489140.0000005</v>
      </c>
      <c r="AJ440" s="55">
        <f t="shared" si="42"/>
        <v>2156489140.0000005</v>
      </c>
      <c r="AK440" s="55">
        <f t="shared" si="42"/>
        <v>2156489140.0000005</v>
      </c>
      <c r="AL440" s="55"/>
      <c r="AM440" s="55">
        <v>0</v>
      </c>
      <c r="AN440" s="55">
        <f t="shared" si="44"/>
        <v>-14975619</v>
      </c>
      <c r="AO440" s="55">
        <f t="shared" si="44"/>
        <v>-14975619</v>
      </c>
      <c r="AP440" s="55">
        <f t="shared" si="44"/>
        <v>-14975619</v>
      </c>
      <c r="AQ440" s="55">
        <f t="shared" si="44"/>
        <v>-14975619</v>
      </c>
      <c r="AR440" s="55">
        <f t="shared" si="44"/>
        <v>-14975619</v>
      </c>
      <c r="AS440" s="55">
        <f t="shared" si="44"/>
        <v>-14975619</v>
      </c>
      <c r="AT440" s="55">
        <f t="shared" si="44"/>
        <v>-14975619</v>
      </c>
      <c r="AU440" s="55">
        <f t="shared" si="44"/>
        <v>-14975619</v>
      </c>
      <c r="AV440" s="55">
        <f t="shared" si="44"/>
        <v>-14975619</v>
      </c>
      <c r="AW440" s="55">
        <f t="shared" si="44"/>
        <v>-14975619</v>
      </c>
      <c r="AX440" s="55">
        <f t="shared" si="44"/>
        <v>-14975619</v>
      </c>
      <c r="AY440" s="55">
        <f t="shared" si="44"/>
        <v>-14975619</v>
      </c>
      <c r="AZ440" s="59">
        <f t="shared" ref="AZ440:AZ454" si="45">SUM(AN440:AY440)</f>
        <v>-179707428</v>
      </c>
      <c r="BA440" s="55">
        <f t="shared" ref="BA440:BA454" si="46">Y440+AM440</f>
        <v>2156489140.0000005</v>
      </c>
      <c r="BB440" s="56">
        <f t="shared" ref="BB440:BB454" si="47">BA440+AN440</f>
        <v>2141513521.0000005</v>
      </c>
      <c r="BC440" s="56">
        <f t="shared" ref="BC440:BC454" si="48">BB440+AO440</f>
        <v>2126537902.0000005</v>
      </c>
      <c r="BD440" s="56">
        <f t="shared" ref="BD440:BD454" si="49">BC440+AP440</f>
        <v>2111562283.0000005</v>
      </c>
      <c r="BE440" s="56">
        <f t="shared" ref="BE440:BE454" si="50">BD440+AQ440</f>
        <v>2096586664.0000005</v>
      </c>
      <c r="BF440" s="56">
        <f t="shared" ref="BF440:BF454" si="51">BE440+AR440</f>
        <v>2081611045.0000005</v>
      </c>
      <c r="BG440" s="56">
        <f t="shared" ref="BG440:BG454" si="52">BF440+AS440</f>
        <v>2066635426.0000005</v>
      </c>
      <c r="BH440" s="56">
        <f t="shared" ref="BH440:BH454" si="53">BG440+AT440</f>
        <v>2051659807.0000005</v>
      </c>
      <c r="BI440" s="56">
        <f t="shared" ref="BI440:BI454" si="54">BH440+AU440</f>
        <v>2036684188.0000005</v>
      </c>
      <c r="BJ440" s="56">
        <f t="shared" ref="BJ440:BJ454" si="55">BI440+AV440</f>
        <v>2021708569.0000005</v>
      </c>
      <c r="BK440" s="56">
        <f t="shared" ref="BK440:BK454" si="56">BJ440+AW440</f>
        <v>2006732950.0000005</v>
      </c>
      <c r="BL440" s="56">
        <f t="shared" ref="BL440:BL454" si="57">BK440+AX440</f>
        <v>1991757331.0000005</v>
      </c>
      <c r="BM440" s="56">
        <f t="shared" ref="BM440:BM454" si="58">BL440+AY440</f>
        <v>1976781712.0000005</v>
      </c>
      <c r="BO440" s="55"/>
    </row>
    <row r="441" spans="3:67" s="49" customFormat="1" x14ac:dyDescent="0.3">
      <c r="C441" s="49" t="s">
        <v>1576</v>
      </c>
      <c r="D441" s="50" t="s">
        <v>338</v>
      </c>
      <c r="E441" s="50" t="str">
        <f t="shared" si="21"/>
        <v>211</v>
      </c>
      <c r="F441" s="49" t="str">
        <f>_xlfn.XLOOKUP($D441,MD_Account_Asset_Type[Nhóm tài sản],MD_Account_Asset_Type[Tên Nhóm tài sản])</f>
        <v>Máy móc, thiết bị - SX 627</v>
      </c>
      <c r="G441" s="49" t="str">
        <f>_xlfn.XLOOKUP($D441,MD_Account_Asset_Type[Nhóm tài sản],MD_Account_Asset_Type[Tên nhóm TS-Rút gọn])</f>
        <v>Máy móc thiết bị</v>
      </c>
      <c r="H441" s="49" t="str">
        <f>_xlfn.XLOOKUP($D441,MD_Account_Asset_Type[Nhóm tài sản],MD_Account_Asset_Type[Tên nhóm TS-Rút gọn-v2])</f>
        <v>Máy móc thiết bị</v>
      </c>
      <c r="I441" s="51" t="s">
        <v>1360</v>
      </c>
      <c r="J441" s="50" t="s">
        <v>1362</v>
      </c>
      <c r="K441" s="49" t="s">
        <v>1368</v>
      </c>
      <c r="L441" s="50" t="s">
        <v>71</v>
      </c>
      <c r="M441" s="50" t="s">
        <v>146</v>
      </c>
      <c r="N441" s="52" t="s">
        <v>264</v>
      </c>
      <c r="O441" s="52"/>
      <c r="P441" s="49" t="s">
        <v>462</v>
      </c>
      <c r="Q441" s="49" t="str">
        <f t="shared" si="20"/>
        <v>627</v>
      </c>
      <c r="R441" s="49" t="str">
        <f>_xlfn.XLOOKUP($L441,MD_Cost_Center[Mã Cost Center],MD_Cost_Center[Ngành])</f>
        <v>PET</v>
      </c>
      <c r="S441" s="49" t="str">
        <f>_xlfn.XLOOKUP($L441,MD_Cost_Center[Mã Cost Center],MD_Cost_Center[Ngành-Tách PET-Xơ sợi])</f>
        <v>Chung-PET</v>
      </c>
      <c r="T441" s="53">
        <v>46023</v>
      </c>
      <c r="U441" s="54">
        <v>50406</v>
      </c>
      <c r="V441" s="55">
        <v>144</v>
      </c>
      <c r="W441" s="55">
        <v>3214763652</v>
      </c>
      <c r="X441" s="55">
        <f t="shared" si="40"/>
        <v>-22324748</v>
      </c>
      <c r="Y441" s="55">
        <f t="shared" si="43"/>
        <v>3214763652</v>
      </c>
      <c r="Z441" s="55">
        <f t="shared" si="42"/>
        <v>3214763652</v>
      </c>
      <c r="AA441" s="55">
        <f t="shared" si="42"/>
        <v>3214763652</v>
      </c>
      <c r="AB441" s="55">
        <f t="shared" si="42"/>
        <v>3214763652</v>
      </c>
      <c r="AC441" s="55">
        <f t="shared" si="42"/>
        <v>3214763652</v>
      </c>
      <c r="AD441" s="55">
        <f t="shared" si="42"/>
        <v>3214763652</v>
      </c>
      <c r="AE441" s="55">
        <f t="shared" si="42"/>
        <v>3214763652</v>
      </c>
      <c r="AF441" s="55">
        <f t="shared" si="42"/>
        <v>3214763652</v>
      </c>
      <c r="AG441" s="55">
        <f t="shared" si="42"/>
        <v>3214763652</v>
      </c>
      <c r="AH441" s="55">
        <f t="shared" si="42"/>
        <v>3214763652</v>
      </c>
      <c r="AI441" s="55">
        <f t="shared" si="42"/>
        <v>3214763652</v>
      </c>
      <c r="AJ441" s="55">
        <f t="shared" si="42"/>
        <v>3214763652</v>
      </c>
      <c r="AK441" s="55">
        <f t="shared" si="42"/>
        <v>3214763652</v>
      </c>
      <c r="AL441" s="55"/>
      <c r="AM441" s="55">
        <v>0</v>
      </c>
      <c r="AN441" s="55">
        <f t="shared" si="44"/>
        <v>-22324748</v>
      </c>
      <c r="AO441" s="55">
        <f t="shared" si="44"/>
        <v>-22324748</v>
      </c>
      <c r="AP441" s="55">
        <f t="shared" si="44"/>
        <v>-22324748</v>
      </c>
      <c r="AQ441" s="55">
        <f t="shared" si="44"/>
        <v>-22324748</v>
      </c>
      <c r="AR441" s="55">
        <f t="shared" si="44"/>
        <v>-22324748</v>
      </c>
      <c r="AS441" s="55">
        <f t="shared" si="44"/>
        <v>-22324748</v>
      </c>
      <c r="AT441" s="55">
        <f t="shared" si="44"/>
        <v>-22324748</v>
      </c>
      <c r="AU441" s="55">
        <f t="shared" si="44"/>
        <v>-22324748</v>
      </c>
      <c r="AV441" s="55">
        <f t="shared" si="44"/>
        <v>-22324748</v>
      </c>
      <c r="AW441" s="55">
        <f t="shared" si="44"/>
        <v>-22324748</v>
      </c>
      <c r="AX441" s="55">
        <f t="shared" si="44"/>
        <v>-22324748</v>
      </c>
      <c r="AY441" s="55">
        <f t="shared" si="44"/>
        <v>-22324748</v>
      </c>
      <c r="AZ441" s="59">
        <f t="shared" si="45"/>
        <v>-267896976</v>
      </c>
      <c r="BA441" s="55">
        <f t="shared" si="46"/>
        <v>3214763652</v>
      </c>
      <c r="BB441" s="56">
        <f t="shared" si="47"/>
        <v>3192438904</v>
      </c>
      <c r="BC441" s="56">
        <f t="shared" si="48"/>
        <v>3170114156</v>
      </c>
      <c r="BD441" s="56">
        <f t="shared" si="49"/>
        <v>3147789408</v>
      </c>
      <c r="BE441" s="56">
        <f t="shared" si="50"/>
        <v>3125464660</v>
      </c>
      <c r="BF441" s="56">
        <f t="shared" si="51"/>
        <v>3103139912</v>
      </c>
      <c r="BG441" s="56">
        <f t="shared" si="52"/>
        <v>3080815164</v>
      </c>
      <c r="BH441" s="56">
        <f t="shared" si="53"/>
        <v>3058490416</v>
      </c>
      <c r="BI441" s="56">
        <f t="shared" si="54"/>
        <v>3036165668</v>
      </c>
      <c r="BJ441" s="56">
        <f t="shared" si="55"/>
        <v>3013840920</v>
      </c>
      <c r="BK441" s="56">
        <f t="shared" si="56"/>
        <v>2991516172</v>
      </c>
      <c r="BL441" s="56">
        <f t="shared" si="57"/>
        <v>2969191424</v>
      </c>
      <c r="BM441" s="56">
        <f t="shared" si="58"/>
        <v>2946866676</v>
      </c>
      <c r="BO441" s="55"/>
    </row>
    <row r="442" spans="3:67" s="49" customFormat="1" x14ac:dyDescent="0.3">
      <c r="C442" s="49" t="s">
        <v>1576</v>
      </c>
      <c r="D442" s="50" t="s">
        <v>338</v>
      </c>
      <c r="E442" s="50" t="str">
        <f t="shared" si="21"/>
        <v>211</v>
      </c>
      <c r="F442" s="49" t="str">
        <f>_xlfn.XLOOKUP($D442,MD_Account_Asset_Type[Nhóm tài sản],MD_Account_Asset_Type[Tên Nhóm tài sản])</f>
        <v>Máy móc, thiết bị - SX 627</v>
      </c>
      <c r="G442" s="49" t="str">
        <f>_xlfn.XLOOKUP($D442,MD_Account_Asset_Type[Nhóm tài sản],MD_Account_Asset_Type[Tên nhóm TS-Rút gọn])</f>
        <v>Máy móc thiết bị</v>
      </c>
      <c r="H442" s="49" t="str">
        <f>_xlfn.XLOOKUP($D442,MD_Account_Asset_Type[Nhóm tài sản],MD_Account_Asset_Type[Tên nhóm TS-Rút gọn-v2])</f>
        <v>Máy móc thiết bị</v>
      </c>
      <c r="I442" s="51" t="s">
        <v>1361</v>
      </c>
      <c r="J442" s="50" t="s">
        <v>1363</v>
      </c>
      <c r="K442" s="49" t="s">
        <v>1368</v>
      </c>
      <c r="L442" s="50" t="s">
        <v>100</v>
      </c>
      <c r="M442" s="50" t="s">
        <v>175</v>
      </c>
      <c r="N442" s="52" t="s">
        <v>286</v>
      </c>
      <c r="O442" s="52"/>
      <c r="P442" s="49" t="s">
        <v>462</v>
      </c>
      <c r="Q442" s="49" t="str">
        <f t="shared" si="20"/>
        <v>627</v>
      </c>
      <c r="R442" s="49" t="str">
        <f>_xlfn.XLOOKUP($L442,MD_Cost_Center[Mã Cost Center],MD_Cost_Center[Ngành])</f>
        <v>PET</v>
      </c>
      <c r="S442" s="49" t="str">
        <f>_xlfn.XLOOKUP($L442,MD_Cost_Center[Mã Cost Center],MD_Cost_Center[Ngành-Tách PET-Xơ sợi])</f>
        <v>Chung-PET</v>
      </c>
      <c r="T442" s="53">
        <v>46023</v>
      </c>
      <c r="U442" s="54">
        <v>50406</v>
      </c>
      <c r="V442" s="55">
        <v>144</v>
      </c>
      <c r="W442" s="55">
        <v>3214763652</v>
      </c>
      <c r="X442" s="55">
        <f t="shared" si="40"/>
        <v>-22324748</v>
      </c>
      <c r="Y442" s="55">
        <f t="shared" si="43"/>
        <v>3214763652</v>
      </c>
      <c r="Z442" s="55">
        <f t="shared" si="42"/>
        <v>3214763652</v>
      </c>
      <c r="AA442" s="55">
        <f t="shared" si="42"/>
        <v>3214763652</v>
      </c>
      <c r="AB442" s="55">
        <f t="shared" si="42"/>
        <v>3214763652</v>
      </c>
      <c r="AC442" s="55">
        <f t="shared" si="42"/>
        <v>3214763652</v>
      </c>
      <c r="AD442" s="55">
        <f t="shared" si="42"/>
        <v>3214763652</v>
      </c>
      <c r="AE442" s="55">
        <f t="shared" si="42"/>
        <v>3214763652</v>
      </c>
      <c r="AF442" s="55">
        <f t="shared" si="42"/>
        <v>3214763652</v>
      </c>
      <c r="AG442" s="55">
        <f t="shared" si="42"/>
        <v>3214763652</v>
      </c>
      <c r="AH442" s="55">
        <f t="shared" si="42"/>
        <v>3214763652</v>
      </c>
      <c r="AI442" s="55">
        <f t="shared" si="42"/>
        <v>3214763652</v>
      </c>
      <c r="AJ442" s="55">
        <f t="shared" si="42"/>
        <v>3214763652</v>
      </c>
      <c r="AK442" s="55">
        <f t="shared" si="42"/>
        <v>3214763652</v>
      </c>
      <c r="AL442" s="55"/>
      <c r="AM442" s="55">
        <v>0</v>
      </c>
      <c r="AN442" s="55">
        <f t="shared" si="44"/>
        <v>-22324748</v>
      </c>
      <c r="AO442" s="55">
        <f t="shared" si="44"/>
        <v>-22324748</v>
      </c>
      <c r="AP442" s="55">
        <f t="shared" si="44"/>
        <v>-22324748</v>
      </c>
      <c r="AQ442" s="55">
        <f t="shared" si="44"/>
        <v>-22324748</v>
      </c>
      <c r="AR442" s="55">
        <f t="shared" si="44"/>
        <v>-22324748</v>
      </c>
      <c r="AS442" s="55">
        <f t="shared" si="44"/>
        <v>-22324748</v>
      </c>
      <c r="AT442" s="55">
        <f t="shared" si="44"/>
        <v>-22324748</v>
      </c>
      <c r="AU442" s="55">
        <f t="shared" si="44"/>
        <v>-22324748</v>
      </c>
      <c r="AV442" s="55">
        <f t="shared" si="44"/>
        <v>-22324748</v>
      </c>
      <c r="AW442" s="55">
        <f t="shared" si="44"/>
        <v>-22324748</v>
      </c>
      <c r="AX442" s="55">
        <f t="shared" si="44"/>
        <v>-22324748</v>
      </c>
      <c r="AY442" s="55">
        <f t="shared" si="44"/>
        <v>-22324748</v>
      </c>
      <c r="AZ442" s="59">
        <f t="shared" si="45"/>
        <v>-267896976</v>
      </c>
      <c r="BA442" s="55">
        <f t="shared" si="46"/>
        <v>3214763652</v>
      </c>
      <c r="BB442" s="56">
        <f t="shared" si="47"/>
        <v>3192438904</v>
      </c>
      <c r="BC442" s="56">
        <f t="shared" si="48"/>
        <v>3170114156</v>
      </c>
      <c r="BD442" s="56">
        <f t="shared" si="49"/>
        <v>3147789408</v>
      </c>
      <c r="BE442" s="56">
        <f t="shared" si="50"/>
        <v>3125464660</v>
      </c>
      <c r="BF442" s="56">
        <f t="shared" si="51"/>
        <v>3103139912</v>
      </c>
      <c r="BG442" s="56">
        <f t="shared" si="52"/>
        <v>3080815164</v>
      </c>
      <c r="BH442" s="56">
        <f t="shared" si="53"/>
        <v>3058490416</v>
      </c>
      <c r="BI442" s="56">
        <f t="shared" si="54"/>
        <v>3036165668</v>
      </c>
      <c r="BJ442" s="56">
        <f t="shared" si="55"/>
        <v>3013840920</v>
      </c>
      <c r="BK442" s="56">
        <f t="shared" si="56"/>
        <v>2991516172</v>
      </c>
      <c r="BL442" s="56">
        <f t="shared" si="57"/>
        <v>2969191424</v>
      </c>
      <c r="BM442" s="56">
        <f t="shared" si="58"/>
        <v>2946866676</v>
      </c>
      <c r="BO442" s="55"/>
    </row>
    <row r="443" spans="3:67" s="49" customFormat="1" x14ac:dyDescent="0.3">
      <c r="C443" s="49" t="s">
        <v>1576</v>
      </c>
      <c r="D443" s="50" t="s">
        <v>338</v>
      </c>
      <c r="E443" s="50" t="str">
        <f t="shared" si="21"/>
        <v>211</v>
      </c>
      <c r="F443" s="49" t="str">
        <f>_xlfn.XLOOKUP($D443,MD_Account_Asset_Type[Nhóm tài sản],MD_Account_Asset_Type[Tên Nhóm tài sản])</f>
        <v>Máy móc, thiết bị - SX 627</v>
      </c>
      <c r="G443" s="49" t="str">
        <f>_xlfn.XLOOKUP($D443,MD_Account_Asset_Type[Nhóm tài sản],MD_Account_Asset_Type[Tên nhóm TS-Rút gọn])</f>
        <v>Máy móc thiết bị</v>
      </c>
      <c r="H443" s="49" t="str">
        <f>_xlfn.XLOOKUP($D443,MD_Account_Asset_Type[Nhóm tài sản],MD_Account_Asset_Type[Tên nhóm TS-Rút gọn-v2])</f>
        <v>Máy móc thiết bị</v>
      </c>
      <c r="I443" s="51" t="s">
        <v>1316</v>
      </c>
      <c r="J443" s="50" t="s">
        <v>1305</v>
      </c>
      <c r="K443" s="49" t="s">
        <v>1368</v>
      </c>
      <c r="L443" s="50" t="s">
        <v>100</v>
      </c>
      <c r="M443" s="50" t="s">
        <v>175</v>
      </c>
      <c r="N443" s="52" t="s">
        <v>286</v>
      </c>
      <c r="O443" s="52"/>
      <c r="P443" s="49" t="s">
        <v>462</v>
      </c>
      <c r="Q443" s="49" t="str">
        <f t="shared" si="20"/>
        <v>627</v>
      </c>
      <c r="R443" s="49" t="str">
        <f>_xlfn.XLOOKUP($L443,MD_Cost_Center[Mã Cost Center],MD_Cost_Center[Ngành])</f>
        <v>PET</v>
      </c>
      <c r="S443" s="49" t="str">
        <f>_xlfn.XLOOKUP($L443,MD_Cost_Center[Mã Cost Center],MD_Cost_Center[Ngành-Tách PET-Xơ sợi])</f>
        <v>Chung-PET</v>
      </c>
      <c r="T443" s="53">
        <v>46023</v>
      </c>
      <c r="U443" s="54">
        <v>50406</v>
      </c>
      <c r="V443" s="55">
        <v>144</v>
      </c>
      <c r="W443" s="55">
        <v>1783287056</v>
      </c>
      <c r="X443" s="55">
        <f t="shared" si="40"/>
        <v>-12383938</v>
      </c>
      <c r="Y443" s="55">
        <f t="shared" si="43"/>
        <v>1783287056</v>
      </c>
      <c r="Z443" s="55">
        <f t="shared" si="42"/>
        <v>1783287056</v>
      </c>
      <c r="AA443" s="55">
        <f t="shared" si="42"/>
        <v>1783287056</v>
      </c>
      <c r="AB443" s="55">
        <f t="shared" si="42"/>
        <v>1783287056</v>
      </c>
      <c r="AC443" s="55">
        <f t="shared" si="42"/>
        <v>1783287056</v>
      </c>
      <c r="AD443" s="55">
        <f t="shared" si="42"/>
        <v>1783287056</v>
      </c>
      <c r="AE443" s="55">
        <f t="shared" si="42"/>
        <v>1783287056</v>
      </c>
      <c r="AF443" s="55">
        <f t="shared" si="42"/>
        <v>1783287056</v>
      </c>
      <c r="AG443" s="55">
        <f t="shared" si="42"/>
        <v>1783287056</v>
      </c>
      <c r="AH443" s="55">
        <f t="shared" si="42"/>
        <v>1783287056</v>
      </c>
      <c r="AI443" s="55">
        <f t="shared" si="42"/>
        <v>1783287056</v>
      </c>
      <c r="AJ443" s="55">
        <f t="shared" si="42"/>
        <v>1783287056</v>
      </c>
      <c r="AK443" s="55">
        <f t="shared" si="42"/>
        <v>1783287056</v>
      </c>
      <c r="AL443" s="55"/>
      <c r="AM443" s="55">
        <v>0</v>
      </c>
      <c r="AN443" s="55">
        <f t="shared" si="44"/>
        <v>-12383938</v>
      </c>
      <c r="AO443" s="55">
        <f t="shared" si="44"/>
        <v>-12383938</v>
      </c>
      <c r="AP443" s="55">
        <f t="shared" si="44"/>
        <v>-12383938</v>
      </c>
      <c r="AQ443" s="55">
        <f t="shared" si="44"/>
        <v>-12383938</v>
      </c>
      <c r="AR443" s="55">
        <f t="shared" si="44"/>
        <v>-12383938</v>
      </c>
      <c r="AS443" s="55">
        <f t="shared" si="44"/>
        <v>-12383938</v>
      </c>
      <c r="AT443" s="55">
        <f t="shared" si="44"/>
        <v>-12383938</v>
      </c>
      <c r="AU443" s="55">
        <f t="shared" si="44"/>
        <v>-12383938</v>
      </c>
      <c r="AV443" s="55">
        <f t="shared" si="44"/>
        <v>-12383938</v>
      </c>
      <c r="AW443" s="55">
        <f t="shared" si="44"/>
        <v>-12383938</v>
      </c>
      <c r="AX443" s="55">
        <f t="shared" si="44"/>
        <v>-12383938</v>
      </c>
      <c r="AY443" s="55">
        <f t="shared" si="44"/>
        <v>-12383938</v>
      </c>
      <c r="AZ443" s="59">
        <f t="shared" si="45"/>
        <v>-148607256</v>
      </c>
      <c r="BA443" s="55">
        <f t="shared" si="46"/>
        <v>1783287056</v>
      </c>
      <c r="BB443" s="56">
        <f t="shared" si="47"/>
        <v>1770903118</v>
      </c>
      <c r="BC443" s="56">
        <f t="shared" si="48"/>
        <v>1758519180</v>
      </c>
      <c r="BD443" s="56">
        <f t="shared" si="49"/>
        <v>1746135242</v>
      </c>
      <c r="BE443" s="56">
        <f t="shared" si="50"/>
        <v>1733751304</v>
      </c>
      <c r="BF443" s="56">
        <f t="shared" si="51"/>
        <v>1721367366</v>
      </c>
      <c r="BG443" s="56">
        <f t="shared" si="52"/>
        <v>1708983428</v>
      </c>
      <c r="BH443" s="56">
        <f t="shared" si="53"/>
        <v>1696599490</v>
      </c>
      <c r="BI443" s="56">
        <f t="shared" si="54"/>
        <v>1684215552</v>
      </c>
      <c r="BJ443" s="56">
        <f t="shared" si="55"/>
        <v>1671831614</v>
      </c>
      <c r="BK443" s="56">
        <f t="shared" si="56"/>
        <v>1659447676</v>
      </c>
      <c r="BL443" s="56">
        <f t="shared" si="57"/>
        <v>1647063738</v>
      </c>
      <c r="BM443" s="56">
        <f t="shared" si="58"/>
        <v>1634679800</v>
      </c>
      <c r="BO443" s="55"/>
    </row>
    <row r="444" spans="3:67" s="49" customFormat="1" x14ac:dyDescent="0.3">
      <c r="C444" s="49" t="s">
        <v>1576</v>
      </c>
      <c r="D444" s="50" t="s">
        <v>338</v>
      </c>
      <c r="E444" s="50" t="str">
        <f t="shared" si="21"/>
        <v>211</v>
      </c>
      <c r="F444" s="49" t="str">
        <f>_xlfn.XLOOKUP($D444,MD_Account_Asset_Type[Nhóm tài sản],MD_Account_Asset_Type[Tên Nhóm tài sản])</f>
        <v>Máy móc, thiết bị - SX 627</v>
      </c>
      <c r="G444" s="49" t="str">
        <f>_xlfn.XLOOKUP($D444,MD_Account_Asset_Type[Nhóm tài sản],MD_Account_Asset_Type[Tên nhóm TS-Rút gọn])</f>
        <v>Máy móc thiết bị</v>
      </c>
      <c r="H444" s="49" t="str">
        <f>_xlfn.XLOOKUP($D444,MD_Account_Asset_Type[Nhóm tài sản],MD_Account_Asset_Type[Tên nhóm TS-Rút gọn-v2])</f>
        <v>Máy móc thiết bị</v>
      </c>
      <c r="I444" s="51" t="s">
        <v>1317</v>
      </c>
      <c r="J444" s="50" t="s">
        <v>1306</v>
      </c>
      <c r="K444" s="49" t="s">
        <v>1368</v>
      </c>
      <c r="L444" s="50" t="s">
        <v>100</v>
      </c>
      <c r="M444" s="50" t="s">
        <v>175</v>
      </c>
      <c r="N444" s="52" t="s">
        <v>286</v>
      </c>
      <c r="O444" s="52"/>
      <c r="P444" s="49" t="s">
        <v>462</v>
      </c>
      <c r="Q444" s="49" t="str">
        <f t="shared" si="20"/>
        <v>627</v>
      </c>
      <c r="R444" s="49" t="str">
        <f>_xlfn.XLOOKUP($L444,MD_Cost_Center[Mã Cost Center],MD_Cost_Center[Ngành])</f>
        <v>PET</v>
      </c>
      <c r="S444" s="49" t="str">
        <f>_xlfn.XLOOKUP($L444,MD_Cost_Center[Mã Cost Center],MD_Cost_Center[Ngành-Tách PET-Xơ sợi])</f>
        <v>Chung-PET</v>
      </c>
      <c r="T444" s="53">
        <v>46023</v>
      </c>
      <c r="U444" s="54">
        <v>50406</v>
      </c>
      <c r="V444" s="55">
        <v>144</v>
      </c>
      <c r="W444" s="55">
        <v>1009201043</v>
      </c>
      <c r="X444" s="55">
        <f t="shared" si="40"/>
        <v>-7008341</v>
      </c>
      <c r="Y444" s="55">
        <f t="shared" si="43"/>
        <v>1009201043</v>
      </c>
      <c r="Z444" s="55">
        <f t="shared" si="42"/>
        <v>1009201043</v>
      </c>
      <c r="AA444" s="55">
        <f t="shared" si="42"/>
        <v>1009201043</v>
      </c>
      <c r="AB444" s="55">
        <f t="shared" si="42"/>
        <v>1009201043</v>
      </c>
      <c r="AC444" s="55">
        <f t="shared" si="42"/>
        <v>1009201043</v>
      </c>
      <c r="AD444" s="55">
        <f t="shared" si="42"/>
        <v>1009201043</v>
      </c>
      <c r="AE444" s="55">
        <f t="shared" si="42"/>
        <v>1009201043</v>
      </c>
      <c r="AF444" s="55">
        <f t="shared" si="42"/>
        <v>1009201043</v>
      </c>
      <c r="AG444" s="55">
        <f t="shared" si="42"/>
        <v>1009201043</v>
      </c>
      <c r="AH444" s="55">
        <f t="shared" si="42"/>
        <v>1009201043</v>
      </c>
      <c r="AI444" s="55">
        <f t="shared" si="42"/>
        <v>1009201043</v>
      </c>
      <c r="AJ444" s="55">
        <f t="shared" si="42"/>
        <v>1009201043</v>
      </c>
      <c r="AK444" s="55">
        <f t="shared" si="42"/>
        <v>1009201043</v>
      </c>
      <c r="AL444" s="55"/>
      <c r="AM444" s="55">
        <v>0</v>
      </c>
      <c r="AN444" s="55">
        <f t="shared" si="44"/>
        <v>-7008341</v>
      </c>
      <c r="AO444" s="55">
        <f t="shared" si="44"/>
        <v>-7008341</v>
      </c>
      <c r="AP444" s="55">
        <f t="shared" si="44"/>
        <v>-7008341</v>
      </c>
      <c r="AQ444" s="55">
        <f t="shared" si="44"/>
        <v>-7008341</v>
      </c>
      <c r="AR444" s="55">
        <f t="shared" si="44"/>
        <v>-7008341</v>
      </c>
      <c r="AS444" s="55">
        <f t="shared" si="44"/>
        <v>-7008341</v>
      </c>
      <c r="AT444" s="55">
        <f t="shared" si="44"/>
        <v>-7008341</v>
      </c>
      <c r="AU444" s="55">
        <f t="shared" si="44"/>
        <v>-7008341</v>
      </c>
      <c r="AV444" s="55">
        <f t="shared" si="44"/>
        <v>-7008341</v>
      </c>
      <c r="AW444" s="55">
        <f t="shared" si="44"/>
        <v>-7008341</v>
      </c>
      <c r="AX444" s="55">
        <f t="shared" si="44"/>
        <v>-7008341</v>
      </c>
      <c r="AY444" s="55">
        <f t="shared" si="44"/>
        <v>-7008341</v>
      </c>
      <c r="AZ444" s="59">
        <f t="shared" si="45"/>
        <v>-84100092</v>
      </c>
      <c r="BA444" s="55">
        <f t="shared" si="46"/>
        <v>1009201043</v>
      </c>
      <c r="BB444" s="56">
        <f t="shared" si="47"/>
        <v>1002192702</v>
      </c>
      <c r="BC444" s="56">
        <f t="shared" si="48"/>
        <v>995184361</v>
      </c>
      <c r="BD444" s="56">
        <f t="shared" si="49"/>
        <v>988176020</v>
      </c>
      <c r="BE444" s="56">
        <f t="shared" si="50"/>
        <v>981167679</v>
      </c>
      <c r="BF444" s="56">
        <f t="shared" si="51"/>
        <v>974159338</v>
      </c>
      <c r="BG444" s="56">
        <f t="shared" si="52"/>
        <v>967150997</v>
      </c>
      <c r="BH444" s="56">
        <f t="shared" si="53"/>
        <v>960142656</v>
      </c>
      <c r="BI444" s="56">
        <f t="shared" si="54"/>
        <v>953134315</v>
      </c>
      <c r="BJ444" s="56">
        <f t="shared" si="55"/>
        <v>946125974</v>
      </c>
      <c r="BK444" s="56">
        <f t="shared" si="56"/>
        <v>939117633</v>
      </c>
      <c r="BL444" s="56">
        <f t="shared" si="57"/>
        <v>932109292</v>
      </c>
      <c r="BM444" s="56">
        <f t="shared" si="58"/>
        <v>925100951</v>
      </c>
      <c r="BO444" s="55"/>
    </row>
    <row r="445" spans="3:67" s="49" customFormat="1" x14ac:dyDescent="0.3">
      <c r="C445" s="49" t="s">
        <v>1576</v>
      </c>
      <c r="D445" s="50" t="s">
        <v>338</v>
      </c>
      <c r="E445" s="50" t="str">
        <f t="shared" si="21"/>
        <v>211</v>
      </c>
      <c r="F445" s="49" t="str">
        <f>_xlfn.XLOOKUP($D445,MD_Account_Asset_Type[Nhóm tài sản],MD_Account_Asset_Type[Tên Nhóm tài sản])</f>
        <v>Máy móc, thiết bị - SX 627</v>
      </c>
      <c r="G445" s="49" t="str">
        <f>_xlfn.XLOOKUP($D445,MD_Account_Asset_Type[Nhóm tài sản],MD_Account_Asset_Type[Tên nhóm TS-Rút gọn])</f>
        <v>Máy móc thiết bị</v>
      </c>
      <c r="H445" s="49" t="str">
        <f>_xlfn.XLOOKUP($D445,MD_Account_Asset_Type[Nhóm tài sản],MD_Account_Asset_Type[Tên nhóm TS-Rút gọn-v2])</f>
        <v>Máy móc thiết bị</v>
      </c>
      <c r="I445" s="51" t="s">
        <v>1318</v>
      </c>
      <c r="J445" s="50" t="s">
        <v>1307</v>
      </c>
      <c r="K445" s="49" t="s">
        <v>1368</v>
      </c>
      <c r="L445" s="50" t="s">
        <v>100</v>
      </c>
      <c r="M445" s="50" t="s">
        <v>175</v>
      </c>
      <c r="N445" s="52" t="s">
        <v>286</v>
      </c>
      <c r="O445" s="52"/>
      <c r="P445" s="49" t="s">
        <v>462</v>
      </c>
      <c r="Q445" s="49" t="str">
        <f t="shared" si="20"/>
        <v>627</v>
      </c>
      <c r="R445" s="49" t="str">
        <f>_xlfn.XLOOKUP($L445,MD_Cost_Center[Mã Cost Center],MD_Cost_Center[Ngành])</f>
        <v>PET</v>
      </c>
      <c r="S445" s="49" t="str">
        <f>_xlfn.XLOOKUP($L445,MD_Cost_Center[Mã Cost Center],MD_Cost_Center[Ngành-Tách PET-Xơ sợi])</f>
        <v>Chung-PET</v>
      </c>
      <c r="T445" s="53">
        <v>46023</v>
      </c>
      <c r="U445" s="54">
        <v>50406</v>
      </c>
      <c r="V445" s="55">
        <v>144</v>
      </c>
      <c r="W445" s="55">
        <v>1950144551</v>
      </c>
      <c r="X445" s="55">
        <f t="shared" si="40"/>
        <v>-13542670</v>
      </c>
      <c r="Y445" s="55">
        <f t="shared" si="43"/>
        <v>1950144551</v>
      </c>
      <c r="Z445" s="55">
        <f t="shared" si="42"/>
        <v>1950144551</v>
      </c>
      <c r="AA445" s="55">
        <f t="shared" si="42"/>
        <v>1950144551</v>
      </c>
      <c r="AB445" s="55">
        <f t="shared" si="42"/>
        <v>1950144551</v>
      </c>
      <c r="AC445" s="55">
        <f t="shared" si="42"/>
        <v>1950144551</v>
      </c>
      <c r="AD445" s="55">
        <f t="shared" si="42"/>
        <v>1950144551</v>
      </c>
      <c r="AE445" s="55">
        <f t="shared" si="42"/>
        <v>1950144551</v>
      </c>
      <c r="AF445" s="55">
        <f t="shared" si="42"/>
        <v>1950144551</v>
      </c>
      <c r="AG445" s="55">
        <f t="shared" si="42"/>
        <v>1950144551</v>
      </c>
      <c r="AH445" s="55">
        <f t="shared" si="42"/>
        <v>1950144551</v>
      </c>
      <c r="AI445" s="55">
        <f t="shared" si="42"/>
        <v>1950144551</v>
      </c>
      <c r="AJ445" s="55">
        <f t="shared" si="42"/>
        <v>1950144551</v>
      </c>
      <c r="AK445" s="55">
        <f t="shared" si="42"/>
        <v>1950144551</v>
      </c>
      <c r="AL445" s="55"/>
      <c r="AM445" s="55">
        <v>0</v>
      </c>
      <c r="AN445" s="55">
        <f t="shared" si="44"/>
        <v>-13542670</v>
      </c>
      <c r="AO445" s="55">
        <f t="shared" si="44"/>
        <v>-13542670</v>
      </c>
      <c r="AP445" s="55">
        <f t="shared" si="44"/>
        <v>-13542670</v>
      </c>
      <c r="AQ445" s="55">
        <f t="shared" si="44"/>
        <v>-13542670</v>
      </c>
      <c r="AR445" s="55">
        <f t="shared" si="44"/>
        <v>-13542670</v>
      </c>
      <c r="AS445" s="55">
        <f t="shared" si="44"/>
        <v>-13542670</v>
      </c>
      <c r="AT445" s="55">
        <f t="shared" si="44"/>
        <v>-13542670</v>
      </c>
      <c r="AU445" s="55">
        <f t="shared" si="44"/>
        <v>-13542670</v>
      </c>
      <c r="AV445" s="55">
        <f t="shared" si="44"/>
        <v>-13542670</v>
      </c>
      <c r="AW445" s="55">
        <f t="shared" si="44"/>
        <v>-13542670</v>
      </c>
      <c r="AX445" s="55">
        <f t="shared" si="44"/>
        <v>-13542670</v>
      </c>
      <c r="AY445" s="55">
        <f t="shared" si="44"/>
        <v>-13542670</v>
      </c>
      <c r="AZ445" s="59">
        <f t="shared" si="45"/>
        <v>-162512040</v>
      </c>
      <c r="BA445" s="55">
        <f t="shared" si="46"/>
        <v>1950144551</v>
      </c>
      <c r="BB445" s="56">
        <f t="shared" si="47"/>
        <v>1936601881</v>
      </c>
      <c r="BC445" s="56">
        <f t="shared" si="48"/>
        <v>1923059211</v>
      </c>
      <c r="BD445" s="56">
        <f t="shared" si="49"/>
        <v>1909516541</v>
      </c>
      <c r="BE445" s="56">
        <f t="shared" si="50"/>
        <v>1895973871</v>
      </c>
      <c r="BF445" s="56">
        <f t="shared" si="51"/>
        <v>1882431201</v>
      </c>
      <c r="BG445" s="56">
        <f t="shared" si="52"/>
        <v>1868888531</v>
      </c>
      <c r="BH445" s="56">
        <f t="shared" si="53"/>
        <v>1855345861</v>
      </c>
      <c r="BI445" s="56">
        <f t="shared" si="54"/>
        <v>1841803191</v>
      </c>
      <c r="BJ445" s="56">
        <f t="shared" si="55"/>
        <v>1828260521</v>
      </c>
      <c r="BK445" s="56">
        <f t="shared" si="56"/>
        <v>1814717851</v>
      </c>
      <c r="BL445" s="56">
        <f t="shared" si="57"/>
        <v>1801175181</v>
      </c>
      <c r="BM445" s="56">
        <f t="shared" si="58"/>
        <v>1787632511</v>
      </c>
      <c r="BO445" s="55"/>
    </row>
    <row r="446" spans="3:67" s="49" customFormat="1" x14ac:dyDescent="0.3">
      <c r="C446" s="49" t="s">
        <v>1576</v>
      </c>
      <c r="D446" s="50" t="s">
        <v>338</v>
      </c>
      <c r="E446" s="50" t="str">
        <f t="shared" si="21"/>
        <v>211</v>
      </c>
      <c r="F446" s="49" t="str">
        <f>_xlfn.XLOOKUP($D446,MD_Account_Asset_Type[Nhóm tài sản],MD_Account_Asset_Type[Tên Nhóm tài sản])</f>
        <v>Máy móc, thiết bị - SX 627</v>
      </c>
      <c r="G446" s="49" t="str">
        <f>_xlfn.XLOOKUP($D446,MD_Account_Asset_Type[Nhóm tài sản],MD_Account_Asset_Type[Tên nhóm TS-Rút gọn])</f>
        <v>Máy móc thiết bị</v>
      </c>
      <c r="H446" s="49" t="str">
        <f>_xlfn.XLOOKUP($D446,MD_Account_Asset_Type[Nhóm tài sản],MD_Account_Asset_Type[Tên nhóm TS-Rút gọn-v2])</f>
        <v>Máy móc thiết bị</v>
      </c>
      <c r="I446" s="51" t="s">
        <v>1319</v>
      </c>
      <c r="J446" s="50" t="s">
        <v>1308</v>
      </c>
      <c r="K446" s="49" t="s">
        <v>1368</v>
      </c>
      <c r="L446" s="50" t="s">
        <v>100</v>
      </c>
      <c r="M446" s="50" t="s">
        <v>175</v>
      </c>
      <c r="N446" s="52" t="s">
        <v>286</v>
      </c>
      <c r="O446" s="52"/>
      <c r="P446" s="49" t="s">
        <v>462</v>
      </c>
      <c r="Q446" s="49" t="str">
        <f t="shared" si="20"/>
        <v>627</v>
      </c>
      <c r="R446" s="49" t="str">
        <f>_xlfn.XLOOKUP($L446,MD_Cost_Center[Mã Cost Center],MD_Cost_Center[Ngành])</f>
        <v>PET</v>
      </c>
      <c r="S446" s="49" t="str">
        <f>_xlfn.XLOOKUP($L446,MD_Cost_Center[Mã Cost Center],MD_Cost_Center[Ngành-Tách PET-Xơ sợi])</f>
        <v>Chung-PET</v>
      </c>
      <c r="T446" s="53">
        <v>46023</v>
      </c>
      <c r="U446" s="54">
        <v>50406</v>
      </c>
      <c r="V446" s="55">
        <v>144</v>
      </c>
      <c r="W446" s="55">
        <v>583993000</v>
      </c>
      <c r="X446" s="55">
        <f t="shared" si="40"/>
        <v>-4055507</v>
      </c>
      <c r="Y446" s="55">
        <f t="shared" si="43"/>
        <v>583993000</v>
      </c>
      <c r="Z446" s="55">
        <f t="shared" si="42"/>
        <v>583993000</v>
      </c>
      <c r="AA446" s="55">
        <f t="shared" si="42"/>
        <v>583993000</v>
      </c>
      <c r="AB446" s="55">
        <f t="shared" si="42"/>
        <v>583993000</v>
      </c>
      <c r="AC446" s="55">
        <f t="shared" si="42"/>
        <v>583993000</v>
      </c>
      <c r="AD446" s="55">
        <f t="shared" si="42"/>
        <v>583993000</v>
      </c>
      <c r="AE446" s="55">
        <f t="shared" si="42"/>
        <v>583993000</v>
      </c>
      <c r="AF446" s="55">
        <f t="shared" si="42"/>
        <v>583993000</v>
      </c>
      <c r="AG446" s="55">
        <f t="shared" si="42"/>
        <v>583993000</v>
      </c>
      <c r="AH446" s="55">
        <f t="shared" si="42"/>
        <v>583993000</v>
      </c>
      <c r="AI446" s="55">
        <f t="shared" si="42"/>
        <v>583993000</v>
      </c>
      <c r="AJ446" s="55">
        <f t="shared" si="42"/>
        <v>583993000</v>
      </c>
      <c r="AK446" s="55">
        <f t="shared" si="42"/>
        <v>583993000</v>
      </c>
      <c r="AL446" s="55"/>
      <c r="AM446" s="55">
        <v>0</v>
      </c>
      <c r="AN446" s="55">
        <f t="shared" si="44"/>
        <v>-4055507</v>
      </c>
      <c r="AO446" s="55">
        <f t="shared" si="44"/>
        <v>-4055507</v>
      </c>
      <c r="AP446" s="55">
        <f t="shared" si="44"/>
        <v>-4055507</v>
      </c>
      <c r="AQ446" s="55">
        <f t="shared" si="44"/>
        <v>-4055507</v>
      </c>
      <c r="AR446" s="55">
        <f t="shared" si="44"/>
        <v>-4055507</v>
      </c>
      <c r="AS446" s="55">
        <f t="shared" si="44"/>
        <v>-4055507</v>
      </c>
      <c r="AT446" s="55">
        <f t="shared" si="44"/>
        <v>-4055507</v>
      </c>
      <c r="AU446" s="55">
        <f t="shared" si="44"/>
        <v>-4055507</v>
      </c>
      <c r="AV446" s="55">
        <f t="shared" si="44"/>
        <v>-4055507</v>
      </c>
      <c r="AW446" s="55">
        <f t="shared" si="44"/>
        <v>-4055507</v>
      </c>
      <c r="AX446" s="55">
        <f t="shared" si="44"/>
        <v>-4055507</v>
      </c>
      <c r="AY446" s="55">
        <f t="shared" si="44"/>
        <v>-4055507</v>
      </c>
      <c r="AZ446" s="59">
        <f t="shared" si="45"/>
        <v>-48666084</v>
      </c>
      <c r="BA446" s="55">
        <f t="shared" si="46"/>
        <v>583993000</v>
      </c>
      <c r="BB446" s="56">
        <f t="shared" si="47"/>
        <v>579937493</v>
      </c>
      <c r="BC446" s="56">
        <f t="shared" si="48"/>
        <v>575881986</v>
      </c>
      <c r="BD446" s="56">
        <f t="shared" si="49"/>
        <v>571826479</v>
      </c>
      <c r="BE446" s="56">
        <f t="shared" si="50"/>
        <v>567770972</v>
      </c>
      <c r="BF446" s="56">
        <f t="shared" si="51"/>
        <v>563715465</v>
      </c>
      <c r="BG446" s="56">
        <f t="shared" si="52"/>
        <v>559659958</v>
      </c>
      <c r="BH446" s="56">
        <f t="shared" si="53"/>
        <v>555604451</v>
      </c>
      <c r="BI446" s="56">
        <f t="shared" si="54"/>
        <v>551548944</v>
      </c>
      <c r="BJ446" s="56">
        <f t="shared" si="55"/>
        <v>547493437</v>
      </c>
      <c r="BK446" s="56">
        <f t="shared" si="56"/>
        <v>543437930</v>
      </c>
      <c r="BL446" s="56">
        <f t="shared" si="57"/>
        <v>539382423</v>
      </c>
      <c r="BM446" s="56">
        <f t="shared" si="58"/>
        <v>535326916</v>
      </c>
      <c r="BO446" s="55"/>
    </row>
    <row r="447" spans="3:67" s="49" customFormat="1" x14ac:dyDescent="0.3">
      <c r="C447" s="49" t="s">
        <v>1576</v>
      </c>
      <c r="D447" s="50" t="s">
        <v>338</v>
      </c>
      <c r="E447" s="50" t="str">
        <f t="shared" si="21"/>
        <v>211</v>
      </c>
      <c r="F447" s="49" t="str">
        <f>_xlfn.XLOOKUP($D447,MD_Account_Asset_Type[Nhóm tài sản],MD_Account_Asset_Type[Tên Nhóm tài sản])</f>
        <v>Máy móc, thiết bị - SX 627</v>
      </c>
      <c r="G447" s="49" t="str">
        <f>_xlfn.XLOOKUP($D447,MD_Account_Asset_Type[Nhóm tài sản],MD_Account_Asset_Type[Tên nhóm TS-Rút gọn])</f>
        <v>Máy móc thiết bị</v>
      </c>
      <c r="H447" s="49" t="str">
        <f>_xlfn.XLOOKUP($D447,MD_Account_Asset_Type[Nhóm tài sản],MD_Account_Asset_Type[Tên nhóm TS-Rút gọn-v2])</f>
        <v>Máy móc thiết bị</v>
      </c>
      <c r="I447" s="51" t="s">
        <v>1320</v>
      </c>
      <c r="J447" s="50" t="s">
        <v>1309</v>
      </c>
      <c r="K447" s="49" t="s">
        <v>1368</v>
      </c>
      <c r="L447" s="50" t="s">
        <v>65</v>
      </c>
      <c r="M447" s="50" t="s">
        <v>140</v>
      </c>
      <c r="N447" s="52" t="s">
        <v>258</v>
      </c>
      <c r="O447" s="52"/>
      <c r="P447" s="49" t="s">
        <v>462</v>
      </c>
      <c r="Q447" s="49" t="str">
        <f t="shared" si="20"/>
        <v>627</v>
      </c>
      <c r="R447" s="49" t="str">
        <f>_xlfn.XLOOKUP($L447,MD_Cost_Center[Mã Cost Center],MD_Cost_Center[Ngành])</f>
        <v>PET</v>
      </c>
      <c r="S447" s="49" t="str">
        <f>_xlfn.XLOOKUP($L447,MD_Cost_Center[Mã Cost Center],MD_Cost_Center[Ngành-Tách PET-Xơ sợi])</f>
        <v>Chung-PET</v>
      </c>
      <c r="T447" s="53">
        <v>46023</v>
      </c>
      <c r="U447" s="54">
        <v>50406</v>
      </c>
      <c r="V447" s="55">
        <v>144</v>
      </c>
      <c r="W447" s="55">
        <v>1511728468</v>
      </c>
      <c r="X447" s="55">
        <f t="shared" si="40"/>
        <v>-10498114</v>
      </c>
      <c r="Y447" s="55">
        <f t="shared" si="43"/>
        <v>1511728468</v>
      </c>
      <c r="Z447" s="55">
        <f t="shared" si="42"/>
        <v>1511728468</v>
      </c>
      <c r="AA447" s="55">
        <f t="shared" si="42"/>
        <v>1511728468</v>
      </c>
      <c r="AB447" s="55">
        <f t="shared" si="42"/>
        <v>1511728468</v>
      </c>
      <c r="AC447" s="55">
        <f t="shared" si="42"/>
        <v>1511728468</v>
      </c>
      <c r="AD447" s="55">
        <f t="shared" si="42"/>
        <v>1511728468</v>
      </c>
      <c r="AE447" s="55">
        <f t="shared" si="42"/>
        <v>1511728468</v>
      </c>
      <c r="AF447" s="55">
        <f t="shared" si="42"/>
        <v>1511728468</v>
      </c>
      <c r="AG447" s="55">
        <f t="shared" si="42"/>
        <v>1511728468</v>
      </c>
      <c r="AH447" s="55">
        <f t="shared" si="42"/>
        <v>1511728468</v>
      </c>
      <c r="AI447" s="55">
        <f t="shared" si="42"/>
        <v>1511728468</v>
      </c>
      <c r="AJ447" s="55">
        <f t="shared" si="42"/>
        <v>1511728468</v>
      </c>
      <c r="AK447" s="55">
        <f t="shared" si="42"/>
        <v>1511728468</v>
      </c>
      <c r="AL447" s="55"/>
      <c r="AM447" s="55">
        <v>0</v>
      </c>
      <c r="AN447" s="55">
        <f t="shared" si="44"/>
        <v>-10498114</v>
      </c>
      <c r="AO447" s="55">
        <f t="shared" si="44"/>
        <v>-10498114</v>
      </c>
      <c r="AP447" s="55">
        <f t="shared" si="44"/>
        <v>-10498114</v>
      </c>
      <c r="AQ447" s="55">
        <f t="shared" si="44"/>
        <v>-10498114</v>
      </c>
      <c r="AR447" s="55">
        <f t="shared" si="44"/>
        <v>-10498114</v>
      </c>
      <c r="AS447" s="55">
        <f t="shared" si="44"/>
        <v>-10498114</v>
      </c>
      <c r="AT447" s="55">
        <f t="shared" si="44"/>
        <v>-10498114</v>
      </c>
      <c r="AU447" s="55">
        <f t="shared" si="44"/>
        <v>-10498114</v>
      </c>
      <c r="AV447" s="55">
        <f t="shared" si="44"/>
        <v>-10498114</v>
      </c>
      <c r="AW447" s="55">
        <f t="shared" si="44"/>
        <v>-10498114</v>
      </c>
      <c r="AX447" s="55">
        <f t="shared" si="44"/>
        <v>-10498114</v>
      </c>
      <c r="AY447" s="55">
        <f t="shared" si="44"/>
        <v>-10498114</v>
      </c>
      <c r="AZ447" s="59">
        <f t="shared" si="45"/>
        <v>-125977368</v>
      </c>
      <c r="BA447" s="55">
        <f t="shared" si="46"/>
        <v>1511728468</v>
      </c>
      <c r="BB447" s="56">
        <f t="shared" si="47"/>
        <v>1501230354</v>
      </c>
      <c r="BC447" s="56">
        <f t="shared" si="48"/>
        <v>1490732240</v>
      </c>
      <c r="BD447" s="56">
        <f t="shared" si="49"/>
        <v>1480234126</v>
      </c>
      <c r="BE447" s="56">
        <f t="shared" si="50"/>
        <v>1469736012</v>
      </c>
      <c r="BF447" s="56">
        <f t="shared" si="51"/>
        <v>1459237898</v>
      </c>
      <c r="BG447" s="56">
        <f t="shared" si="52"/>
        <v>1448739784</v>
      </c>
      <c r="BH447" s="56">
        <f t="shared" si="53"/>
        <v>1438241670</v>
      </c>
      <c r="BI447" s="56">
        <f t="shared" si="54"/>
        <v>1427743556</v>
      </c>
      <c r="BJ447" s="56">
        <f t="shared" si="55"/>
        <v>1417245442</v>
      </c>
      <c r="BK447" s="56">
        <f t="shared" si="56"/>
        <v>1406747328</v>
      </c>
      <c r="BL447" s="56">
        <f t="shared" si="57"/>
        <v>1396249214</v>
      </c>
      <c r="BM447" s="56">
        <f t="shared" si="58"/>
        <v>1385751100</v>
      </c>
      <c r="BO447" s="55"/>
    </row>
    <row r="448" spans="3:67" s="49" customFormat="1" x14ac:dyDescent="0.3">
      <c r="C448" s="49" t="s">
        <v>1576</v>
      </c>
      <c r="D448" s="50" t="s">
        <v>338</v>
      </c>
      <c r="E448" s="50" t="str">
        <f t="shared" si="21"/>
        <v>211</v>
      </c>
      <c r="F448" s="49" t="str">
        <f>_xlfn.XLOOKUP($D448,MD_Account_Asset_Type[Nhóm tài sản],MD_Account_Asset_Type[Tên Nhóm tài sản])</f>
        <v>Máy móc, thiết bị - SX 627</v>
      </c>
      <c r="G448" s="49" t="str">
        <f>_xlfn.XLOOKUP($D448,MD_Account_Asset_Type[Nhóm tài sản],MD_Account_Asset_Type[Tên nhóm TS-Rút gọn])</f>
        <v>Máy móc thiết bị</v>
      </c>
      <c r="H448" s="49" t="str">
        <f>_xlfn.XLOOKUP($D448,MD_Account_Asset_Type[Nhóm tài sản],MD_Account_Asset_Type[Tên nhóm TS-Rút gọn-v2])</f>
        <v>Máy móc thiết bị</v>
      </c>
      <c r="I448" s="51" t="s">
        <v>1321</v>
      </c>
      <c r="J448" s="50" t="s">
        <v>1310</v>
      </c>
      <c r="K448" s="49" t="s">
        <v>1368</v>
      </c>
      <c r="L448" s="50" t="s">
        <v>105</v>
      </c>
      <c r="M448" s="50" t="s">
        <v>180</v>
      </c>
      <c r="N448" s="52" t="s">
        <v>288</v>
      </c>
      <c r="O448" s="52"/>
      <c r="P448" s="49" t="s">
        <v>462</v>
      </c>
      <c r="Q448" s="49" t="str">
        <f t="shared" si="20"/>
        <v>627</v>
      </c>
      <c r="R448" s="49" t="str">
        <f>_xlfn.XLOOKUP($L448,MD_Cost_Center[Mã Cost Center],MD_Cost_Center[Ngành])</f>
        <v>HD/PP</v>
      </c>
      <c r="S448" s="49" t="str">
        <f>_xlfn.XLOOKUP($L448,MD_Cost_Center[Mã Cost Center],MD_Cost_Center[Ngành-Tách PET-Xơ sợi])</f>
        <v>HD/PP</v>
      </c>
      <c r="T448" s="53">
        <v>46023</v>
      </c>
      <c r="U448" s="54">
        <v>50406</v>
      </c>
      <c r="V448" s="55">
        <v>144</v>
      </c>
      <c r="W448" s="55">
        <v>6709861922</v>
      </c>
      <c r="X448" s="55">
        <f t="shared" si="40"/>
        <v>-46596263</v>
      </c>
      <c r="Y448" s="55">
        <f t="shared" si="43"/>
        <v>6709861922</v>
      </c>
      <c r="Z448" s="55">
        <f t="shared" si="42"/>
        <v>6709861922</v>
      </c>
      <c r="AA448" s="55">
        <f t="shared" si="42"/>
        <v>6709861922</v>
      </c>
      <c r="AB448" s="55">
        <f t="shared" si="42"/>
        <v>6709861922</v>
      </c>
      <c r="AC448" s="55">
        <f t="shared" si="42"/>
        <v>6709861922</v>
      </c>
      <c r="AD448" s="55">
        <f t="shared" si="42"/>
        <v>6709861922</v>
      </c>
      <c r="AE448" s="55">
        <f t="shared" si="42"/>
        <v>6709861922</v>
      </c>
      <c r="AF448" s="55">
        <f t="shared" si="42"/>
        <v>6709861922</v>
      </c>
      <c r="AG448" s="55">
        <f t="shared" si="42"/>
        <v>6709861922</v>
      </c>
      <c r="AH448" s="55">
        <f t="shared" si="42"/>
        <v>6709861922</v>
      </c>
      <c r="AI448" s="55">
        <f t="shared" si="42"/>
        <v>6709861922</v>
      </c>
      <c r="AJ448" s="55">
        <f t="shared" si="42"/>
        <v>6709861922</v>
      </c>
      <c r="AK448" s="55">
        <f t="shared" si="42"/>
        <v>6709861922</v>
      </c>
      <c r="AL448" s="55"/>
      <c r="AM448" s="55">
        <v>0</v>
      </c>
      <c r="AN448" s="55">
        <f t="shared" si="44"/>
        <v>-46596263</v>
      </c>
      <c r="AO448" s="55">
        <f t="shared" si="44"/>
        <v>-46596263</v>
      </c>
      <c r="AP448" s="55">
        <f t="shared" si="44"/>
        <v>-46596263</v>
      </c>
      <c r="AQ448" s="55">
        <f t="shared" si="44"/>
        <v>-46596263</v>
      </c>
      <c r="AR448" s="55">
        <f t="shared" si="44"/>
        <v>-46596263</v>
      </c>
      <c r="AS448" s="55">
        <f t="shared" si="44"/>
        <v>-46596263</v>
      </c>
      <c r="AT448" s="55">
        <f t="shared" si="44"/>
        <v>-46596263</v>
      </c>
      <c r="AU448" s="55">
        <f t="shared" si="44"/>
        <v>-46596263</v>
      </c>
      <c r="AV448" s="55">
        <f t="shared" si="44"/>
        <v>-46596263</v>
      </c>
      <c r="AW448" s="55">
        <f t="shared" si="44"/>
        <v>-46596263</v>
      </c>
      <c r="AX448" s="55">
        <f t="shared" si="44"/>
        <v>-46596263</v>
      </c>
      <c r="AY448" s="55">
        <f t="shared" si="44"/>
        <v>-46596263</v>
      </c>
      <c r="AZ448" s="59">
        <f t="shared" si="45"/>
        <v>-559155156</v>
      </c>
      <c r="BA448" s="55">
        <f t="shared" si="46"/>
        <v>6709861922</v>
      </c>
      <c r="BB448" s="56">
        <f t="shared" si="47"/>
        <v>6663265659</v>
      </c>
      <c r="BC448" s="56">
        <f t="shared" si="48"/>
        <v>6616669396</v>
      </c>
      <c r="BD448" s="56">
        <f t="shared" si="49"/>
        <v>6570073133</v>
      </c>
      <c r="BE448" s="56">
        <f t="shared" si="50"/>
        <v>6523476870</v>
      </c>
      <c r="BF448" s="56">
        <f t="shared" si="51"/>
        <v>6476880607</v>
      </c>
      <c r="BG448" s="56">
        <f t="shared" si="52"/>
        <v>6430284344</v>
      </c>
      <c r="BH448" s="56">
        <f t="shared" si="53"/>
        <v>6383688081</v>
      </c>
      <c r="BI448" s="56">
        <f t="shared" si="54"/>
        <v>6337091818</v>
      </c>
      <c r="BJ448" s="56">
        <f t="shared" si="55"/>
        <v>6290495555</v>
      </c>
      <c r="BK448" s="56">
        <f t="shared" si="56"/>
        <v>6243899292</v>
      </c>
      <c r="BL448" s="56">
        <f t="shared" si="57"/>
        <v>6197303029</v>
      </c>
      <c r="BM448" s="56">
        <f t="shared" si="58"/>
        <v>6150706766</v>
      </c>
      <c r="BO448" s="55"/>
    </row>
    <row r="449" spans="3:67" s="49" customFormat="1" x14ac:dyDescent="0.3">
      <c r="C449" s="49" t="s">
        <v>1576</v>
      </c>
      <c r="D449" s="50" t="s">
        <v>338</v>
      </c>
      <c r="E449" s="50" t="str">
        <f t="shared" si="21"/>
        <v>211</v>
      </c>
      <c r="F449" s="49" t="str">
        <f>_xlfn.XLOOKUP($D449,MD_Account_Asset_Type[Nhóm tài sản],MD_Account_Asset_Type[Tên Nhóm tài sản])</f>
        <v>Máy móc, thiết bị - SX 627</v>
      </c>
      <c r="G449" s="49" t="str">
        <f>_xlfn.XLOOKUP($D449,MD_Account_Asset_Type[Nhóm tài sản],MD_Account_Asset_Type[Tên nhóm TS-Rút gọn])</f>
        <v>Máy móc thiết bị</v>
      </c>
      <c r="H449" s="49" t="str">
        <f>_xlfn.XLOOKUP($D449,MD_Account_Asset_Type[Nhóm tài sản],MD_Account_Asset_Type[Tên nhóm TS-Rút gọn-v2])</f>
        <v>Máy móc thiết bị</v>
      </c>
      <c r="I449" s="51" t="s">
        <v>1322</v>
      </c>
      <c r="J449" s="50" t="s">
        <v>1311</v>
      </c>
      <c r="K449" s="49" t="s">
        <v>1368</v>
      </c>
      <c r="L449" s="50" t="s">
        <v>1365</v>
      </c>
      <c r="M449" s="50" t="s">
        <v>1366</v>
      </c>
      <c r="N449" s="52" t="s">
        <v>1364</v>
      </c>
      <c r="O449" s="52"/>
      <c r="P449" s="49" t="s">
        <v>462</v>
      </c>
      <c r="Q449" s="49" t="str">
        <f t="shared" si="20"/>
        <v>627</v>
      </c>
      <c r="R449" s="49" t="str">
        <f>_xlfn.XLOOKUP($L449,MD_Cost_Center[Mã Cost Center],MD_Cost_Center[Ngành])</f>
        <v>PET</v>
      </c>
      <c r="S449" s="49" t="str">
        <f>_xlfn.XLOOKUP($L449,MD_Cost_Center[Mã Cost Center],MD_Cost_Center[Ngành-Tách PET-Xơ sợi])</f>
        <v>Chung-PET</v>
      </c>
      <c r="T449" s="53">
        <v>46023</v>
      </c>
      <c r="U449" s="54">
        <v>50406</v>
      </c>
      <c r="V449" s="55">
        <v>144</v>
      </c>
      <c r="W449" s="55">
        <v>42003448000</v>
      </c>
      <c r="X449" s="55">
        <f t="shared" si="40"/>
        <v>-291690611</v>
      </c>
      <c r="Y449" s="55">
        <f t="shared" si="43"/>
        <v>42003448000</v>
      </c>
      <c r="Z449" s="55">
        <f t="shared" si="42"/>
        <v>42003448000</v>
      </c>
      <c r="AA449" s="55">
        <f t="shared" si="42"/>
        <v>42003448000</v>
      </c>
      <c r="AB449" s="55">
        <f t="shared" si="42"/>
        <v>42003448000</v>
      </c>
      <c r="AC449" s="55">
        <f t="shared" si="42"/>
        <v>42003448000</v>
      </c>
      <c r="AD449" s="55">
        <f t="shared" si="42"/>
        <v>42003448000</v>
      </c>
      <c r="AE449" s="55">
        <f t="shared" si="42"/>
        <v>42003448000</v>
      </c>
      <c r="AF449" s="55">
        <f t="shared" si="42"/>
        <v>42003448000</v>
      </c>
      <c r="AG449" s="55">
        <f t="shared" si="42"/>
        <v>42003448000</v>
      </c>
      <c r="AH449" s="55">
        <f t="shared" si="42"/>
        <v>42003448000</v>
      </c>
      <c r="AI449" s="55">
        <f t="shared" si="42"/>
        <v>42003448000</v>
      </c>
      <c r="AJ449" s="55">
        <f t="shared" si="42"/>
        <v>42003448000</v>
      </c>
      <c r="AK449" s="55">
        <f t="shared" si="42"/>
        <v>42003448000</v>
      </c>
      <c r="AL449" s="55"/>
      <c r="AM449" s="55">
        <v>0</v>
      </c>
      <c r="AN449" s="55">
        <f t="shared" si="44"/>
        <v>-291690611</v>
      </c>
      <c r="AO449" s="55">
        <f t="shared" si="44"/>
        <v>-291690611</v>
      </c>
      <c r="AP449" s="55">
        <f t="shared" si="44"/>
        <v>-291690611</v>
      </c>
      <c r="AQ449" s="55">
        <f t="shared" si="44"/>
        <v>-291690611</v>
      </c>
      <c r="AR449" s="55">
        <f t="shared" si="44"/>
        <v>-291690611</v>
      </c>
      <c r="AS449" s="55">
        <f t="shared" si="44"/>
        <v>-291690611</v>
      </c>
      <c r="AT449" s="55">
        <f t="shared" si="44"/>
        <v>-291690611</v>
      </c>
      <c r="AU449" s="55">
        <f t="shared" si="44"/>
        <v>-291690611</v>
      </c>
      <c r="AV449" s="55">
        <f t="shared" si="44"/>
        <v>-291690611</v>
      </c>
      <c r="AW449" s="55">
        <f t="shared" si="44"/>
        <v>-291690611</v>
      </c>
      <c r="AX449" s="55">
        <f t="shared" si="44"/>
        <v>-291690611</v>
      </c>
      <c r="AY449" s="55">
        <f t="shared" si="44"/>
        <v>-291690611</v>
      </c>
      <c r="AZ449" s="59">
        <f t="shared" si="45"/>
        <v>-3500287332</v>
      </c>
      <c r="BA449" s="55">
        <f t="shared" si="46"/>
        <v>42003448000</v>
      </c>
      <c r="BB449" s="56">
        <f t="shared" si="47"/>
        <v>41711757389</v>
      </c>
      <c r="BC449" s="56">
        <f t="shared" si="48"/>
        <v>41420066778</v>
      </c>
      <c r="BD449" s="56">
        <f t="shared" si="49"/>
        <v>41128376167</v>
      </c>
      <c r="BE449" s="56">
        <f t="shared" si="50"/>
        <v>40836685556</v>
      </c>
      <c r="BF449" s="56">
        <f t="shared" si="51"/>
        <v>40544994945</v>
      </c>
      <c r="BG449" s="56">
        <f t="shared" si="52"/>
        <v>40253304334</v>
      </c>
      <c r="BH449" s="56">
        <f t="shared" si="53"/>
        <v>39961613723</v>
      </c>
      <c r="BI449" s="56">
        <f t="shared" si="54"/>
        <v>39669923112</v>
      </c>
      <c r="BJ449" s="56">
        <f t="shared" si="55"/>
        <v>39378232501</v>
      </c>
      <c r="BK449" s="56">
        <f t="shared" si="56"/>
        <v>39086541890</v>
      </c>
      <c r="BL449" s="56">
        <f t="shared" si="57"/>
        <v>38794851279</v>
      </c>
      <c r="BM449" s="56">
        <f t="shared" si="58"/>
        <v>38503160668</v>
      </c>
      <c r="BO449" s="55"/>
    </row>
    <row r="450" spans="3:67" s="49" customFormat="1" x14ac:dyDescent="0.3">
      <c r="C450" s="49" t="s">
        <v>1576</v>
      </c>
      <c r="D450" s="50" t="s">
        <v>337</v>
      </c>
      <c r="E450" s="50" t="str">
        <f t="shared" si="21"/>
        <v>211</v>
      </c>
      <c r="F450" s="49" t="str">
        <f>_xlfn.XLOOKUP($D450,MD_Account_Asset_Type[Nhóm tài sản],MD_Account_Asset_Type[Tên Nhóm tài sản])</f>
        <v>Máy móc, thiết bị phụ - SX 627</v>
      </c>
      <c r="G450" s="49" t="str">
        <f>_xlfn.XLOOKUP($D450,MD_Account_Asset_Type[Nhóm tài sản],MD_Account_Asset_Type[Tên nhóm TS-Rút gọn])</f>
        <v>Máy móc thiết bị</v>
      </c>
      <c r="H450" s="49" t="str">
        <f>_xlfn.XLOOKUP($D450,MD_Account_Asset_Type[Nhóm tài sản],MD_Account_Asset_Type[Tên nhóm TS-Rút gọn-v2])</f>
        <v>Máy móc thiết bị</v>
      </c>
      <c r="I450" s="51" t="s">
        <v>1323</v>
      </c>
      <c r="J450" s="50" t="s">
        <v>1312</v>
      </c>
      <c r="K450" s="49" t="s">
        <v>1368</v>
      </c>
      <c r="L450" s="50" t="s">
        <v>45</v>
      </c>
      <c r="M450" s="50" t="s">
        <v>120</v>
      </c>
      <c r="N450" s="52">
        <v>0</v>
      </c>
      <c r="O450" s="52"/>
      <c r="P450" s="49" t="s">
        <v>461</v>
      </c>
      <c r="Q450" s="49" t="str">
        <f t="shared" si="20"/>
        <v>627</v>
      </c>
      <c r="R450" s="49" t="str">
        <f>_xlfn.XLOOKUP($L450,MD_Cost_Center[Mã Cost Center],MD_Cost_Center[Ngành])</f>
        <v>Chung</v>
      </c>
      <c r="S450" s="49" t="str">
        <f>_xlfn.XLOOKUP($L450,MD_Cost_Center[Mã Cost Center],MD_Cost_Center[Ngành-Tách PET-Xơ sợi])</f>
        <v>Chung</v>
      </c>
      <c r="T450" s="53">
        <v>46023</v>
      </c>
      <c r="U450" s="54">
        <v>50406</v>
      </c>
      <c r="V450" s="55">
        <v>144</v>
      </c>
      <c r="W450" s="55">
        <v>2765000000</v>
      </c>
      <c r="X450" s="55">
        <f t="shared" si="40"/>
        <v>-19201389</v>
      </c>
      <c r="Y450" s="55">
        <f t="shared" si="43"/>
        <v>2765000000</v>
      </c>
      <c r="Z450" s="55">
        <f t="shared" si="42"/>
        <v>2765000000</v>
      </c>
      <c r="AA450" s="55">
        <f t="shared" si="42"/>
        <v>2765000000</v>
      </c>
      <c r="AB450" s="55">
        <f t="shared" si="42"/>
        <v>2765000000</v>
      </c>
      <c r="AC450" s="55">
        <f t="shared" si="42"/>
        <v>2765000000</v>
      </c>
      <c r="AD450" s="55">
        <f t="shared" si="42"/>
        <v>2765000000</v>
      </c>
      <c r="AE450" s="55">
        <f t="shared" si="42"/>
        <v>2765000000</v>
      </c>
      <c r="AF450" s="55">
        <f t="shared" si="42"/>
        <v>2765000000</v>
      </c>
      <c r="AG450" s="55">
        <f t="shared" si="42"/>
        <v>2765000000</v>
      </c>
      <c r="AH450" s="55">
        <f t="shared" si="42"/>
        <v>2765000000</v>
      </c>
      <c r="AI450" s="55">
        <f t="shared" si="42"/>
        <v>2765000000</v>
      </c>
      <c r="AJ450" s="55">
        <f t="shared" si="42"/>
        <v>2765000000</v>
      </c>
      <c r="AK450" s="55">
        <f t="shared" si="42"/>
        <v>2765000000</v>
      </c>
      <c r="AL450" s="55"/>
      <c r="AM450" s="55">
        <v>0</v>
      </c>
      <c r="AN450" s="55">
        <f t="shared" si="44"/>
        <v>-19201389</v>
      </c>
      <c r="AO450" s="55">
        <f t="shared" si="44"/>
        <v>-19201389</v>
      </c>
      <c r="AP450" s="55">
        <f t="shared" si="44"/>
        <v>-19201389</v>
      </c>
      <c r="AQ450" s="55">
        <f t="shared" si="44"/>
        <v>-19201389</v>
      </c>
      <c r="AR450" s="55">
        <f t="shared" si="44"/>
        <v>-19201389</v>
      </c>
      <c r="AS450" s="55">
        <f t="shared" si="44"/>
        <v>-19201389</v>
      </c>
      <c r="AT450" s="55">
        <f t="shared" si="44"/>
        <v>-19201389</v>
      </c>
      <c r="AU450" s="55">
        <f t="shared" si="44"/>
        <v>-19201389</v>
      </c>
      <c r="AV450" s="55">
        <f t="shared" si="44"/>
        <v>-19201389</v>
      </c>
      <c r="AW450" s="55">
        <f t="shared" si="44"/>
        <v>-19201389</v>
      </c>
      <c r="AX450" s="55">
        <f t="shared" si="44"/>
        <v>-19201389</v>
      </c>
      <c r="AY450" s="55">
        <f t="shared" si="44"/>
        <v>-19201389</v>
      </c>
      <c r="AZ450" s="59">
        <f t="shared" si="45"/>
        <v>-230416668</v>
      </c>
      <c r="BA450" s="55">
        <f t="shared" si="46"/>
        <v>2765000000</v>
      </c>
      <c r="BB450" s="56">
        <f t="shared" si="47"/>
        <v>2745798611</v>
      </c>
      <c r="BC450" s="56">
        <f t="shared" si="48"/>
        <v>2726597222</v>
      </c>
      <c r="BD450" s="56">
        <f t="shared" si="49"/>
        <v>2707395833</v>
      </c>
      <c r="BE450" s="56">
        <f t="shared" si="50"/>
        <v>2688194444</v>
      </c>
      <c r="BF450" s="56">
        <f t="shared" si="51"/>
        <v>2668993055</v>
      </c>
      <c r="BG450" s="56">
        <f t="shared" si="52"/>
        <v>2649791666</v>
      </c>
      <c r="BH450" s="56">
        <f t="shared" si="53"/>
        <v>2630590277</v>
      </c>
      <c r="BI450" s="56">
        <f t="shared" si="54"/>
        <v>2611388888</v>
      </c>
      <c r="BJ450" s="56">
        <f t="shared" si="55"/>
        <v>2592187499</v>
      </c>
      <c r="BK450" s="56">
        <f t="shared" si="56"/>
        <v>2572986110</v>
      </c>
      <c r="BL450" s="56">
        <f t="shared" si="57"/>
        <v>2553784721</v>
      </c>
      <c r="BM450" s="56">
        <f t="shared" si="58"/>
        <v>2534583332</v>
      </c>
      <c r="BO450" s="55"/>
    </row>
    <row r="451" spans="3:67" s="49" customFormat="1" x14ac:dyDescent="0.3">
      <c r="C451" s="49" t="s">
        <v>1576</v>
      </c>
      <c r="D451" s="50" t="s">
        <v>337</v>
      </c>
      <c r="E451" s="50" t="str">
        <f t="shared" si="21"/>
        <v>211</v>
      </c>
      <c r="F451" s="49" t="str">
        <f>_xlfn.XLOOKUP($D451,MD_Account_Asset_Type[Nhóm tài sản],MD_Account_Asset_Type[Tên Nhóm tài sản])</f>
        <v>Máy móc, thiết bị phụ - SX 627</v>
      </c>
      <c r="G451" s="49" t="str">
        <f>_xlfn.XLOOKUP($D451,MD_Account_Asset_Type[Nhóm tài sản],MD_Account_Asset_Type[Tên nhóm TS-Rút gọn])</f>
        <v>Máy móc thiết bị</v>
      </c>
      <c r="H451" s="49" t="str">
        <f>_xlfn.XLOOKUP($D451,MD_Account_Asset_Type[Nhóm tài sản],MD_Account_Asset_Type[Tên nhóm TS-Rút gọn-v2])</f>
        <v>Máy móc thiết bị</v>
      </c>
      <c r="I451" s="51" t="s">
        <v>1324</v>
      </c>
      <c r="J451" s="50" t="s">
        <v>1313</v>
      </c>
      <c r="K451" s="49" t="s">
        <v>1368</v>
      </c>
      <c r="L451" s="50" t="s">
        <v>46</v>
      </c>
      <c r="M451" s="50" t="s">
        <v>121</v>
      </c>
      <c r="N451" s="52">
        <v>0</v>
      </c>
      <c r="O451" s="52"/>
      <c r="P451" s="49" t="s">
        <v>461</v>
      </c>
      <c r="Q451" s="49" t="str">
        <f t="shared" si="20"/>
        <v>627</v>
      </c>
      <c r="R451" s="49" t="str">
        <f>_xlfn.XLOOKUP($L451,MD_Cost_Center[Mã Cost Center],MD_Cost_Center[Ngành])</f>
        <v>Chung</v>
      </c>
      <c r="S451" s="49" t="str">
        <f>_xlfn.XLOOKUP($L451,MD_Cost_Center[Mã Cost Center],MD_Cost_Center[Ngành-Tách PET-Xơ sợi])</f>
        <v>Chung</v>
      </c>
      <c r="T451" s="53">
        <v>46023</v>
      </c>
      <c r="U451" s="54">
        <v>50406</v>
      </c>
      <c r="V451" s="55">
        <v>144</v>
      </c>
      <c r="W451" s="55">
        <v>3419800000</v>
      </c>
      <c r="X451" s="55">
        <f t="shared" si="40"/>
        <v>-23748611</v>
      </c>
      <c r="Y451" s="55">
        <f t="shared" si="43"/>
        <v>3419800000</v>
      </c>
      <c r="Z451" s="55">
        <f t="shared" si="43"/>
        <v>3419800000</v>
      </c>
      <c r="AA451" s="55">
        <f t="shared" si="43"/>
        <v>3419800000</v>
      </c>
      <c r="AB451" s="55">
        <f t="shared" si="43"/>
        <v>3419800000</v>
      </c>
      <c r="AC451" s="55">
        <f t="shared" si="43"/>
        <v>3419800000</v>
      </c>
      <c r="AD451" s="55">
        <f t="shared" si="43"/>
        <v>3419800000</v>
      </c>
      <c r="AE451" s="55">
        <f t="shared" si="43"/>
        <v>3419800000</v>
      </c>
      <c r="AF451" s="55">
        <f t="shared" si="43"/>
        <v>3419800000</v>
      </c>
      <c r="AG451" s="55">
        <f t="shared" si="43"/>
        <v>3419800000</v>
      </c>
      <c r="AH451" s="55">
        <f t="shared" si="43"/>
        <v>3419800000</v>
      </c>
      <c r="AI451" s="55">
        <f t="shared" si="43"/>
        <v>3419800000</v>
      </c>
      <c r="AJ451" s="55">
        <f t="shared" si="43"/>
        <v>3419800000</v>
      </c>
      <c r="AK451" s="55">
        <f t="shared" si="43"/>
        <v>3419800000</v>
      </c>
      <c r="AL451" s="55"/>
      <c r="AM451" s="55">
        <v>0</v>
      </c>
      <c r="AN451" s="55">
        <f t="shared" si="44"/>
        <v>-23748611</v>
      </c>
      <c r="AO451" s="55">
        <f t="shared" si="44"/>
        <v>-23748611</v>
      </c>
      <c r="AP451" s="55">
        <f t="shared" si="44"/>
        <v>-23748611</v>
      </c>
      <c r="AQ451" s="55">
        <f t="shared" si="44"/>
        <v>-23748611</v>
      </c>
      <c r="AR451" s="55">
        <f t="shared" si="44"/>
        <v>-23748611</v>
      </c>
      <c r="AS451" s="55">
        <f t="shared" si="44"/>
        <v>-23748611</v>
      </c>
      <c r="AT451" s="55">
        <f t="shared" si="44"/>
        <v>-23748611</v>
      </c>
      <c r="AU451" s="55">
        <f t="shared" si="44"/>
        <v>-23748611</v>
      </c>
      <c r="AV451" s="55">
        <f t="shared" si="44"/>
        <v>-23748611</v>
      </c>
      <c r="AW451" s="55">
        <f t="shared" si="44"/>
        <v>-23748611</v>
      </c>
      <c r="AX451" s="55">
        <f t="shared" si="44"/>
        <v>-23748611</v>
      </c>
      <c r="AY451" s="55">
        <f t="shared" si="44"/>
        <v>-23748611</v>
      </c>
      <c r="AZ451" s="59">
        <f t="shared" si="45"/>
        <v>-284983332</v>
      </c>
      <c r="BA451" s="55">
        <f t="shared" si="46"/>
        <v>3419800000</v>
      </c>
      <c r="BB451" s="56">
        <f t="shared" si="47"/>
        <v>3396051389</v>
      </c>
      <c r="BC451" s="56">
        <f t="shared" si="48"/>
        <v>3372302778</v>
      </c>
      <c r="BD451" s="56">
        <f t="shared" si="49"/>
        <v>3348554167</v>
      </c>
      <c r="BE451" s="56">
        <f t="shared" si="50"/>
        <v>3324805556</v>
      </c>
      <c r="BF451" s="56">
        <f t="shared" si="51"/>
        <v>3301056945</v>
      </c>
      <c r="BG451" s="56">
        <f t="shared" si="52"/>
        <v>3277308334</v>
      </c>
      <c r="BH451" s="56">
        <f t="shared" si="53"/>
        <v>3253559723</v>
      </c>
      <c r="BI451" s="56">
        <f t="shared" si="54"/>
        <v>3229811112</v>
      </c>
      <c r="BJ451" s="56">
        <f t="shared" si="55"/>
        <v>3206062501</v>
      </c>
      <c r="BK451" s="56">
        <f t="shared" si="56"/>
        <v>3182313890</v>
      </c>
      <c r="BL451" s="56">
        <f t="shared" si="57"/>
        <v>3158565279</v>
      </c>
      <c r="BM451" s="56">
        <f t="shared" si="58"/>
        <v>3134816668</v>
      </c>
      <c r="BO451" s="55"/>
    </row>
    <row r="452" spans="3:67" s="49" customFormat="1" x14ac:dyDescent="0.3">
      <c r="C452" s="49" t="s">
        <v>1576</v>
      </c>
      <c r="D452" s="50" t="s">
        <v>338</v>
      </c>
      <c r="E452" s="50" t="str">
        <f t="shared" si="21"/>
        <v>211</v>
      </c>
      <c r="F452" s="49" t="str">
        <f>_xlfn.XLOOKUP($D452,MD_Account_Asset_Type[Nhóm tài sản],MD_Account_Asset_Type[Tên Nhóm tài sản])</f>
        <v>Máy móc, thiết bị - SX 627</v>
      </c>
      <c r="G452" s="49" t="str">
        <f>_xlfn.XLOOKUP($D452,MD_Account_Asset_Type[Nhóm tài sản],MD_Account_Asset_Type[Tên nhóm TS-Rút gọn])</f>
        <v>Máy móc thiết bị</v>
      </c>
      <c r="H452" s="49" t="str">
        <f>_xlfn.XLOOKUP($D452,MD_Account_Asset_Type[Nhóm tài sản],MD_Account_Asset_Type[Tên nhóm TS-Rút gọn-v2])</f>
        <v>Máy móc thiết bị</v>
      </c>
      <c r="I452" s="51" t="s">
        <v>1325</v>
      </c>
      <c r="J452" s="50" t="s">
        <v>1314</v>
      </c>
      <c r="K452" s="49" t="s">
        <v>1368</v>
      </c>
      <c r="L452" s="50" t="s">
        <v>106</v>
      </c>
      <c r="M452" s="50" t="s">
        <v>181</v>
      </c>
      <c r="N452" s="52" t="s">
        <v>289</v>
      </c>
      <c r="O452" s="52"/>
      <c r="P452" s="49" t="s">
        <v>462</v>
      </c>
      <c r="Q452" s="49" t="str">
        <f t="shared" ref="Q452:Q503" si="59">LEFT($P452,3)</f>
        <v>627</v>
      </c>
      <c r="R452" s="49" t="str">
        <f>_xlfn.XLOOKUP($L452,MD_Cost_Center[Mã Cost Center],MD_Cost_Center[Ngành])</f>
        <v>PET</v>
      </c>
      <c r="S452" s="49" t="str">
        <f>_xlfn.XLOOKUP($L452,MD_Cost_Center[Mã Cost Center],MD_Cost_Center[Ngành-Tách PET-Xơ sợi])</f>
        <v>Chung-PET</v>
      </c>
      <c r="T452" s="53">
        <v>46023</v>
      </c>
      <c r="U452" s="54">
        <v>50406</v>
      </c>
      <c r="V452" s="55">
        <v>144</v>
      </c>
      <c r="W452" s="55">
        <v>665000000</v>
      </c>
      <c r="X452" s="55">
        <f t="shared" si="40"/>
        <v>-4618056</v>
      </c>
      <c r="Y452" s="55">
        <f t="shared" ref="Y452:AK461" si="60">IF($T452-1&lt;=Y$6,$W452,0)</f>
        <v>665000000</v>
      </c>
      <c r="Z452" s="55">
        <f t="shared" si="60"/>
        <v>665000000</v>
      </c>
      <c r="AA452" s="55">
        <f t="shared" si="60"/>
        <v>665000000</v>
      </c>
      <c r="AB452" s="55">
        <f t="shared" si="60"/>
        <v>665000000</v>
      </c>
      <c r="AC452" s="55">
        <f t="shared" si="60"/>
        <v>665000000</v>
      </c>
      <c r="AD452" s="55">
        <f t="shared" si="60"/>
        <v>665000000</v>
      </c>
      <c r="AE452" s="55">
        <f t="shared" si="60"/>
        <v>665000000</v>
      </c>
      <c r="AF452" s="55">
        <f t="shared" si="60"/>
        <v>665000000</v>
      </c>
      <c r="AG452" s="55">
        <f t="shared" si="60"/>
        <v>665000000</v>
      </c>
      <c r="AH452" s="55">
        <f t="shared" si="60"/>
        <v>665000000</v>
      </c>
      <c r="AI452" s="55">
        <f t="shared" si="60"/>
        <v>665000000</v>
      </c>
      <c r="AJ452" s="55">
        <f t="shared" si="60"/>
        <v>665000000</v>
      </c>
      <c r="AK452" s="55">
        <f t="shared" si="60"/>
        <v>665000000</v>
      </c>
      <c r="AL452" s="55"/>
      <c r="AM452" s="55">
        <v>0</v>
      </c>
      <c r="AN452" s="55">
        <f t="shared" si="44"/>
        <v>-4618056</v>
      </c>
      <c r="AO452" s="55">
        <f t="shared" si="44"/>
        <v>-4618056</v>
      </c>
      <c r="AP452" s="55">
        <f t="shared" si="44"/>
        <v>-4618056</v>
      </c>
      <c r="AQ452" s="55">
        <f t="shared" si="44"/>
        <v>-4618056</v>
      </c>
      <c r="AR452" s="55">
        <f t="shared" si="44"/>
        <v>-4618056</v>
      </c>
      <c r="AS452" s="55">
        <f t="shared" si="44"/>
        <v>-4618056</v>
      </c>
      <c r="AT452" s="55">
        <f t="shared" si="44"/>
        <v>-4618056</v>
      </c>
      <c r="AU452" s="55">
        <f t="shared" si="44"/>
        <v>-4618056</v>
      </c>
      <c r="AV452" s="55">
        <f t="shared" si="44"/>
        <v>-4618056</v>
      </c>
      <c r="AW452" s="55">
        <f t="shared" si="44"/>
        <v>-4618056</v>
      </c>
      <c r="AX452" s="55">
        <f t="shared" si="44"/>
        <v>-4618056</v>
      </c>
      <c r="AY452" s="55">
        <f t="shared" si="44"/>
        <v>-4618056</v>
      </c>
      <c r="AZ452" s="59">
        <f t="shared" si="45"/>
        <v>-55416672</v>
      </c>
      <c r="BA452" s="55">
        <f t="shared" si="46"/>
        <v>665000000</v>
      </c>
      <c r="BB452" s="56">
        <f t="shared" si="47"/>
        <v>660381944</v>
      </c>
      <c r="BC452" s="56">
        <f t="shared" si="48"/>
        <v>655763888</v>
      </c>
      <c r="BD452" s="56">
        <f t="shared" si="49"/>
        <v>651145832</v>
      </c>
      <c r="BE452" s="56">
        <f t="shared" si="50"/>
        <v>646527776</v>
      </c>
      <c r="BF452" s="56">
        <f t="shared" si="51"/>
        <v>641909720</v>
      </c>
      <c r="BG452" s="56">
        <f t="shared" si="52"/>
        <v>637291664</v>
      </c>
      <c r="BH452" s="56">
        <f t="shared" si="53"/>
        <v>632673608</v>
      </c>
      <c r="BI452" s="56">
        <f t="shared" si="54"/>
        <v>628055552</v>
      </c>
      <c r="BJ452" s="56">
        <f t="shared" si="55"/>
        <v>623437496</v>
      </c>
      <c r="BK452" s="56">
        <f t="shared" si="56"/>
        <v>618819440</v>
      </c>
      <c r="BL452" s="56">
        <f t="shared" si="57"/>
        <v>614201384</v>
      </c>
      <c r="BM452" s="56">
        <f t="shared" si="58"/>
        <v>609583328</v>
      </c>
      <c r="BO452" s="55"/>
    </row>
    <row r="453" spans="3:67" s="49" customFormat="1" x14ac:dyDescent="0.3">
      <c r="C453" s="49" t="s">
        <v>1576</v>
      </c>
      <c r="D453" s="50" t="s">
        <v>338</v>
      </c>
      <c r="E453" s="50" t="str">
        <f t="shared" si="21"/>
        <v>211</v>
      </c>
      <c r="F453" s="49" t="str">
        <f>_xlfn.XLOOKUP($D453,MD_Account_Asset_Type[Nhóm tài sản],MD_Account_Asset_Type[Tên Nhóm tài sản])</f>
        <v>Máy móc, thiết bị - SX 627</v>
      </c>
      <c r="G453" s="49" t="str">
        <f>_xlfn.XLOOKUP($D453,MD_Account_Asset_Type[Nhóm tài sản],MD_Account_Asset_Type[Tên nhóm TS-Rút gọn])</f>
        <v>Máy móc thiết bị</v>
      </c>
      <c r="H453" s="49" t="str">
        <f>_xlfn.XLOOKUP($D453,MD_Account_Asset_Type[Nhóm tài sản],MD_Account_Asset_Type[Tên nhóm TS-Rút gọn-v2])</f>
        <v>Máy móc thiết bị</v>
      </c>
      <c r="I453" s="51" t="s">
        <v>1326</v>
      </c>
      <c r="J453" s="50" t="s">
        <v>1314</v>
      </c>
      <c r="K453" s="49" t="s">
        <v>1368</v>
      </c>
      <c r="L453" s="50" t="s">
        <v>106</v>
      </c>
      <c r="M453" s="50" t="s">
        <v>181</v>
      </c>
      <c r="N453" s="52" t="s">
        <v>289</v>
      </c>
      <c r="O453" s="52"/>
      <c r="P453" s="49" t="s">
        <v>462</v>
      </c>
      <c r="Q453" s="49" t="str">
        <f t="shared" si="59"/>
        <v>627</v>
      </c>
      <c r="R453" s="49" t="str">
        <f>_xlfn.XLOOKUP($L453,MD_Cost_Center[Mã Cost Center],MD_Cost_Center[Ngành])</f>
        <v>PET</v>
      </c>
      <c r="S453" s="49" t="str">
        <f>_xlfn.XLOOKUP($L453,MD_Cost_Center[Mã Cost Center],MD_Cost_Center[Ngành-Tách PET-Xơ sợi])</f>
        <v>Chung-PET</v>
      </c>
      <c r="T453" s="53">
        <v>46023</v>
      </c>
      <c r="U453" s="54">
        <v>50406</v>
      </c>
      <c r="V453" s="55">
        <v>144</v>
      </c>
      <c r="W453" s="55">
        <v>650000000</v>
      </c>
      <c r="X453" s="55">
        <f t="shared" si="40"/>
        <v>-4513889</v>
      </c>
      <c r="Y453" s="55">
        <f t="shared" si="60"/>
        <v>650000000</v>
      </c>
      <c r="Z453" s="55">
        <f t="shared" si="60"/>
        <v>650000000</v>
      </c>
      <c r="AA453" s="55">
        <f t="shared" si="60"/>
        <v>650000000</v>
      </c>
      <c r="AB453" s="55">
        <f t="shared" si="60"/>
        <v>650000000</v>
      </c>
      <c r="AC453" s="55">
        <f t="shared" si="60"/>
        <v>650000000</v>
      </c>
      <c r="AD453" s="55">
        <f t="shared" si="60"/>
        <v>650000000</v>
      </c>
      <c r="AE453" s="55">
        <f t="shared" si="60"/>
        <v>650000000</v>
      </c>
      <c r="AF453" s="55">
        <f t="shared" si="60"/>
        <v>650000000</v>
      </c>
      <c r="AG453" s="55">
        <f t="shared" si="60"/>
        <v>650000000</v>
      </c>
      <c r="AH453" s="55">
        <f t="shared" si="60"/>
        <v>650000000</v>
      </c>
      <c r="AI453" s="55">
        <f t="shared" si="60"/>
        <v>650000000</v>
      </c>
      <c r="AJ453" s="55">
        <f t="shared" si="60"/>
        <v>650000000</v>
      </c>
      <c r="AK453" s="55">
        <f t="shared" si="60"/>
        <v>650000000</v>
      </c>
      <c r="AL453" s="55"/>
      <c r="AM453" s="55">
        <v>0</v>
      </c>
      <c r="AN453" s="55">
        <f t="shared" ref="AN453:AY468" si="61">IF($T453&lt;AN$6,$X453,0)</f>
        <v>-4513889</v>
      </c>
      <c r="AO453" s="55">
        <f t="shared" si="61"/>
        <v>-4513889</v>
      </c>
      <c r="AP453" s="55">
        <f t="shared" si="61"/>
        <v>-4513889</v>
      </c>
      <c r="AQ453" s="55">
        <f t="shared" si="61"/>
        <v>-4513889</v>
      </c>
      <c r="AR453" s="55">
        <f t="shared" si="61"/>
        <v>-4513889</v>
      </c>
      <c r="AS453" s="55">
        <f t="shared" si="61"/>
        <v>-4513889</v>
      </c>
      <c r="AT453" s="55">
        <f t="shared" si="61"/>
        <v>-4513889</v>
      </c>
      <c r="AU453" s="55">
        <f t="shared" si="61"/>
        <v>-4513889</v>
      </c>
      <c r="AV453" s="55">
        <f t="shared" si="61"/>
        <v>-4513889</v>
      </c>
      <c r="AW453" s="55">
        <f t="shared" si="61"/>
        <v>-4513889</v>
      </c>
      <c r="AX453" s="55">
        <f t="shared" si="61"/>
        <v>-4513889</v>
      </c>
      <c r="AY453" s="55">
        <f t="shared" si="61"/>
        <v>-4513889</v>
      </c>
      <c r="AZ453" s="59">
        <f t="shared" si="45"/>
        <v>-54166668</v>
      </c>
      <c r="BA453" s="55">
        <f t="shared" si="46"/>
        <v>650000000</v>
      </c>
      <c r="BB453" s="56">
        <f t="shared" si="47"/>
        <v>645486111</v>
      </c>
      <c r="BC453" s="56">
        <f t="shared" si="48"/>
        <v>640972222</v>
      </c>
      <c r="BD453" s="56">
        <f t="shared" si="49"/>
        <v>636458333</v>
      </c>
      <c r="BE453" s="56">
        <f t="shared" si="50"/>
        <v>631944444</v>
      </c>
      <c r="BF453" s="56">
        <f t="shared" si="51"/>
        <v>627430555</v>
      </c>
      <c r="BG453" s="56">
        <f t="shared" si="52"/>
        <v>622916666</v>
      </c>
      <c r="BH453" s="56">
        <f t="shared" si="53"/>
        <v>618402777</v>
      </c>
      <c r="BI453" s="56">
        <f t="shared" si="54"/>
        <v>613888888</v>
      </c>
      <c r="BJ453" s="56">
        <f t="shared" si="55"/>
        <v>609374999</v>
      </c>
      <c r="BK453" s="56">
        <f t="shared" si="56"/>
        <v>604861110</v>
      </c>
      <c r="BL453" s="56">
        <f t="shared" si="57"/>
        <v>600347221</v>
      </c>
      <c r="BM453" s="56">
        <f t="shared" si="58"/>
        <v>595833332</v>
      </c>
      <c r="BO453" s="55"/>
    </row>
    <row r="454" spans="3:67" s="49" customFormat="1" x14ac:dyDescent="0.3">
      <c r="C454" s="49" t="s">
        <v>1576</v>
      </c>
      <c r="D454" s="50" t="s">
        <v>338</v>
      </c>
      <c r="E454" s="50" t="str">
        <f t="shared" si="21"/>
        <v>211</v>
      </c>
      <c r="F454" s="49" t="str">
        <f>_xlfn.XLOOKUP($D454,MD_Account_Asset_Type[Nhóm tài sản],MD_Account_Asset_Type[Tên Nhóm tài sản])</f>
        <v>Máy móc, thiết bị - SX 627</v>
      </c>
      <c r="G454" s="49" t="str">
        <f>_xlfn.XLOOKUP($D454,MD_Account_Asset_Type[Nhóm tài sản],MD_Account_Asset_Type[Tên nhóm TS-Rút gọn])</f>
        <v>Máy móc thiết bị</v>
      </c>
      <c r="H454" s="49" t="str">
        <f>_xlfn.XLOOKUP($D454,MD_Account_Asset_Type[Nhóm tài sản],MD_Account_Asset_Type[Tên nhóm TS-Rút gọn-v2])</f>
        <v>Máy móc thiết bị</v>
      </c>
      <c r="I454" s="51" t="s">
        <v>1367</v>
      </c>
      <c r="J454" s="50" t="s">
        <v>1577</v>
      </c>
      <c r="K454" s="49" t="s">
        <v>1368</v>
      </c>
      <c r="L454" s="50" t="s">
        <v>106</v>
      </c>
      <c r="M454" s="50" t="s">
        <v>181</v>
      </c>
      <c r="N454" s="52" t="s">
        <v>289</v>
      </c>
      <c r="O454" s="52"/>
      <c r="P454" s="49" t="s">
        <v>462</v>
      </c>
      <c r="Q454" s="49" t="str">
        <f t="shared" si="59"/>
        <v>627</v>
      </c>
      <c r="R454" s="49" t="str">
        <f>_xlfn.XLOOKUP($L454,MD_Cost_Center[Mã Cost Center],MD_Cost_Center[Ngành])</f>
        <v>PET</v>
      </c>
      <c r="S454" s="49" t="str">
        <f>_xlfn.XLOOKUP($L454,MD_Cost_Center[Mã Cost Center],MD_Cost_Center[Ngành-Tách PET-Xơ sợi])</f>
        <v>Chung-PET</v>
      </c>
      <c r="T454" s="53">
        <v>46023</v>
      </c>
      <c r="U454" s="54">
        <v>50406</v>
      </c>
      <c r="V454" s="55">
        <v>144</v>
      </c>
      <c r="W454" s="55">
        <v>2798000000</v>
      </c>
      <c r="X454" s="55">
        <f t="shared" si="40"/>
        <v>-19430556</v>
      </c>
      <c r="Y454" s="55">
        <f t="shared" si="60"/>
        <v>2798000000</v>
      </c>
      <c r="Z454" s="55">
        <f t="shared" si="60"/>
        <v>2798000000</v>
      </c>
      <c r="AA454" s="55">
        <f t="shared" si="60"/>
        <v>2798000000</v>
      </c>
      <c r="AB454" s="55">
        <f t="shared" si="60"/>
        <v>2798000000</v>
      </c>
      <c r="AC454" s="55">
        <f t="shared" si="60"/>
        <v>2798000000</v>
      </c>
      <c r="AD454" s="55">
        <f t="shared" si="60"/>
        <v>2798000000</v>
      </c>
      <c r="AE454" s="55">
        <f t="shared" si="60"/>
        <v>2798000000</v>
      </c>
      <c r="AF454" s="55">
        <f t="shared" si="60"/>
        <v>2798000000</v>
      </c>
      <c r="AG454" s="55">
        <f t="shared" si="60"/>
        <v>2798000000</v>
      </c>
      <c r="AH454" s="55">
        <f t="shared" si="60"/>
        <v>2798000000</v>
      </c>
      <c r="AI454" s="55">
        <f t="shared" si="60"/>
        <v>2798000000</v>
      </c>
      <c r="AJ454" s="55">
        <f t="shared" si="60"/>
        <v>2798000000</v>
      </c>
      <c r="AK454" s="55">
        <f t="shared" si="60"/>
        <v>2798000000</v>
      </c>
      <c r="AL454" s="55"/>
      <c r="AM454" s="55">
        <v>0</v>
      </c>
      <c r="AN454" s="55">
        <f t="shared" si="61"/>
        <v>-19430556</v>
      </c>
      <c r="AO454" s="55">
        <f t="shared" si="61"/>
        <v>-19430556</v>
      </c>
      <c r="AP454" s="55">
        <f t="shared" si="61"/>
        <v>-19430556</v>
      </c>
      <c r="AQ454" s="55">
        <f t="shared" si="61"/>
        <v>-19430556</v>
      </c>
      <c r="AR454" s="55">
        <f t="shared" si="61"/>
        <v>-19430556</v>
      </c>
      <c r="AS454" s="55">
        <f t="shared" si="61"/>
        <v>-19430556</v>
      </c>
      <c r="AT454" s="55">
        <f t="shared" si="61"/>
        <v>-19430556</v>
      </c>
      <c r="AU454" s="55">
        <f t="shared" si="61"/>
        <v>-19430556</v>
      </c>
      <c r="AV454" s="55">
        <f t="shared" si="61"/>
        <v>-19430556</v>
      </c>
      <c r="AW454" s="55">
        <f t="shared" si="61"/>
        <v>-19430556</v>
      </c>
      <c r="AX454" s="55">
        <f t="shared" si="61"/>
        <v>-19430556</v>
      </c>
      <c r="AY454" s="55">
        <f t="shared" si="61"/>
        <v>-19430556</v>
      </c>
      <c r="AZ454" s="59">
        <f t="shared" si="45"/>
        <v>-233166672</v>
      </c>
      <c r="BA454" s="55">
        <f t="shared" si="46"/>
        <v>2798000000</v>
      </c>
      <c r="BB454" s="56">
        <f t="shared" si="47"/>
        <v>2778569444</v>
      </c>
      <c r="BC454" s="56">
        <f t="shared" si="48"/>
        <v>2759138888</v>
      </c>
      <c r="BD454" s="56">
        <f t="shared" si="49"/>
        <v>2739708332</v>
      </c>
      <c r="BE454" s="56">
        <f t="shared" si="50"/>
        <v>2720277776</v>
      </c>
      <c r="BF454" s="56">
        <f t="shared" si="51"/>
        <v>2700847220</v>
      </c>
      <c r="BG454" s="56">
        <f t="shared" si="52"/>
        <v>2681416664</v>
      </c>
      <c r="BH454" s="56">
        <f t="shared" si="53"/>
        <v>2661986108</v>
      </c>
      <c r="BI454" s="56">
        <f t="shared" si="54"/>
        <v>2642555552</v>
      </c>
      <c r="BJ454" s="56">
        <f t="shared" si="55"/>
        <v>2623124996</v>
      </c>
      <c r="BK454" s="56">
        <f t="shared" si="56"/>
        <v>2603694440</v>
      </c>
      <c r="BL454" s="56">
        <f t="shared" si="57"/>
        <v>2584263884</v>
      </c>
      <c r="BM454" s="56">
        <f t="shared" si="58"/>
        <v>2564833328</v>
      </c>
      <c r="BO454" s="55"/>
    </row>
    <row r="455" spans="3:67" s="123" customFormat="1" x14ac:dyDescent="0.3">
      <c r="C455" s="123" t="s">
        <v>30</v>
      </c>
      <c r="D455" s="124" t="s">
        <v>338</v>
      </c>
      <c r="E455" s="124" t="str">
        <f t="shared" si="21"/>
        <v>211</v>
      </c>
      <c r="F455" s="123" t="str">
        <f>_xlfn.XLOOKUP($D455,MD_Account_Asset_Type[Nhóm tài sản],MD_Account_Asset_Type[Tên Nhóm tài sản])</f>
        <v>Máy móc, thiết bị - SX 627</v>
      </c>
      <c r="G455" s="123" t="str">
        <f>_xlfn.XLOOKUP($D455,MD_Account_Asset_Type[Nhóm tài sản],MD_Account_Asset_Type[Tên nhóm TS-Rút gọn])</f>
        <v>Máy móc thiết bị</v>
      </c>
      <c r="H455" s="123" t="str">
        <f>_xlfn.XLOOKUP($D455,MD_Account_Asset_Type[Nhóm tài sản],MD_Account_Asset_Type[Tên nhóm TS-Rút gọn-v2])</f>
        <v>Máy móc thiết bị</v>
      </c>
      <c r="I455" s="125" t="s">
        <v>1599</v>
      </c>
      <c r="J455" s="124" t="s">
        <v>1569</v>
      </c>
      <c r="K455" s="123" t="s">
        <v>830</v>
      </c>
      <c r="L455" s="124" t="s">
        <v>48</v>
      </c>
      <c r="M455" s="124"/>
      <c r="N455" s="126"/>
      <c r="O455" s="126"/>
      <c r="P455" s="123" t="str">
        <f>_xlfn.XLOOKUP($D455,MD_Account_Asset_Type[Nhóm tài sản],MD_Account_Asset_Type[Tài khoản KH])</f>
        <v>6274001903</v>
      </c>
      <c r="Q455" s="123" t="str">
        <f t="shared" si="59"/>
        <v>627</v>
      </c>
      <c r="R455" s="123" t="str">
        <f>_xlfn.XLOOKUP($L455,MD_Cost_Center[Mã Cost Center],MD_Cost_Center[Ngành])</f>
        <v>PET</v>
      </c>
      <c r="S455" s="123" t="str">
        <f>_xlfn.XLOOKUP($L455,MD_Cost_Center[Mã Cost Center],MD_Cost_Center[Ngành-Tách PET-Xơ sợi])</f>
        <v>Chung-PET</v>
      </c>
      <c r="T455" s="127">
        <v>46174</v>
      </c>
      <c r="U455" s="128">
        <f>EDATE(T455,V455)</f>
        <v>50557</v>
      </c>
      <c r="V455" s="129">
        <v>144</v>
      </c>
      <c r="W455" s="129">
        <v>15724420000</v>
      </c>
      <c r="X455" s="129">
        <f t="shared" ref="X455:X503" si="62">ROUND(-W455/V455,0)</f>
        <v>-109197361</v>
      </c>
      <c r="Y455" s="129">
        <f t="shared" si="60"/>
        <v>0</v>
      </c>
      <c r="Z455" s="129">
        <f t="shared" si="60"/>
        <v>0</v>
      </c>
      <c r="AA455" s="129">
        <f t="shared" si="60"/>
        <v>0</v>
      </c>
      <c r="AB455" s="129">
        <f t="shared" si="60"/>
        <v>0</v>
      </c>
      <c r="AC455" s="129">
        <f t="shared" si="60"/>
        <v>0</v>
      </c>
      <c r="AD455" s="129">
        <f t="shared" si="60"/>
        <v>15724420000</v>
      </c>
      <c r="AE455" s="129">
        <f t="shared" si="60"/>
        <v>15724420000</v>
      </c>
      <c r="AF455" s="129">
        <f t="shared" si="60"/>
        <v>15724420000</v>
      </c>
      <c r="AG455" s="129">
        <f t="shared" si="60"/>
        <v>15724420000</v>
      </c>
      <c r="AH455" s="129">
        <f t="shared" si="60"/>
        <v>15724420000</v>
      </c>
      <c r="AI455" s="129">
        <f t="shared" si="60"/>
        <v>15724420000</v>
      </c>
      <c r="AJ455" s="129">
        <f t="shared" si="60"/>
        <v>15724420000</v>
      </c>
      <c r="AK455" s="129">
        <f t="shared" si="60"/>
        <v>15724420000</v>
      </c>
      <c r="AL455" s="129"/>
      <c r="AM455" s="129">
        <v>0</v>
      </c>
      <c r="AN455" s="129">
        <f t="shared" si="61"/>
        <v>0</v>
      </c>
      <c r="AO455" s="129">
        <f t="shared" si="61"/>
        <v>0</v>
      </c>
      <c r="AP455" s="129">
        <f t="shared" si="61"/>
        <v>0</v>
      </c>
      <c r="AQ455" s="129">
        <f t="shared" si="61"/>
        <v>0</v>
      </c>
      <c r="AR455" s="129">
        <f t="shared" si="61"/>
        <v>0</v>
      </c>
      <c r="AS455" s="129">
        <f t="shared" si="61"/>
        <v>-109197361</v>
      </c>
      <c r="AT455" s="129">
        <f t="shared" si="61"/>
        <v>-109197361</v>
      </c>
      <c r="AU455" s="129">
        <f t="shared" si="61"/>
        <v>-109197361</v>
      </c>
      <c r="AV455" s="129">
        <f t="shared" si="61"/>
        <v>-109197361</v>
      </c>
      <c r="AW455" s="129">
        <f t="shared" si="61"/>
        <v>-109197361</v>
      </c>
      <c r="AX455" s="129">
        <f t="shared" si="61"/>
        <v>-109197361</v>
      </c>
      <c r="AY455" s="129">
        <f t="shared" si="61"/>
        <v>-109197361</v>
      </c>
      <c r="AZ455" s="130">
        <f t="shared" ref="AZ455" si="63">SUM(AN455:AY455)</f>
        <v>-764381527</v>
      </c>
      <c r="BA455" s="129">
        <f>Y455+SUM($AM455:AM455)</f>
        <v>0</v>
      </c>
      <c r="BB455" s="131">
        <f>Z455+SUM($AM455:AN455)</f>
        <v>0</v>
      </c>
      <c r="BC455" s="131">
        <f>AA455+SUM($AM455:AO455)</f>
        <v>0</v>
      </c>
      <c r="BD455" s="131">
        <f>AB455+SUM($AM455:AP455)</f>
        <v>0</v>
      </c>
      <c r="BE455" s="131">
        <f>AC455+SUM($AM455:AQ455)</f>
        <v>0</v>
      </c>
      <c r="BF455" s="131">
        <f>AD455+SUM($AM455:AR455)</f>
        <v>15724420000</v>
      </c>
      <c r="BG455" s="131">
        <f>AE455+SUM($AM455:AS455)</f>
        <v>15615222639</v>
      </c>
      <c r="BH455" s="131">
        <f>AF455+SUM($AM455:AT455)</f>
        <v>15506025278</v>
      </c>
      <c r="BI455" s="131">
        <f>AG455+SUM($AM455:AU455)</f>
        <v>15396827917</v>
      </c>
      <c r="BJ455" s="131">
        <f>AH455+SUM($AM455:AV455)</f>
        <v>15287630556</v>
      </c>
      <c r="BK455" s="131">
        <f>AI455+SUM($AM455:AW455)</f>
        <v>15178433195</v>
      </c>
      <c r="BL455" s="131">
        <f>AJ455+SUM($AM455:AX455)</f>
        <v>15069235834</v>
      </c>
      <c r="BM455" s="131">
        <f>AK455+SUM($AM455:AY455)</f>
        <v>14960038473</v>
      </c>
      <c r="BO455" s="129"/>
    </row>
    <row r="456" spans="3:67" s="123" customFormat="1" x14ac:dyDescent="0.3">
      <c r="C456" s="123" t="s">
        <v>30</v>
      </c>
      <c r="D456" s="124" t="s">
        <v>338</v>
      </c>
      <c r="E456" s="124" t="str">
        <f t="shared" si="21"/>
        <v>211</v>
      </c>
      <c r="F456" s="123" t="str">
        <f>_xlfn.XLOOKUP($D456,MD_Account_Asset_Type[Nhóm tài sản],MD_Account_Asset_Type[Tên Nhóm tài sản])</f>
        <v>Máy móc, thiết bị - SX 627</v>
      </c>
      <c r="G456" s="123" t="str">
        <f>_xlfn.XLOOKUP($D456,MD_Account_Asset_Type[Nhóm tài sản],MD_Account_Asset_Type[Tên nhóm TS-Rút gọn])</f>
        <v>Máy móc thiết bị</v>
      </c>
      <c r="H456" s="123" t="str">
        <f>_xlfn.XLOOKUP($D456,MD_Account_Asset_Type[Nhóm tài sản],MD_Account_Asset_Type[Tên nhóm TS-Rút gọn-v2])</f>
        <v>Máy móc thiết bị</v>
      </c>
      <c r="I456" s="125" t="s">
        <v>1600</v>
      </c>
      <c r="J456" s="124" t="s">
        <v>1647</v>
      </c>
      <c r="K456" s="123" t="s">
        <v>830</v>
      </c>
      <c r="L456" s="124" t="s">
        <v>61</v>
      </c>
      <c r="M456" s="124"/>
      <c r="N456" s="126"/>
      <c r="O456" s="126"/>
      <c r="P456" s="123" t="str">
        <f>_xlfn.XLOOKUP($D456,MD_Account_Asset_Type[Nhóm tài sản],MD_Account_Asset_Type[Tài khoản KH])</f>
        <v>6274001903</v>
      </c>
      <c r="Q456" s="123" t="str">
        <f t="shared" si="59"/>
        <v>627</v>
      </c>
      <c r="R456" s="123" t="str">
        <f>_xlfn.XLOOKUP($L456,MD_Cost_Center[Mã Cost Center],MD_Cost_Center[Ngành])</f>
        <v>PET</v>
      </c>
      <c r="S456" s="123" t="str">
        <f>_xlfn.XLOOKUP($L456,MD_Cost_Center[Mã Cost Center],MD_Cost_Center[Ngành-Tách PET-Xơ sợi])</f>
        <v>Chung-PET</v>
      </c>
      <c r="T456" s="127">
        <v>46113</v>
      </c>
      <c r="U456" s="128">
        <f t="shared" ref="U456:U503" si="64">EDATE(T456,V456)</f>
        <v>50496</v>
      </c>
      <c r="V456" s="129">
        <v>144</v>
      </c>
      <c r="W456" s="129">
        <v>4682600000</v>
      </c>
      <c r="X456" s="129">
        <f t="shared" si="62"/>
        <v>-32518056</v>
      </c>
      <c r="Y456" s="129">
        <f t="shared" si="60"/>
        <v>0</v>
      </c>
      <c r="Z456" s="129">
        <f t="shared" si="60"/>
        <v>0</v>
      </c>
      <c r="AA456" s="129">
        <f t="shared" si="60"/>
        <v>0</v>
      </c>
      <c r="AB456" s="129">
        <f t="shared" si="60"/>
        <v>4682600000</v>
      </c>
      <c r="AC456" s="129">
        <f t="shared" si="60"/>
        <v>4682600000</v>
      </c>
      <c r="AD456" s="129">
        <f t="shared" si="60"/>
        <v>4682600000</v>
      </c>
      <c r="AE456" s="129">
        <f t="shared" si="60"/>
        <v>4682600000</v>
      </c>
      <c r="AF456" s="129">
        <f t="shared" si="60"/>
        <v>4682600000</v>
      </c>
      <c r="AG456" s="129">
        <f t="shared" si="60"/>
        <v>4682600000</v>
      </c>
      <c r="AH456" s="129">
        <f t="shared" si="60"/>
        <v>4682600000</v>
      </c>
      <c r="AI456" s="129">
        <f t="shared" si="60"/>
        <v>4682600000</v>
      </c>
      <c r="AJ456" s="129">
        <f t="shared" si="60"/>
        <v>4682600000</v>
      </c>
      <c r="AK456" s="129">
        <f t="shared" si="60"/>
        <v>4682600000</v>
      </c>
      <c r="AL456" s="129"/>
      <c r="AM456" s="129">
        <v>0</v>
      </c>
      <c r="AN456" s="129">
        <f t="shared" si="61"/>
        <v>0</v>
      </c>
      <c r="AO456" s="129">
        <f t="shared" si="61"/>
        <v>0</v>
      </c>
      <c r="AP456" s="129">
        <f t="shared" si="61"/>
        <v>0</v>
      </c>
      <c r="AQ456" s="129">
        <f t="shared" si="61"/>
        <v>-32518056</v>
      </c>
      <c r="AR456" s="129">
        <f t="shared" si="61"/>
        <v>-32518056</v>
      </c>
      <c r="AS456" s="129">
        <f t="shared" si="61"/>
        <v>-32518056</v>
      </c>
      <c r="AT456" s="129">
        <f t="shared" si="61"/>
        <v>-32518056</v>
      </c>
      <c r="AU456" s="129">
        <f t="shared" si="61"/>
        <v>-32518056</v>
      </c>
      <c r="AV456" s="129">
        <f t="shared" si="61"/>
        <v>-32518056</v>
      </c>
      <c r="AW456" s="129">
        <f t="shared" si="61"/>
        <v>-32518056</v>
      </c>
      <c r="AX456" s="129">
        <f t="shared" si="61"/>
        <v>-32518056</v>
      </c>
      <c r="AY456" s="129">
        <f t="shared" si="61"/>
        <v>-32518056</v>
      </c>
      <c r="AZ456" s="130">
        <f t="shared" ref="AZ456:AZ502" si="65">SUM(AN456:AY456)</f>
        <v>-292662504</v>
      </c>
      <c r="BA456" s="129">
        <f>Y456+SUM($AM456:AM456)</f>
        <v>0</v>
      </c>
      <c r="BB456" s="131">
        <f>Z456+SUM($AM456:AN456)</f>
        <v>0</v>
      </c>
      <c r="BC456" s="131">
        <f>AA456+SUM($AM456:AO456)</f>
        <v>0</v>
      </c>
      <c r="BD456" s="131">
        <f>AB456+SUM($AM456:AP456)</f>
        <v>4682600000</v>
      </c>
      <c r="BE456" s="131">
        <f>AC456+SUM($AM456:AQ456)</f>
        <v>4650081944</v>
      </c>
      <c r="BF456" s="131">
        <f>AD456+SUM($AM456:AR456)</f>
        <v>4617563888</v>
      </c>
      <c r="BG456" s="131">
        <f>AE456+SUM($AM456:AS456)</f>
        <v>4585045832</v>
      </c>
      <c r="BH456" s="131">
        <f>AF456+SUM($AM456:AT456)</f>
        <v>4552527776</v>
      </c>
      <c r="BI456" s="131">
        <f>AG456+SUM($AM456:AU456)</f>
        <v>4520009720</v>
      </c>
      <c r="BJ456" s="131">
        <f>AH456+SUM($AM456:AV456)</f>
        <v>4487491664</v>
      </c>
      <c r="BK456" s="131">
        <f>AI456+SUM($AM456:AW456)</f>
        <v>4454973608</v>
      </c>
      <c r="BL456" s="131">
        <f>AJ456+SUM($AM456:AX456)</f>
        <v>4422455552</v>
      </c>
      <c r="BM456" s="131">
        <f>AK456+SUM($AM456:AY456)</f>
        <v>4389937496</v>
      </c>
      <c r="BO456" s="129"/>
    </row>
    <row r="457" spans="3:67" s="123" customFormat="1" hidden="1" x14ac:dyDescent="0.3">
      <c r="C457" s="123" t="s">
        <v>30</v>
      </c>
      <c r="D457" s="124" t="s">
        <v>336</v>
      </c>
      <c r="E457" s="124" t="str">
        <f t="shared" si="21"/>
        <v>211</v>
      </c>
      <c r="F457" s="123" t="str">
        <f>_xlfn.XLOOKUP($D457,MD_Account_Asset_Type[Nhóm tài sản],MD_Account_Asset_Type[Tên Nhóm tài sản])</f>
        <v>Nhà cửa, vật kiến trúc - QL 642</v>
      </c>
      <c r="G457" s="123" t="str">
        <f>_xlfn.XLOOKUP($D457,MD_Account_Asset_Type[Nhóm tài sản],MD_Account_Asset_Type[Tên nhóm TS-Rút gọn])</f>
        <v>Nhà cửa, vật kiến trúc</v>
      </c>
      <c r="H457" s="123" t="str">
        <f>_xlfn.XLOOKUP($D457,MD_Account_Asset_Type[Nhóm tài sản],MD_Account_Asset_Type[Tên nhóm TS-Rút gọn-v2])</f>
        <v>Nhà cửa, vật kiến trúc</v>
      </c>
      <c r="I457" s="125" t="s">
        <v>1601</v>
      </c>
      <c r="J457" s="124" t="s">
        <v>1570</v>
      </c>
      <c r="K457" s="123" t="s">
        <v>830</v>
      </c>
      <c r="L457" s="124" t="s">
        <v>36</v>
      </c>
      <c r="M457" s="124" t="s">
        <v>111</v>
      </c>
      <c r="N457" s="126"/>
      <c r="O457" s="126"/>
      <c r="P457" s="123" t="str">
        <f>_xlfn.XLOOKUP($D457,MD_Account_Asset_Type[Nhóm tài sản],MD_Account_Asset_Type[Tài khoản KH])</f>
        <v>6424001901</v>
      </c>
      <c r="Q457" s="123" t="str">
        <f t="shared" si="59"/>
        <v>642</v>
      </c>
      <c r="R457" s="123" t="str">
        <f>_xlfn.XLOOKUP($L457,MD_Cost_Center[Mã Cost Center],MD_Cost_Center[Ngành])</f>
        <v>Chung</v>
      </c>
      <c r="S457" s="123" t="str">
        <f>_xlfn.XLOOKUP($L457,MD_Cost_Center[Mã Cost Center],MD_Cost_Center[Ngành-Tách PET-Xơ sợi])</f>
        <v>Chung</v>
      </c>
      <c r="T457" s="127">
        <v>46296</v>
      </c>
      <c r="U457" s="128">
        <f t="shared" si="64"/>
        <v>55427</v>
      </c>
      <c r="V457" s="129">
        <v>300</v>
      </c>
      <c r="W457" s="129">
        <v>3845830000</v>
      </c>
      <c r="X457" s="129">
        <f t="shared" si="62"/>
        <v>-12819433</v>
      </c>
      <c r="Y457" s="129">
        <f t="shared" si="60"/>
        <v>0</v>
      </c>
      <c r="Z457" s="129">
        <f t="shared" si="60"/>
        <v>0</v>
      </c>
      <c r="AA457" s="129">
        <f t="shared" si="60"/>
        <v>0</v>
      </c>
      <c r="AB457" s="129">
        <f t="shared" si="60"/>
        <v>0</v>
      </c>
      <c r="AC457" s="129">
        <f t="shared" si="60"/>
        <v>0</v>
      </c>
      <c r="AD457" s="129">
        <f t="shared" si="60"/>
        <v>0</v>
      </c>
      <c r="AE457" s="129">
        <f t="shared" si="60"/>
        <v>0</v>
      </c>
      <c r="AF457" s="129">
        <f t="shared" si="60"/>
        <v>0</v>
      </c>
      <c r="AG457" s="129">
        <f t="shared" si="60"/>
        <v>0</v>
      </c>
      <c r="AH457" s="129">
        <f t="shared" si="60"/>
        <v>3845830000</v>
      </c>
      <c r="AI457" s="129">
        <f t="shared" si="60"/>
        <v>3845830000</v>
      </c>
      <c r="AJ457" s="129">
        <f t="shared" si="60"/>
        <v>3845830000</v>
      </c>
      <c r="AK457" s="129">
        <f t="shared" si="60"/>
        <v>3845830000</v>
      </c>
      <c r="AL457" s="129"/>
      <c r="AM457" s="129">
        <v>0</v>
      </c>
      <c r="AN457" s="129">
        <f t="shared" si="61"/>
        <v>0</v>
      </c>
      <c r="AO457" s="129">
        <f t="shared" si="61"/>
        <v>0</v>
      </c>
      <c r="AP457" s="129">
        <f t="shared" si="61"/>
        <v>0</v>
      </c>
      <c r="AQ457" s="129">
        <f t="shared" si="61"/>
        <v>0</v>
      </c>
      <c r="AR457" s="129">
        <f t="shared" si="61"/>
        <v>0</v>
      </c>
      <c r="AS457" s="129">
        <f t="shared" si="61"/>
        <v>0</v>
      </c>
      <c r="AT457" s="129">
        <f t="shared" si="61"/>
        <v>0</v>
      </c>
      <c r="AU457" s="129">
        <f t="shared" si="61"/>
        <v>0</v>
      </c>
      <c r="AV457" s="129">
        <f t="shared" si="61"/>
        <v>0</v>
      </c>
      <c r="AW457" s="129">
        <f t="shared" si="61"/>
        <v>-12819433</v>
      </c>
      <c r="AX457" s="129">
        <f t="shared" si="61"/>
        <v>-12819433</v>
      </c>
      <c r="AY457" s="129">
        <f t="shared" si="61"/>
        <v>-12819433</v>
      </c>
      <c r="AZ457" s="130">
        <f t="shared" si="65"/>
        <v>-38458299</v>
      </c>
      <c r="BA457" s="129">
        <f>Y457+SUM($AM457:AM457)</f>
        <v>0</v>
      </c>
      <c r="BB457" s="131">
        <f>Z457+SUM($AM457:AN457)</f>
        <v>0</v>
      </c>
      <c r="BC457" s="131">
        <f>AA457+SUM($AM457:AO457)</f>
        <v>0</v>
      </c>
      <c r="BD457" s="131">
        <f>AB457+SUM($AM457:AP457)</f>
        <v>0</v>
      </c>
      <c r="BE457" s="131">
        <f>AC457+SUM($AM457:AQ457)</f>
        <v>0</v>
      </c>
      <c r="BF457" s="131">
        <f>AD457+SUM($AM457:AR457)</f>
        <v>0</v>
      </c>
      <c r="BG457" s="131">
        <f>AE457+SUM($AM457:AS457)</f>
        <v>0</v>
      </c>
      <c r="BH457" s="131">
        <f>AF457+SUM($AM457:AT457)</f>
        <v>0</v>
      </c>
      <c r="BI457" s="131">
        <f>AG457+SUM($AM457:AU457)</f>
        <v>0</v>
      </c>
      <c r="BJ457" s="131">
        <f>AH457+SUM($AM457:AV457)</f>
        <v>3845830000</v>
      </c>
      <c r="BK457" s="131">
        <f>AI457+SUM($AM457:AW457)</f>
        <v>3833010567</v>
      </c>
      <c r="BL457" s="131">
        <f>AJ457+SUM($AM457:AX457)</f>
        <v>3820191134</v>
      </c>
      <c r="BM457" s="131">
        <f>AK457+SUM($AM457:AY457)</f>
        <v>3807371701</v>
      </c>
      <c r="BO457" s="129"/>
    </row>
    <row r="458" spans="3:67" s="123" customFormat="1" x14ac:dyDescent="0.3">
      <c r="C458" s="123" t="s">
        <v>30</v>
      </c>
      <c r="D458" s="124" t="s">
        <v>350</v>
      </c>
      <c r="E458" s="124" t="str">
        <f t="shared" si="21"/>
        <v>211</v>
      </c>
      <c r="F458" s="123" t="str">
        <f>_xlfn.XLOOKUP($D458,MD_Account_Asset_Type[Nhóm tài sản],MD_Account_Asset_Type[Tên Nhóm tài sản])</f>
        <v>TSCĐ khác - SX 627</v>
      </c>
      <c r="G458" s="123" t="str">
        <f>_xlfn.XLOOKUP($D458,MD_Account_Asset_Type[Nhóm tài sản],MD_Account_Asset_Type[Tên nhóm TS-Rút gọn])</f>
        <v>Khác</v>
      </c>
      <c r="H458" s="123" t="str">
        <f>_xlfn.XLOOKUP($D458,MD_Account_Asset_Type[Nhóm tài sản],MD_Account_Asset_Type[Tên nhóm TS-Rút gọn-v2])</f>
        <v>TSCĐHH-Khác</v>
      </c>
      <c r="I458" s="125" t="s">
        <v>1603</v>
      </c>
      <c r="J458" s="124" t="s">
        <v>1648</v>
      </c>
      <c r="K458" s="123" t="s">
        <v>830</v>
      </c>
      <c r="L458" s="124" t="s">
        <v>45</v>
      </c>
      <c r="M458" s="124"/>
      <c r="N458" s="126"/>
      <c r="O458" s="126"/>
      <c r="P458" s="123" t="str">
        <f>_xlfn.XLOOKUP($D458,MD_Account_Asset_Type[Nhóm tài sản],MD_Account_Asset_Type[Tài khoản KH])</f>
        <v>6274001909</v>
      </c>
      <c r="Q458" s="123" t="str">
        <f t="shared" si="59"/>
        <v>627</v>
      </c>
      <c r="R458" s="123" t="str">
        <f>_xlfn.XLOOKUP($L458,MD_Cost_Center[Mã Cost Center],MD_Cost_Center[Ngành])</f>
        <v>Chung</v>
      </c>
      <c r="S458" s="123" t="str">
        <f>_xlfn.XLOOKUP($L458,MD_Cost_Center[Mã Cost Center],MD_Cost_Center[Ngành-Tách PET-Xơ sợi])</f>
        <v>Chung</v>
      </c>
      <c r="T458" s="127">
        <v>46023</v>
      </c>
      <c r="U458" s="128">
        <f t="shared" si="64"/>
        <v>55154</v>
      </c>
      <c r="V458" s="129">
        <v>300</v>
      </c>
      <c r="W458" s="129">
        <v>2260000000</v>
      </c>
      <c r="X458" s="129">
        <f t="shared" si="62"/>
        <v>-7533333</v>
      </c>
      <c r="Y458" s="129">
        <f t="shared" si="60"/>
        <v>2260000000</v>
      </c>
      <c r="Z458" s="129">
        <f t="shared" si="60"/>
        <v>2260000000</v>
      </c>
      <c r="AA458" s="129">
        <f t="shared" si="60"/>
        <v>2260000000</v>
      </c>
      <c r="AB458" s="129">
        <f t="shared" si="60"/>
        <v>2260000000</v>
      </c>
      <c r="AC458" s="129">
        <f t="shared" si="60"/>
        <v>2260000000</v>
      </c>
      <c r="AD458" s="129">
        <f t="shared" si="60"/>
        <v>2260000000</v>
      </c>
      <c r="AE458" s="129">
        <f t="shared" si="60"/>
        <v>2260000000</v>
      </c>
      <c r="AF458" s="129">
        <f t="shared" si="60"/>
        <v>2260000000</v>
      </c>
      <c r="AG458" s="129">
        <f t="shared" si="60"/>
        <v>2260000000</v>
      </c>
      <c r="AH458" s="129">
        <f t="shared" si="60"/>
        <v>2260000000</v>
      </c>
      <c r="AI458" s="129">
        <f t="shared" si="60"/>
        <v>2260000000</v>
      </c>
      <c r="AJ458" s="129">
        <f t="shared" si="60"/>
        <v>2260000000</v>
      </c>
      <c r="AK458" s="129">
        <f t="shared" si="60"/>
        <v>2260000000</v>
      </c>
      <c r="AL458" s="129"/>
      <c r="AM458" s="129">
        <v>0</v>
      </c>
      <c r="AN458" s="129">
        <f t="shared" si="61"/>
        <v>-7533333</v>
      </c>
      <c r="AO458" s="129">
        <f t="shared" si="61"/>
        <v>-7533333</v>
      </c>
      <c r="AP458" s="129">
        <f t="shared" si="61"/>
        <v>-7533333</v>
      </c>
      <c r="AQ458" s="129">
        <f t="shared" si="61"/>
        <v>-7533333</v>
      </c>
      <c r="AR458" s="129">
        <f t="shared" si="61"/>
        <v>-7533333</v>
      </c>
      <c r="AS458" s="129">
        <f t="shared" si="61"/>
        <v>-7533333</v>
      </c>
      <c r="AT458" s="129">
        <f t="shared" si="61"/>
        <v>-7533333</v>
      </c>
      <c r="AU458" s="129">
        <f t="shared" si="61"/>
        <v>-7533333</v>
      </c>
      <c r="AV458" s="129">
        <f t="shared" si="61"/>
        <v>-7533333</v>
      </c>
      <c r="AW458" s="129">
        <f t="shared" si="61"/>
        <v>-7533333</v>
      </c>
      <c r="AX458" s="129">
        <f t="shared" si="61"/>
        <v>-7533333</v>
      </c>
      <c r="AY458" s="129">
        <f t="shared" si="61"/>
        <v>-7533333</v>
      </c>
      <c r="AZ458" s="130">
        <f t="shared" si="65"/>
        <v>-90399996</v>
      </c>
      <c r="BA458" s="129">
        <f>Y458+SUM($AM458:AM458)</f>
        <v>2260000000</v>
      </c>
      <c r="BB458" s="131">
        <f>Z458+SUM($AM458:AN458)</f>
        <v>2252466667</v>
      </c>
      <c r="BC458" s="131">
        <f>AA458+SUM($AM458:AO458)</f>
        <v>2244933334</v>
      </c>
      <c r="BD458" s="131">
        <f>AB458+SUM($AM458:AP458)</f>
        <v>2237400001</v>
      </c>
      <c r="BE458" s="131">
        <f>AC458+SUM($AM458:AQ458)</f>
        <v>2229866668</v>
      </c>
      <c r="BF458" s="131">
        <f>AD458+SUM($AM458:AR458)</f>
        <v>2222333335</v>
      </c>
      <c r="BG458" s="131">
        <f>AE458+SUM($AM458:AS458)</f>
        <v>2214800002</v>
      </c>
      <c r="BH458" s="131">
        <f>AF458+SUM($AM458:AT458)</f>
        <v>2207266669</v>
      </c>
      <c r="BI458" s="131">
        <f>AG458+SUM($AM458:AU458)</f>
        <v>2199733336</v>
      </c>
      <c r="BJ458" s="131">
        <f>AH458+SUM($AM458:AV458)</f>
        <v>2192200003</v>
      </c>
      <c r="BK458" s="131">
        <f>AI458+SUM($AM458:AW458)</f>
        <v>2184666670</v>
      </c>
      <c r="BL458" s="131">
        <f>AJ458+SUM($AM458:AX458)</f>
        <v>2177133337</v>
      </c>
      <c r="BM458" s="131">
        <f>AK458+SUM($AM458:AY458)</f>
        <v>2169600004</v>
      </c>
      <c r="BO458" s="129"/>
    </row>
    <row r="459" spans="3:67" s="123" customFormat="1" x14ac:dyDescent="0.3">
      <c r="C459" s="123" t="s">
        <v>30</v>
      </c>
      <c r="D459" s="124" t="s">
        <v>338</v>
      </c>
      <c r="E459" s="124" t="str">
        <f t="shared" ref="E459:E503" si="66">MID($D459,2,3)</f>
        <v>211</v>
      </c>
      <c r="F459" s="123" t="str">
        <f>_xlfn.XLOOKUP($D459,MD_Account_Asset_Type[Nhóm tài sản],MD_Account_Asset_Type[Tên Nhóm tài sản])</f>
        <v>Máy móc, thiết bị - SX 627</v>
      </c>
      <c r="G459" s="123" t="str">
        <f>_xlfn.XLOOKUP($D459,MD_Account_Asset_Type[Nhóm tài sản],MD_Account_Asset_Type[Tên nhóm TS-Rút gọn])</f>
        <v>Máy móc thiết bị</v>
      </c>
      <c r="H459" s="123" t="str">
        <f>_xlfn.XLOOKUP($D459,MD_Account_Asset_Type[Nhóm tài sản],MD_Account_Asset_Type[Tên nhóm TS-Rút gọn-v2])</f>
        <v>Máy móc thiết bị</v>
      </c>
      <c r="I459" s="125" t="s">
        <v>1604</v>
      </c>
      <c r="J459" s="124" t="s">
        <v>1649</v>
      </c>
      <c r="K459" s="123" t="s">
        <v>830</v>
      </c>
      <c r="L459" s="124" t="s">
        <v>48</v>
      </c>
      <c r="M459" s="124"/>
      <c r="N459" s="126"/>
      <c r="O459" s="126"/>
      <c r="P459" s="123" t="str">
        <f>_xlfn.XLOOKUP($D459,MD_Account_Asset_Type[Nhóm tài sản],MD_Account_Asset_Type[Tài khoản KH])</f>
        <v>6274001903</v>
      </c>
      <c r="Q459" s="123" t="str">
        <f t="shared" si="59"/>
        <v>627</v>
      </c>
      <c r="R459" s="123" t="str">
        <f>_xlfn.XLOOKUP($L459,MD_Cost_Center[Mã Cost Center],MD_Cost_Center[Ngành])</f>
        <v>PET</v>
      </c>
      <c r="S459" s="123" t="str">
        <f>_xlfn.XLOOKUP($L459,MD_Cost_Center[Mã Cost Center],MD_Cost_Center[Ngành-Tách PET-Xơ sợi])</f>
        <v>Chung-PET</v>
      </c>
      <c r="T459" s="127">
        <v>46082</v>
      </c>
      <c r="U459" s="128">
        <f t="shared" si="64"/>
        <v>50465</v>
      </c>
      <c r="V459" s="129">
        <v>144</v>
      </c>
      <c r="W459" s="129">
        <v>2147500000</v>
      </c>
      <c r="X459" s="129">
        <f t="shared" si="62"/>
        <v>-14913194</v>
      </c>
      <c r="Y459" s="129">
        <f t="shared" si="60"/>
        <v>0</v>
      </c>
      <c r="Z459" s="129">
        <f t="shared" si="60"/>
        <v>0</v>
      </c>
      <c r="AA459" s="129">
        <f t="shared" si="60"/>
        <v>2147500000</v>
      </c>
      <c r="AB459" s="129">
        <f t="shared" si="60"/>
        <v>2147500000</v>
      </c>
      <c r="AC459" s="129">
        <f t="shared" si="60"/>
        <v>2147500000</v>
      </c>
      <c r="AD459" s="129">
        <f t="shared" si="60"/>
        <v>2147500000</v>
      </c>
      <c r="AE459" s="129">
        <f t="shared" si="60"/>
        <v>2147500000</v>
      </c>
      <c r="AF459" s="129">
        <f t="shared" si="60"/>
        <v>2147500000</v>
      </c>
      <c r="AG459" s="129">
        <f t="shared" si="60"/>
        <v>2147500000</v>
      </c>
      <c r="AH459" s="129">
        <f t="shared" si="60"/>
        <v>2147500000</v>
      </c>
      <c r="AI459" s="129">
        <f t="shared" si="60"/>
        <v>2147500000</v>
      </c>
      <c r="AJ459" s="129">
        <f t="shared" si="60"/>
        <v>2147500000</v>
      </c>
      <c r="AK459" s="129">
        <f t="shared" si="60"/>
        <v>2147500000</v>
      </c>
      <c r="AL459" s="129"/>
      <c r="AM459" s="129">
        <v>0</v>
      </c>
      <c r="AN459" s="129">
        <f t="shared" si="61"/>
        <v>0</v>
      </c>
      <c r="AO459" s="129">
        <f t="shared" si="61"/>
        <v>0</v>
      </c>
      <c r="AP459" s="129">
        <f t="shared" si="61"/>
        <v>-14913194</v>
      </c>
      <c r="AQ459" s="129">
        <f t="shared" si="61"/>
        <v>-14913194</v>
      </c>
      <c r="AR459" s="129">
        <f t="shared" si="61"/>
        <v>-14913194</v>
      </c>
      <c r="AS459" s="129">
        <f t="shared" si="61"/>
        <v>-14913194</v>
      </c>
      <c r="AT459" s="129">
        <f t="shared" si="61"/>
        <v>-14913194</v>
      </c>
      <c r="AU459" s="129">
        <f t="shared" si="61"/>
        <v>-14913194</v>
      </c>
      <c r="AV459" s="129">
        <f t="shared" si="61"/>
        <v>-14913194</v>
      </c>
      <c r="AW459" s="129">
        <f t="shared" si="61"/>
        <v>-14913194</v>
      </c>
      <c r="AX459" s="129">
        <f t="shared" si="61"/>
        <v>-14913194</v>
      </c>
      <c r="AY459" s="129">
        <f t="shared" si="61"/>
        <v>-14913194</v>
      </c>
      <c r="AZ459" s="130">
        <f t="shared" si="65"/>
        <v>-149131940</v>
      </c>
      <c r="BA459" s="129">
        <f>Y459+SUM($AM459:AM459)</f>
        <v>0</v>
      </c>
      <c r="BB459" s="131">
        <f>Z459+SUM($AM459:AN459)</f>
        <v>0</v>
      </c>
      <c r="BC459" s="131">
        <f>AA459+SUM($AM459:AO459)</f>
        <v>2147500000</v>
      </c>
      <c r="BD459" s="131">
        <f>AB459+SUM($AM459:AP459)</f>
        <v>2132586806</v>
      </c>
      <c r="BE459" s="131">
        <f>AC459+SUM($AM459:AQ459)</f>
        <v>2117673612</v>
      </c>
      <c r="BF459" s="131">
        <f>AD459+SUM($AM459:AR459)</f>
        <v>2102760418</v>
      </c>
      <c r="BG459" s="131">
        <f>AE459+SUM($AM459:AS459)</f>
        <v>2087847224</v>
      </c>
      <c r="BH459" s="131">
        <f>AF459+SUM($AM459:AT459)</f>
        <v>2072934030</v>
      </c>
      <c r="BI459" s="131">
        <f>AG459+SUM($AM459:AU459)</f>
        <v>2058020836</v>
      </c>
      <c r="BJ459" s="131">
        <f>AH459+SUM($AM459:AV459)</f>
        <v>2043107642</v>
      </c>
      <c r="BK459" s="131">
        <f>AI459+SUM($AM459:AW459)</f>
        <v>2028194448</v>
      </c>
      <c r="BL459" s="131">
        <f>AJ459+SUM($AM459:AX459)</f>
        <v>2013281254</v>
      </c>
      <c r="BM459" s="131">
        <f>AK459+SUM($AM459:AY459)</f>
        <v>1998368060</v>
      </c>
      <c r="BO459" s="129"/>
    </row>
    <row r="460" spans="3:67" s="123" customFormat="1" x14ac:dyDescent="0.3">
      <c r="C460" s="123" t="s">
        <v>30</v>
      </c>
      <c r="D460" s="124" t="s">
        <v>338</v>
      </c>
      <c r="E460" s="124" t="str">
        <f t="shared" si="66"/>
        <v>211</v>
      </c>
      <c r="F460" s="123" t="str">
        <f>_xlfn.XLOOKUP($D460,MD_Account_Asset_Type[Nhóm tài sản],MD_Account_Asset_Type[Tên Nhóm tài sản])</f>
        <v>Máy móc, thiết bị - SX 627</v>
      </c>
      <c r="G460" s="123" t="str">
        <f>_xlfn.XLOOKUP($D460,MD_Account_Asset_Type[Nhóm tài sản],MD_Account_Asset_Type[Tên nhóm TS-Rút gọn])</f>
        <v>Máy móc thiết bị</v>
      </c>
      <c r="H460" s="123" t="str">
        <f>_xlfn.XLOOKUP($D460,MD_Account_Asset_Type[Nhóm tài sản],MD_Account_Asset_Type[Tên nhóm TS-Rút gọn-v2])</f>
        <v>Máy móc thiết bị</v>
      </c>
      <c r="I460" s="125" t="s">
        <v>1605</v>
      </c>
      <c r="J460" s="124" t="s">
        <v>1650</v>
      </c>
      <c r="K460" s="123" t="s">
        <v>830</v>
      </c>
      <c r="L460" s="124" t="s">
        <v>65</v>
      </c>
      <c r="M460" s="124"/>
      <c r="N460" s="126"/>
      <c r="O460" s="126"/>
      <c r="P460" s="123" t="str">
        <f>_xlfn.XLOOKUP($D460,MD_Account_Asset_Type[Nhóm tài sản],MD_Account_Asset_Type[Tài khoản KH])</f>
        <v>6274001903</v>
      </c>
      <c r="Q460" s="123" t="str">
        <f t="shared" si="59"/>
        <v>627</v>
      </c>
      <c r="R460" s="123" t="str">
        <f>_xlfn.XLOOKUP($L460,MD_Cost_Center[Mã Cost Center],MD_Cost_Center[Ngành])</f>
        <v>PET</v>
      </c>
      <c r="S460" s="123" t="str">
        <f>_xlfn.XLOOKUP($L460,MD_Cost_Center[Mã Cost Center],MD_Cost_Center[Ngành-Tách PET-Xơ sợi])</f>
        <v>Chung-PET</v>
      </c>
      <c r="T460" s="127">
        <v>46174</v>
      </c>
      <c r="U460" s="128">
        <f t="shared" si="64"/>
        <v>50557</v>
      </c>
      <c r="V460" s="129">
        <v>144</v>
      </c>
      <c r="W460" s="129">
        <v>2100000000</v>
      </c>
      <c r="X460" s="129">
        <f t="shared" si="62"/>
        <v>-14583333</v>
      </c>
      <c r="Y460" s="129">
        <f t="shared" si="60"/>
        <v>0</v>
      </c>
      <c r="Z460" s="129">
        <f t="shared" si="60"/>
        <v>0</v>
      </c>
      <c r="AA460" s="129">
        <f t="shared" si="60"/>
        <v>0</v>
      </c>
      <c r="AB460" s="129">
        <f t="shared" si="60"/>
        <v>0</v>
      </c>
      <c r="AC460" s="129">
        <f t="shared" si="60"/>
        <v>0</v>
      </c>
      <c r="AD460" s="129">
        <f t="shared" si="60"/>
        <v>2100000000</v>
      </c>
      <c r="AE460" s="129">
        <f t="shared" si="60"/>
        <v>2100000000</v>
      </c>
      <c r="AF460" s="129">
        <f t="shared" si="60"/>
        <v>2100000000</v>
      </c>
      <c r="AG460" s="129">
        <f t="shared" si="60"/>
        <v>2100000000</v>
      </c>
      <c r="AH460" s="129">
        <f t="shared" si="60"/>
        <v>2100000000</v>
      </c>
      <c r="AI460" s="129">
        <f t="shared" si="60"/>
        <v>2100000000</v>
      </c>
      <c r="AJ460" s="129">
        <f t="shared" si="60"/>
        <v>2100000000</v>
      </c>
      <c r="AK460" s="129">
        <f t="shared" si="60"/>
        <v>2100000000</v>
      </c>
      <c r="AL460" s="129"/>
      <c r="AM460" s="129">
        <v>0</v>
      </c>
      <c r="AN460" s="129">
        <f t="shared" si="61"/>
        <v>0</v>
      </c>
      <c r="AO460" s="129">
        <f t="shared" si="61"/>
        <v>0</v>
      </c>
      <c r="AP460" s="129">
        <f t="shared" si="61"/>
        <v>0</v>
      </c>
      <c r="AQ460" s="129">
        <f t="shared" si="61"/>
        <v>0</v>
      </c>
      <c r="AR460" s="129">
        <f t="shared" si="61"/>
        <v>0</v>
      </c>
      <c r="AS460" s="129">
        <f t="shared" si="61"/>
        <v>-14583333</v>
      </c>
      <c r="AT460" s="129">
        <f t="shared" si="61"/>
        <v>-14583333</v>
      </c>
      <c r="AU460" s="129">
        <f t="shared" si="61"/>
        <v>-14583333</v>
      </c>
      <c r="AV460" s="129">
        <f t="shared" si="61"/>
        <v>-14583333</v>
      </c>
      <c r="AW460" s="129">
        <f t="shared" si="61"/>
        <v>-14583333</v>
      </c>
      <c r="AX460" s="129">
        <f t="shared" si="61"/>
        <v>-14583333</v>
      </c>
      <c r="AY460" s="129">
        <f t="shared" si="61"/>
        <v>-14583333</v>
      </c>
      <c r="AZ460" s="130">
        <f t="shared" si="65"/>
        <v>-102083331</v>
      </c>
      <c r="BA460" s="129">
        <f>Y460+SUM($AM460:AM460)</f>
        <v>0</v>
      </c>
      <c r="BB460" s="131">
        <f>Z460+SUM($AM460:AN460)</f>
        <v>0</v>
      </c>
      <c r="BC460" s="131">
        <f>AA460+SUM($AM460:AO460)</f>
        <v>0</v>
      </c>
      <c r="BD460" s="131">
        <f>AB460+SUM($AM460:AP460)</f>
        <v>0</v>
      </c>
      <c r="BE460" s="131">
        <f>AC460+SUM($AM460:AQ460)</f>
        <v>0</v>
      </c>
      <c r="BF460" s="131">
        <f>AD460+SUM($AM460:AR460)</f>
        <v>2100000000</v>
      </c>
      <c r="BG460" s="131">
        <f>AE460+SUM($AM460:AS460)</f>
        <v>2085416667</v>
      </c>
      <c r="BH460" s="131">
        <f>AF460+SUM($AM460:AT460)</f>
        <v>2070833334</v>
      </c>
      <c r="BI460" s="131">
        <f>AG460+SUM($AM460:AU460)</f>
        <v>2056250001</v>
      </c>
      <c r="BJ460" s="131">
        <f>AH460+SUM($AM460:AV460)</f>
        <v>2041666668</v>
      </c>
      <c r="BK460" s="131">
        <f>AI460+SUM($AM460:AW460)</f>
        <v>2027083335</v>
      </c>
      <c r="BL460" s="131">
        <f>AJ460+SUM($AM460:AX460)</f>
        <v>2012500002</v>
      </c>
      <c r="BM460" s="131">
        <f>AK460+SUM($AM460:AY460)</f>
        <v>1997916669</v>
      </c>
      <c r="BO460" s="129"/>
    </row>
    <row r="461" spans="3:67" s="123" customFormat="1" x14ac:dyDescent="0.3">
      <c r="C461" s="123" t="s">
        <v>30</v>
      </c>
      <c r="D461" s="124" t="s">
        <v>319</v>
      </c>
      <c r="E461" s="124" t="str">
        <f t="shared" si="66"/>
        <v>211</v>
      </c>
      <c r="F461" s="123" t="str">
        <f>_xlfn.XLOOKUP($D461,MD_Account_Asset_Type[Nhóm tài sản],MD_Account_Asset_Type[Tên Nhóm tài sản])</f>
        <v>Nhà cửa, vật kiến trúc - SX 627</v>
      </c>
      <c r="G461" s="123" t="str">
        <f>_xlfn.XLOOKUP($D461,MD_Account_Asset_Type[Nhóm tài sản],MD_Account_Asset_Type[Tên nhóm TS-Rút gọn])</f>
        <v>Nhà cửa, vật kiến trúc</v>
      </c>
      <c r="H461" s="123" t="str">
        <f>_xlfn.XLOOKUP($D461,MD_Account_Asset_Type[Nhóm tài sản],MD_Account_Asset_Type[Tên nhóm TS-Rút gọn-v2])</f>
        <v>Nhà cửa, vật kiến trúc</v>
      </c>
      <c r="I461" s="125" t="s">
        <v>1606</v>
      </c>
      <c r="J461" s="124" t="s">
        <v>1651</v>
      </c>
      <c r="K461" s="123" t="s">
        <v>830</v>
      </c>
      <c r="L461" s="124" t="s">
        <v>92</v>
      </c>
      <c r="M461" s="124"/>
      <c r="N461" s="126"/>
      <c r="O461" s="126"/>
      <c r="P461" s="123" t="str">
        <f>_xlfn.XLOOKUP($D461,MD_Account_Asset_Type[Nhóm tài sản],MD_Account_Asset_Type[Tài khoản KH])</f>
        <v>6274001901</v>
      </c>
      <c r="Q461" s="123" t="str">
        <f t="shared" si="59"/>
        <v>627</v>
      </c>
      <c r="R461" s="123" t="str">
        <f>_xlfn.XLOOKUP($L461,MD_Cost_Center[Mã Cost Center],MD_Cost_Center[Ngành])</f>
        <v>Chung</v>
      </c>
      <c r="S461" s="123" t="str">
        <f>_xlfn.XLOOKUP($L461,MD_Cost_Center[Mã Cost Center],MD_Cost_Center[Ngành-Tách PET-Xơ sợi])</f>
        <v>Chung</v>
      </c>
      <c r="T461" s="127">
        <v>46082</v>
      </c>
      <c r="U461" s="128">
        <f t="shared" si="64"/>
        <v>55213</v>
      </c>
      <c r="V461" s="129">
        <v>300</v>
      </c>
      <c r="W461" s="129">
        <v>1903265437.2</v>
      </c>
      <c r="X461" s="129">
        <f t="shared" si="62"/>
        <v>-6344218</v>
      </c>
      <c r="Y461" s="129">
        <f t="shared" si="60"/>
        <v>0</v>
      </c>
      <c r="Z461" s="129">
        <f t="shared" si="60"/>
        <v>0</v>
      </c>
      <c r="AA461" s="129">
        <f t="shared" si="60"/>
        <v>1903265437.2</v>
      </c>
      <c r="AB461" s="129">
        <f t="shared" si="60"/>
        <v>1903265437.2</v>
      </c>
      <c r="AC461" s="129">
        <f t="shared" si="60"/>
        <v>1903265437.2</v>
      </c>
      <c r="AD461" s="129">
        <f t="shared" si="60"/>
        <v>1903265437.2</v>
      </c>
      <c r="AE461" s="129">
        <f t="shared" si="60"/>
        <v>1903265437.2</v>
      </c>
      <c r="AF461" s="129">
        <f t="shared" si="60"/>
        <v>1903265437.2</v>
      </c>
      <c r="AG461" s="129">
        <f t="shared" si="60"/>
        <v>1903265437.2</v>
      </c>
      <c r="AH461" s="129">
        <f t="shared" si="60"/>
        <v>1903265437.2</v>
      </c>
      <c r="AI461" s="129">
        <f t="shared" si="60"/>
        <v>1903265437.2</v>
      </c>
      <c r="AJ461" s="129">
        <f t="shared" si="60"/>
        <v>1903265437.2</v>
      </c>
      <c r="AK461" s="129">
        <f t="shared" si="60"/>
        <v>1903265437.2</v>
      </c>
      <c r="AL461" s="129"/>
      <c r="AM461" s="129">
        <v>0</v>
      </c>
      <c r="AN461" s="129">
        <f t="shared" si="61"/>
        <v>0</v>
      </c>
      <c r="AO461" s="129">
        <f t="shared" si="61"/>
        <v>0</v>
      </c>
      <c r="AP461" s="129">
        <f t="shared" si="61"/>
        <v>-6344218</v>
      </c>
      <c r="AQ461" s="129">
        <f t="shared" si="61"/>
        <v>-6344218</v>
      </c>
      <c r="AR461" s="129">
        <f t="shared" si="61"/>
        <v>-6344218</v>
      </c>
      <c r="AS461" s="129">
        <f t="shared" si="61"/>
        <v>-6344218</v>
      </c>
      <c r="AT461" s="129">
        <f t="shared" si="61"/>
        <v>-6344218</v>
      </c>
      <c r="AU461" s="129">
        <f t="shared" si="61"/>
        <v>-6344218</v>
      </c>
      <c r="AV461" s="129">
        <f t="shared" si="61"/>
        <v>-6344218</v>
      </c>
      <c r="AW461" s="129">
        <f t="shared" si="61"/>
        <v>-6344218</v>
      </c>
      <c r="AX461" s="129">
        <f t="shared" si="61"/>
        <v>-6344218</v>
      </c>
      <c r="AY461" s="129">
        <f t="shared" si="61"/>
        <v>-6344218</v>
      </c>
      <c r="AZ461" s="130">
        <f t="shared" si="65"/>
        <v>-63442180</v>
      </c>
      <c r="BA461" s="129">
        <f>Y461+SUM($AM461:AM461)</f>
        <v>0</v>
      </c>
      <c r="BB461" s="131">
        <f>Z461+SUM($AM461:AN461)</f>
        <v>0</v>
      </c>
      <c r="BC461" s="131">
        <f>AA461+SUM($AM461:AO461)</f>
        <v>1903265437.2</v>
      </c>
      <c r="BD461" s="131">
        <f>AB461+SUM($AM461:AP461)</f>
        <v>1896921219.2</v>
      </c>
      <c r="BE461" s="131">
        <f>AC461+SUM($AM461:AQ461)</f>
        <v>1890577001.2</v>
      </c>
      <c r="BF461" s="131">
        <f>AD461+SUM($AM461:AR461)</f>
        <v>1884232783.2</v>
      </c>
      <c r="BG461" s="131">
        <f>AE461+SUM($AM461:AS461)</f>
        <v>1877888565.2</v>
      </c>
      <c r="BH461" s="131">
        <f>AF461+SUM($AM461:AT461)</f>
        <v>1871544347.2</v>
      </c>
      <c r="BI461" s="131">
        <f>AG461+SUM($AM461:AU461)</f>
        <v>1865200129.2</v>
      </c>
      <c r="BJ461" s="131">
        <f>AH461+SUM($AM461:AV461)</f>
        <v>1858855911.2</v>
      </c>
      <c r="BK461" s="131">
        <f>AI461+SUM($AM461:AW461)</f>
        <v>1852511693.2</v>
      </c>
      <c r="BL461" s="131">
        <f>AJ461+SUM($AM461:AX461)</f>
        <v>1846167475.2</v>
      </c>
      <c r="BM461" s="131">
        <f>AK461+SUM($AM461:AY461)</f>
        <v>1839823257.2</v>
      </c>
      <c r="BO461" s="129"/>
    </row>
    <row r="462" spans="3:67" s="123" customFormat="1" x14ac:dyDescent="0.3">
      <c r="C462" s="123" t="s">
        <v>30</v>
      </c>
      <c r="D462" s="124" t="s">
        <v>337</v>
      </c>
      <c r="E462" s="124" t="str">
        <f t="shared" si="66"/>
        <v>211</v>
      </c>
      <c r="F462" s="123" t="str">
        <f>_xlfn.XLOOKUP($D462,MD_Account_Asset_Type[Nhóm tài sản],MD_Account_Asset_Type[Tên Nhóm tài sản])</f>
        <v>Máy móc, thiết bị phụ - SX 627</v>
      </c>
      <c r="G462" s="123" t="str">
        <f>_xlfn.XLOOKUP($D462,MD_Account_Asset_Type[Nhóm tài sản],MD_Account_Asset_Type[Tên nhóm TS-Rút gọn])</f>
        <v>Máy móc thiết bị</v>
      </c>
      <c r="H462" s="123" t="str">
        <f>_xlfn.XLOOKUP($D462,MD_Account_Asset_Type[Nhóm tài sản],MD_Account_Asset_Type[Tên nhóm TS-Rút gọn-v2])</f>
        <v>Máy móc thiết bị</v>
      </c>
      <c r="I462" s="125" t="s">
        <v>1602</v>
      </c>
      <c r="J462" s="124" t="s">
        <v>1652</v>
      </c>
      <c r="K462" s="123" t="s">
        <v>830</v>
      </c>
      <c r="L462" s="124" t="s">
        <v>92</v>
      </c>
      <c r="M462" s="124"/>
      <c r="N462" s="126"/>
      <c r="O462" s="126"/>
      <c r="P462" s="123" t="str">
        <f>_xlfn.XLOOKUP($D462,MD_Account_Asset_Type[Nhóm tài sản],MD_Account_Asset_Type[Tài khoản KH])</f>
        <v>6274001906</v>
      </c>
      <c r="Q462" s="123" t="str">
        <f t="shared" si="59"/>
        <v>627</v>
      </c>
      <c r="R462" s="123" t="str">
        <f>_xlfn.XLOOKUP($L462,MD_Cost_Center[Mã Cost Center],MD_Cost_Center[Ngành])</f>
        <v>Chung</v>
      </c>
      <c r="S462" s="123" t="str">
        <f>_xlfn.XLOOKUP($L462,MD_Cost_Center[Mã Cost Center],MD_Cost_Center[Ngành-Tách PET-Xơ sợi])</f>
        <v>Chung</v>
      </c>
      <c r="T462" s="127">
        <v>46357</v>
      </c>
      <c r="U462" s="128">
        <f t="shared" si="64"/>
        <v>50010</v>
      </c>
      <c r="V462" s="129">
        <v>120</v>
      </c>
      <c r="W462" s="129">
        <v>1473000000</v>
      </c>
      <c r="X462" s="129">
        <f t="shared" si="62"/>
        <v>-12275000</v>
      </c>
      <c r="Y462" s="129">
        <f t="shared" ref="Y462:AK467" si="67">IF($T462-1&lt;=Y$6,$W462,0)</f>
        <v>0</v>
      </c>
      <c r="Z462" s="129">
        <f t="shared" si="67"/>
        <v>0</v>
      </c>
      <c r="AA462" s="129">
        <f t="shared" si="67"/>
        <v>0</v>
      </c>
      <c r="AB462" s="129">
        <f t="shared" si="67"/>
        <v>0</v>
      </c>
      <c r="AC462" s="129">
        <f t="shared" si="67"/>
        <v>0</v>
      </c>
      <c r="AD462" s="129">
        <f t="shared" si="67"/>
        <v>0</v>
      </c>
      <c r="AE462" s="129">
        <f t="shared" si="67"/>
        <v>0</v>
      </c>
      <c r="AF462" s="129">
        <f t="shared" si="67"/>
        <v>0</v>
      </c>
      <c r="AG462" s="129">
        <f t="shared" si="67"/>
        <v>0</v>
      </c>
      <c r="AH462" s="129">
        <f t="shared" si="67"/>
        <v>0</v>
      </c>
      <c r="AI462" s="129">
        <f t="shared" si="67"/>
        <v>0</v>
      </c>
      <c r="AJ462" s="129">
        <f t="shared" si="67"/>
        <v>1473000000</v>
      </c>
      <c r="AK462" s="129">
        <f t="shared" si="67"/>
        <v>1473000000</v>
      </c>
      <c r="AL462" s="129"/>
      <c r="AM462" s="129">
        <v>0</v>
      </c>
      <c r="AN462" s="129">
        <f t="shared" si="61"/>
        <v>0</v>
      </c>
      <c r="AO462" s="129">
        <f t="shared" si="61"/>
        <v>0</v>
      </c>
      <c r="AP462" s="129">
        <f t="shared" si="61"/>
        <v>0</v>
      </c>
      <c r="AQ462" s="129">
        <f t="shared" si="61"/>
        <v>0</v>
      </c>
      <c r="AR462" s="129">
        <f t="shared" si="61"/>
        <v>0</v>
      </c>
      <c r="AS462" s="129">
        <f t="shared" si="61"/>
        <v>0</v>
      </c>
      <c r="AT462" s="129">
        <f t="shared" si="61"/>
        <v>0</v>
      </c>
      <c r="AU462" s="129">
        <f t="shared" si="61"/>
        <v>0</v>
      </c>
      <c r="AV462" s="129">
        <f t="shared" si="61"/>
        <v>0</v>
      </c>
      <c r="AW462" s="129">
        <f t="shared" si="61"/>
        <v>0</v>
      </c>
      <c r="AX462" s="129">
        <f t="shared" si="61"/>
        <v>0</v>
      </c>
      <c r="AY462" s="129">
        <f t="shared" si="61"/>
        <v>-12275000</v>
      </c>
      <c r="AZ462" s="130">
        <f t="shared" si="65"/>
        <v>-12275000</v>
      </c>
      <c r="BA462" s="129">
        <f>Y462+SUM($AM462:AM462)</f>
        <v>0</v>
      </c>
      <c r="BB462" s="131">
        <f>Z462+SUM($AM462:AN462)</f>
        <v>0</v>
      </c>
      <c r="BC462" s="131">
        <f>AA462+SUM($AM462:AO462)</f>
        <v>0</v>
      </c>
      <c r="BD462" s="131">
        <f>AB462+SUM($AM462:AP462)</f>
        <v>0</v>
      </c>
      <c r="BE462" s="131">
        <f>AC462+SUM($AM462:AQ462)</f>
        <v>0</v>
      </c>
      <c r="BF462" s="131">
        <f>AD462+SUM($AM462:AR462)</f>
        <v>0</v>
      </c>
      <c r="BG462" s="131">
        <f>AE462+SUM($AM462:AS462)</f>
        <v>0</v>
      </c>
      <c r="BH462" s="131">
        <f>AF462+SUM($AM462:AT462)</f>
        <v>0</v>
      </c>
      <c r="BI462" s="131">
        <f>AG462+SUM($AM462:AU462)</f>
        <v>0</v>
      </c>
      <c r="BJ462" s="131">
        <f>AH462+SUM($AM462:AV462)</f>
        <v>0</v>
      </c>
      <c r="BK462" s="131">
        <f>AI462+SUM($AM462:AW462)</f>
        <v>0</v>
      </c>
      <c r="BL462" s="131">
        <f>AJ462+SUM($AM462:AX462)</f>
        <v>1473000000</v>
      </c>
      <c r="BM462" s="131">
        <f>AK462+SUM($AM462:AY462)</f>
        <v>1460725000</v>
      </c>
      <c r="BO462" s="129"/>
    </row>
    <row r="463" spans="3:67" s="123" customFormat="1" x14ac:dyDescent="0.3">
      <c r="C463" s="123" t="s">
        <v>30</v>
      </c>
      <c r="D463" s="124" t="s">
        <v>404</v>
      </c>
      <c r="E463" s="124" t="str">
        <f t="shared" si="66"/>
        <v>213</v>
      </c>
      <c r="F463" s="123" t="str">
        <f>_xlfn.XLOOKUP($D463,MD_Account_Asset_Type[Nhóm tài sản],MD_Account_Asset_Type[Tên Nhóm tài sản])</f>
        <v>Phần mềm máy vi tính - SX 627</v>
      </c>
      <c r="G463" s="123" t="str">
        <f>_xlfn.XLOOKUP($D463,MD_Account_Asset_Type[Nhóm tài sản],MD_Account_Asset_Type[Tên nhóm TS-Rút gọn])</f>
        <v>Phần mềm công nghệ thông tin</v>
      </c>
      <c r="H463" s="123" t="str">
        <f>_xlfn.XLOOKUP($D463,MD_Account_Asset_Type[Nhóm tài sản],MD_Account_Asset_Type[Tên nhóm TS-Rút gọn-v2])</f>
        <v>Phần mềm công nghệ thông tin</v>
      </c>
      <c r="I463" s="125" t="s">
        <v>1607</v>
      </c>
      <c r="J463" s="124" t="s">
        <v>1653</v>
      </c>
      <c r="K463" s="123" t="s">
        <v>830</v>
      </c>
      <c r="L463" s="124" t="s">
        <v>45</v>
      </c>
      <c r="M463" s="124"/>
      <c r="N463" s="126"/>
      <c r="O463" s="126"/>
      <c r="P463" s="123" t="str">
        <f>_xlfn.XLOOKUP($D463,MD_Account_Asset_Type[Nhóm tài sản],MD_Account_Asset_Type[Tài khoản KH])</f>
        <v>6274001907</v>
      </c>
      <c r="Q463" s="123" t="str">
        <f t="shared" si="59"/>
        <v>627</v>
      </c>
      <c r="R463" s="123" t="str">
        <f>_xlfn.XLOOKUP($L463,MD_Cost_Center[Mã Cost Center],MD_Cost_Center[Ngành])</f>
        <v>Chung</v>
      </c>
      <c r="S463" s="123" t="str">
        <f>_xlfn.XLOOKUP($L463,MD_Cost_Center[Mã Cost Center],MD_Cost_Center[Ngành-Tách PET-Xơ sợi])</f>
        <v>Chung</v>
      </c>
      <c r="T463" s="127">
        <v>46174</v>
      </c>
      <c r="U463" s="128">
        <f t="shared" si="64"/>
        <v>49096</v>
      </c>
      <c r="V463" s="129">
        <v>96</v>
      </c>
      <c r="W463" s="129">
        <v>1460000000</v>
      </c>
      <c r="X463" s="129">
        <f t="shared" si="62"/>
        <v>-15208333</v>
      </c>
      <c r="Y463" s="129">
        <f t="shared" si="67"/>
        <v>0</v>
      </c>
      <c r="Z463" s="129">
        <f t="shared" si="67"/>
        <v>0</v>
      </c>
      <c r="AA463" s="129">
        <f t="shared" si="67"/>
        <v>0</v>
      </c>
      <c r="AB463" s="129">
        <f t="shared" si="67"/>
        <v>0</v>
      </c>
      <c r="AC463" s="129">
        <f t="shared" si="67"/>
        <v>0</v>
      </c>
      <c r="AD463" s="129">
        <f t="shared" si="67"/>
        <v>1460000000</v>
      </c>
      <c r="AE463" s="129">
        <f t="shared" si="67"/>
        <v>1460000000</v>
      </c>
      <c r="AF463" s="129">
        <f t="shared" si="67"/>
        <v>1460000000</v>
      </c>
      <c r="AG463" s="129">
        <f t="shared" si="67"/>
        <v>1460000000</v>
      </c>
      <c r="AH463" s="129">
        <f t="shared" si="67"/>
        <v>1460000000</v>
      </c>
      <c r="AI463" s="129">
        <f t="shared" si="67"/>
        <v>1460000000</v>
      </c>
      <c r="AJ463" s="129">
        <f t="shared" si="67"/>
        <v>1460000000</v>
      </c>
      <c r="AK463" s="129">
        <f t="shared" si="67"/>
        <v>1460000000</v>
      </c>
      <c r="AL463" s="129"/>
      <c r="AM463" s="129">
        <v>0</v>
      </c>
      <c r="AN463" s="129">
        <f t="shared" si="61"/>
        <v>0</v>
      </c>
      <c r="AO463" s="129">
        <f t="shared" si="61"/>
        <v>0</v>
      </c>
      <c r="AP463" s="129">
        <f t="shared" si="61"/>
        <v>0</v>
      </c>
      <c r="AQ463" s="129">
        <f t="shared" si="61"/>
        <v>0</v>
      </c>
      <c r="AR463" s="129">
        <f t="shared" si="61"/>
        <v>0</v>
      </c>
      <c r="AS463" s="129">
        <f t="shared" si="61"/>
        <v>-15208333</v>
      </c>
      <c r="AT463" s="129">
        <f t="shared" si="61"/>
        <v>-15208333</v>
      </c>
      <c r="AU463" s="129">
        <f t="shared" si="61"/>
        <v>-15208333</v>
      </c>
      <c r="AV463" s="129">
        <f t="shared" si="61"/>
        <v>-15208333</v>
      </c>
      <c r="AW463" s="129">
        <f t="shared" si="61"/>
        <v>-15208333</v>
      </c>
      <c r="AX463" s="129">
        <f t="shared" si="61"/>
        <v>-15208333</v>
      </c>
      <c r="AY463" s="129">
        <f t="shared" si="61"/>
        <v>-15208333</v>
      </c>
      <c r="AZ463" s="130">
        <f t="shared" si="65"/>
        <v>-106458331</v>
      </c>
      <c r="BA463" s="129">
        <f>Y463+SUM($AM463:AM463)</f>
        <v>0</v>
      </c>
      <c r="BB463" s="131">
        <f>Z463+SUM($AM463:AN463)</f>
        <v>0</v>
      </c>
      <c r="BC463" s="131">
        <f>AA463+SUM($AM463:AO463)</f>
        <v>0</v>
      </c>
      <c r="BD463" s="131">
        <f>AB463+SUM($AM463:AP463)</f>
        <v>0</v>
      </c>
      <c r="BE463" s="131">
        <f>AC463+SUM($AM463:AQ463)</f>
        <v>0</v>
      </c>
      <c r="BF463" s="131">
        <f>AD463+SUM($AM463:AR463)</f>
        <v>1460000000</v>
      </c>
      <c r="BG463" s="131">
        <f>AE463+SUM($AM463:AS463)</f>
        <v>1444791667</v>
      </c>
      <c r="BH463" s="131">
        <f>AF463+SUM($AM463:AT463)</f>
        <v>1429583334</v>
      </c>
      <c r="BI463" s="131">
        <f>AG463+SUM($AM463:AU463)</f>
        <v>1414375001</v>
      </c>
      <c r="BJ463" s="131">
        <f>AH463+SUM($AM463:AV463)</f>
        <v>1399166668</v>
      </c>
      <c r="BK463" s="131">
        <f>AI463+SUM($AM463:AW463)</f>
        <v>1383958335</v>
      </c>
      <c r="BL463" s="131">
        <f>AJ463+SUM($AM463:AX463)</f>
        <v>1368750002</v>
      </c>
      <c r="BM463" s="131">
        <f>AK463+SUM($AM463:AY463)</f>
        <v>1353541669</v>
      </c>
      <c r="BO463" s="129"/>
    </row>
    <row r="464" spans="3:67" s="123" customFormat="1" x14ac:dyDescent="0.3">
      <c r="C464" s="123" t="s">
        <v>30</v>
      </c>
      <c r="D464" s="124" t="s">
        <v>337</v>
      </c>
      <c r="E464" s="124" t="str">
        <f t="shared" si="66"/>
        <v>211</v>
      </c>
      <c r="F464" s="123" t="str">
        <f>_xlfn.XLOOKUP($D464,MD_Account_Asset_Type[Nhóm tài sản],MD_Account_Asset_Type[Tên Nhóm tài sản])</f>
        <v>Máy móc, thiết bị phụ - SX 627</v>
      </c>
      <c r="G464" s="123" t="str">
        <f>_xlfn.XLOOKUP($D464,MD_Account_Asset_Type[Nhóm tài sản],MD_Account_Asset_Type[Tên nhóm TS-Rút gọn])</f>
        <v>Máy móc thiết bị</v>
      </c>
      <c r="H464" s="123" t="str">
        <f>_xlfn.XLOOKUP($D464,MD_Account_Asset_Type[Nhóm tài sản],MD_Account_Asset_Type[Tên nhóm TS-Rút gọn-v2])</f>
        <v>Máy móc thiết bị</v>
      </c>
      <c r="I464" s="125" t="s">
        <v>1608</v>
      </c>
      <c r="J464" s="124" t="s">
        <v>1654</v>
      </c>
      <c r="K464" s="123" t="s">
        <v>830</v>
      </c>
      <c r="L464" s="124" t="s">
        <v>47</v>
      </c>
      <c r="M464" s="124"/>
      <c r="N464" s="126"/>
      <c r="O464" s="126"/>
      <c r="P464" s="123" t="str">
        <f>_xlfn.XLOOKUP($D464,MD_Account_Asset_Type[Nhóm tài sản],MD_Account_Asset_Type[Tài khoản KH])</f>
        <v>6274001906</v>
      </c>
      <c r="Q464" s="123" t="str">
        <f t="shared" si="59"/>
        <v>627</v>
      </c>
      <c r="R464" s="123" t="str">
        <f>_xlfn.XLOOKUP($L464,MD_Cost_Center[Mã Cost Center],MD_Cost_Center[Ngành])</f>
        <v>Chung</v>
      </c>
      <c r="S464" s="123" t="str">
        <f>_xlfn.XLOOKUP($L464,MD_Cost_Center[Mã Cost Center],MD_Cost_Center[Ngành-Tách PET-Xơ sợi])</f>
        <v>Chung</v>
      </c>
      <c r="T464" s="127">
        <v>46143</v>
      </c>
      <c r="U464" s="128">
        <f t="shared" si="64"/>
        <v>50526</v>
      </c>
      <c r="V464" s="129">
        <v>144</v>
      </c>
      <c r="W464" s="129">
        <v>775750000</v>
      </c>
      <c r="X464" s="129">
        <f t="shared" si="62"/>
        <v>-5387153</v>
      </c>
      <c r="Y464" s="129">
        <f t="shared" si="67"/>
        <v>0</v>
      </c>
      <c r="Z464" s="129">
        <f t="shared" si="67"/>
        <v>0</v>
      </c>
      <c r="AA464" s="129">
        <f t="shared" si="67"/>
        <v>0</v>
      </c>
      <c r="AB464" s="129">
        <f t="shared" si="67"/>
        <v>0</v>
      </c>
      <c r="AC464" s="129">
        <f t="shared" si="67"/>
        <v>775750000</v>
      </c>
      <c r="AD464" s="129">
        <f t="shared" si="67"/>
        <v>775750000</v>
      </c>
      <c r="AE464" s="129">
        <f t="shared" si="67"/>
        <v>775750000</v>
      </c>
      <c r="AF464" s="129">
        <f t="shared" si="67"/>
        <v>775750000</v>
      </c>
      <c r="AG464" s="129">
        <f t="shared" si="67"/>
        <v>775750000</v>
      </c>
      <c r="AH464" s="129">
        <f t="shared" si="67"/>
        <v>775750000</v>
      </c>
      <c r="AI464" s="129">
        <f t="shared" si="67"/>
        <v>775750000</v>
      </c>
      <c r="AJ464" s="129">
        <f t="shared" si="67"/>
        <v>775750000</v>
      </c>
      <c r="AK464" s="129">
        <f t="shared" si="67"/>
        <v>775750000</v>
      </c>
      <c r="AL464" s="129"/>
      <c r="AM464" s="129">
        <v>0</v>
      </c>
      <c r="AN464" s="129">
        <f t="shared" si="61"/>
        <v>0</v>
      </c>
      <c r="AO464" s="129">
        <f t="shared" si="61"/>
        <v>0</v>
      </c>
      <c r="AP464" s="129">
        <f t="shared" si="61"/>
        <v>0</v>
      </c>
      <c r="AQ464" s="129">
        <f t="shared" si="61"/>
        <v>0</v>
      </c>
      <c r="AR464" s="129">
        <f t="shared" si="61"/>
        <v>-5387153</v>
      </c>
      <c r="AS464" s="129">
        <f t="shared" si="61"/>
        <v>-5387153</v>
      </c>
      <c r="AT464" s="129">
        <f t="shared" si="61"/>
        <v>-5387153</v>
      </c>
      <c r="AU464" s="129">
        <f t="shared" si="61"/>
        <v>-5387153</v>
      </c>
      <c r="AV464" s="129">
        <f t="shared" si="61"/>
        <v>-5387153</v>
      </c>
      <c r="AW464" s="129">
        <f t="shared" si="61"/>
        <v>-5387153</v>
      </c>
      <c r="AX464" s="129">
        <f t="shared" si="61"/>
        <v>-5387153</v>
      </c>
      <c r="AY464" s="129">
        <f t="shared" si="61"/>
        <v>-5387153</v>
      </c>
      <c r="AZ464" s="130">
        <f t="shared" si="65"/>
        <v>-43097224</v>
      </c>
      <c r="BA464" s="129">
        <f>Y464+SUM($AM464:AM464)</f>
        <v>0</v>
      </c>
      <c r="BB464" s="131">
        <f>Z464+SUM($AM464:AN464)</f>
        <v>0</v>
      </c>
      <c r="BC464" s="131">
        <f>AA464+SUM($AM464:AO464)</f>
        <v>0</v>
      </c>
      <c r="BD464" s="131">
        <f>AB464+SUM($AM464:AP464)</f>
        <v>0</v>
      </c>
      <c r="BE464" s="131">
        <f>AC464+SUM($AM464:AQ464)</f>
        <v>775750000</v>
      </c>
      <c r="BF464" s="131">
        <f>AD464+SUM($AM464:AR464)</f>
        <v>770362847</v>
      </c>
      <c r="BG464" s="131">
        <f>AE464+SUM($AM464:AS464)</f>
        <v>764975694</v>
      </c>
      <c r="BH464" s="131">
        <f>AF464+SUM($AM464:AT464)</f>
        <v>759588541</v>
      </c>
      <c r="BI464" s="131">
        <f>AG464+SUM($AM464:AU464)</f>
        <v>754201388</v>
      </c>
      <c r="BJ464" s="131">
        <f>AH464+SUM($AM464:AV464)</f>
        <v>748814235</v>
      </c>
      <c r="BK464" s="131">
        <f>AI464+SUM($AM464:AW464)</f>
        <v>743427082</v>
      </c>
      <c r="BL464" s="131">
        <f>AJ464+SUM($AM464:AX464)</f>
        <v>738039929</v>
      </c>
      <c r="BM464" s="131">
        <f>AK464+SUM($AM464:AY464)</f>
        <v>732652776</v>
      </c>
      <c r="BO464" s="129"/>
    </row>
    <row r="465" spans="3:67" s="123" customFormat="1" x14ac:dyDescent="0.3">
      <c r="C465" s="123" t="s">
        <v>30</v>
      </c>
      <c r="D465" s="124" t="s">
        <v>337</v>
      </c>
      <c r="E465" s="124" t="str">
        <f t="shared" si="66"/>
        <v>211</v>
      </c>
      <c r="F465" s="123" t="str">
        <f>_xlfn.XLOOKUP($D465,MD_Account_Asset_Type[Nhóm tài sản],MD_Account_Asset_Type[Tên Nhóm tài sản])</f>
        <v>Máy móc, thiết bị phụ - SX 627</v>
      </c>
      <c r="G465" s="123" t="str">
        <f>_xlfn.XLOOKUP($D465,MD_Account_Asset_Type[Nhóm tài sản],MD_Account_Asset_Type[Tên nhóm TS-Rút gọn])</f>
        <v>Máy móc thiết bị</v>
      </c>
      <c r="H465" s="123" t="str">
        <f>_xlfn.XLOOKUP($D465,MD_Account_Asset_Type[Nhóm tài sản],MD_Account_Asset_Type[Tên nhóm TS-Rút gọn-v2])</f>
        <v>Máy móc thiết bị</v>
      </c>
      <c r="I465" s="125" t="s">
        <v>1609</v>
      </c>
      <c r="J465" s="124" t="s">
        <v>1655</v>
      </c>
      <c r="K465" s="123" t="s">
        <v>830</v>
      </c>
      <c r="L465" s="124" t="s">
        <v>47</v>
      </c>
      <c r="M465" s="124"/>
      <c r="N465" s="126"/>
      <c r="O465" s="126"/>
      <c r="P465" s="123" t="str">
        <f>_xlfn.XLOOKUP($D465,MD_Account_Asset_Type[Nhóm tài sản],MD_Account_Asset_Type[Tài khoản KH])</f>
        <v>6274001906</v>
      </c>
      <c r="Q465" s="123" t="str">
        <f t="shared" si="59"/>
        <v>627</v>
      </c>
      <c r="R465" s="123" t="str">
        <f>_xlfn.XLOOKUP($L465,MD_Cost_Center[Mã Cost Center],MD_Cost_Center[Ngành])</f>
        <v>Chung</v>
      </c>
      <c r="S465" s="123" t="str">
        <f>_xlfn.XLOOKUP($L465,MD_Cost_Center[Mã Cost Center],MD_Cost_Center[Ngành-Tách PET-Xơ sợi])</f>
        <v>Chung</v>
      </c>
      <c r="T465" s="127">
        <v>46143</v>
      </c>
      <c r="U465" s="128">
        <f t="shared" si="64"/>
        <v>50526</v>
      </c>
      <c r="V465" s="129">
        <v>144</v>
      </c>
      <c r="W465" s="129">
        <v>233490000</v>
      </c>
      <c r="X465" s="129">
        <f t="shared" si="62"/>
        <v>-1621458</v>
      </c>
      <c r="Y465" s="129">
        <f t="shared" si="67"/>
        <v>0</v>
      </c>
      <c r="Z465" s="129">
        <f t="shared" si="67"/>
        <v>0</v>
      </c>
      <c r="AA465" s="129">
        <f t="shared" si="67"/>
        <v>0</v>
      </c>
      <c r="AB465" s="129">
        <f t="shared" si="67"/>
        <v>0</v>
      </c>
      <c r="AC465" s="129">
        <f t="shared" si="67"/>
        <v>233490000</v>
      </c>
      <c r="AD465" s="129">
        <f t="shared" si="67"/>
        <v>233490000</v>
      </c>
      <c r="AE465" s="129">
        <f t="shared" si="67"/>
        <v>233490000</v>
      </c>
      <c r="AF465" s="129">
        <f t="shared" si="67"/>
        <v>233490000</v>
      </c>
      <c r="AG465" s="129">
        <f t="shared" si="67"/>
        <v>233490000</v>
      </c>
      <c r="AH465" s="129">
        <f t="shared" si="67"/>
        <v>233490000</v>
      </c>
      <c r="AI465" s="129">
        <f t="shared" si="67"/>
        <v>233490000</v>
      </c>
      <c r="AJ465" s="129">
        <f t="shared" si="67"/>
        <v>233490000</v>
      </c>
      <c r="AK465" s="129">
        <f t="shared" si="67"/>
        <v>233490000</v>
      </c>
      <c r="AL465" s="129"/>
      <c r="AM465" s="129">
        <v>0</v>
      </c>
      <c r="AN465" s="129">
        <f t="shared" si="61"/>
        <v>0</v>
      </c>
      <c r="AO465" s="129">
        <f t="shared" si="61"/>
        <v>0</v>
      </c>
      <c r="AP465" s="129">
        <f t="shared" si="61"/>
        <v>0</v>
      </c>
      <c r="AQ465" s="129">
        <f t="shared" si="61"/>
        <v>0</v>
      </c>
      <c r="AR465" s="129">
        <f t="shared" si="61"/>
        <v>-1621458</v>
      </c>
      <c r="AS465" s="129">
        <f t="shared" si="61"/>
        <v>-1621458</v>
      </c>
      <c r="AT465" s="129">
        <f t="shared" si="61"/>
        <v>-1621458</v>
      </c>
      <c r="AU465" s="129">
        <f t="shared" si="61"/>
        <v>-1621458</v>
      </c>
      <c r="AV465" s="129">
        <f t="shared" si="61"/>
        <v>-1621458</v>
      </c>
      <c r="AW465" s="129">
        <f t="shared" si="61"/>
        <v>-1621458</v>
      </c>
      <c r="AX465" s="129">
        <f t="shared" si="61"/>
        <v>-1621458</v>
      </c>
      <c r="AY465" s="129">
        <f t="shared" si="61"/>
        <v>-1621458</v>
      </c>
      <c r="AZ465" s="130">
        <f t="shared" si="65"/>
        <v>-12971664</v>
      </c>
      <c r="BA465" s="129">
        <f>Y465+SUM($AM465:AM465)</f>
        <v>0</v>
      </c>
      <c r="BB465" s="131">
        <f>Z465+SUM($AM465:AN465)</f>
        <v>0</v>
      </c>
      <c r="BC465" s="131">
        <f>AA465+SUM($AM465:AO465)</f>
        <v>0</v>
      </c>
      <c r="BD465" s="131">
        <f>AB465+SUM($AM465:AP465)</f>
        <v>0</v>
      </c>
      <c r="BE465" s="131">
        <f>AC465+SUM($AM465:AQ465)</f>
        <v>233490000</v>
      </c>
      <c r="BF465" s="131">
        <f>AD465+SUM($AM465:AR465)</f>
        <v>231868542</v>
      </c>
      <c r="BG465" s="131">
        <f>AE465+SUM($AM465:AS465)</f>
        <v>230247084</v>
      </c>
      <c r="BH465" s="131">
        <f>AF465+SUM($AM465:AT465)</f>
        <v>228625626</v>
      </c>
      <c r="BI465" s="131">
        <f>AG465+SUM($AM465:AU465)</f>
        <v>227004168</v>
      </c>
      <c r="BJ465" s="131">
        <f>AH465+SUM($AM465:AV465)</f>
        <v>225382710</v>
      </c>
      <c r="BK465" s="131">
        <f>AI465+SUM($AM465:AW465)</f>
        <v>223761252</v>
      </c>
      <c r="BL465" s="131">
        <f>AJ465+SUM($AM465:AX465)</f>
        <v>222139794</v>
      </c>
      <c r="BM465" s="131">
        <f>AK465+SUM($AM465:AY465)</f>
        <v>220518336</v>
      </c>
      <c r="BO465" s="129"/>
    </row>
    <row r="466" spans="3:67" s="123" customFormat="1" x14ac:dyDescent="0.3">
      <c r="C466" s="123" t="s">
        <v>30</v>
      </c>
      <c r="D466" s="124" t="s">
        <v>337</v>
      </c>
      <c r="E466" s="124" t="str">
        <f t="shared" si="66"/>
        <v>211</v>
      </c>
      <c r="F466" s="123" t="str">
        <f>_xlfn.XLOOKUP($D466,MD_Account_Asset_Type[Nhóm tài sản],MD_Account_Asset_Type[Tên Nhóm tài sản])</f>
        <v>Máy móc, thiết bị phụ - SX 627</v>
      </c>
      <c r="G466" s="123" t="str">
        <f>_xlfn.XLOOKUP($D466,MD_Account_Asset_Type[Nhóm tài sản],MD_Account_Asset_Type[Tên nhóm TS-Rút gọn])</f>
        <v>Máy móc thiết bị</v>
      </c>
      <c r="H466" s="123" t="str">
        <f>_xlfn.XLOOKUP($D466,MD_Account_Asset_Type[Nhóm tài sản],MD_Account_Asset_Type[Tên nhóm TS-Rút gọn-v2])</f>
        <v>Máy móc thiết bị</v>
      </c>
      <c r="I466" s="125" t="s">
        <v>1610</v>
      </c>
      <c r="J466" s="124" t="s">
        <v>1656</v>
      </c>
      <c r="K466" s="123" t="s">
        <v>830</v>
      </c>
      <c r="L466" s="124" t="s">
        <v>47</v>
      </c>
      <c r="M466" s="124"/>
      <c r="N466" s="126"/>
      <c r="O466" s="126"/>
      <c r="P466" s="123" t="str">
        <f>_xlfn.XLOOKUP($D466,MD_Account_Asset_Type[Nhóm tài sản],MD_Account_Asset_Type[Tài khoản KH])</f>
        <v>6274001906</v>
      </c>
      <c r="Q466" s="123" t="str">
        <f t="shared" si="59"/>
        <v>627</v>
      </c>
      <c r="R466" s="123" t="str">
        <f>_xlfn.XLOOKUP($L466,MD_Cost_Center[Mã Cost Center],MD_Cost_Center[Ngành])</f>
        <v>Chung</v>
      </c>
      <c r="S466" s="123" t="str">
        <f>_xlfn.XLOOKUP($L466,MD_Cost_Center[Mã Cost Center],MD_Cost_Center[Ngành-Tách PET-Xơ sợi])</f>
        <v>Chung</v>
      </c>
      <c r="T466" s="127">
        <v>46143</v>
      </c>
      <c r="U466" s="128">
        <f t="shared" si="64"/>
        <v>50526</v>
      </c>
      <c r="V466" s="129">
        <v>144</v>
      </c>
      <c r="W466" s="129">
        <v>200000000</v>
      </c>
      <c r="X466" s="129">
        <f t="shared" si="62"/>
        <v>-1388889</v>
      </c>
      <c r="Y466" s="129">
        <f t="shared" si="67"/>
        <v>0</v>
      </c>
      <c r="Z466" s="129">
        <f t="shared" si="67"/>
        <v>0</v>
      </c>
      <c r="AA466" s="129">
        <f t="shared" si="67"/>
        <v>0</v>
      </c>
      <c r="AB466" s="129">
        <f t="shared" si="67"/>
        <v>0</v>
      </c>
      <c r="AC466" s="129">
        <f t="shared" si="67"/>
        <v>200000000</v>
      </c>
      <c r="AD466" s="129">
        <f t="shared" si="67"/>
        <v>200000000</v>
      </c>
      <c r="AE466" s="129">
        <f t="shared" si="67"/>
        <v>200000000</v>
      </c>
      <c r="AF466" s="129">
        <f t="shared" si="67"/>
        <v>200000000</v>
      </c>
      <c r="AG466" s="129">
        <f t="shared" si="67"/>
        <v>200000000</v>
      </c>
      <c r="AH466" s="129">
        <f t="shared" si="67"/>
        <v>200000000</v>
      </c>
      <c r="AI466" s="129">
        <f t="shared" si="67"/>
        <v>200000000</v>
      </c>
      <c r="AJ466" s="129">
        <f t="shared" si="67"/>
        <v>200000000</v>
      </c>
      <c r="AK466" s="129">
        <f t="shared" si="67"/>
        <v>200000000</v>
      </c>
      <c r="AL466" s="129"/>
      <c r="AM466" s="129">
        <v>0</v>
      </c>
      <c r="AN466" s="129">
        <f t="shared" si="61"/>
        <v>0</v>
      </c>
      <c r="AO466" s="129">
        <f t="shared" si="61"/>
        <v>0</v>
      </c>
      <c r="AP466" s="129">
        <f t="shared" si="61"/>
        <v>0</v>
      </c>
      <c r="AQ466" s="129">
        <f t="shared" si="61"/>
        <v>0</v>
      </c>
      <c r="AR466" s="129">
        <f t="shared" si="61"/>
        <v>-1388889</v>
      </c>
      <c r="AS466" s="129">
        <f t="shared" si="61"/>
        <v>-1388889</v>
      </c>
      <c r="AT466" s="129">
        <f t="shared" si="61"/>
        <v>-1388889</v>
      </c>
      <c r="AU466" s="129">
        <f t="shared" si="61"/>
        <v>-1388889</v>
      </c>
      <c r="AV466" s="129">
        <f t="shared" si="61"/>
        <v>-1388889</v>
      </c>
      <c r="AW466" s="129">
        <f t="shared" si="61"/>
        <v>-1388889</v>
      </c>
      <c r="AX466" s="129">
        <f t="shared" si="61"/>
        <v>-1388889</v>
      </c>
      <c r="AY466" s="129">
        <f t="shared" si="61"/>
        <v>-1388889</v>
      </c>
      <c r="AZ466" s="130">
        <f t="shared" si="65"/>
        <v>-11111112</v>
      </c>
      <c r="BA466" s="129">
        <f>Y466+SUM($AM466:AM466)</f>
        <v>0</v>
      </c>
      <c r="BB466" s="131">
        <f>Z466+SUM($AM466:AN466)</f>
        <v>0</v>
      </c>
      <c r="BC466" s="131">
        <f>AA466+SUM($AM466:AO466)</f>
        <v>0</v>
      </c>
      <c r="BD466" s="131">
        <f>AB466+SUM($AM466:AP466)</f>
        <v>0</v>
      </c>
      <c r="BE466" s="131">
        <f>AC466+SUM($AM466:AQ466)</f>
        <v>200000000</v>
      </c>
      <c r="BF466" s="131">
        <f>AD466+SUM($AM466:AR466)</f>
        <v>198611111</v>
      </c>
      <c r="BG466" s="131">
        <f>AE466+SUM($AM466:AS466)</f>
        <v>197222222</v>
      </c>
      <c r="BH466" s="131">
        <f>AF466+SUM($AM466:AT466)</f>
        <v>195833333</v>
      </c>
      <c r="BI466" s="131">
        <f>AG466+SUM($AM466:AU466)</f>
        <v>194444444</v>
      </c>
      <c r="BJ466" s="131">
        <f>AH466+SUM($AM466:AV466)</f>
        <v>193055555</v>
      </c>
      <c r="BK466" s="131">
        <f>AI466+SUM($AM466:AW466)</f>
        <v>191666666</v>
      </c>
      <c r="BL466" s="131">
        <f>AJ466+SUM($AM466:AX466)</f>
        <v>190277777</v>
      </c>
      <c r="BM466" s="131">
        <f>AK466+SUM($AM466:AY466)</f>
        <v>188888888</v>
      </c>
      <c r="BO466" s="129"/>
    </row>
    <row r="467" spans="3:67" s="123" customFormat="1" x14ac:dyDescent="0.3">
      <c r="C467" s="123" t="s">
        <v>30</v>
      </c>
      <c r="D467" s="124" t="s">
        <v>337</v>
      </c>
      <c r="E467" s="124" t="str">
        <f t="shared" si="66"/>
        <v>211</v>
      </c>
      <c r="F467" s="123" t="str">
        <f>_xlfn.XLOOKUP($D467,MD_Account_Asset_Type[Nhóm tài sản],MD_Account_Asset_Type[Tên Nhóm tài sản])</f>
        <v>Máy móc, thiết bị phụ - SX 627</v>
      </c>
      <c r="G467" s="123" t="str">
        <f>_xlfn.XLOOKUP($D467,MD_Account_Asset_Type[Nhóm tài sản],MD_Account_Asset_Type[Tên nhóm TS-Rút gọn])</f>
        <v>Máy móc thiết bị</v>
      </c>
      <c r="H467" s="123" t="str">
        <f>_xlfn.XLOOKUP($D467,MD_Account_Asset_Type[Nhóm tài sản],MD_Account_Asset_Type[Tên nhóm TS-Rút gọn-v2])</f>
        <v>Máy móc thiết bị</v>
      </c>
      <c r="I467" s="125" t="s">
        <v>1611</v>
      </c>
      <c r="J467" s="124" t="s">
        <v>1657</v>
      </c>
      <c r="K467" s="123" t="s">
        <v>830</v>
      </c>
      <c r="L467" s="124" t="s">
        <v>47</v>
      </c>
      <c r="M467" s="124"/>
      <c r="N467" s="126"/>
      <c r="O467" s="126"/>
      <c r="P467" s="123" t="str">
        <f>_xlfn.XLOOKUP($D467,MD_Account_Asset_Type[Nhóm tài sản],MD_Account_Asset_Type[Tài khoản KH])</f>
        <v>6274001906</v>
      </c>
      <c r="Q467" s="123" t="str">
        <f t="shared" si="59"/>
        <v>627</v>
      </c>
      <c r="R467" s="123" t="str">
        <f>_xlfn.XLOOKUP($L467,MD_Cost_Center[Mã Cost Center],MD_Cost_Center[Ngành])</f>
        <v>Chung</v>
      </c>
      <c r="S467" s="123" t="str">
        <f>_xlfn.XLOOKUP($L467,MD_Cost_Center[Mã Cost Center],MD_Cost_Center[Ngành-Tách PET-Xơ sợi])</f>
        <v>Chung</v>
      </c>
      <c r="T467" s="127">
        <v>46143</v>
      </c>
      <c r="U467" s="128">
        <f t="shared" si="64"/>
        <v>50526</v>
      </c>
      <c r="V467" s="129">
        <v>144</v>
      </c>
      <c r="W467" s="129">
        <v>40000000</v>
      </c>
      <c r="X467" s="129">
        <f t="shared" si="62"/>
        <v>-277778</v>
      </c>
      <c r="Y467" s="129">
        <f t="shared" si="67"/>
        <v>0</v>
      </c>
      <c r="Z467" s="129">
        <f t="shared" si="67"/>
        <v>0</v>
      </c>
      <c r="AA467" s="129">
        <f t="shared" si="67"/>
        <v>0</v>
      </c>
      <c r="AB467" s="129">
        <f t="shared" si="67"/>
        <v>0</v>
      </c>
      <c r="AC467" s="129">
        <f t="shared" si="67"/>
        <v>40000000</v>
      </c>
      <c r="AD467" s="129">
        <f t="shared" si="67"/>
        <v>40000000</v>
      </c>
      <c r="AE467" s="129">
        <f t="shared" si="67"/>
        <v>40000000</v>
      </c>
      <c r="AF467" s="129">
        <f t="shared" si="67"/>
        <v>40000000</v>
      </c>
      <c r="AG467" s="129">
        <f t="shared" si="67"/>
        <v>40000000</v>
      </c>
      <c r="AH467" s="129">
        <f t="shared" si="67"/>
        <v>40000000</v>
      </c>
      <c r="AI467" s="129">
        <f t="shared" si="67"/>
        <v>40000000</v>
      </c>
      <c r="AJ467" s="129">
        <f t="shared" si="67"/>
        <v>40000000</v>
      </c>
      <c r="AK467" s="129">
        <f t="shared" si="67"/>
        <v>40000000</v>
      </c>
      <c r="AL467" s="129"/>
      <c r="AM467" s="129">
        <v>0</v>
      </c>
      <c r="AN467" s="129">
        <f t="shared" si="61"/>
        <v>0</v>
      </c>
      <c r="AO467" s="129">
        <f t="shared" si="61"/>
        <v>0</v>
      </c>
      <c r="AP467" s="129">
        <f t="shared" si="61"/>
        <v>0</v>
      </c>
      <c r="AQ467" s="129">
        <f t="shared" si="61"/>
        <v>0</v>
      </c>
      <c r="AR467" s="129">
        <f t="shared" si="61"/>
        <v>-277778</v>
      </c>
      <c r="AS467" s="129">
        <f t="shared" si="61"/>
        <v>-277778</v>
      </c>
      <c r="AT467" s="129">
        <f t="shared" si="61"/>
        <v>-277778</v>
      </c>
      <c r="AU467" s="129">
        <f t="shared" si="61"/>
        <v>-277778</v>
      </c>
      <c r="AV467" s="129">
        <f t="shared" si="61"/>
        <v>-277778</v>
      </c>
      <c r="AW467" s="129">
        <f t="shared" si="61"/>
        <v>-277778</v>
      </c>
      <c r="AX467" s="129">
        <f t="shared" si="61"/>
        <v>-277778</v>
      </c>
      <c r="AY467" s="129">
        <f t="shared" si="61"/>
        <v>-277778</v>
      </c>
      <c r="AZ467" s="130">
        <f t="shared" si="65"/>
        <v>-2222224</v>
      </c>
      <c r="BA467" s="129">
        <f>Y467+SUM($AM467:AM467)</f>
        <v>0</v>
      </c>
      <c r="BB467" s="131">
        <f>Z467+SUM($AM467:AN467)</f>
        <v>0</v>
      </c>
      <c r="BC467" s="131">
        <f>AA467+SUM($AM467:AO467)</f>
        <v>0</v>
      </c>
      <c r="BD467" s="131">
        <f>AB467+SUM($AM467:AP467)</f>
        <v>0</v>
      </c>
      <c r="BE467" s="131">
        <f>AC467+SUM($AM467:AQ467)</f>
        <v>40000000</v>
      </c>
      <c r="BF467" s="131">
        <f>AD467+SUM($AM467:AR467)</f>
        <v>39722222</v>
      </c>
      <c r="BG467" s="131">
        <f>AE467+SUM($AM467:AS467)</f>
        <v>39444444</v>
      </c>
      <c r="BH467" s="131">
        <f>AF467+SUM($AM467:AT467)</f>
        <v>39166666</v>
      </c>
      <c r="BI467" s="131">
        <f>AG467+SUM($AM467:AU467)</f>
        <v>38888888</v>
      </c>
      <c r="BJ467" s="131">
        <f>AH467+SUM($AM467:AV467)</f>
        <v>38611110</v>
      </c>
      <c r="BK467" s="131">
        <f>AI467+SUM($AM467:AW467)</f>
        <v>38333332</v>
      </c>
      <c r="BL467" s="131">
        <f>AJ467+SUM($AM467:AX467)</f>
        <v>38055554</v>
      </c>
      <c r="BM467" s="131">
        <f>AK467+SUM($AM467:AY467)</f>
        <v>37777776</v>
      </c>
      <c r="BO467" s="129"/>
    </row>
    <row r="468" spans="3:67" s="123" customFormat="1" x14ac:dyDescent="0.3">
      <c r="C468" s="123" t="s">
        <v>30</v>
      </c>
      <c r="D468" s="124" t="s">
        <v>337</v>
      </c>
      <c r="E468" s="124" t="str">
        <f t="shared" si="66"/>
        <v>211</v>
      </c>
      <c r="F468" s="123" t="str">
        <f>_xlfn.XLOOKUP($D468,MD_Account_Asset_Type[Nhóm tài sản],MD_Account_Asset_Type[Tên Nhóm tài sản])</f>
        <v>Máy móc, thiết bị phụ - SX 627</v>
      </c>
      <c r="G468" s="123" t="str">
        <f>_xlfn.XLOOKUP($D468,MD_Account_Asset_Type[Nhóm tài sản],MD_Account_Asset_Type[Tên nhóm TS-Rút gọn])</f>
        <v>Máy móc thiết bị</v>
      </c>
      <c r="H468" s="123" t="str">
        <f>_xlfn.XLOOKUP($D468,MD_Account_Asset_Type[Nhóm tài sản],MD_Account_Asset_Type[Tên nhóm TS-Rút gọn-v2])</f>
        <v>Máy móc thiết bị</v>
      </c>
      <c r="I468" s="125" t="s">
        <v>1612</v>
      </c>
      <c r="J468" s="124" t="s">
        <v>1658</v>
      </c>
      <c r="K468" s="123" t="s">
        <v>830</v>
      </c>
      <c r="L468" s="124" t="s">
        <v>79</v>
      </c>
      <c r="M468" s="124"/>
      <c r="N468" s="126"/>
      <c r="O468" s="126"/>
      <c r="P468" s="123" t="str">
        <f>_xlfn.XLOOKUP($D468,MD_Account_Asset_Type[Nhóm tài sản],MD_Account_Asset_Type[Tài khoản KH])</f>
        <v>6274001906</v>
      </c>
      <c r="Q468" s="123" t="str">
        <f t="shared" si="59"/>
        <v>627</v>
      </c>
      <c r="R468" s="123" t="str">
        <f>_xlfn.XLOOKUP($L468,MD_Cost_Center[Mã Cost Center],MD_Cost_Center[Ngành])</f>
        <v>PET</v>
      </c>
      <c r="S468" s="123" t="str">
        <f>_xlfn.XLOOKUP($L468,MD_Cost_Center[Mã Cost Center],MD_Cost_Center[Ngành-Tách PET-Xơ sợi])</f>
        <v>PET</v>
      </c>
      <c r="T468" s="127">
        <v>46143</v>
      </c>
      <c r="U468" s="128">
        <f t="shared" si="64"/>
        <v>50526</v>
      </c>
      <c r="V468" s="129">
        <v>144</v>
      </c>
      <c r="W468" s="129">
        <v>1048000000</v>
      </c>
      <c r="X468" s="129">
        <f t="shared" si="62"/>
        <v>-7277778</v>
      </c>
      <c r="Y468" s="129">
        <f t="shared" ref="Y468:AK487" si="68">IF($T468-1&lt;=Y$6,$W468,0)</f>
        <v>0</v>
      </c>
      <c r="Z468" s="129">
        <f t="shared" si="68"/>
        <v>0</v>
      </c>
      <c r="AA468" s="129">
        <f t="shared" si="68"/>
        <v>0</v>
      </c>
      <c r="AB468" s="129">
        <f t="shared" si="68"/>
        <v>0</v>
      </c>
      <c r="AC468" s="129">
        <f t="shared" si="68"/>
        <v>1048000000</v>
      </c>
      <c r="AD468" s="129">
        <f t="shared" si="68"/>
        <v>1048000000</v>
      </c>
      <c r="AE468" s="129">
        <f t="shared" si="68"/>
        <v>1048000000</v>
      </c>
      <c r="AF468" s="129">
        <f t="shared" si="68"/>
        <v>1048000000</v>
      </c>
      <c r="AG468" s="129">
        <f t="shared" si="68"/>
        <v>1048000000</v>
      </c>
      <c r="AH468" s="129">
        <f t="shared" si="68"/>
        <v>1048000000</v>
      </c>
      <c r="AI468" s="129">
        <f t="shared" si="68"/>
        <v>1048000000</v>
      </c>
      <c r="AJ468" s="129">
        <f t="shared" si="68"/>
        <v>1048000000</v>
      </c>
      <c r="AK468" s="129">
        <f t="shared" si="68"/>
        <v>1048000000</v>
      </c>
      <c r="AL468" s="129"/>
      <c r="AM468" s="129">
        <v>0</v>
      </c>
      <c r="AN468" s="129">
        <f t="shared" si="61"/>
        <v>0</v>
      </c>
      <c r="AO468" s="129">
        <f t="shared" si="61"/>
        <v>0</v>
      </c>
      <c r="AP468" s="129">
        <f t="shared" si="61"/>
        <v>0</v>
      </c>
      <c r="AQ468" s="129">
        <f t="shared" si="61"/>
        <v>0</v>
      </c>
      <c r="AR468" s="129">
        <f t="shared" si="61"/>
        <v>-7277778</v>
      </c>
      <c r="AS468" s="129">
        <f t="shared" si="61"/>
        <v>-7277778</v>
      </c>
      <c r="AT468" s="129">
        <f t="shared" si="61"/>
        <v>-7277778</v>
      </c>
      <c r="AU468" s="129">
        <f t="shared" si="61"/>
        <v>-7277778</v>
      </c>
      <c r="AV468" s="129">
        <f t="shared" si="61"/>
        <v>-7277778</v>
      </c>
      <c r="AW468" s="129">
        <f t="shared" si="61"/>
        <v>-7277778</v>
      </c>
      <c r="AX468" s="129">
        <f t="shared" si="61"/>
        <v>-7277778</v>
      </c>
      <c r="AY468" s="129">
        <f t="shared" si="61"/>
        <v>-7277778</v>
      </c>
      <c r="AZ468" s="130">
        <f t="shared" si="65"/>
        <v>-58222224</v>
      </c>
      <c r="BA468" s="129">
        <f>Y468+SUM($AM468:AM468)</f>
        <v>0</v>
      </c>
      <c r="BB468" s="131">
        <f>Z468+SUM($AM468:AN468)</f>
        <v>0</v>
      </c>
      <c r="BC468" s="131">
        <f>AA468+SUM($AM468:AO468)</f>
        <v>0</v>
      </c>
      <c r="BD468" s="131">
        <f>AB468+SUM($AM468:AP468)</f>
        <v>0</v>
      </c>
      <c r="BE468" s="131">
        <f>AC468+SUM($AM468:AQ468)</f>
        <v>1048000000</v>
      </c>
      <c r="BF468" s="131">
        <f>AD468+SUM($AM468:AR468)</f>
        <v>1040722222</v>
      </c>
      <c r="BG468" s="131">
        <f>AE468+SUM($AM468:AS468)</f>
        <v>1033444444</v>
      </c>
      <c r="BH468" s="131">
        <f>AF468+SUM($AM468:AT468)</f>
        <v>1026166666</v>
      </c>
      <c r="BI468" s="131">
        <f>AG468+SUM($AM468:AU468)</f>
        <v>1018888888</v>
      </c>
      <c r="BJ468" s="131">
        <f>AH468+SUM($AM468:AV468)</f>
        <v>1011611110</v>
      </c>
      <c r="BK468" s="131">
        <f>AI468+SUM($AM468:AW468)</f>
        <v>1004333332</v>
      </c>
      <c r="BL468" s="131">
        <f>AJ468+SUM($AM468:AX468)</f>
        <v>997055554</v>
      </c>
      <c r="BM468" s="131">
        <f>AK468+SUM($AM468:AY468)</f>
        <v>989777776</v>
      </c>
      <c r="BO468" s="129"/>
    </row>
    <row r="469" spans="3:67" s="123" customFormat="1" hidden="1" x14ac:dyDescent="0.3">
      <c r="C469" s="123" t="s">
        <v>30</v>
      </c>
      <c r="D469" s="124" t="s">
        <v>405</v>
      </c>
      <c r="E469" s="124" t="str">
        <f t="shared" si="66"/>
        <v>213</v>
      </c>
      <c r="F469" s="123" t="str">
        <f>_xlfn.XLOOKUP($D469,MD_Account_Asset_Type[Nhóm tài sản],MD_Account_Asset_Type[Tên Nhóm tài sản])</f>
        <v>Phần mềm máy vi tính - QL 642</v>
      </c>
      <c r="G469" s="123" t="str">
        <f>_xlfn.XLOOKUP($D469,MD_Account_Asset_Type[Nhóm tài sản],MD_Account_Asset_Type[Tên nhóm TS-Rút gọn])</f>
        <v>Phần mềm công nghệ thông tin</v>
      </c>
      <c r="H469" s="123" t="str">
        <f>_xlfn.XLOOKUP($D469,MD_Account_Asset_Type[Nhóm tài sản],MD_Account_Asset_Type[Tên nhóm TS-Rút gọn-v2])</f>
        <v>Phần mềm công nghệ thông tin</v>
      </c>
      <c r="I469" s="125" t="s">
        <v>1613</v>
      </c>
      <c r="J469" s="124" t="s">
        <v>1659</v>
      </c>
      <c r="K469" s="123" t="s">
        <v>830</v>
      </c>
      <c r="L469" s="124" t="s">
        <v>41</v>
      </c>
      <c r="M469" s="124" t="s">
        <v>116</v>
      </c>
      <c r="N469" s="126"/>
      <c r="O469" s="126"/>
      <c r="P469" s="123" t="str">
        <f>_xlfn.XLOOKUP($D469,MD_Account_Asset_Type[Nhóm tài sản],MD_Account_Asset_Type[Tài khoản KH])</f>
        <v>6424001907</v>
      </c>
      <c r="Q469" s="123" t="str">
        <f t="shared" si="59"/>
        <v>642</v>
      </c>
      <c r="R469" s="123" t="str">
        <f>_xlfn.XLOOKUP($L469,MD_Cost_Center[Mã Cost Center],MD_Cost_Center[Ngành])</f>
        <v>Chung</v>
      </c>
      <c r="S469" s="123" t="str">
        <f>_xlfn.XLOOKUP($L469,MD_Cost_Center[Mã Cost Center],MD_Cost_Center[Ngành-Tách PET-Xơ sợi])</f>
        <v>Chung</v>
      </c>
      <c r="T469" s="127">
        <v>45992</v>
      </c>
      <c r="U469" s="128">
        <f t="shared" si="64"/>
        <v>48914</v>
      </c>
      <c r="V469" s="129">
        <v>96</v>
      </c>
      <c r="W469" s="129">
        <v>530000000</v>
      </c>
      <c r="X469" s="129">
        <f t="shared" si="62"/>
        <v>-5520833</v>
      </c>
      <c r="Y469" s="129">
        <f t="shared" si="68"/>
        <v>530000000</v>
      </c>
      <c r="Z469" s="129">
        <f t="shared" si="68"/>
        <v>530000000</v>
      </c>
      <c r="AA469" s="129">
        <f t="shared" si="68"/>
        <v>530000000</v>
      </c>
      <c r="AB469" s="129">
        <f t="shared" si="68"/>
        <v>530000000</v>
      </c>
      <c r="AC469" s="129">
        <f t="shared" si="68"/>
        <v>530000000</v>
      </c>
      <c r="AD469" s="129">
        <f t="shared" si="68"/>
        <v>530000000</v>
      </c>
      <c r="AE469" s="129">
        <f t="shared" si="68"/>
        <v>530000000</v>
      </c>
      <c r="AF469" s="129">
        <f t="shared" si="68"/>
        <v>530000000</v>
      </c>
      <c r="AG469" s="129">
        <f t="shared" si="68"/>
        <v>530000000</v>
      </c>
      <c r="AH469" s="129">
        <f t="shared" si="68"/>
        <v>530000000</v>
      </c>
      <c r="AI469" s="129">
        <f t="shared" si="68"/>
        <v>530000000</v>
      </c>
      <c r="AJ469" s="129">
        <f t="shared" si="68"/>
        <v>530000000</v>
      </c>
      <c r="AK469" s="129">
        <f t="shared" si="68"/>
        <v>530000000</v>
      </c>
      <c r="AL469" s="129"/>
      <c r="AM469" s="129">
        <v>0</v>
      </c>
      <c r="AN469" s="129">
        <f t="shared" ref="AN469:AY490" si="69">IF($T469&lt;AN$6,$X469,0)</f>
        <v>-5520833</v>
      </c>
      <c r="AO469" s="129">
        <f t="shared" si="69"/>
        <v>-5520833</v>
      </c>
      <c r="AP469" s="129">
        <f t="shared" si="69"/>
        <v>-5520833</v>
      </c>
      <c r="AQ469" s="129">
        <f t="shared" si="69"/>
        <v>-5520833</v>
      </c>
      <c r="AR469" s="129">
        <f t="shared" si="69"/>
        <v>-5520833</v>
      </c>
      <c r="AS469" s="129">
        <f t="shared" si="69"/>
        <v>-5520833</v>
      </c>
      <c r="AT469" s="129">
        <f t="shared" si="69"/>
        <v>-5520833</v>
      </c>
      <c r="AU469" s="129">
        <f t="shared" si="69"/>
        <v>-5520833</v>
      </c>
      <c r="AV469" s="129">
        <f t="shared" si="69"/>
        <v>-5520833</v>
      </c>
      <c r="AW469" s="129">
        <f t="shared" si="69"/>
        <v>-5520833</v>
      </c>
      <c r="AX469" s="129">
        <f t="shared" si="69"/>
        <v>-5520833</v>
      </c>
      <c r="AY469" s="129">
        <f t="shared" si="69"/>
        <v>-5520833</v>
      </c>
      <c r="AZ469" s="130">
        <f t="shared" si="65"/>
        <v>-66249996</v>
      </c>
      <c r="BA469" s="129">
        <f>Y469+SUM($AM469:AM469)</f>
        <v>530000000</v>
      </c>
      <c r="BB469" s="131">
        <f>Z469+SUM($AM469:AN469)</f>
        <v>524479167</v>
      </c>
      <c r="BC469" s="131">
        <f>AA469+SUM($AM469:AO469)</f>
        <v>518958334</v>
      </c>
      <c r="BD469" s="131">
        <f>AB469+SUM($AM469:AP469)</f>
        <v>513437501</v>
      </c>
      <c r="BE469" s="131">
        <f>AC469+SUM($AM469:AQ469)</f>
        <v>507916668</v>
      </c>
      <c r="BF469" s="131">
        <f>AD469+SUM($AM469:AR469)</f>
        <v>502395835</v>
      </c>
      <c r="BG469" s="131">
        <f>AE469+SUM($AM469:AS469)</f>
        <v>496875002</v>
      </c>
      <c r="BH469" s="131">
        <f>AF469+SUM($AM469:AT469)</f>
        <v>491354169</v>
      </c>
      <c r="BI469" s="131">
        <f>AG469+SUM($AM469:AU469)</f>
        <v>485833336</v>
      </c>
      <c r="BJ469" s="131">
        <f>AH469+SUM($AM469:AV469)</f>
        <v>480312503</v>
      </c>
      <c r="BK469" s="131">
        <f>AI469+SUM($AM469:AW469)</f>
        <v>474791670</v>
      </c>
      <c r="BL469" s="131">
        <f>AJ469+SUM($AM469:AX469)</f>
        <v>469270837</v>
      </c>
      <c r="BM469" s="131">
        <f>AK469+SUM($AM469:AY469)</f>
        <v>463750004</v>
      </c>
      <c r="BO469" s="129"/>
    </row>
    <row r="470" spans="3:67" s="123" customFormat="1" hidden="1" x14ac:dyDescent="0.3">
      <c r="C470" s="123" t="s">
        <v>30</v>
      </c>
      <c r="D470" s="124" t="s">
        <v>405</v>
      </c>
      <c r="E470" s="124" t="str">
        <f t="shared" si="66"/>
        <v>213</v>
      </c>
      <c r="F470" s="123" t="str">
        <f>_xlfn.XLOOKUP($D470,MD_Account_Asset_Type[Nhóm tài sản],MD_Account_Asset_Type[Tên Nhóm tài sản])</f>
        <v>Phần mềm máy vi tính - QL 642</v>
      </c>
      <c r="G470" s="123" t="str">
        <f>_xlfn.XLOOKUP($D470,MD_Account_Asset_Type[Nhóm tài sản],MD_Account_Asset_Type[Tên nhóm TS-Rút gọn])</f>
        <v>Phần mềm công nghệ thông tin</v>
      </c>
      <c r="H470" s="123" t="str">
        <f>_xlfn.XLOOKUP($D470,MD_Account_Asset_Type[Nhóm tài sản],MD_Account_Asset_Type[Tên nhóm TS-Rút gọn-v2])</f>
        <v>Phần mềm công nghệ thông tin</v>
      </c>
      <c r="I470" s="125" t="s">
        <v>1614</v>
      </c>
      <c r="J470" s="124" t="s">
        <v>1660</v>
      </c>
      <c r="K470" s="123" t="s">
        <v>830</v>
      </c>
      <c r="L470" s="124" t="s">
        <v>41</v>
      </c>
      <c r="M470" s="124" t="s">
        <v>116</v>
      </c>
      <c r="N470" s="126"/>
      <c r="O470" s="126"/>
      <c r="P470" s="123" t="str">
        <f>_xlfn.XLOOKUP($D470,MD_Account_Asset_Type[Nhóm tài sản],MD_Account_Asset_Type[Tài khoản KH])</f>
        <v>6424001907</v>
      </c>
      <c r="Q470" s="123" t="str">
        <f t="shared" si="59"/>
        <v>642</v>
      </c>
      <c r="R470" s="123" t="str">
        <f>_xlfn.XLOOKUP($L470,MD_Cost_Center[Mã Cost Center],MD_Cost_Center[Ngành])</f>
        <v>Chung</v>
      </c>
      <c r="S470" s="123" t="str">
        <f>_xlfn.XLOOKUP($L470,MD_Cost_Center[Mã Cost Center],MD_Cost_Center[Ngành-Tách PET-Xơ sợi])</f>
        <v>Chung</v>
      </c>
      <c r="T470" s="127">
        <v>45992</v>
      </c>
      <c r="U470" s="128">
        <f t="shared" si="64"/>
        <v>48914</v>
      </c>
      <c r="V470" s="129">
        <v>96</v>
      </c>
      <c r="W470" s="129">
        <v>380275000</v>
      </c>
      <c r="X470" s="129">
        <f t="shared" si="62"/>
        <v>-3961198</v>
      </c>
      <c r="Y470" s="129">
        <f t="shared" si="68"/>
        <v>380275000</v>
      </c>
      <c r="Z470" s="129">
        <f t="shared" si="68"/>
        <v>380275000</v>
      </c>
      <c r="AA470" s="129">
        <f t="shared" si="68"/>
        <v>380275000</v>
      </c>
      <c r="AB470" s="129">
        <f t="shared" si="68"/>
        <v>380275000</v>
      </c>
      <c r="AC470" s="129">
        <f t="shared" si="68"/>
        <v>380275000</v>
      </c>
      <c r="AD470" s="129">
        <f t="shared" si="68"/>
        <v>380275000</v>
      </c>
      <c r="AE470" s="129">
        <f t="shared" si="68"/>
        <v>380275000</v>
      </c>
      <c r="AF470" s="129">
        <f t="shared" si="68"/>
        <v>380275000</v>
      </c>
      <c r="AG470" s="129">
        <f t="shared" si="68"/>
        <v>380275000</v>
      </c>
      <c r="AH470" s="129">
        <f t="shared" si="68"/>
        <v>380275000</v>
      </c>
      <c r="AI470" s="129">
        <f t="shared" si="68"/>
        <v>380275000</v>
      </c>
      <c r="AJ470" s="129">
        <f t="shared" si="68"/>
        <v>380275000</v>
      </c>
      <c r="AK470" s="129">
        <f t="shared" si="68"/>
        <v>380275000</v>
      </c>
      <c r="AL470" s="129"/>
      <c r="AM470" s="129">
        <v>0</v>
      </c>
      <c r="AN470" s="129">
        <f t="shared" si="69"/>
        <v>-3961198</v>
      </c>
      <c r="AO470" s="129">
        <f t="shared" si="69"/>
        <v>-3961198</v>
      </c>
      <c r="AP470" s="129">
        <f t="shared" si="69"/>
        <v>-3961198</v>
      </c>
      <c r="AQ470" s="129">
        <f t="shared" si="69"/>
        <v>-3961198</v>
      </c>
      <c r="AR470" s="129">
        <f t="shared" si="69"/>
        <v>-3961198</v>
      </c>
      <c r="AS470" s="129">
        <f t="shared" si="69"/>
        <v>-3961198</v>
      </c>
      <c r="AT470" s="129">
        <f t="shared" si="69"/>
        <v>-3961198</v>
      </c>
      <c r="AU470" s="129">
        <f t="shared" si="69"/>
        <v>-3961198</v>
      </c>
      <c r="AV470" s="129">
        <f t="shared" si="69"/>
        <v>-3961198</v>
      </c>
      <c r="AW470" s="129">
        <f t="shared" si="69"/>
        <v>-3961198</v>
      </c>
      <c r="AX470" s="129">
        <f t="shared" si="69"/>
        <v>-3961198</v>
      </c>
      <c r="AY470" s="129">
        <f t="shared" si="69"/>
        <v>-3961198</v>
      </c>
      <c r="AZ470" s="130">
        <f t="shared" si="65"/>
        <v>-47534376</v>
      </c>
      <c r="BA470" s="129">
        <f>Y470+SUM($AM470:AM470)</f>
        <v>380275000</v>
      </c>
      <c r="BB470" s="131">
        <f>Z470+SUM($AM470:AN470)</f>
        <v>376313802</v>
      </c>
      <c r="BC470" s="131">
        <f>AA470+SUM($AM470:AO470)</f>
        <v>372352604</v>
      </c>
      <c r="BD470" s="131">
        <f>AB470+SUM($AM470:AP470)</f>
        <v>368391406</v>
      </c>
      <c r="BE470" s="131">
        <f>AC470+SUM($AM470:AQ470)</f>
        <v>364430208</v>
      </c>
      <c r="BF470" s="131">
        <f>AD470+SUM($AM470:AR470)</f>
        <v>360469010</v>
      </c>
      <c r="BG470" s="131">
        <f>AE470+SUM($AM470:AS470)</f>
        <v>356507812</v>
      </c>
      <c r="BH470" s="131">
        <f>AF470+SUM($AM470:AT470)</f>
        <v>352546614</v>
      </c>
      <c r="BI470" s="131">
        <f>AG470+SUM($AM470:AU470)</f>
        <v>348585416</v>
      </c>
      <c r="BJ470" s="131">
        <f>AH470+SUM($AM470:AV470)</f>
        <v>344624218</v>
      </c>
      <c r="BK470" s="131">
        <f>AI470+SUM($AM470:AW470)</f>
        <v>340663020</v>
      </c>
      <c r="BL470" s="131">
        <f>AJ470+SUM($AM470:AX470)</f>
        <v>336701822</v>
      </c>
      <c r="BM470" s="131">
        <f>AK470+SUM($AM470:AY470)</f>
        <v>332740624</v>
      </c>
      <c r="BO470" s="129"/>
    </row>
    <row r="471" spans="3:67" s="123" customFormat="1" hidden="1" x14ac:dyDescent="0.3">
      <c r="C471" s="123" t="s">
        <v>30</v>
      </c>
      <c r="D471" s="124" t="s">
        <v>405</v>
      </c>
      <c r="E471" s="124" t="str">
        <f t="shared" si="66"/>
        <v>213</v>
      </c>
      <c r="F471" s="123" t="str">
        <f>_xlfn.XLOOKUP($D471,MD_Account_Asset_Type[Nhóm tài sản],MD_Account_Asset_Type[Tên Nhóm tài sản])</f>
        <v>Phần mềm máy vi tính - QL 642</v>
      </c>
      <c r="G471" s="123" t="str">
        <f>_xlfn.XLOOKUP($D471,MD_Account_Asset_Type[Nhóm tài sản],MD_Account_Asset_Type[Tên nhóm TS-Rút gọn])</f>
        <v>Phần mềm công nghệ thông tin</v>
      </c>
      <c r="H471" s="123" t="str">
        <f>_xlfn.XLOOKUP($D471,MD_Account_Asset_Type[Nhóm tài sản],MD_Account_Asset_Type[Tên nhóm TS-Rút gọn-v2])</f>
        <v>Phần mềm công nghệ thông tin</v>
      </c>
      <c r="I471" s="125" t="s">
        <v>1615</v>
      </c>
      <c r="J471" s="124" t="s">
        <v>1661</v>
      </c>
      <c r="K471" s="123" t="s">
        <v>830</v>
      </c>
      <c r="L471" s="124" t="s">
        <v>33</v>
      </c>
      <c r="M471" s="124" t="s">
        <v>108</v>
      </c>
      <c r="N471" s="126"/>
      <c r="O471" s="126"/>
      <c r="P471" s="123" t="str">
        <f>_xlfn.XLOOKUP($D471,MD_Account_Asset_Type[Nhóm tài sản],MD_Account_Asset_Type[Tài khoản KH])</f>
        <v>6424001907</v>
      </c>
      <c r="Q471" s="123" t="str">
        <f t="shared" si="59"/>
        <v>642</v>
      </c>
      <c r="R471" s="123" t="str">
        <f>_xlfn.XLOOKUP($L471,MD_Cost_Center[Mã Cost Center],MD_Cost_Center[Ngành])</f>
        <v>Chung</v>
      </c>
      <c r="S471" s="123" t="str">
        <f>_xlfn.XLOOKUP($L471,MD_Cost_Center[Mã Cost Center],MD_Cost_Center[Ngành-Tách PET-Xơ sợi])</f>
        <v>Chung</v>
      </c>
      <c r="T471" s="127">
        <v>45992</v>
      </c>
      <c r="U471" s="128">
        <f t="shared" si="64"/>
        <v>48914</v>
      </c>
      <c r="V471" s="129">
        <v>96</v>
      </c>
      <c r="W471" s="129">
        <v>133333333.33333333</v>
      </c>
      <c r="X471" s="129">
        <f t="shared" si="62"/>
        <v>-1388889</v>
      </c>
      <c r="Y471" s="129">
        <f t="shared" si="68"/>
        <v>133333333.33333333</v>
      </c>
      <c r="Z471" s="129">
        <f t="shared" si="68"/>
        <v>133333333.33333333</v>
      </c>
      <c r="AA471" s="129">
        <f t="shared" si="68"/>
        <v>133333333.33333333</v>
      </c>
      <c r="AB471" s="129">
        <f t="shared" si="68"/>
        <v>133333333.33333333</v>
      </c>
      <c r="AC471" s="129">
        <f t="shared" si="68"/>
        <v>133333333.33333333</v>
      </c>
      <c r="AD471" s="129">
        <f t="shared" si="68"/>
        <v>133333333.33333333</v>
      </c>
      <c r="AE471" s="129">
        <f t="shared" si="68"/>
        <v>133333333.33333333</v>
      </c>
      <c r="AF471" s="129">
        <f t="shared" si="68"/>
        <v>133333333.33333333</v>
      </c>
      <c r="AG471" s="129">
        <f t="shared" si="68"/>
        <v>133333333.33333333</v>
      </c>
      <c r="AH471" s="129">
        <f t="shared" si="68"/>
        <v>133333333.33333333</v>
      </c>
      <c r="AI471" s="129">
        <f t="shared" si="68"/>
        <v>133333333.33333333</v>
      </c>
      <c r="AJ471" s="129">
        <f t="shared" si="68"/>
        <v>133333333.33333333</v>
      </c>
      <c r="AK471" s="129">
        <f t="shared" si="68"/>
        <v>133333333.33333333</v>
      </c>
      <c r="AL471" s="129"/>
      <c r="AM471" s="129">
        <v>0</v>
      </c>
      <c r="AN471" s="129">
        <f t="shared" si="69"/>
        <v>-1388889</v>
      </c>
      <c r="AO471" s="129">
        <f t="shared" si="69"/>
        <v>-1388889</v>
      </c>
      <c r="AP471" s="129">
        <f t="shared" si="69"/>
        <v>-1388889</v>
      </c>
      <c r="AQ471" s="129">
        <f t="shared" si="69"/>
        <v>-1388889</v>
      </c>
      <c r="AR471" s="129">
        <f t="shared" si="69"/>
        <v>-1388889</v>
      </c>
      <c r="AS471" s="129">
        <f t="shared" si="69"/>
        <v>-1388889</v>
      </c>
      <c r="AT471" s="129">
        <f t="shared" si="69"/>
        <v>-1388889</v>
      </c>
      <c r="AU471" s="129">
        <f t="shared" si="69"/>
        <v>-1388889</v>
      </c>
      <c r="AV471" s="129">
        <f t="shared" si="69"/>
        <v>-1388889</v>
      </c>
      <c r="AW471" s="129">
        <f t="shared" si="69"/>
        <v>-1388889</v>
      </c>
      <c r="AX471" s="129">
        <f t="shared" si="69"/>
        <v>-1388889</v>
      </c>
      <c r="AY471" s="129">
        <f t="shared" si="69"/>
        <v>-1388889</v>
      </c>
      <c r="AZ471" s="130">
        <f t="shared" si="65"/>
        <v>-16666668</v>
      </c>
      <c r="BA471" s="129">
        <f>Y471+SUM($AM471:AM471)</f>
        <v>133333333.33333333</v>
      </c>
      <c r="BB471" s="131">
        <f>Z471+SUM($AM471:AN471)</f>
        <v>131944444.33333333</v>
      </c>
      <c r="BC471" s="131">
        <f>AA471+SUM($AM471:AO471)</f>
        <v>130555555.33333333</v>
      </c>
      <c r="BD471" s="131">
        <f>AB471+SUM($AM471:AP471)</f>
        <v>129166666.33333333</v>
      </c>
      <c r="BE471" s="131">
        <f>AC471+SUM($AM471:AQ471)</f>
        <v>127777777.33333333</v>
      </c>
      <c r="BF471" s="131">
        <f>AD471+SUM($AM471:AR471)</f>
        <v>126388888.33333333</v>
      </c>
      <c r="BG471" s="131">
        <f>AE471+SUM($AM471:AS471)</f>
        <v>124999999.33333333</v>
      </c>
      <c r="BH471" s="131">
        <f>AF471+SUM($AM471:AT471)</f>
        <v>123611110.33333333</v>
      </c>
      <c r="BI471" s="131">
        <f>AG471+SUM($AM471:AU471)</f>
        <v>122222221.33333333</v>
      </c>
      <c r="BJ471" s="131">
        <f>AH471+SUM($AM471:AV471)</f>
        <v>120833332.33333333</v>
      </c>
      <c r="BK471" s="131">
        <f>AI471+SUM($AM471:AW471)</f>
        <v>119444443.33333333</v>
      </c>
      <c r="BL471" s="131">
        <f>AJ471+SUM($AM471:AX471)</f>
        <v>118055554.33333333</v>
      </c>
      <c r="BM471" s="131">
        <f>AK471+SUM($AM471:AY471)</f>
        <v>116666665.33333333</v>
      </c>
      <c r="BO471" s="129"/>
    </row>
    <row r="472" spans="3:67" s="123" customFormat="1" x14ac:dyDescent="0.3">
      <c r="C472" s="123" t="s">
        <v>30</v>
      </c>
      <c r="D472" s="124" t="s">
        <v>338</v>
      </c>
      <c r="E472" s="124" t="str">
        <f t="shared" si="66"/>
        <v>211</v>
      </c>
      <c r="F472" s="123" t="str">
        <f>_xlfn.XLOOKUP($D472,MD_Account_Asset_Type[Nhóm tài sản],MD_Account_Asset_Type[Tên Nhóm tài sản])</f>
        <v>Máy móc, thiết bị - SX 627</v>
      </c>
      <c r="G472" s="123" t="str">
        <f>_xlfn.XLOOKUP($D472,MD_Account_Asset_Type[Nhóm tài sản],MD_Account_Asset_Type[Tên nhóm TS-Rút gọn])</f>
        <v>Máy móc thiết bị</v>
      </c>
      <c r="H472" s="123" t="str">
        <f>_xlfn.XLOOKUP($D472,MD_Account_Asset_Type[Nhóm tài sản],MD_Account_Asset_Type[Tên nhóm TS-Rút gọn-v2])</f>
        <v>Máy móc thiết bị</v>
      </c>
      <c r="I472" s="125" t="s">
        <v>1616</v>
      </c>
      <c r="J472" s="124" t="s">
        <v>1662</v>
      </c>
      <c r="K472" s="123" t="s">
        <v>830</v>
      </c>
      <c r="L472" s="124" t="s">
        <v>61</v>
      </c>
      <c r="M472" s="124"/>
      <c r="N472" s="126"/>
      <c r="O472" s="126"/>
      <c r="P472" s="123" t="str">
        <f>_xlfn.XLOOKUP($D472,MD_Account_Asset_Type[Nhóm tài sản],MD_Account_Asset_Type[Tài khoản KH])</f>
        <v>6274001903</v>
      </c>
      <c r="Q472" s="123" t="str">
        <f t="shared" si="59"/>
        <v>627</v>
      </c>
      <c r="R472" s="123" t="str">
        <f>_xlfn.XLOOKUP($L472,MD_Cost_Center[Mã Cost Center],MD_Cost_Center[Ngành])</f>
        <v>PET</v>
      </c>
      <c r="S472" s="123" t="str">
        <f>_xlfn.XLOOKUP($L472,MD_Cost_Center[Mã Cost Center],MD_Cost_Center[Ngành-Tách PET-Xơ sợi])</f>
        <v>Chung-PET</v>
      </c>
      <c r="T472" s="127">
        <v>46023</v>
      </c>
      <c r="U472" s="128">
        <f t="shared" si="64"/>
        <v>50406</v>
      </c>
      <c r="V472" s="129">
        <v>144</v>
      </c>
      <c r="W472" s="129">
        <v>983200000</v>
      </c>
      <c r="X472" s="129">
        <f t="shared" si="62"/>
        <v>-6827778</v>
      </c>
      <c r="Y472" s="129">
        <f t="shared" si="68"/>
        <v>983200000</v>
      </c>
      <c r="Z472" s="129">
        <f t="shared" si="68"/>
        <v>983200000</v>
      </c>
      <c r="AA472" s="129">
        <f t="shared" si="68"/>
        <v>983200000</v>
      </c>
      <c r="AB472" s="129">
        <f t="shared" si="68"/>
        <v>983200000</v>
      </c>
      <c r="AC472" s="129">
        <f t="shared" si="68"/>
        <v>983200000</v>
      </c>
      <c r="AD472" s="129">
        <f t="shared" si="68"/>
        <v>983200000</v>
      </c>
      <c r="AE472" s="129">
        <f t="shared" si="68"/>
        <v>983200000</v>
      </c>
      <c r="AF472" s="129">
        <f t="shared" si="68"/>
        <v>983200000</v>
      </c>
      <c r="AG472" s="129">
        <f t="shared" si="68"/>
        <v>983200000</v>
      </c>
      <c r="AH472" s="129">
        <f t="shared" si="68"/>
        <v>983200000</v>
      </c>
      <c r="AI472" s="129">
        <f t="shared" si="68"/>
        <v>983200000</v>
      </c>
      <c r="AJ472" s="129">
        <f t="shared" si="68"/>
        <v>983200000</v>
      </c>
      <c r="AK472" s="129">
        <f t="shared" si="68"/>
        <v>983200000</v>
      </c>
      <c r="AL472" s="129"/>
      <c r="AM472" s="129">
        <v>0</v>
      </c>
      <c r="AN472" s="129">
        <f t="shared" si="69"/>
        <v>-6827778</v>
      </c>
      <c r="AO472" s="129">
        <f t="shared" si="69"/>
        <v>-6827778</v>
      </c>
      <c r="AP472" s="129">
        <f t="shared" si="69"/>
        <v>-6827778</v>
      </c>
      <c r="AQ472" s="129">
        <f t="shared" si="69"/>
        <v>-6827778</v>
      </c>
      <c r="AR472" s="129">
        <f t="shared" si="69"/>
        <v>-6827778</v>
      </c>
      <c r="AS472" s="129">
        <f t="shared" si="69"/>
        <v>-6827778</v>
      </c>
      <c r="AT472" s="129">
        <f t="shared" si="69"/>
        <v>-6827778</v>
      </c>
      <c r="AU472" s="129">
        <f t="shared" si="69"/>
        <v>-6827778</v>
      </c>
      <c r="AV472" s="129">
        <f t="shared" si="69"/>
        <v>-6827778</v>
      </c>
      <c r="AW472" s="129">
        <f t="shared" si="69"/>
        <v>-6827778</v>
      </c>
      <c r="AX472" s="129">
        <f t="shared" si="69"/>
        <v>-6827778</v>
      </c>
      <c r="AY472" s="129">
        <f t="shared" si="69"/>
        <v>-6827778</v>
      </c>
      <c r="AZ472" s="130">
        <f t="shared" si="65"/>
        <v>-81933336</v>
      </c>
      <c r="BA472" s="129">
        <f>Y472+SUM($AM472:AM472)</f>
        <v>983200000</v>
      </c>
      <c r="BB472" s="131">
        <f>Z472+SUM($AM472:AN472)</f>
        <v>976372222</v>
      </c>
      <c r="BC472" s="131">
        <f>AA472+SUM($AM472:AO472)</f>
        <v>969544444</v>
      </c>
      <c r="BD472" s="131">
        <f>AB472+SUM($AM472:AP472)</f>
        <v>962716666</v>
      </c>
      <c r="BE472" s="131">
        <f>AC472+SUM($AM472:AQ472)</f>
        <v>955888888</v>
      </c>
      <c r="BF472" s="131">
        <f>AD472+SUM($AM472:AR472)</f>
        <v>949061110</v>
      </c>
      <c r="BG472" s="131">
        <f>AE472+SUM($AM472:AS472)</f>
        <v>942233332</v>
      </c>
      <c r="BH472" s="131">
        <f>AF472+SUM($AM472:AT472)</f>
        <v>935405554</v>
      </c>
      <c r="BI472" s="131">
        <f>AG472+SUM($AM472:AU472)</f>
        <v>928577776</v>
      </c>
      <c r="BJ472" s="131">
        <f>AH472+SUM($AM472:AV472)</f>
        <v>921749998</v>
      </c>
      <c r="BK472" s="131">
        <f>AI472+SUM($AM472:AW472)</f>
        <v>914922220</v>
      </c>
      <c r="BL472" s="131">
        <f>AJ472+SUM($AM472:AX472)</f>
        <v>908094442</v>
      </c>
      <c r="BM472" s="131">
        <f>AK472+SUM($AM472:AY472)</f>
        <v>901266664</v>
      </c>
      <c r="BO472" s="129"/>
    </row>
    <row r="473" spans="3:67" s="123" customFormat="1" x14ac:dyDescent="0.3">
      <c r="C473" s="123" t="s">
        <v>30</v>
      </c>
      <c r="D473" s="124" t="s">
        <v>337</v>
      </c>
      <c r="E473" s="124" t="str">
        <f t="shared" si="66"/>
        <v>211</v>
      </c>
      <c r="F473" s="123" t="str">
        <f>_xlfn.XLOOKUP($D473,MD_Account_Asset_Type[Nhóm tài sản],MD_Account_Asset_Type[Tên Nhóm tài sản])</f>
        <v>Máy móc, thiết bị phụ - SX 627</v>
      </c>
      <c r="G473" s="123" t="str">
        <f>_xlfn.XLOOKUP($D473,MD_Account_Asset_Type[Nhóm tài sản],MD_Account_Asset_Type[Tên nhóm TS-Rút gọn])</f>
        <v>Máy móc thiết bị</v>
      </c>
      <c r="H473" s="123" t="str">
        <f>_xlfn.XLOOKUP($D473,MD_Account_Asset_Type[Nhóm tài sản],MD_Account_Asset_Type[Tên nhóm TS-Rút gọn-v2])</f>
        <v>Máy móc thiết bị</v>
      </c>
      <c r="I473" s="125" t="s">
        <v>1617</v>
      </c>
      <c r="J473" s="124" t="s">
        <v>1663</v>
      </c>
      <c r="K473" s="123" t="s">
        <v>830</v>
      </c>
      <c r="L473" s="124" t="s">
        <v>76</v>
      </c>
      <c r="M473" s="124"/>
      <c r="N473" s="126"/>
      <c r="O473" s="126"/>
      <c r="P473" s="123" t="str">
        <f>_xlfn.XLOOKUP($D473,MD_Account_Asset_Type[Nhóm tài sản],MD_Account_Asset_Type[Tài khoản KH])</f>
        <v>6274001906</v>
      </c>
      <c r="Q473" s="123" t="str">
        <f t="shared" si="59"/>
        <v>627</v>
      </c>
      <c r="R473" s="123" t="str">
        <f>_xlfn.XLOOKUP($L473,MD_Cost_Center[Mã Cost Center],MD_Cost_Center[Ngành])</f>
        <v>HD/PP</v>
      </c>
      <c r="S473" s="123" t="str">
        <f>_xlfn.XLOOKUP($L473,MD_Cost_Center[Mã Cost Center],MD_Cost_Center[Ngành-Tách PET-Xơ sợi])</f>
        <v>HD/PP</v>
      </c>
      <c r="T473" s="127">
        <v>46082</v>
      </c>
      <c r="U473" s="128">
        <f t="shared" si="64"/>
        <v>49735</v>
      </c>
      <c r="V473" s="129">
        <v>120</v>
      </c>
      <c r="W473" s="129">
        <v>257000000</v>
      </c>
      <c r="X473" s="129">
        <f t="shared" si="62"/>
        <v>-2141667</v>
      </c>
      <c r="Y473" s="129">
        <f t="shared" si="68"/>
        <v>0</v>
      </c>
      <c r="Z473" s="129">
        <f t="shared" si="68"/>
        <v>0</v>
      </c>
      <c r="AA473" s="129">
        <f t="shared" si="68"/>
        <v>257000000</v>
      </c>
      <c r="AB473" s="129">
        <f t="shared" si="68"/>
        <v>257000000</v>
      </c>
      <c r="AC473" s="129">
        <f t="shared" si="68"/>
        <v>257000000</v>
      </c>
      <c r="AD473" s="129">
        <f t="shared" si="68"/>
        <v>257000000</v>
      </c>
      <c r="AE473" s="129">
        <f t="shared" si="68"/>
        <v>257000000</v>
      </c>
      <c r="AF473" s="129">
        <f t="shared" si="68"/>
        <v>257000000</v>
      </c>
      <c r="AG473" s="129">
        <f t="shared" si="68"/>
        <v>257000000</v>
      </c>
      <c r="AH473" s="129">
        <f t="shared" si="68"/>
        <v>257000000</v>
      </c>
      <c r="AI473" s="129">
        <f t="shared" si="68"/>
        <v>257000000</v>
      </c>
      <c r="AJ473" s="129">
        <f t="shared" si="68"/>
        <v>257000000</v>
      </c>
      <c r="AK473" s="129">
        <f t="shared" si="68"/>
        <v>257000000</v>
      </c>
      <c r="AL473" s="129"/>
      <c r="AM473" s="129">
        <v>0</v>
      </c>
      <c r="AN473" s="129">
        <f t="shared" si="69"/>
        <v>0</v>
      </c>
      <c r="AO473" s="129">
        <f t="shared" si="69"/>
        <v>0</v>
      </c>
      <c r="AP473" s="129">
        <f t="shared" si="69"/>
        <v>-2141667</v>
      </c>
      <c r="AQ473" s="129">
        <f t="shared" si="69"/>
        <v>-2141667</v>
      </c>
      <c r="AR473" s="129">
        <f t="shared" si="69"/>
        <v>-2141667</v>
      </c>
      <c r="AS473" s="129">
        <f t="shared" si="69"/>
        <v>-2141667</v>
      </c>
      <c r="AT473" s="129">
        <f t="shared" si="69"/>
        <v>-2141667</v>
      </c>
      <c r="AU473" s="129">
        <f t="shared" si="69"/>
        <v>-2141667</v>
      </c>
      <c r="AV473" s="129">
        <f t="shared" si="69"/>
        <v>-2141667</v>
      </c>
      <c r="AW473" s="129">
        <f t="shared" si="69"/>
        <v>-2141667</v>
      </c>
      <c r="AX473" s="129">
        <f t="shared" si="69"/>
        <v>-2141667</v>
      </c>
      <c r="AY473" s="129">
        <f t="shared" si="69"/>
        <v>-2141667</v>
      </c>
      <c r="AZ473" s="130">
        <f t="shared" si="65"/>
        <v>-21416670</v>
      </c>
      <c r="BA473" s="129">
        <f>Y473+SUM($AM473:AM473)</f>
        <v>0</v>
      </c>
      <c r="BB473" s="131">
        <f>Z473+SUM($AM473:AN473)</f>
        <v>0</v>
      </c>
      <c r="BC473" s="131">
        <f>AA473+SUM($AM473:AO473)</f>
        <v>257000000</v>
      </c>
      <c r="BD473" s="131">
        <f>AB473+SUM($AM473:AP473)</f>
        <v>254858333</v>
      </c>
      <c r="BE473" s="131">
        <f>AC473+SUM($AM473:AQ473)</f>
        <v>252716666</v>
      </c>
      <c r="BF473" s="131">
        <f>AD473+SUM($AM473:AR473)</f>
        <v>250574999</v>
      </c>
      <c r="BG473" s="131">
        <f>AE473+SUM($AM473:AS473)</f>
        <v>248433332</v>
      </c>
      <c r="BH473" s="131">
        <f>AF473+SUM($AM473:AT473)</f>
        <v>246291665</v>
      </c>
      <c r="BI473" s="131">
        <f>AG473+SUM($AM473:AU473)</f>
        <v>244149998</v>
      </c>
      <c r="BJ473" s="131">
        <f>AH473+SUM($AM473:AV473)</f>
        <v>242008331</v>
      </c>
      <c r="BK473" s="131">
        <f>AI473+SUM($AM473:AW473)</f>
        <v>239866664</v>
      </c>
      <c r="BL473" s="131">
        <f>AJ473+SUM($AM473:AX473)</f>
        <v>237724997</v>
      </c>
      <c r="BM473" s="131">
        <f>AK473+SUM($AM473:AY473)</f>
        <v>235583330</v>
      </c>
      <c r="BO473" s="129"/>
    </row>
    <row r="474" spans="3:67" s="123" customFormat="1" x14ac:dyDescent="0.3">
      <c r="C474" s="123" t="s">
        <v>30</v>
      </c>
      <c r="D474" s="124" t="s">
        <v>337</v>
      </c>
      <c r="E474" s="124" t="str">
        <f t="shared" si="66"/>
        <v>211</v>
      </c>
      <c r="F474" s="123" t="str">
        <f>_xlfn.XLOOKUP($D474,MD_Account_Asset_Type[Nhóm tài sản],MD_Account_Asset_Type[Tên Nhóm tài sản])</f>
        <v>Máy móc, thiết bị phụ - SX 627</v>
      </c>
      <c r="G474" s="123" t="str">
        <f>_xlfn.XLOOKUP($D474,MD_Account_Asset_Type[Nhóm tài sản],MD_Account_Asset_Type[Tên nhóm TS-Rút gọn])</f>
        <v>Máy móc thiết bị</v>
      </c>
      <c r="H474" s="123" t="str">
        <f>_xlfn.XLOOKUP($D474,MD_Account_Asset_Type[Nhóm tài sản],MD_Account_Asset_Type[Tên nhóm TS-Rút gọn-v2])</f>
        <v>Máy móc thiết bị</v>
      </c>
      <c r="I474" s="125" t="s">
        <v>1618</v>
      </c>
      <c r="J474" s="124" t="s">
        <v>1664</v>
      </c>
      <c r="K474" s="123" t="s">
        <v>830</v>
      </c>
      <c r="L474" s="124" t="s">
        <v>77</v>
      </c>
      <c r="M474" s="124"/>
      <c r="N474" s="126"/>
      <c r="O474" s="126"/>
      <c r="P474" s="123" t="str">
        <f>_xlfn.XLOOKUP($D474,MD_Account_Asset_Type[Nhóm tài sản],MD_Account_Asset_Type[Tài khoản KH])</f>
        <v>6274001906</v>
      </c>
      <c r="Q474" s="123" t="str">
        <f t="shared" si="59"/>
        <v>627</v>
      </c>
      <c r="R474" s="123" t="str">
        <f>_xlfn.XLOOKUP($L474,MD_Cost_Center[Mã Cost Center],MD_Cost_Center[Ngành])</f>
        <v>HD/PP</v>
      </c>
      <c r="S474" s="123" t="str">
        <f>_xlfn.XLOOKUP($L474,MD_Cost_Center[Mã Cost Center],MD_Cost_Center[Ngành-Tách PET-Xơ sợi])</f>
        <v>HD/PP</v>
      </c>
      <c r="T474" s="127">
        <v>46082</v>
      </c>
      <c r="U474" s="128">
        <f t="shared" si="64"/>
        <v>49735</v>
      </c>
      <c r="V474" s="129">
        <v>120</v>
      </c>
      <c r="W474" s="129">
        <v>257000000</v>
      </c>
      <c r="X474" s="129">
        <f t="shared" si="62"/>
        <v>-2141667</v>
      </c>
      <c r="Y474" s="129">
        <f t="shared" si="68"/>
        <v>0</v>
      </c>
      <c r="Z474" s="129">
        <f t="shared" si="68"/>
        <v>0</v>
      </c>
      <c r="AA474" s="129">
        <f t="shared" si="68"/>
        <v>257000000</v>
      </c>
      <c r="AB474" s="129">
        <f t="shared" si="68"/>
        <v>257000000</v>
      </c>
      <c r="AC474" s="129">
        <f t="shared" si="68"/>
        <v>257000000</v>
      </c>
      <c r="AD474" s="129">
        <f t="shared" si="68"/>
        <v>257000000</v>
      </c>
      <c r="AE474" s="129">
        <f t="shared" si="68"/>
        <v>257000000</v>
      </c>
      <c r="AF474" s="129">
        <f t="shared" si="68"/>
        <v>257000000</v>
      </c>
      <c r="AG474" s="129">
        <f t="shared" si="68"/>
        <v>257000000</v>
      </c>
      <c r="AH474" s="129">
        <f t="shared" si="68"/>
        <v>257000000</v>
      </c>
      <c r="AI474" s="129">
        <f t="shared" si="68"/>
        <v>257000000</v>
      </c>
      <c r="AJ474" s="129">
        <f t="shared" si="68"/>
        <v>257000000</v>
      </c>
      <c r="AK474" s="129">
        <f t="shared" si="68"/>
        <v>257000000</v>
      </c>
      <c r="AL474" s="129"/>
      <c r="AM474" s="129">
        <v>0</v>
      </c>
      <c r="AN474" s="129">
        <f t="shared" si="69"/>
        <v>0</v>
      </c>
      <c r="AO474" s="129">
        <f t="shared" si="69"/>
        <v>0</v>
      </c>
      <c r="AP474" s="129">
        <f t="shared" si="69"/>
        <v>-2141667</v>
      </c>
      <c r="AQ474" s="129">
        <f t="shared" si="69"/>
        <v>-2141667</v>
      </c>
      <c r="AR474" s="129">
        <f t="shared" si="69"/>
        <v>-2141667</v>
      </c>
      <c r="AS474" s="129">
        <f t="shared" si="69"/>
        <v>-2141667</v>
      </c>
      <c r="AT474" s="129">
        <f t="shared" si="69"/>
        <v>-2141667</v>
      </c>
      <c r="AU474" s="129">
        <f t="shared" si="69"/>
        <v>-2141667</v>
      </c>
      <c r="AV474" s="129">
        <f t="shared" si="69"/>
        <v>-2141667</v>
      </c>
      <c r="AW474" s="129">
        <f t="shared" si="69"/>
        <v>-2141667</v>
      </c>
      <c r="AX474" s="129">
        <f t="shared" si="69"/>
        <v>-2141667</v>
      </c>
      <c r="AY474" s="129">
        <f t="shared" si="69"/>
        <v>-2141667</v>
      </c>
      <c r="AZ474" s="130">
        <f t="shared" si="65"/>
        <v>-21416670</v>
      </c>
      <c r="BA474" s="129">
        <f>Y474+SUM($AM474:AM474)</f>
        <v>0</v>
      </c>
      <c r="BB474" s="131">
        <f>Z474+SUM($AM474:AN474)</f>
        <v>0</v>
      </c>
      <c r="BC474" s="131">
        <f>AA474+SUM($AM474:AO474)</f>
        <v>257000000</v>
      </c>
      <c r="BD474" s="131">
        <f>AB474+SUM($AM474:AP474)</f>
        <v>254858333</v>
      </c>
      <c r="BE474" s="131">
        <f>AC474+SUM($AM474:AQ474)</f>
        <v>252716666</v>
      </c>
      <c r="BF474" s="131">
        <f>AD474+SUM($AM474:AR474)</f>
        <v>250574999</v>
      </c>
      <c r="BG474" s="131">
        <f>AE474+SUM($AM474:AS474)</f>
        <v>248433332</v>
      </c>
      <c r="BH474" s="131">
        <f>AF474+SUM($AM474:AT474)</f>
        <v>246291665</v>
      </c>
      <c r="BI474" s="131">
        <f>AG474+SUM($AM474:AU474)</f>
        <v>244149998</v>
      </c>
      <c r="BJ474" s="131">
        <f>AH474+SUM($AM474:AV474)</f>
        <v>242008331</v>
      </c>
      <c r="BK474" s="131">
        <f>AI474+SUM($AM474:AW474)</f>
        <v>239866664</v>
      </c>
      <c r="BL474" s="131">
        <f>AJ474+SUM($AM474:AX474)</f>
        <v>237724997</v>
      </c>
      <c r="BM474" s="131">
        <f>AK474+SUM($AM474:AY474)</f>
        <v>235583330</v>
      </c>
      <c r="BO474" s="129"/>
    </row>
    <row r="475" spans="3:67" s="123" customFormat="1" x14ac:dyDescent="0.3">
      <c r="C475" s="123" t="s">
        <v>30</v>
      </c>
      <c r="D475" s="124" t="s">
        <v>337</v>
      </c>
      <c r="E475" s="124" t="str">
        <f t="shared" si="66"/>
        <v>211</v>
      </c>
      <c r="F475" s="123" t="str">
        <f>_xlfn.XLOOKUP($D475,MD_Account_Asset_Type[Nhóm tài sản],MD_Account_Asset_Type[Tên Nhóm tài sản])</f>
        <v>Máy móc, thiết bị phụ - SX 627</v>
      </c>
      <c r="G475" s="123" t="str">
        <f>_xlfn.XLOOKUP($D475,MD_Account_Asset_Type[Nhóm tài sản],MD_Account_Asset_Type[Tên nhóm TS-Rút gọn])</f>
        <v>Máy móc thiết bị</v>
      </c>
      <c r="H475" s="123" t="str">
        <f>_xlfn.XLOOKUP($D475,MD_Account_Asset_Type[Nhóm tài sản],MD_Account_Asset_Type[Tên nhóm TS-Rút gọn-v2])</f>
        <v>Máy móc thiết bị</v>
      </c>
      <c r="I475" s="125" t="s">
        <v>1619</v>
      </c>
      <c r="J475" s="124" t="s">
        <v>1665</v>
      </c>
      <c r="K475" s="123" t="s">
        <v>830</v>
      </c>
      <c r="L475" s="124" t="s">
        <v>73</v>
      </c>
      <c r="M475" s="124"/>
      <c r="N475" s="126"/>
      <c r="O475" s="126"/>
      <c r="P475" s="123" t="str">
        <f>_xlfn.XLOOKUP($D475,MD_Account_Asset_Type[Nhóm tài sản],MD_Account_Asset_Type[Tài khoản KH])</f>
        <v>6274001906</v>
      </c>
      <c r="Q475" s="123" t="str">
        <f t="shared" si="59"/>
        <v>627</v>
      </c>
      <c r="R475" s="123" t="str">
        <f>_xlfn.XLOOKUP($L475,MD_Cost_Center[Mã Cost Center],MD_Cost_Center[Ngành])</f>
        <v>HD/PP</v>
      </c>
      <c r="S475" s="123" t="str">
        <f>_xlfn.XLOOKUP($L475,MD_Cost_Center[Mã Cost Center],MD_Cost_Center[Ngành-Tách PET-Xơ sợi])</f>
        <v>HD/PP</v>
      </c>
      <c r="T475" s="127">
        <v>46082</v>
      </c>
      <c r="U475" s="128">
        <f t="shared" si="64"/>
        <v>49735</v>
      </c>
      <c r="V475" s="129">
        <v>120</v>
      </c>
      <c r="W475" s="129">
        <v>257000000</v>
      </c>
      <c r="X475" s="129">
        <f t="shared" si="62"/>
        <v>-2141667</v>
      </c>
      <c r="Y475" s="129">
        <f t="shared" si="68"/>
        <v>0</v>
      </c>
      <c r="Z475" s="129">
        <f t="shared" si="68"/>
        <v>0</v>
      </c>
      <c r="AA475" s="129">
        <f t="shared" si="68"/>
        <v>257000000</v>
      </c>
      <c r="AB475" s="129">
        <f t="shared" si="68"/>
        <v>257000000</v>
      </c>
      <c r="AC475" s="129">
        <f t="shared" si="68"/>
        <v>257000000</v>
      </c>
      <c r="AD475" s="129">
        <f t="shared" si="68"/>
        <v>257000000</v>
      </c>
      <c r="AE475" s="129">
        <f t="shared" si="68"/>
        <v>257000000</v>
      </c>
      <c r="AF475" s="129">
        <f t="shared" si="68"/>
        <v>257000000</v>
      </c>
      <c r="AG475" s="129">
        <f t="shared" si="68"/>
        <v>257000000</v>
      </c>
      <c r="AH475" s="129">
        <f t="shared" si="68"/>
        <v>257000000</v>
      </c>
      <c r="AI475" s="129">
        <f t="shared" si="68"/>
        <v>257000000</v>
      </c>
      <c r="AJ475" s="129">
        <f t="shared" si="68"/>
        <v>257000000</v>
      </c>
      <c r="AK475" s="129">
        <f t="shared" si="68"/>
        <v>257000000</v>
      </c>
      <c r="AL475" s="129"/>
      <c r="AM475" s="129">
        <v>0</v>
      </c>
      <c r="AN475" s="129">
        <f t="shared" si="69"/>
        <v>0</v>
      </c>
      <c r="AO475" s="129">
        <f t="shared" si="69"/>
        <v>0</v>
      </c>
      <c r="AP475" s="129">
        <f t="shared" si="69"/>
        <v>-2141667</v>
      </c>
      <c r="AQ475" s="129">
        <f t="shared" si="69"/>
        <v>-2141667</v>
      </c>
      <c r="AR475" s="129">
        <f t="shared" si="69"/>
        <v>-2141667</v>
      </c>
      <c r="AS475" s="129">
        <f t="shared" si="69"/>
        <v>-2141667</v>
      </c>
      <c r="AT475" s="129">
        <f t="shared" si="69"/>
        <v>-2141667</v>
      </c>
      <c r="AU475" s="129">
        <f t="shared" si="69"/>
        <v>-2141667</v>
      </c>
      <c r="AV475" s="129">
        <f t="shared" si="69"/>
        <v>-2141667</v>
      </c>
      <c r="AW475" s="129">
        <f t="shared" si="69"/>
        <v>-2141667</v>
      </c>
      <c r="AX475" s="129">
        <f t="shared" si="69"/>
        <v>-2141667</v>
      </c>
      <c r="AY475" s="129">
        <f t="shared" si="69"/>
        <v>-2141667</v>
      </c>
      <c r="AZ475" s="130">
        <f t="shared" si="65"/>
        <v>-21416670</v>
      </c>
      <c r="BA475" s="129">
        <f>Y475+SUM($AM475:AM475)</f>
        <v>0</v>
      </c>
      <c r="BB475" s="131">
        <f>Z475+SUM($AM475:AN475)</f>
        <v>0</v>
      </c>
      <c r="BC475" s="131">
        <f>AA475+SUM($AM475:AO475)</f>
        <v>257000000</v>
      </c>
      <c r="BD475" s="131">
        <f>AB475+SUM($AM475:AP475)</f>
        <v>254858333</v>
      </c>
      <c r="BE475" s="131">
        <f>AC475+SUM($AM475:AQ475)</f>
        <v>252716666</v>
      </c>
      <c r="BF475" s="131">
        <f>AD475+SUM($AM475:AR475)</f>
        <v>250574999</v>
      </c>
      <c r="BG475" s="131">
        <f>AE475+SUM($AM475:AS475)</f>
        <v>248433332</v>
      </c>
      <c r="BH475" s="131">
        <f>AF475+SUM($AM475:AT475)</f>
        <v>246291665</v>
      </c>
      <c r="BI475" s="131">
        <f>AG475+SUM($AM475:AU475)</f>
        <v>244149998</v>
      </c>
      <c r="BJ475" s="131">
        <f>AH475+SUM($AM475:AV475)</f>
        <v>242008331</v>
      </c>
      <c r="BK475" s="131">
        <f>AI475+SUM($AM475:AW475)</f>
        <v>239866664</v>
      </c>
      <c r="BL475" s="131">
        <f>AJ475+SUM($AM475:AX475)</f>
        <v>237724997</v>
      </c>
      <c r="BM475" s="131">
        <f>AK475+SUM($AM475:AY475)</f>
        <v>235583330</v>
      </c>
      <c r="BO475" s="129"/>
    </row>
    <row r="476" spans="3:67" s="123" customFormat="1" x14ac:dyDescent="0.3">
      <c r="C476" s="123" t="s">
        <v>30</v>
      </c>
      <c r="D476" s="124" t="s">
        <v>337</v>
      </c>
      <c r="E476" s="124" t="str">
        <f t="shared" si="66"/>
        <v>211</v>
      </c>
      <c r="F476" s="123" t="str">
        <f>_xlfn.XLOOKUP($D476,MD_Account_Asset_Type[Nhóm tài sản],MD_Account_Asset_Type[Tên Nhóm tài sản])</f>
        <v>Máy móc, thiết bị phụ - SX 627</v>
      </c>
      <c r="G476" s="123" t="str">
        <f>_xlfn.XLOOKUP($D476,MD_Account_Asset_Type[Nhóm tài sản],MD_Account_Asset_Type[Tên nhóm TS-Rút gọn])</f>
        <v>Máy móc thiết bị</v>
      </c>
      <c r="H476" s="123" t="str">
        <f>_xlfn.XLOOKUP($D476,MD_Account_Asset_Type[Nhóm tài sản],MD_Account_Asset_Type[Tên nhóm TS-Rút gọn-v2])</f>
        <v>Máy móc thiết bị</v>
      </c>
      <c r="I476" s="125" t="s">
        <v>1620</v>
      </c>
      <c r="J476" s="124" t="s">
        <v>1666</v>
      </c>
      <c r="K476" s="123" t="s">
        <v>830</v>
      </c>
      <c r="L476" s="124" t="s">
        <v>92</v>
      </c>
      <c r="M476" s="124"/>
      <c r="N476" s="126"/>
      <c r="O476" s="126"/>
      <c r="P476" s="123" t="str">
        <f>_xlfn.XLOOKUP($D476,MD_Account_Asset_Type[Nhóm tài sản],MD_Account_Asset_Type[Tài khoản KH])</f>
        <v>6274001906</v>
      </c>
      <c r="Q476" s="123" t="str">
        <f t="shared" si="59"/>
        <v>627</v>
      </c>
      <c r="R476" s="123" t="str">
        <f>_xlfn.XLOOKUP($L476,MD_Cost_Center[Mã Cost Center],MD_Cost_Center[Ngành])</f>
        <v>Chung</v>
      </c>
      <c r="S476" s="123" t="str">
        <f>_xlfn.XLOOKUP($L476,MD_Cost_Center[Mã Cost Center],MD_Cost_Center[Ngành-Tách PET-Xơ sợi])</f>
        <v>Chung</v>
      </c>
      <c r="T476" s="127">
        <v>46082</v>
      </c>
      <c r="U476" s="128">
        <f t="shared" si="64"/>
        <v>49735</v>
      </c>
      <c r="V476" s="129">
        <v>120</v>
      </c>
      <c r="W476" s="129">
        <v>120000000</v>
      </c>
      <c r="X476" s="129">
        <f t="shared" si="62"/>
        <v>-1000000</v>
      </c>
      <c r="Y476" s="129">
        <f t="shared" si="68"/>
        <v>0</v>
      </c>
      <c r="Z476" s="129">
        <f t="shared" si="68"/>
        <v>0</v>
      </c>
      <c r="AA476" s="129">
        <f t="shared" si="68"/>
        <v>120000000</v>
      </c>
      <c r="AB476" s="129">
        <f t="shared" si="68"/>
        <v>120000000</v>
      </c>
      <c r="AC476" s="129">
        <f t="shared" si="68"/>
        <v>120000000</v>
      </c>
      <c r="AD476" s="129">
        <f t="shared" si="68"/>
        <v>120000000</v>
      </c>
      <c r="AE476" s="129">
        <f t="shared" si="68"/>
        <v>120000000</v>
      </c>
      <c r="AF476" s="129">
        <f t="shared" si="68"/>
        <v>120000000</v>
      </c>
      <c r="AG476" s="129">
        <f t="shared" si="68"/>
        <v>120000000</v>
      </c>
      <c r="AH476" s="129">
        <f t="shared" si="68"/>
        <v>120000000</v>
      </c>
      <c r="AI476" s="129">
        <f t="shared" si="68"/>
        <v>120000000</v>
      </c>
      <c r="AJ476" s="129">
        <f t="shared" si="68"/>
        <v>120000000</v>
      </c>
      <c r="AK476" s="129">
        <f t="shared" si="68"/>
        <v>120000000</v>
      </c>
      <c r="AL476" s="129"/>
      <c r="AM476" s="129">
        <v>0</v>
      </c>
      <c r="AN476" s="129">
        <f t="shared" si="69"/>
        <v>0</v>
      </c>
      <c r="AO476" s="129">
        <f t="shared" si="69"/>
        <v>0</v>
      </c>
      <c r="AP476" s="129">
        <f t="shared" si="69"/>
        <v>-1000000</v>
      </c>
      <c r="AQ476" s="129">
        <f t="shared" si="69"/>
        <v>-1000000</v>
      </c>
      <c r="AR476" s="129">
        <f t="shared" si="69"/>
        <v>-1000000</v>
      </c>
      <c r="AS476" s="129">
        <f t="shared" si="69"/>
        <v>-1000000</v>
      </c>
      <c r="AT476" s="129">
        <f t="shared" si="69"/>
        <v>-1000000</v>
      </c>
      <c r="AU476" s="129">
        <f t="shared" si="69"/>
        <v>-1000000</v>
      </c>
      <c r="AV476" s="129">
        <f t="shared" si="69"/>
        <v>-1000000</v>
      </c>
      <c r="AW476" s="129">
        <f t="shared" si="69"/>
        <v>-1000000</v>
      </c>
      <c r="AX476" s="129">
        <f t="shared" si="69"/>
        <v>-1000000</v>
      </c>
      <c r="AY476" s="129">
        <f t="shared" si="69"/>
        <v>-1000000</v>
      </c>
      <c r="AZ476" s="130">
        <f t="shared" si="65"/>
        <v>-10000000</v>
      </c>
      <c r="BA476" s="129">
        <f>Y476+SUM($AM476:AM476)</f>
        <v>0</v>
      </c>
      <c r="BB476" s="131">
        <f>Z476+SUM($AM476:AN476)</f>
        <v>0</v>
      </c>
      <c r="BC476" s="131">
        <f>AA476+SUM($AM476:AO476)</f>
        <v>120000000</v>
      </c>
      <c r="BD476" s="131">
        <f>AB476+SUM($AM476:AP476)</f>
        <v>119000000</v>
      </c>
      <c r="BE476" s="131">
        <f>AC476+SUM($AM476:AQ476)</f>
        <v>118000000</v>
      </c>
      <c r="BF476" s="131">
        <f>AD476+SUM($AM476:AR476)</f>
        <v>117000000</v>
      </c>
      <c r="BG476" s="131">
        <f>AE476+SUM($AM476:AS476)</f>
        <v>116000000</v>
      </c>
      <c r="BH476" s="131">
        <f>AF476+SUM($AM476:AT476)</f>
        <v>115000000</v>
      </c>
      <c r="BI476" s="131">
        <f>AG476+SUM($AM476:AU476)</f>
        <v>114000000</v>
      </c>
      <c r="BJ476" s="131">
        <f>AH476+SUM($AM476:AV476)</f>
        <v>113000000</v>
      </c>
      <c r="BK476" s="131">
        <f>AI476+SUM($AM476:AW476)</f>
        <v>112000000</v>
      </c>
      <c r="BL476" s="131">
        <f>AJ476+SUM($AM476:AX476)</f>
        <v>111000000</v>
      </c>
      <c r="BM476" s="131">
        <f>AK476+SUM($AM476:AY476)</f>
        <v>110000000</v>
      </c>
      <c r="BO476" s="129"/>
    </row>
    <row r="477" spans="3:67" s="123" customFormat="1" x14ac:dyDescent="0.3">
      <c r="C477" s="123" t="s">
        <v>30</v>
      </c>
      <c r="D477" s="124" t="s">
        <v>337</v>
      </c>
      <c r="E477" s="124" t="str">
        <f t="shared" si="66"/>
        <v>211</v>
      </c>
      <c r="F477" s="123" t="str">
        <f>_xlfn.XLOOKUP($D477,MD_Account_Asset_Type[Nhóm tài sản],MD_Account_Asset_Type[Tên Nhóm tài sản])</f>
        <v>Máy móc, thiết bị phụ - SX 627</v>
      </c>
      <c r="G477" s="123" t="str">
        <f>_xlfn.XLOOKUP($D477,MD_Account_Asset_Type[Nhóm tài sản],MD_Account_Asset_Type[Tên nhóm TS-Rút gọn])</f>
        <v>Máy móc thiết bị</v>
      </c>
      <c r="H477" s="123" t="str">
        <f>_xlfn.XLOOKUP($D477,MD_Account_Asset_Type[Nhóm tài sản],MD_Account_Asset_Type[Tên nhóm TS-Rút gọn-v2])</f>
        <v>Máy móc thiết bị</v>
      </c>
      <c r="I477" s="125" t="s">
        <v>1621</v>
      </c>
      <c r="J477" s="124" t="s">
        <v>1667</v>
      </c>
      <c r="K477" s="123" t="s">
        <v>830</v>
      </c>
      <c r="L477" s="124" t="s">
        <v>106</v>
      </c>
      <c r="M477" s="124"/>
      <c r="N477" s="126"/>
      <c r="O477" s="126"/>
      <c r="P477" s="123" t="str">
        <f>_xlfn.XLOOKUP($D477,MD_Account_Asset_Type[Nhóm tài sản],MD_Account_Asset_Type[Tài khoản KH])</f>
        <v>6274001906</v>
      </c>
      <c r="Q477" s="123" t="str">
        <f t="shared" si="59"/>
        <v>627</v>
      </c>
      <c r="R477" s="123" t="str">
        <f>_xlfn.XLOOKUP($L477,MD_Cost_Center[Mã Cost Center],MD_Cost_Center[Ngành])</f>
        <v>PET</v>
      </c>
      <c r="S477" s="123" t="str">
        <f>_xlfn.XLOOKUP($L477,MD_Cost_Center[Mã Cost Center],MD_Cost_Center[Ngành-Tách PET-Xơ sợi])</f>
        <v>Chung-PET</v>
      </c>
      <c r="T477" s="127">
        <v>46082</v>
      </c>
      <c r="U477" s="128">
        <f t="shared" si="64"/>
        <v>50465</v>
      </c>
      <c r="V477" s="129">
        <v>144</v>
      </c>
      <c r="W477" s="129">
        <v>809000000</v>
      </c>
      <c r="X477" s="129">
        <f t="shared" si="62"/>
        <v>-5618056</v>
      </c>
      <c r="Y477" s="129">
        <f t="shared" si="68"/>
        <v>0</v>
      </c>
      <c r="Z477" s="129">
        <f t="shared" si="68"/>
        <v>0</v>
      </c>
      <c r="AA477" s="129">
        <f t="shared" si="68"/>
        <v>809000000</v>
      </c>
      <c r="AB477" s="129">
        <f t="shared" si="68"/>
        <v>809000000</v>
      </c>
      <c r="AC477" s="129">
        <f t="shared" si="68"/>
        <v>809000000</v>
      </c>
      <c r="AD477" s="129">
        <f t="shared" si="68"/>
        <v>809000000</v>
      </c>
      <c r="AE477" s="129">
        <f t="shared" si="68"/>
        <v>809000000</v>
      </c>
      <c r="AF477" s="129">
        <f t="shared" si="68"/>
        <v>809000000</v>
      </c>
      <c r="AG477" s="129">
        <f t="shared" si="68"/>
        <v>809000000</v>
      </c>
      <c r="AH477" s="129">
        <f t="shared" si="68"/>
        <v>809000000</v>
      </c>
      <c r="AI477" s="129">
        <f t="shared" si="68"/>
        <v>809000000</v>
      </c>
      <c r="AJ477" s="129">
        <f t="shared" si="68"/>
        <v>809000000</v>
      </c>
      <c r="AK477" s="129">
        <f t="shared" si="68"/>
        <v>809000000</v>
      </c>
      <c r="AL477" s="129"/>
      <c r="AM477" s="129">
        <v>0</v>
      </c>
      <c r="AN477" s="129">
        <f t="shared" si="69"/>
        <v>0</v>
      </c>
      <c r="AO477" s="129">
        <f t="shared" si="69"/>
        <v>0</v>
      </c>
      <c r="AP477" s="129">
        <f t="shared" si="69"/>
        <v>-5618056</v>
      </c>
      <c r="AQ477" s="129">
        <f t="shared" si="69"/>
        <v>-5618056</v>
      </c>
      <c r="AR477" s="129">
        <f t="shared" si="69"/>
        <v>-5618056</v>
      </c>
      <c r="AS477" s="129">
        <f t="shared" si="69"/>
        <v>-5618056</v>
      </c>
      <c r="AT477" s="129">
        <f t="shared" si="69"/>
        <v>-5618056</v>
      </c>
      <c r="AU477" s="129">
        <f t="shared" si="69"/>
        <v>-5618056</v>
      </c>
      <c r="AV477" s="129">
        <f t="shared" si="69"/>
        <v>-5618056</v>
      </c>
      <c r="AW477" s="129">
        <f t="shared" si="69"/>
        <v>-5618056</v>
      </c>
      <c r="AX477" s="129">
        <f t="shared" si="69"/>
        <v>-5618056</v>
      </c>
      <c r="AY477" s="129">
        <f t="shared" si="69"/>
        <v>-5618056</v>
      </c>
      <c r="AZ477" s="130">
        <f t="shared" si="65"/>
        <v>-56180560</v>
      </c>
      <c r="BA477" s="129">
        <f>Y477+SUM($AM477:AM477)</f>
        <v>0</v>
      </c>
      <c r="BB477" s="131">
        <f>Z477+SUM($AM477:AN477)</f>
        <v>0</v>
      </c>
      <c r="BC477" s="131">
        <f>AA477+SUM($AM477:AO477)</f>
        <v>809000000</v>
      </c>
      <c r="BD477" s="131">
        <f>AB477+SUM($AM477:AP477)</f>
        <v>803381944</v>
      </c>
      <c r="BE477" s="131">
        <f>AC477+SUM($AM477:AQ477)</f>
        <v>797763888</v>
      </c>
      <c r="BF477" s="131">
        <f>AD477+SUM($AM477:AR477)</f>
        <v>792145832</v>
      </c>
      <c r="BG477" s="131">
        <f>AE477+SUM($AM477:AS477)</f>
        <v>786527776</v>
      </c>
      <c r="BH477" s="131">
        <f>AF477+SUM($AM477:AT477)</f>
        <v>780909720</v>
      </c>
      <c r="BI477" s="131">
        <f>AG477+SUM($AM477:AU477)</f>
        <v>775291664</v>
      </c>
      <c r="BJ477" s="131">
        <f>AH477+SUM($AM477:AV477)</f>
        <v>769673608</v>
      </c>
      <c r="BK477" s="131">
        <f>AI477+SUM($AM477:AW477)</f>
        <v>764055552</v>
      </c>
      <c r="BL477" s="131">
        <f>AJ477+SUM($AM477:AX477)</f>
        <v>758437496</v>
      </c>
      <c r="BM477" s="131">
        <f>AK477+SUM($AM477:AY477)</f>
        <v>752819440</v>
      </c>
      <c r="BO477" s="129"/>
    </row>
    <row r="478" spans="3:67" s="123" customFormat="1" x14ac:dyDescent="0.3">
      <c r="C478" s="123" t="s">
        <v>30</v>
      </c>
      <c r="D478" s="124" t="s">
        <v>337</v>
      </c>
      <c r="E478" s="124" t="str">
        <f t="shared" si="66"/>
        <v>211</v>
      </c>
      <c r="F478" s="123" t="str">
        <f>_xlfn.XLOOKUP($D478,MD_Account_Asset_Type[Nhóm tài sản],MD_Account_Asset_Type[Tên Nhóm tài sản])</f>
        <v>Máy móc, thiết bị phụ - SX 627</v>
      </c>
      <c r="G478" s="123" t="str">
        <f>_xlfn.XLOOKUP($D478,MD_Account_Asset_Type[Nhóm tài sản],MD_Account_Asset_Type[Tên nhóm TS-Rút gọn])</f>
        <v>Máy móc thiết bị</v>
      </c>
      <c r="H478" s="123" t="str">
        <f>_xlfn.XLOOKUP($D478,MD_Account_Asset_Type[Nhóm tài sản],MD_Account_Asset_Type[Tên nhóm TS-Rút gọn-v2])</f>
        <v>Máy móc thiết bị</v>
      </c>
      <c r="I478" s="125" t="s">
        <v>1622</v>
      </c>
      <c r="J478" s="124" t="s">
        <v>1571</v>
      </c>
      <c r="K478" s="123" t="s">
        <v>830</v>
      </c>
      <c r="L478" s="124" t="s">
        <v>106</v>
      </c>
      <c r="M478" s="124"/>
      <c r="N478" s="126"/>
      <c r="O478" s="126"/>
      <c r="P478" s="123" t="str">
        <f>_xlfn.XLOOKUP($D478,MD_Account_Asset_Type[Nhóm tài sản],MD_Account_Asset_Type[Tài khoản KH])</f>
        <v>6274001906</v>
      </c>
      <c r="Q478" s="123" t="str">
        <f t="shared" si="59"/>
        <v>627</v>
      </c>
      <c r="R478" s="123" t="str">
        <f>_xlfn.XLOOKUP($L478,MD_Cost_Center[Mã Cost Center],MD_Cost_Center[Ngành])</f>
        <v>PET</v>
      </c>
      <c r="S478" s="123" t="str">
        <f>_xlfn.XLOOKUP($L478,MD_Cost_Center[Mã Cost Center],MD_Cost_Center[Ngành-Tách PET-Xơ sợi])</f>
        <v>Chung-PET</v>
      </c>
      <c r="T478" s="127">
        <v>46174</v>
      </c>
      <c r="U478" s="128">
        <f t="shared" si="64"/>
        <v>55305</v>
      </c>
      <c r="V478" s="129">
        <v>300</v>
      </c>
      <c r="W478" s="129">
        <v>662500000</v>
      </c>
      <c r="X478" s="129">
        <f t="shared" si="62"/>
        <v>-2208333</v>
      </c>
      <c r="Y478" s="129">
        <f t="shared" si="68"/>
        <v>0</v>
      </c>
      <c r="Z478" s="129">
        <f t="shared" si="68"/>
        <v>0</v>
      </c>
      <c r="AA478" s="129">
        <f t="shared" si="68"/>
        <v>0</v>
      </c>
      <c r="AB478" s="129">
        <f t="shared" si="68"/>
        <v>0</v>
      </c>
      <c r="AC478" s="129">
        <f t="shared" si="68"/>
        <v>0</v>
      </c>
      <c r="AD478" s="129">
        <f t="shared" si="68"/>
        <v>662500000</v>
      </c>
      <c r="AE478" s="129">
        <f t="shared" si="68"/>
        <v>662500000</v>
      </c>
      <c r="AF478" s="129">
        <f t="shared" si="68"/>
        <v>662500000</v>
      </c>
      <c r="AG478" s="129">
        <f t="shared" si="68"/>
        <v>662500000</v>
      </c>
      <c r="AH478" s="129">
        <f t="shared" si="68"/>
        <v>662500000</v>
      </c>
      <c r="AI478" s="129">
        <f t="shared" si="68"/>
        <v>662500000</v>
      </c>
      <c r="AJ478" s="129">
        <f t="shared" si="68"/>
        <v>662500000</v>
      </c>
      <c r="AK478" s="129">
        <f t="shared" si="68"/>
        <v>662500000</v>
      </c>
      <c r="AL478" s="129"/>
      <c r="AM478" s="129">
        <v>0</v>
      </c>
      <c r="AN478" s="129">
        <f t="shared" si="69"/>
        <v>0</v>
      </c>
      <c r="AO478" s="129">
        <f t="shared" si="69"/>
        <v>0</v>
      </c>
      <c r="AP478" s="129">
        <f t="shared" si="69"/>
        <v>0</v>
      </c>
      <c r="AQ478" s="129">
        <f t="shared" si="69"/>
        <v>0</v>
      </c>
      <c r="AR478" s="129">
        <f t="shared" si="69"/>
        <v>0</v>
      </c>
      <c r="AS478" s="129">
        <f t="shared" si="69"/>
        <v>-2208333</v>
      </c>
      <c r="AT478" s="129">
        <f t="shared" si="69"/>
        <v>-2208333</v>
      </c>
      <c r="AU478" s="129">
        <f t="shared" si="69"/>
        <v>-2208333</v>
      </c>
      <c r="AV478" s="129">
        <f t="shared" si="69"/>
        <v>-2208333</v>
      </c>
      <c r="AW478" s="129">
        <f t="shared" si="69"/>
        <v>-2208333</v>
      </c>
      <c r="AX478" s="129">
        <f t="shared" si="69"/>
        <v>-2208333</v>
      </c>
      <c r="AY478" s="129">
        <f t="shared" si="69"/>
        <v>-2208333</v>
      </c>
      <c r="AZ478" s="130">
        <f t="shared" si="65"/>
        <v>-15458331</v>
      </c>
      <c r="BA478" s="129">
        <f>Y478+SUM($AM478:AM478)</f>
        <v>0</v>
      </c>
      <c r="BB478" s="131">
        <f>Z478+SUM($AM478:AN478)</f>
        <v>0</v>
      </c>
      <c r="BC478" s="131">
        <f>AA478+SUM($AM478:AO478)</f>
        <v>0</v>
      </c>
      <c r="BD478" s="131">
        <f>AB478+SUM($AM478:AP478)</f>
        <v>0</v>
      </c>
      <c r="BE478" s="131">
        <f>AC478+SUM($AM478:AQ478)</f>
        <v>0</v>
      </c>
      <c r="BF478" s="131">
        <f>AD478+SUM($AM478:AR478)</f>
        <v>662500000</v>
      </c>
      <c r="BG478" s="131">
        <f>AE478+SUM($AM478:AS478)</f>
        <v>660291667</v>
      </c>
      <c r="BH478" s="131">
        <f>AF478+SUM($AM478:AT478)</f>
        <v>658083334</v>
      </c>
      <c r="BI478" s="131">
        <f>AG478+SUM($AM478:AU478)</f>
        <v>655875001</v>
      </c>
      <c r="BJ478" s="131">
        <f>AH478+SUM($AM478:AV478)</f>
        <v>653666668</v>
      </c>
      <c r="BK478" s="131">
        <f>AI478+SUM($AM478:AW478)</f>
        <v>651458335</v>
      </c>
      <c r="BL478" s="131">
        <f>AJ478+SUM($AM478:AX478)</f>
        <v>649250002</v>
      </c>
      <c r="BM478" s="131">
        <f>AK478+SUM($AM478:AY478)</f>
        <v>647041669</v>
      </c>
      <c r="BO478" s="129"/>
    </row>
    <row r="479" spans="3:67" s="123" customFormat="1" x14ac:dyDescent="0.3">
      <c r="C479" s="123" t="s">
        <v>30</v>
      </c>
      <c r="D479" s="124" t="s">
        <v>338</v>
      </c>
      <c r="E479" s="124" t="str">
        <f t="shared" si="66"/>
        <v>211</v>
      </c>
      <c r="F479" s="123" t="str">
        <f>_xlfn.XLOOKUP($D479,MD_Account_Asset_Type[Nhóm tài sản],MD_Account_Asset_Type[Tên Nhóm tài sản])</f>
        <v>Máy móc, thiết bị - SX 627</v>
      </c>
      <c r="G479" s="123" t="str">
        <f>_xlfn.XLOOKUP($D479,MD_Account_Asset_Type[Nhóm tài sản],MD_Account_Asset_Type[Tên nhóm TS-Rút gọn])</f>
        <v>Máy móc thiết bị</v>
      </c>
      <c r="H479" s="123" t="str">
        <f>_xlfn.XLOOKUP($D479,MD_Account_Asset_Type[Nhóm tài sản],MD_Account_Asset_Type[Tên nhóm TS-Rút gọn-v2])</f>
        <v>Máy móc thiết bị</v>
      </c>
      <c r="I479" s="125" t="s">
        <v>1623</v>
      </c>
      <c r="J479" s="124" t="s">
        <v>1668</v>
      </c>
      <c r="K479" s="123" t="s">
        <v>830</v>
      </c>
      <c r="L479" s="124" t="s">
        <v>87</v>
      </c>
      <c r="M479" s="124"/>
      <c r="N479" s="126"/>
      <c r="O479" s="126"/>
      <c r="P479" s="123" t="str">
        <f>_xlfn.XLOOKUP($D479,MD_Account_Asset_Type[Nhóm tài sản],MD_Account_Asset_Type[Tài khoản KH])</f>
        <v>6274001903</v>
      </c>
      <c r="Q479" s="123" t="str">
        <f t="shared" si="59"/>
        <v>627</v>
      </c>
      <c r="R479" s="123" t="str">
        <f>_xlfn.XLOOKUP($L479,MD_Cost_Center[Mã Cost Center],MD_Cost_Center[Ngành])</f>
        <v>PET</v>
      </c>
      <c r="S479" s="123" t="str">
        <f>_xlfn.XLOOKUP($L479,MD_Cost_Center[Mã Cost Center],MD_Cost_Center[Ngành-Tách PET-Xơ sợi])</f>
        <v>Chung-PET</v>
      </c>
      <c r="T479" s="127">
        <v>46082</v>
      </c>
      <c r="U479" s="128">
        <f t="shared" si="64"/>
        <v>50465</v>
      </c>
      <c r="V479" s="129">
        <v>144</v>
      </c>
      <c r="W479" s="129">
        <v>265000000</v>
      </c>
      <c r="X479" s="129">
        <f t="shared" si="62"/>
        <v>-1840278</v>
      </c>
      <c r="Y479" s="129">
        <f t="shared" si="68"/>
        <v>0</v>
      </c>
      <c r="Z479" s="129">
        <f t="shared" si="68"/>
        <v>0</v>
      </c>
      <c r="AA479" s="129">
        <f t="shared" si="68"/>
        <v>265000000</v>
      </c>
      <c r="AB479" s="129">
        <f t="shared" si="68"/>
        <v>265000000</v>
      </c>
      <c r="AC479" s="129">
        <f t="shared" si="68"/>
        <v>265000000</v>
      </c>
      <c r="AD479" s="129">
        <f t="shared" si="68"/>
        <v>265000000</v>
      </c>
      <c r="AE479" s="129">
        <f t="shared" si="68"/>
        <v>265000000</v>
      </c>
      <c r="AF479" s="129">
        <f t="shared" si="68"/>
        <v>265000000</v>
      </c>
      <c r="AG479" s="129">
        <f t="shared" si="68"/>
        <v>265000000</v>
      </c>
      <c r="AH479" s="129">
        <f t="shared" si="68"/>
        <v>265000000</v>
      </c>
      <c r="AI479" s="129">
        <f t="shared" si="68"/>
        <v>265000000</v>
      </c>
      <c r="AJ479" s="129">
        <f t="shared" si="68"/>
        <v>265000000</v>
      </c>
      <c r="AK479" s="129">
        <f t="shared" si="68"/>
        <v>265000000</v>
      </c>
      <c r="AL479" s="129"/>
      <c r="AM479" s="129">
        <v>0</v>
      </c>
      <c r="AN479" s="129">
        <f t="shared" si="69"/>
        <v>0</v>
      </c>
      <c r="AO479" s="129">
        <f t="shared" si="69"/>
        <v>0</v>
      </c>
      <c r="AP479" s="129">
        <f t="shared" si="69"/>
        <v>-1840278</v>
      </c>
      <c r="AQ479" s="129">
        <f t="shared" si="69"/>
        <v>-1840278</v>
      </c>
      <c r="AR479" s="129">
        <f t="shared" si="69"/>
        <v>-1840278</v>
      </c>
      <c r="AS479" s="129">
        <f t="shared" si="69"/>
        <v>-1840278</v>
      </c>
      <c r="AT479" s="129">
        <f t="shared" si="69"/>
        <v>-1840278</v>
      </c>
      <c r="AU479" s="129">
        <f t="shared" si="69"/>
        <v>-1840278</v>
      </c>
      <c r="AV479" s="129">
        <f t="shared" si="69"/>
        <v>-1840278</v>
      </c>
      <c r="AW479" s="129">
        <f t="shared" si="69"/>
        <v>-1840278</v>
      </c>
      <c r="AX479" s="129">
        <f t="shared" si="69"/>
        <v>-1840278</v>
      </c>
      <c r="AY479" s="129">
        <f t="shared" si="69"/>
        <v>-1840278</v>
      </c>
      <c r="AZ479" s="130">
        <f t="shared" si="65"/>
        <v>-18402780</v>
      </c>
      <c r="BA479" s="129">
        <f>Y479+SUM($AM479:AM479)</f>
        <v>0</v>
      </c>
      <c r="BB479" s="131">
        <f>Z479+SUM($AM479:AN479)</f>
        <v>0</v>
      </c>
      <c r="BC479" s="131">
        <f>AA479+SUM($AM479:AO479)</f>
        <v>265000000</v>
      </c>
      <c r="BD479" s="131">
        <f>AB479+SUM($AM479:AP479)</f>
        <v>263159722</v>
      </c>
      <c r="BE479" s="131">
        <f>AC479+SUM($AM479:AQ479)</f>
        <v>261319444</v>
      </c>
      <c r="BF479" s="131">
        <f>AD479+SUM($AM479:AR479)</f>
        <v>259479166</v>
      </c>
      <c r="BG479" s="131">
        <f>AE479+SUM($AM479:AS479)</f>
        <v>257638888</v>
      </c>
      <c r="BH479" s="131">
        <f>AF479+SUM($AM479:AT479)</f>
        <v>255798610</v>
      </c>
      <c r="BI479" s="131">
        <f>AG479+SUM($AM479:AU479)</f>
        <v>253958332</v>
      </c>
      <c r="BJ479" s="131">
        <f>AH479+SUM($AM479:AV479)</f>
        <v>252118054</v>
      </c>
      <c r="BK479" s="131">
        <f>AI479+SUM($AM479:AW479)</f>
        <v>250277776</v>
      </c>
      <c r="BL479" s="131">
        <f>AJ479+SUM($AM479:AX479)</f>
        <v>248437498</v>
      </c>
      <c r="BM479" s="131">
        <f>AK479+SUM($AM479:AY479)</f>
        <v>246597220</v>
      </c>
      <c r="BO479" s="129"/>
    </row>
    <row r="480" spans="3:67" s="123" customFormat="1" x14ac:dyDescent="0.3">
      <c r="C480" s="123" t="s">
        <v>30</v>
      </c>
      <c r="D480" s="124" t="s">
        <v>350</v>
      </c>
      <c r="E480" s="124" t="str">
        <f t="shared" si="66"/>
        <v>211</v>
      </c>
      <c r="F480" s="123" t="str">
        <f>_xlfn.XLOOKUP($D480,MD_Account_Asset_Type[Nhóm tài sản],MD_Account_Asset_Type[Tên Nhóm tài sản])</f>
        <v>TSCĐ khác - SX 627</v>
      </c>
      <c r="G480" s="123" t="str">
        <f>_xlfn.XLOOKUP($D480,MD_Account_Asset_Type[Nhóm tài sản],MD_Account_Asset_Type[Tên nhóm TS-Rút gọn])</f>
        <v>Khác</v>
      </c>
      <c r="H480" s="123" t="str">
        <f>_xlfn.XLOOKUP($D480,MD_Account_Asset_Type[Nhóm tài sản],MD_Account_Asset_Type[Tên nhóm TS-Rút gọn-v2])</f>
        <v>TSCĐHH-Khác</v>
      </c>
      <c r="I480" s="125" t="s">
        <v>1624</v>
      </c>
      <c r="J480" s="124" t="s">
        <v>1669</v>
      </c>
      <c r="K480" s="123" t="s">
        <v>830</v>
      </c>
      <c r="L480" s="124" t="s">
        <v>92</v>
      </c>
      <c r="M480" s="124"/>
      <c r="N480" s="126"/>
      <c r="O480" s="126"/>
      <c r="P480" s="123" t="str">
        <f>_xlfn.XLOOKUP($D480,MD_Account_Asset_Type[Nhóm tài sản],MD_Account_Asset_Type[Tài khoản KH])</f>
        <v>6274001909</v>
      </c>
      <c r="Q480" s="123" t="str">
        <f t="shared" si="59"/>
        <v>627</v>
      </c>
      <c r="R480" s="123" t="str">
        <f>_xlfn.XLOOKUP($L480,MD_Cost_Center[Mã Cost Center],MD_Cost_Center[Ngành])</f>
        <v>Chung</v>
      </c>
      <c r="S480" s="123" t="str">
        <f>_xlfn.XLOOKUP($L480,MD_Cost_Center[Mã Cost Center],MD_Cost_Center[Ngành-Tách PET-Xơ sợi])</f>
        <v>Chung</v>
      </c>
      <c r="T480" s="127">
        <v>46054</v>
      </c>
      <c r="U480" s="128">
        <f t="shared" si="64"/>
        <v>49706</v>
      </c>
      <c r="V480" s="129">
        <v>120</v>
      </c>
      <c r="W480" s="129">
        <v>300000000</v>
      </c>
      <c r="X480" s="129">
        <f t="shared" si="62"/>
        <v>-2500000</v>
      </c>
      <c r="Y480" s="129">
        <f t="shared" si="68"/>
        <v>0</v>
      </c>
      <c r="Z480" s="129">
        <f t="shared" si="68"/>
        <v>300000000</v>
      </c>
      <c r="AA480" s="129">
        <f t="shared" si="68"/>
        <v>300000000</v>
      </c>
      <c r="AB480" s="129">
        <f t="shared" si="68"/>
        <v>300000000</v>
      </c>
      <c r="AC480" s="129">
        <f t="shared" si="68"/>
        <v>300000000</v>
      </c>
      <c r="AD480" s="129">
        <f t="shared" si="68"/>
        <v>300000000</v>
      </c>
      <c r="AE480" s="129">
        <f t="shared" si="68"/>
        <v>300000000</v>
      </c>
      <c r="AF480" s="129">
        <f t="shared" si="68"/>
        <v>300000000</v>
      </c>
      <c r="AG480" s="129">
        <f t="shared" si="68"/>
        <v>300000000</v>
      </c>
      <c r="AH480" s="129">
        <f t="shared" si="68"/>
        <v>300000000</v>
      </c>
      <c r="AI480" s="129">
        <f t="shared" si="68"/>
        <v>300000000</v>
      </c>
      <c r="AJ480" s="129">
        <f t="shared" si="68"/>
        <v>300000000</v>
      </c>
      <c r="AK480" s="129">
        <f t="shared" si="68"/>
        <v>300000000</v>
      </c>
      <c r="AL480" s="129"/>
      <c r="AM480" s="129">
        <v>0</v>
      </c>
      <c r="AN480" s="129">
        <f t="shared" si="69"/>
        <v>0</v>
      </c>
      <c r="AO480" s="129">
        <f t="shared" si="69"/>
        <v>-2500000</v>
      </c>
      <c r="AP480" s="129">
        <f t="shared" si="69"/>
        <v>-2500000</v>
      </c>
      <c r="AQ480" s="129">
        <f t="shared" si="69"/>
        <v>-2500000</v>
      </c>
      <c r="AR480" s="129">
        <f t="shared" si="69"/>
        <v>-2500000</v>
      </c>
      <c r="AS480" s="129">
        <f t="shared" si="69"/>
        <v>-2500000</v>
      </c>
      <c r="AT480" s="129">
        <f t="shared" si="69"/>
        <v>-2500000</v>
      </c>
      <c r="AU480" s="129">
        <f t="shared" si="69"/>
        <v>-2500000</v>
      </c>
      <c r="AV480" s="129">
        <f t="shared" si="69"/>
        <v>-2500000</v>
      </c>
      <c r="AW480" s="129">
        <f t="shared" si="69"/>
        <v>-2500000</v>
      </c>
      <c r="AX480" s="129">
        <f t="shared" si="69"/>
        <v>-2500000</v>
      </c>
      <c r="AY480" s="129">
        <f t="shared" si="69"/>
        <v>-2500000</v>
      </c>
      <c r="AZ480" s="130">
        <f t="shared" si="65"/>
        <v>-27500000</v>
      </c>
      <c r="BA480" s="129">
        <f>Y480+SUM($AM480:AM480)</f>
        <v>0</v>
      </c>
      <c r="BB480" s="131">
        <f>Z480+SUM($AM480:AN480)</f>
        <v>300000000</v>
      </c>
      <c r="BC480" s="131">
        <f>AA480+SUM($AM480:AO480)</f>
        <v>297500000</v>
      </c>
      <c r="BD480" s="131">
        <f>AB480+SUM($AM480:AP480)</f>
        <v>295000000</v>
      </c>
      <c r="BE480" s="131">
        <f>AC480+SUM($AM480:AQ480)</f>
        <v>292500000</v>
      </c>
      <c r="BF480" s="131">
        <f>AD480+SUM($AM480:AR480)</f>
        <v>290000000</v>
      </c>
      <c r="BG480" s="131">
        <f>AE480+SUM($AM480:AS480)</f>
        <v>287500000</v>
      </c>
      <c r="BH480" s="131">
        <f>AF480+SUM($AM480:AT480)</f>
        <v>285000000</v>
      </c>
      <c r="BI480" s="131">
        <f>AG480+SUM($AM480:AU480)</f>
        <v>282500000</v>
      </c>
      <c r="BJ480" s="131">
        <f>AH480+SUM($AM480:AV480)</f>
        <v>280000000</v>
      </c>
      <c r="BK480" s="131">
        <f>AI480+SUM($AM480:AW480)</f>
        <v>277500000</v>
      </c>
      <c r="BL480" s="131">
        <f>AJ480+SUM($AM480:AX480)</f>
        <v>275000000</v>
      </c>
      <c r="BM480" s="131">
        <f>AK480+SUM($AM480:AY480)</f>
        <v>272500000</v>
      </c>
      <c r="BO480" s="129"/>
    </row>
    <row r="481" spans="3:67" s="123" customFormat="1" x14ac:dyDescent="0.3">
      <c r="C481" s="123" t="s">
        <v>30</v>
      </c>
      <c r="D481" s="124" t="s">
        <v>350</v>
      </c>
      <c r="E481" s="124" t="str">
        <f t="shared" si="66"/>
        <v>211</v>
      </c>
      <c r="F481" s="123" t="str">
        <f>_xlfn.XLOOKUP($D481,MD_Account_Asset_Type[Nhóm tài sản],MD_Account_Asset_Type[Tên Nhóm tài sản])</f>
        <v>TSCĐ khác - SX 627</v>
      </c>
      <c r="G481" s="123" t="str">
        <f>_xlfn.XLOOKUP($D481,MD_Account_Asset_Type[Nhóm tài sản],MD_Account_Asset_Type[Tên nhóm TS-Rút gọn])</f>
        <v>Khác</v>
      </c>
      <c r="H481" s="123" t="str">
        <f>_xlfn.XLOOKUP($D481,MD_Account_Asset_Type[Nhóm tài sản],MD_Account_Asset_Type[Tên nhóm TS-Rút gọn-v2])</f>
        <v>TSCĐHH-Khác</v>
      </c>
      <c r="I481" s="125" t="s">
        <v>1625</v>
      </c>
      <c r="J481" s="124" t="s">
        <v>1670</v>
      </c>
      <c r="K481" s="123" t="s">
        <v>830</v>
      </c>
      <c r="L481" s="124" t="s">
        <v>92</v>
      </c>
      <c r="M481" s="124"/>
      <c r="N481" s="126"/>
      <c r="O481" s="126"/>
      <c r="P481" s="123" t="str">
        <f>_xlfn.XLOOKUP($D481,MD_Account_Asset_Type[Nhóm tài sản],MD_Account_Asset_Type[Tài khoản KH])</f>
        <v>6274001909</v>
      </c>
      <c r="Q481" s="123" t="str">
        <f t="shared" si="59"/>
        <v>627</v>
      </c>
      <c r="R481" s="123" t="str">
        <f>_xlfn.XLOOKUP($L481,MD_Cost_Center[Mã Cost Center],MD_Cost_Center[Ngành])</f>
        <v>Chung</v>
      </c>
      <c r="S481" s="123" t="str">
        <f>_xlfn.XLOOKUP($L481,MD_Cost_Center[Mã Cost Center],MD_Cost_Center[Ngành-Tách PET-Xơ sợi])</f>
        <v>Chung</v>
      </c>
      <c r="T481" s="127">
        <v>46054</v>
      </c>
      <c r="U481" s="128">
        <f t="shared" si="64"/>
        <v>49706</v>
      </c>
      <c r="V481" s="129">
        <v>120</v>
      </c>
      <c r="W481" s="129">
        <v>225000000</v>
      </c>
      <c r="X481" s="129">
        <f t="shared" si="62"/>
        <v>-1875000</v>
      </c>
      <c r="Y481" s="129">
        <f t="shared" si="68"/>
        <v>0</v>
      </c>
      <c r="Z481" s="129">
        <f t="shared" si="68"/>
        <v>225000000</v>
      </c>
      <c r="AA481" s="129">
        <f t="shared" si="68"/>
        <v>225000000</v>
      </c>
      <c r="AB481" s="129">
        <f t="shared" si="68"/>
        <v>225000000</v>
      </c>
      <c r="AC481" s="129">
        <f t="shared" si="68"/>
        <v>225000000</v>
      </c>
      <c r="AD481" s="129">
        <f t="shared" si="68"/>
        <v>225000000</v>
      </c>
      <c r="AE481" s="129">
        <f t="shared" si="68"/>
        <v>225000000</v>
      </c>
      <c r="AF481" s="129">
        <f t="shared" si="68"/>
        <v>225000000</v>
      </c>
      <c r="AG481" s="129">
        <f t="shared" si="68"/>
        <v>225000000</v>
      </c>
      <c r="AH481" s="129">
        <f t="shared" si="68"/>
        <v>225000000</v>
      </c>
      <c r="AI481" s="129">
        <f t="shared" si="68"/>
        <v>225000000</v>
      </c>
      <c r="AJ481" s="129">
        <f t="shared" si="68"/>
        <v>225000000</v>
      </c>
      <c r="AK481" s="129">
        <f t="shared" si="68"/>
        <v>225000000</v>
      </c>
      <c r="AL481" s="129"/>
      <c r="AM481" s="129">
        <v>0</v>
      </c>
      <c r="AN481" s="129">
        <f t="shared" si="69"/>
        <v>0</v>
      </c>
      <c r="AO481" s="129">
        <f t="shared" si="69"/>
        <v>-1875000</v>
      </c>
      <c r="AP481" s="129">
        <f t="shared" si="69"/>
        <v>-1875000</v>
      </c>
      <c r="AQ481" s="129">
        <f t="shared" si="69"/>
        <v>-1875000</v>
      </c>
      <c r="AR481" s="129">
        <f t="shared" si="69"/>
        <v>-1875000</v>
      </c>
      <c r="AS481" s="129">
        <f t="shared" si="69"/>
        <v>-1875000</v>
      </c>
      <c r="AT481" s="129">
        <f t="shared" si="69"/>
        <v>-1875000</v>
      </c>
      <c r="AU481" s="129">
        <f t="shared" si="69"/>
        <v>-1875000</v>
      </c>
      <c r="AV481" s="129">
        <f t="shared" si="69"/>
        <v>-1875000</v>
      </c>
      <c r="AW481" s="129">
        <f t="shared" si="69"/>
        <v>-1875000</v>
      </c>
      <c r="AX481" s="129">
        <f t="shared" si="69"/>
        <v>-1875000</v>
      </c>
      <c r="AY481" s="129">
        <f t="shared" si="69"/>
        <v>-1875000</v>
      </c>
      <c r="AZ481" s="130">
        <f t="shared" si="65"/>
        <v>-20625000</v>
      </c>
      <c r="BA481" s="129">
        <f>Y481+SUM($AM481:AM481)</f>
        <v>0</v>
      </c>
      <c r="BB481" s="131">
        <f>Z481+SUM($AM481:AN481)</f>
        <v>225000000</v>
      </c>
      <c r="BC481" s="131">
        <f>AA481+SUM($AM481:AO481)</f>
        <v>223125000</v>
      </c>
      <c r="BD481" s="131">
        <f>AB481+SUM($AM481:AP481)</f>
        <v>221250000</v>
      </c>
      <c r="BE481" s="131">
        <f>AC481+SUM($AM481:AQ481)</f>
        <v>219375000</v>
      </c>
      <c r="BF481" s="131">
        <f>AD481+SUM($AM481:AR481)</f>
        <v>217500000</v>
      </c>
      <c r="BG481" s="131">
        <f>AE481+SUM($AM481:AS481)</f>
        <v>215625000</v>
      </c>
      <c r="BH481" s="131">
        <f>AF481+SUM($AM481:AT481)</f>
        <v>213750000</v>
      </c>
      <c r="BI481" s="131">
        <f>AG481+SUM($AM481:AU481)</f>
        <v>211875000</v>
      </c>
      <c r="BJ481" s="131">
        <f>AH481+SUM($AM481:AV481)</f>
        <v>210000000</v>
      </c>
      <c r="BK481" s="131">
        <f>AI481+SUM($AM481:AW481)</f>
        <v>208125000</v>
      </c>
      <c r="BL481" s="131">
        <f>AJ481+SUM($AM481:AX481)</f>
        <v>206250000</v>
      </c>
      <c r="BM481" s="131">
        <f>AK481+SUM($AM481:AY481)</f>
        <v>204375000</v>
      </c>
      <c r="BO481" s="129"/>
    </row>
    <row r="482" spans="3:67" s="123" customFormat="1" x14ac:dyDescent="0.3">
      <c r="C482" s="123" t="s">
        <v>30</v>
      </c>
      <c r="D482" s="124" t="s">
        <v>350</v>
      </c>
      <c r="E482" s="124" t="str">
        <f t="shared" si="66"/>
        <v>211</v>
      </c>
      <c r="F482" s="123" t="str">
        <f>_xlfn.XLOOKUP($D482,MD_Account_Asset_Type[Nhóm tài sản],MD_Account_Asset_Type[Tên Nhóm tài sản])</f>
        <v>TSCĐ khác - SX 627</v>
      </c>
      <c r="G482" s="123" t="str">
        <f>_xlfn.XLOOKUP($D482,MD_Account_Asset_Type[Nhóm tài sản],MD_Account_Asset_Type[Tên nhóm TS-Rút gọn])</f>
        <v>Khác</v>
      </c>
      <c r="H482" s="123" t="str">
        <f>_xlfn.XLOOKUP($D482,MD_Account_Asset_Type[Nhóm tài sản],MD_Account_Asset_Type[Tên nhóm TS-Rút gọn-v2])</f>
        <v>TSCĐHH-Khác</v>
      </c>
      <c r="I482" s="125" t="s">
        <v>1626</v>
      </c>
      <c r="J482" s="124" t="s">
        <v>1671</v>
      </c>
      <c r="K482" s="123" t="s">
        <v>830</v>
      </c>
      <c r="L482" s="124" t="s">
        <v>92</v>
      </c>
      <c r="M482" s="124"/>
      <c r="N482" s="126"/>
      <c r="O482" s="126"/>
      <c r="P482" s="123" t="str">
        <f>_xlfn.XLOOKUP($D482,MD_Account_Asset_Type[Nhóm tài sản],MD_Account_Asset_Type[Tài khoản KH])</f>
        <v>6274001909</v>
      </c>
      <c r="Q482" s="123" t="str">
        <f t="shared" si="59"/>
        <v>627</v>
      </c>
      <c r="R482" s="123" t="str">
        <f>_xlfn.XLOOKUP($L482,MD_Cost_Center[Mã Cost Center],MD_Cost_Center[Ngành])</f>
        <v>Chung</v>
      </c>
      <c r="S482" s="123" t="str">
        <f>_xlfn.XLOOKUP($L482,MD_Cost_Center[Mã Cost Center],MD_Cost_Center[Ngành-Tách PET-Xơ sợi])</f>
        <v>Chung</v>
      </c>
      <c r="T482" s="127">
        <v>46054</v>
      </c>
      <c r="U482" s="128">
        <f t="shared" si="64"/>
        <v>55185</v>
      </c>
      <c r="V482" s="129">
        <v>300</v>
      </c>
      <c r="W482" s="129">
        <v>207918452</v>
      </c>
      <c r="X482" s="129">
        <f t="shared" si="62"/>
        <v>-693062</v>
      </c>
      <c r="Y482" s="129">
        <f t="shared" si="68"/>
        <v>0</v>
      </c>
      <c r="Z482" s="129">
        <f t="shared" si="68"/>
        <v>207918452</v>
      </c>
      <c r="AA482" s="129">
        <f t="shared" si="68"/>
        <v>207918452</v>
      </c>
      <c r="AB482" s="129">
        <f t="shared" si="68"/>
        <v>207918452</v>
      </c>
      <c r="AC482" s="129">
        <f t="shared" si="68"/>
        <v>207918452</v>
      </c>
      <c r="AD482" s="129">
        <f t="shared" si="68"/>
        <v>207918452</v>
      </c>
      <c r="AE482" s="129">
        <f t="shared" si="68"/>
        <v>207918452</v>
      </c>
      <c r="AF482" s="129">
        <f t="shared" si="68"/>
        <v>207918452</v>
      </c>
      <c r="AG482" s="129">
        <f t="shared" si="68"/>
        <v>207918452</v>
      </c>
      <c r="AH482" s="129">
        <f t="shared" si="68"/>
        <v>207918452</v>
      </c>
      <c r="AI482" s="129">
        <f t="shared" si="68"/>
        <v>207918452</v>
      </c>
      <c r="AJ482" s="129">
        <f t="shared" si="68"/>
        <v>207918452</v>
      </c>
      <c r="AK482" s="129">
        <f t="shared" si="68"/>
        <v>207918452</v>
      </c>
      <c r="AL482" s="129"/>
      <c r="AM482" s="129">
        <v>0</v>
      </c>
      <c r="AN482" s="129">
        <f t="shared" si="69"/>
        <v>0</v>
      </c>
      <c r="AO482" s="129">
        <f t="shared" si="69"/>
        <v>-693062</v>
      </c>
      <c r="AP482" s="129">
        <f t="shared" si="69"/>
        <v>-693062</v>
      </c>
      <c r="AQ482" s="129">
        <f t="shared" si="69"/>
        <v>-693062</v>
      </c>
      <c r="AR482" s="129">
        <f t="shared" si="69"/>
        <v>-693062</v>
      </c>
      <c r="AS482" s="129">
        <f t="shared" si="69"/>
        <v>-693062</v>
      </c>
      <c r="AT482" s="129">
        <f t="shared" si="69"/>
        <v>-693062</v>
      </c>
      <c r="AU482" s="129">
        <f t="shared" si="69"/>
        <v>-693062</v>
      </c>
      <c r="AV482" s="129">
        <f t="shared" si="69"/>
        <v>-693062</v>
      </c>
      <c r="AW482" s="129">
        <f t="shared" si="69"/>
        <v>-693062</v>
      </c>
      <c r="AX482" s="129">
        <f t="shared" si="69"/>
        <v>-693062</v>
      </c>
      <c r="AY482" s="129">
        <f t="shared" si="69"/>
        <v>-693062</v>
      </c>
      <c r="AZ482" s="130">
        <f t="shared" si="65"/>
        <v>-7623682</v>
      </c>
      <c r="BA482" s="129">
        <f>Y482+SUM($AM482:AM482)</f>
        <v>0</v>
      </c>
      <c r="BB482" s="131">
        <f>Z482+SUM($AM482:AN482)</f>
        <v>207918452</v>
      </c>
      <c r="BC482" s="131">
        <f>AA482+SUM($AM482:AO482)</f>
        <v>207225390</v>
      </c>
      <c r="BD482" s="131">
        <f>AB482+SUM($AM482:AP482)</f>
        <v>206532328</v>
      </c>
      <c r="BE482" s="131">
        <f>AC482+SUM($AM482:AQ482)</f>
        <v>205839266</v>
      </c>
      <c r="BF482" s="131">
        <f>AD482+SUM($AM482:AR482)</f>
        <v>205146204</v>
      </c>
      <c r="BG482" s="131">
        <f>AE482+SUM($AM482:AS482)</f>
        <v>204453142</v>
      </c>
      <c r="BH482" s="131">
        <f>AF482+SUM($AM482:AT482)</f>
        <v>203760080</v>
      </c>
      <c r="BI482" s="131">
        <f>AG482+SUM($AM482:AU482)</f>
        <v>203067018</v>
      </c>
      <c r="BJ482" s="131">
        <f>AH482+SUM($AM482:AV482)</f>
        <v>202373956</v>
      </c>
      <c r="BK482" s="131">
        <f>AI482+SUM($AM482:AW482)</f>
        <v>201680894</v>
      </c>
      <c r="BL482" s="131">
        <f>AJ482+SUM($AM482:AX482)</f>
        <v>200987832</v>
      </c>
      <c r="BM482" s="131">
        <f>AK482+SUM($AM482:AY482)</f>
        <v>200294770</v>
      </c>
      <c r="BO482" s="129"/>
    </row>
    <row r="483" spans="3:67" s="123" customFormat="1" x14ac:dyDescent="0.3">
      <c r="C483" s="123" t="s">
        <v>30</v>
      </c>
      <c r="D483" s="124" t="s">
        <v>350</v>
      </c>
      <c r="E483" s="124" t="str">
        <f t="shared" si="66"/>
        <v>211</v>
      </c>
      <c r="F483" s="123" t="str">
        <f>_xlfn.XLOOKUP($D483,MD_Account_Asset_Type[Nhóm tài sản],MD_Account_Asset_Type[Tên Nhóm tài sản])</f>
        <v>TSCĐ khác - SX 627</v>
      </c>
      <c r="G483" s="123" t="str">
        <f>_xlfn.XLOOKUP($D483,MD_Account_Asset_Type[Nhóm tài sản],MD_Account_Asset_Type[Tên nhóm TS-Rút gọn])</f>
        <v>Khác</v>
      </c>
      <c r="H483" s="123" t="str">
        <f>_xlfn.XLOOKUP($D483,MD_Account_Asset_Type[Nhóm tài sản],MD_Account_Asset_Type[Tên nhóm TS-Rút gọn-v2])</f>
        <v>TSCĐHH-Khác</v>
      </c>
      <c r="I483" s="125" t="s">
        <v>1627</v>
      </c>
      <c r="J483" s="124" t="s">
        <v>1672</v>
      </c>
      <c r="K483" s="123" t="s">
        <v>830</v>
      </c>
      <c r="L483" s="124" t="s">
        <v>92</v>
      </c>
      <c r="M483" s="124"/>
      <c r="N483" s="126"/>
      <c r="O483" s="126"/>
      <c r="P483" s="123" t="str">
        <f>_xlfn.XLOOKUP($D483,MD_Account_Asset_Type[Nhóm tài sản],MD_Account_Asset_Type[Tài khoản KH])</f>
        <v>6274001909</v>
      </c>
      <c r="Q483" s="123" t="str">
        <f t="shared" si="59"/>
        <v>627</v>
      </c>
      <c r="R483" s="123" t="str">
        <f>_xlfn.XLOOKUP($L483,MD_Cost_Center[Mã Cost Center],MD_Cost_Center[Ngành])</f>
        <v>Chung</v>
      </c>
      <c r="S483" s="123" t="str">
        <f>_xlfn.XLOOKUP($L483,MD_Cost_Center[Mã Cost Center],MD_Cost_Center[Ngành-Tách PET-Xơ sợi])</f>
        <v>Chung</v>
      </c>
      <c r="T483" s="127">
        <v>46113</v>
      </c>
      <c r="U483" s="128">
        <f t="shared" si="64"/>
        <v>55244</v>
      </c>
      <c r="V483" s="129">
        <v>300</v>
      </c>
      <c r="W483" s="129">
        <v>250000000</v>
      </c>
      <c r="X483" s="129">
        <f t="shared" si="62"/>
        <v>-833333</v>
      </c>
      <c r="Y483" s="129">
        <f t="shared" si="68"/>
        <v>0</v>
      </c>
      <c r="Z483" s="129">
        <f t="shared" si="68"/>
        <v>0</v>
      </c>
      <c r="AA483" s="129">
        <f t="shared" si="68"/>
        <v>0</v>
      </c>
      <c r="AB483" s="129">
        <f t="shared" si="68"/>
        <v>250000000</v>
      </c>
      <c r="AC483" s="129">
        <f t="shared" si="68"/>
        <v>250000000</v>
      </c>
      <c r="AD483" s="129">
        <f t="shared" si="68"/>
        <v>250000000</v>
      </c>
      <c r="AE483" s="129">
        <f t="shared" si="68"/>
        <v>250000000</v>
      </c>
      <c r="AF483" s="129">
        <f t="shared" si="68"/>
        <v>250000000</v>
      </c>
      <c r="AG483" s="129">
        <f t="shared" si="68"/>
        <v>250000000</v>
      </c>
      <c r="AH483" s="129">
        <f t="shared" si="68"/>
        <v>250000000</v>
      </c>
      <c r="AI483" s="129">
        <f t="shared" si="68"/>
        <v>250000000</v>
      </c>
      <c r="AJ483" s="129">
        <f t="shared" si="68"/>
        <v>250000000</v>
      </c>
      <c r="AK483" s="129">
        <f t="shared" si="68"/>
        <v>250000000</v>
      </c>
      <c r="AL483" s="129"/>
      <c r="AM483" s="129">
        <v>0</v>
      </c>
      <c r="AN483" s="129">
        <f t="shared" si="69"/>
        <v>0</v>
      </c>
      <c r="AO483" s="129">
        <f t="shared" si="69"/>
        <v>0</v>
      </c>
      <c r="AP483" s="129">
        <f t="shared" si="69"/>
        <v>0</v>
      </c>
      <c r="AQ483" s="129">
        <f t="shared" si="69"/>
        <v>-833333</v>
      </c>
      <c r="AR483" s="129">
        <f t="shared" si="69"/>
        <v>-833333</v>
      </c>
      <c r="AS483" s="129">
        <f t="shared" si="69"/>
        <v>-833333</v>
      </c>
      <c r="AT483" s="129">
        <f t="shared" si="69"/>
        <v>-833333</v>
      </c>
      <c r="AU483" s="129">
        <f t="shared" si="69"/>
        <v>-833333</v>
      </c>
      <c r="AV483" s="129">
        <f t="shared" si="69"/>
        <v>-833333</v>
      </c>
      <c r="AW483" s="129">
        <f t="shared" si="69"/>
        <v>-833333</v>
      </c>
      <c r="AX483" s="129">
        <f t="shared" si="69"/>
        <v>-833333</v>
      </c>
      <c r="AY483" s="129">
        <f t="shared" si="69"/>
        <v>-833333</v>
      </c>
      <c r="AZ483" s="130">
        <f t="shared" si="65"/>
        <v>-7499997</v>
      </c>
      <c r="BA483" s="129">
        <f>Y483+SUM($AM483:AM483)</f>
        <v>0</v>
      </c>
      <c r="BB483" s="131">
        <f>Z483+SUM($AM483:AN483)</f>
        <v>0</v>
      </c>
      <c r="BC483" s="131">
        <f>AA483+SUM($AM483:AO483)</f>
        <v>0</v>
      </c>
      <c r="BD483" s="131">
        <f>AB483+SUM($AM483:AP483)</f>
        <v>250000000</v>
      </c>
      <c r="BE483" s="131">
        <f>AC483+SUM($AM483:AQ483)</f>
        <v>249166667</v>
      </c>
      <c r="BF483" s="131">
        <f>AD483+SUM($AM483:AR483)</f>
        <v>248333334</v>
      </c>
      <c r="BG483" s="131">
        <f>AE483+SUM($AM483:AS483)</f>
        <v>247500001</v>
      </c>
      <c r="BH483" s="131">
        <f>AF483+SUM($AM483:AT483)</f>
        <v>246666668</v>
      </c>
      <c r="BI483" s="131">
        <f>AG483+SUM($AM483:AU483)</f>
        <v>245833335</v>
      </c>
      <c r="BJ483" s="131">
        <f>AH483+SUM($AM483:AV483)</f>
        <v>245000002</v>
      </c>
      <c r="BK483" s="131">
        <f>AI483+SUM($AM483:AW483)</f>
        <v>244166669</v>
      </c>
      <c r="BL483" s="131">
        <f>AJ483+SUM($AM483:AX483)</f>
        <v>243333336</v>
      </c>
      <c r="BM483" s="131">
        <f>AK483+SUM($AM483:AY483)</f>
        <v>242500003</v>
      </c>
      <c r="BO483" s="129"/>
    </row>
    <row r="484" spans="3:67" s="123" customFormat="1" x14ac:dyDescent="0.3">
      <c r="C484" s="123" t="s">
        <v>30</v>
      </c>
      <c r="D484" s="124" t="s">
        <v>319</v>
      </c>
      <c r="E484" s="124" t="str">
        <f t="shared" si="66"/>
        <v>211</v>
      </c>
      <c r="F484" s="123" t="str">
        <f>_xlfn.XLOOKUP($D484,MD_Account_Asset_Type[Nhóm tài sản],MD_Account_Asset_Type[Tên Nhóm tài sản])</f>
        <v>Nhà cửa, vật kiến trúc - SX 627</v>
      </c>
      <c r="G484" s="123" t="str">
        <f>_xlfn.XLOOKUP($D484,MD_Account_Asset_Type[Nhóm tài sản],MD_Account_Asset_Type[Tên nhóm TS-Rút gọn])</f>
        <v>Nhà cửa, vật kiến trúc</v>
      </c>
      <c r="H484" s="123" t="str">
        <f>_xlfn.XLOOKUP($D484,MD_Account_Asset_Type[Nhóm tài sản],MD_Account_Asset_Type[Tên nhóm TS-Rút gọn-v2])</f>
        <v>Nhà cửa, vật kiến trúc</v>
      </c>
      <c r="I484" s="125" t="s">
        <v>1628</v>
      </c>
      <c r="J484" s="124" t="s">
        <v>1673</v>
      </c>
      <c r="K484" s="123" t="s">
        <v>830</v>
      </c>
      <c r="L484" s="124" t="s">
        <v>48</v>
      </c>
      <c r="M484" s="124"/>
      <c r="N484" s="126"/>
      <c r="O484" s="126"/>
      <c r="P484" s="123" t="str">
        <f>_xlfn.XLOOKUP($D484,MD_Account_Asset_Type[Nhóm tài sản],MD_Account_Asset_Type[Tài khoản KH])</f>
        <v>6274001901</v>
      </c>
      <c r="Q484" s="123" t="str">
        <f t="shared" si="59"/>
        <v>627</v>
      </c>
      <c r="R484" s="123" t="str">
        <f>_xlfn.XLOOKUP($L484,MD_Cost_Center[Mã Cost Center],MD_Cost_Center[Ngành])</f>
        <v>PET</v>
      </c>
      <c r="S484" s="123" t="str">
        <f>_xlfn.XLOOKUP($L484,MD_Cost_Center[Mã Cost Center],MD_Cost_Center[Ngành-Tách PET-Xơ sợi])</f>
        <v>Chung-PET</v>
      </c>
      <c r="T484" s="127">
        <v>46082</v>
      </c>
      <c r="U484" s="128">
        <f t="shared" si="64"/>
        <v>55213</v>
      </c>
      <c r="V484" s="129">
        <v>300</v>
      </c>
      <c r="W484" s="129">
        <v>450000000</v>
      </c>
      <c r="X484" s="129">
        <f t="shared" si="62"/>
        <v>-1500000</v>
      </c>
      <c r="Y484" s="129">
        <f t="shared" si="68"/>
        <v>0</v>
      </c>
      <c r="Z484" s="129">
        <f t="shared" si="68"/>
        <v>0</v>
      </c>
      <c r="AA484" s="129">
        <f t="shared" si="68"/>
        <v>450000000</v>
      </c>
      <c r="AB484" s="129">
        <f t="shared" si="68"/>
        <v>450000000</v>
      </c>
      <c r="AC484" s="129">
        <f t="shared" si="68"/>
        <v>450000000</v>
      </c>
      <c r="AD484" s="129">
        <f t="shared" si="68"/>
        <v>450000000</v>
      </c>
      <c r="AE484" s="129">
        <f t="shared" si="68"/>
        <v>450000000</v>
      </c>
      <c r="AF484" s="129">
        <f t="shared" si="68"/>
        <v>450000000</v>
      </c>
      <c r="AG484" s="129">
        <f t="shared" si="68"/>
        <v>450000000</v>
      </c>
      <c r="AH484" s="129">
        <f t="shared" si="68"/>
        <v>450000000</v>
      </c>
      <c r="AI484" s="129">
        <f t="shared" si="68"/>
        <v>450000000</v>
      </c>
      <c r="AJ484" s="129">
        <f t="shared" si="68"/>
        <v>450000000</v>
      </c>
      <c r="AK484" s="129">
        <f t="shared" si="68"/>
        <v>450000000</v>
      </c>
      <c r="AL484" s="129"/>
      <c r="AM484" s="129">
        <v>0</v>
      </c>
      <c r="AN484" s="129">
        <f t="shared" si="69"/>
        <v>0</v>
      </c>
      <c r="AO484" s="129">
        <f t="shared" si="69"/>
        <v>0</v>
      </c>
      <c r="AP484" s="129">
        <f t="shared" si="69"/>
        <v>-1500000</v>
      </c>
      <c r="AQ484" s="129">
        <f t="shared" si="69"/>
        <v>-1500000</v>
      </c>
      <c r="AR484" s="129">
        <f t="shared" si="69"/>
        <v>-1500000</v>
      </c>
      <c r="AS484" s="129">
        <f t="shared" si="69"/>
        <v>-1500000</v>
      </c>
      <c r="AT484" s="129">
        <f t="shared" si="69"/>
        <v>-1500000</v>
      </c>
      <c r="AU484" s="129">
        <f t="shared" si="69"/>
        <v>-1500000</v>
      </c>
      <c r="AV484" s="129">
        <f t="shared" si="69"/>
        <v>-1500000</v>
      </c>
      <c r="AW484" s="129">
        <f t="shared" si="69"/>
        <v>-1500000</v>
      </c>
      <c r="AX484" s="129">
        <f t="shared" si="69"/>
        <v>-1500000</v>
      </c>
      <c r="AY484" s="129">
        <f t="shared" si="69"/>
        <v>-1500000</v>
      </c>
      <c r="AZ484" s="130">
        <f t="shared" si="65"/>
        <v>-15000000</v>
      </c>
      <c r="BA484" s="129">
        <f>Y484+SUM($AM484:AM484)</f>
        <v>0</v>
      </c>
      <c r="BB484" s="131">
        <f>Z484+SUM($AM484:AN484)</f>
        <v>0</v>
      </c>
      <c r="BC484" s="131">
        <f>AA484+SUM($AM484:AO484)</f>
        <v>450000000</v>
      </c>
      <c r="BD484" s="131">
        <f>AB484+SUM($AM484:AP484)</f>
        <v>448500000</v>
      </c>
      <c r="BE484" s="131">
        <f>AC484+SUM($AM484:AQ484)</f>
        <v>447000000</v>
      </c>
      <c r="BF484" s="131">
        <f>AD484+SUM($AM484:AR484)</f>
        <v>445500000</v>
      </c>
      <c r="BG484" s="131">
        <f>AE484+SUM($AM484:AS484)</f>
        <v>444000000</v>
      </c>
      <c r="BH484" s="131">
        <f>AF484+SUM($AM484:AT484)</f>
        <v>442500000</v>
      </c>
      <c r="BI484" s="131">
        <f>AG484+SUM($AM484:AU484)</f>
        <v>441000000</v>
      </c>
      <c r="BJ484" s="131">
        <f>AH484+SUM($AM484:AV484)</f>
        <v>439500000</v>
      </c>
      <c r="BK484" s="131">
        <f>AI484+SUM($AM484:AW484)</f>
        <v>438000000</v>
      </c>
      <c r="BL484" s="131">
        <f>AJ484+SUM($AM484:AX484)</f>
        <v>436500000</v>
      </c>
      <c r="BM484" s="131">
        <f>AK484+SUM($AM484:AY484)</f>
        <v>435000000</v>
      </c>
      <c r="BO484" s="129"/>
    </row>
    <row r="485" spans="3:67" s="123" customFormat="1" hidden="1" x14ac:dyDescent="0.3">
      <c r="C485" s="123" t="s">
        <v>30</v>
      </c>
      <c r="D485" s="124" t="s">
        <v>347</v>
      </c>
      <c r="E485" s="124" t="str">
        <f t="shared" si="66"/>
        <v>211</v>
      </c>
      <c r="F485" s="123" t="str">
        <f>_xlfn.XLOOKUP($D485,MD_Account_Asset_Type[Nhóm tài sản],MD_Account_Asset_Type[Tên Nhóm tài sản])</f>
        <v>Thiết bị, dụng cụ quản lý - QL 642</v>
      </c>
      <c r="G485" s="123" t="str">
        <f>_xlfn.XLOOKUP($D485,MD_Account_Asset_Type[Nhóm tài sản],MD_Account_Asset_Type[Tên nhóm TS-Rút gọn])</f>
        <v>Thiết bị quản lý</v>
      </c>
      <c r="H485" s="123" t="str">
        <f>_xlfn.XLOOKUP($D485,MD_Account_Asset_Type[Nhóm tài sản],MD_Account_Asset_Type[Tên nhóm TS-Rút gọn-v2])</f>
        <v>Thiết bị quản lý</v>
      </c>
      <c r="I485" s="125" t="s">
        <v>1629</v>
      </c>
      <c r="J485" s="124" t="s">
        <v>1674</v>
      </c>
      <c r="K485" s="123" t="s">
        <v>830</v>
      </c>
      <c r="L485" s="124" t="s">
        <v>36</v>
      </c>
      <c r="M485" s="124" t="s">
        <v>111</v>
      </c>
      <c r="N485" s="126"/>
      <c r="O485" s="126"/>
      <c r="P485" s="123" t="str">
        <f>_xlfn.XLOOKUP($D485,MD_Account_Asset_Type[Nhóm tài sản],MD_Account_Asset_Type[Tài khoản KH])</f>
        <v>6424001904</v>
      </c>
      <c r="Q485" s="123" t="str">
        <f t="shared" si="59"/>
        <v>642</v>
      </c>
      <c r="R485" s="123" t="str">
        <f>_xlfn.XLOOKUP($L485,MD_Cost_Center[Mã Cost Center],MD_Cost_Center[Ngành])</f>
        <v>Chung</v>
      </c>
      <c r="S485" s="123" t="str">
        <f>_xlfn.XLOOKUP($L485,MD_Cost_Center[Mã Cost Center],MD_Cost_Center[Ngành-Tách PET-Xơ sợi])</f>
        <v>Chung</v>
      </c>
      <c r="T485" s="127">
        <v>46082</v>
      </c>
      <c r="U485" s="128">
        <f t="shared" si="64"/>
        <v>49004</v>
      </c>
      <c r="V485" s="129">
        <v>96</v>
      </c>
      <c r="W485" s="129">
        <v>280000000</v>
      </c>
      <c r="X485" s="129">
        <f t="shared" si="62"/>
        <v>-2916667</v>
      </c>
      <c r="Y485" s="129">
        <f t="shared" si="68"/>
        <v>0</v>
      </c>
      <c r="Z485" s="129">
        <f t="shared" si="68"/>
        <v>0</v>
      </c>
      <c r="AA485" s="129">
        <f t="shared" si="68"/>
        <v>280000000</v>
      </c>
      <c r="AB485" s="129">
        <f t="shared" si="68"/>
        <v>280000000</v>
      </c>
      <c r="AC485" s="129">
        <f t="shared" si="68"/>
        <v>280000000</v>
      </c>
      <c r="AD485" s="129">
        <f t="shared" si="68"/>
        <v>280000000</v>
      </c>
      <c r="AE485" s="129">
        <f t="shared" si="68"/>
        <v>280000000</v>
      </c>
      <c r="AF485" s="129">
        <f t="shared" si="68"/>
        <v>280000000</v>
      </c>
      <c r="AG485" s="129">
        <f t="shared" si="68"/>
        <v>280000000</v>
      </c>
      <c r="AH485" s="129">
        <f t="shared" si="68"/>
        <v>280000000</v>
      </c>
      <c r="AI485" s="129">
        <f t="shared" si="68"/>
        <v>280000000</v>
      </c>
      <c r="AJ485" s="129">
        <f t="shared" si="68"/>
        <v>280000000</v>
      </c>
      <c r="AK485" s="129">
        <f t="shared" si="68"/>
        <v>280000000</v>
      </c>
      <c r="AL485" s="129"/>
      <c r="AM485" s="129">
        <v>0</v>
      </c>
      <c r="AN485" s="129">
        <f t="shared" si="69"/>
        <v>0</v>
      </c>
      <c r="AO485" s="129">
        <f t="shared" si="69"/>
        <v>0</v>
      </c>
      <c r="AP485" s="129">
        <f t="shared" si="69"/>
        <v>-2916667</v>
      </c>
      <c r="AQ485" s="129">
        <f t="shared" si="69"/>
        <v>-2916667</v>
      </c>
      <c r="AR485" s="129">
        <f t="shared" si="69"/>
        <v>-2916667</v>
      </c>
      <c r="AS485" s="129">
        <f t="shared" si="69"/>
        <v>-2916667</v>
      </c>
      <c r="AT485" s="129">
        <f t="shared" si="69"/>
        <v>-2916667</v>
      </c>
      <c r="AU485" s="129">
        <f t="shared" si="69"/>
        <v>-2916667</v>
      </c>
      <c r="AV485" s="129">
        <f t="shared" si="69"/>
        <v>-2916667</v>
      </c>
      <c r="AW485" s="129">
        <f t="shared" si="69"/>
        <v>-2916667</v>
      </c>
      <c r="AX485" s="129">
        <f t="shared" si="69"/>
        <v>-2916667</v>
      </c>
      <c r="AY485" s="129">
        <f t="shared" si="69"/>
        <v>-2916667</v>
      </c>
      <c r="AZ485" s="130">
        <f t="shared" si="65"/>
        <v>-29166670</v>
      </c>
      <c r="BA485" s="129">
        <f>Y485+SUM($AM485:AM485)</f>
        <v>0</v>
      </c>
      <c r="BB485" s="131">
        <f>Z485+SUM($AM485:AN485)</f>
        <v>0</v>
      </c>
      <c r="BC485" s="131">
        <f>AA485+SUM($AM485:AO485)</f>
        <v>280000000</v>
      </c>
      <c r="BD485" s="131">
        <f>AB485+SUM($AM485:AP485)</f>
        <v>277083333</v>
      </c>
      <c r="BE485" s="131">
        <f>AC485+SUM($AM485:AQ485)</f>
        <v>274166666</v>
      </c>
      <c r="BF485" s="131">
        <f>AD485+SUM($AM485:AR485)</f>
        <v>271249999</v>
      </c>
      <c r="BG485" s="131">
        <f>AE485+SUM($AM485:AS485)</f>
        <v>268333332</v>
      </c>
      <c r="BH485" s="131">
        <f>AF485+SUM($AM485:AT485)</f>
        <v>265416665</v>
      </c>
      <c r="BI485" s="131">
        <f>AG485+SUM($AM485:AU485)</f>
        <v>262499998</v>
      </c>
      <c r="BJ485" s="131">
        <f>AH485+SUM($AM485:AV485)</f>
        <v>259583331</v>
      </c>
      <c r="BK485" s="131">
        <f>AI485+SUM($AM485:AW485)</f>
        <v>256666664</v>
      </c>
      <c r="BL485" s="131">
        <f>AJ485+SUM($AM485:AX485)</f>
        <v>253749997</v>
      </c>
      <c r="BM485" s="131">
        <f>AK485+SUM($AM485:AY485)</f>
        <v>250833330</v>
      </c>
      <c r="BO485" s="129"/>
    </row>
    <row r="486" spans="3:67" s="123" customFormat="1" x14ac:dyDescent="0.3">
      <c r="C486" s="123" t="s">
        <v>30</v>
      </c>
      <c r="D486" s="124" t="s">
        <v>337</v>
      </c>
      <c r="E486" s="124" t="str">
        <f t="shared" si="66"/>
        <v>211</v>
      </c>
      <c r="F486" s="123" t="str">
        <f>_xlfn.XLOOKUP($D486,MD_Account_Asset_Type[Nhóm tài sản],MD_Account_Asset_Type[Tên Nhóm tài sản])</f>
        <v>Máy móc, thiết bị phụ - SX 627</v>
      </c>
      <c r="G486" s="123" t="str">
        <f>_xlfn.XLOOKUP($D486,MD_Account_Asset_Type[Nhóm tài sản],MD_Account_Asset_Type[Tên nhóm TS-Rút gọn])</f>
        <v>Máy móc thiết bị</v>
      </c>
      <c r="H486" s="123" t="str">
        <f>_xlfn.XLOOKUP($D486,MD_Account_Asset_Type[Nhóm tài sản],MD_Account_Asset_Type[Tên nhóm TS-Rút gọn-v2])</f>
        <v>Máy móc thiết bị</v>
      </c>
      <c r="I486" s="125" t="s">
        <v>1630</v>
      </c>
      <c r="J486" s="124" t="s">
        <v>1675</v>
      </c>
      <c r="K486" s="123" t="s">
        <v>830</v>
      </c>
      <c r="L486" s="124" t="s">
        <v>92</v>
      </c>
      <c r="M486" s="124"/>
      <c r="N486" s="126"/>
      <c r="O486" s="126"/>
      <c r="P486" s="123" t="str">
        <f>_xlfn.XLOOKUP($D486,MD_Account_Asset_Type[Nhóm tài sản],MD_Account_Asset_Type[Tài khoản KH])</f>
        <v>6274001906</v>
      </c>
      <c r="Q486" s="123" t="str">
        <f t="shared" si="59"/>
        <v>627</v>
      </c>
      <c r="R486" s="123" t="str">
        <f>_xlfn.XLOOKUP($L486,MD_Cost_Center[Mã Cost Center],MD_Cost_Center[Ngành])</f>
        <v>Chung</v>
      </c>
      <c r="S486" s="123" t="str">
        <f>_xlfn.XLOOKUP($L486,MD_Cost_Center[Mã Cost Center],MD_Cost_Center[Ngành-Tách PET-Xơ sợi])</f>
        <v>Chung</v>
      </c>
      <c r="T486" s="127">
        <v>46082</v>
      </c>
      <c r="U486" s="128">
        <f t="shared" si="64"/>
        <v>50465</v>
      </c>
      <c r="V486" s="129">
        <v>144</v>
      </c>
      <c r="W486" s="129">
        <v>210000000</v>
      </c>
      <c r="X486" s="129">
        <f t="shared" si="62"/>
        <v>-1458333</v>
      </c>
      <c r="Y486" s="129">
        <f t="shared" si="68"/>
        <v>0</v>
      </c>
      <c r="Z486" s="129">
        <f t="shared" si="68"/>
        <v>0</v>
      </c>
      <c r="AA486" s="129">
        <f t="shared" si="68"/>
        <v>210000000</v>
      </c>
      <c r="AB486" s="129">
        <f t="shared" si="68"/>
        <v>210000000</v>
      </c>
      <c r="AC486" s="129">
        <f t="shared" si="68"/>
        <v>210000000</v>
      </c>
      <c r="AD486" s="129">
        <f t="shared" si="68"/>
        <v>210000000</v>
      </c>
      <c r="AE486" s="129">
        <f t="shared" si="68"/>
        <v>210000000</v>
      </c>
      <c r="AF486" s="129">
        <f t="shared" si="68"/>
        <v>210000000</v>
      </c>
      <c r="AG486" s="129">
        <f t="shared" si="68"/>
        <v>210000000</v>
      </c>
      <c r="AH486" s="129">
        <f t="shared" si="68"/>
        <v>210000000</v>
      </c>
      <c r="AI486" s="129">
        <f t="shared" si="68"/>
        <v>210000000</v>
      </c>
      <c r="AJ486" s="129">
        <f t="shared" si="68"/>
        <v>210000000</v>
      </c>
      <c r="AK486" s="129">
        <f t="shared" si="68"/>
        <v>210000000</v>
      </c>
      <c r="AL486" s="129"/>
      <c r="AM486" s="129">
        <v>0</v>
      </c>
      <c r="AN486" s="129">
        <f t="shared" si="69"/>
        <v>0</v>
      </c>
      <c r="AO486" s="129">
        <f t="shared" si="69"/>
        <v>0</v>
      </c>
      <c r="AP486" s="129">
        <f t="shared" si="69"/>
        <v>-1458333</v>
      </c>
      <c r="AQ486" s="129">
        <f t="shared" si="69"/>
        <v>-1458333</v>
      </c>
      <c r="AR486" s="129">
        <f t="shared" si="69"/>
        <v>-1458333</v>
      </c>
      <c r="AS486" s="129">
        <f t="shared" si="69"/>
        <v>-1458333</v>
      </c>
      <c r="AT486" s="129">
        <f t="shared" si="69"/>
        <v>-1458333</v>
      </c>
      <c r="AU486" s="129">
        <f t="shared" si="69"/>
        <v>-1458333</v>
      </c>
      <c r="AV486" s="129">
        <f t="shared" si="69"/>
        <v>-1458333</v>
      </c>
      <c r="AW486" s="129">
        <f t="shared" si="69"/>
        <v>-1458333</v>
      </c>
      <c r="AX486" s="129">
        <f t="shared" si="69"/>
        <v>-1458333</v>
      </c>
      <c r="AY486" s="129">
        <f t="shared" si="69"/>
        <v>-1458333</v>
      </c>
      <c r="AZ486" s="130">
        <f t="shared" si="65"/>
        <v>-14583330</v>
      </c>
      <c r="BA486" s="129">
        <f>Y486+SUM($AM486:AM486)</f>
        <v>0</v>
      </c>
      <c r="BB486" s="131">
        <f>Z486+SUM($AM486:AN486)</f>
        <v>0</v>
      </c>
      <c r="BC486" s="131">
        <f>AA486+SUM($AM486:AO486)</f>
        <v>210000000</v>
      </c>
      <c r="BD486" s="131">
        <f>AB486+SUM($AM486:AP486)</f>
        <v>208541667</v>
      </c>
      <c r="BE486" s="131">
        <f>AC486+SUM($AM486:AQ486)</f>
        <v>207083334</v>
      </c>
      <c r="BF486" s="131">
        <f>AD486+SUM($AM486:AR486)</f>
        <v>205625001</v>
      </c>
      <c r="BG486" s="131">
        <f>AE486+SUM($AM486:AS486)</f>
        <v>204166668</v>
      </c>
      <c r="BH486" s="131">
        <f>AF486+SUM($AM486:AT486)</f>
        <v>202708335</v>
      </c>
      <c r="BI486" s="131">
        <f>AG486+SUM($AM486:AU486)</f>
        <v>201250002</v>
      </c>
      <c r="BJ486" s="131">
        <f>AH486+SUM($AM486:AV486)</f>
        <v>199791669</v>
      </c>
      <c r="BK486" s="131">
        <f>AI486+SUM($AM486:AW486)</f>
        <v>198333336</v>
      </c>
      <c r="BL486" s="131">
        <f>AJ486+SUM($AM486:AX486)</f>
        <v>196875003</v>
      </c>
      <c r="BM486" s="131">
        <f>AK486+SUM($AM486:AY486)</f>
        <v>195416670</v>
      </c>
      <c r="BO486" s="129"/>
    </row>
    <row r="487" spans="3:67" s="123" customFormat="1" x14ac:dyDescent="0.3">
      <c r="C487" s="123" t="s">
        <v>30</v>
      </c>
      <c r="D487" s="124" t="s">
        <v>342</v>
      </c>
      <c r="E487" s="124" t="str">
        <f t="shared" si="66"/>
        <v>211</v>
      </c>
      <c r="F487" s="123" t="str">
        <f>_xlfn.XLOOKUP($D487,MD_Account_Asset_Type[Nhóm tài sản],MD_Account_Asset_Type[Tên Nhóm tài sản])</f>
        <v>Phương tiện vận tải , truyền dẫn - SX 627</v>
      </c>
      <c r="G487" s="123" t="str">
        <f>_xlfn.XLOOKUP($D487,MD_Account_Asset_Type[Nhóm tài sản],MD_Account_Asset_Type[Tên nhóm TS-Rút gọn])</f>
        <v>Phương tiện vận tải</v>
      </c>
      <c r="H487" s="123" t="str">
        <f>_xlfn.XLOOKUP($D487,MD_Account_Asset_Type[Nhóm tài sản],MD_Account_Asset_Type[Tên nhóm TS-Rút gọn-v2])</f>
        <v>Phương tiện vận tải</v>
      </c>
      <c r="I487" s="125" t="s">
        <v>1631</v>
      </c>
      <c r="J487" s="124" t="s">
        <v>1676</v>
      </c>
      <c r="K487" s="123" t="s">
        <v>830</v>
      </c>
      <c r="L487" s="124" t="s">
        <v>92</v>
      </c>
      <c r="M487" s="124"/>
      <c r="N487" s="126"/>
      <c r="O487" s="126"/>
      <c r="P487" s="123" t="str">
        <f>_xlfn.XLOOKUP($D487,MD_Account_Asset_Type[Nhóm tài sản],MD_Account_Asset_Type[Tài khoản KH])</f>
        <v>6274001905</v>
      </c>
      <c r="Q487" s="123" t="str">
        <f t="shared" si="59"/>
        <v>627</v>
      </c>
      <c r="R487" s="123" t="str">
        <f>_xlfn.XLOOKUP($L487,MD_Cost_Center[Mã Cost Center],MD_Cost_Center[Ngành])</f>
        <v>Chung</v>
      </c>
      <c r="S487" s="123" t="str">
        <f>_xlfn.XLOOKUP($L487,MD_Cost_Center[Mã Cost Center],MD_Cost_Center[Ngành-Tách PET-Xơ sợi])</f>
        <v>Chung</v>
      </c>
      <c r="T487" s="127">
        <v>46054</v>
      </c>
      <c r="U487" s="128">
        <f t="shared" si="64"/>
        <v>49706</v>
      </c>
      <c r="V487" s="129">
        <v>120</v>
      </c>
      <c r="W487" s="129">
        <v>140000000</v>
      </c>
      <c r="X487" s="129">
        <f t="shared" si="62"/>
        <v>-1166667</v>
      </c>
      <c r="Y487" s="129">
        <f t="shared" si="68"/>
        <v>0</v>
      </c>
      <c r="Z487" s="129">
        <f t="shared" si="68"/>
        <v>140000000</v>
      </c>
      <c r="AA487" s="129">
        <f t="shared" si="68"/>
        <v>140000000</v>
      </c>
      <c r="AB487" s="129">
        <f t="shared" si="68"/>
        <v>140000000</v>
      </c>
      <c r="AC487" s="129">
        <f t="shared" si="68"/>
        <v>140000000</v>
      </c>
      <c r="AD487" s="129">
        <f t="shared" si="68"/>
        <v>140000000</v>
      </c>
      <c r="AE487" s="129">
        <f t="shared" si="68"/>
        <v>140000000</v>
      </c>
      <c r="AF487" s="129">
        <f t="shared" si="68"/>
        <v>140000000</v>
      </c>
      <c r="AG487" s="129">
        <f t="shared" ref="Y487:AK503" si="70">IF($T487-1&lt;=AG$6,$W487,0)</f>
        <v>140000000</v>
      </c>
      <c r="AH487" s="129">
        <f t="shared" si="70"/>
        <v>140000000</v>
      </c>
      <c r="AI487" s="129">
        <f t="shared" si="70"/>
        <v>140000000</v>
      </c>
      <c r="AJ487" s="129">
        <f t="shared" si="70"/>
        <v>140000000</v>
      </c>
      <c r="AK487" s="129">
        <f t="shared" si="70"/>
        <v>140000000</v>
      </c>
      <c r="AL487" s="129"/>
      <c r="AM487" s="129">
        <v>0</v>
      </c>
      <c r="AN487" s="129">
        <f t="shared" si="69"/>
        <v>0</v>
      </c>
      <c r="AO487" s="129">
        <f t="shared" si="69"/>
        <v>-1166667</v>
      </c>
      <c r="AP487" s="129">
        <f t="shared" si="69"/>
        <v>-1166667</v>
      </c>
      <c r="AQ487" s="129">
        <f t="shared" si="69"/>
        <v>-1166667</v>
      </c>
      <c r="AR487" s="129">
        <f t="shared" si="69"/>
        <v>-1166667</v>
      </c>
      <c r="AS487" s="129">
        <f t="shared" si="69"/>
        <v>-1166667</v>
      </c>
      <c r="AT487" s="129">
        <f t="shared" si="69"/>
        <v>-1166667</v>
      </c>
      <c r="AU487" s="129">
        <f t="shared" si="69"/>
        <v>-1166667</v>
      </c>
      <c r="AV487" s="129">
        <f t="shared" si="69"/>
        <v>-1166667</v>
      </c>
      <c r="AW487" s="129">
        <f t="shared" si="69"/>
        <v>-1166667</v>
      </c>
      <c r="AX487" s="129">
        <f t="shared" si="69"/>
        <v>-1166667</v>
      </c>
      <c r="AY487" s="129">
        <f t="shared" si="69"/>
        <v>-1166667</v>
      </c>
      <c r="AZ487" s="130">
        <f t="shared" si="65"/>
        <v>-12833337</v>
      </c>
      <c r="BA487" s="129">
        <f>Y487+SUM($AM487:AM487)</f>
        <v>0</v>
      </c>
      <c r="BB487" s="131">
        <f>Z487+SUM($AM487:AN487)</f>
        <v>140000000</v>
      </c>
      <c r="BC487" s="131">
        <f>AA487+SUM($AM487:AO487)</f>
        <v>138833333</v>
      </c>
      <c r="BD487" s="131">
        <f>AB487+SUM($AM487:AP487)</f>
        <v>137666666</v>
      </c>
      <c r="BE487" s="131">
        <f>AC487+SUM($AM487:AQ487)</f>
        <v>136499999</v>
      </c>
      <c r="BF487" s="131">
        <f>AD487+SUM($AM487:AR487)</f>
        <v>135333332</v>
      </c>
      <c r="BG487" s="131">
        <f>AE487+SUM($AM487:AS487)</f>
        <v>134166665</v>
      </c>
      <c r="BH487" s="131">
        <f>AF487+SUM($AM487:AT487)</f>
        <v>132999998</v>
      </c>
      <c r="BI487" s="131">
        <f>AG487+SUM($AM487:AU487)</f>
        <v>131833331</v>
      </c>
      <c r="BJ487" s="131">
        <f>AH487+SUM($AM487:AV487)</f>
        <v>130666664</v>
      </c>
      <c r="BK487" s="131">
        <f>AI487+SUM($AM487:AW487)</f>
        <v>129499997</v>
      </c>
      <c r="BL487" s="131">
        <f>AJ487+SUM($AM487:AX487)</f>
        <v>128333330</v>
      </c>
      <c r="BM487" s="131">
        <f>AK487+SUM($AM487:AY487)</f>
        <v>127166663</v>
      </c>
      <c r="BO487" s="129"/>
    </row>
    <row r="488" spans="3:67" s="123" customFormat="1" x14ac:dyDescent="0.3">
      <c r="C488" s="123" t="s">
        <v>30</v>
      </c>
      <c r="D488" s="124" t="s">
        <v>337</v>
      </c>
      <c r="E488" s="124" t="str">
        <f t="shared" si="66"/>
        <v>211</v>
      </c>
      <c r="F488" s="123" t="str">
        <f>_xlfn.XLOOKUP($D488,MD_Account_Asset_Type[Nhóm tài sản],MD_Account_Asset_Type[Tên Nhóm tài sản])</f>
        <v>Máy móc, thiết bị phụ - SX 627</v>
      </c>
      <c r="G488" s="123" t="str">
        <f>_xlfn.XLOOKUP($D488,MD_Account_Asset_Type[Nhóm tài sản],MD_Account_Asset_Type[Tên nhóm TS-Rút gọn])</f>
        <v>Máy móc thiết bị</v>
      </c>
      <c r="H488" s="123" t="str">
        <f>_xlfn.XLOOKUP($D488,MD_Account_Asset_Type[Nhóm tài sản],MD_Account_Asset_Type[Tên nhóm TS-Rút gọn-v2])</f>
        <v>Máy móc thiết bị</v>
      </c>
      <c r="I488" s="125" t="s">
        <v>1632</v>
      </c>
      <c r="J488" s="124" t="s">
        <v>1677</v>
      </c>
      <c r="K488" s="123" t="s">
        <v>830</v>
      </c>
      <c r="L488" s="124" t="s">
        <v>92</v>
      </c>
      <c r="M488" s="124"/>
      <c r="N488" s="126"/>
      <c r="O488" s="126"/>
      <c r="P488" s="123" t="str">
        <f>_xlfn.XLOOKUP($D488,MD_Account_Asset_Type[Nhóm tài sản],MD_Account_Asset_Type[Tài khoản KH])</f>
        <v>6274001906</v>
      </c>
      <c r="Q488" s="123" t="str">
        <f t="shared" si="59"/>
        <v>627</v>
      </c>
      <c r="R488" s="123" t="str">
        <f>_xlfn.XLOOKUP($L488,MD_Cost_Center[Mã Cost Center],MD_Cost_Center[Ngành])</f>
        <v>Chung</v>
      </c>
      <c r="S488" s="123" t="str">
        <f>_xlfn.XLOOKUP($L488,MD_Cost_Center[Mã Cost Center],MD_Cost_Center[Ngành-Tách PET-Xơ sợi])</f>
        <v>Chung</v>
      </c>
      <c r="T488" s="127">
        <v>46023</v>
      </c>
      <c r="U488" s="128">
        <f t="shared" si="64"/>
        <v>50406</v>
      </c>
      <c r="V488" s="129">
        <v>144</v>
      </c>
      <c r="W488" s="129">
        <v>135000000</v>
      </c>
      <c r="X488" s="129">
        <f t="shared" si="62"/>
        <v>-937500</v>
      </c>
      <c r="Y488" s="129">
        <f t="shared" si="70"/>
        <v>135000000</v>
      </c>
      <c r="Z488" s="129">
        <f t="shared" si="70"/>
        <v>135000000</v>
      </c>
      <c r="AA488" s="129">
        <f t="shared" si="70"/>
        <v>135000000</v>
      </c>
      <c r="AB488" s="129">
        <f t="shared" si="70"/>
        <v>135000000</v>
      </c>
      <c r="AC488" s="129">
        <f t="shared" si="70"/>
        <v>135000000</v>
      </c>
      <c r="AD488" s="129">
        <f t="shared" si="70"/>
        <v>135000000</v>
      </c>
      <c r="AE488" s="129">
        <f t="shared" si="70"/>
        <v>135000000</v>
      </c>
      <c r="AF488" s="129">
        <f t="shared" si="70"/>
        <v>135000000</v>
      </c>
      <c r="AG488" s="129">
        <f t="shared" si="70"/>
        <v>135000000</v>
      </c>
      <c r="AH488" s="129">
        <f t="shared" si="70"/>
        <v>135000000</v>
      </c>
      <c r="AI488" s="129">
        <f t="shared" si="70"/>
        <v>135000000</v>
      </c>
      <c r="AJ488" s="129">
        <f t="shared" si="70"/>
        <v>135000000</v>
      </c>
      <c r="AK488" s="129">
        <f t="shared" si="70"/>
        <v>135000000</v>
      </c>
      <c r="AL488" s="129"/>
      <c r="AM488" s="129">
        <v>0</v>
      </c>
      <c r="AN488" s="129">
        <f t="shared" si="69"/>
        <v>-937500</v>
      </c>
      <c r="AO488" s="129">
        <f t="shared" si="69"/>
        <v>-937500</v>
      </c>
      <c r="AP488" s="129">
        <f t="shared" si="69"/>
        <v>-937500</v>
      </c>
      <c r="AQ488" s="129">
        <f t="shared" si="69"/>
        <v>-937500</v>
      </c>
      <c r="AR488" s="129">
        <f t="shared" si="69"/>
        <v>-937500</v>
      </c>
      <c r="AS488" s="129">
        <f t="shared" si="69"/>
        <v>-937500</v>
      </c>
      <c r="AT488" s="129">
        <f t="shared" si="69"/>
        <v>-937500</v>
      </c>
      <c r="AU488" s="129">
        <f t="shared" si="69"/>
        <v>-937500</v>
      </c>
      <c r="AV488" s="129">
        <f t="shared" si="69"/>
        <v>-937500</v>
      </c>
      <c r="AW488" s="129">
        <f t="shared" si="69"/>
        <v>-937500</v>
      </c>
      <c r="AX488" s="129">
        <f t="shared" si="69"/>
        <v>-937500</v>
      </c>
      <c r="AY488" s="129">
        <f t="shared" si="69"/>
        <v>-937500</v>
      </c>
      <c r="AZ488" s="130">
        <f t="shared" si="65"/>
        <v>-11250000</v>
      </c>
      <c r="BA488" s="129">
        <f>Y488+SUM($AM488:AM488)</f>
        <v>135000000</v>
      </c>
      <c r="BB488" s="131">
        <f>Z488+SUM($AM488:AN488)</f>
        <v>134062500</v>
      </c>
      <c r="BC488" s="131">
        <f>AA488+SUM($AM488:AO488)</f>
        <v>133125000</v>
      </c>
      <c r="BD488" s="131">
        <f>AB488+SUM($AM488:AP488)</f>
        <v>132187500</v>
      </c>
      <c r="BE488" s="131">
        <f>AC488+SUM($AM488:AQ488)</f>
        <v>131250000</v>
      </c>
      <c r="BF488" s="131">
        <f>AD488+SUM($AM488:AR488)</f>
        <v>130312500</v>
      </c>
      <c r="BG488" s="131">
        <f>AE488+SUM($AM488:AS488)</f>
        <v>129375000</v>
      </c>
      <c r="BH488" s="131">
        <f>AF488+SUM($AM488:AT488)</f>
        <v>128437500</v>
      </c>
      <c r="BI488" s="131">
        <f>AG488+SUM($AM488:AU488)</f>
        <v>127500000</v>
      </c>
      <c r="BJ488" s="131">
        <f>AH488+SUM($AM488:AV488)</f>
        <v>126562500</v>
      </c>
      <c r="BK488" s="131">
        <f>AI488+SUM($AM488:AW488)</f>
        <v>125625000</v>
      </c>
      <c r="BL488" s="131">
        <f>AJ488+SUM($AM488:AX488)</f>
        <v>124687500</v>
      </c>
      <c r="BM488" s="131">
        <f>AK488+SUM($AM488:AY488)</f>
        <v>123750000</v>
      </c>
      <c r="BO488" s="129"/>
    </row>
    <row r="489" spans="3:67" s="123" customFormat="1" x14ac:dyDescent="0.3">
      <c r="C489" s="123" t="s">
        <v>30</v>
      </c>
      <c r="D489" s="124" t="s">
        <v>338</v>
      </c>
      <c r="E489" s="124" t="str">
        <f t="shared" si="66"/>
        <v>211</v>
      </c>
      <c r="F489" s="123" t="str">
        <f>_xlfn.XLOOKUP($D489,MD_Account_Asset_Type[Nhóm tài sản],MD_Account_Asset_Type[Tên Nhóm tài sản])</f>
        <v>Máy móc, thiết bị - SX 627</v>
      </c>
      <c r="G489" s="123" t="str">
        <f>_xlfn.XLOOKUP($D489,MD_Account_Asset_Type[Nhóm tài sản],MD_Account_Asset_Type[Tên nhóm TS-Rút gọn])</f>
        <v>Máy móc thiết bị</v>
      </c>
      <c r="H489" s="123" t="str">
        <f>_xlfn.XLOOKUP($D489,MD_Account_Asset_Type[Nhóm tài sản],MD_Account_Asset_Type[Tên nhóm TS-Rút gọn-v2])</f>
        <v>Máy móc thiết bị</v>
      </c>
      <c r="I489" s="125" t="s">
        <v>1633</v>
      </c>
      <c r="J489" s="124" t="s">
        <v>1678</v>
      </c>
      <c r="K489" s="123" t="s">
        <v>830</v>
      </c>
      <c r="L489" s="124" t="s">
        <v>66</v>
      </c>
      <c r="M489" s="124"/>
      <c r="N489" s="126"/>
      <c r="O489" s="126"/>
      <c r="P489" s="123" t="str">
        <f>_xlfn.XLOOKUP($D489,MD_Account_Asset_Type[Nhóm tài sản],MD_Account_Asset_Type[Tài khoản KH])</f>
        <v>6274001903</v>
      </c>
      <c r="Q489" s="123" t="str">
        <f t="shared" si="59"/>
        <v>627</v>
      </c>
      <c r="R489" s="123" t="str">
        <f>_xlfn.XLOOKUP($L489,MD_Cost_Center[Mã Cost Center],MD_Cost_Center[Ngành])</f>
        <v>HD/PP</v>
      </c>
      <c r="S489" s="123" t="str">
        <f>_xlfn.XLOOKUP($L489,MD_Cost_Center[Mã Cost Center],MD_Cost_Center[Ngành-Tách PET-Xơ sợi])</f>
        <v>Chung-PET</v>
      </c>
      <c r="T489" s="127">
        <v>46174</v>
      </c>
      <c r="U489" s="128">
        <f t="shared" si="64"/>
        <v>55305</v>
      </c>
      <c r="V489" s="129">
        <v>300</v>
      </c>
      <c r="W489" s="129">
        <v>100000000</v>
      </c>
      <c r="X489" s="129">
        <f t="shared" si="62"/>
        <v>-333333</v>
      </c>
      <c r="Y489" s="129">
        <f t="shared" si="70"/>
        <v>0</v>
      </c>
      <c r="Z489" s="129">
        <f t="shared" si="70"/>
        <v>0</v>
      </c>
      <c r="AA489" s="129">
        <f t="shared" si="70"/>
        <v>0</v>
      </c>
      <c r="AB489" s="129">
        <f t="shared" si="70"/>
        <v>0</v>
      </c>
      <c r="AC489" s="129">
        <f t="shared" si="70"/>
        <v>0</v>
      </c>
      <c r="AD489" s="129">
        <f t="shared" si="70"/>
        <v>100000000</v>
      </c>
      <c r="AE489" s="129">
        <f t="shared" si="70"/>
        <v>100000000</v>
      </c>
      <c r="AF489" s="129">
        <f t="shared" si="70"/>
        <v>100000000</v>
      </c>
      <c r="AG489" s="129">
        <f t="shared" si="70"/>
        <v>100000000</v>
      </c>
      <c r="AH489" s="129">
        <f t="shared" si="70"/>
        <v>100000000</v>
      </c>
      <c r="AI489" s="129">
        <f t="shared" si="70"/>
        <v>100000000</v>
      </c>
      <c r="AJ489" s="129">
        <f t="shared" si="70"/>
        <v>100000000</v>
      </c>
      <c r="AK489" s="129">
        <f t="shared" si="70"/>
        <v>100000000</v>
      </c>
      <c r="AL489" s="129"/>
      <c r="AM489" s="129">
        <v>0</v>
      </c>
      <c r="AN489" s="129">
        <f t="shared" si="69"/>
        <v>0</v>
      </c>
      <c r="AO489" s="129">
        <f t="shared" si="69"/>
        <v>0</v>
      </c>
      <c r="AP489" s="129">
        <f t="shared" si="69"/>
        <v>0</v>
      </c>
      <c r="AQ489" s="129">
        <f t="shared" si="69"/>
        <v>0</v>
      </c>
      <c r="AR489" s="129">
        <f t="shared" si="69"/>
        <v>0</v>
      </c>
      <c r="AS489" s="129">
        <f t="shared" si="69"/>
        <v>-333333</v>
      </c>
      <c r="AT489" s="129">
        <f t="shared" si="69"/>
        <v>-333333</v>
      </c>
      <c r="AU489" s="129">
        <f t="shared" si="69"/>
        <v>-333333</v>
      </c>
      <c r="AV489" s="129">
        <f t="shared" si="69"/>
        <v>-333333</v>
      </c>
      <c r="AW489" s="129">
        <f t="shared" si="69"/>
        <v>-333333</v>
      </c>
      <c r="AX489" s="129">
        <f t="shared" si="69"/>
        <v>-333333</v>
      </c>
      <c r="AY489" s="129">
        <f t="shared" si="69"/>
        <v>-333333</v>
      </c>
      <c r="AZ489" s="130">
        <f t="shared" si="65"/>
        <v>-2333331</v>
      </c>
      <c r="BA489" s="129">
        <f>Y489+SUM($AM489:AM489)</f>
        <v>0</v>
      </c>
      <c r="BB489" s="131">
        <f>Z489+SUM($AM489:AN489)</f>
        <v>0</v>
      </c>
      <c r="BC489" s="131">
        <f>AA489+SUM($AM489:AO489)</f>
        <v>0</v>
      </c>
      <c r="BD489" s="131">
        <f>AB489+SUM($AM489:AP489)</f>
        <v>0</v>
      </c>
      <c r="BE489" s="131">
        <f>AC489+SUM($AM489:AQ489)</f>
        <v>0</v>
      </c>
      <c r="BF489" s="131">
        <f>AD489+SUM($AM489:AR489)</f>
        <v>100000000</v>
      </c>
      <c r="BG489" s="131">
        <f>AE489+SUM($AM489:AS489)</f>
        <v>99666667</v>
      </c>
      <c r="BH489" s="131">
        <f>AF489+SUM($AM489:AT489)</f>
        <v>99333334</v>
      </c>
      <c r="BI489" s="131">
        <f>AG489+SUM($AM489:AU489)</f>
        <v>99000001</v>
      </c>
      <c r="BJ489" s="131">
        <f>AH489+SUM($AM489:AV489)</f>
        <v>98666668</v>
      </c>
      <c r="BK489" s="131">
        <f>AI489+SUM($AM489:AW489)</f>
        <v>98333335</v>
      </c>
      <c r="BL489" s="131">
        <f>AJ489+SUM($AM489:AX489)</f>
        <v>98000002</v>
      </c>
      <c r="BM489" s="131">
        <f>AK489+SUM($AM489:AY489)</f>
        <v>97666669</v>
      </c>
      <c r="BO489" s="129"/>
    </row>
    <row r="490" spans="3:67" s="123" customFormat="1" x14ac:dyDescent="0.3">
      <c r="C490" s="123" t="s">
        <v>30</v>
      </c>
      <c r="D490" s="124" t="s">
        <v>319</v>
      </c>
      <c r="E490" s="124" t="str">
        <f t="shared" si="66"/>
        <v>211</v>
      </c>
      <c r="F490" s="123" t="str">
        <f>_xlfn.XLOOKUP($D490,MD_Account_Asset_Type[Nhóm tài sản],MD_Account_Asset_Type[Tên Nhóm tài sản])</f>
        <v>Nhà cửa, vật kiến trúc - SX 627</v>
      </c>
      <c r="G490" s="123" t="str">
        <f>_xlfn.XLOOKUP($D490,MD_Account_Asset_Type[Nhóm tài sản],MD_Account_Asset_Type[Tên nhóm TS-Rút gọn])</f>
        <v>Nhà cửa, vật kiến trúc</v>
      </c>
      <c r="H490" s="123" t="str">
        <f>_xlfn.XLOOKUP($D490,MD_Account_Asset_Type[Nhóm tài sản],MD_Account_Asset_Type[Tên nhóm TS-Rút gọn-v2])</f>
        <v>Nhà cửa, vật kiến trúc</v>
      </c>
      <c r="I490" s="125" t="s">
        <v>1634</v>
      </c>
      <c r="J490" s="124" t="s">
        <v>1679</v>
      </c>
      <c r="K490" s="123" t="s">
        <v>830</v>
      </c>
      <c r="L490" s="124" t="s">
        <v>92</v>
      </c>
      <c r="M490" s="124"/>
      <c r="N490" s="126"/>
      <c r="O490" s="126"/>
      <c r="P490" s="123" t="str">
        <f>_xlfn.XLOOKUP($D490,MD_Account_Asset_Type[Nhóm tài sản],MD_Account_Asset_Type[Tài khoản KH])</f>
        <v>6274001901</v>
      </c>
      <c r="Q490" s="123" t="str">
        <f t="shared" si="59"/>
        <v>627</v>
      </c>
      <c r="R490" s="123" t="str">
        <f>_xlfn.XLOOKUP($L490,MD_Cost_Center[Mã Cost Center],MD_Cost_Center[Ngành])</f>
        <v>Chung</v>
      </c>
      <c r="S490" s="123" t="str">
        <f>_xlfn.XLOOKUP($L490,MD_Cost_Center[Mã Cost Center],MD_Cost_Center[Ngành-Tách PET-Xơ sợi])</f>
        <v>Chung</v>
      </c>
      <c r="T490" s="127">
        <v>46023</v>
      </c>
      <c r="U490" s="128">
        <f t="shared" si="64"/>
        <v>55154</v>
      </c>
      <c r="V490" s="129">
        <v>300</v>
      </c>
      <c r="W490" s="129">
        <v>100000000</v>
      </c>
      <c r="X490" s="129">
        <f t="shared" si="62"/>
        <v>-333333</v>
      </c>
      <c r="Y490" s="129">
        <f t="shared" si="70"/>
        <v>100000000</v>
      </c>
      <c r="Z490" s="129">
        <f t="shared" si="70"/>
        <v>100000000</v>
      </c>
      <c r="AA490" s="129">
        <f t="shared" si="70"/>
        <v>100000000</v>
      </c>
      <c r="AB490" s="129">
        <f t="shared" si="70"/>
        <v>100000000</v>
      </c>
      <c r="AC490" s="129">
        <f t="shared" si="70"/>
        <v>100000000</v>
      </c>
      <c r="AD490" s="129">
        <f t="shared" si="70"/>
        <v>100000000</v>
      </c>
      <c r="AE490" s="129">
        <f t="shared" si="70"/>
        <v>100000000</v>
      </c>
      <c r="AF490" s="129">
        <f t="shared" si="70"/>
        <v>100000000</v>
      </c>
      <c r="AG490" s="129">
        <f t="shared" si="70"/>
        <v>100000000</v>
      </c>
      <c r="AH490" s="129">
        <f t="shared" si="70"/>
        <v>100000000</v>
      </c>
      <c r="AI490" s="129">
        <f t="shared" si="70"/>
        <v>100000000</v>
      </c>
      <c r="AJ490" s="129">
        <f t="shared" si="70"/>
        <v>100000000</v>
      </c>
      <c r="AK490" s="129">
        <f t="shared" si="70"/>
        <v>100000000</v>
      </c>
      <c r="AL490" s="129"/>
      <c r="AM490" s="129">
        <v>0</v>
      </c>
      <c r="AN490" s="129">
        <f t="shared" si="69"/>
        <v>-333333</v>
      </c>
      <c r="AO490" s="129">
        <f t="shared" si="69"/>
        <v>-333333</v>
      </c>
      <c r="AP490" s="129">
        <f t="shared" si="69"/>
        <v>-333333</v>
      </c>
      <c r="AQ490" s="129">
        <f t="shared" ref="AN490:AY503" si="71">IF($T490&lt;AQ$6,$X490,0)</f>
        <v>-333333</v>
      </c>
      <c r="AR490" s="129">
        <f t="shared" si="71"/>
        <v>-333333</v>
      </c>
      <c r="AS490" s="129">
        <f t="shared" si="71"/>
        <v>-333333</v>
      </c>
      <c r="AT490" s="129">
        <f t="shared" si="71"/>
        <v>-333333</v>
      </c>
      <c r="AU490" s="129">
        <f t="shared" si="71"/>
        <v>-333333</v>
      </c>
      <c r="AV490" s="129">
        <f t="shared" si="71"/>
        <v>-333333</v>
      </c>
      <c r="AW490" s="129">
        <f t="shared" si="71"/>
        <v>-333333</v>
      </c>
      <c r="AX490" s="129">
        <f t="shared" si="71"/>
        <v>-333333</v>
      </c>
      <c r="AY490" s="129">
        <f t="shared" si="71"/>
        <v>-333333</v>
      </c>
      <c r="AZ490" s="130">
        <f t="shared" si="65"/>
        <v>-3999996</v>
      </c>
      <c r="BA490" s="129">
        <f>Y490+SUM($AM490:AM490)</f>
        <v>100000000</v>
      </c>
      <c r="BB490" s="131">
        <f>Z490+SUM($AM490:AN490)</f>
        <v>99666667</v>
      </c>
      <c r="BC490" s="131">
        <f>AA490+SUM($AM490:AO490)</f>
        <v>99333334</v>
      </c>
      <c r="BD490" s="131">
        <f>AB490+SUM($AM490:AP490)</f>
        <v>99000001</v>
      </c>
      <c r="BE490" s="131">
        <f>AC490+SUM($AM490:AQ490)</f>
        <v>98666668</v>
      </c>
      <c r="BF490" s="131">
        <f>AD490+SUM($AM490:AR490)</f>
        <v>98333335</v>
      </c>
      <c r="BG490" s="131">
        <f>AE490+SUM($AM490:AS490)</f>
        <v>98000002</v>
      </c>
      <c r="BH490" s="131">
        <f>AF490+SUM($AM490:AT490)</f>
        <v>97666669</v>
      </c>
      <c r="BI490" s="131">
        <f>AG490+SUM($AM490:AU490)</f>
        <v>97333336</v>
      </c>
      <c r="BJ490" s="131">
        <f>AH490+SUM($AM490:AV490)</f>
        <v>97000003</v>
      </c>
      <c r="BK490" s="131">
        <f>AI490+SUM($AM490:AW490)</f>
        <v>96666670</v>
      </c>
      <c r="BL490" s="131">
        <f>AJ490+SUM($AM490:AX490)</f>
        <v>96333337</v>
      </c>
      <c r="BM490" s="131">
        <f>AK490+SUM($AM490:AY490)</f>
        <v>96000004</v>
      </c>
      <c r="BO490" s="129"/>
    </row>
    <row r="491" spans="3:67" s="123" customFormat="1" x14ac:dyDescent="0.3">
      <c r="C491" s="123" t="s">
        <v>30</v>
      </c>
      <c r="D491" s="124" t="s">
        <v>337</v>
      </c>
      <c r="E491" s="124" t="str">
        <f t="shared" si="66"/>
        <v>211</v>
      </c>
      <c r="F491" s="123" t="str">
        <f>_xlfn.XLOOKUP($D491,MD_Account_Asset_Type[Nhóm tài sản],MD_Account_Asset_Type[Tên Nhóm tài sản])</f>
        <v>Máy móc, thiết bị phụ - SX 627</v>
      </c>
      <c r="G491" s="123" t="str">
        <f>_xlfn.XLOOKUP($D491,MD_Account_Asset_Type[Nhóm tài sản],MD_Account_Asset_Type[Tên nhóm TS-Rút gọn])</f>
        <v>Máy móc thiết bị</v>
      </c>
      <c r="H491" s="123" t="str">
        <f>_xlfn.XLOOKUP($D491,MD_Account_Asset_Type[Nhóm tài sản],MD_Account_Asset_Type[Tên nhóm TS-Rút gọn-v2])</f>
        <v>Máy móc thiết bị</v>
      </c>
      <c r="I491" s="125" t="s">
        <v>1635</v>
      </c>
      <c r="J491" s="124" t="s">
        <v>1680</v>
      </c>
      <c r="K491" s="123" t="s">
        <v>830</v>
      </c>
      <c r="L491" s="124" t="s">
        <v>47</v>
      </c>
      <c r="M491" s="124"/>
      <c r="N491" s="126"/>
      <c r="O491" s="126"/>
      <c r="P491" s="123" t="str">
        <f>_xlfn.XLOOKUP($D491,MD_Account_Asset_Type[Nhóm tài sản],MD_Account_Asset_Type[Tài khoản KH])</f>
        <v>6274001906</v>
      </c>
      <c r="Q491" s="123" t="str">
        <f t="shared" si="59"/>
        <v>627</v>
      </c>
      <c r="R491" s="123" t="str">
        <f>_xlfn.XLOOKUP($L491,MD_Cost_Center[Mã Cost Center],MD_Cost_Center[Ngành])</f>
        <v>Chung</v>
      </c>
      <c r="S491" s="123" t="str">
        <f>_xlfn.XLOOKUP($L491,MD_Cost_Center[Mã Cost Center],MD_Cost_Center[Ngành-Tách PET-Xơ sợi])</f>
        <v>Chung</v>
      </c>
      <c r="T491" s="127">
        <v>46054</v>
      </c>
      <c r="U491" s="128">
        <f t="shared" si="64"/>
        <v>50437</v>
      </c>
      <c r="V491" s="129">
        <v>144</v>
      </c>
      <c r="W491" s="129">
        <v>80000000</v>
      </c>
      <c r="X491" s="129">
        <f t="shared" si="62"/>
        <v>-555556</v>
      </c>
      <c r="Y491" s="129">
        <f t="shared" si="70"/>
        <v>0</v>
      </c>
      <c r="Z491" s="129">
        <f t="shared" si="70"/>
        <v>80000000</v>
      </c>
      <c r="AA491" s="129">
        <f t="shared" si="70"/>
        <v>80000000</v>
      </c>
      <c r="AB491" s="129">
        <f t="shared" si="70"/>
        <v>80000000</v>
      </c>
      <c r="AC491" s="129">
        <f t="shared" si="70"/>
        <v>80000000</v>
      </c>
      <c r="AD491" s="129">
        <f t="shared" si="70"/>
        <v>80000000</v>
      </c>
      <c r="AE491" s="129">
        <f t="shared" si="70"/>
        <v>80000000</v>
      </c>
      <c r="AF491" s="129">
        <f t="shared" si="70"/>
        <v>80000000</v>
      </c>
      <c r="AG491" s="129">
        <f t="shared" si="70"/>
        <v>80000000</v>
      </c>
      <c r="AH491" s="129">
        <f t="shared" si="70"/>
        <v>80000000</v>
      </c>
      <c r="AI491" s="129">
        <f t="shared" si="70"/>
        <v>80000000</v>
      </c>
      <c r="AJ491" s="129">
        <f t="shared" si="70"/>
        <v>80000000</v>
      </c>
      <c r="AK491" s="129">
        <f t="shared" si="70"/>
        <v>80000000</v>
      </c>
      <c r="AL491" s="129"/>
      <c r="AM491" s="129">
        <v>0</v>
      </c>
      <c r="AN491" s="129">
        <f t="shared" si="71"/>
        <v>0</v>
      </c>
      <c r="AO491" s="129">
        <f t="shared" si="71"/>
        <v>-555556</v>
      </c>
      <c r="AP491" s="129">
        <f t="shared" si="71"/>
        <v>-555556</v>
      </c>
      <c r="AQ491" s="129">
        <f t="shared" si="71"/>
        <v>-555556</v>
      </c>
      <c r="AR491" s="129">
        <f t="shared" si="71"/>
        <v>-555556</v>
      </c>
      <c r="AS491" s="129">
        <f t="shared" si="71"/>
        <v>-555556</v>
      </c>
      <c r="AT491" s="129">
        <f t="shared" si="71"/>
        <v>-555556</v>
      </c>
      <c r="AU491" s="129">
        <f t="shared" si="71"/>
        <v>-555556</v>
      </c>
      <c r="AV491" s="129">
        <f t="shared" si="71"/>
        <v>-555556</v>
      </c>
      <c r="AW491" s="129">
        <f t="shared" si="71"/>
        <v>-555556</v>
      </c>
      <c r="AX491" s="129">
        <f t="shared" si="71"/>
        <v>-555556</v>
      </c>
      <c r="AY491" s="129">
        <f t="shared" si="71"/>
        <v>-555556</v>
      </c>
      <c r="AZ491" s="130">
        <f t="shared" si="65"/>
        <v>-6111116</v>
      </c>
      <c r="BA491" s="129">
        <f>Y491+SUM($AM491:AM491)</f>
        <v>0</v>
      </c>
      <c r="BB491" s="131">
        <f>Z491+SUM($AM491:AN491)</f>
        <v>80000000</v>
      </c>
      <c r="BC491" s="131">
        <f>AA491+SUM($AM491:AO491)</f>
        <v>79444444</v>
      </c>
      <c r="BD491" s="131">
        <f>AB491+SUM($AM491:AP491)</f>
        <v>78888888</v>
      </c>
      <c r="BE491" s="131">
        <f>AC491+SUM($AM491:AQ491)</f>
        <v>78333332</v>
      </c>
      <c r="BF491" s="131">
        <f>AD491+SUM($AM491:AR491)</f>
        <v>77777776</v>
      </c>
      <c r="BG491" s="131">
        <f>AE491+SUM($AM491:AS491)</f>
        <v>77222220</v>
      </c>
      <c r="BH491" s="131">
        <f>AF491+SUM($AM491:AT491)</f>
        <v>76666664</v>
      </c>
      <c r="BI491" s="131">
        <f>AG491+SUM($AM491:AU491)</f>
        <v>76111108</v>
      </c>
      <c r="BJ491" s="131">
        <f>AH491+SUM($AM491:AV491)</f>
        <v>75555552</v>
      </c>
      <c r="BK491" s="131">
        <f>AI491+SUM($AM491:AW491)</f>
        <v>74999996</v>
      </c>
      <c r="BL491" s="131">
        <f>AJ491+SUM($AM491:AX491)</f>
        <v>74444440</v>
      </c>
      <c r="BM491" s="131">
        <f>AK491+SUM($AM491:AY491)</f>
        <v>73888884</v>
      </c>
      <c r="BO491" s="129"/>
    </row>
    <row r="492" spans="3:67" s="123" customFormat="1" x14ac:dyDescent="0.3">
      <c r="C492" s="123" t="s">
        <v>30</v>
      </c>
      <c r="D492" s="124" t="s">
        <v>337</v>
      </c>
      <c r="E492" s="124" t="str">
        <f t="shared" si="66"/>
        <v>211</v>
      </c>
      <c r="F492" s="123" t="str">
        <f>_xlfn.XLOOKUP($D492,MD_Account_Asset_Type[Nhóm tài sản],MD_Account_Asset_Type[Tên Nhóm tài sản])</f>
        <v>Máy móc, thiết bị phụ - SX 627</v>
      </c>
      <c r="G492" s="123" t="str">
        <f>_xlfn.XLOOKUP($D492,MD_Account_Asset_Type[Nhóm tài sản],MD_Account_Asset_Type[Tên nhóm TS-Rút gọn])</f>
        <v>Máy móc thiết bị</v>
      </c>
      <c r="H492" s="123" t="str">
        <f>_xlfn.XLOOKUP($D492,MD_Account_Asset_Type[Nhóm tài sản],MD_Account_Asset_Type[Tên nhóm TS-Rút gọn-v2])</f>
        <v>Máy móc thiết bị</v>
      </c>
      <c r="I492" s="125" t="s">
        <v>1636</v>
      </c>
      <c r="J492" s="124" t="s">
        <v>1681</v>
      </c>
      <c r="K492" s="123" t="s">
        <v>830</v>
      </c>
      <c r="L492" s="124" t="s">
        <v>48</v>
      </c>
      <c r="M492" s="124"/>
      <c r="N492" s="126"/>
      <c r="O492" s="126"/>
      <c r="P492" s="123" t="str">
        <f>_xlfn.XLOOKUP($D492,MD_Account_Asset_Type[Nhóm tài sản],MD_Account_Asset_Type[Tài khoản KH])</f>
        <v>6274001906</v>
      </c>
      <c r="Q492" s="123" t="str">
        <f t="shared" si="59"/>
        <v>627</v>
      </c>
      <c r="R492" s="123" t="str">
        <f>_xlfn.XLOOKUP($L492,MD_Cost_Center[Mã Cost Center],MD_Cost_Center[Ngành])</f>
        <v>PET</v>
      </c>
      <c r="S492" s="123" t="str">
        <f>_xlfn.XLOOKUP($L492,MD_Cost_Center[Mã Cost Center],MD_Cost_Center[Ngành-Tách PET-Xơ sợi])</f>
        <v>Chung-PET</v>
      </c>
      <c r="T492" s="127">
        <v>46082</v>
      </c>
      <c r="U492" s="128">
        <f t="shared" si="64"/>
        <v>50465</v>
      </c>
      <c r="V492" s="129">
        <v>144</v>
      </c>
      <c r="W492" s="129">
        <v>80000000</v>
      </c>
      <c r="X492" s="129">
        <f t="shared" si="62"/>
        <v>-555556</v>
      </c>
      <c r="Y492" s="129">
        <f t="shared" si="70"/>
        <v>0</v>
      </c>
      <c r="Z492" s="129">
        <f t="shared" si="70"/>
        <v>0</v>
      </c>
      <c r="AA492" s="129">
        <f t="shared" si="70"/>
        <v>80000000</v>
      </c>
      <c r="AB492" s="129">
        <f t="shared" si="70"/>
        <v>80000000</v>
      </c>
      <c r="AC492" s="129">
        <f t="shared" si="70"/>
        <v>80000000</v>
      </c>
      <c r="AD492" s="129">
        <f t="shared" si="70"/>
        <v>80000000</v>
      </c>
      <c r="AE492" s="129">
        <f t="shared" si="70"/>
        <v>80000000</v>
      </c>
      <c r="AF492" s="129">
        <f t="shared" si="70"/>
        <v>80000000</v>
      </c>
      <c r="AG492" s="129">
        <f t="shared" si="70"/>
        <v>80000000</v>
      </c>
      <c r="AH492" s="129">
        <f t="shared" si="70"/>
        <v>80000000</v>
      </c>
      <c r="AI492" s="129">
        <f t="shared" si="70"/>
        <v>80000000</v>
      </c>
      <c r="AJ492" s="129">
        <f t="shared" si="70"/>
        <v>80000000</v>
      </c>
      <c r="AK492" s="129">
        <f t="shared" si="70"/>
        <v>80000000</v>
      </c>
      <c r="AL492" s="129"/>
      <c r="AM492" s="129">
        <v>0</v>
      </c>
      <c r="AN492" s="129">
        <f t="shared" si="71"/>
        <v>0</v>
      </c>
      <c r="AO492" s="129">
        <f t="shared" si="71"/>
        <v>0</v>
      </c>
      <c r="AP492" s="129">
        <f t="shared" si="71"/>
        <v>-555556</v>
      </c>
      <c r="AQ492" s="129">
        <f t="shared" si="71"/>
        <v>-555556</v>
      </c>
      <c r="AR492" s="129">
        <f t="shared" si="71"/>
        <v>-555556</v>
      </c>
      <c r="AS492" s="129">
        <f t="shared" si="71"/>
        <v>-555556</v>
      </c>
      <c r="AT492" s="129">
        <f t="shared" si="71"/>
        <v>-555556</v>
      </c>
      <c r="AU492" s="129">
        <f t="shared" si="71"/>
        <v>-555556</v>
      </c>
      <c r="AV492" s="129">
        <f t="shared" si="71"/>
        <v>-555556</v>
      </c>
      <c r="AW492" s="129">
        <f t="shared" si="71"/>
        <v>-555556</v>
      </c>
      <c r="AX492" s="129">
        <f t="shared" si="71"/>
        <v>-555556</v>
      </c>
      <c r="AY492" s="129">
        <f t="shared" si="71"/>
        <v>-555556</v>
      </c>
      <c r="AZ492" s="130">
        <f t="shared" si="65"/>
        <v>-5555560</v>
      </c>
      <c r="BA492" s="129">
        <f>Y492+SUM($AM492:AM492)</f>
        <v>0</v>
      </c>
      <c r="BB492" s="131">
        <f>Z492+SUM($AM492:AN492)</f>
        <v>0</v>
      </c>
      <c r="BC492" s="131">
        <f>AA492+SUM($AM492:AO492)</f>
        <v>80000000</v>
      </c>
      <c r="BD492" s="131">
        <f>AB492+SUM($AM492:AP492)</f>
        <v>79444444</v>
      </c>
      <c r="BE492" s="131">
        <f>AC492+SUM($AM492:AQ492)</f>
        <v>78888888</v>
      </c>
      <c r="BF492" s="131">
        <f>AD492+SUM($AM492:AR492)</f>
        <v>78333332</v>
      </c>
      <c r="BG492" s="131">
        <f>AE492+SUM($AM492:AS492)</f>
        <v>77777776</v>
      </c>
      <c r="BH492" s="131">
        <f>AF492+SUM($AM492:AT492)</f>
        <v>77222220</v>
      </c>
      <c r="BI492" s="131">
        <f>AG492+SUM($AM492:AU492)</f>
        <v>76666664</v>
      </c>
      <c r="BJ492" s="131">
        <f>AH492+SUM($AM492:AV492)</f>
        <v>76111108</v>
      </c>
      <c r="BK492" s="131">
        <f>AI492+SUM($AM492:AW492)</f>
        <v>75555552</v>
      </c>
      <c r="BL492" s="131">
        <f>AJ492+SUM($AM492:AX492)</f>
        <v>74999996</v>
      </c>
      <c r="BM492" s="131">
        <f>AK492+SUM($AM492:AY492)</f>
        <v>74444440</v>
      </c>
      <c r="BO492" s="129"/>
    </row>
    <row r="493" spans="3:67" s="123" customFormat="1" x14ac:dyDescent="0.3">
      <c r="C493" s="123" t="s">
        <v>30</v>
      </c>
      <c r="D493" s="124" t="s">
        <v>342</v>
      </c>
      <c r="E493" s="124" t="str">
        <f t="shared" si="66"/>
        <v>211</v>
      </c>
      <c r="F493" s="123" t="str">
        <f>_xlfn.XLOOKUP($D493,MD_Account_Asset_Type[Nhóm tài sản],MD_Account_Asset_Type[Tên Nhóm tài sản])</f>
        <v>Phương tiện vận tải , truyền dẫn - SX 627</v>
      </c>
      <c r="G493" s="123" t="str">
        <f>_xlfn.XLOOKUP($D493,MD_Account_Asset_Type[Nhóm tài sản],MD_Account_Asset_Type[Tên nhóm TS-Rút gọn])</f>
        <v>Phương tiện vận tải</v>
      </c>
      <c r="H493" s="123" t="str">
        <f>_xlfn.XLOOKUP($D493,MD_Account_Asset_Type[Nhóm tài sản],MD_Account_Asset_Type[Tên nhóm TS-Rút gọn-v2])</f>
        <v>Phương tiện vận tải</v>
      </c>
      <c r="I493" s="125" t="s">
        <v>1637</v>
      </c>
      <c r="J493" s="124" t="s">
        <v>1682</v>
      </c>
      <c r="K493" s="123" t="s">
        <v>830</v>
      </c>
      <c r="L493" s="124" t="s">
        <v>92</v>
      </c>
      <c r="M493" s="124"/>
      <c r="N493" s="126"/>
      <c r="O493" s="126"/>
      <c r="P493" s="123" t="str">
        <f>_xlfn.XLOOKUP($D493,MD_Account_Asset_Type[Nhóm tài sản],MD_Account_Asset_Type[Tài khoản KH])</f>
        <v>6274001905</v>
      </c>
      <c r="Q493" s="123" t="str">
        <f t="shared" si="59"/>
        <v>627</v>
      </c>
      <c r="R493" s="123" t="str">
        <f>_xlfn.XLOOKUP($L493,MD_Cost_Center[Mã Cost Center],MD_Cost_Center[Ngành])</f>
        <v>Chung</v>
      </c>
      <c r="S493" s="123" t="str">
        <f>_xlfn.XLOOKUP($L493,MD_Cost_Center[Mã Cost Center],MD_Cost_Center[Ngành-Tách PET-Xơ sợi])</f>
        <v>Chung</v>
      </c>
      <c r="T493" s="127">
        <v>46082</v>
      </c>
      <c r="U493" s="128">
        <f t="shared" si="64"/>
        <v>49735</v>
      </c>
      <c r="V493" s="129">
        <v>120</v>
      </c>
      <c r="W493" s="129">
        <v>40000000</v>
      </c>
      <c r="X493" s="129">
        <f t="shared" si="62"/>
        <v>-333333</v>
      </c>
      <c r="Y493" s="129">
        <f t="shared" si="70"/>
        <v>0</v>
      </c>
      <c r="Z493" s="129">
        <f t="shared" si="70"/>
        <v>0</v>
      </c>
      <c r="AA493" s="129">
        <f t="shared" si="70"/>
        <v>40000000</v>
      </c>
      <c r="AB493" s="129">
        <f t="shared" si="70"/>
        <v>40000000</v>
      </c>
      <c r="AC493" s="129">
        <f t="shared" si="70"/>
        <v>40000000</v>
      </c>
      <c r="AD493" s="129">
        <f t="shared" si="70"/>
        <v>40000000</v>
      </c>
      <c r="AE493" s="129">
        <f t="shared" si="70"/>
        <v>40000000</v>
      </c>
      <c r="AF493" s="129">
        <f t="shared" si="70"/>
        <v>40000000</v>
      </c>
      <c r="AG493" s="129">
        <f t="shared" si="70"/>
        <v>40000000</v>
      </c>
      <c r="AH493" s="129">
        <f t="shared" si="70"/>
        <v>40000000</v>
      </c>
      <c r="AI493" s="129">
        <f t="shared" si="70"/>
        <v>40000000</v>
      </c>
      <c r="AJ493" s="129">
        <f t="shared" si="70"/>
        <v>40000000</v>
      </c>
      <c r="AK493" s="129">
        <f t="shared" si="70"/>
        <v>40000000</v>
      </c>
      <c r="AL493" s="129"/>
      <c r="AM493" s="129">
        <v>0</v>
      </c>
      <c r="AN493" s="129">
        <f t="shared" si="71"/>
        <v>0</v>
      </c>
      <c r="AO493" s="129">
        <f t="shared" si="71"/>
        <v>0</v>
      </c>
      <c r="AP493" s="129">
        <f t="shared" si="71"/>
        <v>-333333</v>
      </c>
      <c r="AQ493" s="129">
        <f t="shared" si="71"/>
        <v>-333333</v>
      </c>
      <c r="AR493" s="129">
        <f t="shared" si="71"/>
        <v>-333333</v>
      </c>
      <c r="AS493" s="129">
        <f t="shared" si="71"/>
        <v>-333333</v>
      </c>
      <c r="AT493" s="129">
        <f t="shared" si="71"/>
        <v>-333333</v>
      </c>
      <c r="AU493" s="129">
        <f t="shared" si="71"/>
        <v>-333333</v>
      </c>
      <c r="AV493" s="129">
        <f t="shared" si="71"/>
        <v>-333333</v>
      </c>
      <c r="AW493" s="129">
        <f t="shared" si="71"/>
        <v>-333333</v>
      </c>
      <c r="AX493" s="129">
        <f t="shared" si="71"/>
        <v>-333333</v>
      </c>
      <c r="AY493" s="129">
        <f t="shared" si="71"/>
        <v>-333333</v>
      </c>
      <c r="AZ493" s="130">
        <f t="shared" si="65"/>
        <v>-3333330</v>
      </c>
      <c r="BA493" s="129">
        <f>Y493+SUM($AM493:AM493)</f>
        <v>0</v>
      </c>
      <c r="BB493" s="131">
        <f>Z493+SUM($AM493:AN493)</f>
        <v>0</v>
      </c>
      <c r="BC493" s="131">
        <f>AA493+SUM($AM493:AO493)</f>
        <v>40000000</v>
      </c>
      <c r="BD493" s="131">
        <f>AB493+SUM($AM493:AP493)</f>
        <v>39666667</v>
      </c>
      <c r="BE493" s="131">
        <f>AC493+SUM($AM493:AQ493)</f>
        <v>39333334</v>
      </c>
      <c r="BF493" s="131">
        <f>AD493+SUM($AM493:AR493)</f>
        <v>39000001</v>
      </c>
      <c r="BG493" s="131">
        <f>AE493+SUM($AM493:AS493)</f>
        <v>38666668</v>
      </c>
      <c r="BH493" s="131">
        <f>AF493+SUM($AM493:AT493)</f>
        <v>38333335</v>
      </c>
      <c r="BI493" s="131">
        <f>AG493+SUM($AM493:AU493)</f>
        <v>38000002</v>
      </c>
      <c r="BJ493" s="131">
        <f>AH493+SUM($AM493:AV493)</f>
        <v>37666669</v>
      </c>
      <c r="BK493" s="131">
        <f>AI493+SUM($AM493:AW493)</f>
        <v>37333336</v>
      </c>
      <c r="BL493" s="131">
        <f>AJ493+SUM($AM493:AX493)</f>
        <v>37000003</v>
      </c>
      <c r="BM493" s="131">
        <f>AK493+SUM($AM493:AY493)</f>
        <v>36666670</v>
      </c>
      <c r="BO493" s="129"/>
    </row>
    <row r="494" spans="3:67" s="123" customFormat="1" x14ac:dyDescent="0.3">
      <c r="C494" s="123" t="s">
        <v>30</v>
      </c>
      <c r="D494" s="124" t="s">
        <v>342</v>
      </c>
      <c r="E494" s="124" t="str">
        <f t="shared" si="66"/>
        <v>211</v>
      </c>
      <c r="F494" s="123" t="str">
        <f>_xlfn.XLOOKUP($D494,MD_Account_Asset_Type[Nhóm tài sản],MD_Account_Asset_Type[Tên Nhóm tài sản])</f>
        <v>Phương tiện vận tải , truyền dẫn - SX 627</v>
      </c>
      <c r="G494" s="123" t="str">
        <f>_xlfn.XLOOKUP($D494,MD_Account_Asset_Type[Nhóm tài sản],MD_Account_Asset_Type[Tên nhóm TS-Rút gọn])</f>
        <v>Phương tiện vận tải</v>
      </c>
      <c r="H494" s="123" t="str">
        <f>_xlfn.XLOOKUP($D494,MD_Account_Asset_Type[Nhóm tài sản],MD_Account_Asset_Type[Tên nhóm TS-Rút gọn-v2])</f>
        <v>Phương tiện vận tải</v>
      </c>
      <c r="I494" s="125" t="s">
        <v>1638</v>
      </c>
      <c r="J494" s="124" t="s">
        <v>1683</v>
      </c>
      <c r="K494" s="123" t="s">
        <v>830</v>
      </c>
      <c r="L494" s="124" t="s">
        <v>92</v>
      </c>
      <c r="M494" s="124"/>
      <c r="N494" s="126"/>
      <c r="O494" s="126"/>
      <c r="P494" s="123" t="str">
        <f>_xlfn.XLOOKUP($D494,MD_Account_Asset_Type[Nhóm tài sản],MD_Account_Asset_Type[Tài khoản KH])</f>
        <v>6274001905</v>
      </c>
      <c r="Q494" s="123" t="str">
        <f t="shared" si="59"/>
        <v>627</v>
      </c>
      <c r="R494" s="123" t="str">
        <f>_xlfn.XLOOKUP($L494,MD_Cost_Center[Mã Cost Center],MD_Cost_Center[Ngành])</f>
        <v>Chung</v>
      </c>
      <c r="S494" s="123" t="str">
        <f>_xlfn.XLOOKUP($L494,MD_Cost_Center[Mã Cost Center],MD_Cost_Center[Ngành-Tách PET-Xơ sợi])</f>
        <v>Chung</v>
      </c>
      <c r="T494" s="127">
        <v>46113</v>
      </c>
      <c r="U494" s="128">
        <f t="shared" si="64"/>
        <v>49766</v>
      </c>
      <c r="V494" s="129">
        <v>120</v>
      </c>
      <c r="W494" s="129">
        <v>40000000</v>
      </c>
      <c r="X494" s="129">
        <f t="shared" si="62"/>
        <v>-333333</v>
      </c>
      <c r="Y494" s="129">
        <f t="shared" si="70"/>
        <v>0</v>
      </c>
      <c r="Z494" s="129">
        <f t="shared" si="70"/>
        <v>0</v>
      </c>
      <c r="AA494" s="129">
        <f t="shared" si="70"/>
        <v>0</v>
      </c>
      <c r="AB494" s="129">
        <f t="shared" si="70"/>
        <v>40000000</v>
      </c>
      <c r="AC494" s="129">
        <f t="shared" si="70"/>
        <v>40000000</v>
      </c>
      <c r="AD494" s="129">
        <f t="shared" si="70"/>
        <v>40000000</v>
      </c>
      <c r="AE494" s="129">
        <f t="shared" si="70"/>
        <v>40000000</v>
      </c>
      <c r="AF494" s="129">
        <f t="shared" si="70"/>
        <v>40000000</v>
      </c>
      <c r="AG494" s="129">
        <f t="shared" si="70"/>
        <v>40000000</v>
      </c>
      <c r="AH494" s="129">
        <f t="shared" si="70"/>
        <v>40000000</v>
      </c>
      <c r="AI494" s="129">
        <f t="shared" si="70"/>
        <v>40000000</v>
      </c>
      <c r="AJ494" s="129">
        <f t="shared" si="70"/>
        <v>40000000</v>
      </c>
      <c r="AK494" s="129">
        <f t="shared" si="70"/>
        <v>40000000</v>
      </c>
      <c r="AL494" s="129"/>
      <c r="AM494" s="129">
        <v>0</v>
      </c>
      <c r="AN494" s="129">
        <f t="shared" si="71"/>
        <v>0</v>
      </c>
      <c r="AO494" s="129">
        <f t="shared" si="71"/>
        <v>0</v>
      </c>
      <c r="AP494" s="129">
        <f t="shared" si="71"/>
        <v>0</v>
      </c>
      <c r="AQ494" s="129">
        <f t="shared" si="71"/>
        <v>-333333</v>
      </c>
      <c r="AR494" s="129">
        <f t="shared" si="71"/>
        <v>-333333</v>
      </c>
      <c r="AS494" s="129">
        <f t="shared" si="71"/>
        <v>-333333</v>
      </c>
      <c r="AT494" s="129">
        <f t="shared" si="71"/>
        <v>-333333</v>
      </c>
      <c r="AU494" s="129">
        <f t="shared" si="71"/>
        <v>-333333</v>
      </c>
      <c r="AV494" s="129">
        <f t="shared" si="71"/>
        <v>-333333</v>
      </c>
      <c r="AW494" s="129">
        <f t="shared" si="71"/>
        <v>-333333</v>
      </c>
      <c r="AX494" s="129">
        <f t="shared" si="71"/>
        <v>-333333</v>
      </c>
      <c r="AY494" s="129">
        <f t="shared" si="71"/>
        <v>-333333</v>
      </c>
      <c r="AZ494" s="130">
        <f t="shared" si="65"/>
        <v>-2999997</v>
      </c>
      <c r="BA494" s="129">
        <f>Y494+SUM($AM494:AM494)</f>
        <v>0</v>
      </c>
      <c r="BB494" s="131">
        <f>Z494+SUM($AM494:AN494)</f>
        <v>0</v>
      </c>
      <c r="BC494" s="131">
        <f>AA494+SUM($AM494:AO494)</f>
        <v>0</v>
      </c>
      <c r="BD494" s="131">
        <f>AB494+SUM($AM494:AP494)</f>
        <v>40000000</v>
      </c>
      <c r="BE494" s="131">
        <f>AC494+SUM($AM494:AQ494)</f>
        <v>39666667</v>
      </c>
      <c r="BF494" s="131">
        <f>AD494+SUM($AM494:AR494)</f>
        <v>39333334</v>
      </c>
      <c r="BG494" s="131">
        <f>AE494+SUM($AM494:AS494)</f>
        <v>39000001</v>
      </c>
      <c r="BH494" s="131">
        <f>AF494+SUM($AM494:AT494)</f>
        <v>38666668</v>
      </c>
      <c r="BI494" s="131">
        <f>AG494+SUM($AM494:AU494)</f>
        <v>38333335</v>
      </c>
      <c r="BJ494" s="131">
        <f>AH494+SUM($AM494:AV494)</f>
        <v>38000002</v>
      </c>
      <c r="BK494" s="131">
        <f>AI494+SUM($AM494:AW494)</f>
        <v>37666669</v>
      </c>
      <c r="BL494" s="131">
        <f>AJ494+SUM($AM494:AX494)</f>
        <v>37333336</v>
      </c>
      <c r="BM494" s="131">
        <f>AK494+SUM($AM494:AY494)</f>
        <v>37000003</v>
      </c>
      <c r="BO494" s="129"/>
    </row>
    <row r="495" spans="3:67" s="123" customFormat="1" x14ac:dyDescent="0.3">
      <c r="C495" s="123" t="s">
        <v>30</v>
      </c>
      <c r="D495" s="124" t="s">
        <v>337</v>
      </c>
      <c r="E495" s="124" t="str">
        <f t="shared" si="66"/>
        <v>211</v>
      </c>
      <c r="F495" s="123" t="str">
        <f>_xlfn.XLOOKUP($D495,MD_Account_Asset_Type[Nhóm tài sản],MD_Account_Asset_Type[Tên Nhóm tài sản])</f>
        <v>Máy móc, thiết bị phụ - SX 627</v>
      </c>
      <c r="G495" s="123" t="str">
        <f>_xlfn.XLOOKUP($D495,MD_Account_Asset_Type[Nhóm tài sản],MD_Account_Asset_Type[Tên nhóm TS-Rút gọn])</f>
        <v>Máy móc thiết bị</v>
      </c>
      <c r="H495" s="123" t="str">
        <f>_xlfn.XLOOKUP($D495,MD_Account_Asset_Type[Nhóm tài sản],MD_Account_Asset_Type[Tên nhóm TS-Rút gọn-v2])</f>
        <v>Máy móc thiết bị</v>
      </c>
      <c r="I495" s="125" t="s">
        <v>1639</v>
      </c>
      <c r="J495" s="124" t="s">
        <v>1684</v>
      </c>
      <c r="K495" s="123" t="s">
        <v>830</v>
      </c>
      <c r="L495" s="124" t="s">
        <v>48</v>
      </c>
      <c r="M495" s="124"/>
      <c r="N495" s="126"/>
      <c r="O495" s="126"/>
      <c r="P495" s="123" t="str">
        <f>_xlfn.XLOOKUP($D495,MD_Account_Asset_Type[Nhóm tài sản],MD_Account_Asset_Type[Tài khoản KH])</f>
        <v>6274001906</v>
      </c>
      <c r="Q495" s="123" t="str">
        <f t="shared" si="59"/>
        <v>627</v>
      </c>
      <c r="R495" s="123" t="str">
        <f>_xlfn.XLOOKUP($L495,MD_Cost_Center[Mã Cost Center],MD_Cost_Center[Ngành])</f>
        <v>PET</v>
      </c>
      <c r="S495" s="123" t="str">
        <f>_xlfn.XLOOKUP($L495,MD_Cost_Center[Mã Cost Center],MD_Cost_Center[Ngành-Tách PET-Xơ sợi])</f>
        <v>Chung-PET</v>
      </c>
      <c r="T495" s="127">
        <v>46113</v>
      </c>
      <c r="U495" s="128">
        <f t="shared" si="64"/>
        <v>50496</v>
      </c>
      <c r="V495" s="129">
        <v>144</v>
      </c>
      <c r="W495" s="129">
        <v>80000000</v>
      </c>
      <c r="X495" s="129">
        <f t="shared" si="62"/>
        <v>-555556</v>
      </c>
      <c r="Y495" s="129">
        <f t="shared" si="70"/>
        <v>0</v>
      </c>
      <c r="Z495" s="129">
        <f t="shared" si="70"/>
        <v>0</v>
      </c>
      <c r="AA495" s="129">
        <f t="shared" si="70"/>
        <v>0</v>
      </c>
      <c r="AB495" s="129">
        <f t="shared" si="70"/>
        <v>80000000</v>
      </c>
      <c r="AC495" s="129">
        <f t="shared" si="70"/>
        <v>80000000</v>
      </c>
      <c r="AD495" s="129">
        <f t="shared" si="70"/>
        <v>80000000</v>
      </c>
      <c r="AE495" s="129">
        <f t="shared" si="70"/>
        <v>80000000</v>
      </c>
      <c r="AF495" s="129">
        <f t="shared" si="70"/>
        <v>80000000</v>
      </c>
      <c r="AG495" s="129">
        <f t="shared" si="70"/>
        <v>80000000</v>
      </c>
      <c r="AH495" s="129">
        <f t="shared" si="70"/>
        <v>80000000</v>
      </c>
      <c r="AI495" s="129">
        <f t="shared" si="70"/>
        <v>80000000</v>
      </c>
      <c r="AJ495" s="129">
        <f t="shared" si="70"/>
        <v>80000000</v>
      </c>
      <c r="AK495" s="129">
        <f t="shared" si="70"/>
        <v>80000000</v>
      </c>
      <c r="AL495" s="129"/>
      <c r="AM495" s="129">
        <v>0</v>
      </c>
      <c r="AN495" s="129">
        <f t="shared" si="71"/>
        <v>0</v>
      </c>
      <c r="AO495" s="129">
        <f t="shared" si="71"/>
        <v>0</v>
      </c>
      <c r="AP495" s="129">
        <f t="shared" si="71"/>
        <v>0</v>
      </c>
      <c r="AQ495" s="129">
        <f t="shared" si="71"/>
        <v>-555556</v>
      </c>
      <c r="AR495" s="129">
        <f t="shared" si="71"/>
        <v>-555556</v>
      </c>
      <c r="AS495" s="129">
        <f t="shared" si="71"/>
        <v>-555556</v>
      </c>
      <c r="AT495" s="129">
        <f t="shared" si="71"/>
        <v>-555556</v>
      </c>
      <c r="AU495" s="129">
        <f t="shared" si="71"/>
        <v>-555556</v>
      </c>
      <c r="AV495" s="129">
        <f t="shared" si="71"/>
        <v>-555556</v>
      </c>
      <c r="AW495" s="129">
        <f t="shared" si="71"/>
        <v>-555556</v>
      </c>
      <c r="AX495" s="129">
        <f t="shared" si="71"/>
        <v>-555556</v>
      </c>
      <c r="AY495" s="129">
        <f t="shared" si="71"/>
        <v>-555556</v>
      </c>
      <c r="AZ495" s="130">
        <f t="shared" si="65"/>
        <v>-5000004</v>
      </c>
      <c r="BA495" s="129">
        <f>Y495+SUM($AM495:AM495)</f>
        <v>0</v>
      </c>
      <c r="BB495" s="131">
        <f>Z495+SUM($AM495:AN495)</f>
        <v>0</v>
      </c>
      <c r="BC495" s="131">
        <f>AA495+SUM($AM495:AO495)</f>
        <v>0</v>
      </c>
      <c r="BD495" s="131">
        <f>AB495+SUM($AM495:AP495)</f>
        <v>80000000</v>
      </c>
      <c r="BE495" s="131">
        <f>AC495+SUM($AM495:AQ495)</f>
        <v>79444444</v>
      </c>
      <c r="BF495" s="131">
        <f>AD495+SUM($AM495:AR495)</f>
        <v>78888888</v>
      </c>
      <c r="BG495" s="131">
        <f>AE495+SUM($AM495:AS495)</f>
        <v>78333332</v>
      </c>
      <c r="BH495" s="131">
        <f>AF495+SUM($AM495:AT495)</f>
        <v>77777776</v>
      </c>
      <c r="BI495" s="131">
        <f>AG495+SUM($AM495:AU495)</f>
        <v>77222220</v>
      </c>
      <c r="BJ495" s="131">
        <f>AH495+SUM($AM495:AV495)</f>
        <v>76666664</v>
      </c>
      <c r="BK495" s="131">
        <f>AI495+SUM($AM495:AW495)</f>
        <v>76111108</v>
      </c>
      <c r="BL495" s="131">
        <f>AJ495+SUM($AM495:AX495)</f>
        <v>75555552</v>
      </c>
      <c r="BM495" s="131">
        <f>AK495+SUM($AM495:AY495)</f>
        <v>74999996</v>
      </c>
      <c r="BO495" s="129"/>
    </row>
    <row r="496" spans="3:67" s="123" customFormat="1" x14ac:dyDescent="0.3">
      <c r="C496" s="123" t="s">
        <v>30</v>
      </c>
      <c r="D496" s="124" t="s">
        <v>319</v>
      </c>
      <c r="E496" s="124" t="str">
        <f t="shared" si="66"/>
        <v>211</v>
      </c>
      <c r="F496" s="123" t="str">
        <f>_xlfn.XLOOKUP($D496,MD_Account_Asset_Type[Nhóm tài sản],MD_Account_Asset_Type[Tên Nhóm tài sản])</f>
        <v>Nhà cửa, vật kiến trúc - SX 627</v>
      </c>
      <c r="G496" s="123" t="str">
        <f>_xlfn.XLOOKUP($D496,MD_Account_Asset_Type[Nhóm tài sản],MD_Account_Asset_Type[Tên nhóm TS-Rút gọn])</f>
        <v>Nhà cửa, vật kiến trúc</v>
      </c>
      <c r="H496" s="123" t="str">
        <f>_xlfn.XLOOKUP($D496,MD_Account_Asset_Type[Nhóm tài sản],MD_Account_Asset_Type[Tên nhóm TS-Rút gọn-v2])</f>
        <v>Nhà cửa, vật kiến trúc</v>
      </c>
      <c r="I496" s="125" t="s">
        <v>1640</v>
      </c>
      <c r="J496" s="124" t="s">
        <v>1572</v>
      </c>
      <c r="K496" s="123" t="s">
        <v>830</v>
      </c>
      <c r="L496" s="124" t="s">
        <v>92</v>
      </c>
      <c r="M496" s="124"/>
      <c r="N496" s="126"/>
      <c r="O496" s="126"/>
      <c r="P496" s="123" t="str">
        <f>_xlfn.XLOOKUP($D496,MD_Account_Asset_Type[Nhóm tài sản],MD_Account_Asset_Type[Tài khoản KH])</f>
        <v>6274001901</v>
      </c>
      <c r="Q496" s="123" t="str">
        <f t="shared" si="59"/>
        <v>627</v>
      </c>
      <c r="R496" s="123" t="str">
        <f>_xlfn.XLOOKUP($L496,MD_Cost_Center[Mã Cost Center],MD_Cost_Center[Ngành])</f>
        <v>Chung</v>
      </c>
      <c r="S496" s="123" t="str">
        <f>_xlfn.XLOOKUP($L496,MD_Cost_Center[Mã Cost Center],MD_Cost_Center[Ngành-Tách PET-Xơ sợi])</f>
        <v>Chung</v>
      </c>
      <c r="T496" s="127">
        <v>46174</v>
      </c>
      <c r="U496" s="128">
        <f t="shared" si="64"/>
        <v>55305</v>
      </c>
      <c r="V496" s="129">
        <v>300</v>
      </c>
      <c r="W496" s="129">
        <v>50000000</v>
      </c>
      <c r="X496" s="129">
        <f t="shared" si="62"/>
        <v>-166667</v>
      </c>
      <c r="Y496" s="129">
        <f t="shared" si="70"/>
        <v>0</v>
      </c>
      <c r="Z496" s="129">
        <f t="shared" si="70"/>
        <v>0</v>
      </c>
      <c r="AA496" s="129">
        <f t="shared" si="70"/>
        <v>0</v>
      </c>
      <c r="AB496" s="129">
        <f t="shared" si="70"/>
        <v>0</v>
      </c>
      <c r="AC496" s="129">
        <f t="shared" si="70"/>
        <v>0</v>
      </c>
      <c r="AD496" s="129">
        <f t="shared" si="70"/>
        <v>50000000</v>
      </c>
      <c r="AE496" s="129">
        <f t="shared" si="70"/>
        <v>50000000</v>
      </c>
      <c r="AF496" s="129">
        <f t="shared" si="70"/>
        <v>50000000</v>
      </c>
      <c r="AG496" s="129">
        <f t="shared" si="70"/>
        <v>50000000</v>
      </c>
      <c r="AH496" s="129">
        <f t="shared" si="70"/>
        <v>50000000</v>
      </c>
      <c r="AI496" s="129">
        <f t="shared" si="70"/>
        <v>50000000</v>
      </c>
      <c r="AJ496" s="129">
        <f t="shared" si="70"/>
        <v>50000000</v>
      </c>
      <c r="AK496" s="129">
        <f t="shared" si="70"/>
        <v>50000000</v>
      </c>
      <c r="AL496" s="129"/>
      <c r="AM496" s="129">
        <v>0</v>
      </c>
      <c r="AN496" s="129">
        <f t="shared" si="71"/>
        <v>0</v>
      </c>
      <c r="AO496" s="129">
        <f t="shared" si="71"/>
        <v>0</v>
      </c>
      <c r="AP496" s="129">
        <f t="shared" si="71"/>
        <v>0</v>
      </c>
      <c r="AQ496" s="129">
        <f t="shared" si="71"/>
        <v>0</v>
      </c>
      <c r="AR496" s="129">
        <f t="shared" si="71"/>
        <v>0</v>
      </c>
      <c r="AS496" s="129">
        <f t="shared" si="71"/>
        <v>-166667</v>
      </c>
      <c r="AT496" s="129">
        <f t="shared" si="71"/>
        <v>-166667</v>
      </c>
      <c r="AU496" s="129">
        <f t="shared" si="71"/>
        <v>-166667</v>
      </c>
      <c r="AV496" s="129">
        <f t="shared" si="71"/>
        <v>-166667</v>
      </c>
      <c r="AW496" s="129">
        <f t="shared" si="71"/>
        <v>-166667</v>
      </c>
      <c r="AX496" s="129">
        <f t="shared" si="71"/>
        <v>-166667</v>
      </c>
      <c r="AY496" s="129">
        <f t="shared" si="71"/>
        <v>-166667</v>
      </c>
      <c r="AZ496" s="130">
        <f t="shared" si="65"/>
        <v>-1166669</v>
      </c>
      <c r="BA496" s="129">
        <f>Y496+SUM($AM496:AM496)</f>
        <v>0</v>
      </c>
      <c r="BB496" s="131">
        <f>Z496+SUM($AM496:AN496)</f>
        <v>0</v>
      </c>
      <c r="BC496" s="131">
        <f>AA496+SUM($AM496:AO496)</f>
        <v>0</v>
      </c>
      <c r="BD496" s="131">
        <f>AB496+SUM($AM496:AP496)</f>
        <v>0</v>
      </c>
      <c r="BE496" s="131">
        <f>AC496+SUM($AM496:AQ496)</f>
        <v>0</v>
      </c>
      <c r="BF496" s="131">
        <f>AD496+SUM($AM496:AR496)</f>
        <v>50000000</v>
      </c>
      <c r="BG496" s="131">
        <f>AE496+SUM($AM496:AS496)</f>
        <v>49833333</v>
      </c>
      <c r="BH496" s="131">
        <f>AF496+SUM($AM496:AT496)</f>
        <v>49666666</v>
      </c>
      <c r="BI496" s="131">
        <f>AG496+SUM($AM496:AU496)</f>
        <v>49499999</v>
      </c>
      <c r="BJ496" s="131">
        <f>AH496+SUM($AM496:AV496)</f>
        <v>49333332</v>
      </c>
      <c r="BK496" s="131">
        <f>AI496+SUM($AM496:AW496)</f>
        <v>49166665</v>
      </c>
      <c r="BL496" s="131">
        <f>AJ496+SUM($AM496:AX496)</f>
        <v>48999998</v>
      </c>
      <c r="BM496" s="131">
        <f>AK496+SUM($AM496:AY496)</f>
        <v>48833331</v>
      </c>
      <c r="BO496" s="129"/>
    </row>
    <row r="497" spans="3:67" s="123" customFormat="1" x14ac:dyDescent="0.3">
      <c r="C497" s="123" t="s">
        <v>30</v>
      </c>
      <c r="D497" s="124" t="s">
        <v>337</v>
      </c>
      <c r="E497" s="124" t="str">
        <f t="shared" si="66"/>
        <v>211</v>
      </c>
      <c r="F497" s="123" t="str">
        <f>_xlfn.XLOOKUP($D497,MD_Account_Asset_Type[Nhóm tài sản],MD_Account_Asset_Type[Tên Nhóm tài sản])</f>
        <v>Máy móc, thiết bị phụ - SX 627</v>
      </c>
      <c r="G497" s="123" t="str">
        <f>_xlfn.XLOOKUP($D497,MD_Account_Asset_Type[Nhóm tài sản],MD_Account_Asset_Type[Tên nhóm TS-Rút gọn])</f>
        <v>Máy móc thiết bị</v>
      </c>
      <c r="H497" s="123" t="str">
        <f>_xlfn.XLOOKUP($D497,MD_Account_Asset_Type[Nhóm tài sản],MD_Account_Asset_Type[Tên nhóm TS-Rút gọn-v2])</f>
        <v>Máy móc thiết bị</v>
      </c>
      <c r="I497" s="125" t="s">
        <v>1641</v>
      </c>
      <c r="J497" s="124" t="s">
        <v>1684</v>
      </c>
      <c r="K497" s="123" t="s">
        <v>830</v>
      </c>
      <c r="L497" s="124" t="s">
        <v>48</v>
      </c>
      <c r="M497" s="124"/>
      <c r="N497" s="126"/>
      <c r="O497" s="126"/>
      <c r="P497" s="123" t="str">
        <f>_xlfn.XLOOKUP($D497,MD_Account_Asset_Type[Nhóm tài sản],MD_Account_Asset_Type[Tài khoản KH])</f>
        <v>6274001906</v>
      </c>
      <c r="Q497" s="123" t="str">
        <f t="shared" si="59"/>
        <v>627</v>
      </c>
      <c r="R497" s="123" t="str">
        <f>_xlfn.XLOOKUP($L497,MD_Cost_Center[Mã Cost Center],MD_Cost_Center[Ngành])</f>
        <v>PET</v>
      </c>
      <c r="S497" s="123" t="str">
        <f>_xlfn.XLOOKUP($L497,MD_Cost_Center[Mã Cost Center],MD_Cost_Center[Ngành-Tách PET-Xơ sợi])</f>
        <v>Chung-PET</v>
      </c>
      <c r="T497" s="127">
        <v>46174</v>
      </c>
      <c r="U497" s="128">
        <f t="shared" si="64"/>
        <v>50557</v>
      </c>
      <c r="V497" s="129">
        <v>144</v>
      </c>
      <c r="W497" s="129">
        <v>40000000</v>
      </c>
      <c r="X497" s="129">
        <f t="shared" si="62"/>
        <v>-277778</v>
      </c>
      <c r="Y497" s="129">
        <f t="shared" si="70"/>
        <v>0</v>
      </c>
      <c r="Z497" s="129">
        <f t="shared" si="70"/>
        <v>0</v>
      </c>
      <c r="AA497" s="129">
        <f t="shared" si="70"/>
        <v>0</v>
      </c>
      <c r="AB497" s="129">
        <f t="shared" si="70"/>
        <v>0</v>
      </c>
      <c r="AC497" s="129">
        <f t="shared" si="70"/>
        <v>0</v>
      </c>
      <c r="AD497" s="129">
        <f t="shared" si="70"/>
        <v>40000000</v>
      </c>
      <c r="AE497" s="129">
        <f t="shared" si="70"/>
        <v>40000000</v>
      </c>
      <c r="AF497" s="129">
        <f t="shared" si="70"/>
        <v>40000000</v>
      </c>
      <c r="AG497" s="129">
        <f t="shared" si="70"/>
        <v>40000000</v>
      </c>
      <c r="AH497" s="129">
        <f t="shared" si="70"/>
        <v>40000000</v>
      </c>
      <c r="AI497" s="129">
        <f t="shared" si="70"/>
        <v>40000000</v>
      </c>
      <c r="AJ497" s="129">
        <f t="shared" si="70"/>
        <v>40000000</v>
      </c>
      <c r="AK497" s="129">
        <f t="shared" si="70"/>
        <v>40000000</v>
      </c>
      <c r="AL497" s="129"/>
      <c r="AM497" s="129">
        <v>0</v>
      </c>
      <c r="AN497" s="129">
        <f t="shared" si="71"/>
        <v>0</v>
      </c>
      <c r="AO497" s="129">
        <f t="shared" si="71"/>
        <v>0</v>
      </c>
      <c r="AP497" s="129">
        <f t="shared" si="71"/>
        <v>0</v>
      </c>
      <c r="AQ497" s="129">
        <f t="shared" si="71"/>
        <v>0</v>
      </c>
      <c r="AR497" s="129">
        <f t="shared" si="71"/>
        <v>0</v>
      </c>
      <c r="AS497" s="129">
        <f t="shared" si="71"/>
        <v>-277778</v>
      </c>
      <c r="AT497" s="129">
        <f t="shared" si="71"/>
        <v>-277778</v>
      </c>
      <c r="AU497" s="129">
        <f t="shared" si="71"/>
        <v>-277778</v>
      </c>
      <c r="AV497" s="129">
        <f t="shared" si="71"/>
        <v>-277778</v>
      </c>
      <c r="AW497" s="129">
        <f t="shared" si="71"/>
        <v>-277778</v>
      </c>
      <c r="AX497" s="129">
        <f t="shared" si="71"/>
        <v>-277778</v>
      </c>
      <c r="AY497" s="129">
        <f t="shared" si="71"/>
        <v>-277778</v>
      </c>
      <c r="AZ497" s="130">
        <f t="shared" si="65"/>
        <v>-1944446</v>
      </c>
      <c r="BA497" s="129">
        <f>Y497+SUM($AM497:AM497)</f>
        <v>0</v>
      </c>
      <c r="BB497" s="131">
        <f>Z497+SUM($AM497:AN497)</f>
        <v>0</v>
      </c>
      <c r="BC497" s="131">
        <f>AA497+SUM($AM497:AO497)</f>
        <v>0</v>
      </c>
      <c r="BD497" s="131">
        <f>AB497+SUM($AM497:AP497)</f>
        <v>0</v>
      </c>
      <c r="BE497" s="131">
        <f>AC497+SUM($AM497:AQ497)</f>
        <v>0</v>
      </c>
      <c r="BF497" s="131">
        <f>AD497+SUM($AM497:AR497)</f>
        <v>40000000</v>
      </c>
      <c r="BG497" s="131">
        <f>AE497+SUM($AM497:AS497)</f>
        <v>39722222</v>
      </c>
      <c r="BH497" s="131">
        <f>AF497+SUM($AM497:AT497)</f>
        <v>39444444</v>
      </c>
      <c r="BI497" s="131">
        <f>AG497+SUM($AM497:AU497)</f>
        <v>39166666</v>
      </c>
      <c r="BJ497" s="131">
        <f>AH497+SUM($AM497:AV497)</f>
        <v>38888888</v>
      </c>
      <c r="BK497" s="131">
        <f>AI497+SUM($AM497:AW497)</f>
        <v>38611110</v>
      </c>
      <c r="BL497" s="131">
        <f>AJ497+SUM($AM497:AX497)</f>
        <v>38333332</v>
      </c>
      <c r="BM497" s="131">
        <f>AK497+SUM($AM497:AY497)</f>
        <v>38055554</v>
      </c>
      <c r="BO497" s="129"/>
    </row>
    <row r="498" spans="3:67" s="200" customFormat="1" x14ac:dyDescent="0.3">
      <c r="C498" s="200" t="s">
        <v>30</v>
      </c>
      <c r="D498" s="201" t="s">
        <v>338</v>
      </c>
      <c r="E498" s="201" t="str">
        <f t="shared" si="66"/>
        <v>211</v>
      </c>
      <c r="F498" s="200" t="str">
        <f>_xlfn.XLOOKUP($D498,MD_Account_Asset_Type[Nhóm tài sản],MD_Account_Asset_Type[Tên Nhóm tài sản])</f>
        <v>Máy móc, thiết bị - SX 627</v>
      </c>
      <c r="G498" s="200" t="str">
        <f>_xlfn.XLOOKUP($D498,MD_Account_Asset_Type[Nhóm tài sản],MD_Account_Asset_Type[Tên nhóm TS-Rút gọn])</f>
        <v>Máy móc thiết bị</v>
      </c>
      <c r="H498" s="200" t="str">
        <f>_xlfn.XLOOKUP($D498,MD_Account_Asset_Type[Nhóm tài sản],MD_Account_Asset_Type[Tên nhóm TS-Rút gọn-v2])</f>
        <v>Máy móc thiết bị</v>
      </c>
      <c r="I498" s="202" t="s">
        <v>1642</v>
      </c>
      <c r="J498" s="201" t="s">
        <v>1685</v>
      </c>
      <c r="K498" s="200" t="s">
        <v>830</v>
      </c>
      <c r="L498" s="201" t="s">
        <v>51</v>
      </c>
      <c r="M498" s="201"/>
      <c r="N498" s="203"/>
      <c r="O498" s="203"/>
      <c r="P498" s="200" t="str">
        <f>_xlfn.XLOOKUP($D498,MD_Account_Asset_Type[Nhóm tài sản],MD_Account_Asset_Type[Tài khoản KH])</f>
        <v>6274001903</v>
      </c>
      <c r="Q498" s="200" t="str">
        <f t="shared" si="59"/>
        <v>627</v>
      </c>
      <c r="R498" s="200" t="str">
        <f>_xlfn.XLOOKUP($L498,MD_Cost_Center[Mã Cost Center],MD_Cost_Center[Ngành])</f>
        <v>PET</v>
      </c>
      <c r="S498" s="200" t="str">
        <f>_xlfn.XLOOKUP($L498,MD_Cost_Center[Mã Cost Center],MD_Cost_Center[Ngành-Tách PET-Xơ sợi])</f>
        <v>Chung-PET</v>
      </c>
      <c r="T498" s="204">
        <v>46082</v>
      </c>
      <c r="U498" s="205">
        <f t="shared" si="64"/>
        <v>50465</v>
      </c>
      <c r="V498" s="206">
        <v>144</v>
      </c>
      <c r="W498" s="206">
        <v>2600000000</v>
      </c>
      <c r="X498" s="206">
        <f t="shared" si="62"/>
        <v>-18055556</v>
      </c>
      <c r="Y498" s="206">
        <f t="shared" si="70"/>
        <v>0</v>
      </c>
      <c r="Z498" s="206">
        <f t="shared" si="70"/>
        <v>0</v>
      </c>
      <c r="AA498" s="206">
        <f t="shared" si="70"/>
        <v>2600000000</v>
      </c>
      <c r="AB498" s="206">
        <f t="shared" si="70"/>
        <v>2600000000</v>
      </c>
      <c r="AC498" s="206">
        <f t="shared" si="70"/>
        <v>2600000000</v>
      </c>
      <c r="AD498" s="206">
        <f t="shared" si="70"/>
        <v>2600000000</v>
      </c>
      <c r="AE498" s="206">
        <f t="shared" si="70"/>
        <v>2600000000</v>
      </c>
      <c r="AF498" s="206">
        <f t="shared" si="70"/>
        <v>2600000000</v>
      </c>
      <c r="AG498" s="206">
        <f t="shared" si="70"/>
        <v>2600000000</v>
      </c>
      <c r="AH498" s="206">
        <f t="shared" si="70"/>
        <v>2600000000</v>
      </c>
      <c r="AI498" s="206">
        <f t="shared" si="70"/>
        <v>2600000000</v>
      </c>
      <c r="AJ498" s="206">
        <f t="shared" si="70"/>
        <v>2600000000</v>
      </c>
      <c r="AK498" s="206">
        <f t="shared" si="70"/>
        <v>2600000000</v>
      </c>
      <c r="AL498" s="206"/>
      <c r="AM498" s="206">
        <v>0</v>
      </c>
      <c r="AN498" s="206">
        <f t="shared" si="71"/>
        <v>0</v>
      </c>
      <c r="AO498" s="206">
        <f t="shared" si="71"/>
        <v>0</v>
      </c>
      <c r="AP498" s="206">
        <f t="shared" si="71"/>
        <v>-18055556</v>
      </c>
      <c r="AQ498" s="206">
        <f t="shared" si="71"/>
        <v>-18055556</v>
      </c>
      <c r="AR498" s="206">
        <f t="shared" si="71"/>
        <v>-18055556</v>
      </c>
      <c r="AS498" s="206">
        <f t="shared" si="71"/>
        <v>-18055556</v>
      </c>
      <c r="AT498" s="206">
        <f t="shared" si="71"/>
        <v>-18055556</v>
      </c>
      <c r="AU498" s="206">
        <f t="shared" si="71"/>
        <v>-18055556</v>
      </c>
      <c r="AV498" s="206">
        <f t="shared" si="71"/>
        <v>-18055556</v>
      </c>
      <c r="AW498" s="206">
        <f t="shared" si="71"/>
        <v>-18055556</v>
      </c>
      <c r="AX498" s="206">
        <f t="shared" si="71"/>
        <v>-18055556</v>
      </c>
      <c r="AY498" s="206">
        <f t="shared" si="71"/>
        <v>-18055556</v>
      </c>
      <c r="AZ498" s="207">
        <f t="shared" si="65"/>
        <v>-180555560</v>
      </c>
      <c r="BA498" s="206">
        <f>Y498+SUM($AM498:AM498)</f>
        <v>0</v>
      </c>
      <c r="BB498" s="208">
        <f>Z498+SUM($AM498:AN498)</f>
        <v>0</v>
      </c>
      <c r="BC498" s="208">
        <f>AA498+SUM($AM498:AO498)</f>
        <v>2600000000</v>
      </c>
      <c r="BD498" s="208">
        <f>AB498+SUM($AM498:AP498)</f>
        <v>2581944444</v>
      </c>
      <c r="BE498" s="208">
        <f>AC498+SUM($AM498:AQ498)</f>
        <v>2563888888</v>
      </c>
      <c r="BF498" s="208">
        <f>AD498+SUM($AM498:AR498)</f>
        <v>2545833332</v>
      </c>
      <c r="BG498" s="208">
        <f>AE498+SUM($AM498:AS498)</f>
        <v>2527777776</v>
      </c>
      <c r="BH498" s="208">
        <f>AF498+SUM($AM498:AT498)</f>
        <v>2509722220</v>
      </c>
      <c r="BI498" s="208">
        <f>AG498+SUM($AM498:AU498)</f>
        <v>2491666664</v>
      </c>
      <c r="BJ498" s="208">
        <f>AH498+SUM($AM498:AV498)</f>
        <v>2473611108</v>
      </c>
      <c r="BK498" s="208">
        <f>AI498+SUM($AM498:AW498)</f>
        <v>2455555552</v>
      </c>
      <c r="BL498" s="208">
        <f>AJ498+SUM($AM498:AX498)</f>
        <v>2437499996</v>
      </c>
      <c r="BM498" s="208">
        <f>AK498+SUM($AM498:AY498)</f>
        <v>2419444440</v>
      </c>
      <c r="BO498" s="206"/>
    </row>
    <row r="499" spans="3:67" s="200" customFormat="1" x14ac:dyDescent="0.3">
      <c r="C499" s="200" t="s">
        <v>30</v>
      </c>
      <c r="D499" s="201" t="s">
        <v>337</v>
      </c>
      <c r="E499" s="201" t="str">
        <f t="shared" si="66"/>
        <v>211</v>
      </c>
      <c r="F499" s="200" t="str">
        <f>_xlfn.XLOOKUP($D499,MD_Account_Asset_Type[Nhóm tài sản],MD_Account_Asset_Type[Tên Nhóm tài sản])</f>
        <v>Máy móc, thiết bị phụ - SX 627</v>
      </c>
      <c r="G499" s="200" t="str">
        <f>_xlfn.XLOOKUP($D499,MD_Account_Asset_Type[Nhóm tài sản],MD_Account_Asset_Type[Tên nhóm TS-Rút gọn])</f>
        <v>Máy móc thiết bị</v>
      </c>
      <c r="H499" s="200" t="str">
        <f>_xlfn.XLOOKUP($D499,MD_Account_Asset_Type[Nhóm tài sản],MD_Account_Asset_Type[Tên nhóm TS-Rút gọn-v2])</f>
        <v>Máy móc thiết bị</v>
      </c>
      <c r="I499" s="202" t="s">
        <v>1643</v>
      </c>
      <c r="J499" s="201" t="s">
        <v>1573</v>
      </c>
      <c r="K499" s="200" t="s">
        <v>830</v>
      </c>
      <c r="L499" s="201" t="s">
        <v>46</v>
      </c>
      <c r="M499" s="201"/>
      <c r="N499" s="203"/>
      <c r="O499" s="203"/>
      <c r="P499" s="200" t="str">
        <f>_xlfn.XLOOKUP($D499,MD_Account_Asset_Type[Nhóm tài sản],MD_Account_Asset_Type[Tài khoản KH])</f>
        <v>6274001906</v>
      </c>
      <c r="Q499" s="200" t="str">
        <f t="shared" si="59"/>
        <v>627</v>
      </c>
      <c r="R499" s="200" t="str">
        <f>_xlfn.XLOOKUP($L499,MD_Cost_Center[Mã Cost Center],MD_Cost_Center[Ngành])</f>
        <v>Chung</v>
      </c>
      <c r="S499" s="200" t="str">
        <f>_xlfn.XLOOKUP($L499,MD_Cost_Center[Mã Cost Center],MD_Cost_Center[Ngành-Tách PET-Xơ sợi])</f>
        <v>Chung</v>
      </c>
      <c r="T499" s="204">
        <v>46082</v>
      </c>
      <c r="U499" s="205">
        <f t="shared" si="64"/>
        <v>50465</v>
      </c>
      <c r="V499" s="206">
        <v>144</v>
      </c>
      <c r="W499" s="206">
        <v>912000000</v>
      </c>
      <c r="X499" s="206">
        <f t="shared" ref="X499:X500" si="72">ROUND(-W499/V499,0)</f>
        <v>-6333333</v>
      </c>
      <c r="Y499" s="206">
        <f t="shared" si="70"/>
        <v>0</v>
      </c>
      <c r="Z499" s="206">
        <f t="shared" si="70"/>
        <v>0</v>
      </c>
      <c r="AA499" s="206">
        <f t="shared" si="70"/>
        <v>912000000</v>
      </c>
      <c r="AB499" s="206">
        <f t="shared" si="70"/>
        <v>912000000</v>
      </c>
      <c r="AC499" s="206">
        <f t="shared" si="70"/>
        <v>912000000</v>
      </c>
      <c r="AD499" s="206">
        <f t="shared" si="70"/>
        <v>912000000</v>
      </c>
      <c r="AE499" s="206">
        <f t="shared" si="70"/>
        <v>912000000</v>
      </c>
      <c r="AF499" s="206">
        <f t="shared" si="70"/>
        <v>912000000</v>
      </c>
      <c r="AG499" s="206">
        <f t="shared" si="70"/>
        <v>912000000</v>
      </c>
      <c r="AH499" s="206">
        <f t="shared" si="70"/>
        <v>912000000</v>
      </c>
      <c r="AI499" s="206">
        <f t="shared" si="70"/>
        <v>912000000</v>
      </c>
      <c r="AJ499" s="206">
        <f t="shared" si="70"/>
        <v>912000000</v>
      </c>
      <c r="AK499" s="206">
        <f t="shared" si="70"/>
        <v>912000000</v>
      </c>
      <c r="AL499" s="206"/>
      <c r="AM499" s="206">
        <v>0</v>
      </c>
      <c r="AN499" s="206">
        <f t="shared" si="71"/>
        <v>0</v>
      </c>
      <c r="AO499" s="206">
        <f t="shared" si="71"/>
        <v>0</v>
      </c>
      <c r="AP499" s="206">
        <f t="shared" si="71"/>
        <v>-6333333</v>
      </c>
      <c r="AQ499" s="206">
        <f t="shared" si="71"/>
        <v>-6333333</v>
      </c>
      <c r="AR499" s="206">
        <f t="shared" si="71"/>
        <v>-6333333</v>
      </c>
      <c r="AS499" s="206">
        <f t="shared" si="71"/>
        <v>-6333333</v>
      </c>
      <c r="AT499" s="206">
        <f t="shared" si="71"/>
        <v>-6333333</v>
      </c>
      <c r="AU499" s="206">
        <f t="shared" si="71"/>
        <v>-6333333</v>
      </c>
      <c r="AV499" s="206">
        <f t="shared" si="71"/>
        <v>-6333333</v>
      </c>
      <c r="AW499" s="206">
        <f t="shared" si="71"/>
        <v>-6333333</v>
      </c>
      <c r="AX499" s="206">
        <f t="shared" si="71"/>
        <v>-6333333</v>
      </c>
      <c r="AY499" s="206">
        <f t="shared" si="71"/>
        <v>-6333333</v>
      </c>
      <c r="AZ499" s="207">
        <f t="shared" ref="AZ499:AZ500" si="73">SUM(AN499:AY499)</f>
        <v>-63333330</v>
      </c>
      <c r="BA499" s="206">
        <f>Y499+SUM($AM499:AM499)</f>
        <v>0</v>
      </c>
      <c r="BB499" s="208">
        <f>Z499+SUM($AM499:AN499)</f>
        <v>0</v>
      </c>
      <c r="BC499" s="208">
        <f>AA499+SUM($AM499:AO499)</f>
        <v>912000000</v>
      </c>
      <c r="BD499" s="208">
        <f>AB499+SUM($AM499:AP499)</f>
        <v>905666667</v>
      </c>
      <c r="BE499" s="208">
        <f>AC499+SUM($AM499:AQ499)</f>
        <v>899333334</v>
      </c>
      <c r="BF499" s="208">
        <f>AD499+SUM($AM499:AR499)</f>
        <v>893000001</v>
      </c>
      <c r="BG499" s="208">
        <f>AE499+SUM($AM499:AS499)</f>
        <v>886666668</v>
      </c>
      <c r="BH499" s="208">
        <f>AF499+SUM($AM499:AT499)</f>
        <v>880333335</v>
      </c>
      <c r="BI499" s="208">
        <f>AG499+SUM($AM499:AU499)</f>
        <v>874000002</v>
      </c>
      <c r="BJ499" s="208">
        <f>AH499+SUM($AM499:AV499)</f>
        <v>867666669</v>
      </c>
      <c r="BK499" s="208">
        <f>AI499+SUM($AM499:AW499)</f>
        <v>861333336</v>
      </c>
      <c r="BL499" s="208">
        <f>AJ499+SUM($AM499:AX499)</f>
        <v>855000003</v>
      </c>
      <c r="BM499" s="208">
        <f>AK499+SUM($AM499:AY499)</f>
        <v>848666670</v>
      </c>
      <c r="BO499" s="206"/>
    </row>
    <row r="500" spans="3:67" s="200" customFormat="1" x14ac:dyDescent="0.3">
      <c r="C500" s="200" t="s">
        <v>30</v>
      </c>
      <c r="D500" s="201" t="s">
        <v>338</v>
      </c>
      <c r="E500" s="201" t="str">
        <f t="shared" si="66"/>
        <v>211</v>
      </c>
      <c r="F500" s="200" t="str">
        <f>_xlfn.XLOOKUP($D500,MD_Account_Asset_Type[Nhóm tài sản],MD_Account_Asset_Type[Tên Nhóm tài sản])</f>
        <v>Máy móc, thiết bị - SX 627</v>
      </c>
      <c r="G500" s="200" t="str">
        <f>_xlfn.XLOOKUP($D500,MD_Account_Asset_Type[Nhóm tài sản],MD_Account_Asset_Type[Tên nhóm TS-Rút gọn])</f>
        <v>Máy móc thiết bị</v>
      </c>
      <c r="H500" s="200" t="str">
        <f>_xlfn.XLOOKUP($D500,MD_Account_Asset_Type[Nhóm tài sản],MD_Account_Asset_Type[Tên nhóm TS-Rút gọn-v2])</f>
        <v>Máy móc thiết bị</v>
      </c>
      <c r="I500" s="202" t="s">
        <v>1644</v>
      </c>
      <c r="J500" s="201" t="s">
        <v>1686</v>
      </c>
      <c r="K500" s="200" t="s">
        <v>830</v>
      </c>
      <c r="L500" s="201" t="s">
        <v>69</v>
      </c>
      <c r="M500" s="201"/>
      <c r="N500" s="203"/>
      <c r="O500" s="203"/>
      <c r="P500" s="200" t="str">
        <f>_xlfn.XLOOKUP($D500,MD_Account_Asset_Type[Nhóm tài sản],MD_Account_Asset_Type[Tài khoản KH])</f>
        <v>6274001903</v>
      </c>
      <c r="Q500" s="200" t="str">
        <f t="shared" si="59"/>
        <v>627</v>
      </c>
      <c r="R500" s="200" t="str">
        <f>_xlfn.XLOOKUP($L500,MD_Cost_Center[Mã Cost Center],MD_Cost_Center[Ngành])</f>
        <v>PET</v>
      </c>
      <c r="S500" s="200" t="str">
        <f>_xlfn.XLOOKUP($L500,MD_Cost_Center[Mã Cost Center],MD_Cost_Center[Ngành-Tách PET-Xơ sợi])</f>
        <v>Chung-PET</v>
      </c>
      <c r="T500" s="204">
        <v>46082</v>
      </c>
      <c r="U500" s="205">
        <f t="shared" si="64"/>
        <v>50465</v>
      </c>
      <c r="V500" s="206">
        <v>144</v>
      </c>
      <c r="W500" s="206">
        <v>530000000</v>
      </c>
      <c r="X500" s="206">
        <f t="shared" si="72"/>
        <v>-3680556</v>
      </c>
      <c r="Y500" s="206">
        <f t="shared" si="70"/>
        <v>0</v>
      </c>
      <c r="Z500" s="206">
        <f t="shared" si="70"/>
        <v>0</v>
      </c>
      <c r="AA500" s="206">
        <f t="shared" si="70"/>
        <v>530000000</v>
      </c>
      <c r="AB500" s="206">
        <f t="shared" si="70"/>
        <v>530000000</v>
      </c>
      <c r="AC500" s="206">
        <f t="shared" si="70"/>
        <v>530000000</v>
      </c>
      <c r="AD500" s="206">
        <f t="shared" si="70"/>
        <v>530000000</v>
      </c>
      <c r="AE500" s="206">
        <f t="shared" si="70"/>
        <v>530000000</v>
      </c>
      <c r="AF500" s="206">
        <f t="shared" si="70"/>
        <v>530000000</v>
      </c>
      <c r="AG500" s="206">
        <f t="shared" si="70"/>
        <v>530000000</v>
      </c>
      <c r="AH500" s="206">
        <f t="shared" si="70"/>
        <v>530000000</v>
      </c>
      <c r="AI500" s="206">
        <f t="shared" si="70"/>
        <v>530000000</v>
      </c>
      <c r="AJ500" s="206">
        <f t="shared" si="70"/>
        <v>530000000</v>
      </c>
      <c r="AK500" s="206">
        <f t="shared" si="70"/>
        <v>530000000</v>
      </c>
      <c r="AL500" s="206"/>
      <c r="AM500" s="206">
        <v>0</v>
      </c>
      <c r="AN500" s="206">
        <f t="shared" si="71"/>
        <v>0</v>
      </c>
      <c r="AO500" s="206">
        <f t="shared" si="71"/>
        <v>0</v>
      </c>
      <c r="AP500" s="206">
        <f t="shared" si="71"/>
        <v>-3680556</v>
      </c>
      <c r="AQ500" s="206">
        <f t="shared" si="71"/>
        <v>-3680556</v>
      </c>
      <c r="AR500" s="206">
        <f t="shared" si="71"/>
        <v>-3680556</v>
      </c>
      <c r="AS500" s="206">
        <f t="shared" si="71"/>
        <v>-3680556</v>
      </c>
      <c r="AT500" s="206">
        <f t="shared" si="71"/>
        <v>-3680556</v>
      </c>
      <c r="AU500" s="206">
        <f t="shared" si="71"/>
        <v>-3680556</v>
      </c>
      <c r="AV500" s="206">
        <f t="shared" si="71"/>
        <v>-3680556</v>
      </c>
      <c r="AW500" s="206">
        <f t="shared" si="71"/>
        <v>-3680556</v>
      </c>
      <c r="AX500" s="206">
        <f t="shared" si="71"/>
        <v>-3680556</v>
      </c>
      <c r="AY500" s="206">
        <f t="shared" si="71"/>
        <v>-3680556</v>
      </c>
      <c r="AZ500" s="207">
        <f t="shared" si="73"/>
        <v>-36805560</v>
      </c>
      <c r="BA500" s="206">
        <f>Y500+SUM($AM500:AM500)</f>
        <v>0</v>
      </c>
      <c r="BB500" s="208">
        <f>Z500+SUM($AM500:AN500)</f>
        <v>0</v>
      </c>
      <c r="BC500" s="208">
        <f>AA500+SUM($AM500:AO500)</f>
        <v>530000000</v>
      </c>
      <c r="BD500" s="208">
        <f>AB500+SUM($AM500:AP500)</f>
        <v>526319444</v>
      </c>
      <c r="BE500" s="208">
        <f>AC500+SUM($AM500:AQ500)</f>
        <v>522638888</v>
      </c>
      <c r="BF500" s="208">
        <f>AD500+SUM($AM500:AR500)</f>
        <v>518958332</v>
      </c>
      <c r="BG500" s="208">
        <f>AE500+SUM($AM500:AS500)</f>
        <v>515277776</v>
      </c>
      <c r="BH500" s="208">
        <f>AF500+SUM($AM500:AT500)</f>
        <v>511597220</v>
      </c>
      <c r="BI500" s="208">
        <f>AG500+SUM($AM500:AU500)</f>
        <v>507916664</v>
      </c>
      <c r="BJ500" s="208">
        <f>AH500+SUM($AM500:AV500)</f>
        <v>504236108</v>
      </c>
      <c r="BK500" s="208">
        <f>AI500+SUM($AM500:AW500)</f>
        <v>500555552</v>
      </c>
      <c r="BL500" s="208">
        <f>AJ500+SUM($AM500:AX500)</f>
        <v>496874996</v>
      </c>
      <c r="BM500" s="208">
        <f>AK500+SUM($AM500:AY500)</f>
        <v>493194440</v>
      </c>
      <c r="BO500" s="206"/>
    </row>
    <row r="501" spans="3:67" s="200" customFormat="1" x14ac:dyDescent="0.3">
      <c r="C501" s="200" t="s">
        <v>30</v>
      </c>
      <c r="D501" s="201" t="s">
        <v>338</v>
      </c>
      <c r="E501" s="201" t="str">
        <f t="shared" si="66"/>
        <v>211</v>
      </c>
      <c r="F501" s="200" t="str">
        <f>_xlfn.XLOOKUP($D501,MD_Account_Asset_Type[Nhóm tài sản],MD_Account_Asset_Type[Tên Nhóm tài sản])</f>
        <v>Máy móc, thiết bị - SX 627</v>
      </c>
      <c r="G501" s="200" t="str">
        <f>_xlfn.XLOOKUP($D501,MD_Account_Asset_Type[Nhóm tài sản],MD_Account_Asset_Type[Tên nhóm TS-Rút gọn])</f>
        <v>Máy móc thiết bị</v>
      </c>
      <c r="H501" s="200" t="str">
        <f>_xlfn.XLOOKUP($D501,MD_Account_Asset_Type[Nhóm tài sản],MD_Account_Asset_Type[Tên nhóm TS-Rút gọn-v2])</f>
        <v>Máy móc thiết bị</v>
      </c>
      <c r="I501" s="202" t="s">
        <v>1645</v>
      </c>
      <c r="J501" s="201" t="s">
        <v>1687</v>
      </c>
      <c r="K501" s="200" t="s">
        <v>830</v>
      </c>
      <c r="L501" s="201" t="s">
        <v>69</v>
      </c>
      <c r="M501" s="201"/>
      <c r="N501" s="203"/>
      <c r="O501" s="203"/>
      <c r="P501" s="200" t="str">
        <f>_xlfn.XLOOKUP($D501,MD_Account_Asset_Type[Nhóm tài sản],MD_Account_Asset_Type[Tài khoản KH])</f>
        <v>6274001903</v>
      </c>
      <c r="Q501" s="200" t="str">
        <f t="shared" si="59"/>
        <v>627</v>
      </c>
      <c r="R501" s="200" t="str">
        <f>_xlfn.XLOOKUP($L501,MD_Cost_Center[Mã Cost Center],MD_Cost_Center[Ngành])</f>
        <v>PET</v>
      </c>
      <c r="S501" s="200" t="str">
        <f>_xlfn.XLOOKUP($L501,MD_Cost_Center[Mã Cost Center],MD_Cost_Center[Ngành-Tách PET-Xơ sợi])</f>
        <v>Chung-PET</v>
      </c>
      <c r="T501" s="204">
        <v>46082</v>
      </c>
      <c r="U501" s="205">
        <f t="shared" si="64"/>
        <v>50465</v>
      </c>
      <c r="V501" s="206">
        <v>144</v>
      </c>
      <c r="W501" s="206">
        <v>265000000</v>
      </c>
      <c r="X501" s="206">
        <f t="shared" si="62"/>
        <v>-1840278</v>
      </c>
      <c r="Y501" s="206">
        <f t="shared" si="70"/>
        <v>0</v>
      </c>
      <c r="Z501" s="206">
        <f t="shared" si="70"/>
        <v>0</v>
      </c>
      <c r="AA501" s="206">
        <f t="shared" si="70"/>
        <v>265000000</v>
      </c>
      <c r="AB501" s="206">
        <f t="shared" si="70"/>
        <v>265000000</v>
      </c>
      <c r="AC501" s="206">
        <f t="shared" si="70"/>
        <v>265000000</v>
      </c>
      <c r="AD501" s="206">
        <f t="shared" si="70"/>
        <v>265000000</v>
      </c>
      <c r="AE501" s="206">
        <f t="shared" si="70"/>
        <v>265000000</v>
      </c>
      <c r="AF501" s="206">
        <f t="shared" si="70"/>
        <v>265000000</v>
      </c>
      <c r="AG501" s="206">
        <f t="shared" si="70"/>
        <v>265000000</v>
      </c>
      <c r="AH501" s="206">
        <f t="shared" si="70"/>
        <v>265000000</v>
      </c>
      <c r="AI501" s="206">
        <f t="shared" si="70"/>
        <v>265000000</v>
      </c>
      <c r="AJ501" s="206">
        <f t="shared" si="70"/>
        <v>265000000</v>
      </c>
      <c r="AK501" s="206">
        <f t="shared" si="70"/>
        <v>265000000</v>
      </c>
      <c r="AL501" s="206"/>
      <c r="AM501" s="206">
        <v>0</v>
      </c>
      <c r="AN501" s="206">
        <f t="shared" si="71"/>
        <v>0</v>
      </c>
      <c r="AO501" s="206">
        <f t="shared" si="71"/>
        <v>0</v>
      </c>
      <c r="AP501" s="206">
        <f t="shared" si="71"/>
        <v>-1840278</v>
      </c>
      <c r="AQ501" s="206">
        <f t="shared" si="71"/>
        <v>-1840278</v>
      </c>
      <c r="AR501" s="206">
        <f t="shared" si="71"/>
        <v>-1840278</v>
      </c>
      <c r="AS501" s="206">
        <f t="shared" si="71"/>
        <v>-1840278</v>
      </c>
      <c r="AT501" s="206">
        <f t="shared" si="71"/>
        <v>-1840278</v>
      </c>
      <c r="AU501" s="206">
        <f t="shared" si="71"/>
        <v>-1840278</v>
      </c>
      <c r="AV501" s="206">
        <f t="shared" si="71"/>
        <v>-1840278</v>
      </c>
      <c r="AW501" s="206">
        <f t="shared" si="71"/>
        <v>-1840278</v>
      </c>
      <c r="AX501" s="206">
        <f t="shared" si="71"/>
        <v>-1840278</v>
      </c>
      <c r="AY501" s="206">
        <f t="shared" si="71"/>
        <v>-1840278</v>
      </c>
      <c r="AZ501" s="207">
        <f t="shared" si="65"/>
        <v>-18402780</v>
      </c>
      <c r="BA501" s="206">
        <f>Y501+SUM($AM501:AM501)</f>
        <v>0</v>
      </c>
      <c r="BB501" s="208">
        <f>Z501+SUM($AM501:AN501)</f>
        <v>0</v>
      </c>
      <c r="BC501" s="208">
        <f>AA501+SUM($AM501:AO501)</f>
        <v>265000000</v>
      </c>
      <c r="BD501" s="208">
        <f>AB501+SUM($AM501:AP501)</f>
        <v>263159722</v>
      </c>
      <c r="BE501" s="208">
        <f>AC501+SUM($AM501:AQ501)</f>
        <v>261319444</v>
      </c>
      <c r="BF501" s="208">
        <f>AD501+SUM($AM501:AR501)</f>
        <v>259479166</v>
      </c>
      <c r="BG501" s="208">
        <f>AE501+SUM($AM501:AS501)</f>
        <v>257638888</v>
      </c>
      <c r="BH501" s="208">
        <f>AF501+SUM($AM501:AT501)</f>
        <v>255798610</v>
      </c>
      <c r="BI501" s="208">
        <f>AG501+SUM($AM501:AU501)</f>
        <v>253958332</v>
      </c>
      <c r="BJ501" s="208">
        <f>AH501+SUM($AM501:AV501)</f>
        <v>252118054</v>
      </c>
      <c r="BK501" s="208">
        <f>AI501+SUM($AM501:AW501)</f>
        <v>250277776</v>
      </c>
      <c r="BL501" s="208">
        <f>AJ501+SUM($AM501:AX501)</f>
        <v>248437498</v>
      </c>
      <c r="BM501" s="208">
        <f>AK501+SUM($AM501:AY501)</f>
        <v>246597220</v>
      </c>
      <c r="BO501" s="206"/>
    </row>
    <row r="502" spans="3:67" s="200" customFormat="1" x14ac:dyDescent="0.3">
      <c r="C502" s="200" t="s">
        <v>30</v>
      </c>
      <c r="D502" s="201" t="s">
        <v>337</v>
      </c>
      <c r="E502" s="201" t="str">
        <f t="shared" si="66"/>
        <v>211</v>
      </c>
      <c r="F502" s="200" t="str">
        <f>_xlfn.XLOOKUP($D502,MD_Account_Asset_Type[Nhóm tài sản],MD_Account_Asset_Type[Tên Nhóm tài sản])</f>
        <v>Máy móc, thiết bị phụ - SX 627</v>
      </c>
      <c r="G502" s="200" t="str">
        <f>_xlfn.XLOOKUP($D502,MD_Account_Asset_Type[Nhóm tài sản],MD_Account_Asset_Type[Tên nhóm TS-Rút gọn])</f>
        <v>Máy móc thiết bị</v>
      </c>
      <c r="H502" s="200" t="str">
        <f>_xlfn.XLOOKUP($D502,MD_Account_Asset_Type[Nhóm tài sản],MD_Account_Asset_Type[Tên nhóm TS-Rút gọn-v2])</f>
        <v>Máy móc thiết bị</v>
      </c>
      <c r="I502" s="202" t="s">
        <v>1646</v>
      </c>
      <c r="J502" s="201" t="s">
        <v>1688</v>
      </c>
      <c r="K502" s="200" t="s">
        <v>830</v>
      </c>
      <c r="L502" s="201" t="s">
        <v>61</v>
      </c>
      <c r="M502" s="201"/>
      <c r="N502" s="203"/>
      <c r="O502" s="203"/>
      <c r="P502" s="200" t="str">
        <f>_xlfn.XLOOKUP($D502,MD_Account_Asset_Type[Nhóm tài sản],MD_Account_Asset_Type[Tài khoản KH])</f>
        <v>6274001906</v>
      </c>
      <c r="Q502" s="200" t="str">
        <f t="shared" si="59"/>
        <v>627</v>
      </c>
      <c r="R502" s="200" t="str">
        <f>_xlfn.XLOOKUP($L502,MD_Cost_Center[Mã Cost Center],MD_Cost_Center[Ngành])</f>
        <v>PET</v>
      </c>
      <c r="S502" s="200" t="str">
        <f>_xlfn.XLOOKUP($L502,MD_Cost_Center[Mã Cost Center],MD_Cost_Center[Ngành-Tách PET-Xơ sợi])</f>
        <v>Chung-PET</v>
      </c>
      <c r="T502" s="204">
        <v>46082</v>
      </c>
      <c r="U502" s="205">
        <f t="shared" si="64"/>
        <v>50465</v>
      </c>
      <c r="V502" s="206">
        <v>144</v>
      </c>
      <c r="W502" s="206">
        <v>189500000</v>
      </c>
      <c r="X502" s="206">
        <f t="shared" si="62"/>
        <v>-1315972</v>
      </c>
      <c r="Y502" s="206">
        <f t="shared" si="70"/>
        <v>0</v>
      </c>
      <c r="Z502" s="206">
        <f t="shared" si="70"/>
        <v>0</v>
      </c>
      <c r="AA502" s="206">
        <f t="shared" si="70"/>
        <v>189500000</v>
      </c>
      <c r="AB502" s="206">
        <f t="shared" si="70"/>
        <v>189500000</v>
      </c>
      <c r="AC502" s="206">
        <f t="shared" si="70"/>
        <v>189500000</v>
      </c>
      <c r="AD502" s="206">
        <f t="shared" si="70"/>
        <v>189500000</v>
      </c>
      <c r="AE502" s="206">
        <f t="shared" si="70"/>
        <v>189500000</v>
      </c>
      <c r="AF502" s="206">
        <f t="shared" si="70"/>
        <v>189500000</v>
      </c>
      <c r="AG502" s="206">
        <f t="shared" si="70"/>
        <v>189500000</v>
      </c>
      <c r="AH502" s="206">
        <f t="shared" si="70"/>
        <v>189500000</v>
      </c>
      <c r="AI502" s="206">
        <f t="shared" si="70"/>
        <v>189500000</v>
      </c>
      <c r="AJ502" s="206">
        <f t="shared" si="70"/>
        <v>189500000</v>
      </c>
      <c r="AK502" s="206">
        <f t="shared" si="70"/>
        <v>189500000</v>
      </c>
      <c r="AL502" s="206"/>
      <c r="AM502" s="206">
        <v>0</v>
      </c>
      <c r="AN502" s="206">
        <f t="shared" si="71"/>
        <v>0</v>
      </c>
      <c r="AO502" s="206">
        <f t="shared" si="71"/>
        <v>0</v>
      </c>
      <c r="AP502" s="206">
        <f t="shared" si="71"/>
        <v>-1315972</v>
      </c>
      <c r="AQ502" s="206">
        <f t="shared" si="71"/>
        <v>-1315972</v>
      </c>
      <c r="AR502" s="206">
        <f t="shared" si="71"/>
        <v>-1315972</v>
      </c>
      <c r="AS502" s="206">
        <f t="shared" si="71"/>
        <v>-1315972</v>
      </c>
      <c r="AT502" s="206">
        <f t="shared" si="71"/>
        <v>-1315972</v>
      </c>
      <c r="AU502" s="206">
        <f t="shared" si="71"/>
        <v>-1315972</v>
      </c>
      <c r="AV502" s="206">
        <f t="shared" si="71"/>
        <v>-1315972</v>
      </c>
      <c r="AW502" s="206">
        <f t="shared" si="71"/>
        <v>-1315972</v>
      </c>
      <c r="AX502" s="206">
        <f t="shared" si="71"/>
        <v>-1315972</v>
      </c>
      <c r="AY502" s="206">
        <f t="shared" si="71"/>
        <v>-1315972</v>
      </c>
      <c r="AZ502" s="207">
        <f t="shared" si="65"/>
        <v>-13159720</v>
      </c>
      <c r="BA502" s="206">
        <f>Y502+SUM($AM502:AM502)</f>
        <v>0</v>
      </c>
      <c r="BB502" s="208">
        <f>Z502+SUM($AM502:AN502)</f>
        <v>0</v>
      </c>
      <c r="BC502" s="208">
        <f>AA502+SUM($AM502:AO502)</f>
        <v>189500000</v>
      </c>
      <c r="BD502" s="208">
        <f>AB502+SUM($AM502:AP502)</f>
        <v>188184028</v>
      </c>
      <c r="BE502" s="208">
        <f>AC502+SUM($AM502:AQ502)</f>
        <v>186868056</v>
      </c>
      <c r="BF502" s="208">
        <f>AD502+SUM($AM502:AR502)</f>
        <v>185552084</v>
      </c>
      <c r="BG502" s="208">
        <f>AE502+SUM($AM502:AS502)</f>
        <v>184236112</v>
      </c>
      <c r="BH502" s="208">
        <f>AF502+SUM($AM502:AT502)</f>
        <v>182920140</v>
      </c>
      <c r="BI502" s="208">
        <f>AG502+SUM($AM502:AU502)</f>
        <v>181604168</v>
      </c>
      <c r="BJ502" s="208">
        <f>AH502+SUM($AM502:AV502)</f>
        <v>180288196</v>
      </c>
      <c r="BK502" s="208">
        <f>AI502+SUM($AM502:AW502)</f>
        <v>178972224</v>
      </c>
      <c r="BL502" s="208">
        <f>AJ502+SUM($AM502:AX502)</f>
        <v>177656252</v>
      </c>
      <c r="BM502" s="208">
        <f>AK502+SUM($AM502:AY502)</f>
        <v>176340280</v>
      </c>
      <c r="BO502" s="206"/>
    </row>
    <row r="503" spans="3:67" s="210" customFormat="1" x14ac:dyDescent="0.3">
      <c r="C503" s="200" t="s">
        <v>30</v>
      </c>
      <c r="D503" s="209" t="s">
        <v>337</v>
      </c>
      <c r="E503" s="220" t="str">
        <f t="shared" si="66"/>
        <v>211</v>
      </c>
      <c r="F503" s="210" t="str">
        <f>_xlfn.XLOOKUP($D503,MD_Account_Asset_Type[Nhóm tài sản],MD_Account_Asset_Type[Tên Nhóm tài sản])</f>
        <v>Máy móc, thiết bị phụ - SX 627</v>
      </c>
      <c r="G503" s="210" t="str">
        <f>_xlfn.XLOOKUP($D503,MD_Account_Asset_Type[Nhóm tài sản],MD_Account_Asset_Type[Tên nhóm TS-Rút gọn])</f>
        <v>Máy móc thiết bị</v>
      </c>
      <c r="H503" s="210" t="str">
        <f>_xlfn.XLOOKUP($D503,MD_Account_Asset_Type[Nhóm tài sản],MD_Account_Asset_Type[Tên nhóm TS-Rút gọn-v2])</f>
        <v>Máy móc thiết bị</v>
      </c>
      <c r="I503" s="202" t="s">
        <v>1697</v>
      </c>
      <c r="J503" s="209" t="s">
        <v>1698</v>
      </c>
      <c r="K503" s="200" t="s">
        <v>830</v>
      </c>
      <c r="L503" s="209" t="s">
        <v>92</v>
      </c>
      <c r="M503" s="209"/>
      <c r="N503" s="211"/>
      <c r="O503" s="211"/>
      <c r="P503" s="210" t="str">
        <f>_xlfn.XLOOKUP($D503,MD_Account_Asset_Type[Nhóm tài sản],MD_Account_Asset_Type[Tài khoản KH])</f>
        <v>6274001906</v>
      </c>
      <c r="Q503" s="210" t="str">
        <f t="shared" si="59"/>
        <v>627</v>
      </c>
      <c r="R503" s="210" t="str">
        <f>_xlfn.XLOOKUP($L503,MD_Cost_Center[Mã Cost Center],MD_Cost_Center[Ngành])</f>
        <v>Chung</v>
      </c>
      <c r="S503" s="210" t="str">
        <f>_xlfn.XLOOKUP($L503,MD_Cost_Center[Mã Cost Center],MD_Cost_Center[Ngành-Tách PET-Xơ sợi])</f>
        <v>Chung</v>
      </c>
      <c r="T503" s="212">
        <v>46082</v>
      </c>
      <c r="U503" s="213">
        <f t="shared" si="64"/>
        <v>50465</v>
      </c>
      <c r="V503" s="214">
        <v>144</v>
      </c>
      <c r="W503" s="214">
        <v>2000000000</v>
      </c>
      <c r="X503" s="214">
        <f t="shared" si="62"/>
        <v>-13888889</v>
      </c>
      <c r="Y503" s="214">
        <f t="shared" si="70"/>
        <v>0</v>
      </c>
      <c r="Z503" s="214">
        <f t="shared" si="70"/>
        <v>0</v>
      </c>
      <c r="AA503" s="214">
        <f t="shared" si="70"/>
        <v>2000000000</v>
      </c>
      <c r="AB503" s="214">
        <f t="shared" si="70"/>
        <v>2000000000</v>
      </c>
      <c r="AC503" s="214">
        <f t="shared" si="70"/>
        <v>2000000000</v>
      </c>
      <c r="AD503" s="214">
        <f t="shared" si="70"/>
        <v>2000000000</v>
      </c>
      <c r="AE503" s="214">
        <f t="shared" si="70"/>
        <v>2000000000</v>
      </c>
      <c r="AF503" s="214">
        <f t="shared" si="70"/>
        <v>2000000000</v>
      </c>
      <c r="AG503" s="214">
        <f t="shared" si="70"/>
        <v>2000000000</v>
      </c>
      <c r="AH503" s="214">
        <f t="shared" si="70"/>
        <v>2000000000</v>
      </c>
      <c r="AI503" s="214">
        <f t="shared" si="70"/>
        <v>2000000000</v>
      </c>
      <c r="AJ503" s="214">
        <f t="shared" si="70"/>
        <v>2000000000</v>
      </c>
      <c r="AK503" s="214">
        <f t="shared" si="70"/>
        <v>2000000000</v>
      </c>
      <c r="AL503" s="214"/>
      <c r="AM503" s="214">
        <v>0</v>
      </c>
      <c r="AN503" s="214">
        <f t="shared" si="71"/>
        <v>0</v>
      </c>
      <c r="AO503" s="214">
        <f t="shared" si="71"/>
        <v>0</v>
      </c>
      <c r="AP503" s="214">
        <f t="shared" si="71"/>
        <v>-13888889</v>
      </c>
      <c r="AQ503" s="214">
        <f t="shared" si="71"/>
        <v>-13888889</v>
      </c>
      <c r="AR503" s="214">
        <f t="shared" si="71"/>
        <v>-13888889</v>
      </c>
      <c r="AS503" s="214">
        <f t="shared" si="71"/>
        <v>-13888889</v>
      </c>
      <c r="AT503" s="214">
        <f t="shared" si="71"/>
        <v>-13888889</v>
      </c>
      <c r="AU503" s="214">
        <f t="shared" si="71"/>
        <v>-13888889</v>
      </c>
      <c r="AV503" s="214">
        <f t="shared" si="71"/>
        <v>-13888889</v>
      </c>
      <c r="AW503" s="214">
        <f t="shared" si="71"/>
        <v>-13888889</v>
      </c>
      <c r="AX503" s="214">
        <f t="shared" si="71"/>
        <v>-13888889</v>
      </c>
      <c r="AY503" s="214">
        <f t="shared" si="71"/>
        <v>-13888889</v>
      </c>
      <c r="AZ503" s="215">
        <f t="shared" ref="AZ503" si="74">SUM(AN503:AY503)</f>
        <v>-138888890</v>
      </c>
      <c r="BA503" s="214">
        <f>Y503+SUM($AM503:AM503)</f>
        <v>0</v>
      </c>
      <c r="BB503" s="216">
        <f>Z503+SUM($AM503:AN503)</f>
        <v>0</v>
      </c>
      <c r="BC503" s="216">
        <f>AA503+SUM($AM503:AO503)</f>
        <v>2000000000</v>
      </c>
      <c r="BD503" s="216">
        <f>AB503+SUM($AM503:AP503)</f>
        <v>1986111111</v>
      </c>
      <c r="BE503" s="216">
        <f>AC503+SUM($AM503:AQ503)</f>
        <v>1972222222</v>
      </c>
      <c r="BF503" s="216">
        <f>AD503+SUM($AM503:AR503)</f>
        <v>1958333333</v>
      </c>
      <c r="BG503" s="216">
        <f>AE503+SUM($AM503:AS503)</f>
        <v>1944444444</v>
      </c>
      <c r="BH503" s="216">
        <f>AF503+SUM($AM503:AT503)</f>
        <v>1930555555</v>
      </c>
      <c r="BI503" s="216">
        <f>AG503+SUM($AM503:AU503)</f>
        <v>1916666666</v>
      </c>
      <c r="BJ503" s="216">
        <f>AH503+SUM($AM503:AV503)</f>
        <v>1902777777</v>
      </c>
      <c r="BK503" s="216">
        <f>AI503+SUM($AM503:AW503)</f>
        <v>1888888888</v>
      </c>
      <c r="BL503" s="216">
        <f>AJ503+SUM($AM503:AX503)</f>
        <v>1874999999</v>
      </c>
      <c r="BM503" s="216">
        <f>AK503+SUM($AM503:AY503)</f>
        <v>1861111110</v>
      </c>
      <c r="BO503" s="217"/>
    </row>
    <row r="504" spans="3:67" x14ac:dyDescent="0.3">
      <c r="W504" s="61"/>
      <c r="AM504" s="35"/>
    </row>
  </sheetData>
  <autoFilter ref="A8:BM502" xr:uid="{8306D022-7E24-48B3-B825-AAB1473A0D88}">
    <filterColumn colId="15">
      <filters>
        <filter val="6274001901"/>
        <filter val="6274001903"/>
        <filter val="6274001905"/>
        <filter val="6274001906"/>
        <filter val="6274001907"/>
        <filter val="6274001909"/>
        <filter val="6274001915"/>
      </filters>
    </filterColumn>
    <filterColumn colId="19">
      <filters>
        <dateGroupItem year="2026" dateTimeGrouping="year"/>
      </filters>
    </filterColumn>
  </autoFilter>
  <phoneticPr fontId="7" type="noConversion"/>
  <conditionalFormatting sqref="F1:H1">
    <cfRule type="duplicateValues" dxfId="8" priority="2"/>
  </conditionalFormatting>
  <conditionalFormatting sqref="F1:H3">
    <cfRule type="containsText" dxfId="7" priority="3" operator="containsText" text="xxx">
      <formula>NOT(ISERROR(SEARCH("xxx",F1)))</formula>
    </cfRule>
  </conditionalFormatting>
  <conditionalFormatting sqref="F2:H2">
    <cfRule type="duplicateValues" dxfId="6" priority="4"/>
  </conditionalFormatting>
  <conditionalFormatting sqref="F3:H3">
    <cfRule type="duplicateValues" dxfId="5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D4A5-14BE-4EC3-B6A4-DB3AA09AE572}">
  <sheetPr codeName="Sheet9"/>
  <dimension ref="A1:Y81"/>
  <sheetViews>
    <sheetView showGridLines="0" topLeftCell="K1" zoomScale="85" zoomScaleNormal="85" workbookViewId="0">
      <pane ySplit="1" topLeftCell="A2" activePane="bottomLeft" state="frozen"/>
      <selection pane="bottomLeft" activeCell="T7" sqref="T7"/>
    </sheetView>
  </sheetViews>
  <sheetFormatPr defaultRowHeight="14.4" x14ac:dyDescent="0.3"/>
  <cols>
    <col min="1" max="1" width="30.77734375" bestFit="1" customWidth="1"/>
    <col min="2" max="2" width="31.21875" customWidth="1"/>
    <col min="3" max="3" width="1.77734375" style="3" customWidth="1"/>
    <col min="4" max="4" width="12.33203125" customWidth="1"/>
    <col min="5" max="5" width="11.44140625" customWidth="1"/>
    <col min="6" max="6" width="1.77734375" style="3" customWidth="1"/>
    <col min="7" max="7" width="13.77734375" customWidth="1"/>
    <col min="8" max="8" width="33" bestFit="1" customWidth="1"/>
    <col min="9" max="9" width="34.44140625" bestFit="1" customWidth="1"/>
    <col min="10" max="10" width="8.109375" bestFit="1" customWidth="1"/>
    <col min="11" max="11" width="22.21875" bestFit="1" customWidth="1"/>
    <col min="12" max="12" width="1.77734375" style="3" customWidth="1"/>
    <col min="13" max="13" width="19.44140625" customWidth="1"/>
    <col min="14" max="14" width="1.77734375" style="3" customWidth="1"/>
    <col min="16" max="16" width="1.77734375" style="3" customWidth="1"/>
    <col min="17" max="17" width="14.21875" customWidth="1"/>
    <col min="18" max="18" width="1.77734375" style="3" customWidth="1"/>
    <col min="19" max="19" width="19.44140625" bestFit="1" customWidth="1"/>
    <col min="20" max="20" width="13.44140625" bestFit="1" customWidth="1"/>
    <col min="21" max="21" width="49" bestFit="1" customWidth="1"/>
    <col min="22" max="22" width="13.21875" bestFit="1" customWidth="1"/>
    <col min="23" max="23" width="42" bestFit="1" customWidth="1"/>
    <col min="24" max="24" width="49" customWidth="1"/>
    <col min="25" max="25" width="1.77734375" style="3" customWidth="1"/>
  </cols>
  <sheetData>
    <row r="1" spans="1:24" x14ac:dyDescent="0.3">
      <c r="A1" s="2" t="s">
        <v>231</v>
      </c>
      <c r="B1" s="2" t="s">
        <v>13</v>
      </c>
      <c r="D1" s="2" t="s">
        <v>28</v>
      </c>
      <c r="E1" s="2" t="s">
        <v>29</v>
      </c>
      <c r="G1" s="2" t="s">
        <v>1</v>
      </c>
      <c r="H1" s="2" t="s">
        <v>0</v>
      </c>
      <c r="I1" s="2" t="s">
        <v>243</v>
      </c>
      <c r="J1" s="2" t="s">
        <v>1699</v>
      </c>
      <c r="K1" s="2" t="s">
        <v>1707</v>
      </c>
      <c r="M1" s="2" t="s">
        <v>183</v>
      </c>
      <c r="O1" s="2" t="s">
        <v>194</v>
      </c>
      <c r="Q1" s="2" t="s">
        <v>195</v>
      </c>
      <c r="S1" s="2" t="s">
        <v>233</v>
      </c>
      <c r="T1" s="2" t="s">
        <v>229</v>
      </c>
      <c r="U1" s="2" t="s">
        <v>317</v>
      </c>
      <c r="V1" s="2" t="s">
        <v>324</v>
      </c>
      <c r="W1" s="2" t="s">
        <v>1578</v>
      </c>
      <c r="X1" s="2" t="s">
        <v>1689</v>
      </c>
    </row>
    <row r="2" spans="1:24" x14ac:dyDescent="0.3">
      <c r="A2" s="10" t="s">
        <v>2</v>
      </c>
      <c r="B2" s="10" t="s">
        <v>14</v>
      </c>
      <c r="D2" s="10" t="s">
        <v>25</v>
      </c>
      <c r="E2" s="10" t="s">
        <v>30</v>
      </c>
      <c r="G2" s="10" t="s">
        <v>33</v>
      </c>
      <c r="H2" s="10" t="s">
        <v>108</v>
      </c>
      <c r="I2" s="10"/>
      <c r="J2" s="10" t="s">
        <v>1700</v>
      </c>
      <c r="K2" s="10" t="s">
        <v>1700</v>
      </c>
      <c r="M2" s="10" t="s">
        <v>109</v>
      </c>
      <c r="O2" s="10" t="s">
        <v>192</v>
      </c>
      <c r="Q2" s="12">
        <v>0.1</v>
      </c>
      <c r="S2" s="10" t="s">
        <v>492</v>
      </c>
      <c r="T2" s="10" t="s">
        <v>413</v>
      </c>
      <c r="U2" s="10" t="s">
        <v>414</v>
      </c>
      <c r="V2" s="30" t="s">
        <v>456</v>
      </c>
      <c r="W2" s="30" t="s">
        <v>492</v>
      </c>
      <c r="X2" s="30" t="s">
        <v>414</v>
      </c>
    </row>
    <row r="3" spans="1:24" hidden="1" x14ac:dyDescent="0.3">
      <c r="A3" s="11" t="s">
        <v>3</v>
      </c>
      <c r="B3" s="11" t="s">
        <v>16</v>
      </c>
      <c r="D3" s="11" t="s">
        <v>26</v>
      </c>
      <c r="E3" s="11" t="s">
        <v>31</v>
      </c>
      <c r="G3" s="11" t="s">
        <v>34</v>
      </c>
      <c r="H3" s="11" t="s">
        <v>109</v>
      </c>
      <c r="I3" s="11"/>
      <c r="J3" s="10" t="s">
        <v>1700</v>
      </c>
      <c r="K3" s="11" t="s">
        <v>1700</v>
      </c>
      <c r="M3" s="11" t="s">
        <v>108</v>
      </c>
      <c r="O3" s="11" t="s">
        <v>193</v>
      </c>
      <c r="Q3" s="13">
        <v>0.2</v>
      </c>
      <c r="S3" s="10" t="s">
        <v>492</v>
      </c>
      <c r="T3" s="11" t="s">
        <v>416</v>
      </c>
      <c r="U3" s="11" t="s">
        <v>417</v>
      </c>
      <c r="V3" s="31" t="s">
        <v>457</v>
      </c>
      <c r="W3" s="31" t="s">
        <v>492</v>
      </c>
      <c r="X3" s="31" t="s">
        <v>417</v>
      </c>
    </row>
    <row r="4" spans="1:24" hidden="1" x14ac:dyDescent="0.3">
      <c r="A4" s="11" t="s">
        <v>4</v>
      </c>
      <c r="B4" s="11" t="s">
        <v>17</v>
      </c>
      <c r="D4" s="11" t="s">
        <v>27</v>
      </c>
      <c r="E4" s="11" t="s">
        <v>32</v>
      </c>
      <c r="G4" s="11" t="s">
        <v>35</v>
      </c>
      <c r="H4" s="11" t="s">
        <v>110</v>
      </c>
      <c r="I4" s="11"/>
      <c r="J4" s="10" t="s">
        <v>1700</v>
      </c>
      <c r="K4" s="11" t="s">
        <v>1700</v>
      </c>
      <c r="M4" s="11" t="s">
        <v>116</v>
      </c>
      <c r="Q4" s="13">
        <v>0.3</v>
      </c>
      <c r="S4" s="10" t="s">
        <v>492</v>
      </c>
      <c r="T4" s="11" t="s">
        <v>419</v>
      </c>
      <c r="U4" s="11" t="s">
        <v>420</v>
      </c>
      <c r="V4" s="31" t="s">
        <v>458</v>
      </c>
      <c r="W4" s="31" t="s">
        <v>492</v>
      </c>
      <c r="X4" s="31" t="s">
        <v>420</v>
      </c>
    </row>
    <row r="5" spans="1:24" hidden="1" x14ac:dyDescent="0.3">
      <c r="A5" s="11" t="s">
        <v>5</v>
      </c>
      <c r="B5" s="11" t="s">
        <v>18</v>
      </c>
      <c r="G5" s="11" t="s">
        <v>36</v>
      </c>
      <c r="H5" s="11" t="s">
        <v>111</v>
      </c>
      <c r="I5" s="11"/>
      <c r="J5" s="10" t="s">
        <v>1700</v>
      </c>
      <c r="K5" s="11" t="s">
        <v>1700</v>
      </c>
      <c r="M5" s="11" t="s">
        <v>185</v>
      </c>
      <c r="Q5" s="13">
        <v>0.4</v>
      </c>
      <c r="S5" s="11" t="s">
        <v>493</v>
      </c>
      <c r="T5" s="11" t="s">
        <v>422</v>
      </c>
      <c r="U5" s="11" t="s">
        <v>423</v>
      </c>
      <c r="V5" s="31" t="s">
        <v>459</v>
      </c>
      <c r="W5" s="31" t="s">
        <v>423</v>
      </c>
      <c r="X5" s="31" t="s">
        <v>423</v>
      </c>
    </row>
    <row r="6" spans="1:24" x14ac:dyDescent="0.3">
      <c r="A6" s="11" t="s">
        <v>6</v>
      </c>
      <c r="B6" s="11" t="s">
        <v>19</v>
      </c>
      <c r="G6" s="11" t="s">
        <v>37</v>
      </c>
      <c r="H6" s="11" t="s">
        <v>112</v>
      </c>
      <c r="I6" s="11"/>
      <c r="J6" s="10" t="s">
        <v>1700</v>
      </c>
      <c r="K6" s="11" t="s">
        <v>1700</v>
      </c>
      <c r="M6" s="11" t="s">
        <v>191</v>
      </c>
      <c r="Q6" s="13">
        <v>0.5</v>
      </c>
      <c r="S6" s="11" t="s">
        <v>494</v>
      </c>
      <c r="T6" s="11" t="s">
        <v>319</v>
      </c>
      <c r="U6" s="11" t="s">
        <v>197</v>
      </c>
      <c r="V6" s="31" t="s">
        <v>460</v>
      </c>
      <c r="W6" s="31" t="s">
        <v>1496</v>
      </c>
      <c r="X6" s="31" t="s">
        <v>1496</v>
      </c>
    </row>
    <row r="7" spans="1:24" x14ac:dyDescent="0.3">
      <c r="A7" s="11" t="s">
        <v>7</v>
      </c>
      <c r="B7" s="11" t="s">
        <v>20</v>
      </c>
      <c r="G7" s="11" t="s">
        <v>38</v>
      </c>
      <c r="H7" s="11" t="s">
        <v>113</v>
      </c>
      <c r="I7" s="11"/>
      <c r="J7" s="10" t="s">
        <v>1700</v>
      </c>
      <c r="K7" s="11" t="s">
        <v>1700</v>
      </c>
      <c r="M7" s="11" t="s">
        <v>190</v>
      </c>
      <c r="Q7" s="13">
        <v>0.6</v>
      </c>
      <c r="S7" s="11" t="s">
        <v>494</v>
      </c>
      <c r="T7" s="11" t="s">
        <v>337</v>
      </c>
      <c r="U7" s="11" t="s">
        <v>200</v>
      </c>
      <c r="V7" s="31" t="s">
        <v>461</v>
      </c>
      <c r="W7" s="31" t="s">
        <v>1592</v>
      </c>
      <c r="X7" s="31" t="s">
        <v>1592</v>
      </c>
    </row>
    <row r="8" spans="1:24" x14ac:dyDescent="0.3">
      <c r="A8" s="11" t="s">
        <v>8</v>
      </c>
      <c r="B8" s="11" t="s">
        <v>21</v>
      </c>
      <c r="G8" s="11" t="s">
        <v>39</v>
      </c>
      <c r="H8" s="11" t="s">
        <v>114</v>
      </c>
      <c r="I8" s="11"/>
      <c r="J8" s="10" t="s">
        <v>1700</v>
      </c>
      <c r="K8" s="11" t="s">
        <v>1700</v>
      </c>
      <c r="M8" s="11" t="s">
        <v>167</v>
      </c>
      <c r="Q8" s="13">
        <v>0.7</v>
      </c>
      <c r="S8" s="11" t="s">
        <v>494</v>
      </c>
      <c r="T8" s="11" t="s">
        <v>338</v>
      </c>
      <c r="U8" s="11" t="s">
        <v>201</v>
      </c>
      <c r="V8" s="31" t="s">
        <v>462</v>
      </c>
      <c r="W8" s="31" t="s">
        <v>1592</v>
      </c>
      <c r="X8" s="31" t="s">
        <v>1592</v>
      </c>
    </row>
    <row r="9" spans="1:24" x14ac:dyDescent="0.3">
      <c r="A9" s="11" t="s">
        <v>9</v>
      </c>
      <c r="B9" s="11" t="s">
        <v>22</v>
      </c>
      <c r="G9" s="11" t="s">
        <v>40</v>
      </c>
      <c r="H9" s="11" t="s">
        <v>115</v>
      </c>
      <c r="I9" s="11"/>
      <c r="J9" s="10" t="s">
        <v>1700</v>
      </c>
      <c r="K9" s="11" t="s">
        <v>1700</v>
      </c>
      <c r="M9" s="11" t="s">
        <v>115</v>
      </c>
      <c r="Q9" s="13">
        <v>0.8</v>
      </c>
      <c r="S9" s="11" t="s">
        <v>494</v>
      </c>
      <c r="T9" s="11" t="s">
        <v>342</v>
      </c>
      <c r="U9" s="11" t="s">
        <v>204</v>
      </c>
      <c r="V9" s="31" t="s">
        <v>463</v>
      </c>
      <c r="W9" s="31" t="s">
        <v>1595</v>
      </c>
      <c r="X9" s="31" t="s">
        <v>1595</v>
      </c>
    </row>
    <row r="10" spans="1:24" x14ac:dyDescent="0.3">
      <c r="A10" s="11" t="s">
        <v>10</v>
      </c>
      <c r="B10" s="11" t="s">
        <v>23</v>
      </c>
      <c r="G10" s="11" t="s">
        <v>41</v>
      </c>
      <c r="H10" s="11" t="s">
        <v>116</v>
      </c>
      <c r="I10" s="11"/>
      <c r="J10" s="10" t="s">
        <v>1700</v>
      </c>
      <c r="K10" s="11" t="s">
        <v>1700</v>
      </c>
      <c r="M10" s="11" t="s">
        <v>120</v>
      </c>
      <c r="Q10" s="13">
        <v>0.9</v>
      </c>
      <c r="S10" s="11" t="s">
        <v>494</v>
      </c>
      <c r="T10" s="11" t="s">
        <v>345</v>
      </c>
      <c r="U10" s="11" t="s">
        <v>207</v>
      </c>
      <c r="V10" s="31" t="s">
        <v>464</v>
      </c>
      <c r="W10" s="31" t="s">
        <v>1450</v>
      </c>
      <c r="X10" s="31" t="s">
        <v>1450</v>
      </c>
    </row>
    <row r="11" spans="1:24" x14ac:dyDescent="0.3">
      <c r="A11" s="11" t="s">
        <v>11</v>
      </c>
      <c r="B11" s="11" t="s">
        <v>24</v>
      </c>
      <c r="G11" s="11" t="s">
        <v>42</v>
      </c>
      <c r="H11" s="11" t="s">
        <v>117</v>
      </c>
      <c r="I11" s="11"/>
      <c r="J11" s="10" t="s">
        <v>1700</v>
      </c>
      <c r="K11" s="11" t="s">
        <v>1700</v>
      </c>
      <c r="M11" s="11" t="s">
        <v>114</v>
      </c>
      <c r="Q11" s="13">
        <v>1</v>
      </c>
      <c r="S11" s="11" t="s">
        <v>494</v>
      </c>
      <c r="T11" s="11" t="s">
        <v>349</v>
      </c>
      <c r="U11" s="11" t="s">
        <v>211</v>
      </c>
      <c r="V11" s="31" t="s">
        <v>465</v>
      </c>
      <c r="W11" s="31" t="s">
        <v>1691</v>
      </c>
      <c r="X11" s="31" t="s">
        <v>1691</v>
      </c>
    </row>
    <row r="12" spans="1:24" x14ac:dyDescent="0.3">
      <c r="A12" s="11" t="s">
        <v>12</v>
      </c>
      <c r="B12" s="11" t="s">
        <v>15</v>
      </c>
      <c r="G12" s="11" t="s">
        <v>43</v>
      </c>
      <c r="H12" s="11" t="s">
        <v>118</v>
      </c>
      <c r="I12" s="11"/>
      <c r="J12" s="10" t="s">
        <v>1700</v>
      </c>
      <c r="K12" s="11" t="s">
        <v>1700</v>
      </c>
      <c r="M12" s="11" t="s">
        <v>184</v>
      </c>
      <c r="S12" s="11" t="s">
        <v>494</v>
      </c>
      <c r="T12" s="11" t="s">
        <v>350</v>
      </c>
      <c r="U12" s="11" t="s">
        <v>212</v>
      </c>
      <c r="V12" s="31" t="s">
        <v>466</v>
      </c>
      <c r="W12" s="31" t="s">
        <v>15</v>
      </c>
      <c r="X12" s="31" t="s">
        <v>1690</v>
      </c>
    </row>
    <row r="13" spans="1:24" hidden="1" x14ac:dyDescent="0.3">
      <c r="G13" s="11" t="s">
        <v>44</v>
      </c>
      <c r="H13" s="11" t="s">
        <v>119</v>
      </c>
      <c r="I13" s="11"/>
      <c r="J13" s="10" t="s">
        <v>1700</v>
      </c>
      <c r="K13" s="11" t="s">
        <v>1700</v>
      </c>
      <c r="M13" s="11" t="s">
        <v>111</v>
      </c>
      <c r="S13" s="11" t="s">
        <v>494</v>
      </c>
      <c r="T13" s="11" t="s">
        <v>335</v>
      </c>
      <c r="U13" s="11" t="s">
        <v>198</v>
      </c>
      <c r="V13" s="31" t="s">
        <v>467</v>
      </c>
      <c r="W13" s="31" t="s">
        <v>1496</v>
      </c>
      <c r="X13" s="31" t="s">
        <v>1496</v>
      </c>
    </row>
    <row r="14" spans="1:24" hidden="1" x14ac:dyDescent="0.3">
      <c r="G14" s="11" t="s">
        <v>45</v>
      </c>
      <c r="H14" s="11" t="s">
        <v>120</v>
      </c>
      <c r="I14" s="11"/>
      <c r="J14" s="10" t="s">
        <v>1700</v>
      </c>
      <c r="K14" s="11" t="s">
        <v>1700</v>
      </c>
      <c r="M14" s="11" t="s">
        <v>188</v>
      </c>
      <c r="S14" s="11" t="s">
        <v>494</v>
      </c>
      <c r="T14" s="11" t="s">
        <v>340</v>
      </c>
      <c r="U14" s="11" t="s">
        <v>202</v>
      </c>
      <c r="V14" s="31" t="s">
        <v>468</v>
      </c>
      <c r="W14" s="31" t="s">
        <v>1592</v>
      </c>
      <c r="X14" s="31" t="s">
        <v>1592</v>
      </c>
    </row>
    <row r="15" spans="1:24" hidden="1" x14ac:dyDescent="0.3">
      <c r="G15" s="11" t="s">
        <v>46</v>
      </c>
      <c r="H15" s="11" t="s">
        <v>121</v>
      </c>
      <c r="I15" s="11"/>
      <c r="J15" s="10" t="s">
        <v>1700</v>
      </c>
      <c r="K15" s="11" t="s">
        <v>1700</v>
      </c>
      <c r="M15" s="11" t="s">
        <v>187</v>
      </c>
      <c r="S15" s="11" t="s">
        <v>494</v>
      </c>
      <c r="T15" s="11" t="s">
        <v>343</v>
      </c>
      <c r="U15" s="11" t="s">
        <v>205</v>
      </c>
      <c r="V15" s="31" t="s">
        <v>469</v>
      </c>
      <c r="W15" s="31" t="s">
        <v>1595</v>
      </c>
      <c r="X15" s="31" t="s">
        <v>1595</v>
      </c>
    </row>
    <row r="16" spans="1:24" hidden="1" x14ac:dyDescent="0.3">
      <c r="G16" s="11" t="s">
        <v>47</v>
      </c>
      <c r="H16" s="11" t="s">
        <v>122</v>
      </c>
      <c r="I16" s="11"/>
      <c r="J16" s="10" t="s">
        <v>1700</v>
      </c>
      <c r="K16" s="11" t="s">
        <v>1700</v>
      </c>
      <c r="M16" s="11" t="s">
        <v>186</v>
      </c>
      <c r="S16" s="11" t="s">
        <v>494</v>
      </c>
      <c r="T16" s="11" t="s">
        <v>346</v>
      </c>
      <c r="U16" s="11" t="s">
        <v>208</v>
      </c>
      <c r="V16" s="31" t="s">
        <v>470</v>
      </c>
      <c r="W16" s="31" t="s">
        <v>1450</v>
      </c>
      <c r="X16" s="31" t="s">
        <v>1450</v>
      </c>
    </row>
    <row r="17" spans="7:24" hidden="1" x14ac:dyDescent="0.3">
      <c r="G17" s="11" t="s">
        <v>48</v>
      </c>
      <c r="H17" s="11" t="s">
        <v>123</v>
      </c>
      <c r="I17" s="11"/>
      <c r="J17" s="10" t="s">
        <v>1701</v>
      </c>
      <c r="K17" s="11" t="s">
        <v>1704</v>
      </c>
      <c r="M17" s="11" t="s">
        <v>196</v>
      </c>
      <c r="S17" s="11" t="s">
        <v>494</v>
      </c>
      <c r="T17" s="11" t="s">
        <v>351</v>
      </c>
      <c r="U17" s="11" t="s">
        <v>213</v>
      </c>
      <c r="V17" s="31" t="s">
        <v>471</v>
      </c>
      <c r="W17" s="31" t="s">
        <v>15</v>
      </c>
      <c r="X17" s="31" t="s">
        <v>1690</v>
      </c>
    </row>
    <row r="18" spans="7:24" hidden="1" x14ac:dyDescent="0.3">
      <c r="G18" s="11" t="s">
        <v>49</v>
      </c>
      <c r="H18" s="11" t="s">
        <v>124</v>
      </c>
      <c r="I18" s="11"/>
      <c r="J18" s="11" t="s">
        <v>1702</v>
      </c>
      <c r="K18" s="11" t="s">
        <v>1703</v>
      </c>
      <c r="M18" s="11" t="s">
        <v>230</v>
      </c>
      <c r="S18" s="11" t="s">
        <v>494</v>
      </c>
      <c r="T18" s="11" t="s">
        <v>336</v>
      </c>
      <c r="U18" s="11" t="s">
        <v>199</v>
      </c>
      <c r="V18" s="31" t="s">
        <v>472</v>
      </c>
      <c r="W18" s="31" t="s">
        <v>1496</v>
      </c>
      <c r="X18" s="31" t="s">
        <v>1496</v>
      </c>
    </row>
    <row r="19" spans="7:24" hidden="1" x14ac:dyDescent="0.3">
      <c r="G19" s="11" t="s">
        <v>50</v>
      </c>
      <c r="H19" s="11" t="s">
        <v>125</v>
      </c>
      <c r="I19" s="11"/>
      <c r="J19" s="11" t="s">
        <v>1702</v>
      </c>
      <c r="K19" s="11" t="s">
        <v>1704</v>
      </c>
      <c r="M19" s="11" t="s">
        <v>189</v>
      </c>
      <c r="S19" s="11" t="s">
        <v>494</v>
      </c>
      <c r="T19" s="11" t="s">
        <v>341</v>
      </c>
      <c r="U19" s="11" t="s">
        <v>203</v>
      </c>
      <c r="V19" s="31" t="s">
        <v>459</v>
      </c>
      <c r="W19" s="31" t="s">
        <v>1592</v>
      </c>
      <c r="X19" s="31" t="s">
        <v>1592</v>
      </c>
    </row>
    <row r="20" spans="7:24" hidden="1" x14ac:dyDescent="0.3">
      <c r="G20" s="11" t="s">
        <v>51</v>
      </c>
      <c r="H20" s="11" t="s">
        <v>126</v>
      </c>
      <c r="I20" s="11" t="s">
        <v>244</v>
      </c>
      <c r="J20" s="11" t="s">
        <v>1701</v>
      </c>
      <c r="K20" s="11" t="s">
        <v>1704</v>
      </c>
      <c r="M20" s="11" t="s">
        <v>239</v>
      </c>
      <c r="S20" s="11" t="s">
        <v>494</v>
      </c>
      <c r="T20" s="11" t="s">
        <v>344</v>
      </c>
      <c r="U20" s="11" t="s">
        <v>206</v>
      </c>
      <c r="V20" s="31" t="s">
        <v>473</v>
      </c>
      <c r="W20" s="31" t="s">
        <v>1595</v>
      </c>
      <c r="X20" s="31" t="s">
        <v>1595</v>
      </c>
    </row>
    <row r="21" spans="7:24" hidden="1" x14ac:dyDescent="0.3">
      <c r="G21" s="11" t="s">
        <v>52</v>
      </c>
      <c r="H21" s="11" t="s">
        <v>127</v>
      </c>
      <c r="I21" s="11" t="s">
        <v>245</v>
      </c>
      <c r="J21" s="11" t="s">
        <v>1701</v>
      </c>
      <c r="K21" s="11" t="s">
        <v>1704</v>
      </c>
      <c r="M21" s="11" t="s">
        <v>240</v>
      </c>
      <c r="S21" s="11" t="s">
        <v>494</v>
      </c>
      <c r="T21" s="11" t="s">
        <v>347</v>
      </c>
      <c r="U21" s="11" t="s">
        <v>209</v>
      </c>
      <c r="V21" s="31" t="s">
        <v>474</v>
      </c>
      <c r="W21" s="31" t="s">
        <v>1450</v>
      </c>
      <c r="X21" s="31" t="s">
        <v>1450</v>
      </c>
    </row>
    <row r="22" spans="7:24" hidden="1" x14ac:dyDescent="0.3">
      <c r="G22" s="11" t="s">
        <v>53</v>
      </c>
      <c r="H22" s="11" t="s">
        <v>128</v>
      </c>
      <c r="I22" s="11" t="s">
        <v>246</v>
      </c>
      <c r="J22" s="11" t="s">
        <v>1703</v>
      </c>
      <c r="K22" s="11" t="s">
        <v>1703</v>
      </c>
      <c r="M22" s="11" t="s">
        <v>241</v>
      </c>
      <c r="S22" s="11" t="s">
        <v>494</v>
      </c>
      <c r="T22" s="11" t="s">
        <v>348</v>
      </c>
      <c r="U22" s="11" t="s">
        <v>210</v>
      </c>
      <c r="V22" s="31" t="s">
        <v>475</v>
      </c>
      <c r="W22" s="31" t="s">
        <v>15</v>
      </c>
      <c r="X22" s="31" t="s">
        <v>1690</v>
      </c>
    </row>
    <row r="23" spans="7:24" hidden="1" x14ac:dyDescent="0.3">
      <c r="G23" s="11" t="s">
        <v>54</v>
      </c>
      <c r="H23" s="11" t="s">
        <v>129</v>
      </c>
      <c r="I23" s="11" t="s">
        <v>247</v>
      </c>
      <c r="J23" s="11" t="s">
        <v>1701</v>
      </c>
      <c r="K23" s="11" t="s">
        <v>1701</v>
      </c>
      <c r="M23" s="11" t="s">
        <v>242</v>
      </c>
      <c r="S23" s="11" t="s">
        <v>494</v>
      </c>
      <c r="T23" s="11" t="s">
        <v>352</v>
      </c>
      <c r="U23" s="11" t="s">
        <v>214</v>
      </c>
      <c r="V23" s="31" t="s">
        <v>476</v>
      </c>
      <c r="W23" s="31" t="s">
        <v>15</v>
      </c>
      <c r="X23" s="31" t="s">
        <v>1690</v>
      </c>
    </row>
    <row r="24" spans="7:24" x14ac:dyDescent="0.3">
      <c r="G24" s="11" t="s">
        <v>55</v>
      </c>
      <c r="H24" s="11" t="s">
        <v>130</v>
      </c>
      <c r="I24" s="11" t="s">
        <v>248</v>
      </c>
      <c r="J24" s="11" t="s">
        <v>1701</v>
      </c>
      <c r="K24" s="11" t="s">
        <v>1701</v>
      </c>
      <c r="S24" s="11" t="s">
        <v>495</v>
      </c>
      <c r="T24" s="11" t="s">
        <v>353</v>
      </c>
      <c r="U24" s="11" t="s">
        <v>354</v>
      </c>
      <c r="V24" s="31" t="s">
        <v>460</v>
      </c>
      <c r="W24" s="31" t="s">
        <v>1597</v>
      </c>
      <c r="X24" s="31" t="s">
        <v>1597</v>
      </c>
    </row>
    <row r="25" spans="7:24" x14ac:dyDescent="0.3">
      <c r="G25" s="11" t="s">
        <v>56</v>
      </c>
      <c r="H25" s="11" t="s">
        <v>131</v>
      </c>
      <c r="I25" s="11" t="s">
        <v>249</v>
      </c>
      <c r="J25" s="11" t="s">
        <v>1701</v>
      </c>
      <c r="K25" s="11" t="s">
        <v>1704</v>
      </c>
      <c r="S25" s="11" t="s">
        <v>495</v>
      </c>
      <c r="T25" s="11" t="s">
        <v>355</v>
      </c>
      <c r="U25" s="11" t="s">
        <v>356</v>
      </c>
      <c r="V25" s="31" t="s">
        <v>462</v>
      </c>
      <c r="W25" s="31" t="s">
        <v>1593</v>
      </c>
      <c r="X25" s="31" t="s">
        <v>1593</v>
      </c>
    </row>
    <row r="26" spans="7:24" x14ac:dyDescent="0.3">
      <c r="G26" s="11" t="s">
        <v>57</v>
      </c>
      <c r="H26" s="11" t="s">
        <v>132</v>
      </c>
      <c r="I26" s="11" t="s">
        <v>250</v>
      </c>
      <c r="J26" s="11" t="s">
        <v>1703</v>
      </c>
      <c r="K26" s="11" t="s">
        <v>1704</v>
      </c>
      <c r="S26" s="11" t="s">
        <v>495</v>
      </c>
      <c r="T26" s="11" t="s">
        <v>357</v>
      </c>
      <c r="U26" s="11" t="s">
        <v>358</v>
      </c>
      <c r="V26" s="31" t="s">
        <v>463</v>
      </c>
      <c r="W26" s="31" t="s">
        <v>1594</v>
      </c>
      <c r="X26" s="31" t="s">
        <v>1594</v>
      </c>
    </row>
    <row r="27" spans="7:24" x14ac:dyDescent="0.3">
      <c r="G27" s="11" t="s">
        <v>58</v>
      </c>
      <c r="H27" s="11" t="s">
        <v>133</v>
      </c>
      <c r="I27" s="11" t="s">
        <v>251</v>
      </c>
      <c r="J27" s="11" t="s">
        <v>1701</v>
      </c>
      <c r="K27" s="11" t="s">
        <v>1704</v>
      </c>
      <c r="S27" s="11" t="s">
        <v>495</v>
      </c>
      <c r="T27" s="11" t="s">
        <v>359</v>
      </c>
      <c r="U27" s="11" t="s">
        <v>360</v>
      </c>
      <c r="V27" s="31" t="s">
        <v>464</v>
      </c>
      <c r="W27" s="31" t="s">
        <v>1596</v>
      </c>
      <c r="X27" s="31" t="s">
        <v>1596</v>
      </c>
    </row>
    <row r="28" spans="7:24" x14ac:dyDescent="0.3">
      <c r="G28" s="11" t="s">
        <v>59</v>
      </c>
      <c r="H28" s="11" t="s">
        <v>134</v>
      </c>
      <c r="I28" s="11" t="s">
        <v>252</v>
      </c>
      <c r="J28" s="11" t="s">
        <v>1703</v>
      </c>
      <c r="K28" s="11" t="s">
        <v>1704</v>
      </c>
      <c r="S28" s="11" t="s">
        <v>495</v>
      </c>
      <c r="T28" s="11" t="s">
        <v>361</v>
      </c>
      <c r="U28" s="11" t="s">
        <v>362</v>
      </c>
      <c r="V28" s="31" t="s">
        <v>465</v>
      </c>
      <c r="W28" s="31" t="s">
        <v>1579</v>
      </c>
      <c r="X28" s="31" t="s">
        <v>1579</v>
      </c>
    </row>
    <row r="29" spans="7:24" x14ac:dyDescent="0.3">
      <c r="G29" s="11" t="s">
        <v>60</v>
      </c>
      <c r="H29" s="11" t="s">
        <v>135</v>
      </c>
      <c r="I29" s="11" t="s">
        <v>253</v>
      </c>
      <c r="J29" s="11" t="s">
        <v>1703</v>
      </c>
      <c r="K29" s="11" t="s">
        <v>1704</v>
      </c>
      <c r="S29" s="11" t="s">
        <v>495</v>
      </c>
      <c r="T29" s="11" t="s">
        <v>363</v>
      </c>
      <c r="U29" s="11" t="s">
        <v>364</v>
      </c>
      <c r="V29" s="31" t="s">
        <v>466</v>
      </c>
      <c r="W29" s="31" t="s">
        <v>1580</v>
      </c>
      <c r="X29" s="31" t="s">
        <v>1580</v>
      </c>
    </row>
    <row r="30" spans="7:24" x14ac:dyDescent="0.3">
      <c r="G30" s="11" t="s">
        <v>61</v>
      </c>
      <c r="H30" s="11" t="s">
        <v>136</v>
      </c>
      <c r="I30" s="11" t="s">
        <v>254</v>
      </c>
      <c r="J30" s="11" t="s">
        <v>1701</v>
      </c>
      <c r="K30" s="11" t="s">
        <v>1704</v>
      </c>
      <c r="S30" s="11" t="s">
        <v>495</v>
      </c>
      <c r="T30" s="11" t="s">
        <v>365</v>
      </c>
      <c r="U30" s="11" t="s">
        <v>366</v>
      </c>
      <c r="V30" s="31" t="s">
        <v>477</v>
      </c>
      <c r="W30" s="31" t="s">
        <v>1581</v>
      </c>
      <c r="X30" s="31" t="s">
        <v>1581</v>
      </c>
    </row>
    <row r="31" spans="7:24" x14ac:dyDescent="0.3">
      <c r="G31" s="11" t="s">
        <v>62</v>
      </c>
      <c r="H31" s="11" t="s">
        <v>137</v>
      </c>
      <c r="I31" s="11" t="s">
        <v>1557</v>
      </c>
      <c r="J31" s="11" t="s">
        <v>1701</v>
      </c>
      <c r="K31" s="11" t="s">
        <v>1701</v>
      </c>
      <c r="S31" s="11" t="s">
        <v>495</v>
      </c>
      <c r="T31" s="11" t="s">
        <v>381</v>
      </c>
      <c r="U31" s="11" t="s">
        <v>382</v>
      </c>
      <c r="V31" s="31" t="s">
        <v>461</v>
      </c>
      <c r="W31" s="31" t="s">
        <v>1593</v>
      </c>
      <c r="X31" s="31" t="s">
        <v>1593</v>
      </c>
    </row>
    <row r="32" spans="7:24" hidden="1" x14ac:dyDescent="0.3">
      <c r="G32" s="11" t="s">
        <v>63</v>
      </c>
      <c r="H32" s="11" t="s">
        <v>138</v>
      </c>
      <c r="I32" s="11" t="s">
        <v>256</v>
      </c>
      <c r="J32" s="11" t="s">
        <v>1703</v>
      </c>
      <c r="K32" s="11" t="s">
        <v>1703</v>
      </c>
      <c r="S32" s="11" t="s">
        <v>495</v>
      </c>
      <c r="T32" s="11" t="s">
        <v>367</v>
      </c>
      <c r="U32" s="11" t="s">
        <v>368</v>
      </c>
      <c r="V32" s="31" t="s">
        <v>467</v>
      </c>
      <c r="W32" s="31" t="s">
        <v>1597</v>
      </c>
      <c r="X32" s="31" t="s">
        <v>1597</v>
      </c>
    </row>
    <row r="33" spans="7:24" hidden="1" x14ac:dyDescent="0.3">
      <c r="G33" s="11" t="s">
        <v>64</v>
      </c>
      <c r="H33" s="11" t="s">
        <v>139</v>
      </c>
      <c r="I33" s="11" t="s">
        <v>257</v>
      </c>
      <c r="J33" s="11" t="s">
        <v>1701</v>
      </c>
      <c r="K33" s="11" t="s">
        <v>1704</v>
      </c>
      <c r="S33" s="11" t="s">
        <v>495</v>
      </c>
      <c r="T33" s="11" t="s">
        <v>369</v>
      </c>
      <c r="U33" s="11" t="s">
        <v>370</v>
      </c>
      <c r="V33" s="31" t="s">
        <v>468</v>
      </c>
      <c r="W33" s="31" t="s">
        <v>1593</v>
      </c>
      <c r="X33" s="31" t="s">
        <v>1593</v>
      </c>
    </row>
    <row r="34" spans="7:24" hidden="1" x14ac:dyDescent="0.3">
      <c r="G34" s="11" t="s">
        <v>65</v>
      </c>
      <c r="H34" s="11" t="s">
        <v>140</v>
      </c>
      <c r="I34" s="11" t="s">
        <v>258</v>
      </c>
      <c r="J34" s="11" t="s">
        <v>1701</v>
      </c>
      <c r="K34" s="11" t="s">
        <v>1704</v>
      </c>
      <c r="S34" s="11" t="s">
        <v>495</v>
      </c>
      <c r="T34" s="11" t="s">
        <v>371</v>
      </c>
      <c r="U34" s="11" t="s">
        <v>372</v>
      </c>
      <c r="V34" s="31" t="s">
        <v>469</v>
      </c>
      <c r="W34" s="31" t="s">
        <v>1594</v>
      </c>
      <c r="X34" s="31" t="s">
        <v>1594</v>
      </c>
    </row>
    <row r="35" spans="7:24" hidden="1" x14ac:dyDescent="0.3">
      <c r="G35" s="11" t="s">
        <v>66</v>
      </c>
      <c r="H35" s="11" t="s">
        <v>141</v>
      </c>
      <c r="I35" s="11" t="s">
        <v>259</v>
      </c>
      <c r="J35" s="11" t="s">
        <v>1703</v>
      </c>
      <c r="K35" s="11" t="s">
        <v>1704</v>
      </c>
      <c r="S35" s="11" t="s">
        <v>495</v>
      </c>
      <c r="T35" s="11" t="s">
        <v>373</v>
      </c>
      <c r="U35" s="11" t="s">
        <v>374</v>
      </c>
      <c r="V35" s="31" t="s">
        <v>470</v>
      </c>
      <c r="W35" s="31" t="s">
        <v>1596</v>
      </c>
      <c r="X35" s="31" t="s">
        <v>1596</v>
      </c>
    </row>
    <row r="36" spans="7:24" hidden="1" x14ac:dyDescent="0.3">
      <c r="G36" s="11" t="s">
        <v>67</v>
      </c>
      <c r="H36" s="11" t="s">
        <v>142</v>
      </c>
      <c r="I36" s="11" t="s">
        <v>260</v>
      </c>
      <c r="J36" s="11" t="s">
        <v>1703</v>
      </c>
      <c r="K36" s="11" t="s">
        <v>1704</v>
      </c>
      <c r="S36" s="11" t="s">
        <v>495</v>
      </c>
      <c r="T36" s="11" t="s">
        <v>375</v>
      </c>
      <c r="U36" s="11" t="s">
        <v>376</v>
      </c>
      <c r="V36" s="31" t="s">
        <v>471</v>
      </c>
      <c r="W36" s="31" t="s">
        <v>1580</v>
      </c>
      <c r="X36" s="31" t="s">
        <v>1580</v>
      </c>
    </row>
    <row r="37" spans="7:24" hidden="1" x14ac:dyDescent="0.3">
      <c r="G37" s="11" t="s">
        <v>68</v>
      </c>
      <c r="H37" s="11" t="s">
        <v>143</v>
      </c>
      <c r="I37" s="11" t="s">
        <v>261</v>
      </c>
      <c r="J37" s="11" t="s">
        <v>1701</v>
      </c>
      <c r="K37" s="11" t="s">
        <v>1704</v>
      </c>
      <c r="S37" s="11" t="s">
        <v>495</v>
      </c>
      <c r="T37" s="11" t="s">
        <v>377</v>
      </c>
      <c r="U37" s="11" t="s">
        <v>378</v>
      </c>
      <c r="V37" s="31" t="s">
        <v>478</v>
      </c>
      <c r="W37" s="31" t="s">
        <v>1581</v>
      </c>
      <c r="X37" s="31" t="s">
        <v>1581</v>
      </c>
    </row>
    <row r="38" spans="7:24" hidden="1" x14ac:dyDescent="0.3">
      <c r="G38" s="11" t="s">
        <v>69</v>
      </c>
      <c r="H38" s="11" t="s">
        <v>144</v>
      </c>
      <c r="I38" s="11" t="s">
        <v>262</v>
      </c>
      <c r="J38" s="11" t="s">
        <v>1701</v>
      </c>
      <c r="K38" s="11" t="s">
        <v>1704</v>
      </c>
      <c r="S38" s="11" t="s">
        <v>495</v>
      </c>
      <c r="T38" s="11" t="s">
        <v>379</v>
      </c>
      <c r="U38" s="11" t="s">
        <v>380</v>
      </c>
      <c r="V38" s="31" t="s">
        <v>472</v>
      </c>
      <c r="W38" s="31" t="s">
        <v>1597</v>
      </c>
      <c r="X38" s="31" t="s">
        <v>1597</v>
      </c>
    </row>
    <row r="39" spans="7:24" hidden="1" x14ac:dyDescent="0.3">
      <c r="G39" s="11" t="s">
        <v>70</v>
      </c>
      <c r="H39" s="11" t="s">
        <v>145</v>
      </c>
      <c r="I39" s="11" t="s">
        <v>263</v>
      </c>
      <c r="J39" s="11" t="s">
        <v>1701</v>
      </c>
      <c r="K39" s="11" t="s">
        <v>1704</v>
      </c>
      <c r="S39" s="11" t="s">
        <v>495</v>
      </c>
      <c r="T39" s="11" t="s">
        <v>383</v>
      </c>
      <c r="U39" s="11" t="s">
        <v>384</v>
      </c>
      <c r="V39" s="31" t="s">
        <v>459</v>
      </c>
      <c r="W39" s="31" t="s">
        <v>1593</v>
      </c>
      <c r="X39" s="31" t="s">
        <v>1593</v>
      </c>
    </row>
    <row r="40" spans="7:24" hidden="1" x14ac:dyDescent="0.3">
      <c r="G40" s="11" t="s">
        <v>71</v>
      </c>
      <c r="H40" s="11" t="s">
        <v>146</v>
      </c>
      <c r="I40" s="11" t="s">
        <v>264</v>
      </c>
      <c r="J40" s="11" t="s">
        <v>1701</v>
      </c>
      <c r="K40" s="11" t="s">
        <v>1704</v>
      </c>
      <c r="S40" s="11" t="s">
        <v>495</v>
      </c>
      <c r="T40" s="11" t="s">
        <v>385</v>
      </c>
      <c r="U40" s="11" t="s">
        <v>386</v>
      </c>
      <c r="V40" s="31" t="s">
        <v>473</v>
      </c>
      <c r="W40" s="31" t="s">
        <v>1594</v>
      </c>
      <c r="X40" s="31" t="s">
        <v>1594</v>
      </c>
    </row>
    <row r="41" spans="7:24" hidden="1" x14ac:dyDescent="0.3">
      <c r="G41" s="11" t="s">
        <v>72</v>
      </c>
      <c r="H41" s="11" t="s">
        <v>147</v>
      </c>
      <c r="I41" s="11" t="s">
        <v>265</v>
      </c>
      <c r="J41" s="11" t="s">
        <v>1703</v>
      </c>
      <c r="K41" s="11" t="s">
        <v>1703</v>
      </c>
      <c r="S41" s="11" t="s">
        <v>495</v>
      </c>
      <c r="T41" s="11" t="s">
        <v>387</v>
      </c>
      <c r="U41" s="11" t="s">
        <v>388</v>
      </c>
      <c r="V41" s="31" t="s">
        <v>474</v>
      </c>
      <c r="W41" s="31" t="s">
        <v>1596</v>
      </c>
      <c r="X41" s="31" t="s">
        <v>1596</v>
      </c>
    </row>
    <row r="42" spans="7:24" hidden="1" x14ac:dyDescent="0.3">
      <c r="G42" s="11" t="s">
        <v>73</v>
      </c>
      <c r="H42" s="11" t="s">
        <v>148</v>
      </c>
      <c r="I42" s="11" t="s">
        <v>266</v>
      </c>
      <c r="J42" s="11" t="s">
        <v>1703</v>
      </c>
      <c r="K42" s="11" t="s">
        <v>1703</v>
      </c>
      <c r="S42" s="11" t="s">
        <v>495</v>
      </c>
      <c r="T42" s="11" t="s">
        <v>392</v>
      </c>
      <c r="U42" s="11" t="s">
        <v>393</v>
      </c>
      <c r="V42" s="31" t="s">
        <v>476</v>
      </c>
      <c r="W42" s="31" t="s">
        <v>1580</v>
      </c>
      <c r="X42" s="31" t="s">
        <v>1580</v>
      </c>
    </row>
    <row r="43" spans="7:24" hidden="1" x14ac:dyDescent="0.3">
      <c r="G43" s="11" t="s">
        <v>74</v>
      </c>
      <c r="H43" s="11" t="s">
        <v>149</v>
      </c>
      <c r="I43" s="11" t="s">
        <v>267</v>
      </c>
      <c r="J43" s="11" t="s">
        <v>1701</v>
      </c>
      <c r="K43" s="11" t="s">
        <v>1705</v>
      </c>
      <c r="S43" s="11" t="s">
        <v>495</v>
      </c>
      <c r="T43" s="11" t="s">
        <v>394</v>
      </c>
      <c r="U43" s="11" t="s">
        <v>395</v>
      </c>
      <c r="V43" s="31" t="s">
        <v>479</v>
      </c>
      <c r="W43" s="31" t="s">
        <v>1581</v>
      </c>
      <c r="X43" s="31" t="s">
        <v>1581</v>
      </c>
    </row>
    <row r="44" spans="7:24" hidden="1" x14ac:dyDescent="0.3">
      <c r="G44" s="11" t="s">
        <v>75</v>
      </c>
      <c r="H44" s="11" t="s">
        <v>150</v>
      </c>
      <c r="I44" s="11" t="s">
        <v>268</v>
      </c>
      <c r="J44" s="11" t="s">
        <v>1700</v>
      </c>
      <c r="K44" s="11" t="s">
        <v>1706</v>
      </c>
      <c r="S44" s="11" t="s">
        <v>495</v>
      </c>
      <c r="T44" s="11" t="s">
        <v>389</v>
      </c>
      <c r="U44" s="11" t="s">
        <v>390</v>
      </c>
      <c r="V44" s="31" t="s">
        <v>391</v>
      </c>
      <c r="W44" s="31" t="s">
        <v>1585</v>
      </c>
      <c r="X44" s="31" t="s">
        <v>1585</v>
      </c>
    </row>
    <row r="45" spans="7:24" x14ac:dyDescent="0.3">
      <c r="G45" s="11" t="s">
        <v>76</v>
      </c>
      <c r="H45" s="11" t="s">
        <v>151</v>
      </c>
      <c r="I45" s="11" t="s">
        <v>269</v>
      </c>
      <c r="J45" s="11" t="s">
        <v>1703</v>
      </c>
      <c r="K45" s="11" t="s">
        <v>1703</v>
      </c>
      <c r="S45" s="11" t="s">
        <v>234</v>
      </c>
      <c r="T45" s="11" t="s">
        <v>396</v>
      </c>
      <c r="U45" s="11" t="s">
        <v>215</v>
      </c>
      <c r="V45" s="31" t="s">
        <v>480</v>
      </c>
      <c r="W45" s="31" t="s">
        <v>1582</v>
      </c>
      <c r="X45" s="31" t="s">
        <v>1582</v>
      </c>
    </row>
    <row r="46" spans="7:24" x14ac:dyDescent="0.3">
      <c r="G46" s="11" t="s">
        <v>77</v>
      </c>
      <c r="H46" s="11" t="s">
        <v>152</v>
      </c>
      <c r="I46" s="11" t="s">
        <v>270</v>
      </c>
      <c r="J46" s="11" t="s">
        <v>1703</v>
      </c>
      <c r="K46" s="11" t="s">
        <v>1703</v>
      </c>
      <c r="S46" s="11" t="s">
        <v>234</v>
      </c>
      <c r="T46" s="11" t="s">
        <v>404</v>
      </c>
      <c r="U46" s="11" t="s">
        <v>222</v>
      </c>
      <c r="V46" s="31" t="s">
        <v>481</v>
      </c>
      <c r="W46" s="31" t="s">
        <v>1591</v>
      </c>
      <c r="X46" s="31" t="s">
        <v>1591</v>
      </c>
    </row>
    <row r="47" spans="7:24" x14ac:dyDescent="0.3">
      <c r="G47" s="11" t="s">
        <v>78</v>
      </c>
      <c r="H47" s="11" t="s">
        <v>153</v>
      </c>
      <c r="I47" s="11" t="s">
        <v>271</v>
      </c>
      <c r="J47" s="11" t="s">
        <v>1700</v>
      </c>
      <c r="K47" s="11" t="s">
        <v>1700</v>
      </c>
      <c r="S47" s="11" t="s">
        <v>234</v>
      </c>
      <c r="T47" s="11" t="s">
        <v>408</v>
      </c>
      <c r="U47" s="11" t="s">
        <v>226</v>
      </c>
      <c r="V47" s="31" t="s">
        <v>477</v>
      </c>
      <c r="W47" s="31" t="s">
        <v>1583</v>
      </c>
      <c r="X47" s="31" t="s">
        <v>1692</v>
      </c>
    </row>
    <row r="48" spans="7:24" hidden="1" x14ac:dyDescent="0.3">
      <c r="G48" s="11" t="s">
        <v>79</v>
      </c>
      <c r="H48" s="11" t="s">
        <v>154</v>
      </c>
      <c r="I48" s="11" t="s">
        <v>272</v>
      </c>
      <c r="J48" s="11" t="s">
        <v>1701</v>
      </c>
      <c r="K48" s="11" t="s">
        <v>1701</v>
      </c>
      <c r="S48" s="11" t="s">
        <v>234</v>
      </c>
      <c r="T48" s="11" t="s">
        <v>397</v>
      </c>
      <c r="U48" s="11" t="s">
        <v>216</v>
      </c>
      <c r="V48" s="31" t="s">
        <v>482</v>
      </c>
      <c r="W48" s="31" t="s">
        <v>1582</v>
      </c>
      <c r="X48" s="31" t="s">
        <v>1582</v>
      </c>
    </row>
    <row r="49" spans="7:24" hidden="1" x14ac:dyDescent="0.3">
      <c r="G49" s="11" t="s">
        <v>80</v>
      </c>
      <c r="H49" s="11" t="s">
        <v>155</v>
      </c>
      <c r="I49" s="11" t="s">
        <v>273</v>
      </c>
      <c r="J49" s="11" t="s">
        <v>1701</v>
      </c>
      <c r="K49" s="11" t="s">
        <v>1701</v>
      </c>
      <c r="S49" s="11" t="s">
        <v>234</v>
      </c>
      <c r="T49" s="11" t="s">
        <v>402</v>
      </c>
      <c r="U49" s="11" t="s">
        <v>220</v>
      </c>
      <c r="V49" s="31" t="s">
        <v>483</v>
      </c>
      <c r="W49" s="31" t="s">
        <v>1584</v>
      </c>
      <c r="X49" s="31" t="s">
        <v>1584</v>
      </c>
    </row>
    <row r="50" spans="7:24" hidden="1" x14ac:dyDescent="0.3">
      <c r="G50" s="11" t="s">
        <v>81</v>
      </c>
      <c r="H50" s="11" t="s">
        <v>156</v>
      </c>
      <c r="I50" s="11"/>
      <c r="J50" s="11" t="s">
        <v>1701</v>
      </c>
      <c r="K50" s="11" t="s">
        <v>1700</v>
      </c>
      <c r="S50" s="11" t="s">
        <v>234</v>
      </c>
      <c r="T50" s="11" t="s">
        <v>406</v>
      </c>
      <c r="U50" s="11" t="s">
        <v>223</v>
      </c>
      <c r="V50" s="31" t="s">
        <v>484</v>
      </c>
      <c r="W50" s="31" t="s">
        <v>1591</v>
      </c>
      <c r="X50" s="31" t="s">
        <v>1591</v>
      </c>
    </row>
    <row r="51" spans="7:24" hidden="1" x14ac:dyDescent="0.3">
      <c r="G51" s="11" t="s">
        <v>82</v>
      </c>
      <c r="H51" s="11" t="s">
        <v>157</v>
      </c>
      <c r="I51" s="11" t="s">
        <v>274</v>
      </c>
      <c r="J51" s="11" t="s">
        <v>1703</v>
      </c>
      <c r="K51" s="11" t="s">
        <v>1703</v>
      </c>
      <c r="S51" s="11" t="s">
        <v>234</v>
      </c>
      <c r="T51" s="11" t="s">
        <v>409</v>
      </c>
      <c r="U51" s="11" t="s">
        <v>228</v>
      </c>
      <c r="V51" s="31" t="s">
        <v>479</v>
      </c>
      <c r="W51" s="31" t="s">
        <v>1583</v>
      </c>
      <c r="X51" s="31" t="s">
        <v>1692</v>
      </c>
    </row>
    <row r="52" spans="7:24" hidden="1" x14ac:dyDescent="0.3">
      <c r="G52" s="11" t="s">
        <v>83</v>
      </c>
      <c r="H52" s="11" t="s">
        <v>158</v>
      </c>
      <c r="I52" s="11" t="s">
        <v>275</v>
      </c>
      <c r="J52" s="11" t="s">
        <v>1701</v>
      </c>
      <c r="K52" s="11" t="s">
        <v>1704</v>
      </c>
      <c r="S52" s="11" t="s">
        <v>234</v>
      </c>
      <c r="T52" s="11" t="s">
        <v>399</v>
      </c>
      <c r="U52" s="11" t="s">
        <v>217</v>
      </c>
      <c r="V52" s="31" t="s">
        <v>485</v>
      </c>
      <c r="W52" s="31" t="s">
        <v>1582</v>
      </c>
      <c r="X52" s="31" t="s">
        <v>1582</v>
      </c>
    </row>
    <row r="53" spans="7:24" hidden="1" x14ac:dyDescent="0.3">
      <c r="G53" s="11" t="s">
        <v>84</v>
      </c>
      <c r="H53" s="11" t="s">
        <v>159</v>
      </c>
      <c r="I53" s="11" t="s">
        <v>276</v>
      </c>
      <c r="J53" s="11" t="s">
        <v>1703</v>
      </c>
      <c r="K53" s="11" t="s">
        <v>1703</v>
      </c>
      <c r="S53" s="11" t="s">
        <v>234</v>
      </c>
      <c r="T53" s="11" t="s">
        <v>400</v>
      </c>
      <c r="U53" s="11" t="s">
        <v>218</v>
      </c>
      <c r="V53" s="31" t="s">
        <v>486</v>
      </c>
      <c r="W53" s="31" t="s">
        <v>1586</v>
      </c>
      <c r="X53" s="31" t="s">
        <v>1586</v>
      </c>
    </row>
    <row r="54" spans="7:24" hidden="1" x14ac:dyDescent="0.3">
      <c r="G54" s="11" t="s">
        <v>85</v>
      </c>
      <c r="H54" s="11" t="s">
        <v>160</v>
      </c>
      <c r="I54" s="11" t="s">
        <v>277</v>
      </c>
      <c r="J54" s="11" t="s">
        <v>1700</v>
      </c>
      <c r="K54" s="11" t="s">
        <v>1700</v>
      </c>
      <c r="S54" s="11" t="s">
        <v>234</v>
      </c>
      <c r="T54" s="11" t="s">
        <v>401</v>
      </c>
      <c r="U54" s="11" t="s">
        <v>219</v>
      </c>
      <c r="V54" s="31" t="s">
        <v>487</v>
      </c>
      <c r="W54" s="31" t="s">
        <v>1587</v>
      </c>
      <c r="X54" s="31" t="s">
        <v>1587</v>
      </c>
    </row>
    <row r="55" spans="7:24" hidden="1" x14ac:dyDescent="0.3">
      <c r="G55" s="11" t="s">
        <v>86</v>
      </c>
      <c r="H55" s="11" t="s">
        <v>161</v>
      </c>
      <c r="I55" s="11" t="s">
        <v>278</v>
      </c>
      <c r="J55" s="11" t="s">
        <v>1700</v>
      </c>
      <c r="K55" s="11" t="s">
        <v>1700</v>
      </c>
      <c r="S55" s="11" t="s">
        <v>234</v>
      </c>
      <c r="T55" s="11" t="s">
        <v>403</v>
      </c>
      <c r="U55" s="11" t="s">
        <v>221</v>
      </c>
      <c r="V55" s="31" t="s">
        <v>488</v>
      </c>
      <c r="W55" s="31" t="s">
        <v>1584</v>
      </c>
      <c r="X55" s="31" t="s">
        <v>1584</v>
      </c>
    </row>
    <row r="56" spans="7:24" hidden="1" x14ac:dyDescent="0.3">
      <c r="G56" s="11" t="s">
        <v>87</v>
      </c>
      <c r="H56" s="11" t="s">
        <v>162</v>
      </c>
      <c r="I56" s="11" t="s">
        <v>279</v>
      </c>
      <c r="J56" s="11" t="s">
        <v>1701</v>
      </c>
      <c r="K56" s="11" t="s">
        <v>1704</v>
      </c>
      <c r="S56" s="11" t="s">
        <v>234</v>
      </c>
      <c r="T56" s="11" t="s">
        <v>405</v>
      </c>
      <c r="U56" s="11" t="s">
        <v>224</v>
      </c>
      <c r="V56" s="31" t="s">
        <v>489</v>
      </c>
      <c r="W56" s="31" t="s">
        <v>1591</v>
      </c>
      <c r="X56" s="31" t="s">
        <v>1591</v>
      </c>
    </row>
    <row r="57" spans="7:24" hidden="1" x14ac:dyDescent="0.3">
      <c r="G57" s="11" t="s">
        <v>88</v>
      </c>
      <c r="H57" s="11" t="s">
        <v>163</v>
      </c>
      <c r="I57" s="11"/>
      <c r="J57" s="11" t="s">
        <v>1700</v>
      </c>
      <c r="K57" s="11" t="s">
        <v>1700</v>
      </c>
      <c r="S57" s="11" t="s">
        <v>234</v>
      </c>
      <c r="T57" s="11" t="s">
        <v>407</v>
      </c>
      <c r="U57" s="11" t="s">
        <v>225</v>
      </c>
      <c r="V57" s="31" t="s">
        <v>490</v>
      </c>
      <c r="W57" s="31" t="s">
        <v>1588</v>
      </c>
      <c r="X57" s="31" t="s">
        <v>1588</v>
      </c>
    </row>
    <row r="58" spans="7:24" hidden="1" x14ac:dyDescent="0.3">
      <c r="G58" s="11" t="s">
        <v>89</v>
      </c>
      <c r="H58" s="11" t="s">
        <v>164</v>
      </c>
      <c r="I58" s="11"/>
      <c r="J58" s="11" t="s">
        <v>1703</v>
      </c>
      <c r="K58" s="11" t="s">
        <v>1703</v>
      </c>
      <c r="S58" s="11" t="s">
        <v>234</v>
      </c>
      <c r="T58" s="11" t="s">
        <v>410</v>
      </c>
      <c r="U58" s="11" t="s">
        <v>227</v>
      </c>
      <c r="V58" s="31" t="s">
        <v>478</v>
      </c>
      <c r="W58" s="31" t="s">
        <v>1583</v>
      </c>
      <c r="X58" s="31" t="s">
        <v>1692</v>
      </c>
    </row>
    <row r="59" spans="7:24" hidden="1" x14ac:dyDescent="0.3">
      <c r="G59" s="11" t="s">
        <v>90</v>
      </c>
      <c r="H59" s="11" t="s">
        <v>165</v>
      </c>
      <c r="I59" s="11"/>
      <c r="J59" s="11" t="s">
        <v>1703</v>
      </c>
      <c r="K59" s="11" t="s">
        <v>1703</v>
      </c>
      <c r="S59" s="11" t="s">
        <v>496</v>
      </c>
      <c r="T59" s="11" t="s">
        <v>411</v>
      </c>
      <c r="U59" s="11" t="s">
        <v>412</v>
      </c>
      <c r="V59" s="31" t="s">
        <v>491</v>
      </c>
      <c r="W59" s="31" t="s">
        <v>496</v>
      </c>
      <c r="X59" s="31" t="s">
        <v>496</v>
      </c>
    </row>
    <row r="60" spans="7:24" hidden="1" x14ac:dyDescent="0.3">
      <c r="G60" s="11" t="s">
        <v>91</v>
      </c>
      <c r="H60" s="11" t="s">
        <v>166</v>
      </c>
      <c r="I60" s="11"/>
      <c r="J60" s="11" t="s">
        <v>1703</v>
      </c>
      <c r="K60" s="11" t="s">
        <v>1703</v>
      </c>
      <c r="S60" s="11" t="s">
        <v>497</v>
      </c>
      <c r="T60" s="11" t="s">
        <v>424</v>
      </c>
      <c r="U60" s="11" t="s">
        <v>425</v>
      </c>
      <c r="V60" s="31" t="s">
        <v>459</v>
      </c>
      <c r="W60" s="31" t="s">
        <v>425</v>
      </c>
      <c r="X60" s="31" t="s">
        <v>425</v>
      </c>
    </row>
    <row r="61" spans="7:24" hidden="1" x14ac:dyDescent="0.3">
      <c r="G61" s="11" t="s">
        <v>92</v>
      </c>
      <c r="H61" s="11" t="s">
        <v>167</v>
      </c>
      <c r="I61" s="11"/>
      <c r="J61" s="11" t="s">
        <v>1700</v>
      </c>
      <c r="K61" s="11" t="s">
        <v>1700</v>
      </c>
      <c r="S61" s="11" t="s">
        <v>497</v>
      </c>
      <c r="T61" s="11" t="s">
        <v>426</v>
      </c>
      <c r="U61" s="11" t="s">
        <v>427</v>
      </c>
      <c r="V61" s="31" t="s">
        <v>459</v>
      </c>
      <c r="W61" s="31" t="s">
        <v>427</v>
      </c>
      <c r="X61" s="31" t="s">
        <v>427</v>
      </c>
    </row>
    <row r="62" spans="7:24" hidden="1" x14ac:dyDescent="0.3">
      <c r="G62" s="11" t="s">
        <v>93</v>
      </c>
      <c r="H62" s="11" t="s">
        <v>168</v>
      </c>
      <c r="I62" s="11"/>
      <c r="J62" s="11" t="s">
        <v>1703</v>
      </c>
      <c r="K62" s="11" t="s">
        <v>1703</v>
      </c>
      <c r="S62" s="11" t="s">
        <v>497</v>
      </c>
      <c r="T62" s="11" t="s">
        <v>428</v>
      </c>
      <c r="U62" s="11" t="s">
        <v>429</v>
      </c>
      <c r="V62" s="32" t="s">
        <v>459</v>
      </c>
      <c r="W62" s="32" t="s">
        <v>429</v>
      </c>
      <c r="X62" s="32" t="s">
        <v>429</v>
      </c>
    </row>
    <row r="63" spans="7:24" x14ac:dyDescent="0.3">
      <c r="G63" s="11" t="s">
        <v>94</v>
      </c>
      <c r="H63" s="11" t="s">
        <v>169</v>
      </c>
      <c r="I63" s="11" t="s">
        <v>280</v>
      </c>
      <c r="J63" s="11" t="s">
        <v>1701</v>
      </c>
      <c r="K63" s="11" t="s">
        <v>1704</v>
      </c>
    </row>
    <row r="64" spans="7:24" x14ac:dyDescent="0.3">
      <c r="G64" s="11" t="s">
        <v>95</v>
      </c>
      <c r="H64" s="11" t="s">
        <v>170</v>
      </c>
      <c r="I64" s="11" t="s">
        <v>281</v>
      </c>
      <c r="J64" s="11" t="s">
        <v>1701</v>
      </c>
      <c r="K64" s="11" t="s">
        <v>1704</v>
      </c>
    </row>
    <row r="65" spans="7:11" x14ac:dyDescent="0.3">
      <c r="G65" s="11" t="s">
        <v>96</v>
      </c>
      <c r="H65" s="11" t="s">
        <v>171</v>
      </c>
      <c r="I65" s="11" t="s">
        <v>282</v>
      </c>
      <c r="J65" s="11" t="s">
        <v>1701</v>
      </c>
      <c r="K65" s="11" t="s">
        <v>1704</v>
      </c>
    </row>
    <row r="66" spans="7:11" x14ac:dyDescent="0.3">
      <c r="G66" s="11" t="s">
        <v>97</v>
      </c>
      <c r="H66" s="11" t="s">
        <v>172</v>
      </c>
      <c r="I66" s="11" t="s">
        <v>283</v>
      </c>
      <c r="J66" s="11" t="s">
        <v>1701</v>
      </c>
      <c r="K66" s="11" t="s">
        <v>1700</v>
      </c>
    </row>
    <row r="67" spans="7:11" x14ac:dyDescent="0.3">
      <c r="G67" s="11" t="s">
        <v>98</v>
      </c>
      <c r="H67" s="11" t="s">
        <v>173</v>
      </c>
      <c r="I67" s="11" t="s">
        <v>284</v>
      </c>
      <c r="J67" s="11" t="s">
        <v>1701</v>
      </c>
      <c r="K67" s="11" t="s">
        <v>1704</v>
      </c>
    </row>
    <row r="68" spans="7:11" x14ac:dyDescent="0.3">
      <c r="G68" s="11" t="s">
        <v>99</v>
      </c>
      <c r="H68" s="11" t="s">
        <v>174</v>
      </c>
      <c r="I68" s="11" t="s">
        <v>285</v>
      </c>
      <c r="J68" s="11" t="s">
        <v>1703</v>
      </c>
      <c r="K68" s="11" t="s">
        <v>1703</v>
      </c>
    </row>
    <row r="69" spans="7:11" x14ac:dyDescent="0.3">
      <c r="G69" s="11" t="s">
        <v>100</v>
      </c>
      <c r="H69" s="11" t="s">
        <v>175</v>
      </c>
      <c r="I69" s="11" t="s">
        <v>286</v>
      </c>
      <c r="J69" s="11" t="s">
        <v>1701</v>
      </c>
      <c r="K69" s="11" t="s">
        <v>1704</v>
      </c>
    </row>
    <row r="70" spans="7:11" x14ac:dyDescent="0.3">
      <c r="G70" s="11" t="s">
        <v>101</v>
      </c>
      <c r="H70" s="11" t="s">
        <v>176</v>
      </c>
      <c r="I70" s="11" t="s">
        <v>287</v>
      </c>
      <c r="J70" s="11" t="s">
        <v>1700</v>
      </c>
      <c r="K70" s="11" t="s">
        <v>1703</v>
      </c>
    </row>
    <row r="71" spans="7:11" x14ac:dyDescent="0.3">
      <c r="G71" s="11" t="s">
        <v>102</v>
      </c>
      <c r="H71" s="11" t="s">
        <v>177</v>
      </c>
      <c r="I71" s="11"/>
      <c r="J71" s="11" t="s">
        <v>1700</v>
      </c>
      <c r="K71" s="11" t="s">
        <v>1700</v>
      </c>
    </row>
    <row r="72" spans="7:11" x14ac:dyDescent="0.3">
      <c r="G72" s="11" t="s">
        <v>103</v>
      </c>
      <c r="H72" s="11" t="s">
        <v>178</v>
      </c>
      <c r="I72" s="11"/>
      <c r="J72" s="11" t="s">
        <v>1700</v>
      </c>
      <c r="K72" s="11" t="s">
        <v>1700</v>
      </c>
    </row>
    <row r="73" spans="7:11" x14ac:dyDescent="0.3">
      <c r="G73" s="11" t="s">
        <v>104</v>
      </c>
      <c r="H73" s="11" t="s">
        <v>179</v>
      </c>
      <c r="I73" s="11"/>
      <c r="J73" s="11" t="s">
        <v>1700</v>
      </c>
      <c r="K73" s="11" t="s">
        <v>1700</v>
      </c>
    </row>
    <row r="74" spans="7:11" x14ac:dyDescent="0.3">
      <c r="G74" s="11" t="s">
        <v>105</v>
      </c>
      <c r="H74" s="11" t="s">
        <v>180</v>
      </c>
      <c r="I74" s="11" t="s">
        <v>288</v>
      </c>
      <c r="J74" s="11" t="s">
        <v>1703</v>
      </c>
      <c r="K74" s="11" t="s">
        <v>1703</v>
      </c>
    </row>
    <row r="75" spans="7:11" x14ac:dyDescent="0.3">
      <c r="G75" s="11" t="s">
        <v>106</v>
      </c>
      <c r="H75" s="11" t="s">
        <v>181</v>
      </c>
      <c r="I75" s="11" t="s">
        <v>289</v>
      </c>
      <c r="J75" s="11" t="s">
        <v>1701</v>
      </c>
      <c r="K75" s="11" t="s">
        <v>1704</v>
      </c>
    </row>
    <row r="76" spans="7:11" x14ac:dyDescent="0.3">
      <c r="G76" s="11" t="s">
        <v>107</v>
      </c>
      <c r="H76" s="11" t="s">
        <v>182</v>
      </c>
      <c r="I76" s="11"/>
      <c r="J76" s="11" t="s">
        <v>1700</v>
      </c>
      <c r="K76" s="11" t="s">
        <v>1700</v>
      </c>
    </row>
    <row r="77" spans="7:11" x14ac:dyDescent="0.3">
      <c r="G77" s="60" t="s">
        <v>1365</v>
      </c>
      <c r="H77" s="60" t="s">
        <v>1366</v>
      </c>
      <c r="I77" s="60" t="s">
        <v>1364</v>
      </c>
      <c r="J77" s="11" t="s">
        <v>1701</v>
      </c>
      <c r="K77" s="11" t="s">
        <v>1704</v>
      </c>
    </row>
    <row r="78" spans="7:11" x14ac:dyDescent="0.3">
      <c r="G78" s="60" t="s">
        <v>1553</v>
      </c>
      <c r="H78" s="60" t="s">
        <v>1223</v>
      </c>
      <c r="I78" s="60" t="s">
        <v>1553</v>
      </c>
      <c r="J78" s="60" t="s">
        <v>1701</v>
      </c>
      <c r="K78" s="11" t="s">
        <v>1701</v>
      </c>
    </row>
    <row r="79" spans="7:11" x14ac:dyDescent="0.3">
      <c r="G79" s="60" t="s">
        <v>1701</v>
      </c>
      <c r="H79" s="60"/>
      <c r="I79" s="60"/>
      <c r="J79" s="60" t="s">
        <v>1701</v>
      </c>
      <c r="K79" s="60" t="s">
        <v>1701</v>
      </c>
    </row>
    <row r="80" spans="7:11" x14ac:dyDescent="0.3">
      <c r="G80" s="11" t="s">
        <v>1703</v>
      </c>
      <c r="H80" s="11"/>
      <c r="I80" s="11"/>
      <c r="J80" s="11" t="s">
        <v>1703</v>
      </c>
      <c r="K80" s="11" t="s">
        <v>1703</v>
      </c>
    </row>
    <row r="81" spans="7:11" x14ac:dyDescent="0.3">
      <c r="G81" s="11" t="s">
        <v>1700</v>
      </c>
      <c r="H81" s="11"/>
      <c r="I81" s="11"/>
      <c r="J81" s="11" t="s">
        <v>1700</v>
      </c>
      <c r="K81" s="11" t="s">
        <v>1700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7E8B-1AF9-4653-8241-7AF88F47B3AB}">
  <sheetPr codeName="Sheet13"/>
  <dimension ref="A1:K73"/>
  <sheetViews>
    <sheetView showGridLines="0" zoomScale="85" zoomScaleNormal="85" workbookViewId="0">
      <pane ySplit="1" topLeftCell="A2" activePane="bottomLeft" state="frozen"/>
      <selection pane="bottomLeft" activeCell="G29" sqref="G29"/>
    </sheetView>
  </sheetViews>
  <sheetFormatPr defaultRowHeight="14.4" x14ac:dyDescent="0.3"/>
  <cols>
    <col min="2" max="2" width="27.44140625" customWidth="1"/>
    <col min="3" max="3" width="20.44140625" customWidth="1"/>
    <col min="4" max="9" width="27.44140625" customWidth="1"/>
    <col min="10" max="10" width="18.77734375" customWidth="1"/>
    <col min="11" max="11" width="24.44140625" customWidth="1"/>
  </cols>
  <sheetData>
    <row r="1" spans="1:11" ht="53.4" thickBot="1" x14ac:dyDescent="0.35">
      <c r="A1" s="21" t="s">
        <v>325</v>
      </c>
      <c r="B1" s="22" t="s">
        <v>326</v>
      </c>
      <c r="C1" s="23" t="s">
        <v>327</v>
      </c>
      <c r="D1" s="23" t="s">
        <v>328</v>
      </c>
      <c r="E1" s="23" t="s">
        <v>329</v>
      </c>
      <c r="F1" s="23" t="s">
        <v>330</v>
      </c>
      <c r="G1" s="23" t="s">
        <v>331</v>
      </c>
      <c r="H1" s="23" t="s">
        <v>332</v>
      </c>
      <c r="I1" s="23" t="s">
        <v>333</v>
      </c>
      <c r="J1" s="29" t="s">
        <v>454</v>
      </c>
      <c r="K1" s="29" t="s">
        <v>455</v>
      </c>
    </row>
    <row r="2" spans="1:11" ht="15" thickBot="1" x14ac:dyDescent="0.35">
      <c r="A2" s="24" t="s">
        <v>413</v>
      </c>
      <c r="B2" s="25" t="s">
        <v>414</v>
      </c>
      <c r="C2" s="25" t="s">
        <v>415</v>
      </c>
      <c r="D2" s="26">
        <v>1531900100</v>
      </c>
      <c r="E2" s="26">
        <v>1531900100</v>
      </c>
      <c r="F2" s="25">
        <v>6273001908</v>
      </c>
      <c r="G2" s="25">
        <v>7111000100</v>
      </c>
      <c r="H2" s="25">
        <v>8111000100</v>
      </c>
      <c r="I2" s="27" t="s">
        <v>398</v>
      </c>
      <c r="J2" t="str">
        <f t="shared" ref="J2:J33" si="0">LEFT($D2,3)</f>
        <v>153</v>
      </c>
      <c r="K2" t="str">
        <f t="shared" ref="K2:K33" si="1">LEFT(F2,3)</f>
        <v>627</v>
      </c>
    </row>
    <row r="3" spans="1:11" ht="15" thickBot="1" x14ac:dyDescent="0.35">
      <c r="A3" s="24" t="s">
        <v>416</v>
      </c>
      <c r="B3" s="25" t="s">
        <v>417</v>
      </c>
      <c r="C3" s="25" t="s">
        <v>418</v>
      </c>
      <c r="D3" s="26">
        <v>1531900100</v>
      </c>
      <c r="E3" s="26">
        <v>1531900100</v>
      </c>
      <c r="F3" s="25">
        <v>6413001908</v>
      </c>
      <c r="G3" s="25">
        <v>7111000100</v>
      </c>
      <c r="H3" s="25">
        <v>8111000100</v>
      </c>
      <c r="I3" s="27" t="s">
        <v>398</v>
      </c>
      <c r="J3" t="str">
        <f t="shared" si="0"/>
        <v>153</v>
      </c>
      <c r="K3" t="str">
        <f t="shared" si="1"/>
        <v>641</v>
      </c>
    </row>
    <row r="4" spans="1:11" ht="15" thickBot="1" x14ac:dyDescent="0.35">
      <c r="A4" s="24" t="s">
        <v>419</v>
      </c>
      <c r="B4" s="25" t="s">
        <v>420</v>
      </c>
      <c r="C4" s="25" t="s">
        <v>421</v>
      </c>
      <c r="D4" s="26">
        <v>1531900100</v>
      </c>
      <c r="E4" s="26">
        <v>1531900100</v>
      </c>
      <c r="F4" s="25">
        <v>6423001908</v>
      </c>
      <c r="G4" s="25">
        <v>7111000100</v>
      </c>
      <c r="H4" s="25">
        <v>8111000100</v>
      </c>
      <c r="I4" s="27" t="s">
        <v>398</v>
      </c>
      <c r="J4" t="str">
        <f t="shared" si="0"/>
        <v>153</v>
      </c>
      <c r="K4" t="str">
        <f t="shared" si="1"/>
        <v>642</v>
      </c>
    </row>
    <row r="5" spans="1:11" ht="15" thickBot="1" x14ac:dyDescent="0.35">
      <c r="A5" s="24" t="s">
        <v>422</v>
      </c>
      <c r="B5" s="25" t="s">
        <v>423</v>
      </c>
      <c r="C5" s="25" t="s">
        <v>422</v>
      </c>
      <c r="D5" s="25">
        <v>1542000100</v>
      </c>
      <c r="E5" s="25"/>
      <c r="F5" s="25">
        <v>6424001903</v>
      </c>
      <c r="G5" s="25">
        <v>7111000100</v>
      </c>
      <c r="H5" s="25">
        <v>8111000100</v>
      </c>
      <c r="I5" s="27" t="s">
        <v>334</v>
      </c>
      <c r="J5" t="str">
        <f t="shared" si="0"/>
        <v>154</v>
      </c>
      <c r="K5" t="str">
        <f t="shared" si="1"/>
        <v>642</v>
      </c>
    </row>
    <row r="6" spans="1:11" ht="15" thickBot="1" x14ac:dyDescent="0.35">
      <c r="A6" s="24" t="s">
        <v>319</v>
      </c>
      <c r="B6" s="25" t="s">
        <v>197</v>
      </c>
      <c r="C6" s="25" t="s">
        <v>319</v>
      </c>
      <c r="D6" s="26">
        <v>2111000100</v>
      </c>
      <c r="E6" s="26">
        <v>2141000100</v>
      </c>
      <c r="F6" s="25">
        <v>6274001901</v>
      </c>
      <c r="G6" s="25">
        <v>7111000100</v>
      </c>
      <c r="H6" s="25">
        <v>8111000100</v>
      </c>
      <c r="I6" s="27" t="s">
        <v>334</v>
      </c>
      <c r="J6" t="str">
        <f t="shared" si="0"/>
        <v>211</v>
      </c>
      <c r="K6" t="str">
        <f t="shared" si="1"/>
        <v>627</v>
      </c>
    </row>
    <row r="7" spans="1:11" ht="27" thickBot="1" x14ac:dyDescent="0.35">
      <c r="A7" s="24" t="s">
        <v>337</v>
      </c>
      <c r="B7" s="25" t="s">
        <v>200</v>
      </c>
      <c r="C7" s="25" t="s">
        <v>337</v>
      </c>
      <c r="D7" s="26">
        <v>2112000100</v>
      </c>
      <c r="E7" s="26">
        <v>2141000100</v>
      </c>
      <c r="F7" s="25">
        <v>6274001906</v>
      </c>
      <c r="G7" s="25">
        <v>7111000100</v>
      </c>
      <c r="H7" s="25">
        <v>8111000100</v>
      </c>
      <c r="I7" s="27" t="s">
        <v>334</v>
      </c>
      <c r="J7" t="str">
        <f t="shared" si="0"/>
        <v>211</v>
      </c>
      <c r="K7" t="str">
        <f t="shared" si="1"/>
        <v>627</v>
      </c>
    </row>
    <row r="8" spans="1:11" ht="15" thickBot="1" x14ac:dyDescent="0.35">
      <c r="A8" s="24" t="s">
        <v>338</v>
      </c>
      <c r="B8" s="25" t="s">
        <v>201</v>
      </c>
      <c r="C8" s="25" t="s">
        <v>338</v>
      </c>
      <c r="D8" s="26">
        <v>2112000100</v>
      </c>
      <c r="E8" s="26">
        <v>2141000100</v>
      </c>
      <c r="F8" s="25">
        <v>6274001903</v>
      </c>
      <c r="G8" s="25">
        <v>7111000100</v>
      </c>
      <c r="H8" s="25">
        <v>8111000100</v>
      </c>
      <c r="I8" s="27" t="s">
        <v>339</v>
      </c>
      <c r="J8" t="str">
        <f t="shared" si="0"/>
        <v>211</v>
      </c>
      <c r="K8" t="str">
        <f t="shared" si="1"/>
        <v>627</v>
      </c>
    </row>
    <row r="9" spans="1:11" ht="27" thickBot="1" x14ac:dyDescent="0.35">
      <c r="A9" s="24" t="s">
        <v>342</v>
      </c>
      <c r="B9" s="25" t="s">
        <v>204</v>
      </c>
      <c r="C9" s="25" t="s">
        <v>342</v>
      </c>
      <c r="D9" s="26">
        <v>2113000100</v>
      </c>
      <c r="E9" s="26">
        <v>2141000100</v>
      </c>
      <c r="F9" s="25">
        <v>6274001905</v>
      </c>
      <c r="G9" s="25">
        <v>7111000100</v>
      </c>
      <c r="H9" s="25">
        <v>8111000100</v>
      </c>
      <c r="I9" s="27" t="s">
        <v>339</v>
      </c>
      <c r="J9" t="str">
        <f t="shared" si="0"/>
        <v>211</v>
      </c>
      <c r="K9" t="str">
        <f t="shared" si="1"/>
        <v>627</v>
      </c>
    </row>
    <row r="10" spans="1:11" ht="27" thickBot="1" x14ac:dyDescent="0.35">
      <c r="A10" s="24" t="s">
        <v>345</v>
      </c>
      <c r="B10" s="25" t="s">
        <v>207</v>
      </c>
      <c r="C10" s="25" t="s">
        <v>345</v>
      </c>
      <c r="D10" s="26">
        <v>2114000100</v>
      </c>
      <c r="E10" s="26">
        <v>2141000100</v>
      </c>
      <c r="F10" s="25">
        <v>6274001904</v>
      </c>
      <c r="G10" s="25">
        <v>7111000100</v>
      </c>
      <c r="H10" s="25">
        <v>8111000100</v>
      </c>
      <c r="I10" s="27" t="s">
        <v>339</v>
      </c>
      <c r="J10" t="str">
        <f t="shared" si="0"/>
        <v>211</v>
      </c>
      <c r="K10" t="str">
        <f t="shared" si="1"/>
        <v>627</v>
      </c>
    </row>
    <row r="11" spans="1:11" ht="15" thickBot="1" x14ac:dyDescent="0.35">
      <c r="A11" s="24" t="s">
        <v>349</v>
      </c>
      <c r="B11" s="25" t="s">
        <v>211</v>
      </c>
      <c r="C11" s="25" t="s">
        <v>349</v>
      </c>
      <c r="D11" s="25">
        <v>2117000100</v>
      </c>
      <c r="E11" s="26">
        <v>2141000100</v>
      </c>
      <c r="F11" s="25">
        <v>6274001902</v>
      </c>
      <c r="G11" s="25">
        <v>7111000100</v>
      </c>
      <c r="H11" s="25">
        <v>8111000100</v>
      </c>
      <c r="I11" s="27" t="s">
        <v>334</v>
      </c>
      <c r="J11" t="str">
        <f t="shared" si="0"/>
        <v>211</v>
      </c>
      <c r="K11" t="str">
        <f t="shared" si="1"/>
        <v>627</v>
      </c>
    </row>
    <row r="12" spans="1:11" ht="15" thickBot="1" x14ac:dyDescent="0.35">
      <c r="A12" s="24" t="s">
        <v>350</v>
      </c>
      <c r="B12" s="25" t="s">
        <v>212</v>
      </c>
      <c r="C12" s="25" t="s">
        <v>350</v>
      </c>
      <c r="D12" s="26">
        <v>2118000100</v>
      </c>
      <c r="E12" s="26">
        <v>2141000100</v>
      </c>
      <c r="F12" s="25">
        <v>6274001909</v>
      </c>
      <c r="G12" s="25">
        <v>7111000100</v>
      </c>
      <c r="H12" s="25">
        <v>8111000100</v>
      </c>
      <c r="I12" s="27" t="s">
        <v>339</v>
      </c>
      <c r="J12" t="str">
        <f t="shared" si="0"/>
        <v>211</v>
      </c>
      <c r="K12" t="str">
        <f t="shared" si="1"/>
        <v>627</v>
      </c>
    </row>
    <row r="13" spans="1:11" ht="15" thickBot="1" x14ac:dyDescent="0.35">
      <c r="A13" s="24" t="s">
        <v>335</v>
      </c>
      <c r="B13" s="25" t="s">
        <v>198</v>
      </c>
      <c r="C13" s="25" t="s">
        <v>335</v>
      </c>
      <c r="D13" s="26">
        <v>2111000100</v>
      </c>
      <c r="E13" s="26">
        <v>2141000100</v>
      </c>
      <c r="F13" s="25">
        <v>6414001901</v>
      </c>
      <c r="G13" s="25">
        <v>7111000100</v>
      </c>
      <c r="H13" s="25">
        <v>8111000100</v>
      </c>
      <c r="I13" s="27" t="s">
        <v>334</v>
      </c>
      <c r="J13" t="str">
        <f t="shared" si="0"/>
        <v>211</v>
      </c>
      <c r="K13" t="str">
        <f t="shared" si="1"/>
        <v>641</v>
      </c>
    </row>
    <row r="14" spans="1:11" ht="15" thickBot="1" x14ac:dyDescent="0.35">
      <c r="A14" s="24" t="s">
        <v>340</v>
      </c>
      <c r="B14" s="25" t="s">
        <v>202</v>
      </c>
      <c r="C14" s="25" t="s">
        <v>340</v>
      </c>
      <c r="D14" s="26">
        <v>2112000100</v>
      </c>
      <c r="E14" s="26">
        <v>2141000100</v>
      </c>
      <c r="F14" s="25">
        <v>6414001903</v>
      </c>
      <c r="G14" s="25">
        <v>7111000100</v>
      </c>
      <c r="H14" s="25">
        <v>8111000100</v>
      </c>
      <c r="I14" s="27" t="s">
        <v>339</v>
      </c>
      <c r="J14" t="str">
        <f t="shared" si="0"/>
        <v>211</v>
      </c>
      <c r="K14" t="str">
        <f t="shared" si="1"/>
        <v>641</v>
      </c>
    </row>
    <row r="15" spans="1:11" ht="27" thickBot="1" x14ac:dyDescent="0.35">
      <c r="A15" s="24" t="s">
        <v>343</v>
      </c>
      <c r="B15" s="25" t="s">
        <v>205</v>
      </c>
      <c r="C15" s="25" t="s">
        <v>343</v>
      </c>
      <c r="D15" s="26">
        <v>2113000100</v>
      </c>
      <c r="E15" s="26">
        <v>2141000100</v>
      </c>
      <c r="F15" s="25">
        <v>6414001905</v>
      </c>
      <c r="G15" s="25">
        <v>7111000100</v>
      </c>
      <c r="H15" s="25">
        <v>8111000100</v>
      </c>
      <c r="I15" s="27" t="s">
        <v>339</v>
      </c>
      <c r="J15" t="str">
        <f t="shared" si="0"/>
        <v>211</v>
      </c>
      <c r="K15" t="str">
        <f t="shared" si="1"/>
        <v>641</v>
      </c>
    </row>
    <row r="16" spans="1:11" ht="27" thickBot="1" x14ac:dyDescent="0.35">
      <c r="A16" s="24" t="s">
        <v>346</v>
      </c>
      <c r="B16" s="25" t="s">
        <v>208</v>
      </c>
      <c r="C16" s="25" t="s">
        <v>346</v>
      </c>
      <c r="D16" s="26">
        <v>2114000100</v>
      </c>
      <c r="E16" s="26">
        <v>2141000100</v>
      </c>
      <c r="F16" s="25">
        <v>6414001904</v>
      </c>
      <c r="G16" s="25">
        <v>7111000100</v>
      </c>
      <c r="H16" s="25">
        <v>8111000100</v>
      </c>
      <c r="I16" s="27" t="s">
        <v>339</v>
      </c>
      <c r="J16" t="str">
        <f t="shared" si="0"/>
        <v>211</v>
      </c>
      <c r="K16" t="str">
        <f t="shared" si="1"/>
        <v>641</v>
      </c>
    </row>
    <row r="17" spans="1:11" ht="15" thickBot="1" x14ac:dyDescent="0.35">
      <c r="A17" s="24" t="s">
        <v>351</v>
      </c>
      <c r="B17" s="25" t="s">
        <v>213</v>
      </c>
      <c r="C17" s="25" t="s">
        <v>351</v>
      </c>
      <c r="D17" s="26">
        <v>2118000100</v>
      </c>
      <c r="E17" s="26">
        <v>2141000100</v>
      </c>
      <c r="F17" s="25">
        <v>6414001909</v>
      </c>
      <c r="G17" s="25">
        <v>7111000100</v>
      </c>
      <c r="H17" s="25">
        <v>8111000100</v>
      </c>
      <c r="I17" s="27" t="s">
        <v>339</v>
      </c>
      <c r="J17" t="str">
        <f t="shared" si="0"/>
        <v>211</v>
      </c>
      <c r="K17" t="str">
        <f t="shared" si="1"/>
        <v>641</v>
      </c>
    </row>
    <row r="18" spans="1:11" ht="15" thickBot="1" x14ac:dyDescent="0.35">
      <c r="A18" s="24" t="s">
        <v>336</v>
      </c>
      <c r="B18" s="25" t="s">
        <v>199</v>
      </c>
      <c r="C18" s="25" t="s">
        <v>336</v>
      </c>
      <c r="D18" s="26">
        <v>2111000100</v>
      </c>
      <c r="E18" s="26">
        <v>2141000100</v>
      </c>
      <c r="F18" s="25">
        <v>6424001901</v>
      </c>
      <c r="G18" s="25">
        <v>7111000100</v>
      </c>
      <c r="H18" s="25">
        <v>8111000100</v>
      </c>
      <c r="I18" s="27" t="s">
        <v>334</v>
      </c>
      <c r="J18" t="str">
        <f t="shared" si="0"/>
        <v>211</v>
      </c>
      <c r="K18" t="str">
        <f t="shared" si="1"/>
        <v>642</v>
      </c>
    </row>
    <row r="19" spans="1:11" ht="15" thickBot="1" x14ac:dyDescent="0.35">
      <c r="A19" s="24" t="s">
        <v>341</v>
      </c>
      <c r="B19" s="25" t="s">
        <v>203</v>
      </c>
      <c r="C19" s="25" t="s">
        <v>341</v>
      </c>
      <c r="D19" s="26">
        <v>2112000100</v>
      </c>
      <c r="E19" s="26">
        <v>2141000100</v>
      </c>
      <c r="F19" s="25">
        <v>6424001903</v>
      </c>
      <c r="G19" s="25">
        <v>7111000100</v>
      </c>
      <c r="H19" s="25">
        <v>8111000100</v>
      </c>
      <c r="I19" s="27" t="s">
        <v>334</v>
      </c>
      <c r="J19" t="str">
        <f t="shared" si="0"/>
        <v>211</v>
      </c>
      <c r="K19" t="str">
        <f t="shared" si="1"/>
        <v>642</v>
      </c>
    </row>
    <row r="20" spans="1:11" ht="27" thickBot="1" x14ac:dyDescent="0.35">
      <c r="A20" s="24" t="s">
        <v>344</v>
      </c>
      <c r="B20" s="25" t="s">
        <v>206</v>
      </c>
      <c r="C20" s="25" t="s">
        <v>344</v>
      </c>
      <c r="D20" s="26">
        <v>2113000100</v>
      </c>
      <c r="E20" s="26">
        <v>214100100</v>
      </c>
      <c r="F20" s="25">
        <v>6424001905</v>
      </c>
      <c r="G20" s="25">
        <v>7111000100</v>
      </c>
      <c r="H20" s="25">
        <v>8111000100</v>
      </c>
      <c r="I20" s="27" t="s">
        <v>334</v>
      </c>
      <c r="J20" t="str">
        <f t="shared" si="0"/>
        <v>211</v>
      </c>
      <c r="K20" t="str">
        <f t="shared" si="1"/>
        <v>642</v>
      </c>
    </row>
    <row r="21" spans="1:11" ht="27" thickBot="1" x14ac:dyDescent="0.35">
      <c r="A21" s="24" t="s">
        <v>347</v>
      </c>
      <c r="B21" s="25" t="s">
        <v>209</v>
      </c>
      <c r="C21" s="25" t="s">
        <v>347</v>
      </c>
      <c r="D21" s="26">
        <v>2114000100</v>
      </c>
      <c r="E21" s="26">
        <v>2141000100</v>
      </c>
      <c r="F21" s="25">
        <v>6424001904</v>
      </c>
      <c r="G21" s="25">
        <v>7111000100</v>
      </c>
      <c r="H21" s="25">
        <v>8111000100</v>
      </c>
      <c r="I21" s="27" t="s">
        <v>339</v>
      </c>
      <c r="J21" t="str">
        <f t="shared" si="0"/>
        <v>211</v>
      </c>
      <c r="K21" t="str">
        <f t="shared" si="1"/>
        <v>642</v>
      </c>
    </row>
    <row r="22" spans="1:11" ht="27" thickBot="1" x14ac:dyDescent="0.35">
      <c r="A22" s="24" t="s">
        <v>348</v>
      </c>
      <c r="B22" s="25" t="s">
        <v>210</v>
      </c>
      <c r="C22" s="25" t="s">
        <v>348</v>
      </c>
      <c r="D22" s="25">
        <v>2115000100</v>
      </c>
      <c r="E22" s="26">
        <v>2141000100</v>
      </c>
      <c r="F22" s="25">
        <v>6427003702</v>
      </c>
      <c r="G22" s="25">
        <v>7111000100</v>
      </c>
      <c r="H22" s="25">
        <v>8111000100</v>
      </c>
      <c r="I22" s="27" t="s">
        <v>334</v>
      </c>
      <c r="J22" t="str">
        <f t="shared" si="0"/>
        <v>211</v>
      </c>
      <c r="K22" t="str">
        <f t="shared" si="1"/>
        <v>642</v>
      </c>
    </row>
    <row r="23" spans="1:11" ht="15" thickBot="1" x14ac:dyDescent="0.35">
      <c r="A23" s="24" t="s">
        <v>352</v>
      </c>
      <c r="B23" s="25" t="s">
        <v>214</v>
      </c>
      <c r="C23" s="25" t="s">
        <v>352</v>
      </c>
      <c r="D23" s="26">
        <v>2118000100</v>
      </c>
      <c r="E23" s="26">
        <v>2141000100</v>
      </c>
      <c r="F23" s="25">
        <v>6424001909</v>
      </c>
      <c r="G23" s="25">
        <v>7111000100</v>
      </c>
      <c r="H23" s="25">
        <v>8111000100</v>
      </c>
      <c r="I23" s="27" t="s">
        <v>334</v>
      </c>
      <c r="J23" t="str">
        <f t="shared" si="0"/>
        <v>211</v>
      </c>
      <c r="K23" t="str">
        <f t="shared" si="1"/>
        <v>642</v>
      </c>
    </row>
    <row r="24" spans="1:11" ht="27" thickBot="1" x14ac:dyDescent="0.35">
      <c r="A24" s="24" t="s">
        <v>353</v>
      </c>
      <c r="B24" s="25" t="s">
        <v>354</v>
      </c>
      <c r="C24" s="25" t="s">
        <v>353</v>
      </c>
      <c r="D24" s="25">
        <v>2121100100</v>
      </c>
      <c r="E24" s="28">
        <v>2142000100</v>
      </c>
      <c r="F24" s="26">
        <v>6274001901</v>
      </c>
      <c r="G24" s="25">
        <v>7111000100</v>
      </c>
      <c r="H24" s="25">
        <v>8111000100</v>
      </c>
      <c r="I24" s="27" t="s">
        <v>334</v>
      </c>
      <c r="J24" t="str">
        <f t="shared" si="0"/>
        <v>212</v>
      </c>
      <c r="K24" t="str">
        <f t="shared" si="1"/>
        <v>627</v>
      </c>
    </row>
    <row r="25" spans="1:11" ht="27" thickBot="1" x14ac:dyDescent="0.35">
      <c r="A25" s="24" t="s">
        <v>355</v>
      </c>
      <c r="B25" s="25" t="s">
        <v>356</v>
      </c>
      <c r="C25" s="25" t="s">
        <v>355</v>
      </c>
      <c r="D25" s="25">
        <v>2121200100</v>
      </c>
      <c r="E25" s="28">
        <v>2142000100</v>
      </c>
      <c r="F25" s="26">
        <v>6274001903</v>
      </c>
      <c r="G25" s="25">
        <v>7111000100</v>
      </c>
      <c r="H25" s="25">
        <v>8111000100</v>
      </c>
      <c r="I25" s="27" t="s">
        <v>334</v>
      </c>
      <c r="J25" t="str">
        <f t="shared" si="0"/>
        <v>212</v>
      </c>
      <c r="K25" t="str">
        <f t="shared" si="1"/>
        <v>627</v>
      </c>
    </row>
    <row r="26" spans="1:11" ht="27" thickBot="1" x14ac:dyDescent="0.35">
      <c r="A26" s="24" t="s">
        <v>357</v>
      </c>
      <c r="B26" s="25" t="s">
        <v>358</v>
      </c>
      <c r="C26" s="25" t="s">
        <v>357</v>
      </c>
      <c r="D26" s="25">
        <v>2121300100</v>
      </c>
      <c r="E26" s="28">
        <v>2142000100</v>
      </c>
      <c r="F26" s="26">
        <v>6274001905</v>
      </c>
      <c r="G26" s="25">
        <v>7111000100</v>
      </c>
      <c r="H26" s="25">
        <v>8111000100</v>
      </c>
      <c r="I26" s="27" t="s">
        <v>334</v>
      </c>
      <c r="J26" t="str">
        <f t="shared" si="0"/>
        <v>212</v>
      </c>
      <c r="K26" t="str">
        <f t="shared" si="1"/>
        <v>627</v>
      </c>
    </row>
    <row r="27" spans="1:11" ht="27" thickBot="1" x14ac:dyDescent="0.35">
      <c r="A27" s="24" t="s">
        <v>359</v>
      </c>
      <c r="B27" s="25" t="s">
        <v>360</v>
      </c>
      <c r="C27" s="25" t="s">
        <v>359</v>
      </c>
      <c r="D27" s="25">
        <v>2121400100</v>
      </c>
      <c r="E27" s="28">
        <v>2142000100</v>
      </c>
      <c r="F27" s="26">
        <v>6274001904</v>
      </c>
      <c r="G27" s="25">
        <v>7111000100</v>
      </c>
      <c r="H27" s="25">
        <v>8111000100</v>
      </c>
      <c r="I27" s="27" t="s">
        <v>334</v>
      </c>
      <c r="J27" t="str">
        <f t="shared" si="0"/>
        <v>212</v>
      </c>
      <c r="K27" t="str">
        <f t="shared" si="1"/>
        <v>627</v>
      </c>
    </row>
    <row r="28" spans="1:11" ht="27" thickBot="1" x14ac:dyDescent="0.35">
      <c r="A28" s="24" t="s">
        <v>361</v>
      </c>
      <c r="B28" s="25" t="s">
        <v>362</v>
      </c>
      <c r="C28" s="25" t="s">
        <v>361</v>
      </c>
      <c r="D28" s="25">
        <v>2121600100</v>
      </c>
      <c r="E28" s="28">
        <v>2142000100</v>
      </c>
      <c r="F28" s="26">
        <v>6274001902</v>
      </c>
      <c r="G28" s="25">
        <v>7111000100</v>
      </c>
      <c r="H28" s="25">
        <v>8111000100</v>
      </c>
      <c r="I28" s="27" t="s">
        <v>334</v>
      </c>
      <c r="J28" t="str">
        <f t="shared" si="0"/>
        <v>212</v>
      </c>
      <c r="K28" t="str">
        <f t="shared" si="1"/>
        <v>627</v>
      </c>
    </row>
    <row r="29" spans="1:11" ht="27" thickBot="1" x14ac:dyDescent="0.35">
      <c r="A29" s="24" t="s">
        <v>363</v>
      </c>
      <c r="B29" s="25" t="s">
        <v>364</v>
      </c>
      <c r="C29" s="25" t="s">
        <v>363</v>
      </c>
      <c r="D29" s="25">
        <v>2121700100</v>
      </c>
      <c r="E29" s="28">
        <v>2142000100</v>
      </c>
      <c r="F29" s="26">
        <v>6274001909</v>
      </c>
      <c r="G29" s="25">
        <v>7111000100</v>
      </c>
      <c r="H29" s="25">
        <v>8111000100</v>
      </c>
      <c r="I29" s="27" t="s">
        <v>334</v>
      </c>
      <c r="J29" t="str">
        <f t="shared" si="0"/>
        <v>212</v>
      </c>
      <c r="K29" t="str">
        <f t="shared" si="1"/>
        <v>627</v>
      </c>
    </row>
    <row r="30" spans="1:11" ht="27" thickBot="1" x14ac:dyDescent="0.35">
      <c r="A30" s="24" t="s">
        <v>365</v>
      </c>
      <c r="B30" s="25" t="s">
        <v>366</v>
      </c>
      <c r="C30" s="25" t="s">
        <v>365</v>
      </c>
      <c r="D30" s="25">
        <v>2122000100</v>
      </c>
      <c r="E30" s="28">
        <v>2142000100</v>
      </c>
      <c r="F30" s="26">
        <v>6274001915</v>
      </c>
      <c r="G30" s="25">
        <v>7111000100</v>
      </c>
      <c r="H30" s="25">
        <v>8111000100</v>
      </c>
      <c r="I30" s="27" t="s">
        <v>334</v>
      </c>
      <c r="J30" t="str">
        <f t="shared" si="0"/>
        <v>212</v>
      </c>
      <c r="K30" t="str">
        <f t="shared" si="1"/>
        <v>627</v>
      </c>
    </row>
    <row r="31" spans="1:11" ht="27" thickBot="1" x14ac:dyDescent="0.35">
      <c r="A31" s="24" t="s">
        <v>381</v>
      </c>
      <c r="B31" s="25" t="s">
        <v>382</v>
      </c>
      <c r="C31" s="25" t="s">
        <v>381</v>
      </c>
      <c r="D31" s="25">
        <v>2121200100</v>
      </c>
      <c r="E31" s="28">
        <v>2142000100</v>
      </c>
      <c r="F31" s="26">
        <v>6274001906</v>
      </c>
      <c r="G31" s="25">
        <v>7111000100</v>
      </c>
      <c r="H31" s="25">
        <v>8111000100</v>
      </c>
      <c r="I31" s="27" t="s">
        <v>334</v>
      </c>
      <c r="J31" t="str">
        <f t="shared" si="0"/>
        <v>212</v>
      </c>
      <c r="K31" t="str">
        <f t="shared" si="1"/>
        <v>627</v>
      </c>
    </row>
    <row r="32" spans="1:11" ht="27" thickBot="1" x14ac:dyDescent="0.35">
      <c r="A32" s="24" t="s">
        <v>367</v>
      </c>
      <c r="B32" s="25" t="s">
        <v>368</v>
      </c>
      <c r="C32" s="25" t="s">
        <v>367</v>
      </c>
      <c r="D32" s="25">
        <v>2121100100</v>
      </c>
      <c r="E32" s="28">
        <v>2142000100</v>
      </c>
      <c r="F32" s="26">
        <v>6414001901</v>
      </c>
      <c r="G32" s="25">
        <v>7111000100</v>
      </c>
      <c r="H32" s="25">
        <v>8111000100</v>
      </c>
      <c r="I32" s="27" t="s">
        <v>334</v>
      </c>
      <c r="J32" t="str">
        <f t="shared" si="0"/>
        <v>212</v>
      </c>
      <c r="K32" t="str">
        <f t="shared" si="1"/>
        <v>641</v>
      </c>
    </row>
    <row r="33" spans="1:11" ht="27" thickBot="1" x14ac:dyDescent="0.35">
      <c r="A33" s="24" t="s">
        <v>369</v>
      </c>
      <c r="B33" s="25" t="s">
        <v>370</v>
      </c>
      <c r="C33" s="25" t="s">
        <v>369</v>
      </c>
      <c r="D33" s="25">
        <v>2121200100</v>
      </c>
      <c r="E33" s="28">
        <v>2142000100</v>
      </c>
      <c r="F33" s="26">
        <v>6414001903</v>
      </c>
      <c r="G33" s="25">
        <v>7111000100</v>
      </c>
      <c r="H33" s="25">
        <v>8111000100</v>
      </c>
      <c r="I33" s="27" t="s">
        <v>334</v>
      </c>
      <c r="J33" t="str">
        <f t="shared" si="0"/>
        <v>212</v>
      </c>
      <c r="K33" t="str">
        <f t="shared" si="1"/>
        <v>641</v>
      </c>
    </row>
    <row r="34" spans="1:11" ht="27" thickBot="1" x14ac:dyDescent="0.35">
      <c r="A34" s="24" t="s">
        <v>371</v>
      </c>
      <c r="B34" s="25" t="s">
        <v>372</v>
      </c>
      <c r="C34" s="25" t="s">
        <v>371</v>
      </c>
      <c r="D34" s="25">
        <v>2121300100</v>
      </c>
      <c r="E34" s="28">
        <v>2142000100</v>
      </c>
      <c r="F34" s="26">
        <v>6414001905</v>
      </c>
      <c r="G34" s="25">
        <v>7111000100</v>
      </c>
      <c r="H34" s="25">
        <v>8111000100</v>
      </c>
      <c r="I34" s="27" t="s">
        <v>334</v>
      </c>
      <c r="J34" t="str">
        <f t="shared" ref="J34:J68" si="2">LEFT($D34,3)</f>
        <v>212</v>
      </c>
      <c r="K34" t="str">
        <f t="shared" ref="K34:K68" si="3">LEFT(F34,3)</f>
        <v>641</v>
      </c>
    </row>
    <row r="35" spans="1:11" ht="27" thickBot="1" x14ac:dyDescent="0.35">
      <c r="A35" s="24" t="s">
        <v>373</v>
      </c>
      <c r="B35" s="25" t="s">
        <v>374</v>
      </c>
      <c r="C35" s="25" t="s">
        <v>373</v>
      </c>
      <c r="D35" s="25">
        <v>2121400100</v>
      </c>
      <c r="E35" s="28">
        <v>2142000100</v>
      </c>
      <c r="F35" s="26">
        <v>6414001904</v>
      </c>
      <c r="G35" s="25">
        <v>7111000100</v>
      </c>
      <c r="H35" s="25">
        <v>8111000100</v>
      </c>
      <c r="I35" s="27" t="s">
        <v>334</v>
      </c>
      <c r="J35" t="str">
        <f t="shared" si="2"/>
        <v>212</v>
      </c>
      <c r="K35" t="str">
        <f t="shared" si="3"/>
        <v>641</v>
      </c>
    </row>
    <row r="36" spans="1:11" ht="27" thickBot="1" x14ac:dyDescent="0.35">
      <c r="A36" s="24" t="s">
        <v>375</v>
      </c>
      <c r="B36" s="25" t="s">
        <v>376</v>
      </c>
      <c r="C36" s="25" t="s">
        <v>375</v>
      </c>
      <c r="D36" s="25">
        <v>2121700100</v>
      </c>
      <c r="E36" s="28">
        <v>2142000100</v>
      </c>
      <c r="F36" s="26">
        <v>6414001909</v>
      </c>
      <c r="G36" s="25">
        <v>7111000100</v>
      </c>
      <c r="H36" s="25">
        <v>8111000100</v>
      </c>
      <c r="I36" s="27" t="s">
        <v>334</v>
      </c>
      <c r="J36" t="str">
        <f t="shared" si="2"/>
        <v>212</v>
      </c>
      <c r="K36" t="str">
        <f t="shared" si="3"/>
        <v>641</v>
      </c>
    </row>
    <row r="37" spans="1:11" ht="27" thickBot="1" x14ac:dyDescent="0.35">
      <c r="A37" s="24" t="s">
        <v>377</v>
      </c>
      <c r="B37" s="25" t="s">
        <v>378</v>
      </c>
      <c r="C37" s="25" t="s">
        <v>377</v>
      </c>
      <c r="D37" s="25">
        <v>2122000100</v>
      </c>
      <c r="E37" s="28">
        <v>2142000100</v>
      </c>
      <c r="F37" s="26">
        <v>6414001915</v>
      </c>
      <c r="G37" s="25">
        <v>7111000100</v>
      </c>
      <c r="H37" s="25">
        <v>8111000100</v>
      </c>
      <c r="I37" s="27" t="s">
        <v>334</v>
      </c>
      <c r="J37" t="str">
        <f t="shared" si="2"/>
        <v>212</v>
      </c>
      <c r="K37" t="str">
        <f t="shared" si="3"/>
        <v>641</v>
      </c>
    </row>
    <row r="38" spans="1:11" ht="27" thickBot="1" x14ac:dyDescent="0.35">
      <c r="A38" s="24" t="s">
        <v>379</v>
      </c>
      <c r="B38" s="25" t="s">
        <v>380</v>
      </c>
      <c r="C38" s="25" t="s">
        <v>379</v>
      </c>
      <c r="D38" s="25">
        <v>2121100100</v>
      </c>
      <c r="E38" s="28">
        <v>2142000100</v>
      </c>
      <c r="F38" s="26">
        <v>6424001901</v>
      </c>
      <c r="G38" s="25">
        <v>7111000100</v>
      </c>
      <c r="H38" s="25">
        <v>8111000100</v>
      </c>
      <c r="I38" s="27" t="s">
        <v>334</v>
      </c>
      <c r="J38" t="str">
        <f t="shared" si="2"/>
        <v>212</v>
      </c>
      <c r="K38" t="str">
        <f t="shared" si="3"/>
        <v>642</v>
      </c>
    </row>
    <row r="39" spans="1:11" ht="27" thickBot="1" x14ac:dyDescent="0.35">
      <c r="A39" s="24" t="s">
        <v>383</v>
      </c>
      <c r="B39" s="25" t="s">
        <v>384</v>
      </c>
      <c r="C39" s="25" t="s">
        <v>383</v>
      </c>
      <c r="D39" s="25">
        <v>2121200100</v>
      </c>
      <c r="E39" s="28">
        <v>2142000100</v>
      </c>
      <c r="F39" s="26">
        <v>6424001903</v>
      </c>
      <c r="G39" s="25">
        <v>7111000100</v>
      </c>
      <c r="H39" s="25">
        <v>8111000100</v>
      </c>
      <c r="I39" s="27" t="s">
        <v>334</v>
      </c>
      <c r="J39" t="str">
        <f t="shared" si="2"/>
        <v>212</v>
      </c>
      <c r="K39" t="str">
        <f t="shared" si="3"/>
        <v>642</v>
      </c>
    </row>
    <row r="40" spans="1:11" ht="27" thickBot="1" x14ac:dyDescent="0.35">
      <c r="A40" s="24" t="s">
        <v>385</v>
      </c>
      <c r="B40" s="25" t="s">
        <v>386</v>
      </c>
      <c r="C40" s="25" t="s">
        <v>385</v>
      </c>
      <c r="D40" s="25">
        <v>2121300100</v>
      </c>
      <c r="E40" s="28">
        <v>2142000100</v>
      </c>
      <c r="F40" s="26">
        <v>6424001905</v>
      </c>
      <c r="G40" s="25">
        <v>7111000100</v>
      </c>
      <c r="H40" s="25">
        <v>8111000100</v>
      </c>
      <c r="I40" s="27" t="s">
        <v>334</v>
      </c>
      <c r="J40" t="str">
        <f t="shared" si="2"/>
        <v>212</v>
      </c>
      <c r="K40" t="str">
        <f t="shared" si="3"/>
        <v>642</v>
      </c>
    </row>
    <row r="41" spans="1:11" ht="27" thickBot="1" x14ac:dyDescent="0.35">
      <c r="A41" s="24" t="s">
        <v>387</v>
      </c>
      <c r="B41" s="25" t="s">
        <v>388</v>
      </c>
      <c r="C41" s="25" t="s">
        <v>387</v>
      </c>
      <c r="D41" s="25">
        <v>2121400100</v>
      </c>
      <c r="E41" s="28">
        <v>2142000100</v>
      </c>
      <c r="F41" s="26">
        <v>6424001904</v>
      </c>
      <c r="G41" s="25">
        <v>7111000100</v>
      </c>
      <c r="H41" s="25">
        <v>8111000100</v>
      </c>
      <c r="I41" s="27" t="s">
        <v>334</v>
      </c>
      <c r="J41" t="str">
        <f t="shared" si="2"/>
        <v>212</v>
      </c>
      <c r="K41" t="str">
        <f t="shared" si="3"/>
        <v>642</v>
      </c>
    </row>
    <row r="42" spans="1:11" ht="27" thickBot="1" x14ac:dyDescent="0.35">
      <c r="A42" s="24" t="s">
        <v>392</v>
      </c>
      <c r="B42" s="25" t="s">
        <v>393</v>
      </c>
      <c r="C42" s="25" t="s">
        <v>392</v>
      </c>
      <c r="D42" s="25">
        <v>2121700100</v>
      </c>
      <c r="E42" s="28">
        <v>2142000100</v>
      </c>
      <c r="F42" s="25">
        <v>6424001909</v>
      </c>
      <c r="G42" s="25">
        <v>7111000100</v>
      </c>
      <c r="H42" s="25">
        <v>8111000100</v>
      </c>
      <c r="I42" s="27" t="s">
        <v>334</v>
      </c>
      <c r="J42" t="str">
        <f t="shared" si="2"/>
        <v>212</v>
      </c>
      <c r="K42" t="str">
        <f t="shared" si="3"/>
        <v>642</v>
      </c>
    </row>
    <row r="43" spans="1:11" ht="27" thickBot="1" x14ac:dyDescent="0.35">
      <c r="A43" s="24" t="s">
        <v>394</v>
      </c>
      <c r="B43" s="25" t="s">
        <v>395</v>
      </c>
      <c r="C43" s="25" t="s">
        <v>394</v>
      </c>
      <c r="D43" s="25">
        <v>2122000100</v>
      </c>
      <c r="E43" s="28">
        <v>2142000100</v>
      </c>
      <c r="F43" s="26">
        <v>6424001915</v>
      </c>
      <c r="G43" s="25">
        <v>7111000100</v>
      </c>
      <c r="H43" s="25">
        <v>8111000100</v>
      </c>
      <c r="I43" s="27" t="s">
        <v>334</v>
      </c>
      <c r="J43" t="str">
        <f t="shared" si="2"/>
        <v>212</v>
      </c>
      <c r="K43" t="str">
        <f t="shared" si="3"/>
        <v>642</v>
      </c>
    </row>
    <row r="44" spans="1:11" ht="40.200000000000003" thickBot="1" x14ac:dyDescent="0.35">
      <c r="A44" s="24" t="s">
        <v>389</v>
      </c>
      <c r="B44" s="25" t="s">
        <v>390</v>
      </c>
      <c r="C44" s="25" t="s">
        <v>389</v>
      </c>
      <c r="D44" s="25">
        <v>2121500100</v>
      </c>
      <c r="E44" s="28">
        <v>2142000100</v>
      </c>
      <c r="F44" s="26" t="s">
        <v>391</v>
      </c>
      <c r="G44" s="25">
        <v>7111000100</v>
      </c>
      <c r="H44" s="25">
        <v>8111000100</v>
      </c>
      <c r="I44" s="27" t="s">
        <v>334</v>
      </c>
      <c r="J44" t="str">
        <f t="shared" si="2"/>
        <v>212</v>
      </c>
      <c r="K44" t="str">
        <f t="shared" si="3"/>
        <v>N/A</v>
      </c>
    </row>
    <row r="45" spans="1:11" ht="15" thickBot="1" x14ac:dyDescent="0.35">
      <c r="A45" s="24" t="s">
        <v>396</v>
      </c>
      <c r="B45" s="25" t="s">
        <v>215</v>
      </c>
      <c r="C45" s="25" t="s">
        <v>396</v>
      </c>
      <c r="D45" s="25">
        <v>2131000100</v>
      </c>
      <c r="E45" s="26">
        <v>2143000100</v>
      </c>
      <c r="F45" s="25">
        <v>6274001910</v>
      </c>
      <c r="G45" s="25">
        <v>7111000100</v>
      </c>
      <c r="H45" s="25">
        <v>8111000100</v>
      </c>
      <c r="I45" s="27" t="s">
        <v>339</v>
      </c>
      <c r="J45" t="str">
        <f t="shared" si="2"/>
        <v>213</v>
      </c>
      <c r="K45" t="str">
        <f t="shared" si="3"/>
        <v>627</v>
      </c>
    </row>
    <row r="46" spans="1:11" ht="15" thickBot="1" x14ac:dyDescent="0.35">
      <c r="A46" s="24" t="s">
        <v>404</v>
      </c>
      <c r="B46" s="25" t="s">
        <v>222</v>
      </c>
      <c r="C46" s="25" t="s">
        <v>404</v>
      </c>
      <c r="D46" s="26">
        <v>2135000100</v>
      </c>
      <c r="E46" s="26">
        <v>2143000100</v>
      </c>
      <c r="F46" s="25">
        <v>6274001907</v>
      </c>
      <c r="G46" s="25">
        <v>7111000100</v>
      </c>
      <c r="H46" s="25">
        <v>8111000100</v>
      </c>
      <c r="I46" s="27" t="s">
        <v>334</v>
      </c>
      <c r="J46" t="str">
        <f t="shared" si="2"/>
        <v>213</v>
      </c>
      <c r="K46" t="str">
        <f t="shared" si="3"/>
        <v>627</v>
      </c>
    </row>
    <row r="47" spans="1:11" ht="15" thickBot="1" x14ac:dyDescent="0.35">
      <c r="A47" s="24" t="s">
        <v>408</v>
      </c>
      <c r="B47" s="25" t="s">
        <v>226</v>
      </c>
      <c r="C47" s="25" t="s">
        <v>408</v>
      </c>
      <c r="D47" s="26">
        <v>2138000100</v>
      </c>
      <c r="E47" s="26">
        <v>2143000100</v>
      </c>
      <c r="F47" s="25">
        <v>6274001915</v>
      </c>
      <c r="G47" s="25">
        <v>7111000100</v>
      </c>
      <c r="H47" s="25">
        <v>8111000100</v>
      </c>
      <c r="I47" s="27" t="s">
        <v>339</v>
      </c>
      <c r="J47" t="str">
        <f t="shared" si="2"/>
        <v>213</v>
      </c>
      <c r="K47" t="str">
        <f t="shared" si="3"/>
        <v>627</v>
      </c>
    </row>
    <row r="48" spans="1:11" ht="15" thickBot="1" x14ac:dyDescent="0.35">
      <c r="A48" s="24" t="s">
        <v>397</v>
      </c>
      <c r="B48" s="25" t="s">
        <v>216</v>
      </c>
      <c r="C48" s="25" t="s">
        <v>397</v>
      </c>
      <c r="D48" s="26">
        <v>2131000100</v>
      </c>
      <c r="E48" s="26">
        <v>2143000100</v>
      </c>
      <c r="F48" s="25">
        <v>6414001910</v>
      </c>
      <c r="G48" s="25">
        <v>7111000100</v>
      </c>
      <c r="H48" s="25">
        <v>8111000100</v>
      </c>
      <c r="I48" s="27" t="s">
        <v>398</v>
      </c>
      <c r="J48" t="str">
        <f t="shared" si="2"/>
        <v>213</v>
      </c>
      <c r="K48" t="str">
        <f t="shared" si="3"/>
        <v>641</v>
      </c>
    </row>
    <row r="49" spans="1:11" ht="15" thickBot="1" x14ac:dyDescent="0.35">
      <c r="A49" s="24" t="s">
        <v>402</v>
      </c>
      <c r="B49" s="25" t="s">
        <v>220</v>
      </c>
      <c r="C49" s="25" t="s">
        <v>402</v>
      </c>
      <c r="D49" s="26">
        <v>2134000100</v>
      </c>
      <c r="E49" s="26">
        <v>2143000100</v>
      </c>
      <c r="F49" s="25">
        <v>6414001913</v>
      </c>
      <c r="G49" s="25">
        <v>7111000100</v>
      </c>
      <c r="H49" s="25">
        <v>8111000100</v>
      </c>
      <c r="I49" s="27" t="s">
        <v>334</v>
      </c>
      <c r="J49" t="str">
        <f t="shared" si="2"/>
        <v>213</v>
      </c>
      <c r="K49" t="str">
        <f t="shared" si="3"/>
        <v>641</v>
      </c>
    </row>
    <row r="50" spans="1:11" ht="15" thickBot="1" x14ac:dyDescent="0.35">
      <c r="A50" s="24" t="s">
        <v>406</v>
      </c>
      <c r="B50" s="25" t="s">
        <v>224</v>
      </c>
      <c r="C50" s="25" t="s">
        <v>406</v>
      </c>
      <c r="D50" s="26">
        <v>2135000100</v>
      </c>
      <c r="E50" s="26">
        <v>2143000100</v>
      </c>
      <c r="F50" s="25">
        <v>6414001907</v>
      </c>
      <c r="G50" s="25">
        <v>7111000100</v>
      </c>
      <c r="H50" s="25">
        <v>8111000100</v>
      </c>
      <c r="I50" s="27" t="s">
        <v>334</v>
      </c>
      <c r="J50" t="str">
        <f t="shared" si="2"/>
        <v>213</v>
      </c>
      <c r="K50" t="str">
        <f t="shared" si="3"/>
        <v>641</v>
      </c>
    </row>
    <row r="51" spans="1:11" ht="15" thickBot="1" x14ac:dyDescent="0.35">
      <c r="A51" s="24" t="s">
        <v>409</v>
      </c>
      <c r="B51" s="25" t="s">
        <v>227</v>
      </c>
      <c r="C51" s="25" t="s">
        <v>409</v>
      </c>
      <c r="D51" s="26">
        <v>2138000100</v>
      </c>
      <c r="E51" s="26">
        <v>2143000100</v>
      </c>
      <c r="F51" s="25">
        <v>6414001915</v>
      </c>
      <c r="G51" s="25">
        <v>7111000100</v>
      </c>
      <c r="H51" s="25">
        <v>8111000100</v>
      </c>
      <c r="I51" s="27" t="s">
        <v>339</v>
      </c>
      <c r="J51" t="str">
        <f t="shared" si="2"/>
        <v>213</v>
      </c>
      <c r="K51" t="str">
        <f t="shared" si="3"/>
        <v>641</v>
      </c>
    </row>
    <row r="52" spans="1:11" ht="15" thickBot="1" x14ac:dyDescent="0.35">
      <c r="A52" s="24" t="s">
        <v>399</v>
      </c>
      <c r="B52" s="25" t="s">
        <v>217</v>
      </c>
      <c r="C52" s="25" t="s">
        <v>399</v>
      </c>
      <c r="D52" s="26">
        <v>2131000100</v>
      </c>
      <c r="E52" s="26">
        <v>2143000100</v>
      </c>
      <c r="F52" s="25">
        <v>6424001910</v>
      </c>
      <c r="G52" s="25">
        <v>7111000100</v>
      </c>
      <c r="H52" s="25">
        <v>8111000100</v>
      </c>
      <c r="I52" s="27" t="s">
        <v>339</v>
      </c>
      <c r="J52" t="str">
        <f t="shared" si="2"/>
        <v>213</v>
      </c>
      <c r="K52" t="str">
        <f t="shared" si="3"/>
        <v>642</v>
      </c>
    </row>
    <row r="53" spans="1:11" ht="15" thickBot="1" x14ac:dyDescent="0.35">
      <c r="A53" s="24" t="s">
        <v>400</v>
      </c>
      <c r="B53" s="25" t="s">
        <v>218</v>
      </c>
      <c r="C53" s="25" t="s">
        <v>400</v>
      </c>
      <c r="D53" s="25">
        <v>2132000100</v>
      </c>
      <c r="E53" s="26">
        <v>2143000100</v>
      </c>
      <c r="F53" s="25">
        <v>6424001911</v>
      </c>
      <c r="G53" s="25">
        <v>7111000100</v>
      </c>
      <c r="H53" s="25">
        <v>8111000100</v>
      </c>
      <c r="I53" s="27" t="s">
        <v>334</v>
      </c>
      <c r="J53" t="str">
        <f t="shared" si="2"/>
        <v>213</v>
      </c>
      <c r="K53" t="str">
        <f t="shared" si="3"/>
        <v>642</v>
      </c>
    </row>
    <row r="54" spans="1:11" ht="27" thickBot="1" x14ac:dyDescent="0.35">
      <c r="A54" s="24" t="s">
        <v>401</v>
      </c>
      <c r="B54" s="25" t="s">
        <v>219</v>
      </c>
      <c r="C54" s="25" t="s">
        <v>401</v>
      </c>
      <c r="D54" s="25">
        <v>2133000100</v>
      </c>
      <c r="E54" s="26">
        <v>2143000100</v>
      </c>
      <c r="F54" s="25">
        <v>6424001912</v>
      </c>
      <c r="G54" s="25">
        <v>7111000100</v>
      </c>
      <c r="H54" s="25">
        <v>8111000100</v>
      </c>
      <c r="I54" s="27" t="s">
        <v>334</v>
      </c>
      <c r="J54" t="str">
        <f t="shared" si="2"/>
        <v>213</v>
      </c>
      <c r="K54" t="str">
        <f t="shared" si="3"/>
        <v>642</v>
      </c>
    </row>
    <row r="55" spans="1:11" ht="15" thickBot="1" x14ac:dyDescent="0.35">
      <c r="A55" s="24" t="s">
        <v>403</v>
      </c>
      <c r="B55" s="25" t="s">
        <v>221</v>
      </c>
      <c r="C55" s="25" t="s">
        <v>403</v>
      </c>
      <c r="D55" s="26">
        <v>2134000100</v>
      </c>
      <c r="E55" s="26">
        <v>2143000100</v>
      </c>
      <c r="F55" s="25">
        <v>6424001913</v>
      </c>
      <c r="G55" s="25">
        <v>7111000100</v>
      </c>
      <c r="H55" s="25">
        <v>8111000100</v>
      </c>
      <c r="I55" s="27" t="s">
        <v>334</v>
      </c>
      <c r="J55" t="str">
        <f t="shared" si="2"/>
        <v>213</v>
      </c>
      <c r="K55" t="str">
        <f t="shared" si="3"/>
        <v>642</v>
      </c>
    </row>
    <row r="56" spans="1:11" ht="15" thickBot="1" x14ac:dyDescent="0.35">
      <c r="A56" s="24" t="s">
        <v>405</v>
      </c>
      <c r="B56" s="25" t="s">
        <v>223</v>
      </c>
      <c r="C56" s="25" t="s">
        <v>405</v>
      </c>
      <c r="D56" s="26">
        <v>2135000100</v>
      </c>
      <c r="E56" s="26">
        <v>2143000100</v>
      </c>
      <c r="F56" s="25">
        <v>6424001907</v>
      </c>
      <c r="G56" s="25">
        <v>7111000100</v>
      </c>
      <c r="H56" s="25">
        <v>8111000100</v>
      </c>
      <c r="I56" s="27" t="s">
        <v>334</v>
      </c>
      <c r="J56" t="str">
        <f t="shared" si="2"/>
        <v>213</v>
      </c>
      <c r="K56" t="str">
        <f t="shared" si="3"/>
        <v>642</v>
      </c>
    </row>
    <row r="57" spans="1:11" ht="27" thickBot="1" x14ac:dyDescent="0.35">
      <c r="A57" s="24" t="s">
        <v>407</v>
      </c>
      <c r="B57" s="25" t="s">
        <v>225</v>
      </c>
      <c r="C57" s="25" t="s">
        <v>407</v>
      </c>
      <c r="D57" s="25">
        <v>2136000100</v>
      </c>
      <c r="E57" s="26">
        <v>2143000100</v>
      </c>
      <c r="F57" s="25">
        <v>6424001914</v>
      </c>
      <c r="G57" s="25">
        <v>7111000100</v>
      </c>
      <c r="H57" s="25">
        <v>8111000100</v>
      </c>
      <c r="I57" s="27" t="s">
        <v>334</v>
      </c>
      <c r="J57" t="str">
        <f t="shared" si="2"/>
        <v>213</v>
      </c>
      <c r="K57" t="str">
        <f t="shared" si="3"/>
        <v>642</v>
      </c>
    </row>
    <row r="58" spans="1:11" ht="15" thickBot="1" x14ac:dyDescent="0.35">
      <c r="A58" s="24" t="s">
        <v>410</v>
      </c>
      <c r="B58" s="25" t="s">
        <v>228</v>
      </c>
      <c r="C58" s="25" t="s">
        <v>410</v>
      </c>
      <c r="D58" s="26">
        <v>2138000100</v>
      </c>
      <c r="E58" s="26">
        <v>2143000100</v>
      </c>
      <c r="F58" s="25">
        <v>6424001915</v>
      </c>
      <c r="G58" s="25">
        <v>7111000100</v>
      </c>
      <c r="H58" s="25">
        <v>8111000100</v>
      </c>
      <c r="I58" s="27" t="s">
        <v>334</v>
      </c>
      <c r="J58" t="str">
        <f t="shared" si="2"/>
        <v>213</v>
      </c>
      <c r="K58" t="str">
        <f t="shared" si="3"/>
        <v>642</v>
      </c>
    </row>
    <row r="59" spans="1:11" ht="15" thickBot="1" x14ac:dyDescent="0.35">
      <c r="A59" s="24" t="s">
        <v>411</v>
      </c>
      <c r="B59" s="25" t="s">
        <v>412</v>
      </c>
      <c r="C59" s="25" t="s">
        <v>411</v>
      </c>
      <c r="D59" s="25">
        <v>2170000100</v>
      </c>
      <c r="E59" s="25">
        <v>2147000100</v>
      </c>
      <c r="F59" s="25">
        <v>6424001916</v>
      </c>
      <c r="G59" s="25">
        <v>7111000100</v>
      </c>
      <c r="H59" s="25">
        <v>8111000100</v>
      </c>
      <c r="I59" s="27" t="s">
        <v>334</v>
      </c>
      <c r="J59" t="str">
        <f t="shared" si="2"/>
        <v>217</v>
      </c>
      <c r="K59" t="str">
        <f t="shared" si="3"/>
        <v>642</v>
      </c>
    </row>
    <row r="60" spans="1:11" ht="27" thickBot="1" x14ac:dyDescent="0.35">
      <c r="A60" s="24" t="s">
        <v>424</v>
      </c>
      <c r="B60" s="25" t="s">
        <v>425</v>
      </c>
      <c r="C60" s="25" t="s">
        <v>424</v>
      </c>
      <c r="D60" s="25">
        <v>2411000100</v>
      </c>
      <c r="E60" s="25"/>
      <c r="F60" s="25">
        <v>6424001903</v>
      </c>
      <c r="G60" s="25">
        <v>7111000100</v>
      </c>
      <c r="H60" s="25">
        <v>8111000100</v>
      </c>
      <c r="I60" s="27" t="s">
        <v>334</v>
      </c>
      <c r="J60" t="str">
        <f t="shared" si="2"/>
        <v>241</v>
      </c>
      <c r="K60" t="str">
        <f t="shared" si="3"/>
        <v>642</v>
      </c>
    </row>
    <row r="61" spans="1:11" ht="27" thickBot="1" x14ac:dyDescent="0.35">
      <c r="A61" s="24" t="s">
        <v>426</v>
      </c>
      <c r="B61" s="25" t="s">
        <v>427</v>
      </c>
      <c r="C61" s="25" t="s">
        <v>426</v>
      </c>
      <c r="D61" s="25">
        <v>2412000100</v>
      </c>
      <c r="E61" s="25"/>
      <c r="F61" s="25">
        <v>6424001903</v>
      </c>
      <c r="G61" s="25">
        <v>7111000100</v>
      </c>
      <c r="H61" s="25">
        <v>8111000100</v>
      </c>
      <c r="I61" s="27" t="s">
        <v>334</v>
      </c>
      <c r="J61" t="str">
        <f t="shared" si="2"/>
        <v>241</v>
      </c>
      <c r="K61" t="str">
        <f t="shared" si="3"/>
        <v>642</v>
      </c>
    </row>
    <row r="62" spans="1:11" ht="27" thickBot="1" x14ac:dyDescent="0.35">
      <c r="A62" s="24" t="s">
        <v>428</v>
      </c>
      <c r="B62" s="25" t="s">
        <v>429</v>
      </c>
      <c r="C62" s="25" t="s">
        <v>428</v>
      </c>
      <c r="D62" s="25">
        <v>2413000100</v>
      </c>
      <c r="E62" s="25"/>
      <c r="F62" s="25">
        <v>6424001903</v>
      </c>
      <c r="G62" s="25">
        <v>7111000100</v>
      </c>
      <c r="H62" s="25">
        <v>8111000100</v>
      </c>
      <c r="I62" s="27" t="s">
        <v>334</v>
      </c>
      <c r="J62" t="str">
        <f t="shared" si="2"/>
        <v>241</v>
      </c>
      <c r="K62" t="str">
        <f t="shared" si="3"/>
        <v>642</v>
      </c>
    </row>
    <row r="63" spans="1:11" ht="27" thickBot="1" x14ac:dyDescent="0.35">
      <c r="A63" s="24" t="s">
        <v>430</v>
      </c>
      <c r="B63" s="25" t="s">
        <v>431</v>
      </c>
      <c r="C63" s="25" t="s">
        <v>430</v>
      </c>
      <c r="D63" s="25">
        <v>2421100100</v>
      </c>
      <c r="E63" s="25">
        <v>2421100100</v>
      </c>
      <c r="F63" s="26" t="s">
        <v>391</v>
      </c>
      <c r="G63" s="25">
        <v>7111000100</v>
      </c>
      <c r="H63" s="25">
        <v>8111000100</v>
      </c>
      <c r="I63" s="27" t="s">
        <v>432</v>
      </c>
      <c r="J63" t="str">
        <f t="shared" si="2"/>
        <v>242</v>
      </c>
      <c r="K63" t="str">
        <f t="shared" si="3"/>
        <v>N/A</v>
      </c>
    </row>
    <row r="64" spans="1:11" ht="27" thickBot="1" x14ac:dyDescent="0.35">
      <c r="A64" s="24" t="s">
        <v>433</v>
      </c>
      <c r="B64" s="25" t="s">
        <v>434</v>
      </c>
      <c r="C64" s="25" t="s">
        <v>433</v>
      </c>
      <c r="D64" s="25">
        <v>2421200100</v>
      </c>
      <c r="E64" s="25">
        <v>2421200100</v>
      </c>
      <c r="F64" s="26" t="s">
        <v>391</v>
      </c>
      <c r="G64" s="25">
        <v>7111000100</v>
      </c>
      <c r="H64" s="25">
        <v>8111000100</v>
      </c>
      <c r="I64" s="27" t="s">
        <v>435</v>
      </c>
      <c r="J64" t="str">
        <f t="shared" si="2"/>
        <v>242</v>
      </c>
      <c r="K64" t="str">
        <f t="shared" si="3"/>
        <v>N/A</v>
      </c>
    </row>
    <row r="65" spans="1:11" ht="27" thickBot="1" x14ac:dyDescent="0.35">
      <c r="A65" s="24" t="s">
        <v>436</v>
      </c>
      <c r="B65" s="25" t="s">
        <v>437</v>
      </c>
      <c r="C65" s="25" t="s">
        <v>436</v>
      </c>
      <c r="D65" s="26">
        <v>2421200100</v>
      </c>
      <c r="E65" s="26">
        <v>2421200100</v>
      </c>
      <c r="F65" s="26" t="s">
        <v>391</v>
      </c>
      <c r="G65" s="25">
        <v>7111000100</v>
      </c>
      <c r="H65" s="25">
        <v>8111000100</v>
      </c>
      <c r="I65" s="27" t="s">
        <v>435</v>
      </c>
      <c r="J65" t="str">
        <f t="shared" si="2"/>
        <v>242</v>
      </c>
      <c r="K65" t="str">
        <f t="shared" si="3"/>
        <v>N/A</v>
      </c>
    </row>
    <row r="66" spans="1:11" ht="27" thickBot="1" x14ac:dyDescent="0.35">
      <c r="A66" s="24" t="s">
        <v>438</v>
      </c>
      <c r="B66" s="25" t="s">
        <v>439</v>
      </c>
      <c r="C66" s="25" t="s">
        <v>438</v>
      </c>
      <c r="D66" s="26">
        <v>2421200100</v>
      </c>
      <c r="E66" s="26">
        <v>2421200100</v>
      </c>
      <c r="F66" s="26" t="s">
        <v>391</v>
      </c>
      <c r="G66" s="25">
        <v>7111000100</v>
      </c>
      <c r="H66" s="25">
        <v>8111000100</v>
      </c>
      <c r="I66" s="27" t="s">
        <v>435</v>
      </c>
      <c r="J66" t="str">
        <f t="shared" si="2"/>
        <v>242</v>
      </c>
      <c r="K66" t="str">
        <f t="shared" si="3"/>
        <v>N/A</v>
      </c>
    </row>
    <row r="67" spans="1:11" ht="27" thickBot="1" x14ac:dyDescent="0.35">
      <c r="A67" s="24" t="s">
        <v>440</v>
      </c>
      <c r="B67" s="25" t="s">
        <v>441</v>
      </c>
      <c r="C67" s="25" t="s">
        <v>440</v>
      </c>
      <c r="D67" s="26">
        <v>2421300100</v>
      </c>
      <c r="E67" s="26">
        <v>2421300100</v>
      </c>
      <c r="F67" s="26" t="s">
        <v>391</v>
      </c>
      <c r="G67" s="25">
        <v>7111000100</v>
      </c>
      <c r="H67" s="25">
        <v>8111000100</v>
      </c>
      <c r="I67" s="27" t="s">
        <v>432</v>
      </c>
      <c r="J67" t="str">
        <f t="shared" si="2"/>
        <v>242</v>
      </c>
      <c r="K67" t="str">
        <f t="shared" si="3"/>
        <v>N/A</v>
      </c>
    </row>
    <row r="68" spans="1:11" ht="27" thickBot="1" x14ac:dyDescent="0.35">
      <c r="A68" s="24" t="s">
        <v>442</v>
      </c>
      <c r="B68" s="25" t="s">
        <v>443</v>
      </c>
      <c r="C68" s="25" t="s">
        <v>442</v>
      </c>
      <c r="D68" s="26">
        <v>2421300100</v>
      </c>
      <c r="E68" s="26">
        <v>2421300100</v>
      </c>
      <c r="F68" s="26" t="s">
        <v>391</v>
      </c>
      <c r="G68" s="25">
        <v>7111000100</v>
      </c>
      <c r="H68" s="25">
        <v>8111000100</v>
      </c>
      <c r="I68" s="27" t="s">
        <v>432</v>
      </c>
      <c r="J68" t="str">
        <f t="shared" si="2"/>
        <v>242</v>
      </c>
      <c r="K68" t="str">
        <f t="shared" si="3"/>
        <v>N/A</v>
      </c>
    </row>
    <row r="69" spans="1:11" ht="27" thickBot="1" x14ac:dyDescent="0.35">
      <c r="A69" s="24" t="s">
        <v>444</v>
      </c>
      <c r="B69" s="25" t="s">
        <v>445</v>
      </c>
      <c r="C69" s="25" t="s">
        <v>444</v>
      </c>
      <c r="D69" s="26">
        <v>2421300100</v>
      </c>
      <c r="E69" s="26">
        <v>2421300100</v>
      </c>
      <c r="F69" s="26" t="s">
        <v>391</v>
      </c>
      <c r="G69" s="25">
        <v>7111000100</v>
      </c>
      <c r="H69" s="25">
        <v>8111000100</v>
      </c>
      <c r="I69" s="27"/>
    </row>
    <row r="70" spans="1:11" ht="27" thickBot="1" x14ac:dyDescent="0.35">
      <c r="A70" s="24" t="s">
        <v>446</v>
      </c>
      <c r="B70" s="25" t="s">
        <v>447</v>
      </c>
      <c r="C70" s="25" t="s">
        <v>446</v>
      </c>
      <c r="D70" s="25">
        <v>2422100100</v>
      </c>
      <c r="E70" s="25">
        <v>2422100100</v>
      </c>
      <c r="F70" s="26" t="s">
        <v>391</v>
      </c>
      <c r="G70" s="25">
        <v>7111000100</v>
      </c>
      <c r="H70" s="25">
        <v>8111000100</v>
      </c>
      <c r="I70" s="27"/>
    </row>
    <row r="71" spans="1:11" ht="27" thickBot="1" x14ac:dyDescent="0.35">
      <c r="A71" s="24" t="s">
        <v>448</v>
      </c>
      <c r="B71" s="25" t="s">
        <v>449</v>
      </c>
      <c r="C71" s="25" t="s">
        <v>448</v>
      </c>
      <c r="D71" s="25">
        <v>2422200100</v>
      </c>
      <c r="E71" s="25">
        <v>2422200100</v>
      </c>
      <c r="F71" s="26" t="s">
        <v>391</v>
      </c>
      <c r="G71" s="25">
        <v>7111000100</v>
      </c>
      <c r="H71" s="25">
        <v>8111000100</v>
      </c>
      <c r="I71" s="27"/>
    </row>
    <row r="72" spans="1:11" ht="27" thickBot="1" x14ac:dyDescent="0.35">
      <c r="A72" s="24" t="s">
        <v>450</v>
      </c>
      <c r="B72" s="25" t="s">
        <v>451</v>
      </c>
      <c r="C72" s="25" t="s">
        <v>450</v>
      </c>
      <c r="D72" s="26">
        <v>2422200100</v>
      </c>
      <c r="E72" s="26">
        <v>2422200100</v>
      </c>
      <c r="F72" s="26" t="s">
        <v>391</v>
      </c>
      <c r="G72" s="25">
        <v>7111000100</v>
      </c>
      <c r="H72" s="25">
        <v>8111000100</v>
      </c>
      <c r="I72" s="27"/>
    </row>
    <row r="73" spans="1:11" ht="27" thickBot="1" x14ac:dyDescent="0.35">
      <c r="A73" s="24" t="s">
        <v>452</v>
      </c>
      <c r="B73" s="25" t="s">
        <v>453</v>
      </c>
      <c r="C73" s="25" t="s">
        <v>452</v>
      </c>
      <c r="D73" s="26">
        <v>2422200100</v>
      </c>
      <c r="E73" s="26">
        <v>2422200100</v>
      </c>
      <c r="F73" s="26" t="s">
        <v>391</v>
      </c>
      <c r="G73" s="25">
        <v>7111000100</v>
      </c>
      <c r="H73" s="25">
        <v>8111000100</v>
      </c>
      <c r="I73" s="27"/>
    </row>
  </sheetData>
  <autoFilter ref="A1:K73" xr:uid="{BD327E8B-1AF9-4653-8241-7AF88F47B3AB}"/>
  <sortState xmlns:xlrd2="http://schemas.microsoft.com/office/spreadsheetml/2017/richdata2" ref="A2:K73">
    <sortCondition ref="J2:J73"/>
    <sortCondition ref="K2:K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8BC1-D0F2-435A-8E51-C754F78EE667}">
  <sheetPr codeName="Sheet14"/>
  <dimension ref="A1:L363"/>
  <sheetViews>
    <sheetView zoomScale="85" zoomScaleNormal="85" workbookViewId="0">
      <pane xSplit="5" ySplit="5" topLeftCell="F123" activePane="bottomRight" state="frozen"/>
      <selection pane="topRight" activeCell="F1" sqref="F1"/>
      <selection pane="bottomLeft" activeCell="A6" sqref="A6"/>
      <selection pane="bottomRight" activeCell="B190" sqref="B190"/>
    </sheetView>
  </sheetViews>
  <sheetFormatPr defaultRowHeight="14.4" outlineLevelRow="1" x14ac:dyDescent="0.3"/>
  <cols>
    <col min="1" max="1" width="4.21875" style="121" bestFit="1" customWidth="1"/>
    <col min="2" max="2" width="12.77734375" customWidth="1"/>
    <col min="3" max="3" width="35" customWidth="1"/>
    <col min="4" max="4" width="17.21875" customWidth="1"/>
    <col min="5" max="5" width="9.21875" customWidth="1"/>
    <col min="6" max="6" width="15.77734375" style="68" bestFit="1" customWidth="1"/>
    <col min="7" max="7" width="18.77734375" customWidth="1"/>
    <col min="8" max="8" width="17.5546875" style="69" customWidth="1"/>
    <col min="9" max="9" width="17" bestFit="1" customWidth="1"/>
    <col min="10" max="10" width="14.109375" customWidth="1"/>
    <col min="11" max="12" width="18.77734375" customWidth="1"/>
  </cols>
  <sheetData>
    <row r="1" spans="1:12" x14ac:dyDescent="0.3">
      <c r="A1" s="66"/>
      <c r="D1" s="67" t="s">
        <v>1372</v>
      </c>
      <c r="L1" s="68"/>
    </row>
    <row r="2" spans="1:12" ht="53.1" customHeight="1" x14ac:dyDescent="0.3">
      <c r="A2" s="222" t="s">
        <v>1373</v>
      </c>
      <c r="B2" s="222" t="s">
        <v>1374</v>
      </c>
      <c r="C2" s="223" t="s">
        <v>1375</v>
      </c>
      <c r="D2" s="221" t="s">
        <v>1376</v>
      </c>
      <c r="E2" s="221" t="s">
        <v>1377</v>
      </c>
      <c r="F2" s="224" t="s">
        <v>295</v>
      </c>
      <c r="G2" s="221" t="s">
        <v>1378</v>
      </c>
      <c r="H2" s="221" t="s">
        <v>1379</v>
      </c>
      <c r="I2" s="221" t="s">
        <v>1380</v>
      </c>
      <c r="J2" s="221" t="s">
        <v>1381</v>
      </c>
      <c r="K2" s="221" t="s">
        <v>1382</v>
      </c>
      <c r="L2" s="221" t="s">
        <v>1383</v>
      </c>
    </row>
    <row r="3" spans="1:12" ht="24" customHeight="1" x14ac:dyDescent="0.3">
      <c r="A3" s="223"/>
      <c r="B3" s="223"/>
      <c r="C3" s="223"/>
      <c r="D3" s="221"/>
      <c r="E3" s="221"/>
      <c r="F3" s="224"/>
      <c r="G3" s="221"/>
      <c r="H3" s="221"/>
      <c r="I3" s="221"/>
      <c r="J3" s="221"/>
      <c r="K3" s="221"/>
      <c r="L3" s="221"/>
    </row>
    <row r="4" spans="1:12" ht="25.05" customHeight="1" x14ac:dyDescent="0.3">
      <c r="A4" s="70" t="s">
        <v>1384</v>
      </c>
      <c r="B4" s="71"/>
      <c r="C4" s="72" t="s">
        <v>1385</v>
      </c>
      <c r="D4" s="71"/>
      <c r="E4" s="73"/>
      <c r="F4" s="74"/>
      <c r="G4" s="75"/>
      <c r="H4" s="73"/>
      <c r="I4" s="75"/>
      <c r="J4" s="75"/>
      <c r="K4" s="75"/>
      <c r="L4" s="75"/>
    </row>
    <row r="5" spans="1:12" ht="15.6" x14ac:dyDescent="0.3">
      <c r="A5" s="76" t="s">
        <v>1386</v>
      </c>
      <c r="B5" s="77"/>
      <c r="C5" s="78" t="s">
        <v>1387</v>
      </c>
      <c r="D5" s="79"/>
      <c r="E5" s="80"/>
      <c r="F5" s="81"/>
      <c r="G5" s="82">
        <v>30</v>
      </c>
      <c r="H5" s="80">
        <v>50</v>
      </c>
      <c r="I5" s="83" t="s">
        <v>1388</v>
      </c>
      <c r="J5" s="82"/>
      <c r="K5" s="82"/>
      <c r="L5" s="82"/>
    </row>
    <row r="6" spans="1:12" ht="15.6" x14ac:dyDescent="0.3">
      <c r="A6" s="76" t="s">
        <v>1389</v>
      </c>
      <c r="B6" s="77"/>
      <c r="C6" s="78" t="s">
        <v>1390</v>
      </c>
      <c r="D6" s="79"/>
      <c r="E6" s="80"/>
      <c r="F6" s="81"/>
      <c r="G6" s="83" t="s">
        <v>1391</v>
      </c>
      <c r="H6" s="80">
        <v>10</v>
      </c>
      <c r="I6" s="84" t="s">
        <v>1392</v>
      </c>
      <c r="J6" s="82"/>
      <c r="K6" s="82"/>
      <c r="L6" s="82"/>
    </row>
    <row r="7" spans="1:12" ht="15.6" outlineLevel="1" x14ac:dyDescent="0.3">
      <c r="A7" s="85">
        <f>SUBTOTAL(3,$B$7:B7)</f>
        <v>1</v>
      </c>
      <c r="B7" s="86" t="s">
        <v>320</v>
      </c>
      <c r="C7" s="79" t="s">
        <v>321</v>
      </c>
      <c r="D7" s="87">
        <v>45261</v>
      </c>
      <c r="E7" s="80">
        <v>1</v>
      </c>
      <c r="F7" s="81">
        <v>304857717</v>
      </c>
      <c r="G7" s="82">
        <v>5</v>
      </c>
      <c r="H7" s="80">
        <v>10</v>
      </c>
      <c r="I7" s="84" t="s">
        <v>1392</v>
      </c>
      <c r="J7" s="88">
        <f t="shared" ref="J7:J23" si="0">F7/G7</f>
        <v>60971543.399999999</v>
      </c>
      <c r="K7" s="89">
        <f t="shared" ref="K7:K23" si="1">F7/H7</f>
        <v>30485771.699999999</v>
      </c>
      <c r="L7" s="89">
        <f>J7-K7</f>
        <v>30485771.699999999</v>
      </c>
    </row>
    <row r="8" spans="1:12" ht="15.6" outlineLevel="1" x14ac:dyDescent="0.3">
      <c r="A8" s="85">
        <f>SUBTOTAL(3,$B$7:B8)</f>
        <v>2</v>
      </c>
      <c r="B8" s="86" t="s">
        <v>831</v>
      </c>
      <c r="C8" s="79" t="s">
        <v>515</v>
      </c>
      <c r="D8" s="87">
        <v>45261</v>
      </c>
      <c r="E8" s="80">
        <v>1</v>
      </c>
      <c r="F8" s="81">
        <v>958076791</v>
      </c>
      <c r="G8" s="82">
        <v>6</v>
      </c>
      <c r="H8" s="80">
        <v>10</v>
      </c>
      <c r="I8" s="84" t="s">
        <v>1392</v>
      </c>
      <c r="J8" s="88">
        <f t="shared" si="0"/>
        <v>159679465.16666666</v>
      </c>
      <c r="K8" s="89">
        <f t="shared" si="1"/>
        <v>95807679.099999994</v>
      </c>
      <c r="L8" s="89">
        <f t="shared" ref="L8:L23" si="2">J8-K8</f>
        <v>63871786.066666663</v>
      </c>
    </row>
    <row r="9" spans="1:12" ht="15.6" outlineLevel="1" x14ac:dyDescent="0.3">
      <c r="A9" s="85">
        <f>SUBTOTAL(3,$B$7:B9)</f>
        <v>3</v>
      </c>
      <c r="B9" s="86" t="s">
        <v>832</v>
      </c>
      <c r="C9" s="79" t="s">
        <v>516</v>
      </c>
      <c r="D9" s="87">
        <v>45383</v>
      </c>
      <c r="E9" s="80">
        <v>1</v>
      </c>
      <c r="F9" s="81">
        <v>33811200</v>
      </c>
      <c r="G9" s="82">
        <v>3</v>
      </c>
      <c r="H9" s="80">
        <v>10</v>
      </c>
      <c r="I9" s="84" t="s">
        <v>1392</v>
      </c>
      <c r="J9" s="88">
        <f t="shared" si="0"/>
        <v>11270400</v>
      </c>
      <c r="K9" s="89">
        <f t="shared" si="1"/>
        <v>3381120</v>
      </c>
      <c r="L9" s="89">
        <f t="shared" si="2"/>
        <v>7889280</v>
      </c>
    </row>
    <row r="10" spans="1:12" ht="15.6" outlineLevel="1" x14ac:dyDescent="0.3">
      <c r="A10" s="85">
        <f>SUBTOTAL(3,$B$7:B10)</f>
        <v>4</v>
      </c>
      <c r="B10" s="86" t="s">
        <v>833</v>
      </c>
      <c r="C10" s="79" t="s">
        <v>517</v>
      </c>
      <c r="D10" s="87">
        <v>45627</v>
      </c>
      <c r="E10" s="80">
        <v>1</v>
      </c>
      <c r="F10" s="81">
        <v>621093014</v>
      </c>
      <c r="G10" s="82">
        <v>3</v>
      </c>
      <c r="H10" s="80">
        <v>10</v>
      </c>
      <c r="I10" s="84" t="s">
        <v>1392</v>
      </c>
      <c r="J10" s="88">
        <f t="shared" si="0"/>
        <v>207031004.66666666</v>
      </c>
      <c r="K10" s="89">
        <f t="shared" si="1"/>
        <v>62109301.399999999</v>
      </c>
      <c r="L10" s="89">
        <f t="shared" si="2"/>
        <v>144921703.26666665</v>
      </c>
    </row>
    <row r="11" spans="1:12" ht="15.6" outlineLevel="1" x14ac:dyDescent="0.3">
      <c r="A11" s="85">
        <f>SUBTOTAL(3,$B$7:B11)</f>
        <v>5</v>
      </c>
      <c r="B11" s="86" t="s">
        <v>835</v>
      </c>
      <c r="C11" s="79" t="s">
        <v>503</v>
      </c>
      <c r="D11" s="87">
        <v>44986</v>
      </c>
      <c r="E11" s="80">
        <v>1</v>
      </c>
      <c r="F11" s="81">
        <v>184508875</v>
      </c>
      <c r="G11" s="82">
        <v>3</v>
      </c>
      <c r="H11" s="80">
        <v>10</v>
      </c>
      <c r="I11" s="84" t="s">
        <v>1392</v>
      </c>
      <c r="J11" s="88">
        <f t="shared" si="0"/>
        <v>61502958.333333336</v>
      </c>
      <c r="K11" s="89">
        <f t="shared" si="1"/>
        <v>18450887.5</v>
      </c>
      <c r="L11" s="89">
        <f t="shared" si="2"/>
        <v>43052070.833333336</v>
      </c>
    </row>
    <row r="12" spans="1:12" ht="15.6" outlineLevel="1" x14ac:dyDescent="0.3">
      <c r="A12" s="85">
        <f>SUBTOTAL(3,$B$7:B12)</f>
        <v>6</v>
      </c>
      <c r="B12" s="86" t="s">
        <v>836</v>
      </c>
      <c r="C12" s="79" t="s">
        <v>504</v>
      </c>
      <c r="D12" s="87">
        <v>45261</v>
      </c>
      <c r="E12" s="80">
        <v>1</v>
      </c>
      <c r="F12" s="81">
        <v>267942150</v>
      </c>
      <c r="G12" s="82">
        <v>6</v>
      </c>
      <c r="H12" s="80">
        <v>10</v>
      </c>
      <c r="I12" s="84" t="s">
        <v>1392</v>
      </c>
      <c r="J12" s="88">
        <f t="shared" si="0"/>
        <v>44657025</v>
      </c>
      <c r="K12" s="89">
        <f t="shared" si="1"/>
        <v>26794215</v>
      </c>
      <c r="L12" s="89">
        <f t="shared" si="2"/>
        <v>17862810</v>
      </c>
    </row>
    <row r="13" spans="1:12" ht="15.6" outlineLevel="1" x14ac:dyDescent="0.3">
      <c r="A13" s="85">
        <f>SUBTOTAL(3,$B$7:B13)</f>
        <v>7</v>
      </c>
      <c r="B13" s="86" t="s">
        <v>837</v>
      </c>
      <c r="C13" s="79" t="s">
        <v>505</v>
      </c>
      <c r="D13" s="87">
        <v>45261</v>
      </c>
      <c r="E13" s="80">
        <v>1</v>
      </c>
      <c r="F13" s="81">
        <v>309657600</v>
      </c>
      <c r="G13" s="82">
        <v>3</v>
      </c>
      <c r="H13" s="80">
        <v>10</v>
      </c>
      <c r="I13" s="84" t="s">
        <v>1392</v>
      </c>
      <c r="J13" s="88">
        <f t="shared" si="0"/>
        <v>103219200</v>
      </c>
      <c r="K13" s="89">
        <f t="shared" si="1"/>
        <v>30965760</v>
      </c>
      <c r="L13" s="89">
        <f t="shared" si="2"/>
        <v>72253440</v>
      </c>
    </row>
    <row r="14" spans="1:12" ht="15.6" outlineLevel="1" x14ac:dyDescent="0.3">
      <c r="A14" s="85">
        <f>SUBTOTAL(3,$B$7:B14)</f>
        <v>8</v>
      </c>
      <c r="B14" s="86" t="s">
        <v>838</v>
      </c>
      <c r="C14" s="79" t="s">
        <v>506</v>
      </c>
      <c r="D14" s="87">
        <v>45261</v>
      </c>
      <c r="E14" s="80">
        <v>1</v>
      </c>
      <c r="F14" s="81">
        <v>278150000</v>
      </c>
      <c r="G14" s="82">
        <v>6</v>
      </c>
      <c r="H14" s="80">
        <v>10</v>
      </c>
      <c r="I14" s="84" t="s">
        <v>1392</v>
      </c>
      <c r="J14" s="88">
        <f t="shared" si="0"/>
        <v>46358333.333333336</v>
      </c>
      <c r="K14" s="89">
        <f t="shared" si="1"/>
        <v>27815000</v>
      </c>
      <c r="L14" s="89">
        <f t="shared" si="2"/>
        <v>18543333.333333336</v>
      </c>
    </row>
    <row r="15" spans="1:12" ht="15.6" outlineLevel="1" x14ac:dyDescent="0.3">
      <c r="A15" s="85">
        <f>SUBTOTAL(3,$B$7:B15)</f>
        <v>9</v>
      </c>
      <c r="B15" s="86" t="s">
        <v>839</v>
      </c>
      <c r="C15" s="79" t="s">
        <v>507</v>
      </c>
      <c r="D15" s="87">
        <v>45261</v>
      </c>
      <c r="E15" s="80">
        <v>1</v>
      </c>
      <c r="F15" s="81">
        <v>118791283</v>
      </c>
      <c r="G15" s="82">
        <v>8</v>
      </c>
      <c r="H15" s="80">
        <v>10</v>
      </c>
      <c r="I15" s="84" t="s">
        <v>1392</v>
      </c>
      <c r="J15" s="88">
        <f t="shared" si="0"/>
        <v>14848910.375</v>
      </c>
      <c r="K15" s="89">
        <f t="shared" si="1"/>
        <v>11879128.300000001</v>
      </c>
      <c r="L15" s="89">
        <f t="shared" si="2"/>
        <v>2969782.0749999993</v>
      </c>
    </row>
    <row r="16" spans="1:12" ht="15.6" outlineLevel="1" x14ac:dyDescent="0.3">
      <c r="A16" s="85">
        <f>SUBTOTAL(3,$B$7:B16)</f>
        <v>10</v>
      </c>
      <c r="B16" s="86" t="s">
        <v>840</v>
      </c>
      <c r="C16" s="79" t="s">
        <v>508</v>
      </c>
      <c r="D16" s="87">
        <v>45261</v>
      </c>
      <c r="E16" s="80">
        <v>1</v>
      </c>
      <c r="F16" s="81">
        <v>117700000</v>
      </c>
      <c r="G16" s="82">
        <v>6</v>
      </c>
      <c r="H16" s="80">
        <v>10</v>
      </c>
      <c r="I16" s="84" t="s">
        <v>1392</v>
      </c>
      <c r="J16" s="88">
        <f t="shared" si="0"/>
        <v>19616666.666666668</v>
      </c>
      <c r="K16" s="89">
        <f t="shared" si="1"/>
        <v>11770000</v>
      </c>
      <c r="L16" s="89">
        <f t="shared" si="2"/>
        <v>7846666.6666666679</v>
      </c>
    </row>
    <row r="17" spans="1:12" ht="15.6" outlineLevel="1" x14ac:dyDescent="0.3">
      <c r="A17" s="85">
        <f>SUBTOTAL(3,$B$7:B17)</f>
        <v>11</v>
      </c>
      <c r="B17" s="86" t="s">
        <v>841</v>
      </c>
      <c r="C17" s="79" t="s">
        <v>509</v>
      </c>
      <c r="D17" s="87">
        <v>45261</v>
      </c>
      <c r="E17" s="80">
        <v>1</v>
      </c>
      <c r="F17" s="81">
        <v>30548500</v>
      </c>
      <c r="G17" s="82">
        <v>3</v>
      </c>
      <c r="H17" s="80">
        <v>10</v>
      </c>
      <c r="I17" s="84" t="s">
        <v>1392</v>
      </c>
      <c r="J17" s="88">
        <f t="shared" si="0"/>
        <v>10182833.333333334</v>
      </c>
      <c r="K17" s="89">
        <f t="shared" si="1"/>
        <v>3054850</v>
      </c>
      <c r="L17" s="89">
        <f t="shared" si="2"/>
        <v>7127983.333333334</v>
      </c>
    </row>
    <row r="18" spans="1:12" ht="15.6" outlineLevel="1" x14ac:dyDescent="0.3">
      <c r="A18" s="85">
        <f>SUBTOTAL(3,$B$7:B18)</f>
        <v>12</v>
      </c>
      <c r="B18" s="86" t="s">
        <v>842</v>
      </c>
      <c r="C18" s="79" t="s">
        <v>510</v>
      </c>
      <c r="D18" s="87">
        <v>45413</v>
      </c>
      <c r="E18" s="80">
        <v>1</v>
      </c>
      <c r="F18" s="81">
        <v>160781500</v>
      </c>
      <c r="G18" s="82">
        <v>3</v>
      </c>
      <c r="H18" s="80">
        <v>10</v>
      </c>
      <c r="I18" s="84" t="s">
        <v>1392</v>
      </c>
      <c r="J18" s="88">
        <f t="shared" si="0"/>
        <v>53593833.333333336</v>
      </c>
      <c r="K18" s="89">
        <f t="shared" si="1"/>
        <v>16078150</v>
      </c>
      <c r="L18" s="89">
        <f t="shared" si="2"/>
        <v>37515683.333333336</v>
      </c>
    </row>
    <row r="19" spans="1:12" ht="15.6" outlineLevel="1" x14ac:dyDescent="0.3">
      <c r="A19" s="85">
        <f>SUBTOTAL(3,$B$7:B19)</f>
        <v>13</v>
      </c>
      <c r="B19" s="86" t="s">
        <v>843</v>
      </c>
      <c r="C19" s="79" t="s">
        <v>511</v>
      </c>
      <c r="D19" s="87">
        <v>45627</v>
      </c>
      <c r="E19" s="80">
        <v>1</v>
      </c>
      <c r="F19" s="81">
        <v>71423600</v>
      </c>
      <c r="G19" s="82">
        <v>3</v>
      </c>
      <c r="H19" s="80">
        <v>10</v>
      </c>
      <c r="I19" s="84" t="s">
        <v>1392</v>
      </c>
      <c r="J19" s="88">
        <f t="shared" si="0"/>
        <v>23807866.666666668</v>
      </c>
      <c r="K19" s="89">
        <f t="shared" si="1"/>
        <v>7142360</v>
      </c>
      <c r="L19" s="89">
        <f t="shared" si="2"/>
        <v>16665506.666666668</v>
      </c>
    </row>
    <row r="20" spans="1:12" ht="15.6" outlineLevel="1" x14ac:dyDescent="0.3">
      <c r="A20" s="85">
        <f>SUBTOTAL(3,$B$7:B20)</f>
        <v>14</v>
      </c>
      <c r="B20" s="86" t="s">
        <v>844</v>
      </c>
      <c r="C20" s="79" t="s">
        <v>512</v>
      </c>
      <c r="D20" s="87">
        <v>45717</v>
      </c>
      <c r="E20" s="80">
        <v>1</v>
      </c>
      <c r="F20" s="81">
        <v>140570000</v>
      </c>
      <c r="G20" s="82">
        <v>3</v>
      </c>
      <c r="H20" s="80">
        <v>10</v>
      </c>
      <c r="I20" s="84" t="s">
        <v>1392</v>
      </c>
      <c r="J20" s="88">
        <f t="shared" si="0"/>
        <v>46856666.666666664</v>
      </c>
      <c r="K20" s="89">
        <f t="shared" si="1"/>
        <v>14057000</v>
      </c>
      <c r="L20" s="89">
        <f t="shared" si="2"/>
        <v>32799666.666666664</v>
      </c>
    </row>
    <row r="21" spans="1:12" ht="15.6" outlineLevel="1" x14ac:dyDescent="0.3">
      <c r="A21" s="85">
        <f>SUBTOTAL(3,$B$7:B21)</f>
        <v>15</v>
      </c>
      <c r="B21" s="86" t="s">
        <v>845</v>
      </c>
      <c r="C21" s="79" t="s">
        <v>513</v>
      </c>
      <c r="D21" s="87">
        <v>45809</v>
      </c>
      <c r="E21" s="80">
        <v>1</v>
      </c>
      <c r="F21" s="81">
        <v>72217040</v>
      </c>
      <c r="G21" s="82">
        <v>6</v>
      </c>
      <c r="H21" s="80">
        <v>10</v>
      </c>
      <c r="I21" s="84" t="s">
        <v>1392</v>
      </c>
      <c r="J21" s="88">
        <f t="shared" si="0"/>
        <v>12036173.333333334</v>
      </c>
      <c r="K21" s="89">
        <f t="shared" si="1"/>
        <v>7221704</v>
      </c>
      <c r="L21" s="89">
        <f t="shared" si="2"/>
        <v>4814469.333333334</v>
      </c>
    </row>
    <row r="22" spans="1:12" ht="15.6" outlineLevel="1" x14ac:dyDescent="0.3">
      <c r="A22" s="85">
        <f>SUBTOTAL(3,$B$7:B22)</f>
        <v>16</v>
      </c>
      <c r="B22" s="86" t="s">
        <v>846</v>
      </c>
      <c r="C22" s="79" t="s">
        <v>514</v>
      </c>
      <c r="D22" s="87">
        <v>45931</v>
      </c>
      <c r="E22" s="80">
        <v>1</v>
      </c>
      <c r="F22" s="81">
        <v>108193230</v>
      </c>
      <c r="G22" s="82">
        <v>6</v>
      </c>
      <c r="H22" s="80">
        <v>10</v>
      </c>
      <c r="I22" s="84" t="s">
        <v>1392</v>
      </c>
      <c r="J22" s="88">
        <f t="shared" si="0"/>
        <v>18032205</v>
      </c>
      <c r="K22" s="89">
        <f t="shared" si="1"/>
        <v>10819323</v>
      </c>
      <c r="L22" s="89">
        <f t="shared" si="2"/>
        <v>7212882</v>
      </c>
    </row>
    <row r="23" spans="1:12" ht="12.75" customHeight="1" outlineLevel="1" x14ac:dyDescent="0.3">
      <c r="A23" s="85">
        <f>SUBTOTAL(3,$B$7:B23)</f>
        <v>17</v>
      </c>
      <c r="B23" s="86" t="s">
        <v>834</v>
      </c>
      <c r="C23" s="90" t="s">
        <v>518</v>
      </c>
      <c r="D23" s="87">
        <v>45231</v>
      </c>
      <c r="E23" s="80">
        <v>1</v>
      </c>
      <c r="F23" s="81">
        <v>174699000</v>
      </c>
      <c r="G23" s="82">
        <v>2</v>
      </c>
      <c r="H23" s="80">
        <v>10</v>
      </c>
      <c r="I23" s="84" t="s">
        <v>1392</v>
      </c>
      <c r="J23" s="88">
        <f t="shared" si="0"/>
        <v>87349500</v>
      </c>
      <c r="K23" s="89">
        <f t="shared" si="1"/>
        <v>17469900</v>
      </c>
      <c r="L23" s="89">
        <f t="shared" si="2"/>
        <v>69879600</v>
      </c>
    </row>
    <row r="24" spans="1:12" ht="15.6" x14ac:dyDescent="0.3">
      <c r="A24" s="76" t="s">
        <v>1393</v>
      </c>
      <c r="B24" s="77"/>
      <c r="C24" s="78" t="s">
        <v>1394</v>
      </c>
      <c r="D24" s="79"/>
      <c r="E24" s="80"/>
      <c r="F24" s="81"/>
      <c r="G24" s="82">
        <v>15</v>
      </c>
      <c r="H24" s="80">
        <v>25</v>
      </c>
      <c r="I24" s="83" t="s">
        <v>1395</v>
      </c>
      <c r="J24" s="82"/>
      <c r="K24" s="82"/>
      <c r="L24" s="82"/>
    </row>
    <row r="25" spans="1:12" ht="15.6" x14ac:dyDescent="0.3">
      <c r="A25" s="76" t="s">
        <v>1396</v>
      </c>
      <c r="B25" s="77"/>
      <c r="C25" s="78" t="s">
        <v>1397</v>
      </c>
      <c r="D25" s="79"/>
      <c r="E25" s="80"/>
      <c r="F25" s="81"/>
      <c r="G25" s="82">
        <v>8</v>
      </c>
      <c r="H25" s="80">
        <v>20</v>
      </c>
      <c r="I25" s="83" t="s">
        <v>1398</v>
      </c>
      <c r="J25" s="82"/>
      <c r="K25" s="82"/>
      <c r="L25" s="82"/>
    </row>
    <row r="26" spans="1:12" ht="15.6" x14ac:dyDescent="0.3">
      <c r="A26" s="76" t="s">
        <v>1399</v>
      </c>
      <c r="B26" s="77"/>
      <c r="C26" s="78" t="s">
        <v>1400</v>
      </c>
      <c r="D26" s="79"/>
      <c r="E26" s="80"/>
      <c r="F26" s="81"/>
      <c r="G26" s="82">
        <v>6</v>
      </c>
      <c r="H26" s="80">
        <v>25</v>
      </c>
      <c r="I26" s="83" t="s">
        <v>1395</v>
      </c>
      <c r="J26" s="82"/>
      <c r="K26" s="82"/>
      <c r="L26" s="82"/>
    </row>
    <row r="27" spans="1:12" ht="31.2" x14ac:dyDescent="0.3">
      <c r="A27" s="76" t="s">
        <v>1401</v>
      </c>
      <c r="B27" s="77"/>
      <c r="C27" s="91" t="s">
        <v>1402</v>
      </c>
      <c r="D27" s="79"/>
      <c r="E27" s="80"/>
      <c r="F27" s="81"/>
      <c r="G27" s="82">
        <v>10</v>
      </c>
      <c r="H27" s="80">
        <v>15</v>
      </c>
      <c r="I27" s="83" t="s">
        <v>1403</v>
      </c>
      <c r="J27" s="82"/>
      <c r="K27" s="82"/>
      <c r="L27" s="82"/>
    </row>
    <row r="28" spans="1:12" ht="46.8" x14ac:dyDescent="0.3">
      <c r="A28" s="76" t="s">
        <v>1404</v>
      </c>
      <c r="B28" s="77"/>
      <c r="C28" s="91" t="s">
        <v>1405</v>
      </c>
      <c r="D28" s="79"/>
      <c r="E28" s="80"/>
      <c r="F28" s="81"/>
      <c r="G28" s="82">
        <v>8</v>
      </c>
      <c r="H28" s="80">
        <v>15</v>
      </c>
      <c r="I28" s="83" t="s">
        <v>1406</v>
      </c>
      <c r="J28" s="82"/>
      <c r="K28" s="82"/>
      <c r="L28" s="82"/>
    </row>
    <row r="29" spans="1:12" ht="31.2" x14ac:dyDescent="0.3">
      <c r="A29" s="76" t="s">
        <v>1407</v>
      </c>
      <c r="B29" s="77"/>
      <c r="C29" s="91" t="s">
        <v>1408</v>
      </c>
      <c r="D29" s="79"/>
      <c r="E29" s="80"/>
      <c r="F29" s="81"/>
      <c r="G29" s="82">
        <v>8</v>
      </c>
      <c r="H29" s="80">
        <v>15</v>
      </c>
      <c r="I29" s="83" t="s">
        <v>1403</v>
      </c>
      <c r="J29" s="82"/>
      <c r="K29" s="82"/>
      <c r="L29" s="82"/>
    </row>
    <row r="30" spans="1:12" ht="15.6" x14ac:dyDescent="0.3">
      <c r="A30" s="76" t="s">
        <v>1409</v>
      </c>
      <c r="B30" s="77"/>
      <c r="C30" s="78" t="s">
        <v>1410</v>
      </c>
      <c r="D30" s="79"/>
      <c r="E30" s="80"/>
      <c r="F30" s="81"/>
      <c r="G30" s="82">
        <v>8</v>
      </c>
      <c r="H30" s="80">
        <v>15</v>
      </c>
      <c r="I30" s="83" t="s">
        <v>1406</v>
      </c>
      <c r="J30" s="82"/>
      <c r="K30" s="82"/>
      <c r="L30" s="82"/>
    </row>
    <row r="31" spans="1:12" ht="16.2" x14ac:dyDescent="0.3">
      <c r="A31" s="92" t="s">
        <v>1411</v>
      </c>
      <c r="B31" s="93"/>
      <c r="C31" s="94" t="s">
        <v>1412</v>
      </c>
      <c r="D31" s="95"/>
      <c r="E31" s="96"/>
      <c r="F31" s="97"/>
      <c r="G31" s="98"/>
      <c r="H31" s="99"/>
      <c r="I31" s="98"/>
      <c r="J31" s="98"/>
      <c r="K31" s="98"/>
      <c r="L31" s="98"/>
    </row>
    <row r="32" spans="1:12" ht="33" customHeight="1" x14ac:dyDescent="0.3">
      <c r="A32" s="76" t="s">
        <v>1413</v>
      </c>
      <c r="B32" s="77"/>
      <c r="C32" s="100" t="s">
        <v>1414</v>
      </c>
      <c r="D32" s="79"/>
      <c r="E32" s="101"/>
      <c r="F32" s="102"/>
      <c r="G32" s="103">
        <v>5</v>
      </c>
      <c r="H32" s="101">
        <v>15</v>
      </c>
      <c r="I32" s="104" t="s">
        <v>1415</v>
      </c>
      <c r="J32" s="103"/>
      <c r="K32" s="103"/>
      <c r="L32" s="103"/>
    </row>
    <row r="33" spans="1:12" ht="15.6" x14ac:dyDescent="0.3">
      <c r="A33" s="76" t="s">
        <v>1416</v>
      </c>
      <c r="B33" s="77"/>
      <c r="C33" s="105" t="s">
        <v>1417</v>
      </c>
      <c r="D33" s="79"/>
      <c r="E33" s="101"/>
      <c r="F33" s="102"/>
      <c r="G33" s="104" t="s">
        <v>1418</v>
      </c>
      <c r="H33" s="101">
        <v>12</v>
      </c>
      <c r="I33" s="104" t="s">
        <v>1419</v>
      </c>
      <c r="J33" s="103"/>
      <c r="K33" s="103"/>
      <c r="L33" s="103"/>
    </row>
    <row r="34" spans="1:12" ht="15.6" outlineLevel="1" x14ac:dyDescent="0.3">
      <c r="A34" s="85">
        <f>SUBTOTAL(3,$B$34:B34)</f>
        <v>1</v>
      </c>
      <c r="B34" s="86" t="s">
        <v>847</v>
      </c>
      <c r="C34" s="90" t="s">
        <v>621</v>
      </c>
      <c r="D34" s="87">
        <v>44166</v>
      </c>
      <c r="E34" s="80">
        <v>1</v>
      </c>
      <c r="F34" s="81">
        <v>171900000</v>
      </c>
      <c r="G34" s="82">
        <v>8</v>
      </c>
      <c r="H34" s="101">
        <v>12</v>
      </c>
      <c r="I34" s="104" t="s">
        <v>1419</v>
      </c>
      <c r="J34" s="88">
        <f t="shared" ref="J34:J97" si="3">F34/G34</f>
        <v>21487500</v>
      </c>
      <c r="K34" s="89">
        <f t="shared" ref="K34:K97" si="4">F34/H34</f>
        <v>14325000</v>
      </c>
      <c r="L34" s="89">
        <f t="shared" ref="L34:L97" si="5">J34-K34</f>
        <v>7162500</v>
      </c>
    </row>
    <row r="35" spans="1:12" ht="15.6" outlineLevel="1" x14ac:dyDescent="0.3">
      <c r="A35" s="85">
        <f>SUBTOTAL(3,$B$34:B35)</f>
        <v>2</v>
      </c>
      <c r="B35" s="86" t="s">
        <v>848</v>
      </c>
      <c r="C35" s="90" t="s">
        <v>622</v>
      </c>
      <c r="D35" s="87">
        <v>44389</v>
      </c>
      <c r="E35" s="80">
        <v>1</v>
      </c>
      <c r="F35" s="81">
        <v>150000000</v>
      </c>
      <c r="G35" s="82">
        <v>8</v>
      </c>
      <c r="H35" s="101">
        <v>12</v>
      </c>
      <c r="I35" s="104" t="s">
        <v>1419</v>
      </c>
      <c r="J35" s="88">
        <f t="shared" si="3"/>
        <v>18750000</v>
      </c>
      <c r="K35" s="89">
        <f t="shared" si="4"/>
        <v>12500000</v>
      </c>
      <c r="L35" s="89">
        <f t="shared" si="5"/>
        <v>6250000</v>
      </c>
    </row>
    <row r="36" spans="1:12" ht="15.6" outlineLevel="1" x14ac:dyDescent="0.3">
      <c r="A36" s="85">
        <f>SUBTOTAL(3,$B$34:B36)</f>
        <v>3</v>
      </c>
      <c r="B36" s="86" t="s">
        <v>849</v>
      </c>
      <c r="C36" s="90" t="s">
        <v>623</v>
      </c>
      <c r="D36" s="87">
        <v>44417</v>
      </c>
      <c r="E36" s="80">
        <v>1</v>
      </c>
      <c r="F36" s="81">
        <v>37079055498</v>
      </c>
      <c r="G36" s="82">
        <v>10</v>
      </c>
      <c r="H36" s="101">
        <v>12</v>
      </c>
      <c r="I36" s="104" t="s">
        <v>1419</v>
      </c>
      <c r="J36" s="88">
        <f t="shared" si="3"/>
        <v>3707905549.8000002</v>
      </c>
      <c r="K36" s="89">
        <f t="shared" si="4"/>
        <v>3089921291.5</v>
      </c>
      <c r="L36" s="89">
        <f t="shared" si="5"/>
        <v>617984258.30000019</v>
      </c>
    </row>
    <row r="37" spans="1:12" ht="15.6" outlineLevel="1" x14ac:dyDescent="0.3">
      <c r="A37" s="85">
        <f>SUBTOTAL(3,$B$34:B37)</f>
        <v>4</v>
      </c>
      <c r="B37" s="86" t="s">
        <v>851</v>
      </c>
      <c r="C37" s="90" t="s">
        <v>624</v>
      </c>
      <c r="D37" s="87">
        <v>44417</v>
      </c>
      <c r="E37" s="80">
        <v>1</v>
      </c>
      <c r="F37" s="81">
        <v>40241134847</v>
      </c>
      <c r="G37" s="82">
        <v>10</v>
      </c>
      <c r="H37" s="101">
        <v>12</v>
      </c>
      <c r="I37" s="104" t="s">
        <v>1419</v>
      </c>
      <c r="J37" s="88">
        <f t="shared" si="3"/>
        <v>4024113484.6999998</v>
      </c>
      <c r="K37" s="89">
        <f t="shared" si="4"/>
        <v>3353427903.9166665</v>
      </c>
      <c r="L37" s="89">
        <f t="shared" si="5"/>
        <v>670685580.7833333</v>
      </c>
    </row>
    <row r="38" spans="1:12" ht="15.6" outlineLevel="1" x14ac:dyDescent="0.3">
      <c r="A38" s="85">
        <f>SUBTOTAL(3,$B$34:B38)</f>
        <v>5</v>
      </c>
      <c r="B38" s="86" t="s">
        <v>852</v>
      </c>
      <c r="C38" s="90" t="s">
        <v>625</v>
      </c>
      <c r="D38" s="87">
        <v>44417</v>
      </c>
      <c r="E38" s="80">
        <v>1</v>
      </c>
      <c r="F38" s="81">
        <v>42627620306</v>
      </c>
      <c r="G38" s="82">
        <v>10</v>
      </c>
      <c r="H38" s="101">
        <v>12</v>
      </c>
      <c r="I38" s="104" t="s">
        <v>1419</v>
      </c>
      <c r="J38" s="88">
        <f t="shared" si="3"/>
        <v>4262762030.5999999</v>
      </c>
      <c r="K38" s="89">
        <f t="shared" si="4"/>
        <v>3552301692.1666665</v>
      </c>
      <c r="L38" s="89">
        <f t="shared" si="5"/>
        <v>710460338.4333334</v>
      </c>
    </row>
    <row r="39" spans="1:12" ht="15.6" outlineLevel="1" x14ac:dyDescent="0.3">
      <c r="A39" s="85">
        <f>SUBTOTAL(3,$B$34:B39)</f>
        <v>6</v>
      </c>
      <c r="B39" s="86" t="s">
        <v>853</v>
      </c>
      <c r="C39" s="90" t="s">
        <v>626</v>
      </c>
      <c r="D39" s="87">
        <v>44417</v>
      </c>
      <c r="E39" s="80">
        <v>1</v>
      </c>
      <c r="F39" s="81">
        <v>8257058918</v>
      </c>
      <c r="G39" s="82">
        <v>10</v>
      </c>
      <c r="H39" s="101">
        <v>12</v>
      </c>
      <c r="I39" s="104" t="s">
        <v>1419</v>
      </c>
      <c r="J39" s="88">
        <f t="shared" si="3"/>
        <v>825705891.79999995</v>
      </c>
      <c r="K39" s="89">
        <f t="shared" si="4"/>
        <v>688088243.16666663</v>
      </c>
      <c r="L39" s="89">
        <f t="shared" si="5"/>
        <v>137617648.63333333</v>
      </c>
    </row>
    <row r="40" spans="1:12" ht="31.2" outlineLevel="1" x14ac:dyDescent="0.3">
      <c r="A40" s="85">
        <f>SUBTOTAL(3,$B$34:B40)</f>
        <v>7</v>
      </c>
      <c r="B40" s="86" t="s">
        <v>854</v>
      </c>
      <c r="C40" s="90" t="s">
        <v>627</v>
      </c>
      <c r="D40" s="87">
        <v>44651</v>
      </c>
      <c r="E40" s="80">
        <v>1</v>
      </c>
      <c r="F40" s="81">
        <v>265000000</v>
      </c>
      <c r="G40" s="82">
        <v>6</v>
      </c>
      <c r="H40" s="101">
        <v>12</v>
      </c>
      <c r="I40" s="104" t="s">
        <v>1419</v>
      </c>
      <c r="J40" s="88">
        <f t="shared" si="3"/>
        <v>44166666.666666664</v>
      </c>
      <c r="K40" s="89">
        <f t="shared" si="4"/>
        <v>22083333.333333332</v>
      </c>
      <c r="L40" s="89">
        <f t="shared" si="5"/>
        <v>22083333.333333332</v>
      </c>
    </row>
    <row r="41" spans="1:12" ht="15.6" outlineLevel="1" x14ac:dyDescent="0.3">
      <c r="A41" s="85">
        <f>SUBTOTAL(3,$B$34:B41)</f>
        <v>8</v>
      </c>
      <c r="B41" s="86" t="s">
        <v>857</v>
      </c>
      <c r="C41" s="90" t="s">
        <v>628</v>
      </c>
      <c r="D41" s="87">
        <v>44683</v>
      </c>
      <c r="E41" s="80">
        <v>1</v>
      </c>
      <c r="F41" s="81">
        <v>169034165</v>
      </c>
      <c r="G41" s="82">
        <v>5</v>
      </c>
      <c r="H41" s="101">
        <v>12</v>
      </c>
      <c r="I41" s="104" t="s">
        <v>1419</v>
      </c>
      <c r="J41" s="88">
        <f t="shared" si="3"/>
        <v>33806833</v>
      </c>
      <c r="K41" s="89">
        <f t="shared" si="4"/>
        <v>14086180.416666666</v>
      </c>
      <c r="L41" s="89">
        <f t="shared" si="5"/>
        <v>19720652.583333336</v>
      </c>
    </row>
    <row r="42" spans="1:12" ht="31.2" outlineLevel="1" x14ac:dyDescent="0.3">
      <c r="A42" s="85">
        <f>SUBTOTAL(3,$B$34:B42)</f>
        <v>9</v>
      </c>
      <c r="B42" s="86" t="s">
        <v>858</v>
      </c>
      <c r="C42" s="90" t="s">
        <v>629</v>
      </c>
      <c r="D42" s="87">
        <v>44694</v>
      </c>
      <c r="E42" s="80">
        <v>1</v>
      </c>
      <c r="F42" s="81">
        <v>172165000</v>
      </c>
      <c r="G42" s="82">
        <v>5</v>
      </c>
      <c r="H42" s="101">
        <v>12</v>
      </c>
      <c r="I42" s="104" t="s">
        <v>1419</v>
      </c>
      <c r="J42" s="88">
        <f t="shared" si="3"/>
        <v>34433000</v>
      </c>
      <c r="K42" s="89">
        <f t="shared" si="4"/>
        <v>14347083.333333334</v>
      </c>
      <c r="L42" s="89">
        <f t="shared" si="5"/>
        <v>20085916.666666664</v>
      </c>
    </row>
    <row r="43" spans="1:12" ht="15.6" outlineLevel="1" x14ac:dyDescent="0.3">
      <c r="A43" s="85">
        <f>SUBTOTAL(3,$B$34:B43)</f>
        <v>10</v>
      </c>
      <c r="B43" s="86" t="s">
        <v>861</v>
      </c>
      <c r="C43" s="90" t="s">
        <v>630</v>
      </c>
      <c r="D43" s="87">
        <v>44736</v>
      </c>
      <c r="E43" s="80">
        <v>1</v>
      </c>
      <c r="F43" s="81">
        <v>551292212</v>
      </c>
      <c r="G43" s="82">
        <v>5</v>
      </c>
      <c r="H43" s="101">
        <v>12</v>
      </c>
      <c r="I43" s="104" t="s">
        <v>1419</v>
      </c>
      <c r="J43" s="88">
        <f t="shared" si="3"/>
        <v>110258442.40000001</v>
      </c>
      <c r="K43" s="89">
        <f t="shared" si="4"/>
        <v>45941017.666666664</v>
      </c>
      <c r="L43" s="89">
        <f t="shared" si="5"/>
        <v>64317424.733333342</v>
      </c>
    </row>
    <row r="44" spans="1:12" ht="15.6" outlineLevel="1" x14ac:dyDescent="0.3">
      <c r="A44" s="85">
        <f>SUBTOTAL(3,$B$34:B44)</f>
        <v>11</v>
      </c>
      <c r="B44" s="86" t="s">
        <v>864</v>
      </c>
      <c r="C44" s="90" t="s">
        <v>631</v>
      </c>
      <c r="D44" s="87">
        <v>44757</v>
      </c>
      <c r="E44" s="80">
        <v>1</v>
      </c>
      <c r="F44" s="81">
        <v>123198632</v>
      </c>
      <c r="G44" s="82">
        <v>8</v>
      </c>
      <c r="H44" s="101">
        <v>12</v>
      </c>
      <c r="I44" s="104" t="s">
        <v>1419</v>
      </c>
      <c r="J44" s="88">
        <f t="shared" si="3"/>
        <v>15399829</v>
      </c>
      <c r="K44" s="89">
        <f t="shared" si="4"/>
        <v>10266552.666666666</v>
      </c>
      <c r="L44" s="89">
        <f t="shared" si="5"/>
        <v>5133276.333333334</v>
      </c>
    </row>
    <row r="45" spans="1:12" ht="15.6" outlineLevel="1" x14ac:dyDescent="0.3">
      <c r="A45" s="85">
        <f>SUBTOTAL(3,$B$34:B45)</f>
        <v>12</v>
      </c>
      <c r="B45" s="86" t="s">
        <v>865</v>
      </c>
      <c r="C45" s="90" t="s">
        <v>632</v>
      </c>
      <c r="D45" s="87">
        <v>44835</v>
      </c>
      <c r="E45" s="80">
        <v>1</v>
      </c>
      <c r="F45" s="81">
        <v>34920000</v>
      </c>
      <c r="G45" s="82">
        <v>5</v>
      </c>
      <c r="H45" s="101">
        <v>12</v>
      </c>
      <c r="I45" s="104" t="s">
        <v>1419</v>
      </c>
      <c r="J45" s="88">
        <f t="shared" si="3"/>
        <v>6984000</v>
      </c>
      <c r="K45" s="89">
        <f t="shared" si="4"/>
        <v>2910000</v>
      </c>
      <c r="L45" s="89">
        <f t="shared" si="5"/>
        <v>4074000</v>
      </c>
    </row>
    <row r="46" spans="1:12" ht="15.6" outlineLevel="1" x14ac:dyDescent="0.3">
      <c r="A46" s="85">
        <f>SUBTOTAL(3,$B$34:B46)</f>
        <v>13</v>
      </c>
      <c r="B46" s="86" t="s">
        <v>866</v>
      </c>
      <c r="C46" s="90" t="s">
        <v>633</v>
      </c>
      <c r="D46" s="87">
        <v>44835</v>
      </c>
      <c r="E46" s="80">
        <v>2</v>
      </c>
      <c r="F46" s="81">
        <v>255000000</v>
      </c>
      <c r="G46" s="82">
        <v>5</v>
      </c>
      <c r="H46" s="101">
        <v>12</v>
      </c>
      <c r="I46" s="104" t="s">
        <v>1419</v>
      </c>
      <c r="J46" s="88">
        <f t="shared" si="3"/>
        <v>51000000</v>
      </c>
      <c r="K46" s="89">
        <f t="shared" si="4"/>
        <v>21250000</v>
      </c>
      <c r="L46" s="89">
        <f t="shared" si="5"/>
        <v>29750000</v>
      </c>
    </row>
    <row r="47" spans="1:12" ht="31.2" outlineLevel="1" x14ac:dyDescent="0.3">
      <c r="A47" s="85">
        <f>SUBTOTAL(3,$B$34:B47)</f>
        <v>14</v>
      </c>
      <c r="B47" s="86" t="s">
        <v>867</v>
      </c>
      <c r="C47" s="90" t="s">
        <v>634</v>
      </c>
      <c r="D47" s="87">
        <v>44835</v>
      </c>
      <c r="E47" s="80">
        <v>1</v>
      </c>
      <c r="F47" s="81">
        <v>34600000</v>
      </c>
      <c r="G47" s="82">
        <v>5</v>
      </c>
      <c r="H47" s="101">
        <v>12</v>
      </c>
      <c r="I47" s="104" t="s">
        <v>1419</v>
      </c>
      <c r="J47" s="88">
        <f t="shared" si="3"/>
        <v>6920000</v>
      </c>
      <c r="K47" s="89">
        <f t="shared" si="4"/>
        <v>2883333.3333333335</v>
      </c>
      <c r="L47" s="89">
        <f t="shared" si="5"/>
        <v>4036666.6666666665</v>
      </c>
    </row>
    <row r="48" spans="1:12" ht="15.6" outlineLevel="1" x14ac:dyDescent="0.3">
      <c r="A48" s="85">
        <f>SUBTOTAL(3,$B$34:B48)</f>
        <v>15</v>
      </c>
      <c r="B48" s="86" t="s">
        <v>868</v>
      </c>
      <c r="C48" s="90" t="s">
        <v>635</v>
      </c>
      <c r="D48" s="87">
        <v>44927</v>
      </c>
      <c r="E48" s="80">
        <v>1</v>
      </c>
      <c r="F48" s="81">
        <v>261760895</v>
      </c>
      <c r="G48" s="82">
        <v>5</v>
      </c>
      <c r="H48" s="101">
        <v>12</v>
      </c>
      <c r="I48" s="104" t="s">
        <v>1419</v>
      </c>
      <c r="J48" s="88">
        <f t="shared" si="3"/>
        <v>52352179</v>
      </c>
      <c r="K48" s="89">
        <f t="shared" si="4"/>
        <v>21813407.916666668</v>
      </c>
      <c r="L48" s="89">
        <f t="shared" si="5"/>
        <v>30538771.083333332</v>
      </c>
    </row>
    <row r="49" spans="1:12" ht="15.6" outlineLevel="1" x14ac:dyDescent="0.3">
      <c r="A49" s="85">
        <f>SUBTOTAL(3,$B$34:B49)</f>
        <v>16</v>
      </c>
      <c r="B49" s="86" t="s">
        <v>869</v>
      </c>
      <c r="C49" s="90" t="s">
        <v>636</v>
      </c>
      <c r="D49" s="87">
        <v>44927</v>
      </c>
      <c r="E49" s="80">
        <v>1</v>
      </c>
      <c r="F49" s="81">
        <v>261760893</v>
      </c>
      <c r="G49" s="82">
        <v>5</v>
      </c>
      <c r="H49" s="101">
        <v>12</v>
      </c>
      <c r="I49" s="104" t="s">
        <v>1419</v>
      </c>
      <c r="J49" s="88">
        <f t="shared" si="3"/>
        <v>52352178.600000001</v>
      </c>
      <c r="K49" s="89">
        <f t="shared" si="4"/>
        <v>21813407.75</v>
      </c>
      <c r="L49" s="89">
        <f t="shared" si="5"/>
        <v>30538770.850000001</v>
      </c>
    </row>
    <row r="50" spans="1:12" ht="15.6" outlineLevel="1" x14ac:dyDescent="0.3">
      <c r="A50" s="85">
        <f>SUBTOTAL(3,$B$34:B50)</f>
        <v>17</v>
      </c>
      <c r="B50" s="86" t="s">
        <v>870</v>
      </c>
      <c r="C50" s="90" t="s">
        <v>637</v>
      </c>
      <c r="D50" s="87">
        <v>44958</v>
      </c>
      <c r="E50" s="80">
        <v>1</v>
      </c>
      <c r="F50" s="81">
        <v>4460334770</v>
      </c>
      <c r="G50" s="82">
        <v>5</v>
      </c>
      <c r="H50" s="101">
        <v>12</v>
      </c>
      <c r="I50" s="104" t="s">
        <v>1419</v>
      </c>
      <c r="J50" s="88">
        <f t="shared" si="3"/>
        <v>892066954</v>
      </c>
      <c r="K50" s="89">
        <f t="shared" si="4"/>
        <v>371694564.16666669</v>
      </c>
      <c r="L50" s="89">
        <f t="shared" si="5"/>
        <v>520372389.83333331</v>
      </c>
    </row>
    <row r="51" spans="1:12" ht="31.2" outlineLevel="1" x14ac:dyDescent="0.3">
      <c r="A51" s="85">
        <f>SUBTOTAL(3,$B$34:B51)</f>
        <v>18</v>
      </c>
      <c r="B51" s="86" t="s">
        <v>871</v>
      </c>
      <c r="C51" s="90" t="s">
        <v>638</v>
      </c>
      <c r="D51" s="87">
        <v>44986</v>
      </c>
      <c r="E51" s="80">
        <v>1</v>
      </c>
      <c r="F51" s="81">
        <v>1856733952</v>
      </c>
      <c r="G51" s="82">
        <v>5</v>
      </c>
      <c r="H51" s="101">
        <v>12</v>
      </c>
      <c r="I51" s="104" t="s">
        <v>1419</v>
      </c>
      <c r="J51" s="88">
        <f t="shared" si="3"/>
        <v>371346790.39999998</v>
      </c>
      <c r="K51" s="89">
        <f t="shared" si="4"/>
        <v>154727829.33333334</v>
      </c>
      <c r="L51" s="89">
        <f t="shared" si="5"/>
        <v>216618961.06666663</v>
      </c>
    </row>
    <row r="52" spans="1:12" ht="15.6" outlineLevel="1" x14ac:dyDescent="0.3">
      <c r="A52" s="85">
        <f>SUBTOTAL(3,$B$34:B52)</f>
        <v>19</v>
      </c>
      <c r="B52" s="86" t="s">
        <v>874</v>
      </c>
      <c r="C52" s="90" t="s">
        <v>639</v>
      </c>
      <c r="D52" s="87">
        <v>45017</v>
      </c>
      <c r="E52" s="80">
        <v>1</v>
      </c>
      <c r="F52" s="81">
        <v>99797292</v>
      </c>
      <c r="G52" s="82">
        <v>5</v>
      </c>
      <c r="H52" s="101">
        <v>12</v>
      </c>
      <c r="I52" s="104" t="s">
        <v>1419</v>
      </c>
      <c r="J52" s="88">
        <f t="shared" si="3"/>
        <v>19959458.399999999</v>
      </c>
      <c r="K52" s="89">
        <f t="shared" si="4"/>
        <v>8316441</v>
      </c>
      <c r="L52" s="89">
        <f t="shared" si="5"/>
        <v>11643017.399999999</v>
      </c>
    </row>
    <row r="53" spans="1:12" ht="15.6" outlineLevel="1" x14ac:dyDescent="0.3">
      <c r="A53" s="85">
        <f>SUBTOTAL(3,$B$34:B53)</f>
        <v>20</v>
      </c>
      <c r="B53" s="86" t="s">
        <v>875</v>
      </c>
      <c r="C53" s="90" t="s">
        <v>640</v>
      </c>
      <c r="D53" s="87">
        <v>45026</v>
      </c>
      <c r="E53" s="80">
        <v>1</v>
      </c>
      <c r="F53" s="81">
        <v>1885681729</v>
      </c>
      <c r="G53" s="82">
        <v>8</v>
      </c>
      <c r="H53" s="101">
        <v>12</v>
      </c>
      <c r="I53" s="104" t="s">
        <v>1419</v>
      </c>
      <c r="J53" s="88">
        <f t="shared" si="3"/>
        <v>235710216.125</v>
      </c>
      <c r="K53" s="89">
        <f t="shared" si="4"/>
        <v>157140144.08333334</v>
      </c>
      <c r="L53" s="89">
        <f t="shared" si="5"/>
        <v>78570072.041666657</v>
      </c>
    </row>
    <row r="54" spans="1:12" ht="15.6" outlineLevel="1" x14ac:dyDescent="0.3">
      <c r="A54" s="85">
        <f>SUBTOTAL(3,$B$34:B54)</f>
        <v>21</v>
      </c>
      <c r="B54" s="86" t="s">
        <v>876</v>
      </c>
      <c r="C54" s="90" t="s">
        <v>641</v>
      </c>
      <c r="D54" s="87">
        <v>45139</v>
      </c>
      <c r="E54" s="80">
        <v>1</v>
      </c>
      <c r="F54" s="81">
        <v>76300000</v>
      </c>
      <c r="G54" s="82">
        <v>5</v>
      </c>
      <c r="H54" s="101">
        <v>12</v>
      </c>
      <c r="I54" s="104" t="s">
        <v>1419</v>
      </c>
      <c r="J54" s="88">
        <f t="shared" si="3"/>
        <v>15260000</v>
      </c>
      <c r="K54" s="89">
        <f t="shared" si="4"/>
        <v>6358333.333333333</v>
      </c>
      <c r="L54" s="89">
        <f t="shared" si="5"/>
        <v>8901666.6666666679</v>
      </c>
    </row>
    <row r="55" spans="1:12" ht="15.6" outlineLevel="1" x14ac:dyDescent="0.3">
      <c r="A55" s="85">
        <f>SUBTOTAL(3,$B$34:B55)</f>
        <v>22</v>
      </c>
      <c r="B55" s="86" t="s">
        <v>877</v>
      </c>
      <c r="C55" s="90" t="s">
        <v>633</v>
      </c>
      <c r="D55" s="87">
        <v>45170</v>
      </c>
      <c r="E55" s="80">
        <v>1</v>
      </c>
      <c r="F55" s="81">
        <v>107919600</v>
      </c>
      <c r="G55" s="82">
        <v>5</v>
      </c>
      <c r="H55" s="101">
        <v>12</v>
      </c>
      <c r="I55" s="104" t="s">
        <v>1419</v>
      </c>
      <c r="J55" s="88">
        <f t="shared" si="3"/>
        <v>21583920</v>
      </c>
      <c r="K55" s="89">
        <f t="shared" si="4"/>
        <v>8993300</v>
      </c>
      <c r="L55" s="89">
        <f t="shared" si="5"/>
        <v>12590620</v>
      </c>
    </row>
    <row r="56" spans="1:12" ht="15.6" outlineLevel="1" x14ac:dyDescent="0.3">
      <c r="A56" s="85">
        <f>SUBTOTAL(3,$B$34:B56)</f>
        <v>23</v>
      </c>
      <c r="B56" s="86" t="s">
        <v>880</v>
      </c>
      <c r="C56" s="90" t="s">
        <v>642</v>
      </c>
      <c r="D56" s="87">
        <v>45017</v>
      </c>
      <c r="E56" s="80">
        <v>1</v>
      </c>
      <c r="F56" s="81">
        <v>219500000</v>
      </c>
      <c r="G56" s="82">
        <v>5</v>
      </c>
      <c r="H56" s="101">
        <v>12</v>
      </c>
      <c r="I56" s="104" t="s">
        <v>1419</v>
      </c>
      <c r="J56" s="88">
        <f t="shared" si="3"/>
        <v>43900000</v>
      </c>
      <c r="K56" s="89">
        <f t="shared" si="4"/>
        <v>18291666.666666668</v>
      </c>
      <c r="L56" s="89">
        <f t="shared" si="5"/>
        <v>25608333.333333332</v>
      </c>
    </row>
    <row r="57" spans="1:12" ht="15.6" outlineLevel="1" x14ac:dyDescent="0.3">
      <c r="A57" s="85">
        <f>SUBTOTAL(3,$B$34:B57)</f>
        <v>24</v>
      </c>
      <c r="B57" s="86" t="s">
        <v>881</v>
      </c>
      <c r="C57" s="90" t="s">
        <v>643</v>
      </c>
      <c r="D57" s="87">
        <v>45047</v>
      </c>
      <c r="E57" s="80">
        <v>1</v>
      </c>
      <c r="F57" s="81">
        <v>140000000</v>
      </c>
      <c r="G57" s="82">
        <v>5</v>
      </c>
      <c r="H57" s="101">
        <v>12</v>
      </c>
      <c r="I57" s="104" t="s">
        <v>1419</v>
      </c>
      <c r="J57" s="88">
        <f t="shared" si="3"/>
        <v>28000000</v>
      </c>
      <c r="K57" s="89">
        <f t="shared" si="4"/>
        <v>11666666.666666666</v>
      </c>
      <c r="L57" s="89">
        <f t="shared" si="5"/>
        <v>16333333.333333334</v>
      </c>
    </row>
    <row r="58" spans="1:12" ht="15.6" outlineLevel="1" x14ac:dyDescent="0.3">
      <c r="A58" s="85">
        <f>SUBTOTAL(3,$B$34:B58)</f>
        <v>25</v>
      </c>
      <c r="B58" s="86" t="s">
        <v>882</v>
      </c>
      <c r="C58" s="90" t="s">
        <v>644</v>
      </c>
      <c r="D58" s="87">
        <v>45110</v>
      </c>
      <c r="E58" s="80">
        <v>1</v>
      </c>
      <c r="F58" s="81">
        <v>1849055197</v>
      </c>
      <c r="G58" s="82">
        <v>5</v>
      </c>
      <c r="H58" s="101">
        <v>12</v>
      </c>
      <c r="I58" s="104" t="s">
        <v>1419</v>
      </c>
      <c r="J58" s="88">
        <f t="shared" si="3"/>
        <v>369811039.39999998</v>
      </c>
      <c r="K58" s="89">
        <f t="shared" si="4"/>
        <v>154087933.08333334</v>
      </c>
      <c r="L58" s="89">
        <f t="shared" si="5"/>
        <v>215723106.31666663</v>
      </c>
    </row>
    <row r="59" spans="1:12" ht="15.6" outlineLevel="1" x14ac:dyDescent="0.3">
      <c r="A59" s="85">
        <f>SUBTOTAL(3,$B$34:B59)</f>
        <v>26</v>
      </c>
      <c r="B59" s="86" t="s">
        <v>883</v>
      </c>
      <c r="C59" s="90" t="s">
        <v>645</v>
      </c>
      <c r="D59" s="87">
        <v>45110</v>
      </c>
      <c r="E59" s="80">
        <v>1</v>
      </c>
      <c r="F59" s="81">
        <v>175949315</v>
      </c>
      <c r="G59" s="82">
        <v>3</v>
      </c>
      <c r="H59" s="101">
        <v>12</v>
      </c>
      <c r="I59" s="104" t="s">
        <v>1419</v>
      </c>
      <c r="J59" s="88">
        <f t="shared" si="3"/>
        <v>58649771.666666664</v>
      </c>
      <c r="K59" s="89">
        <f t="shared" si="4"/>
        <v>14662442.916666666</v>
      </c>
      <c r="L59" s="89">
        <f t="shared" si="5"/>
        <v>43987328.75</v>
      </c>
    </row>
    <row r="60" spans="1:12" ht="15.6" outlineLevel="1" x14ac:dyDescent="0.3">
      <c r="A60" s="85">
        <f>SUBTOTAL(3,$B$34:B60)</f>
        <v>27</v>
      </c>
      <c r="B60" s="86" t="s">
        <v>884</v>
      </c>
      <c r="C60" s="90" t="s">
        <v>646</v>
      </c>
      <c r="D60" s="87">
        <v>45110</v>
      </c>
      <c r="E60" s="80">
        <v>1</v>
      </c>
      <c r="F60" s="81">
        <v>203784525</v>
      </c>
      <c r="G60" s="82">
        <v>3</v>
      </c>
      <c r="H60" s="101">
        <v>12</v>
      </c>
      <c r="I60" s="104" t="s">
        <v>1419</v>
      </c>
      <c r="J60" s="88">
        <f t="shared" si="3"/>
        <v>67928175</v>
      </c>
      <c r="K60" s="89">
        <f t="shared" si="4"/>
        <v>16982043.75</v>
      </c>
      <c r="L60" s="89">
        <f t="shared" si="5"/>
        <v>50946131.25</v>
      </c>
    </row>
    <row r="61" spans="1:12" ht="15.6" outlineLevel="1" x14ac:dyDescent="0.3">
      <c r="A61" s="85">
        <f>SUBTOTAL(3,$B$34:B61)</f>
        <v>28</v>
      </c>
      <c r="B61" s="86" t="s">
        <v>885</v>
      </c>
      <c r="C61" s="90" t="s">
        <v>647</v>
      </c>
      <c r="D61" s="87">
        <v>45078</v>
      </c>
      <c r="E61" s="80">
        <v>1</v>
      </c>
      <c r="F61" s="81">
        <v>380542065</v>
      </c>
      <c r="G61" s="82">
        <v>3</v>
      </c>
      <c r="H61" s="101">
        <v>12</v>
      </c>
      <c r="I61" s="104" t="s">
        <v>1419</v>
      </c>
      <c r="J61" s="88">
        <f t="shared" si="3"/>
        <v>126847355</v>
      </c>
      <c r="K61" s="89">
        <f t="shared" si="4"/>
        <v>31711838.75</v>
      </c>
      <c r="L61" s="89">
        <f t="shared" si="5"/>
        <v>95135516.25</v>
      </c>
    </row>
    <row r="62" spans="1:12" ht="31.2" outlineLevel="1" x14ac:dyDescent="0.3">
      <c r="A62" s="85">
        <f>SUBTOTAL(3,$B$34:B62)</f>
        <v>29</v>
      </c>
      <c r="B62" s="86" t="s">
        <v>886</v>
      </c>
      <c r="C62" s="90" t="s">
        <v>648</v>
      </c>
      <c r="D62" s="87">
        <v>45110</v>
      </c>
      <c r="E62" s="80">
        <v>1</v>
      </c>
      <c r="F62" s="81">
        <v>2135314321</v>
      </c>
      <c r="G62" s="82">
        <v>5</v>
      </c>
      <c r="H62" s="101">
        <v>12</v>
      </c>
      <c r="I62" s="104" t="s">
        <v>1419</v>
      </c>
      <c r="J62" s="88">
        <f t="shared" si="3"/>
        <v>427062864.19999999</v>
      </c>
      <c r="K62" s="89">
        <f t="shared" si="4"/>
        <v>177942860.08333334</v>
      </c>
      <c r="L62" s="89">
        <f t="shared" si="5"/>
        <v>249120004.11666664</v>
      </c>
    </row>
    <row r="63" spans="1:12" ht="15.6" outlineLevel="1" x14ac:dyDescent="0.3">
      <c r="A63" s="85">
        <f>SUBTOTAL(3,$B$34:B63)</f>
        <v>30</v>
      </c>
      <c r="B63" s="86" t="s">
        <v>887</v>
      </c>
      <c r="C63" s="90" t="s">
        <v>649</v>
      </c>
      <c r="D63" s="87">
        <v>45110</v>
      </c>
      <c r="E63" s="80">
        <v>1</v>
      </c>
      <c r="F63" s="81">
        <v>321444214</v>
      </c>
      <c r="G63" s="82">
        <v>3</v>
      </c>
      <c r="H63" s="101">
        <v>12</v>
      </c>
      <c r="I63" s="104" t="s">
        <v>1419</v>
      </c>
      <c r="J63" s="88">
        <f t="shared" si="3"/>
        <v>107148071.33333333</v>
      </c>
      <c r="K63" s="89">
        <f t="shared" si="4"/>
        <v>26787017.833333332</v>
      </c>
      <c r="L63" s="89">
        <f t="shared" si="5"/>
        <v>80361053.5</v>
      </c>
    </row>
    <row r="64" spans="1:12" ht="15.6" outlineLevel="1" x14ac:dyDescent="0.3">
      <c r="A64" s="85">
        <f>SUBTOTAL(3,$B$34:B64)</f>
        <v>31</v>
      </c>
      <c r="B64" s="86" t="s">
        <v>888</v>
      </c>
      <c r="C64" s="90" t="s">
        <v>650</v>
      </c>
      <c r="D64" s="87">
        <v>45108</v>
      </c>
      <c r="E64" s="80">
        <v>1</v>
      </c>
      <c r="F64" s="81">
        <v>365416370</v>
      </c>
      <c r="G64" s="82">
        <v>3</v>
      </c>
      <c r="H64" s="101">
        <v>12</v>
      </c>
      <c r="I64" s="104" t="s">
        <v>1419</v>
      </c>
      <c r="J64" s="88">
        <f t="shared" si="3"/>
        <v>121805456.66666667</v>
      </c>
      <c r="K64" s="89">
        <f t="shared" si="4"/>
        <v>30451364.166666668</v>
      </c>
      <c r="L64" s="89">
        <f t="shared" si="5"/>
        <v>91354092.5</v>
      </c>
    </row>
    <row r="65" spans="1:12" ht="31.2" outlineLevel="1" x14ac:dyDescent="0.3">
      <c r="A65" s="85">
        <f>SUBTOTAL(3,$B$34:B65)</f>
        <v>32</v>
      </c>
      <c r="B65" s="86" t="s">
        <v>889</v>
      </c>
      <c r="C65" s="90" t="s">
        <v>651</v>
      </c>
      <c r="D65" s="87">
        <v>45108</v>
      </c>
      <c r="E65" s="80">
        <v>1</v>
      </c>
      <c r="F65" s="81">
        <v>190093298</v>
      </c>
      <c r="G65" s="82">
        <v>3</v>
      </c>
      <c r="H65" s="101">
        <v>12</v>
      </c>
      <c r="I65" s="104" t="s">
        <v>1419</v>
      </c>
      <c r="J65" s="88">
        <f t="shared" si="3"/>
        <v>63364432.666666664</v>
      </c>
      <c r="K65" s="89">
        <f t="shared" si="4"/>
        <v>15841108.166666666</v>
      </c>
      <c r="L65" s="89">
        <f t="shared" si="5"/>
        <v>47523324.5</v>
      </c>
    </row>
    <row r="66" spans="1:12" ht="31.2" outlineLevel="1" x14ac:dyDescent="0.3">
      <c r="A66" s="85">
        <f>SUBTOTAL(3,$B$34:B66)</f>
        <v>33</v>
      </c>
      <c r="B66" s="86" t="s">
        <v>890</v>
      </c>
      <c r="C66" s="90" t="s">
        <v>652</v>
      </c>
      <c r="D66" s="87">
        <v>45108</v>
      </c>
      <c r="E66" s="80">
        <v>1</v>
      </c>
      <c r="F66" s="81">
        <v>196041828</v>
      </c>
      <c r="G66" s="82">
        <v>3</v>
      </c>
      <c r="H66" s="101">
        <v>12</v>
      </c>
      <c r="I66" s="104" t="s">
        <v>1419</v>
      </c>
      <c r="J66" s="88">
        <f t="shared" si="3"/>
        <v>65347276</v>
      </c>
      <c r="K66" s="89">
        <f t="shared" si="4"/>
        <v>16336819</v>
      </c>
      <c r="L66" s="89">
        <f t="shared" si="5"/>
        <v>49010457</v>
      </c>
    </row>
    <row r="67" spans="1:12" ht="15.6" outlineLevel="1" x14ac:dyDescent="0.3">
      <c r="A67" s="85">
        <f>SUBTOTAL(3,$B$34:B67)</f>
        <v>34</v>
      </c>
      <c r="B67" s="86" t="s">
        <v>891</v>
      </c>
      <c r="C67" s="90" t="s">
        <v>653</v>
      </c>
      <c r="D67" s="87">
        <v>45139</v>
      </c>
      <c r="E67" s="80">
        <v>1</v>
      </c>
      <c r="F67" s="81">
        <v>63755169</v>
      </c>
      <c r="G67" s="82">
        <v>3</v>
      </c>
      <c r="H67" s="101">
        <v>12</v>
      </c>
      <c r="I67" s="104" t="s">
        <v>1419</v>
      </c>
      <c r="J67" s="88">
        <f t="shared" si="3"/>
        <v>21251723</v>
      </c>
      <c r="K67" s="89">
        <f t="shared" si="4"/>
        <v>5312930.75</v>
      </c>
      <c r="L67" s="89">
        <f t="shared" si="5"/>
        <v>15938792.25</v>
      </c>
    </row>
    <row r="68" spans="1:12" ht="15.6" outlineLevel="1" x14ac:dyDescent="0.3">
      <c r="A68" s="85">
        <f>SUBTOTAL(3,$B$34:B68)</f>
        <v>35</v>
      </c>
      <c r="B68" s="86" t="s">
        <v>892</v>
      </c>
      <c r="C68" s="90" t="s">
        <v>654</v>
      </c>
      <c r="D68" s="87">
        <v>45146</v>
      </c>
      <c r="E68" s="80">
        <v>1</v>
      </c>
      <c r="F68" s="81">
        <v>360577908</v>
      </c>
      <c r="G68" s="82">
        <v>3</v>
      </c>
      <c r="H68" s="101">
        <v>12</v>
      </c>
      <c r="I68" s="104" t="s">
        <v>1419</v>
      </c>
      <c r="J68" s="88">
        <f t="shared" si="3"/>
        <v>120192636</v>
      </c>
      <c r="K68" s="89">
        <f t="shared" si="4"/>
        <v>30048159</v>
      </c>
      <c r="L68" s="89">
        <f t="shared" si="5"/>
        <v>90144477</v>
      </c>
    </row>
    <row r="69" spans="1:12" ht="31.2" outlineLevel="1" x14ac:dyDescent="0.3">
      <c r="A69" s="85">
        <f>SUBTOTAL(3,$B$34:B69)</f>
        <v>36</v>
      </c>
      <c r="B69" s="86" t="s">
        <v>893</v>
      </c>
      <c r="C69" s="90" t="s">
        <v>655</v>
      </c>
      <c r="D69" s="87">
        <v>45139</v>
      </c>
      <c r="E69" s="80">
        <v>1</v>
      </c>
      <c r="F69" s="81">
        <v>729100000</v>
      </c>
      <c r="G69" s="82">
        <v>3</v>
      </c>
      <c r="H69" s="101">
        <v>12</v>
      </c>
      <c r="I69" s="104" t="s">
        <v>1419</v>
      </c>
      <c r="J69" s="88">
        <f t="shared" si="3"/>
        <v>243033333.33333334</v>
      </c>
      <c r="K69" s="89">
        <f t="shared" si="4"/>
        <v>60758333.333333336</v>
      </c>
      <c r="L69" s="89">
        <f t="shared" si="5"/>
        <v>182275000</v>
      </c>
    </row>
    <row r="70" spans="1:12" ht="15.6" outlineLevel="1" x14ac:dyDescent="0.3">
      <c r="A70" s="85">
        <f>SUBTOTAL(3,$B$34:B70)</f>
        <v>37</v>
      </c>
      <c r="B70" s="86" t="s">
        <v>894</v>
      </c>
      <c r="C70" s="90" t="s">
        <v>656</v>
      </c>
      <c r="D70" s="87">
        <v>45139</v>
      </c>
      <c r="E70" s="80">
        <v>1</v>
      </c>
      <c r="F70" s="81">
        <v>460772000</v>
      </c>
      <c r="G70" s="82">
        <v>3</v>
      </c>
      <c r="H70" s="101">
        <v>12</v>
      </c>
      <c r="I70" s="104" t="s">
        <v>1419</v>
      </c>
      <c r="J70" s="88">
        <f t="shared" si="3"/>
        <v>153590666.66666666</v>
      </c>
      <c r="K70" s="89">
        <f t="shared" si="4"/>
        <v>38397666.666666664</v>
      </c>
      <c r="L70" s="89">
        <f t="shared" si="5"/>
        <v>115193000</v>
      </c>
    </row>
    <row r="71" spans="1:12" ht="15.6" outlineLevel="1" x14ac:dyDescent="0.3">
      <c r="A71" s="85">
        <f>SUBTOTAL(3,$B$34:B71)</f>
        <v>38</v>
      </c>
      <c r="B71" s="86" t="s">
        <v>895</v>
      </c>
      <c r="C71" s="90" t="s">
        <v>657</v>
      </c>
      <c r="D71" s="87">
        <v>45170</v>
      </c>
      <c r="E71" s="80">
        <v>1</v>
      </c>
      <c r="F71" s="81">
        <v>98000000</v>
      </c>
      <c r="G71" s="82">
        <v>5</v>
      </c>
      <c r="H71" s="101">
        <v>12</v>
      </c>
      <c r="I71" s="104" t="s">
        <v>1419</v>
      </c>
      <c r="J71" s="88">
        <f t="shared" si="3"/>
        <v>19600000</v>
      </c>
      <c r="K71" s="89">
        <f t="shared" si="4"/>
        <v>8166666.666666667</v>
      </c>
      <c r="L71" s="89">
        <f t="shared" si="5"/>
        <v>11433333.333333332</v>
      </c>
    </row>
    <row r="72" spans="1:12" ht="15.6" outlineLevel="1" x14ac:dyDescent="0.3">
      <c r="A72" s="85">
        <f>SUBTOTAL(3,$B$34:B72)</f>
        <v>39</v>
      </c>
      <c r="B72" s="86" t="s">
        <v>896</v>
      </c>
      <c r="C72" s="90" t="s">
        <v>658</v>
      </c>
      <c r="D72" s="87">
        <v>45170</v>
      </c>
      <c r="E72" s="80">
        <v>1</v>
      </c>
      <c r="F72" s="81">
        <v>91000000</v>
      </c>
      <c r="G72" s="82">
        <v>5</v>
      </c>
      <c r="H72" s="101">
        <v>12</v>
      </c>
      <c r="I72" s="104" t="s">
        <v>1419</v>
      </c>
      <c r="J72" s="88">
        <f t="shared" si="3"/>
        <v>18200000</v>
      </c>
      <c r="K72" s="89">
        <f t="shared" si="4"/>
        <v>7583333.333333333</v>
      </c>
      <c r="L72" s="89">
        <f t="shared" si="5"/>
        <v>10616666.666666668</v>
      </c>
    </row>
    <row r="73" spans="1:12" ht="15.6" outlineLevel="1" x14ac:dyDescent="0.3">
      <c r="A73" s="85">
        <f>SUBTOTAL(3,$B$34:B73)</f>
        <v>40</v>
      </c>
      <c r="B73" s="86" t="s">
        <v>897</v>
      </c>
      <c r="C73" s="90" t="s">
        <v>659</v>
      </c>
      <c r="D73" s="87">
        <v>45170</v>
      </c>
      <c r="E73" s="80">
        <v>1</v>
      </c>
      <c r="F73" s="81">
        <v>2396767041</v>
      </c>
      <c r="G73" s="82">
        <v>5</v>
      </c>
      <c r="H73" s="101">
        <v>12</v>
      </c>
      <c r="I73" s="104" t="s">
        <v>1419</v>
      </c>
      <c r="J73" s="88">
        <f t="shared" si="3"/>
        <v>479353408.19999999</v>
      </c>
      <c r="K73" s="89">
        <f t="shared" si="4"/>
        <v>199730586.75</v>
      </c>
      <c r="L73" s="89">
        <f t="shared" si="5"/>
        <v>279622821.44999999</v>
      </c>
    </row>
    <row r="74" spans="1:12" ht="15.6" outlineLevel="1" x14ac:dyDescent="0.3">
      <c r="A74" s="85">
        <f>SUBTOTAL(3,$B$34:B74)</f>
        <v>41</v>
      </c>
      <c r="B74" s="86" t="s">
        <v>898</v>
      </c>
      <c r="C74" s="90" t="s">
        <v>660</v>
      </c>
      <c r="D74" s="87">
        <v>45170</v>
      </c>
      <c r="E74" s="80">
        <v>1</v>
      </c>
      <c r="F74" s="81">
        <v>3033103521</v>
      </c>
      <c r="G74" s="82">
        <v>5</v>
      </c>
      <c r="H74" s="101">
        <v>12</v>
      </c>
      <c r="I74" s="104" t="s">
        <v>1419</v>
      </c>
      <c r="J74" s="88">
        <f t="shared" si="3"/>
        <v>606620704.20000005</v>
      </c>
      <c r="K74" s="89">
        <f t="shared" si="4"/>
        <v>252758626.75</v>
      </c>
      <c r="L74" s="89">
        <f t="shared" si="5"/>
        <v>353862077.45000005</v>
      </c>
    </row>
    <row r="75" spans="1:12" ht="15.6" outlineLevel="1" x14ac:dyDescent="0.3">
      <c r="A75" s="85">
        <f>SUBTOTAL(3,$B$34:B75)</f>
        <v>42</v>
      </c>
      <c r="B75" s="86" t="s">
        <v>899</v>
      </c>
      <c r="C75" s="90" t="s">
        <v>661</v>
      </c>
      <c r="D75" s="87">
        <v>45170</v>
      </c>
      <c r="E75" s="80">
        <v>1</v>
      </c>
      <c r="F75" s="81">
        <v>2381394958</v>
      </c>
      <c r="G75" s="82">
        <v>5</v>
      </c>
      <c r="H75" s="101">
        <v>12</v>
      </c>
      <c r="I75" s="104" t="s">
        <v>1419</v>
      </c>
      <c r="J75" s="88">
        <f t="shared" si="3"/>
        <v>476278991.60000002</v>
      </c>
      <c r="K75" s="89">
        <f t="shared" si="4"/>
        <v>198449579.83333334</v>
      </c>
      <c r="L75" s="89">
        <f t="shared" si="5"/>
        <v>277829411.76666665</v>
      </c>
    </row>
    <row r="76" spans="1:12" ht="15.6" outlineLevel="1" x14ac:dyDescent="0.3">
      <c r="A76" s="85">
        <f>SUBTOTAL(3,$B$34:B76)</f>
        <v>43</v>
      </c>
      <c r="B76" s="86" t="s">
        <v>900</v>
      </c>
      <c r="C76" s="90" t="s">
        <v>662</v>
      </c>
      <c r="D76" s="87">
        <v>45170</v>
      </c>
      <c r="E76" s="80">
        <v>1</v>
      </c>
      <c r="F76" s="81">
        <v>1272618024</v>
      </c>
      <c r="G76" s="82">
        <v>5</v>
      </c>
      <c r="H76" s="101">
        <v>12</v>
      </c>
      <c r="I76" s="104" t="s">
        <v>1419</v>
      </c>
      <c r="J76" s="88">
        <f t="shared" si="3"/>
        <v>254523604.80000001</v>
      </c>
      <c r="K76" s="89">
        <f t="shared" si="4"/>
        <v>106051502</v>
      </c>
      <c r="L76" s="89">
        <f t="shared" si="5"/>
        <v>148472102.80000001</v>
      </c>
    </row>
    <row r="77" spans="1:12" ht="31.2" outlineLevel="1" x14ac:dyDescent="0.3">
      <c r="A77" s="85">
        <f>SUBTOTAL(3,$B$34:B77)</f>
        <v>44</v>
      </c>
      <c r="B77" s="106" t="s">
        <v>901</v>
      </c>
      <c r="C77" s="90" t="s">
        <v>663</v>
      </c>
      <c r="D77" s="87">
        <v>45200</v>
      </c>
      <c r="E77" s="80">
        <v>1</v>
      </c>
      <c r="F77" s="81">
        <v>343273414</v>
      </c>
      <c r="G77" s="82">
        <v>5</v>
      </c>
      <c r="H77" s="101">
        <v>12</v>
      </c>
      <c r="I77" s="104" t="s">
        <v>1419</v>
      </c>
      <c r="J77" s="88">
        <f t="shared" si="3"/>
        <v>68654682.799999997</v>
      </c>
      <c r="K77" s="89">
        <f t="shared" si="4"/>
        <v>28606117.833333332</v>
      </c>
      <c r="L77" s="89">
        <f t="shared" si="5"/>
        <v>40048564.966666669</v>
      </c>
    </row>
    <row r="78" spans="1:12" ht="15.6" outlineLevel="1" x14ac:dyDescent="0.3">
      <c r="A78" s="85">
        <f>SUBTOTAL(3,$B$34:B78)</f>
        <v>45</v>
      </c>
      <c r="B78" s="86" t="s">
        <v>902</v>
      </c>
      <c r="C78" s="90" t="s">
        <v>664</v>
      </c>
      <c r="D78" s="87">
        <v>45200</v>
      </c>
      <c r="E78" s="80">
        <v>1</v>
      </c>
      <c r="F78" s="81">
        <v>46757482</v>
      </c>
      <c r="G78" s="82">
        <v>5</v>
      </c>
      <c r="H78" s="101">
        <v>12</v>
      </c>
      <c r="I78" s="104" t="s">
        <v>1419</v>
      </c>
      <c r="J78" s="88">
        <f t="shared" si="3"/>
        <v>9351496.4000000004</v>
      </c>
      <c r="K78" s="89">
        <f t="shared" si="4"/>
        <v>3896456.8333333335</v>
      </c>
      <c r="L78" s="89">
        <f t="shared" si="5"/>
        <v>5455039.5666666664</v>
      </c>
    </row>
    <row r="79" spans="1:12" ht="15.6" outlineLevel="1" x14ac:dyDescent="0.3">
      <c r="A79" s="85">
        <f>SUBTOTAL(3,$B$34:B79)</f>
        <v>46</v>
      </c>
      <c r="B79" s="86" t="s">
        <v>903</v>
      </c>
      <c r="C79" s="90" t="s">
        <v>665</v>
      </c>
      <c r="D79" s="87">
        <v>45200</v>
      </c>
      <c r="E79" s="80">
        <v>1</v>
      </c>
      <c r="F79" s="81">
        <v>409250000</v>
      </c>
      <c r="G79" s="82">
        <v>5</v>
      </c>
      <c r="H79" s="101">
        <v>12</v>
      </c>
      <c r="I79" s="104" t="s">
        <v>1419</v>
      </c>
      <c r="J79" s="88">
        <f t="shared" si="3"/>
        <v>81850000</v>
      </c>
      <c r="K79" s="89">
        <f t="shared" si="4"/>
        <v>34104166.666666664</v>
      </c>
      <c r="L79" s="89">
        <f t="shared" si="5"/>
        <v>47745833.333333336</v>
      </c>
    </row>
    <row r="80" spans="1:12" ht="15.6" outlineLevel="1" x14ac:dyDescent="0.3">
      <c r="A80" s="85">
        <f>SUBTOTAL(3,$B$34:B80)</f>
        <v>47</v>
      </c>
      <c r="B80" s="86" t="s">
        <v>904</v>
      </c>
      <c r="C80" s="90" t="s">
        <v>666</v>
      </c>
      <c r="D80" s="87">
        <v>45200</v>
      </c>
      <c r="E80" s="80">
        <v>1</v>
      </c>
      <c r="F80" s="81">
        <v>366850000</v>
      </c>
      <c r="G80" s="82">
        <v>5</v>
      </c>
      <c r="H80" s="101">
        <v>12</v>
      </c>
      <c r="I80" s="104" t="s">
        <v>1419</v>
      </c>
      <c r="J80" s="88">
        <f t="shared" si="3"/>
        <v>73370000</v>
      </c>
      <c r="K80" s="89">
        <f t="shared" si="4"/>
        <v>30570833.333333332</v>
      </c>
      <c r="L80" s="89">
        <f t="shared" si="5"/>
        <v>42799166.666666672</v>
      </c>
    </row>
    <row r="81" spans="1:12" ht="15.6" outlineLevel="1" x14ac:dyDescent="0.3">
      <c r="A81" s="85">
        <f>SUBTOTAL(3,$B$34:B81)</f>
        <v>48</v>
      </c>
      <c r="B81" s="86" t="s">
        <v>905</v>
      </c>
      <c r="C81" s="90" t="s">
        <v>667</v>
      </c>
      <c r="D81" s="87">
        <v>45231</v>
      </c>
      <c r="E81" s="80">
        <v>1</v>
      </c>
      <c r="F81" s="81">
        <v>1782611000</v>
      </c>
      <c r="G81" s="82">
        <v>10</v>
      </c>
      <c r="H81" s="101">
        <v>12</v>
      </c>
      <c r="I81" s="104" t="s">
        <v>1419</v>
      </c>
      <c r="J81" s="88">
        <f t="shared" si="3"/>
        <v>178261100</v>
      </c>
      <c r="K81" s="89">
        <f t="shared" si="4"/>
        <v>148550916.66666666</v>
      </c>
      <c r="L81" s="89">
        <f t="shared" si="5"/>
        <v>29710183.333333343</v>
      </c>
    </row>
    <row r="82" spans="1:12" ht="15.6" outlineLevel="1" x14ac:dyDescent="0.3">
      <c r="A82" s="85">
        <f>SUBTOTAL(3,$B$34:B82)</f>
        <v>49</v>
      </c>
      <c r="B82" s="86" t="s">
        <v>906</v>
      </c>
      <c r="C82" s="90" t="s">
        <v>668</v>
      </c>
      <c r="D82" s="87">
        <v>45231</v>
      </c>
      <c r="E82" s="80">
        <v>2</v>
      </c>
      <c r="F82" s="81">
        <v>596514760</v>
      </c>
      <c r="G82" s="82">
        <v>5</v>
      </c>
      <c r="H82" s="101">
        <v>12</v>
      </c>
      <c r="I82" s="104" t="s">
        <v>1419</v>
      </c>
      <c r="J82" s="88">
        <f t="shared" si="3"/>
        <v>119302952</v>
      </c>
      <c r="K82" s="89">
        <f t="shared" si="4"/>
        <v>49709563.333333336</v>
      </c>
      <c r="L82" s="89">
        <f t="shared" si="5"/>
        <v>69593388.666666657</v>
      </c>
    </row>
    <row r="83" spans="1:12" ht="15.6" outlineLevel="1" x14ac:dyDescent="0.3">
      <c r="A83" s="85">
        <f>SUBTOTAL(3,$B$34:B83)</f>
        <v>50</v>
      </c>
      <c r="B83" s="86" t="s">
        <v>907</v>
      </c>
      <c r="C83" s="90" t="s">
        <v>669</v>
      </c>
      <c r="D83" s="87">
        <v>45231</v>
      </c>
      <c r="E83" s="80">
        <v>1</v>
      </c>
      <c r="F83" s="81">
        <v>208093649</v>
      </c>
      <c r="G83" s="82">
        <v>8</v>
      </c>
      <c r="H83" s="101">
        <v>12</v>
      </c>
      <c r="I83" s="104" t="s">
        <v>1419</v>
      </c>
      <c r="J83" s="88">
        <f t="shared" si="3"/>
        <v>26011706.125</v>
      </c>
      <c r="K83" s="89">
        <f t="shared" si="4"/>
        <v>17341137.416666668</v>
      </c>
      <c r="L83" s="89">
        <f t="shared" si="5"/>
        <v>8670568.7083333321</v>
      </c>
    </row>
    <row r="84" spans="1:12" ht="31.2" outlineLevel="1" x14ac:dyDescent="0.3">
      <c r="A84" s="85">
        <f>SUBTOTAL(3,$B$34:B84)</f>
        <v>51</v>
      </c>
      <c r="B84" s="106" t="s">
        <v>908</v>
      </c>
      <c r="C84" s="90" t="s">
        <v>670</v>
      </c>
      <c r="D84" s="87">
        <v>45231</v>
      </c>
      <c r="E84" s="80">
        <v>1</v>
      </c>
      <c r="F84" s="81">
        <v>673291026</v>
      </c>
      <c r="G84" s="82">
        <v>8</v>
      </c>
      <c r="H84" s="101">
        <v>12</v>
      </c>
      <c r="I84" s="104" t="s">
        <v>1419</v>
      </c>
      <c r="J84" s="88">
        <f t="shared" si="3"/>
        <v>84161378.25</v>
      </c>
      <c r="K84" s="89">
        <f t="shared" si="4"/>
        <v>56107585.5</v>
      </c>
      <c r="L84" s="89">
        <f t="shared" si="5"/>
        <v>28053792.75</v>
      </c>
    </row>
    <row r="85" spans="1:12" ht="15.6" outlineLevel="1" x14ac:dyDescent="0.3">
      <c r="A85" s="85">
        <f>SUBTOTAL(3,$B$34:B85)</f>
        <v>52</v>
      </c>
      <c r="B85" s="86" t="s">
        <v>909</v>
      </c>
      <c r="C85" s="90" t="s">
        <v>671</v>
      </c>
      <c r="D85" s="87">
        <v>45231</v>
      </c>
      <c r="E85" s="80">
        <v>1</v>
      </c>
      <c r="F85" s="81">
        <v>374180000</v>
      </c>
      <c r="G85" s="82">
        <v>8</v>
      </c>
      <c r="H85" s="101">
        <v>12</v>
      </c>
      <c r="I85" s="104" t="s">
        <v>1419</v>
      </c>
      <c r="J85" s="88">
        <f t="shared" si="3"/>
        <v>46772500</v>
      </c>
      <c r="K85" s="89">
        <f t="shared" si="4"/>
        <v>31181666.666666668</v>
      </c>
      <c r="L85" s="89">
        <f t="shared" si="5"/>
        <v>15590833.333333332</v>
      </c>
    </row>
    <row r="86" spans="1:12" ht="15.6" outlineLevel="1" x14ac:dyDescent="0.3">
      <c r="A86" s="85">
        <f>SUBTOTAL(3,$B$34:B86)</f>
        <v>53</v>
      </c>
      <c r="B86" s="86" t="s">
        <v>910</v>
      </c>
      <c r="C86" s="90" t="s">
        <v>672</v>
      </c>
      <c r="D86" s="87">
        <v>45261</v>
      </c>
      <c r="E86" s="80">
        <v>1</v>
      </c>
      <c r="F86" s="81">
        <v>1798575168</v>
      </c>
      <c r="G86" s="82">
        <v>5</v>
      </c>
      <c r="H86" s="101">
        <v>12</v>
      </c>
      <c r="I86" s="104" t="s">
        <v>1419</v>
      </c>
      <c r="J86" s="88">
        <f t="shared" si="3"/>
        <v>359715033.60000002</v>
      </c>
      <c r="K86" s="89">
        <f t="shared" si="4"/>
        <v>149881264</v>
      </c>
      <c r="L86" s="89">
        <f t="shared" si="5"/>
        <v>209833769.60000002</v>
      </c>
    </row>
    <row r="87" spans="1:12" ht="31.2" outlineLevel="1" x14ac:dyDescent="0.3">
      <c r="A87" s="85">
        <f>SUBTOTAL(3,$B$34:B87)</f>
        <v>54</v>
      </c>
      <c r="B87" s="106" t="s">
        <v>911</v>
      </c>
      <c r="C87" s="90" t="s">
        <v>673</v>
      </c>
      <c r="D87" s="87">
        <v>45261</v>
      </c>
      <c r="E87" s="80">
        <v>1</v>
      </c>
      <c r="F87" s="81">
        <v>411877593</v>
      </c>
      <c r="G87" s="82">
        <v>5</v>
      </c>
      <c r="H87" s="101">
        <v>12</v>
      </c>
      <c r="I87" s="104" t="s">
        <v>1419</v>
      </c>
      <c r="J87" s="88">
        <f t="shared" si="3"/>
        <v>82375518.599999994</v>
      </c>
      <c r="K87" s="89">
        <f t="shared" si="4"/>
        <v>34323132.75</v>
      </c>
      <c r="L87" s="89">
        <f t="shared" si="5"/>
        <v>48052385.849999994</v>
      </c>
    </row>
    <row r="88" spans="1:12" ht="15.6" outlineLevel="1" x14ac:dyDescent="0.3">
      <c r="A88" s="85">
        <f>SUBTOTAL(3,$B$34:B88)</f>
        <v>55</v>
      </c>
      <c r="B88" s="86" t="s">
        <v>912</v>
      </c>
      <c r="C88" s="90" t="s">
        <v>674</v>
      </c>
      <c r="D88" s="87">
        <v>45261</v>
      </c>
      <c r="E88" s="80">
        <v>1</v>
      </c>
      <c r="F88" s="81">
        <v>187287621</v>
      </c>
      <c r="G88" s="82">
        <v>8</v>
      </c>
      <c r="H88" s="101">
        <v>12</v>
      </c>
      <c r="I88" s="104" t="s">
        <v>1419</v>
      </c>
      <c r="J88" s="88">
        <f t="shared" si="3"/>
        <v>23410952.625</v>
      </c>
      <c r="K88" s="89">
        <f t="shared" si="4"/>
        <v>15607301.75</v>
      </c>
      <c r="L88" s="89">
        <f t="shared" si="5"/>
        <v>7803650.875</v>
      </c>
    </row>
    <row r="89" spans="1:12" ht="15.6" outlineLevel="1" x14ac:dyDescent="0.3">
      <c r="A89" s="85">
        <f>SUBTOTAL(3,$B$34:B89)</f>
        <v>56</v>
      </c>
      <c r="B89" s="86" t="s">
        <v>913</v>
      </c>
      <c r="C89" s="90" t="s">
        <v>675</v>
      </c>
      <c r="D89" s="87">
        <v>45444</v>
      </c>
      <c r="E89" s="80">
        <v>1</v>
      </c>
      <c r="F89" s="81">
        <v>48500000</v>
      </c>
      <c r="G89" s="82">
        <v>3</v>
      </c>
      <c r="H89" s="101">
        <v>12</v>
      </c>
      <c r="I89" s="104" t="s">
        <v>1419</v>
      </c>
      <c r="J89" s="88">
        <f t="shared" si="3"/>
        <v>16166666.666666666</v>
      </c>
      <c r="K89" s="89">
        <f t="shared" si="4"/>
        <v>4041666.6666666665</v>
      </c>
      <c r="L89" s="89">
        <f t="shared" si="5"/>
        <v>12125000</v>
      </c>
    </row>
    <row r="90" spans="1:12" ht="31.2" outlineLevel="1" x14ac:dyDescent="0.3">
      <c r="A90" s="85">
        <f>SUBTOTAL(3,$B$34:B90)</f>
        <v>57</v>
      </c>
      <c r="B90" s="86" t="s">
        <v>914</v>
      </c>
      <c r="C90" s="90" t="s">
        <v>676</v>
      </c>
      <c r="D90" s="87">
        <v>45444</v>
      </c>
      <c r="E90" s="80">
        <v>1</v>
      </c>
      <c r="F90" s="81">
        <v>40000000</v>
      </c>
      <c r="G90" s="82">
        <v>5</v>
      </c>
      <c r="H90" s="101">
        <v>12</v>
      </c>
      <c r="I90" s="104" t="s">
        <v>1419</v>
      </c>
      <c r="J90" s="88">
        <f t="shared" si="3"/>
        <v>8000000</v>
      </c>
      <c r="K90" s="89">
        <f t="shared" si="4"/>
        <v>3333333.3333333335</v>
      </c>
      <c r="L90" s="89">
        <f t="shared" si="5"/>
        <v>4666666.666666666</v>
      </c>
    </row>
    <row r="91" spans="1:12" ht="15.6" outlineLevel="1" x14ac:dyDescent="0.3">
      <c r="A91" s="85">
        <f>SUBTOTAL(3,$B$34:B91)</f>
        <v>58</v>
      </c>
      <c r="B91" s="86" t="s">
        <v>915</v>
      </c>
      <c r="C91" s="90" t="s">
        <v>677</v>
      </c>
      <c r="D91" s="87">
        <v>45383</v>
      </c>
      <c r="E91" s="80">
        <v>1</v>
      </c>
      <c r="F91" s="81">
        <v>6912429918</v>
      </c>
      <c r="G91" s="82">
        <v>10</v>
      </c>
      <c r="H91" s="101">
        <v>12</v>
      </c>
      <c r="I91" s="104" t="s">
        <v>1419</v>
      </c>
      <c r="J91" s="88">
        <f t="shared" si="3"/>
        <v>691242991.79999995</v>
      </c>
      <c r="K91" s="89">
        <f t="shared" si="4"/>
        <v>576035826.5</v>
      </c>
      <c r="L91" s="89">
        <f t="shared" si="5"/>
        <v>115207165.29999995</v>
      </c>
    </row>
    <row r="92" spans="1:12" ht="15.6" outlineLevel="1" x14ac:dyDescent="0.3">
      <c r="A92" s="85">
        <f>SUBTOTAL(3,$B$34:B92)</f>
        <v>59</v>
      </c>
      <c r="B92" s="86" t="s">
        <v>916</v>
      </c>
      <c r="C92" s="90" t="s">
        <v>678</v>
      </c>
      <c r="D92" s="87">
        <v>45383</v>
      </c>
      <c r="E92" s="80">
        <v>2</v>
      </c>
      <c r="F92" s="81">
        <v>751500302</v>
      </c>
      <c r="G92" s="82">
        <v>5</v>
      </c>
      <c r="H92" s="101">
        <v>12</v>
      </c>
      <c r="I92" s="104" t="s">
        <v>1419</v>
      </c>
      <c r="J92" s="88">
        <f t="shared" si="3"/>
        <v>150300060.40000001</v>
      </c>
      <c r="K92" s="89">
        <f t="shared" si="4"/>
        <v>62625025.166666664</v>
      </c>
      <c r="L92" s="89">
        <f t="shared" si="5"/>
        <v>87675035.233333349</v>
      </c>
    </row>
    <row r="93" spans="1:12" ht="15.6" outlineLevel="1" x14ac:dyDescent="0.3">
      <c r="A93" s="85">
        <f>SUBTOTAL(3,$B$34:B93)</f>
        <v>60</v>
      </c>
      <c r="B93" s="86" t="s">
        <v>917</v>
      </c>
      <c r="C93" s="90" t="s">
        <v>679</v>
      </c>
      <c r="D93" s="87">
        <v>45383</v>
      </c>
      <c r="E93" s="80">
        <v>1</v>
      </c>
      <c r="F93" s="81">
        <v>183912103</v>
      </c>
      <c r="G93" s="82">
        <v>3</v>
      </c>
      <c r="H93" s="101">
        <v>12</v>
      </c>
      <c r="I93" s="104" t="s">
        <v>1419</v>
      </c>
      <c r="J93" s="88">
        <f t="shared" si="3"/>
        <v>61304034.333333336</v>
      </c>
      <c r="K93" s="89">
        <f t="shared" si="4"/>
        <v>15326008.583333334</v>
      </c>
      <c r="L93" s="89">
        <f t="shared" si="5"/>
        <v>45978025.75</v>
      </c>
    </row>
    <row r="94" spans="1:12" ht="31.2" outlineLevel="1" x14ac:dyDescent="0.3">
      <c r="A94" s="85">
        <f>SUBTOTAL(3,$B$34:B94)</f>
        <v>61</v>
      </c>
      <c r="B94" s="86" t="s">
        <v>918</v>
      </c>
      <c r="C94" s="90" t="s">
        <v>680</v>
      </c>
      <c r="D94" s="87">
        <v>45566</v>
      </c>
      <c r="E94" s="80">
        <v>1</v>
      </c>
      <c r="F94" s="81">
        <v>208587018</v>
      </c>
      <c r="G94" s="82">
        <v>3</v>
      </c>
      <c r="H94" s="101">
        <v>12</v>
      </c>
      <c r="I94" s="104" t="s">
        <v>1419</v>
      </c>
      <c r="J94" s="88">
        <f t="shared" si="3"/>
        <v>69529006</v>
      </c>
      <c r="K94" s="89">
        <f t="shared" si="4"/>
        <v>17382251.5</v>
      </c>
      <c r="L94" s="89">
        <f t="shared" si="5"/>
        <v>52146754.5</v>
      </c>
    </row>
    <row r="95" spans="1:12" ht="15.6" outlineLevel="1" x14ac:dyDescent="0.3">
      <c r="A95" s="85">
        <f>SUBTOTAL(3,$B$34:B95)</f>
        <v>62</v>
      </c>
      <c r="B95" s="86" t="s">
        <v>919</v>
      </c>
      <c r="C95" s="90" t="s">
        <v>681</v>
      </c>
      <c r="D95" s="87">
        <v>45383</v>
      </c>
      <c r="E95" s="80">
        <v>1</v>
      </c>
      <c r="F95" s="81">
        <v>82950000</v>
      </c>
      <c r="G95" s="82">
        <v>3</v>
      </c>
      <c r="H95" s="101">
        <v>12</v>
      </c>
      <c r="I95" s="104" t="s">
        <v>1419</v>
      </c>
      <c r="J95" s="88">
        <f t="shared" si="3"/>
        <v>27650000</v>
      </c>
      <c r="K95" s="89">
        <f t="shared" si="4"/>
        <v>6912500</v>
      </c>
      <c r="L95" s="89">
        <f t="shared" si="5"/>
        <v>20737500</v>
      </c>
    </row>
    <row r="96" spans="1:12" ht="15.6" outlineLevel="1" x14ac:dyDescent="0.3">
      <c r="A96" s="85">
        <f>SUBTOTAL(3,$B$34:B96)</f>
        <v>63</v>
      </c>
      <c r="B96" s="86" t="s">
        <v>920</v>
      </c>
      <c r="C96" s="90" t="s">
        <v>682</v>
      </c>
      <c r="D96" s="87">
        <v>45413</v>
      </c>
      <c r="E96" s="80">
        <v>1</v>
      </c>
      <c r="F96" s="81">
        <v>1470802869</v>
      </c>
      <c r="G96" s="82">
        <v>5</v>
      </c>
      <c r="H96" s="101">
        <v>12</v>
      </c>
      <c r="I96" s="104" t="s">
        <v>1419</v>
      </c>
      <c r="J96" s="88">
        <f t="shared" si="3"/>
        <v>294160573.80000001</v>
      </c>
      <c r="K96" s="89">
        <f t="shared" si="4"/>
        <v>122566905.75</v>
      </c>
      <c r="L96" s="89">
        <f t="shared" si="5"/>
        <v>171593668.05000001</v>
      </c>
    </row>
    <row r="97" spans="1:12" ht="31.2" outlineLevel="1" x14ac:dyDescent="0.3">
      <c r="A97" s="85">
        <f>SUBTOTAL(3,$B$34:B97)</f>
        <v>64</v>
      </c>
      <c r="B97" s="86" t="s">
        <v>921</v>
      </c>
      <c r="C97" s="90" t="s">
        <v>683</v>
      </c>
      <c r="D97" s="87">
        <v>45474</v>
      </c>
      <c r="E97" s="80">
        <v>1</v>
      </c>
      <c r="F97" s="81">
        <v>700209603</v>
      </c>
      <c r="G97" s="82">
        <v>5</v>
      </c>
      <c r="H97" s="101">
        <v>12</v>
      </c>
      <c r="I97" s="104" t="s">
        <v>1419</v>
      </c>
      <c r="J97" s="88">
        <f t="shared" si="3"/>
        <v>140041920.59999999</v>
      </c>
      <c r="K97" s="89">
        <f t="shared" si="4"/>
        <v>58350800.25</v>
      </c>
      <c r="L97" s="89">
        <f t="shared" si="5"/>
        <v>81691120.349999994</v>
      </c>
    </row>
    <row r="98" spans="1:12" ht="31.2" outlineLevel="1" x14ac:dyDescent="0.3">
      <c r="A98" s="85">
        <f>SUBTOTAL(3,$B$34:B98)</f>
        <v>65</v>
      </c>
      <c r="B98" s="86" t="s">
        <v>922</v>
      </c>
      <c r="C98" s="90" t="s">
        <v>684</v>
      </c>
      <c r="D98" s="87">
        <v>45474</v>
      </c>
      <c r="E98" s="80">
        <v>1</v>
      </c>
      <c r="F98" s="81">
        <v>193200000</v>
      </c>
      <c r="G98" s="82">
        <v>5</v>
      </c>
      <c r="H98" s="101">
        <v>12</v>
      </c>
      <c r="I98" s="104" t="s">
        <v>1419</v>
      </c>
      <c r="J98" s="88">
        <f t="shared" ref="J98:J161" si="6">F98/G98</f>
        <v>38640000</v>
      </c>
      <c r="K98" s="89">
        <f t="shared" ref="K98:K161" si="7">F98/H98</f>
        <v>16100000</v>
      </c>
      <c r="L98" s="89">
        <f t="shared" ref="L98:L161" si="8">J98-K98</f>
        <v>22540000</v>
      </c>
    </row>
    <row r="99" spans="1:12" ht="31.2" outlineLevel="1" x14ac:dyDescent="0.3">
      <c r="A99" s="85">
        <f>SUBTOTAL(3,$B$34:B99)</f>
        <v>66</v>
      </c>
      <c r="B99" s="86" t="s">
        <v>923</v>
      </c>
      <c r="C99" s="90" t="s">
        <v>685</v>
      </c>
      <c r="D99" s="87">
        <v>45689</v>
      </c>
      <c r="E99" s="80">
        <v>1</v>
      </c>
      <c r="F99" s="81">
        <v>36200000</v>
      </c>
      <c r="G99" s="82">
        <v>3</v>
      </c>
      <c r="H99" s="101">
        <v>12</v>
      </c>
      <c r="I99" s="104" t="s">
        <v>1419</v>
      </c>
      <c r="J99" s="88">
        <f t="shared" si="6"/>
        <v>12066666.666666666</v>
      </c>
      <c r="K99" s="89">
        <f t="shared" si="7"/>
        <v>3016666.6666666665</v>
      </c>
      <c r="L99" s="89">
        <f t="shared" si="8"/>
        <v>9050000</v>
      </c>
    </row>
    <row r="100" spans="1:12" ht="15.6" outlineLevel="1" x14ac:dyDescent="0.3">
      <c r="A100" s="85">
        <f>SUBTOTAL(3,$B$34:B100)</f>
        <v>67</v>
      </c>
      <c r="B100" s="86" t="s">
        <v>924</v>
      </c>
      <c r="C100" s="90" t="s">
        <v>686</v>
      </c>
      <c r="D100" s="87">
        <v>45536</v>
      </c>
      <c r="E100" s="80">
        <v>1</v>
      </c>
      <c r="F100" s="81">
        <v>1128375223</v>
      </c>
      <c r="G100" s="82">
        <v>5</v>
      </c>
      <c r="H100" s="101">
        <v>12</v>
      </c>
      <c r="I100" s="104" t="s">
        <v>1419</v>
      </c>
      <c r="J100" s="88">
        <f t="shared" si="6"/>
        <v>225675044.59999999</v>
      </c>
      <c r="K100" s="89">
        <f t="shared" si="7"/>
        <v>94031268.583333328</v>
      </c>
      <c r="L100" s="89">
        <f t="shared" si="8"/>
        <v>131643776.01666667</v>
      </c>
    </row>
    <row r="101" spans="1:12" ht="15.6" outlineLevel="1" x14ac:dyDescent="0.3">
      <c r="A101" s="85">
        <f>SUBTOTAL(3,$B$34:B101)</f>
        <v>68</v>
      </c>
      <c r="B101" s="86" t="s">
        <v>925</v>
      </c>
      <c r="C101" s="90" t="s">
        <v>687</v>
      </c>
      <c r="D101" s="87">
        <v>45536</v>
      </c>
      <c r="E101" s="80">
        <v>1</v>
      </c>
      <c r="F101" s="81">
        <v>936402136</v>
      </c>
      <c r="G101" s="82">
        <v>5</v>
      </c>
      <c r="H101" s="101">
        <v>12</v>
      </c>
      <c r="I101" s="104" t="s">
        <v>1419</v>
      </c>
      <c r="J101" s="88">
        <f t="shared" si="6"/>
        <v>187280427.19999999</v>
      </c>
      <c r="K101" s="89">
        <f t="shared" si="7"/>
        <v>78033511.333333328</v>
      </c>
      <c r="L101" s="89">
        <f t="shared" si="8"/>
        <v>109246915.86666666</v>
      </c>
    </row>
    <row r="102" spans="1:12" ht="15.6" outlineLevel="1" x14ac:dyDescent="0.3">
      <c r="A102" s="85">
        <f>SUBTOTAL(3,$B$34:B102)</f>
        <v>69</v>
      </c>
      <c r="B102" s="86" t="s">
        <v>926</v>
      </c>
      <c r="C102" s="90" t="s">
        <v>688</v>
      </c>
      <c r="D102" s="87">
        <v>45536</v>
      </c>
      <c r="E102" s="80">
        <v>1</v>
      </c>
      <c r="F102" s="81">
        <v>1896886694</v>
      </c>
      <c r="G102" s="82">
        <v>5</v>
      </c>
      <c r="H102" s="101">
        <v>12</v>
      </c>
      <c r="I102" s="104" t="s">
        <v>1419</v>
      </c>
      <c r="J102" s="88">
        <f t="shared" si="6"/>
        <v>379377338.80000001</v>
      </c>
      <c r="K102" s="89">
        <f t="shared" si="7"/>
        <v>158073891.16666666</v>
      </c>
      <c r="L102" s="89">
        <f t="shared" si="8"/>
        <v>221303447.63333336</v>
      </c>
    </row>
    <row r="103" spans="1:12" ht="15.6" outlineLevel="1" x14ac:dyDescent="0.3">
      <c r="A103" s="85">
        <f>SUBTOTAL(3,$B$34:B103)</f>
        <v>70</v>
      </c>
      <c r="B103" s="86" t="s">
        <v>927</v>
      </c>
      <c r="C103" s="90" t="s">
        <v>689</v>
      </c>
      <c r="D103" s="87">
        <v>45536</v>
      </c>
      <c r="E103" s="80">
        <v>1</v>
      </c>
      <c r="F103" s="81">
        <v>7378320048</v>
      </c>
      <c r="G103" s="82">
        <v>8</v>
      </c>
      <c r="H103" s="101">
        <v>12</v>
      </c>
      <c r="I103" s="104" t="s">
        <v>1419</v>
      </c>
      <c r="J103" s="88">
        <f t="shared" si="6"/>
        <v>922290006</v>
      </c>
      <c r="K103" s="89">
        <f t="shared" si="7"/>
        <v>614860004</v>
      </c>
      <c r="L103" s="89">
        <f t="shared" si="8"/>
        <v>307430002</v>
      </c>
    </row>
    <row r="104" spans="1:12" ht="31.2" outlineLevel="1" x14ac:dyDescent="0.3">
      <c r="A104" s="85">
        <f>SUBTOTAL(3,$B$34:B104)</f>
        <v>71</v>
      </c>
      <c r="B104" s="86" t="s">
        <v>928</v>
      </c>
      <c r="C104" s="90" t="s">
        <v>690</v>
      </c>
      <c r="D104" s="87">
        <v>45627</v>
      </c>
      <c r="E104" s="80">
        <v>1</v>
      </c>
      <c r="F104" s="81">
        <v>737864468</v>
      </c>
      <c r="G104" s="82">
        <v>5</v>
      </c>
      <c r="H104" s="101">
        <v>12</v>
      </c>
      <c r="I104" s="104" t="s">
        <v>1419</v>
      </c>
      <c r="J104" s="88">
        <f t="shared" si="6"/>
        <v>147572893.59999999</v>
      </c>
      <c r="K104" s="89">
        <f t="shared" si="7"/>
        <v>61488705.666666664</v>
      </c>
      <c r="L104" s="89">
        <f t="shared" si="8"/>
        <v>86084187.933333337</v>
      </c>
    </row>
    <row r="105" spans="1:12" ht="31.2" outlineLevel="1" x14ac:dyDescent="0.3">
      <c r="A105" s="85">
        <f>SUBTOTAL(3,$B$34:B105)</f>
        <v>72</v>
      </c>
      <c r="B105" s="86" t="s">
        <v>929</v>
      </c>
      <c r="C105" s="90" t="s">
        <v>691</v>
      </c>
      <c r="D105" s="87">
        <v>45627</v>
      </c>
      <c r="E105" s="80">
        <v>1</v>
      </c>
      <c r="F105" s="81">
        <v>621500000</v>
      </c>
      <c r="G105" s="82">
        <v>5</v>
      </c>
      <c r="H105" s="101">
        <v>12</v>
      </c>
      <c r="I105" s="104" t="s">
        <v>1419</v>
      </c>
      <c r="J105" s="88">
        <f t="shared" si="6"/>
        <v>124300000</v>
      </c>
      <c r="K105" s="89">
        <f t="shared" si="7"/>
        <v>51791666.666666664</v>
      </c>
      <c r="L105" s="89">
        <f t="shared" si="8"/>
        <v>72508333.333333343</v>
      </c>
    </row>
    <row r="106" spans="1:12" ht="31.2" outlineLevel="1" x14ac:dyDescent="0.3">
      <c r="A106" s="85">
        <f>SUBTOTAL(3,$B$34:B106)</f>
        <v>73</v>
      </c>
      <c r="B106" s="86" t="s">
        <v>930</v>
      </c>
      <c r="C106" s="90" t="s">
        <v>692</v>
      </c>
      <c r="D106" s="87">
        <v>45627</v>
      </c>
      <c r="E106" s="80">
        <v>1</v>
      </c>
      <c r="F106" s="81">
        <v>87000000</v>
      </c>
      <c r="G106" s="82">
        <v>3</v>
      </c>
      <c r="H106" s="101">
        <v>12</v>
      </c>
      <c r="I106" s="104" t="s">
        <v>1419</v>
      </c>
      <c r="J106" s="88">
        <f t="shared" si="6"/>
        <v>29000000</v>
      </c>
      <c r="K106" s="89">
        <f t="shared" si="7"/>
        <v>7250000</v>
      </c>
      <c r="L106" s="89">
        <f t="shared" si="8"/>
        <v>21750000</v>
      </c>
    </row>
    <row r="107" spans="1:12" ht="31.2" outlineLevel="1" x14ac:dyDescent="0.3">
      <c r="A107" s="85">
        <f>SUBTOTAL(3,$B$34:B107)</f>
        <v>74</v>
      </c>
      <c r="B107" s="86" t="s">
        <v>931</v>
      </c>
      <c r="C107" s="90" t="s">
        <v>693</v>
      </c>
      <c r="D107" s="87">
        <v>45658</v>
      </c>
      <c r="E107" s="80">
        <v>2</v>
      </c>
      <c r="F107" s="81">
        <v>154840000</v>
      </c>
      <c r="G107" s="82">
        <v>5</v>
      </c>
      <c r="H107" s="101">
        <v>12</v>
      </c>
      <c r="I107" s="104" t="s">
        <v>1419</v>
      </c>
      <c r="J107" s="88">
        <f t="shared" si="6"/>
        <v>30968000</v>
      </c>
      <c r="K107" s="89">
        <f t="shared" si="7"/>
        <v>12903333.333333334</v>
      </c>
      <c r="L107" s="89">
        <f t="shared" si="8"/>
        <v>18064666.666666664</v>
      </c>
    </row>
    <row r="108" spans="1:12" ht="31.2" outlineLevel="1" x14ac:dyDescent="0.3">
      <c r="A108" s="85">
        <f>SUBTOTAL(3,$B$34:B108)</f>
        <v>75</v>
      </c>
      <c r="B108" s="86" t="s">
        <v>932</v>
      </c>
      <c r="C108" s="90" t="s">
        <v>694</v>
      </c>
      <c r="D108" s="87">
        <v>45658</v>
      </c>
      <c r="E108" s="80">
        <v>2</v>
      </c>
      <c r="F108" s="81">
        <v>106820000</v>
      </c>
      <c r="G108" s="82">
        <v>5</v>
      </c>
      <c r="H108" s="101">
        <v>12</v>
      </c>
      <c r="I108" s="104" t="s">
        <v>1419</v>
      </c>
      <c r="J108" s="88">
        <f t="shared" si="6"/>
        <v>21364000</v>
      </c>
      <c r="K108" s="89">
        <f t="shared" si="7"/>
        <v>8901666.666666666</v>
      </c>
      <c r="L108" s="89">
        <f t="shared" si="8"/>
        <v>12462333.333333334</v>
      </c>
    </row>
    <row r="109" spans="1:12" ht="31.2" outlineLevel="1" x14ac:dyDescent="0.3">
      <c r="A109" s="85">
        <f>SUBTOTAL(3,$B$34:B109)</f>
        <v>76</v>
      </c>
      <c r="B109" s="86" t="s">
        <v>933</v>
      </c>
      <c r="C109" s="90" t="s">
        <v>695</v>
      </c>
      <c r="D109" s="87">
        <v>45627</v>
      </c>
      <c r="E109" s="80">
        <v>1</v>
      </c>
      <c r="F109" s="81">
        <v>8047003036</v>
      </c>
      <c r="G109" s="82">
        <v>8</v>
      </c>
      <c r="H109" s="101">
        <v>12</v>
      </c>
      <c r="I109" s="104" t="s">
        <v>1419</v>
      </c>
      <c r="J109" s="88">
        <f t="shared" si="6"/>
        <v>1005875379.5</v>
      </c>
      <c r="K109" s="89">
        <f t="shared" si="7"/>
        <v>670583586.33333337</v>
      </c>
      <c r="L109" s="89">
        <f t="shared" si="8"/>
        <v>335291793.16666663</v>
      </c>
    </row>
    <row r="110" spans="1:12" ht="31.2" outlineLevel="1" x14ac:dyDescent="0.3">
      <c r="A110" s="85">
        <f>SUBTOTAL(3,$B$34:B110)</f>
        <v>77</v>
      </c>
      <c r="B110" s="86" t="s">
        <v>934</v>
      </c>
      <c r="C110" s="90" t="s">
        <v>696</v>
      </c>
      <c r="D110" s="87">
        <v>45627</v>
      </c>
      <c r="E110" s="80">
        <v>1</v>
      </c>
      <c r="F110" s="81">
        <v>8047003036</v>
      </c>
      <c r="G110" s="82">
        <v>8</v>
      </c>
      <c r="H110" s="101">
        <v>12</v>
      </c>
      <c r="I110" s="104" t="s">
        <v>1419</v>
      </c>
      <c r="J110" s="88">
        <f t="shared" si="6"/>
        <v>1005875379.5</v>
      </c>
      <c r="K110" s="89">
        <f t="shared" si="7"/>
        <v>670583586.33333337</v>
      </c>
      <c r="L110" s="89">
        <f t="shared" si="8"/>
        <v>335291793.16666663</v>
      </c>
    </row>
    <row r="111" spans="1:12" ht="15.6" outlineLevel="1" x14ac:dyDescent="0.3">
      <c r="A111" s="85">
        <f>SUBTOTAL(3,$B$34:B111)</f>
        <v>78</v>
      </c>
      <c r="B111" s="86" t="s">
        <v>935</v>
      </c>
      <c r="C111" s="90" t="s">
        <v>697</v>
      </c>
      <c r="D111" s="87">
        <v>45627</v>
      </c>
      <c r="E111" s="80">
        <v>1</v>
      </c>
      <c r="F111" s="81">
        <v>107136753</v>
      </c>
      <c r="G111" s="82">
        <v>3</v>
      </c>
      <c r="H111" s="101">
        <v>12</v>
      </c>
      <c r="I111" s="104" t="s">
        <v>1419</v>
      </c>
      <c r="J111" s="88">
        <f t="shared" si="6"/>
        <v>35712251</v>
      </c>
      <c r="K111" s="89">
        <f t="shared" si="7"/>
        <v>8928062.75</v>
      </c>
      <c r="L111" s="89">
        <f t="shared" si="8"/>
        <v>26784188.25</v>
      </c>
    </row>
    <row r="112" spans="1:12" ht="15.6" outlineLevel="1" x14ac:dyDescent="0.3">
      <c r="A112" s="85">
        <f>SUBTOTAL(3,$B$34:B112)</f>
        <v>79</v>
      </c>
      <c r="B112" s="86" t="s">
        <v>936</v>
      </c>
      <c r="C112" s="90" t="s">
        <v>698</v>
      </c>
      <c r="D112" s="87">
        <v>45717</v>
      </c>
      <c r="E112" s="80">
        <v>1</v>
      </c>
      <c r="F112" s="81">
        <v>2745703965</v>
      </c>
      <c r="G112" s="82">
        <v>5</v>
      </c>
      <c r="H112" s="101">
        <v>12</v>
      </c>
      <c r="I112" s="104" t="s">
        <v>1419</v>
      </c>
      <c r="J112" s="88">
        <f t="shared" si="6"/>
        <v>549140793</v>
      </c>
      <c r="K112" s="89">
        <f t="shared" si="7"/>
        <v>228808663.75</v>
      </c>
      <c r="L112" s="89">
        <f t="shared" si="8"/>
        <v>320332129.25</v>
      </c>
    </row>
    <row r="113" spans="1:12" ht="31.2" outlineLevel="1" x14ac:dyDescent="0.3">
      <c r="A113" s="85">
        <f>SUBTOTAL(3,$B$34:B113)</f>
        <v>80</v>
      </c>
      <c r="B113" s="86" t="s">
        <v>937</v>
      </c>
      <c r="C113" s="90" t="s">
        <v>699</v>
      </c>
      <c r="D113" s="87">
        <v>45717</v>
      </c>
      <c r="E113" s="80">
        <v>1</v>
      </c>
      <c r="F113" s="81">
        <v>1300467332</v>
      </c>
      <c r="G113" s="82">
        <v>5</v>
      </c>
      <c r="H113" s="101">
        <v>12</v>
      </c>
      <c r="I113" s="104" t="s">
        <v>1419</v>
      </c>
      <c r="J113" s="88">
        <f t="shared" si="6"/>
        <v>260093466.40000001</v>
      </c>
      <c r="K113" s="89">
        <f t="shared" si="7"/>
        <v>108372277.66666667</v>
      </c>
      <c r="L113" s="89">
        <f t="shared" si="8"/>
        <v>151721188.73333335</v>
      </c>
    </row>
    <row r="114" spans="1:12" ht="31.2" outlineLevel="1" x14ac:dyDescent="0.3">
      <c r="A114" s="85">
        <f>SUBTOTAL(3,$B$34:B114)</f>
        <v>81</v>
      </c>
      <c r="B114" s="86" t="s">
        <v>938</v>
      </c>
      <c r="C114" s="90" t="s">
        <v>700</v>
      </c>
      <c r="D114" s="87">
        <v>45717</v>
      </c>
      <c r="E114" s="80">
        <v>1</v>
      </c>
      <c r="F114" s="81">
        <v>486411454</v>
      </c>
      <c r="G114" s="82">
        <v>3</v>
      </c>
      <c r="H114" s="101">
        <v>12</v>
      </c>
      <c r="I114" s="104" t="s">
        <v>1419</v>
      </c>
      <c r="J114" s="88">
        <f t="shared" si="6"/>
        <v>162137151.33333334</v>
      </c>
      <c r="K114" s="89">
        <f t="shared" si="7"/>
        <v>40534287.833333336</v>
      </c>
      <c r="L114" s="89">
        <f t="shared" si="8"/>
        <v>121602863.5</v>
      </c>
    </row>
    <row r="115" spans="1:12" ht="31.2" outlineLevel="1" x14ac:dyDescent="0.3">
      <c r="A115" s="85">
        <f>SUBTOTAL(3,$B$34:B115)</f>
        <v>82</v>
      </c>
      <c r="B115" s="86" t="s">
        <v>939</v>
      </c>
      <c r="C115" s="90" t="s">
        <v>701</v>
      </c>
      <c r="D115" s="87">
        <v>45717</v>
      </c>
      <c r="E115" s="80">
        <v>1</v>
      </c>
      <c r="F115" s="81">
        <v>432632369</v>
      </c>
      <c r="G115" s="82">
        <v>3</v>
      </c>
      <c r="H115" s="101">
        <v>12</v>
      </c>
      <c r="I115" s="104" t="s">
        <v>1419</v>
      </c>
      <c r="J115" s="88">
        <f t="shared" si="6"/>
        <v>144210789.66666666</v>
      </c>
      <c r="K115" s="89">
        <f t="shared" si="7"/>
        <v>36052697.416666664</v>
      </c>
      <c r="L115" s="89">
        <f t="shared" si="8"/>
        <v>108158092.25</v>
      </c>
    </row>
    <row r="116" spans="1:12" ht="31.2" outlineLevel="1" x14ac:dyDescent="0.3">
      <c r="A116" s="85">
        <f>SUBTOTAL(3,$B$34:B116)</f>
        <v>83</v>
      </c>
      <c r="B116" s="86" t="s">
        <v>940</v>
      </c>
      <c r="C116" s="90" t="s">
        <v>702</v>
      </c>
      <c r="D116" s="87">
        <v>45748</v>
      </c>
      <c r="E116" s="80">
        <v>1</v>
      </c>
      <c r="F116" s="81">
        <v>6670000000</v>
      </c>
      <c r="G116" s="82">
        <v>8</v>
      </c>
      <c r="H116" s="101">
        <v>12</v>
      </c>
      <c r="I116" s="104" t="s">
        <v>1419</v>
      </c>
      <c r="J116" s="88">
        <f t="shared" si="6"/>
        <v>833750000</v>
      </c>
      <c r="K116" s="89">
        <f t="shared" si="7"/>
        <v>555833333.33333337</v>
      </c>
      <c r="L116" s="89">
        <f t="shared" si="8"/>
        <v>277916666.66666663</v>
      </c>
    </row>
    <row r="117" spans="1:12" ht="31.2" outlineLevel="1" x14ac:dyDescent="0.3">
      <c r="A117" s="85">
        <f>SUBTOTAL(3,$B$34:B117)</f>
        <v>84</v>
      </c>
      <c r="B117" s="86" t="s">
        <v>941</v>
      </c>
      <c r="C117" s="90" t="s">
        <v>519</v>
      </c>
      <c r="D117" s="87">
        <v>44110</v>
      </c>
      <c r="E117" s="80">
        <v>1</v>
      </c>
      <c r="F117" s="81">
        <v>114480000</v>
      </c>
      <c r="G117" s="82">
        <v>8</v>
      </c>
      <c r="H117" s="101">
        <v>12</v>
      </c>
      <c r="I117" s="104" t="s">
        <v>1419</v>
      </c>
      <c r="J117" s="88">
        <f t="shared" si="6"/>
        <v>14310000</v>
      </c>
      <c r="K117" s="89">
        <f t="shared" si="7"/>
        <v>9540000</v>
      </c>
      <c r="L117" s="89">
        <f t="shared" si="8"/>
        <v>4770000</v>
      </c>
    </row>
    <row r="118" spans="1:12" ht="31.2" outlineLevel="1" x14ac:dyDescent="0.3">
      <c r="A118" s="85">
        <f>SUBTOTAL(3,$B$34:B118)</f>
        <v>85</v>
      </c>
      <c r="B118" s="86" t="s">
        <v>942</v>
      </c>
      <c r="C118" s="90" t="s">
        <v>520</v>
      </c>
      <c r="D118" s="87">
        <v>44110</v>
      </c>
      <c r="E118" s="80">
        <v>1</v>
      </c>
      <c r="F118" s="81">
        <v>144274000</v>
      </c>
      <c r="G118" s="82">
        <v>8</v>
      </c>
      <c r="H118" s="101">
        <v>12</v>
      </c>
      <c r="I118" s="104" t="s">
        <v>1419</v>
      </c>
      <c r="J118" s="88">
        <f t="shared" si="6"/>
        <v>18034250</v>
      </c>
      <c r="K118" s="89">
        <f t="shared" si="7"/>
        <v>12022833.333333334</v>
      </c>
      <c r="L118" s="89">
        <f t="shared" si="8"/>
        <v>6011416.666666666</v>
      </c>
    </row>
    <row r="119" spans="1:12" ht="15.6" outlineLevel="1" x14ac:dyDescent="0.3">
      <c r="A119" s="85">
        <f>SUBTOTAL(3,$B$34:B119)</f>
        <v>86</v>
      </c>
      <c r="B119" s="86" t="s">
        <v>943</v>
      </c>
      <c r="C119" s="90" t="s">
        <v>521</v>
      </c>
      <c r="D119" s="87">
        <v>44166</v>
      </c>
      <c r="E119" s="80">
        <v>4</v>
      </c>
      <c r="F119" s="81">
        <v>187612000</v>
      </c>
      <c r="G119" s="82">
        <v>8</v>
      </c>
      <c r="H119" s="101">
        <v>12</v>
      </c>
      <c r="I119" s="104" t="s">
        <v>1419</v>
      </c>
      <c r="J119" s="88">
        <f t="shared" si="6"/>
        <v>23451500</v>
      </c>
      <c r="K119" s="89">
        <f t="shared" si="7"/>
        <v>15634333.333333334</v>
      </c>
      <c r="L119" s="89">
        <f t="shared" si="8"/>
        <v>7817166.666666666</v>
      </c>
    </row>
    <row r="120" spans="1:12" ht="31.2" outlineLevel="1" x14ac:dyDescent="0.3">
      <c r="A120" s="85">
        <f>SUBTOTAL(3,$B$34:B120)</f>
        <v>87</v>
      </c>
      <c r="B120" s="86" t="s">
        <v>944</v>
      </c>
      <c r="C120" s="90" t="s">
        <v>522</v>
      </c>
      <c r="D120" s="87">
        <v>44177</v>
      </c>
      <c r="E120" s="80">
        <v>1</v>
      </c>
      <c r="F120" s="81">
        <v>330000000</v>
      </c>
      <c r="G120" s="82">
        <v>5</v>
      </c>
      <c r="H120" s="101">
        <v>12</v>
      </c>
      <c r="I120" s="104" t="s">
        <v>1419</v>
      </c>
      <c r="J120" s="88">
        <f t="shared" si="6"/>
        <v>66000000</v>
      </c>
      <c r="K120" s="89">
        <f t="shared" si="7"/>
        <v>27500000</v>
      </c>
      <c r="L120" s="89">
        <f t="shared" si="8"/>
        <v>38500000</v>
      </c>
    </row>
    <row r="121" spans="1:12" ht="15.6" outlineLevel="1" x14ac:dyDescent="0.3">
      <c r="A121" s="85">
        <f>SUBTOTAL(3,$B$34:B121)</f>
        <v>88</v>
      </c>
      <c r="B121" s="86" t="s">
        <v>945</v>
      </c>
      <c r="C121" s="90" t="s">
        <v>523</v>
      </c>
      <c r="D121" s="87">
        <v>44177</v>
      </c>
      <c r="E121" s="80">
        <v>1</v>
      </c>
      <c r="F121" s="81">
        <v>199000000</v>
      </c>
      <c r="G121" s="82">
        <v>5</v>
      </c>
      <c r="H121" s="101">
        <v>12</v>
      </c>
      <c r="I121" s="104" t="s">
        <v>1419</v>
      </c>
      <c r="J121" s="88">
        <f t="shared" si="6"/>
        <v>39800000</v>
      </c>
      <c r="K121" s="89">
        <f t="shared" si="7"/>
        <v>16583333.333333334</v>
      </c>
      <c r="L121" s="89">
        <f t="shared" si="8"/>
        <v>23216666.666666664</v>
      </c>
    </row>
    <row r="122" spans="1:12" ht="15.6" outlineLevel="1" x14ac:dyDescent="0.3">
      <c r="A122" s="85">
        <f>SUBTOTAL(3,$B$34:B122)</f>
        <v>89</v>
      </c>
      <c r="B122" s="86" t="s">
        <v>946</v>
      </c>
      <c r="C122" s="90" t="s">
        <v>524</v>
      </c>
      <c r="D122" s="87">
        <v>44177</v>
      </c>
      <c r="E122" s="80">
        <v>1</v>
      </c>
      <c r="F122" s="81">
        <v>51000000</v>
      </c>
      <c r="G122" s="82">
        <v>5</v>
      </c>
      <c r="H122" s="101">
        <v>12</v>
      </c>
      <c r="I122" s="104" t="s">
        <v>1419</v>
      </c>
      <c r="J122" s="88">
        <f t="shared" si="6"/>
        <v>10200000</v>
      </c>
      <c r="K122" s="89">
        <f t="shared" si="7"/>
        <v>4250000</v>
      </c>
      <c r="L122" s="89">
        <f t="shared" si="8"/>
        <v>5950000</v>
      </c>
    </row>
    <row r="123" spans="1:12" ht="15.6" outlineLevel="1" x14ac:dyDescent="0.3">
      <c r="A123" s="85">
        <f>SUBTOTAL(3,$B$34:B123)</f>
        <v>90</v>
      </c>
      <c r="B123" s="86" t="s">
        <v>947</v>
      </c>
      <c r="C123" s="90" t="s">
        <v>525</v>
      </c>
      <c r="D123" s="87">
        <v>44177</v>
      </c>
      <c r="E123" s="80">
        <v>1</v>
      </c>
      <c r="F123" s="81">
        <v>250000000</v>
      </c>
      <c r="G123" s="82">
        <v>5</v>
      </c>
      <c r="H123" s="101">
        <v>12</v>
      </c>
      <c r="I123" s="104" t="s">
        <v>1419</v>
      </c>
      <c r="J123" s="88">
        <f t="shared" si="6"/>
        <v>50000000</v>
      </c>
      <c r="K123" s="89">
        <f t="shared" si="7"/>
        <v>20833333.333333332</v>
      </c>
      <c r="L123" s="89">
        <f t="shared" si="8"/>
        <v>29166666.666666668</v>
      </c>
    </row>
    <row r="124" spans="1:12" ht="15.6" outlineLevel="1" x14ac:dyDescent="0.3">
      <c r="A124" s="85">
        <f>SUBTOTAL(3,$B$34:B124)</f>
        <v>91</v>
      </c>
      <c r="B124" s="86" t="s">
        <v>948</v>
      </c>
      <c r="C124" s="90" t="s">
        <v>526</v>
      </c>
      <c r="D124" s="87">
        <v>44177</v>
      </c>
      <c r="E124" s="80">
        <v>1</v>
      </c>
      <c r="F124" s="81">
        <v>28000000</v>
      </c>
      <c r="G124" s="82">
        <v>5</v>
      </c>
      <c r="H124" s="101">
        <v>12</v>
      </c>
      <c r="I124" s="104" t="s">
        <v>1419</v>
      </c>
      <c r="J124" s="88">
        <f t="shared" si="6"/>
        <v>5600000</v>
      </c>
      <c r="K124" s="89">
        <f t="shared" si="7"/>
        <v>2333333.3333333335</v>
      </c>
      <c r="L124" s="89">
        <f t="shared" si="8"/>
        <v>3266666.6666666665</v>
      </c>
    </row>
    <row r="125" spans="1:12" ht="15.6" outlineLevel="1" x14ac:dyDescent="0.3">
      <c r="A125" s="85">
        <f>SUBTOTAL(3,$B$34:B125)</f>
        <v>92</v>
      </c>
      <c r="B125" s="86" t="s">
        <v>949</v>
      </c>
      <c r="C125" s="90" t="s">
        <v>527</v>
      </c>
      <c r="D125" s="87">
        <v>44189</v>
      </c>
      <c r="E125" s="80">
        <v>1</v>
      </c>
      <c r="F125" s="81">
        <v>365324800</v>
      </c>
      <c r="G125" s="82">
        <v>5</v>
      </c>
      <c r="H125" s="101">
        <v>12</v>
      </c>
      <c r="I125" s="104" t="s">
        <v>1419</v>
      </c>
      <c r="J125" s="88">
        <f t="shared" si="6"/>
        <v>73064960</v>
      </c>
      <c r="K125" s="89">
        <f t="shared" si="7"/>
        <v>30443733.333333332</v>
      </c>
      <c r="L125" s="89">
        <f t="shared" si="8"/>
        <v>42621226.666666672</v>
      </c>
    </row>
    <row r="126" spans="1:12" ht="15.6" outlineLevel="1" x14ac:dyDescent="0.3">
      <c r="A126" s="85">
        <f>SUBTOTAL(3,$B$34:B126)</f>
        <v>93</v>
      </c>
      <c r="B126" s="86" t="s">
        <v>950</v>
      </c>
      <c r="C126" s="90" t="s">
        <v>528</v>
      </c>
      <c r="D126" s="87">
        <v>44198</v>
      </c>
      <c r="E126" s="80">
        <v>1</v>
      </c>
      <c r="F126" s="81">
        <v>125658000</v>
      </c>
      <c r="G126" s="82">
        <v>5</v>
      </c>
      <c r="H126" s="101">
        <v>12</v>
      </c>
      <c r="I126" s="104" t="s">
        <v>1419</v>
      </c>
      <c r="J126" s="88">
        <f t="shared" si="6"/>
        <v>25131600</v>
      </c>
      <c r="K126" s="89">
        <f t="shared" si="7"/>
        <v>10471500</v>
      </c>
      <c r="L126" s="89">
        <f t="shared" si="8"/>
        <v>14660100</v>
      </c>
    </row>
    <row r="127" spans="1:12" ht="31.2" outlineLevel="1" x14ac:dyDescent="0.3">
      <c r="A127" s="85">
        <f>SUBTOTAL(3,$B$34:B127)</f>
        <v>94</v>
      </c>
      <c r="B127" s="86" t="s">
        <v>951</v>
      </c>
      <c r="C127" s="90" t="s">
        <v>529</v>
      </c>
      <c r="D127" s="87">
        <v>44198</v>
      </c>
      <c r="E127" s="80">
        <v>1</v>
      </c>
      <c r="F127" s="81">
        <v>130079300</v>
      </c>
      <c r="G127" s="82">
        <v>5</v>
      </c>
      <c r="H127" s="101">
        <v>12</v>
      </c>
      <c r="I127" s="104" t="s">
        <v>1419</v>
      </c>
      <c r="J127" s="88">
        <f t="shared" si="6"/>
        <v>26015860</v>
      </c>
      <c r="K127" s="89">
        <f t="shared" si="7"/>
        <v>10839941.666666666</v>
      </c>
      <c r="L127" s="89">
        <f t="shared" si="8"/>
        <v>15175918.333333334</v>
      </c>
    </row>
    <row r="128" spans="1:12" ht="31.2" outlineLevel="1" x14ac:dyDescent="0.3">
      <c r="A128" s="85">
        <f>SUBTOTAL(3,$B$34:B128)</f>
        <v>95</v>
      </c>
      <c r="B128" s="86" t="s">
        <v>952</v>
      </c>
      <c r="C128" s="90" t="s">
        <v>530</v>
      </c>
      <c r="D128" s="87">
        <v>44228</v>
      </c>
      <c r="E128" s="80">
        <v>1</v>
      </c>
      <c r="F128" s="81">
        <v>146100000</v>
      </c>
      <c r="G128" s="82">
        <v>5</v>
      </c>
      <c r="H128" s="101">
        <v>12</v>
      </c>
      <c r="I128" s="104" t="s">
        <v>1419</v>
      </c>
      <c r="J128" s="88">
        <f t="shared" si="6"/>
        <v>29220000</v>
      </c>
      <c r="K128" s="89">
        <f t="shared" si="7"/>
        <v>12175000</v>
      </c>
      <c r="L128" s="89">
        <f t="shared" si="8"/>
        <v>17045000</v>
      </c>
    </row>
    <row r="129" spans="1:12" ht="15.6" outlineLevel="1" x14ac:dyDescent="0.3">
      <c r="A129" s="85">
        <f>SUBTOTAL(3,$B$34:B129)</f>
        <v>96</v>
      </c>
      <c r="B129" s="86" t="s">
        <v>955</v>
      </c>
      <c r="C129" s="90" t="s">
        <v>531</v>
      </c>
      <c r="D129" s="87">
        <v>44378</v>
      </c>
      <c r="E129" s="80">
        <v>1</v>
      </c>
      <c r="F129" s="81">
        <v>433134526</v>
      </c>
      <c r="G129" s="82">
        <v>5</v>
      </c>
      <c r="H129" s="101">
        <v>12</v>
      </c>
      <c r="I129" s="104" t="s">
        <v>1419</v>
      </c>
      <c r="J129" s="88">
        <f t="shared" si="6"/>
        <v>86626905.200000003</v>
      </c>
      <c r="K129" s="89">
        <f t="shared" si="7"/>
        <v>36094543.833333336</v>
      </c>
      <c r="L129" s="89">
        <f t="shared" si="8"/>
        <v>50532361.366666667</v>
      </c>
    </row>
    <row r="130" spans="1:12" ht="15.6" outlineLevel="1" x14ac:dyDescent="0.3">
      <c r="A130" s="85">
        <f>SUBTOTAL(3,$B$34:B130)</f>
        <v>97</v>
      </c>
      <c r="B130" s="86" t="s">
        <v>956</v>
      </c>
      <c r="C130" s="90" t="s">
        <v>532</v>
      </c>
      <c r="D130" s="87">
        <v>44417</v>
      </c>
      <c r="E130" s="80">
        <v>1</v>
      </c>
      <c r="F130" s="81">
        <v>350000000</v>
      </c>
      <c r="G130" s="82">
        <v>10</v>
      </c>
      <c r="H130" s="101">
        <v>12</v>
      </c>
      <c r="I130" s="104" t="s">
        <v>1419</v>
      </c>
      <c r="J130" s="88">
        <f t="shared" si="6"/>
        <v>35000000</v>
      </c>
      <c r="K130" s="89">
        <f t="shared" si="7"/>
        <v>29166666.666666668</v>
      </c>
      <c r="L130" s="89">
        <f t="shared" si="8"/>
        <v>5833333.3333333321</v>
      </c>
    </row>
    <row r="131" spans="1:12" ht="15.6" outlineLevel="1" x14ac:dyDescent="0.3">
      <c r="A131" s="85">
        <f>SUBTOTAL(3,$B$34:B131)</f>
        <v>98</v>
      </c>
      <c r="B131" s="86" t="s">
        <v>957</v>
      </c>
      <c r="C131" s="90" t="s">
        <v>533</v>
      </c>
      <c r="D131" s="87">
        <v>44417</v>
      </c>
      <c r="E131" s="80">
        <v>1</v>
      </c>
      <c r="F131" s="81">
        <v>7914354019</v>
      </c>
      <c r="G131" s="82">
        <v>10</v>
      </c>
      <c r="H131" s="101">
        <v>12</v>
      </c>
      <c r="I131" s="104" t="s">
        <v>1419</v>
      </c>
      <c r="J131" s="88">
        <f t="shared" si="6"/>
        <v>791435401.89999998</v>
      </c>
      <c r="K131" s="89">
        <f t="shared" si="7"/>
        <v>659529501.58333337</v>
      </c>
      <c r="L131" s="89">
        <f t="shared" si="8"/>
        <v>131905900.3166666</v>
      </c>
    </row>
    <row r="132" spans="1:12" ht="15.6" outlineLevel="1" x14ac:dyDescent="0.3">
      <c r="A132" s="85">
        <f>SUBTOTAL(3,$B$34:B132)</f>
        <v>99</v>
      </c>
      <c r="B132" s="86" t="s">
        <v>958</v>
      </c>
      <c r="C132" s="90" t="s">
        <v>534</v>
      </c>
      <c r="D132" s="87">
        <v>44438</v>
      </c>
      <c r="E132" s="80">
        <v>1</v>
      </c>
      <c r="F132" s="81">
        <v>2414319168</v>
      </c>
      <c r="G132" s="82">
        <v>10</v>
      </c>
      <c r="H132" s="101">
        <v>12</v>
      </c>
      <c r="I132" s="104" t="s">
        <v>1419</v>
      </c>
      <c r="J132" s="88">
        <f t="shared" si="6"/>
        <v>241431916.80000001</v>
      </c>
      <c r="K132" s="89">
        <f t="shared" si="7"/>
        <v>201193264</v>
      </c>
      <c r="L132" s="89">
        <f t="shared" si="8"/>
        <v>40238652.800000012</v>
      </c>
    </row>
    <row r="133" spans="1:12" ht="15.6" outlineLevel="1" x14ac:dyDescent="0.3">
      <c r="A133" s="85">
        <f>SUBTOTAL(3,$B$34:B133)</f>
        <v>100</v>
      </c>
      <c r="B133" s="86" t="s">
        <v>959</v>
      </c>
      <c r="C133" s="90" t="s">
        <v>535</v>
      </c>
      <c r="D133" s="87">
        <v>44438</v>
      </c>
      <c r="E133" s="80">
        <v>1</v>
      </c>
      <c r="F133" s="81">
        <v>310000000</v>
      </c>
      <c r="G133" s="82">
        <v>5</v>
      </c>
      <c r="H133" s="101">
        <v>12</v>
      </c>
      <c r="I133" s="104" t="s">
        <v>1419</v>
      </c>
      <c r="J133" s="88">
        <f t="shared" si="6"/>
        <v>62000000</v>
      </c>
      <c r="K133" s="89">
        <f t="shared" si="7"/>
        <v>25833333.333333332</v>
      </c>
      <c r="L133" s="89">
        <f t="shared" si="8"/>
        <v>36166666.666666672</v>
      </c>
    </row>
    <row r="134" spans="1:12" ht="15.6" outlineLevel="1" x14ac:dyDescent="0.3">
      <c r="A134" s="85">
        <f>SUBTOTAL(3,$B$34:B134)</f>
        <v>101</v>
      </c>
      <c r="B134" s="86" t="s">
        <v>960</v>
      </c>
      <c r="C134" s="90" t="s">
        <v>536</v>
      </c>
      <c r="D134" s="87">
        <v>44438</v>
      </c>
      <c r="E134" s="80">
        <v>1</v>
      </c>
      <c r="F134" s="81">
        <v>1577222005</v>
      </c>
      <c r="G134" s="82">
        <v>10</v>
      </c>
      <c r="H134" s="101">
        <v>12</v>
      </c>
      <c r="I134" s="104" t="s">
        <v>1419</v>
      </c>
      <c r="J134" s="88">
        <f t="shared" si="6"/>
        <v>157722200.5</v>
      </c>
      <c r="K134" s="89">
        <f t="shared" si="7"/>
        <v>131435167.08333333</v>
      </c>
      <c r="L134" s="89">
        <f t="shared" si="8"/>
        <v>26287033.416666672</v>
      </c>
    </row>
    <row r="135" spans="1:12" ht="15.6" outlineLevel="1" x14ac:dyDescent="0.3">
      <c r="A135" s="85">
        <f>SUBTOTAL(3,$B$34:B135)</f>
        <v>102</v>
      </c>
      <c r="B135" s="86" t="s">
        <v>961</v>
      </c>
      <c r="C135" s="90" t="s">
        <v>537</v>
      </c>
      <c r="D135" s="87">
        <v>44438</v>
      </c>
      <c r="E135" s="80">
        <v>2</v>
      </c>
      <c r="F135" s="81">
        <v>397073670</v>
      </c>
      <c r="G135" s="82">
        <v>10</v>
      </c>
      <c r="H135" s="101">
        <v>12</v>
      </c>
      <c r="I135" s="104" t="s">
        <v>1419</v>
      </c>
      <c r="J135" s="88">
        <f t="shared" si="6"/>
        <v>39707367</v>
      </c>
      <c r="K135" s="89">
        <f t="shared" si="7"/>
        <v>33089472.5</v>
      </c>
      <c r="L135" s="89">
        <f t="shared" si="8"/>
        <v>6617894.5</v>
      </c>
    </row>
    <row r="136" spans="1:12" ht="31.2" outlineLevel="1" x14ac:dyDescent="0.3">
      <c r="A136" s="85">
        <f>SUBTOTAL(3,$B$34:B136)</f>
        <v>103</v>
      </c>
      <c r="B136" s="86" t="s">
        <v>962</v>
      </c>
      <c r="C136" s="90" t="s">
        <v>538</v>
      </c>
      <c r="D136" s="87">
        <v>44438</v>
      </c>
      <c r="E136" s="80">
        <v>1</v>
      </c>
      <c r="F136" s="81">
        <v>73500000</v>
      </c>
      <c r="G136" s="82">
        <v>5</v>
      </c>
      <c r="H136" s="101">
        <v>12</v>
      </c>
      <c r="I136" s="104" t="s">
        <v>1419</v>
      </c>
      <c r="J136" s="88">
        <f t="shared" si="6"/>
        <v>14700000</v>
      </c>
      <c r="K136" s="89">
        <f t="shared" si="7"/>
        <v>6125000</v>
      </c>
      <c r="L136" s="89">
        <f t="shared" si="8"/>
        <v>8575000</v>
      </c>
    </row>
    <row r="137" spans="1:12" ht="15.6" outlineLevel="1" x14ac:dyDescent="0.3">
      <c r="A137" s="85">
        <f>SUBTOTAL(3,$B$34:B137)</f>
        <v>104</v>
      </c>
      <c r="B137" s="86" t="s">
        <v>963</v>
      </c>
      <c r="C137" s="90" t="s">
        <v>539</v>
      </c>
      <c r="D137" s="87">
        <v>44438</v>
      </c>
      <c r="E137" s="80">
        <v>1</v>
      </c>
      <c r="F137" s="81">
        <v>81000000</v>
      </c>
      <c r="G137" s="82">
        <v>10</v>
      </c>
      <c r="H137" s="101">
        <v>12</v>
      </c>
      <c r="I137" s="104" t="s">
        <v>1419</v>
      </c>
      <c r="J137" s="88">
        <f t="shared" si="6"/>
        <v>8100000</v>
      </c>
      <c r="K137" s="89">
        <f t="shared" si="7"/>
        <v>6750000</v>
      </c>
      <c r="L137" s="89">
        <f t="shared" si="8"/>
        <v>1350000</v>
      </c>
    </row>
    <row r="138" spans="1:12" ht="31.2" outlineLevel="1" x14ac:dyDescent="0.3">
      <c r="A138" s="85">
        <f>SUBTOTAL(3,$B$34:B138)</f>
        <v>105</v>
      </c>
      <c r="B138" s="86" t="s">
        <v>966</v>
      </c>
      <c r="C138" s="90" t="s">
        <v>540</v>
      </c>
      <c r="D138" s="87">
        <v>44519</v>
      </c>
      <c r="E138" s="80">
        <v>1</v>
      </c>
      <c r="F138" s="81">
        <v>88000000</v>
      </c>
      <c r="G138" s="82">
        <v>6</v>
      </c>
      <c r="H138" s="101">
        <v>12</v>
      </c>
      <c r="I138" s="104" t="s">
        <v>1419</v>
      </c>
      <c r="J138" s="88">
        <f t="shared" si="6"/>
        <v>14666666.666666666</v>
      </c>
      <c r="K138" s="89">
        <f t="shared" si="7"/>
        <v>7333333.333333333</v>
      </c>
      <c r="L138" s="89">
        <f t="shared" si="8"/>
        <v>7333333.333333333</v>
      </c>
    </row>
    <row r="139" spans="1:12" ht="31.2" outlineLevel="1" x14ac:dyDescent="0.3">
      <c r="A139" s="85">
        <f>SUBTOTAL(3,$B$34:B139)</f>
        <v>106</v>
      </c>
      <c r="B139" s="86" t="s">
        <v>971</v>
      </c>
      <c r="C139" s="90" t="s">
        <v>541</v>
      </c>
      <c r="D139" s="87">
        <v>44589</v>
      </c>
      <c r="E139" s="80">
        <v>1</v>
      </c>
      <c r="F139" s="81">
        <v>399701250</v>
      </c>
      <c r="G139" s="82">
        <v>6</v>
      </c>
      <c r="H139" s="101">
        <v>12</v>
      </c>
      <c r="I139" s="104" t="s">
        <v>1419</v>
      </c>
      <c r="J139" s="88">
        <f t="shared" si="6"/>
        <v>66616875</v>
      </c>
      <c r="K139" s="89">
        <f t="shared" si="7"/>
        <v>33308437.5</v>
      </c>
      <c r="L139" s="89">
        <f t="shared" si="8"/>
        <v>33308437.5</v>
      </c>
    </row>
    <row r="140" spans="1:12" ht="31.2" outlineLevel="1" x14ac:dyDescent="0.3">
      <c r="A140" s="85">
        <f>SUBTOTAL(3,$B$34:B140)</f>
        <v>107</v>
      </c>
      <c r="B140" s="86" t="s">
        <v>972</v>
      </c>
      <c r="C140" s="90" t="s">
        <v>542</v>
      </c>
      <c r="D140" s="87">
        <v>44614</v>
      </c>
      <c r="E140" s="80">
        <v>1</v>
      </c>
      <c r="F140" s="81">
        <v>78409091</v>
      </c>
      <c r="G140" s="82">
        <v>5</v>
      </c>
      <c r="H140" s="101">
        <v>12</v>
      </c>
      <c r="I140" s="104" t="s">
        <v>1419</v>
      </c>
      <c r="J140" s="88">
        <f t="shared" si="6"/>
        <v>15681818.199999999</v>
      </c>
      <c r="K140" s="89">
        <f t="shared" si="7"/>
        <v>6534090.916666667</v>
      </c>
      <c r="L140" s="89">
        <f t="shared" si="8"/>
        <v>9147727.2833333313</v>
      </c>
    </row>
    <row r="141" spans="1:12" ht="15.6" outlineLevel="1" x14ac:dyDescent="0.3">
      <c r="A141" s="85">
        <f>SUBTOTAL(3,$B$34:B141)</f>
        <v>108</v>
      </c>
      <c r="B141" s="86" t="s">
        <v>973</v>
      </c>
      <c r="C141" s="90" t="s">
        <v>543</v>
      </c>
      <c r="D141" s="87">
        <v>44713</v>
      </c>
      <c r="E141" s="80">
        <v>1</v>
      </c>
      <c r="F141" s="81">
        <v>60000000</v>
      </c>
      <c r="G141" s="82">
        <v>5</v>
      </c>
      <c r="H141" s="101">
        <v>12</v>
      </c>
      <c r="I141" s="104" t="s">
        <v>1419</v>
      </c>
      <c r="J141" s="88">
        <f t="shared" si="6"/>
        <v>12000000</v>
      </c>
      <c r="K141" s="89">
        <f t="shared" si="7"/>
        <v>5000000</v>
      </c>
      <c r="L141" s="89">
        <f t="shared" si="8"/>
        <v>7000000</v>
      </c>
    </row>
    <row r="142" spans="1:12" ht="31.2" outlineLevel="1" x14ac:dyDescent="0.3">
      <c r="A142" s="85">
        <f>SUBTOTAL(3,$B$34:B142)</f>
        <v>109</v>
      </c>
      <c r="B142" s="86" t="s">
        <v>974</v>
      </c>
      <c r="C142" s="90" t="s">
        <v>544</v>
      </c>
      <c r="D142" s="87">
        <v>44620</v>
      </c>
      <c r="E142" s="80">
        <v>1</v>
      </c>
      <c r="F142" s="81">
        <v>125800000</v>
      </c>
      <c r="G142" s="82">
        <v>6</v>
      </c>
      <c r="H142" s="101">
        <v>12</v>
      </c>
      <c r="I142" s="104" t="s">
        <v>1419</v>
      </c>
      <c r="J142" s="88">
        <f t="shared" si="6"/>
        <v>20966666.666666668</v>
      </c>
      <c r="K142" s="89">
        <f t="shared" si="7"/>
        <v>10483333.333333334</v>
      </c>
      <c r="L142" s="89">
        <f t="shared" si="8"/>
        <v>10483333.333333334</v>
      </c>
    </row>
    <row r="143" spans="1:12" ht="31.2" outlineLevel="1" x14ac:dyDescent="0.3">
      <c r="A143" s="85">
        <f>SUBTOTAL(3,$B$34:B143)</f>
        <v>110</v>
      </c>
      <c r="B143" s="86" t="s">
        <v>975</v>
      </c>
      <c r="C143" s="90" t="s">
        <v>544</v>
      </c>
      <c r="D143" s="87">
        <v>44620</v>
      </c>
      <c r="E143" s="80">
        <v>1</v>
      </c>
      <c r="F143" s="81">
        <v>125800000</v>
      </c>
      <c r="G143" s="82">
        <v>6</v>
      </c>
      <c r="H143" s="101">
        <v>12</v>
      </c>
      <c r="I143" s="104" t="s">
        <v>1419</v>
      </c>
      <c r="J143" s="88">
        <f t="shared" si="6"/>
        <v>20966666.666666668</v>
      </c>
      <c r="K143" s="89">
        <f t="shared" si="7"/>
        <v>10483333.333333334</v>
      </c>
      <c r="L143" s="89">
        <f t="shared" si="8"/>
        <v>10483333.333333334</v>
      </c>
    </row>
    <row r="144" spans="1:12" ht="31.2" outlineLevel="1" x14ac:dyDescent="0.3">
      <c r="A144" s="85">
        <f>SUBTOTAL(3,$B$34:B144)</f>
        <v>111</v>
      </c>
      <c r="B144" s="86" t="s">
        <v>978</v>
      </c>
      <c r="C144" s="90" t="s">
        <v>545</v>
      </c>
      <c r="D144" s="87">
        <v>44734</v>
      </c>
      <c r="E144" s="80">
        <v>1</v>
      </c>
      <c r="F144" s="81">
        <v>142187500</v>
      </c>
      <c r="G144" s="82">
        <v>5</v>
      </c>
      <c r="H144" s="101">
        <v>12</v>
      </c>
      <c r="I144" s="104" t="s">
        <v>1419</v>
      </c>
      <c r="J144" s="88">
        <f t="shared" si="6"/>
        <v>28437500</v>
      </c>
      <c r="K144" s="89">
        <f t="shared" si="7"/>
        <v>11848958.333333334</v>
      </c>
      <c r="L144" s="89">
        <f t="shared" si="8"/>
        <v>16588541.666666666</v>
      </c>
    </row>
    <row r="145" spans="1:12" ht="15.6" outlineLevel="1" x14ac:dyDescent="0.3">
      <c r="A145" s="85">
        <f>SUBTOTAL(3,$B$34:B145)</f>
        <v>112</v>
      </c>
      <c r="B145" s="86" t="s">
        <v>979</v>
      </c>
      <c r="C145" s="90" t="s">
        <v>546</v>
      </c>
      <c r="D145" s="87">
        <v>44813</v>
      </c>
      <c r="E145" s="80">
        <v>1</v>
      </c>
      <c r="F145" s="81">
        <v>60000000</v>
      </c>
      <c r="G145" s="82">
        <v>5</v>
      </c>
      <c r="H145" s="101">
        <v>12</v>
      </c>
      <c r="I145" s="104" t="s">
        <v>1419</v>
      </c>
      <c r="J145" s="88">
        <f t="shared" si="6"/>
        <v>12000000</v>
      </c>
      <c r="K145" s="89">
        <f t="shared" si="7"/>
        <v>5000000</v>
      </c>
      <c r="L145" s="89">
        <f t="shared" si="8"/>
        <v>7000000</v>
      </c>
    </row>
    <row r="146" spans="1:12" ht="15.6" outlineLevel="1" x14ac:dyDescent="0.3">
      <c r="A146" s="85">
        <f>SUBTOTAL(3,$B$34:B146)</f>
        <v>113</v>
      </c>
      <c r="B146" s="86" t="s">
        <v>982</v>
      </c>
      <c r="C146" s="90" t="s">
        <v>547</v>
      </c>
      <c r="D146" s="87">
        <v>44849</v>
      </c>
      <c r="E146" s="80">
        <v>1</v>
      </c>
      <c r="F146" s="81">
        <v>208589000</v>
      </c>
      <c r="G146" s="82">
        <v>5</v>
      </c>
      <c r="H146" s="101">
        <v>12</v>
      </c>
      <c r="I146" s="104" t="s">
        <v>1419</v>
      </c>
      <c r="J146" s="88">
        <f t="shared" si="6"/>
        <v>41717800</v>
      </c>
      <c r="K146" s="89">
        <f t="shared" si="7"/>
        <v>17382416.666666668</v>
      </c>
      <c r="L146" s="89">
        <f t="shared" si="8"/>
        <v>24335383.333333332</v>
      </c>
    </row>
    <row r="147" spans="1:12" ht="31.2" outlineLevel="1" x14ac:dyDescent="0.3">
      <c r="A147" s="85">
        <f>SUBTOTAL(3,$B$34:B147)</f>
        <v>114</v>
      </c>
      <c r="B147" s="86" t="s">
        <v>983</v>
      </c>
      <c r="C147" s="90" t="s">
        <v>548</v>
      </c>
      <c r="D147" s="87">
        <v>44835</v>
      </c>
      <c r="E147" s="80">
        <v>1</v>
      </c>
      <c r="F147" s="81">
        <v>34500000</v>
      </c>
      <c r="G147" s="82">
        <v>5</v>
      </c>
      <c r="H147" s="101">
        <v>12</v>
      </c>
      <c r="I147" s="104" t="s">
        <v>1419</v>
      </c>
      <c r="J147" s="88">
        <f t="shared" si="6"/>
        <v>6900000</v>
      </c>
      <c r="K147" s="89">
        <f t="shared" si="7"/>
        <v>2875000</v>
      </c>
      <c r="L147" s="89">
        <f t="shared" si="8"/>
        <v>4025000</v>
      </c>
    </row>
    <row r="148" spans="1:12" ht="15.6" outlineLevel="1" x14ac:dyDescent="0.3">
      <c r="A148" s="85">
        <f>SUBTOTAL(3,$B$34:B148)</f>
        <v>115</v>
      </c>
      <c r="B148" s="86" t="s">
        <v>984</v>
      </c>
      <c r="C148" s="90" t="s">
        <v>549</v>
      </c>
      <c r="D148" s="87">
        <v>44896</v>
      </c>
      <c r="E148" s="80">
        <v>1</v>
      </c>
      <c r="F148" s="81">
        <v>1067096720</v>
      </c>
      <c r="G148" s="82">
        <v>5</v>
      </c>
      <c r="H148" s="101">
        <v>12</v>
      </c>
      <c r="I148" s="104" t="s">
        <v>1419</v>
      </c>
      <c r="J148" s="88">
        <f t="shared" si="6"/>
        <v>213419344</v>
      </c>
      <c r="K148" s="89">
        <f t="shared" si="7"/>
        <v>88924726.666666672</v>
      </c>
      <c r="L148" s="89">
        <f t="shared" si="8"/>
        <v>124494617.33333333</v>
      </c>
    </row>
    <row r="149" spans="1:12" ht="15.6" outlineLevel="1" x14ac:dyDescent="0.3">
      <c r="A149" s="85">
        <f>SUBTOTAL(3,$B$34:B149)</f>
        <v>116</v>
      </c>
      <c r="B149" s="86" t="s">
        <v>985</v>
      </c>
      <c r="C149" s="90" t="s">
        <v>550</v>
      </c>
      <c r="D149" s="87">
        <v>44896</v>
      </c>
      <c r="E149" s="80">
        <v>1</v>
      </c>
      <c r="F149" s="81">
        <v>79000000</v>
      </c>
      <c r="G149" s="82">
        <v>3</v>
      </c>
      <c r="H149" s="101">
        <v>12</v>
      </c>
      <c r="I149" s="104" t="s">
        <v>1419</v>
      </c>
      <c r="J149" s="88">
        <f t="shared" si="6"/>
        <v>26333333.333333332</v>
      </c>
      <c r="K149" s="89">
        <f t="shared" si="7"/>
        <v>6583333.333333333</v>
      </c>
      <c r="L149" s="89">
        <f t="shared" si="8"/>
        <v>19750000</v>
      </c>
    </row>
    <row r="150" spans="1:12" ht="15.6" outlineLevel="1" x14ac:dyDescent="0.3">
      <c r="A150" s="85">
        <f>SUBTOTAL(3,$B$34:B150)</f>
        <v>117</v>
      </c>
      <c r="B150" s="86" t="s">
        <v>986</v>
      </c>
      <c r="C150" s="90" t="s">
        <v>551</v>
      </c>
      <c r="D150" s="87">
        <v>44896</v>
      </c>
      <c r="E150" s="80">
        <v>1</v>
      </c>
      <c r="F150" s="81">
        <v>107800000</v>
      </c>
      <c r="G150" s="82">
        <v>3</v>
      </c>
      <c r="H150" s="101">
        <v>12</v>
      </c>
      <c r="I150" s="104" t="s">
        <v>1419</v>
      </c>
      <c r="J150" s="88">
        <f t="shared" si="6"/>
        <v>35933333.333333336</v>
      </c>
      <c r="K150" s="89">
        <f t="shared" si="7"/>
        <v>8983333.333333334</v>
      </c>
      <c r="L150" s="89">
        <f t="shared" si="8"/>
        <v>26950000</v>
      </c>
    </row>
    <row r="151" spans="1:12" ht="15.6" outlineLevel="1" x14ac:dyDescent="0.3">
      <c r="A151" s="85">
        <f>SUBTOTAL(3,$B$34:B151)</f>
        <v>118</v>
      </c>
      <c r="B151" s="86" t="s">
        <v>987</v>
      </c>
      <c r="C151" s="90" t="s">
        <v>552</v>
      </c>
      <c r="D151" s="87">
        <v>44896</v>
      </c>
      <c r="E151" s="80">
        <v>1</v>
      </c>
      <c r="F151" s="81">
        <v>168057600</v>
      </c>
      <c r="G151" s="82">
        <v>5</v>
      </c>
      <c r="H151" s="101">
        <v>12</v>
      </c>
      <c r="I151" s="104" t="s">
        <v>1419</v>
      </c>
      <c r="J151" s="88">
        <f t="shared" si="6"/>
        <v>33611520</v>
      </c>
      <c r="K151" s="89">
        <f t="shared" si="7"/>
        <v>14004800</v>
      </c>
      <c r="L151" s="89">
        <f t="shared" si="8"/>
        <v>19606720</v>
      </c>
    </row>
    <row r="152" spans="1:12" ht="15.6" outlineLevel="1" x14ac:dyDescent="0.3">
      <c r="A152" s="85">
        <f>SUBTOTAL(3,$B$34:B152)</f>
        <v>119</v>
      </c>
      <c r="B152" s="86" t="s">
        <v>988</v>
      </c>
      <c r="C152" s="90" t="s">
        <v>553</v>
      </c>
      <c r="D152" s="87">
        <v>44896</v>
      </c>
      <c r="E152" s="80">
        <v>1</v>
      </c>
      <c r="F152" s="81">
        <v>168057600</v>
      </c>
      <c r="G152" s="82">
        <v>5</v>
      </c>
      <c r="H152" s="101">
        <v>12</v>
      </c>
      <c r="I152" s="104" t="s">
        <v>1419</v>
      </c>
      <c r="J152" s="88">
        <f t="shared" si="6"/>
        <v>33611520</v>
      </c>
      <c r="K152" s="89">
        <f t="shared" si="7"/>
        <v>14004800</v>
      </c>
      <c r="L152" s="89">
        <f t="shared" si="8"/>
        <v>19606720</v>
      </c>
    </row>
    <row r="153" spans="1:12" ht="15.6" outlineLevel="1" x14ac:dyDescent="0.3">
      <c r="A153" s="85">
        <f>SUBTOTAL(3,$B$34:B153)</f>
        <v>120</v>
      </c>
      <c r="B153" s="86" t="s">
        <v>989</v>
      </c>
      <c r="C153" s="90" t="s">
        <v>554</v>
      </c>
      <c r="D153" s="87">
        <v>44896</v>
      </c>
      <c r="E153" s="80">
        <v>1</v>
      </c>
      <c r="F153" s="81">
        <v>168057600</v>
      </c>
      <c r="G153" s="82">
        <v>5</v>
      </c>
      <c r="H153" s="101">
        <v>12</v>
      </c>
      <c r="I153" s="104" t="s">
        <v>1419</v>
      </c>
      <c r="J153" s="88">
        <f t="shared" si="6"/>
        <v>33611520</v>
      </c>
      <c r="K153" s="89">
        <f t="shared" si="7"/>
        <v>14004800</v>
      </c>
      <c r="L153" s="89">
        <f t="shared" si="8"/>
        <v>19606720</v>
      </c>
    </row>
    <row r="154" spans="1:12" ht="15.6" outlineLevel="1" x14ac:dyDescent="0.3">
      <c r="A154" s="85">
        <f>SUBTOTAL(3,$B$34:B154)</f>
        <v>121</v>
      </c>
      <c r="B154" s="86" t="s">
        <v>990</v>
      </c>
      <c r="C154" s="90" t="s">
        <v>555</v>
      </c>
      <c r="D154" s="87">
        <v>44896</v>
      </c>
      <c r="E154" s="80">
        <v>1</v>
      </c>
      <c r="F154" s="81">
        <v>1119518319</v>
      </c>
      <c r="G154" s="82">
        <v>5</v>
      </c>
      <c r="H154" s="101">
        <v>12</v>
      </c>
      <c r="I154" s="104" t="s">
        <v>1419</v>
      </c>
      <c r="J154" s="88">
        <f t="shared" si="6"/>
        <v>223903663.80000001</v>
      </c>
      <c r="K154" s="89">
        <f t="shared" si="7"/>
        <v>93293193.25</v>
      </c>
      <c r="L154" s="89">
        <f t="shared" si="8"/>
        <v>130610470.55000001</v>
      </c>
    </row>
    <row r="155" spans="1:12" ht="15.6" outlineLevel="1" x14ac:dyDescent="0.3">
      <c r="A155" s="85">
        <f>SUBTOTAL(3,$B$34:B155)</f>
        <v>122</v>
      </c>
      <c r="B155" s="86" t="s">
        <v>991</v>
      </c>
      <c r="C155" s="90" t="s">
        <v>556</v>
      </c>
      <c r="D155" s="87">
        <v>44927</v>
      </c>
      <c r="E155" s="80">
        <v>1</v>
      </c>
      <c r="F155" s="81">
        <v>201371940</v>
      </c>
      <c r="G155" s="82">
        <v>5</v>
      </c>
      <c r="H155" s="101">
        <v>12</v>
      </c>
      <c r="I155" s="104" t="s">
        <v>1419</v>
      </c>
      <c r="J155" s="88">
        <f t="shared" si="6"/>
        <v>40274388</v>
      </c>
      <c r="K155" s="89">
        <f t="shared" si="7"/>
        <v>16780995</v>
      </c>
      <c r="L155" s="89">
        <f t="shared" si="8"/>
        <v>23493393</v>
      </c>
    </row>
    <row r="156" spans="1:12" ht="31.2" outlineLevel="1" x14ac:dyDescent="0.3">
      <c r="A156" s="85">
        <f>SUBTOTAL(3,$B$34:B156)</f>
        <v>123</v>
      </c>
      <c r="B156" s="86" t="s">
        <v>992</v>
      </c>
      <c r="C156" s="90" t="s">
        <v>557</v>
      </c>
      <c r="D156" s="87">
        <v>44927</v>
      </c>
      <c r="E156" s="80">
        <v>1</v>
      </c>
      <c r="F156" s="81">
        <v>421764609</v>
      </c>
      <c r="G156" s="82">
        <v>3</v>
      </c>
      <c r="H156" s="101">
        <v>12</v>
      </c>
      <c r="I156" s="104" t="s">
        <v>1419</v>
      </c>
      <c r="J156" s="88">
        <f t="shared" si="6"/>
        <v>140588203</v>
      </c>
      <c r="K156" s="89">
        <f t="shared" si="7"/>
        <v>35147050.75</v>
      </c>
      <c r="L156" s="89">
        <f t="shared" si="8"/>
        <v>105441152.25</v>
      </c>
    </row>
    <row r="157" spans="1:12" ht="31.2" outlineLevel="1" x14ac:dyDescent="0.3">
      <c r="A157" s="85">
        <f>SUBTOTAL(3,$B$34:B157)</f>
        <v>124</v>
      </c>
      <c r="B157" s="86" t="s">
        <v>993</v>
      </c>
      <c r="C157" s="90" t="s">
        <v>558</v>
      </c>
      <c r="D157" s="87">
        <v>44927</v>
      </c>
      <c r="E157" s="80">
        <v>1</v>
      </c>
      <c r="F157" s="81">
        <v>256760000</v>
      </c>
      <c r="G157" s="82">
        <v>3</v>
      </c>
      <c r="H157" s="101">
        <v>12</v>
      </c>
      <c r="I157" s="104" t="s">
        <v>1419</v>
      </c>
      <c r="J157" s="88">
        <f t="shared" si="6"/>
        <v>85586666.666666672</v>
      </c>
      <c r="K157" s="89">
        <f t="shared" si="7"/>
        <v>21396666.666666668</v>
      </c>
      <c r="L157" s="89">
        <f t="shared" si="8"/>
        <v>64190000</v>
      </c>
    </row>
    <row r="158" spans="1:12" ht="31.2" outlineLevel="1" x14ac:dyDescent="0.3">
      <c r="A158" s="85">
        <f>SUBTOTAL(3,$B$34:B158)</f>
        <v>125</v>
      </c>
      <c r="B158" s="86" t="s">
        <v>994</v>
      </c>
      <c r="C158" s="90" t="s">
        <v>559</v>
      </c>
      <c r="D158" s="87">
        <v>44927</v>
      </c>
      <c r="E158" s="80">
        <v>1</v>
      </c>
      <c r="F158" s="81">
        <v>559630200</v>
      </c>
      <c r="G158" s="82">
        <v>3</v>
      </c>
      <c r="H158" s="101">
        <v>12</v>
      </c>
      <c r="I158" s="104" t="s">
        <v>1419</v>
      </c>
      <c r="J158" s="88">
        <f t="shared" si="6"/>
        <v>186543400</v>
      </c>
      <c r="K158" s="89">
        <f t="shared" si="7"/>
        <v>46635850</v>
      </c>
      <c r="L158" s="89">
        <f t="shared" si="8"/>
        <v>139907550</v>
      </c>
    </row>
    <row r="159" spans="1:12" ht="15.6" outlineLevel="1" x14ac:dyDescent="0.3">
      <c r="A159" s="85">
        <f>SUBTOTAL(3,$B$34:B159)</f>
        <v>126</v>
      </c>
      <c r="B159" s="86" t="s">
        <v>995</v>
      </c>
      <c r="C159" s="90" t="s">
        <v>560</v>
      </c>
      <c r="D159" s="87">
        <v>44958</v>
      </c>
      <c r="E159" s="80">
        <v>1</v>
      </c>
      <c r="F159" s="81">
        <v>333889440</v>
      </c>
      <c r="G159" s="82">
        <v>5</v>
      </c>
      <c r="H159" s="101">
        <v>12</v>
      </c>
      <c r="I159" s="104" t="s">
        <v>1419</v>
      </c>
      <c r="J159" s="88">
        <f t="shared" si="6"/>
        <v>66777888</v>
      </c>
      <c r="K159" s="89">
        <f t="shared" si="7"/>
        <v>27824120</v>
      </c>
      <c r="L159" s="89">
        <f t="shared" si="8"/>
        <v>38953768</v>
      </c>
    </row>
    <row r="160" spans="1:12" ht="15.6" outlineLevel="1" x14ac:dyDescent="0.3">
      <c r="A160" s="85">
        <f>SUBTOTAL(3,$B$34:B160)</f>
        <v>127</v>
      </c>
      <c r="B160" s="86" t="s">
        <v>996</v>
      </c>
      <c r="C160" s="90" t="s">
        <v>561</v>
      </c>
      <c r="D160" s="87">
        <v>44958</v>
      </c>
      <c r="E160" s="80">
        <v>1</v>
      </c>
      <c r="F160" s="81">
        <v>101385900</v>
      </c>
      <c r="G160" s="82">
        <v>3</v>
      </c>
      <c r="H160" s="101">
        <v>12</v>
      </c>
      <c r="I160" s="104" t="s">
        <v>1419</v>
      </c>
      <c r="J160" s="88">
        <f t="shared" si="6"/>
        <v>33795300</v>
      </c>
      <c r="K160" s="89">
        <f t="shared" si="7"/>
        <v>8448825</v>
      </c>
      <c r="L160" s="89">
        <f t="shared" si="8"/>
        <v>25346475</v>
      </c>
    </row>
    <row r="161" spans="1:12" ht="15.6" outlineLevel="1" x14ac:dyDescent="0.3">
      <c r="A161" s="85">
        <f>SUBTOTAL(3,$B$34:B161)</f>
        <v>128</v>
      </c>
      <c r="B161" s="86" t="s">
        <v>997</v>
      </c>
      <c r="C161" s="90" t="s">
        <v>562</v>
      </c>
      <c r="D161" s="87">
        <v>44958</v>
      </c>
      <c r="E161" s="80">
        <v>1</v>
      </c>
      <c r="F161" s="81">
        <v>80735343</v>
      </c>
      <c r="G161" s="82">
        <v>3</v>
      </c>
      <c r="H161" s="101">
        <v>12</v>
      </c>
      <c r="I161" s="104" t="s">
        <v>1419</v>
      </c>
      <c r="J161" s="88">
        <f t="shared" si="6"/>
        <v>26911781</v>
      </c>
      <c r="K161" s="89">
        <f t="shared" si="7"/>
        <v>6727945.25</v>
      </c>
      <c r="L161" s="89">
        <f t="shared" si="8"/>
        <v>20183835.75</v>
      </c>
    </row>
    <row r="162" spans="1:12" ht="31.2" outlineLevel="1" x14ac:dyDescent="0.3">
      <c r="A162" s="85">
        <f>SUBTOTAL(3,$B$34:B162)</f>
        <v>129</v>
      </c>
      <c r="B162" s="86" t="s">
        <v>998</v>
      </c>
      <c r="C162" s="90" t="s">
        <v>563</v>
      </c>
      <c r="D162" s="87">
        <v>44958</v>
      </c>
      <c r="E162" s="80">
        <v>1</v>
      </c>
      <c r="F162" s="81">
        <v>481950726</v>
      </c>
      <c r="G162" s="82">
        <v>5</v>
      </c>
      <c r="H162" s="101">
        <v>12</v>
      </c>
      <c r="I162" s="104" t="s">
        <v>1419</v>
      </c>
      <c r="J162" s="88">
        <f t="shared" ref="J162:J225" si="9">F162/G162</f>
        <v>96390145.200000003</v>
      </c>
      <c r="K162" s="89">
        <f t="shared" ref="K162:K225" si="10">F162/H162</f>
        <v>40162560.5</v>
      </c>
      <c r="L162" s="89">
        <f t="shared" ref="L162:L227" si="11">J162-K162</f>
        <v>56227584.700000003</v>
      </c>
    </row>
    <row r="163" spans="1:12" ht="31.2" outlineLevel="1" x14ac:dyDescent="0.3">
      <c r="A163" s="85">
        <f>SUBTOTAL(3,$B$34:B163)</f>
        <v>130</v>
      </c>
      <c r="B163" s="86" t="s">
        <v>999</v>
      </c>
      <c r="C163" s="90" t="s">
        <v>564</v>
      </c>
      <c r="D163" s="87">
        <v>44986</v>
      </c>
      <c r="E163" s="80">
        <v>1</v>
      </c>
      <c r="F163" s="81">
        <v>90310000</v>
      </c>
      <c r="G163" s="82">
        <v>3</v>
      </c>
      <c r="H163" s="101">
        <v>12</v>
      </c>
      <c r="I163" s="104" t="s">
        <v>1419</v>
      </c>
      <c r="J163" s="88">
        <f t="shared" si="9"/>
        <v>30103333.333333332</v>
      </c>
      <c r="K163" s="89">
        <f t="shared" si="10"/>
        <v>7525833.333333333</v>
      </c>
      <c r="L163" s="89">
        <f t="shared" si="11"/>
        <v>22577500</v>
      </c>
    </row>
    <row r="164" spans="1:12" ht="15.6" outlineLevel="1" x14ac:dyDescent="0.3">
      <c r="A164" s="85">
        <f>SUBTOTAL(3,$B$34:B164)</f>
        <v>131</v>
      </c>
      <c r="B164" s="86" t="s">
        <v>1002</v>
      </c>
      <c r="C164" s="90" t="s">
        <v>565</v>
      </c>
      <c r="D164" s="87">
        <v>44986</v>
      </c>
      <c r="E164" s="80">
        <v>1</v>
      </c>
      <c r="F164" s="81">
        <v>107872588</v>
      </c>
      <c r="G164" s="82">
        <v>3</v>
      </c>
      <c r="H164" s="101">
        <v>12</v>
      </c>
      <c r="I164" s="104" t="s">
        <v>1419</v>
      </c>
      <c r="J164" s="88">
        <f t="shared" si="9"/>
        <v>35957529.333333336</v>
      </c>
      <c r="K164" s="89">
        <f t="shared" si="10"/>
        <v>8989382.333333334</v>
      </c>
      <c r="L164" s="89">
        <f t="shared" si="11"/>
        <v>26968147</v>
      </c>
    </row>
    <row r="165" spans="1:12" ht="31.2" outlineLevel="1" x14ac:dyDescent="0.3">
      <c r="A165" s="85">
        <f>SUBTOTAL(3,$B$34:B165)</f>
        <v>132</v>
      </c>
      <c r="B165" s="86" t="s">
        <v>1003</v>
      </c>
      <c r="C165" s="90" t="s">
        <v>566</v>
      </c>
      <c r="D165" s="87">
        <v>44986</v>
      </c>
      <c r="E165" s="80">
        <v>1</v>
      </c>
      <c r="F165" s="81">
        <v>1168004580</v>
      </c>
      <c r="G165" s="82">
        <v>5</v>
      </c>
      <c r="H165" s="101">
        <v>12</v>
      </c>
      <c r="I165" s="104" t="s">
        <v>1419</v>
      </c>
      <c r="J165" s="88">
        <f t="shared" si="9"/>
        <v>233600916</v>
      </c>
      <c r="K165" s="89">
        <f t="shared" si="10"/>
        <v>97333715</v>
      </c>
      <c r="L165" s="89">
        <f t="shared" si="11"/>
        <v>136267201</v>
      </c>
    </row>
    <row r="166" spans="1:12" ht="31.2" outlineLevel="1" x14ac:dyDescent="0.3">
      <c r="A166" s="85">
        <f>SUBTOTAL(3,$B$34:B166)</f>
        <v>133</v>
      </c>
      <c r="B166" s="86" t="s">
        <v>1004</v>
      </c>
      <c r="C166" s="90" t="s">
        <v>567</v>
      </c>
      <c r="D166" s="87">
        <v>44986</v>
      </c>
      <c r="E166" s="80">
        <v>1</v>
      </c>
      <c r="F166" s="81">
        <v>79900000</v>
      </c>
      <c r="G166" s="82">
        <v>3</v>
      </c>
      <c r="H166" s="101">
        <v>12</v>
      </c>
      <c r="I166" s="104" t="s">
        <v>1419</v>
      </c>
      <c r="J166" s="88">
        <f t="shared" si="9"/>
        <v>26633333.333333332</v>
      </c>
      <c r="K166" s="89">
        <f t="shared" si="10"/>
        <v>6658333.333333333</v>
      </c>
      <c r="L166" s="89">
        <f t="shared" si="11"/>
        <v>19975000</v>
      </c>
    </row>
    <row r="167" spans="1:12" ht="15.6" outlineLevel="1" x14ac:dyDescent="0.3">
      <c r="A167" s="85">
        <f>SUBTOTAL(3,$B$34:B167)</f>
        <v>134</v>
      </c>
      <c r="B167" s="86" t="s">
        <v>1005</v>
      </c>
      <c r="C167" s="90" t="s">
        <v>568</v>
      </c>
      <c r="D167" s="87">
        <v>44986</v>
      </c>
      <c r="E167" s="80">
        <v>1</v>
      </c>
      <c r="F167" s="81">
        <v>217500000</v>
      </c>
      <c r="G167" s="82">
        <v>3</v>
      </c>
      <c r="H167" s="101">
        <v>12</v>
      </c>
      <c r="I167" s="104" t="s">
        <v>1419</v>
      </c>
      <c r="J167" s="88">
        <f t="shared" si="9"/>
        <v>72500000</v>
      </c>
      <c r="K167" s="89">
        <f t="shared" si="10"/>
        <v>18125000</v>
      </c>
      <c r="L167" s="89">
        <f t="shared" si="11"/>
        <v>54375000</v>
      </c>
    </row>
    <row r="168" spans="1:12" ht="15.6" outlineLevel="1" x14ac:dyDescent="0.3">
      <c r="A168" s="85">
        <f>SUBTOTAL(3,$B$34:B168)</f>
        <v>135</v>
      </c>
      <c r="B168" s="86" t="s">
        <v>1006</v>
      </c>
      <c r="C168" s="90" t="s">
        <v>569</v>
      </c>
      <c r="D168" s="87">
        <v>45536</v>
      </c>
      <c r="E168" s="80">
        <v>1</v>
      </c>
      <c r="F168" s="81">
        <v>54950000</v>
      </c>
      <c r="G168" s="82">
        <v>3</v>
      </c>
      <c r="H168" s="101">
        <v>12</v>
      </c>
      <c r="I168" s="104" t="s">
        <v>1419</v>
      </c>
      <c r="J168" s="88">
        <f t="shared" si="9"/>
        <v>18316666.666666668</v>
      </c>
      <c r="K168" s="89">
        <f t="shared" si="10"/>
        <v>4579166.666666667</v>
      </c>
      <c r="L168" s="89">
        <f t="shared" si="11"/>
        <v>13737500</v>
      </c>
    </row>
    <row r="169" spans="1:12" ht="31.2" outlineLevel="1" x14ac:dyDescent="0.3">
      <c r="A169" s="85">
        <f>SUBTOTAL(3,$B$34:B169)</f>
        <v>136</v>
      </c>
      <c r="B169" s="86" t="s">
        <v>1007</v>
      </c>
      <c r="C169" s="90" t="s">
        <v>570</v>
      </c>
      <c r="D169" s="87">
        <v>45536</v>
      </c>
      <c r="E169" s="80">
        <v>1</v>
      </c>
      <c r="F169" s="81">
        <v>50000000</v>
      </c>
      <c r="G169" s="82">
        <v>3</v>
      </c>
      <c r="H169" s="101">
        <v>12</v>
      </c>
      <c r="I169" s="104" t="s">
        <v>1419</v>
      </c>
      <c r="J169" s="88">
        <f t="shared" si="9"/>
        <v>16666666.666666666</v>
      </c>
      <c r="K169" s="89">
        <f t="shared" si="10"/>
        <v>4166666.6666666665</v>
      </c>
      <c r="L169" s="89">
        <f t="shared" si="11"/>
        <v>12500000</v>
      </c>
    </row>
    <row r="170" spans="1:12" ht="31.2" outlineLevel="1" x14ac:dyDescent="0.3">
      <c r="A170" s="85">
        <f>SUBTOTAL(3,$B$34:B170)</f>
        <v>137</v>
      </c>
      <c r="B170" s="86" t="s">
        <v>1008</v>
      </c>
      <c r="C170" s="90" t="s">
        <v>571</v>
      </c>
      <c r="D170" s="87">
        <v>45383</v>
      </c>
      <c r="E170" s="80">
        <v>1</v>
      </c>
      <c r="F170" s="81">
        <v>1500556886</v>
      </c>
      <c r="G170" s="82">
        <v>5</v>
      </c>
      <c r="H170" s="101">
        <v>12</v>
      </c>
      <c r="I170" s="104" t="s">
        <v>1419</v>
      </c>
      <c r="J170" s="88">
        <f t="shared" si="9"/>
        <v>300111377.19999999</v>
      </c>
      <c r="K170" s="89">
        <f t="shared" si="10"/>
        <v>125046407.16666667</v>
      </c>
      <c r="L170" s="89">
        <f t="shared" si="11"/>
        <v>175064970.0333333</v>
      </c>
    </row>
    <row r="171" spans="1:12" ht="31.2" outlineLevel="1" x14ac:dyDescent="0.3">
      <c r="A171" s="85">
        <f>SUBTOTAL(3,$B$34:B171)</f>
        <v>138</v>
      </c>
      <c r="B171" s="86" t="s">
        <v>1009</v>
      </c>
      <c r="C171" s="90" t="s">
        <v>572</v>
      </c>
      <c r="D171" s="87">
        <v>45597</v>
      </c>
      <c r="E171" s="80">
        <v>1</v>
      </c>
      <c r="F171" s="81">
        <v>694401330</v>
      </c>
      <c r="G171" s="82">
        <v>5</v>
      </c>
      <c r="H171" s="101">
        <v>12</v>
      </c>
      <c r="I171" s="104" t="s">
        <v>1419</v>
      </c>
      <c r="J171" s="88">
        <f t="shared" si="9"/>
        <v>138880266</v>
      </c>
      <c r="K171" s="89">
        <f t="shared" si="10"/>
        <v>57866777.5</v>
      </c>
      <c r="L171" s="89">
        <f t="shared" si="11"/>
        <v>81013488.5</v>
      </c>
    </row>
    <row r="172" spans="1:12" ht="31.2" outlineLevel="1" x14ac:dyDescent="0.3">
      <c r="A172" s="85">
        <f>SUBTOTAL(3,$B$34:B172)</f>
        <v>139</v>
      </c>
      <c r="B172" s="86" t="s">
        <v>1010</v>
      </c>
      <c r="C172" s="90" t="s">
        <v>573</v>
      </c>
      <c r="D172" s="87">
        <v>45474</v>
      </c>
      <c r="E172" s="80">
        <v>1</v>
      </c>
      <c r="F172" s="81">
        <v>400000000</v>
      </c>
      <c r="G172" s="82">
        <v>5</v>
      </c>
      <c r="H172" s="101">
        <v>12</v>
      </c>
      <c r="I172" s="104" t="s">
        <v>1419</v>
      </c>
      <c r="J172" s="88">
        <f t="shared" si="9"/>
        <v>80000000</v>
      </c>
      <c r="K172" s="89">
        <f t="shared" si="10"/>
        <v>33333333.333333332</v>
      </c>
      <c r="L172" s="89">
        <f t="shared" si="11"/>
        <v>46666666.666666672</v>
      </c>
    </row>
    <row r="173" spans="1:12" ht="31.2" outlineLevel="1" x14ac:dyDescent="0.3">
      <c r="A173" s="85">
        <f>SUBTOTAL(3,$B$34:B173)</f>
        <v>140</v>
      </c>
      <c r="B173" s="86" t="s">
        <v>1011</v>
      </c>
      <c r="C173" s="90" t="s">
        <v>574</v>
      </c>
      <c r="D173" s="87">
        <v>45658</v>
      </c>
      <c r="E173" s="80">
        <v>1</v>
      </c>
      <c r="F173" s="81">
        <v>95060000</v>
      </c>
      <c r="G173" s="82">
        <v>5</v>
      </c>
      <c r="H173" s="101">
        <v>12</v>
      </c>
      <c r="I173" s="104" t="s">
        <v>1419</v>
      </c>
      <c r="J173" s="88">
        <f t="shared" si="9"/>
        <v>19012000</v>
      </c>
      <c r="K173" s="89">
        <f t="shared" si="10"/>
        <v>7921666.666666667</v>
      </c>
      <c r="L173" s="89">
        <f t="shared" si="11"/>
        <v>11090333.333333332</v>
      </c>
    </row>
    <row r="174" spans="1:12" ht="31.2" outlineLevel="1" x14ac:dyDescent="0.3">
      <c r="A174" s="85">
        <f>SUBTOTAL(3,$B$34:B174)</f>
        <v>141</v>
      </c>
      <c r="B174" s="86" t="s">
        <v>1012</v>
      </c>
      <c r="C174" s="90" t="s">
        <v>575</v>
      </c>
      <c r="D174" s="87">
        <v>45658</v>
      </c>
      <c r="E174" s="80">
        <v>1</v>
      </c>
      <c r="F174" s="81">
        <v>89240000</v>
      </c>
      <c r="G174" s="82">
        <v>5</v>
      </c>
      <c r="H174" s="101">
        <v>12</v>
      </c>
      <c r="I174" s="104" t="s">
        <v>1419</v>
      </c>
      <c r="J174" s="88">
        <f t="shared" si="9"/>
        <v>17848000</v>
      </c>
      <c r="K174" s="89">
        <f t="shared" si="10"/>
        <v>7436666.666666667</v>
      </c>
      <c r="L174" s="89">
        <f t="shared" si="11"/>
        <v>10411333.333333332</v>
      </c>
    </row>
    <row r="175" spans="1:12" ht="31.2" outlineLevel="1" x14ac:dyDescent="0.3">
      <c r="A175" s="85">
        <f>SUBTOTAL(3,$B$34:B175)</f>
        <v>142</v>
      </c>
      <c r="B175" s="86" t="s">
        <v>1013</v>
      </c>
      <c r="C175" s="90" t="s">
        <v>576</v>
      </c>
      <c r="D175" s="87">
        <v>45658</v>
      </c>
      <c r="E175" s="80">
        <v>1</v>
      </c>
      <c r="F175" s="81">
        <v>89240000</v>
      </c>
      <c r="G175" s="82">
        <v>5</v>
      </c>
      <c r="H175" s="101">
        <v>12</v>
      </c>
      <c r="I175" s="104" t="s">
        <v>1419</v>
      </c>
      <c r="J175" s="88">
        <f t="shared" si="9"/>
        <v>17848000</v>
      </c>
      <c r="K175" s="89">
        <f t="shared" si="10"/>
        <v>7436666.666666667</v>
      </c>
      <c r="L175" s="89">
        <f t="shared" si="11"/>
        <v>10411333.333333332</v>
      </c>
    </row>
    <row r="176" spans="1:12" ht="31.2" outlineLevel="1" x14ac:dyDescent="0.3">
      <c r="A176" s="85">
        <f>SUBTOTAL(3,$B$34:B176)</f>
        <v>143</v>
      </c>
      <c r="B176" s="86" t="s">
        <v>1014</v>
      </c>
      <c r="C176" s="90" t="s">
        <v>577</v>
      </c>
      <c r="D176" s="87">
        <v>45658</v>
      </c>
      <c r="E176" s="80">
        <v>1</v>
      </c>
      <c r="F176" s="81">
        <v>89240000</v>
      </c>
      <c r="G176" s="82">
        <v>5</v>
      </c>
      <c r="H176" s="101">
        <v>12</v>
      </c>
      <c r="I176" s="104" t="s">
        <v>1419</v>
      </c>
      <c r="J176" s="88">
        <f t="shared" si="9"/>
        <v>17848000</v>
      </c>
      <c r="K176" s="89">
        <f t="shared" si="10"/>
        <v>7436666.666666667</v>
      </c>
      <c r="L176" s="89">
        <f t="shared" si="11"/>
        <v>10411333.333333332</v>
      </c>
    </row>
    <row r="177" spans="1:12" ht="31.2" outlineLevel="1" x14ac:dyDescent="0.3">
      <c r="A177" s="85">
        <f>SUBTOTAL(3,$B$34:B177)</f>
        <v>144</v>
      </c>
      <c r="B177" s="86" t="s">
        <v>1015</v>
      </c>
      <c r="C177" s="90" t="s">
        <v>578</v>
      </c>
      <c r="D177" s="87">
        <v>45658</v>
      </c>
      <c r="E177" s="80">
        <v>1</v>
      </c>
      <c r="F177" s="81">
        <v>87300000</v>
      </c>
      <c r="G177" s="82">
        <v>5</v>
      </c>
      <c r="H177" s="101">
        <v>12</v>
      </c>
      <c r="I177" s="104" t="s">
        <v>1419</v>
      </c>
      <c r="J177" s="88">
        <f t="shared" si="9"/>
        <v>17460000</v>
      </c>
      <c r="K177" s="89">
        <f t="shared" si="10"/>
        <v>7275000</v>
      </c>
      <c r="L177" s="89">
        <f t="shared" si="11"/>
        <v>10185000</v>
      </c>
    </row>
    <row r="178" spans="1:12" ht="31.2" outlineLevel="1" x14ac:dyDescent="0.3">
      <c r="A178" s="85">
        <f>SUBTOTAL(3,$B$34:B178)</f>
        <v>145</v>
      </c>
      <c r="B178" s="86" t="s">
        <v>1016</v>
      </c>
      <c r="C178" s="90" t="s">
        <v>579</v>
      </c>
      <c r="D178" s="87">
        <v>45505</v>
      </c>
      <c r="E178" s="80">
        <v>1</v>
      </c>
      <c r="F178" s="81">
        <v>1256000000</v>
      </c>
      <c r="G178" s="82">
        <v>5</v>
      </c>
      <c r="H178" s="101">
        <v>12</v>
      </c>
      <c r="I178" s="104" t="s">
        <v>1419</v>
      </c>
      <c r="J178" s="88">
        <f t="shared" si="9"/>
        <v>251200000</v>
      </c>
      <c r="K178" s="89">
        <f t="shared" si="10"/>
        <v>104666666.66666667</v>
      </c>
      <c r="L178" s="89">
        <f t="shared" si="11"/>
        <v>146533333.33333331</v>
      </c>
    </row>
    <row r="179" spans="1:12" ht="15.6" outlineLevel="1" x14ac:dyDescent="0.3">
      <c r="A179" s="85">
        <f>SUBTOTAL(3,$B$34:B179)</f>
        <v>146</v>
      </c>
      <c r="B179" s="86" t="s">
        <v>1017</v>
      </c>
      <c r="C179" s="90" t="s">
        <v>580</v>
      </c>
      <c r="D179" s="87">
        <v>45627</v>
      </c>
      <c r="E179" s="80">
        <v>1</v>
      </c>
      <c r="F179" s="81">
        <v>170000000</v>
      </c>
      <c r="G179" s="82">
        <v>3</v>
      </c>
      <c r="H179" s="101">
        <v>12</v>
      </c>
      <c r="I179" s="104" t="s">
        <v>1419</v>
      </c>
      <c r="J179" s="88">
        <f t="shared" si="9"/>
        <v>56666666.666666664</v>
      </c>
      <c r="K179" s="89">
        <f t="shared" si="10"/>
        <v>14166666.666666666</v>
      </c>
      <c r="L179" s="89">
        <f t="shared" si="11"/>
        <v>42500000</v>
      </c>
    </row>
    <row r="180" spans="1:12" ht="31.2" outlineLevel="1" x14ac:dyDescent="0.3">
      <c r="A180" s="85">
        <f>SUBTOTAL(3,$B$34:B180)</f>
        <v>147</v>
      </c>
      <c r="B180" s="86" t="s">
        <v>1018</v>
      </c>
      <c r="C180" s="90" t="s">
        <v>581</v>
      </c>
      <c r="D180" s="87">
        <v>45658</v>
      </c>
      <c r="E180" s="80">
        <v>1</v>
      </c>
      <c r="F180" s="81">
        <v>765000000</v>
      </c>
      <c r="G180" s="82">
        <v>3</v>
      </c>
      <c r="H180" s="101">
        <v>12</v>
      </c>
      <c r="I180" s="104" t="s">
        <v>1419</v>
      </c>
      <c r="J180" s="88">
        <f t="shared" si="9"/>
        <v>255000000</v>
      </c>
      <c r="K180" s="89">
        <f t="shared" si="10"/>
        <v>63750000</v>
      </c>
      <c r="L180" s="89">
        <f t="shared" si="11"/>
        <v>191250000</v>
      </c>
    </row>
    <row r="181" spans="1:12" ht="31.2" outlineLevel="1" x14ac:dyDescent="0.3">
      <c r="A181" s="85">
        <f>SUBTOTAL(3,$B$34:B181)</f>
        <v>148</v>
      </c>
      <c r="B181" s="86" t="s">
        <v>1019</v>
      </c>
      <c r="C181" s="90" t="s">
        <v>582</v>
      </c>
      <c r="D181" s="87">
        <v>45748</v>
      </c>
      <c r="E181" s="80">
        <v>2</v>
      </c>
      <c r="F181" s="81">
        <v>118000000</v>
      </c>
      <c r="G181" s="82">
        <v>3</v>
      </c>
      <c r="H181" s="101">
        <v>12</v>
      </c>
      <c r="I181" s="104" t="s">
        <v>1419</v>
      </c>
      <c r="J181" s="88">
        <f t="shared" si="9"/>
        <v>39333333.333333336</v>
      </c>
      <c r="K181" s="89">
        <f t="shared" si="10"/>
        <v>9833333.333333334</v>
      </c>
      <c r="L181" s="89">
        <f t="shared" si="11"/>
        <v>29500000</v>
      </c>
    </row>
    <row r="182" spans="1:12" ht="31.2" outlineLevel="1" x14ac:dyDescent="0.3">
      <c r="A182" s="85">
        <f>SUBTOTAL(3,$B$34:B182)</f>
        <v>149</v>
      </c>
      <c r="B182" s="86" t="s">
        <v>1020</v>
      </c>
      <c r="C182" s="90" t="s">
        <v>583</v>
      </c>
      <c r="D182" s="87">
        <v>45748</v>
      </c>
      <c r="E182" s="80">
        <v>2</v>
      </c>
      <c r="F182" s="81">
        <v>118000000</v>
      </c>
      <c r="G182" s="82">
        <v>3</v>
      </c>
      <c r="H182" s="101">
        <v>12</v>
      </c>
      <c r="I182" s="104" t="s">
        <v>1419</v>
      </c>
      <c r="J182" s="88">
        <f t="shared" si="9"/>
        <v>39333333.333333336</v>
      </c>
      <c r="K182" s="89">
        <f t="shared" si="10"/>
        <v>9833333.333333334</v>
      </c>
      <c r="L182" s="89">
        <f t="shared" si="11"/>
        <v>29500000</v>
      </c>
    </row>
    <row r="183" spans="1:12" ht="15.6" outlineLevel="1" x14ac:dyDescent="0.3">
      <c r="A183" s="85">
        <f>SUBTOTAL(3,$B$34:B183)</f>
        <v>150</v>
      </c>
      <c r="B183" s="86" t="s">
        <v>1023</v>
      </c>
      <c r="C183" s="90" t="s">
        <v>586</v>
      </c>
      <c r="D183" s="87">
        <v>45717</v>
      </c>
      <c r="E183" s="80">
        <v>1</v>
      </c>
      <c r="F183" s="81">
        <v>1590298692</v>
      </c>
      <c r="G183" s="82">
        <v>5</v>
      </c>
      <c r="H183" s="101">
        <v>12</v>
      </c>
      <c r="I183" s="104" t="s">
        <v>1419</v>
      </c>
      <c r="J183" s="88">
        <f t="shared" si="9"/>
        <v>318059738.39999998</v>
      </c>
      <c r="K183" s="89">
        <f t="shared" si="10"/>
        <v>132524891</v>
      </c>
      <c r="L183" s="89">
        <f t="shared" si="11"/>
        <v>185534847.39999998</v>
      </c>
    </row>
    <row r="184" spans="1:12" ht="31.2" outlineLevel="1" x14ac:dyDescent="0.3">
      <c r="A184" s="85">
        <f>SUBTOTAL(3,$B$34:B184)</f>
        <v>151</v>
      </c>
      <c r="B184" s="86" t="s">
        <v>1024</v>
      </c>
      <c r="C184" s="90" t="s">
        <v>587</v>
      </c>
      <c r="D184" s="87">
        <v>45717</v>
      </c>
      <c r="E184" s="80">
        <v>1</v>
      </c>
      <c r="F184" s="81">
        <v>504861258</v>
      </c>
      <c r="G184" s="82">
        <v>3</v>
      </c>
      <c r="H184" s="101">
        <v>12</v>
      </c>
      <c r="I184" s="104" t="s">
        <v>1419</v>
      </c>
      <c r="J184" s="88">
        <f t="shared" si="9"/>
        <v>168287086</v>
      </c>
      <c r="K184" s="89">
        <f t="shared" si="10"/>
        <v>42071771.5</v>
      </c>
      <c r="L184" s="89">
        <f t="shared" si="11"/>
        <v>126215314.5</v>
      </c>
    </row>
    <row r="185" spans="1:12" ht="31.2" outlineLevel="1" x14ac:dyDescent="0.3">
      <c r="A185" s="85">
        <f>SUBTOTAL(3,$B$34:B185)</f>
        <v>152</v>
      </c>
      <c r="B185" s="86" t="s">
        <v>1025</v>
      </c>
      <c r="C185" s="90" t="s">
        <v>588</v>
      </c>
      <c r="D185" s="87">
        <v>45717</v>
      </c>
      <c r="E185" s="80">
        <v>1</v>
      </c>
      <c r="F185" s="81">
        <v>500738186</v>
      </c>
      <c r="G185" s="82">
        <v>3</v>
      </c>
      <c r="H185" s="101">
        <v>12</v>
      </c>
      <c r="I185" s="104" t="s">
        <v>1419</v>
      </c>
      <c r="J185" s="88">
        <f t="shared" si="9"/>
        <v>166912728.66666666</v>
      </c>
      <c r="K185" s="89">
        <f t="shared" si="10"/>
        <v>41728182.166666664</v>
      </c>
      <c r="L185" s="89">
        <f t="shared" si="11"/>
        <v>125184546.5</v>
      </c>
    </row>
    <row r="186" spans="1:12" ht="31.2" outlineLevel="1" x14ac:dyDescent="0.3">
      <c r="A186" s="85">
        <f>SUBTOTAL(3,$B$34:B186)</f>
        <v>153</v>
      </c>
      <c r="B186" s="86" t="s">
        <v>1026</v>
      </c>
      <c r="C186" s="90" t="s">
        <v>589</v>
      </c>
      <c r="D186" s="87">
        <v>45717</v>
      </c>
      <c r="E186" s="80">
        <v>1</v>
      </c>
      <c r="F186" s="81">
        <v>465893129</v>
      </c>
      <c r="G186" s="82">
        <v>3</v>
      </c>
      <c r="H186" s="101">
        <v>12</v>
      </c>
      <c r="I186" s="104" t="s">
        <v>1419</v>
      </c>
      <c r="J186" s="88">
        <f t="shared" si="9"/>
        <v>155297709.66666666</v>
      </c>
      <c r="K186" s="89">
        <f t="shared" si="10"/>
        <v>38824427.416666664</v>
      </c>
      <c r="L186" s="89">
        <f t="shared" si="11"/>
        <v>116473282.25</v>
      </c>
    </row>
    <row r="187" spans="1:12" ht="31.2" outlineLevel="1" x14ac:dyDescent="0.3">
      <c r="A187" s="85">
        <f>SUBTOTAL(3,$B$34:B187)</f>
        <v>154</v>
      </c>
      <c r="B187" s="86" t="s">
        <v>1027</v>
      </c>
      <c r="C187" s="90" t="s">
        <v>590</v>
      </c>
      <c r="D187" s="87">
        <v>45717</v>
      </c>
      <c r="E187" s="80">
        <v>1</v>
      </c>
      <c r="F187" s="81">
        <v>449488186</v>
      </c>
      <c r="G187" s="82">
        <v>3</v>
      </c>
      <c r="H187" s="101">
        <v>12</v>
      </c>
      <c r="I187" s="104" t="s">
        <v>1419</v>
      </c>
      <c r="J187" s="88">
        <f t="shared" si="9"/>
        <v>149829395.33333334</v>
      </c>
      <c r="K187" s="89">
        <f t="shared" si="10"/>
        <v>37457348.833333336</v>
      </c>
      <c r="L187" s="89">
        <f t="shared" si="11"/>
        <v>112372046.5</v>
      </c>
    </row>
    <row r="188" spans="1:12" ht="15.6" outlineLevel="1" x14ac:dyDescent="0.3">
      <c r="A188" s="85">
        <f>SUBTOTAL(3,$B$34:B188)</f>
        <v>155</v>
      </c>
      <c r="B188" s="86" t="s">
        <v>1028</v>
      </c>
      <c r="C188" s="90" t="s">
        <v>591</v>
      </c>
      <c r="D188" s="87">
        <v>45717</v>
      </c>
      <c r="E188" s="80">
        <v>1</v>
      </c>
      <c r="F188" s="81">
        <v>1060199128</v>
      </c>
      <c r="G188" s="82">
        <v>5</v>
      </c>
      <c r="H188" s="101">
        <v>12</v>
      </c>
      <c r="I188" s="104" t="s">
        <v>1419</v>
      </c>
      <c r="J188" s="88">
        <f t="shared" si="9"/>
        <v>212039825.59999999</v>
      </c>
      <c r="K188" s="89">
        <f t="shared" si="10"/>
        <v>88349927.333333328</v>
      </c>
      <c r="L188" s="89">
        <f t="shared" si="11"/>
        <v>123689898.26666667</v>
      </c>
    </row>
    <row r="189" spans="1:12" ht="31.2" outlineLevel="1" x14ac:dyDescent="0.3">
      <c r="A189" s="85">
        <f>SUBTOTAL(3,$B$34:B189)</f>
        <v>156</v>
      </c>
      <c r="B189" s="86" t="s">
        <v>1029</v>
      </c>
      <c r="C189" s="90" t="s">
        <v>592</v>
      </c>
      <c r="D189" s="87">
        <v>45717</v>
      </c>
      <c r="E189" s="80">
        <v>1</v>
      </c>
      <c r="F189" s="81">
        <v>448738186</v>
      </c>
      <c r="G189" s="82">
        <v>3</v>
      </c>
      <c r="H189" s="101">
        <v>12</v>
      </c>
      <c r="I189" s="104" t="s">
        <v>1419</v>
      </c>
      <c r="J189" s="88">
        <f t="shared" si="9"/>
        <v>149579395.33333334</v>
      </c>
      <c r="K189" s="89">
        <f t="shared" si="10"/>
        <v>37394848.833333336</v>
      </c>
      <c r="L189" s="89">
        <f t="shared" si="11"/>
        <v>112184546.5</v>
      </c>
    </row>
    <row r="190" spans="1:12" ht="15.6" outlineLevel="1" x14ac:dyDescent="0.3">
      <c r="A190" s="85">
        <f>SUBTOTAL(3,$B$34:B190)</f>
        <v>157</v>
      </c>
      <c r="B190" s="86" t="s">
        <v>1030</v>
      </c>
      <c r="C190" s="90" t="s">
        <v>593</v>
      </c>
      <c r="D190" s="87">
        <v>45717</v>
      </c>
      <c r="E190" s="80">
        <v>1</v>
      </c>
      <c r="F190" s="81">
        <v>127088350</v>
      </c>
      <c r="G190" s="82">
        <v>3</v>
      </c>
      <c r="H190" s="101">
        <v>12</v>
      </c>
      <c r="I190" s="104" t="s">
        <v>1419</v>
      </c>
      <c r="J190" s="88">
        <f t="shared" si="9"/>
        <v>42362783.333333336</v>
      </c>
      <c r="K190" s="89">
        <f t="shared" si="10"/>
        <v>10590695.833333334</v>
      </c>
      <c r="L190" s="89">
        <f t="shared" si="11"/>
        <v>31772087.5</v>
      </c>
    </row>
    <row r="191" spans="1:12" ht="15.6" outlineLevel="1" x14ac:dyDescent="0.3">
      <c r="A191" s="85">
        <f>SUBTOTAL(3,$B$34:B191)</f>
        <v>158</v>
      </c>
      <c r="B191" s="86" t="s">
        <v>1031</v>
      </c>
      <c r="C191" s="90" t="s">
        <v>594</v>
      </c>
      <c r="D191" s="87">
        <v>45748</v>
      </c>
      <c r="E191" s="80">
        <v>1</v>
      </c>
      <c r="F191" s="81">
        <v>280305107</v>
      </c>
      <c r="G191" s="82">
        <v>3</v>
      </c>
      <c r="H191" s="101">
        <v>12</v>
      </c>
      <c r="I191" s="104" t="s">
        <v>1419</v>
      </c>
      <c r="J191" s="88">
        <f t="shared" si="9"/>
        <v>93435035.666666672</v>
      </c>
      <c r="K191" s="89">
        <f t="shared" si="10"/>
        <v>23358758.916666668</v>
      </c>
      <c r="L191" s="89">
        <f t="shared" si="11"/>
        <v>70076276.75</v>
      </c>
    </row>
    <row r="192" spans="1:12" ht="15.6" outlineLevel="1" x14ac:dyDescent="0.3">
      <c r="A192" s="85">
        <f>SUBTOTAL(3,$B$34:B192)</f>
        <v>159</v>
      </c>
      <c r="B192" s="86" t="s">
        <v>1032</v>
      </c>
      <c r="C192" s="90" t="s">
        <v>595</v>
      </c>
      <c r="D192" s="87">
        <v>45748</v>
      </c>
      <c r="E192" s="80">
        <v>1</v>
      </c>
      <c r="F192" s="81">
        <v>258604309</v>
      </c>
      <c r="G192" s="82">
        <v>3</v>
      </c>
      <c r="H192" s="101">
        <v>12</v>
      </c>
      <c r="I192" s="104" t="s">
        <v>1419</v>
      </c>
      <c r="J192" s="88">
        <f t="shared" si="9"/>
        <v>86201436.333333328</v>
      </c>
      <c r="K192" s="89">
        <f t="shared" si="10"/>
        <v>21550359.083333332</v>
      </c>
      <c r="L192" s="89">
        <f t="shared" si="11"/>
        <v>64651077.25</v>
      </c>
    </row>
    <row r="193" spans="1:12" ht="15.6" outlineLevel="1" x14ac:dyDescent="0.3">
      <c r="A193" s="85">
        <f>SUBTOTAL(3,$B$34:B193)</f>
        <v>160</v>
      </c>
      <c r="B193" s="86" t="s">
        <v>1033</v>
      </c>
      <c r="C193" s="90" t="s">
        <v>596</v>
      </c>
      <c r="D193" s="87">
        <v>45748</v>
      </c>
      <c r="E193" s="80">
        <v>1</v>
      </c>
      <c r="F193" s="81">
        <v>258604309</v>
      </c>
      <c r="G193" s="82">
        <v>3</v>
      </c>
      <c r="H193" s="101">
        <v>12</v>
      </c>
      <c r="I193" s="104" t="s">
        <v>1419</v>
      </c>
      <c r="J193" s="88">
        <f t="shared" si="9"/>
        <v>86201436.333333328</v>
      </c>
      <c r="K193" s="89">
        <f t="shared" si="10"/>
        <v>21550359.083333332</v>
      </c>
      <c r="L193" s="89">
        <f t="shared" si="11"/>
        <v>64651077.25</v>
      </c>
    </row>
    <row r="194" spans="1:12" ht="15.6" outlineLevel="1" x14ac:dyDescent="0.3">
      <c r="A194" s="85">
        <f>SUBTOTAL(3,$B$34:B194)</f>
        <v>161</v>
      </c>
      <c r="B194" s="86" t="s">
        <v>1034</v>
      </c>
      <c r="C194" s="90" t="s">
        <v>597</v>
      </c>
      <c r="D194" s="87">
        <v>45748</v>
      </c>
      <c r="E194" s="80">
        <v>1</v>
      </c>
      <c r="F194" s="81">
        <v>258604309</v>
      </c>
      <c r="G194" s="82">
        <v>3</v>
      </c>
      <c r="H194" s="101">
        <v>12</v>
      </c>
      <c r="I194" s="104" t="s">
        <v>1419</v>
      </c>
      <c r="J194" s="88">
        <f t="shared" si="9"/>
        <v>86201436.333333328</v>
      </c>
      <c r="K194" s="89">
        <f t="shared" si="10"/>
        <v>21550359.083333332</v>
      </c>
      <c r="L194" s="89">
        <f t="shared" si="11"/>
        <v>64651077.25</v>
      </c>
    </row>
    <row r="195" spans="1:12" ht="15.6" outlineLevel="1" x14ac:dyDescent="0.3">
      <c r="A195" s="85">
        <f>SUBTOTAL(3,$B$34:B195)</f>
        <v>162</v>
      </c>
      <c r="B195" s="86" t="s">
        <v>1035</v>
      </c>
      <c r="C195" s="90" t="s">
        <v>598</v>
      </c>
      <c r="D195" s="87">
        <v>45748</v>
      </c>
      <c r="E195" s="80">
        <v>1</v>
      </c>
      <c r="F195" s="81">
        <v>258604309</v>
      </c>
      <c r="G195" s="82">
        <v>3</v>
      </c>
      <c r="H195" s="101">
        <v>12</v>
      </c>
      <c r="I195" s="104" t="s">
        <v>1419</v>
      </c>
      <c r="J195" s="88">
        <f t="shared" si="9"/>
        <v>86201436.333333328</v>
      </c>
      <c r="K195" s="89">
        <f t="shared" si="10"/>
        <v>21550359.083333332</v>
      </c>
      <c r="L195" s="89">
        <f t="shared" si="11"/>
        <v>64651077.25</v>
      </c>
    </row>
    <row r="196" spans="1:12" ht="15.6" outlineLevel="1" x14ac:dyDescent="0.3">
      <c r="A196" s="85">
        <f>SUBTOTAL(3,$B$34:B196)</f>
        <v>163</v>
      </c>
      <c r="B196" s="86" t="s">
        <v>1037</v>
      </c>
      <c r="C196" s="90" t="s">
        <v>600</v>
      </c>
      <c r="D196" s="87">
        <v>45778</v>
      </c>
      <c r="E196" s="80">
        <v>1</v>
      </c>
      <c r="F196" s="81">
        <v>258957539</v>
      </c>
      <c r="G196" s="82">
        <v>5</v>
      </c>
      <c r="H196" s="101">
        <v>12</v>
      </c>
      <c r="I196" s="104" t="s">
        <v>1419</v>
      </c>
      <c r="J196" s="88">
        <f t="shared" si="9"/>
        <v>51791507.799999997</v>
      </c>
      <c r="K196" s="89">
        <f t="shared" si="10"/>
        <v>21579794.916666668</v>
      </c>
      <c r="L196" s="89">
        <f t="shared" si="11"/>
        <v>30211712.883333329</v>
      </c>
    </row>
    <row r="197" spans="1:12" ht="31.2" outlineLevel="1" x14ac:dyDescent="0.3">
      <c r="A197" s="85">
        <f>SUBTOTAL(3,$B$34:B197)</f>
        <v>164</v>
      </c>
      <c r="B197" s="86" t="s">
        <v>1038</v>
      </c>
      <c r="C197" s="90" t="s">
        <v>601</v>
      </c>
      <c r="D197" s="87">
        <v>45778</v>
      </c>
      <c r="E197" s="80">
        <v>1</v>
      </c>
      <c r="F197" s="81">
        <v>129302154</v>
      </c>
      <c r="G197" s="82">
        <v>5</v>
      </c>
      <c r="H197" s="101">
        <v>12</v>
      </c>
      <c r="I197" s="104" t="s">
        <v>1419</v>
      </c>
      <c r="J197" s="88">
        <f t="shared" si="9"/>
        <v>25860430.800000001</v>
      </c>
      <c r="K197" s="89">
        <f t="shared" si="10"/>
        <v>10775179.5</v>
      </c>
      <c r="L197" s="89">
        <f t="shared" si="11"/>
        <v>15085251.300000001</v>
      </c>
    </row>
    <row r="198" spans="1:12" ht="31.2" outlineLevel="1" x14ac:dyDescent="0.3">
      <c r="A198" s="85">
        <f>SUBTOTAL(3,$B$34:B198)</f>
        <v>165</v>
      </c>
      <c r="B198" s="86" t="s">
        <v>1039</v>
      </c>
      <c r="C198" s="90" t="s">
        <v>602</v>
      </c>
      <c r="D198" s="87">
        <v>45778</v>
      </c>
      <c r="E198" s="80">
        <v>1</v>
      </c>
      <c r="F198" s="81">
        <v>129302155</v>
      </c>
      <c r="G198" s="82">
        <v>5</v>
      </c>
      <c r="H198" s="101">
        <v>12</v>
      </c>
      <c r="I198" s="104" t="s">
        <v>1419</v>
      </c>
      <c r="J198" s="88">
        <f t="shared" si="9"/>
        <v>25860431</v>
      </c>
      <c r="K198" s="89">
        <f t="shared" si="10"/>
        <v>10775179.583333334</v>
      </c>
      <c r="L198" s="89">
        <f t="shared" si="11"/>
        <v>15085251.416666666</v>
      </c>
    </row>
    <row r="199" spans="1:12" ht="31.2" outlineLevel="1" x14ac:dyDescent="0.3">
      <c r="A199" s="85">
        <f>SUBTOTAL(3,$B$34:B199)</f>
        <v>166</v>
      </c>
      <c r="B199" s="86" t="s">
        <v>1040</v>
      </c>
      <c r="C199" s="90" t="s">
        <v>603</v>
      </c>
      <c r="D199" s="87">
        <v>45778</v>
      </c>
      <c r="E199" s="80">
        <v>1</v>
      </c>
      <c r="F199" s="81">
        <v>258502218</v>
      </c>
      <c r="G199" s="82">
        <v>5</v>
      </c>
      <c r="H199" s="101">
        <v>12</v>
      </c>
      <c r="I199" s="104" t="s">
        <v>1419</v>
      </c>
      <c r="J199" s="88">
        <f t="shared" si="9"/>
        <v>51700443.600000001</v>
      </c>
      <c r="K199" s="89">
        <f t="shared" si="10"/>
        <v>21541851.5</v>
      </c>
      <c r="L199" s="89">
        <f t="shared" si="11"/>
        <v>30158592.100000001</v>
      </c>
    </row>
    <row r="200" spans="1:12" ht="31.2" outlineLevel="1" x14ac:dyDescent="0.3">
      <c r="A200" s="85">
        <f>SUBTOTAL(3,$B$34:B200)</f>
        <v>167</v>
      </c>
      <c r="B200" s="86" t="s">
        <v>1041</v>
      </c>
      <c r="C200" s="90" t="s">
        <v>604</v>
      </c>
      <c r="D200" s="87">
        <v>45839</v>
      </c>
      <c r="E200" s="80">
        <v>1</v>
      </c>
      <c r="F200" s="81">
        <v>293784258</v>
      </c>
      <c r="G200" s="82">
        <v>5</v>
      </c>
      <c r="H200" s="101">
        <v>12</v>
      </c>
      <c r="I200" s="104" t="s">
        <v>1419</v>
      </c>
      <c r="J200" s="88">
        <f t="shared" si="9"/>
        <v>58756851.600000001</v>
      </c>
      <c r="K200" s="89">
        <f t="shared" si="10"/>
        <v>24482021.5</v>
      </c>
      <c r="L200" s="89">
        <f t="shared" si="11"/>
        <v>34274830.100000001</v>
      </c>
    </row>
    <row r="201" spans="1:12" ht="31.2" outlineLevel="1" x14ac:dyDescent="0.3">
      <c r="A201" s="85">
        <f>SUBTOTAL(3,$B$34:B201)</f>
        <v>168</v>
      </c>
      <c r="B201" s="86" t="s">
        <v>1042</v>
      </c>
      <c r="C201" s="90" t="s">
        <v>605</v>
      </c>
      <c r="D201" s="87">
        <v>45870</v>
      </c>
      <c r="E201" s="80">
        <v>1</v>
      </c>
      <c r="F201" s="81">
        <v>204685486</v>
      </c>
      <c r="G201" s="82">
        <v>5</v>
      </c>
      <c r="H201" s="101">
        <v>12</v>
      </c>
      <c r="I201" s="104" t="s">
        <v>1419</v>
      </c>
      <c r="J201" s="88">
        <f t="shared" si="9"/>
        <v>40937097.200000003</v>
      </c>
      <c r="K201" s="89">
        <f t="shared" si="10"/>
        <v>17057123.833333332</v>
      </c>
      <c r="L201" s="89">
        <f t="shared" si="11"/>
        <v>23879973.366666671</v>
      </c>
    </row>
    <row r="202" spans="1:12" ht="31.2" outlineLevel="1" x14ac:dyDescent="0.3">
      <c r="A202" s="85">
        <f>SUBTOTAL(3,$B$34:B202)</f>
        <v>169</v>
      </c>
      <c r="B202" s="86" t="s">
        <v>1043</v>
      </c>
      <c r="C202" s="90" t="s">
        <v>606</v>
      </c>
      <c r="D202" s="87">
        <v>45870</v>
      </c>
      <c r="E202" s="80">
        <v>1</v>
      </c>
      <c r="F202" s="81">
        <v>204685486</v>
      </c>
      <c r="G202" s="82">
        <v>5</v>
      </c>
      <c r="H202" s="101">
        <v>12</v>
      </c>
      <c r="I202" s="104" t="s">
        <v>1419</v>
      </c>
      <c r="J202" s="88">
        <f t="shared" si="9"/>
        <v>40937097.200000003</v>
      </c>
      <c r="K202" s="89">
        <f t="shared" si="10"/>
        <v>17057123.833333332</v>
      </c>
      <c r="L202" s="89">
        <f t="shared" si="11"/>
        <v>23879973.366666671</v>
      </c>
    </row>
    <row r="203" spans="1:12" ht="31.2" outlineLevel="1" x14ac:dyDescent="0.3">
      <c r="A203" s="85">
        <f>SUBTOTAL(3,$B$34:B203)</f>
        <v>170</v>
      </c>
      <c r="B203" s="86" t="s">
        <v>1046</v>
      </c>
      <c r="C203" s="90" t="s">
        <v>607</v>
      </c>
      <c r="D203" s="87">
        <v>45901</v>
      </c>
      <c r="E203" s="80">
        <v>1</v>
      </c>
      <c r="F203" s="81">
        <v>995280138</v>
      </c>
      <c r="G203" s="82">
        <v>5</v>
      </c>
      <c r="H203" s="101">
        <v>12</v>
      </c>
      <c r="I203" s="104" t="s">
        <v>1419</v>
      </c>
      <c r="J203" s="88">
        <f t="shared" si="9"/>
        <v>199056027.59999999</v>
      </c>
      <c r="K203" s="89">
        <f t="shared" si="10"/>
        <v>82940011.5</v>
      </c>
      <c r="L203" s="89">
        <f t="shared" si="11"/>
        <v>116116016.09999999</v>
      </c>
    </row>
    <row r="204" spans="1:12" ht="31.2" outlineLevel="1" x14ac:dyDescent="0.3">
      <c r="A204" s="85">
        <f>SUBTOTAL(3,$B$34:B204)</f>
        <v>171</v>
      </c>
      <c r="B204" s="86" t="s">
        <v>1049</v>
      </c>
      <c r="C204" s="90" t="s">
        <v>608</v>
      </c>
      <c r="D204" s="87">
        <v>45901</v>
      </c>
      <c r="E204" s="80">
        <v>1</v>
      </c>
      <c r="F204" s="81">
        <v>9194024100</v>
      </c>
      <c r="G204" s="82">
        <v>8</v>
      </c>
      <c r="H204" s="101">
        <v>12</v>
      </c>
      <c r="I204" s="104" t="s">
        <v>1419</v>
      </c>
      <c r="J204" s="88">
        <f t="shared" si="9"/>
        <v>1149253012.5</v>
      </c>
      <c r="K204" s="89">
        <f t="shared" si="10"/>
        <v>766168675</v>
      </c>
      <c r="L204" s="89">
        <f t="shared" si="11"/>
        <v>383084337.5</v>
      </c>
    </row>
    <row r="205" spans="1:12" ht="31.2" outlineLevel="1" x14ac:dyDescent="0.3">
      <c r="A205" s="85">
        <f>SUBTOTAL(3,$B$34:B205)</f>
        <v>172</v>
      </c>
      <c r="B205" s="86" t="s">
        <v>1050</v>
      </c>
      <c r="C205" s="90" t="s">
        <v>609</v>
      </c>
      <c r="D205" s="87">
        <v>45901</v>
      </c>
      <c r="E205" s="80">
        <v>1</v>
      </c>
      <c r="F205" s="81">
        <v>9194024100</v>
      </c>
      <c r="G205" s="82">
        <v>8</v>
      </c>
      <c r="H205" s="101">
        <v>12</v>
      </c>
      <c r="I205" s="104" t="s">
        <v>1419</v>
      </c>
      <c r="J205" s="88">
        <f t="shared" si="9"/>
        <v>1149253012.5</v>
      </c>
      <c r="K205" s="89">
        <f t="shared" si="10"/>
        <v>766168675</v>
      </c>
      <c r="L205" s="89">
        <f t="shared" si="11"/>
        <v>383084337.5</v>
      </c>
    </row>
    <row r="206" spans="1:12" ht="31.2" outlineLevel="1" x14ac:dyDescent="0.3">
      <c r="A206" s="85">
        <f>SUBTOTAL(3,$B$34:B206)</f>
        <v>173</v>
      </c>
      <c r="B206" s="86" t="s">
        <v>1051</v>
      </c>
      <c r="C206" s="90" t="s">
        <v>610</v>
      </c>
      <c r="D206" s="87">
        <v>45901</v>
      </c>
      <c r="E206" s="80">
        <v>1</v>
      </c>
      <c r="F206" s="81">
        <v>530000000</v>
      </c>
      <c r="G206" s="82">
        <v>5</v>
      </c>
      <c r="H206" s="101">
        <v>12</v>
      </c>
      <c r="I206" s="104" t="s">
        <v>1419</v>
      </c>
      <c r="J206" s="88">
        <f t="shared" si="9"/>
        <v>106000000</v>
      </c>
      <c r="K206" s="89">
        <f t="shared" si="10"/>
        <v>44166666.666666664</v>
      </c>
      <c r="L206" s="89">
        <f t="shared" si="11"/>
        <v>61833333.333333336</v>
      </c>
    </row>
    <row r="207" spans="1:12" ht="31.2" outlineLevel="1" x14ac:dyDescent="0.3">
      <c r="A207" s="85">
        <f>SUBTOTAL(3,$B$34:B207)</f>
        <v>174</v>
      </c>
      <c r="B207" s="86" t="s">
        <v>1052</v>
      </c>
      <c r="C207" s="90" t="s">
        <v>611</v>
      </c>
      <c r="D207" s="87">
        <v>45901</v>
      </c>
      <c r="E207" s="80">
        <v>1</v>
      </c>
      <c r="F207" s="81">
        <v>536180944</v>
      </c>
      <c r="G207" s="82">
        <v>5</v>
      </c>
      <c r="H207" s="101">
        <v>12</v>
      </c>
      <c r="I207" s="104" t="s">
        <v>1419</v>
      </c>
      <c r="J207" s="88">
        <f t="shared" si="9"/>
        <v>107236188.8</v>
      </c>
      <c r="K207" s="89">
        <f t="shared" si="10"/>
        <v>44681745.333333336</v>
      </c>
      <c r="L207" s="89">
        <f t="shared" si="11"/>
        <v>62554443.466666661</v>
      </c>
    </row>
    <row r="208" spans="1:12" ht="31.2" outlineLevel="1" x14ac:dyDescent="0.3">
      <c r="A208" s="85">
        <f>SUBTOTAL(3,$B$34:B208)</f>
        <v>175</v>
      </c>
      <c r="B208" s="86" t="s">
        <v>1053</v>
      </c>
      <c r="C208" s="90" t="s">
        <v>612</v>
      </c>
      <c r="D208" s="87">
        <v>45901</v>
      </c>
      <c r="E208" s="80">
        <v>1</v>
      </c>
      <c r="F208" s="81">
        <v>268085606</v>
      </c>
      <c r="G208" s="82">
        <v>5</v>
      </c>
      <c r="H208" s="101">
        <v>12</v>
      </c>
      <c r="I208" s="104" t="s">
        <v>1419</v>
      </c>
      <c r="J208" s="88">
        <f t="shared" si="9"/>
        <v>53617121.200000003</v>
      </c>
      <c r="K208" s="89">
        <f t="shared" si="10"/>
        <v>22340467.166666668</v>
      </c>
      <c r="L208" s="89">
        <f t="shared" si="11"/>
        <v>31276654.033333335</v>
      </c>
    </row>
    <row r="209" spans="1:12" ht="31.2" outlineLevel="1" x14ac:dyDescent="0.3">
      <c r="A209" s="85">
        <f>SUBTOTAL(3,$B$34:B209)</f>
        <v>176</v>
      </c>
      <c r="B209" s="86" t="s">
        <v>1054</v>
      </c>
      <c r="C209" s="90" t="s">
        <v>613</v>
      </c>
      <c r="D209" s="87">
        <v>45901</v>
      </c>
      <c r="E209" s="80">
        <v>1</v>
      </c>
      <c r="F209" s="81">
        <v>268085606</v>
      </c>
      <c r="G209" s="82">
        <v>5</v>
      </c>
      <c r="H209" s="101">
        <v>12</v>
      </c>
      <c r="I209" s="104" t="s">
        <v>1419</v>
      </c>
      <c r="J209" s="88">
        <f t="shared" si="9"/>
        <v>53617121.200000003</v>
      </c>
      <c r="K209" s="89">
        <f t="shared" si="10"/>
        <v>22340467.166666668</v>
      </c>
      <c r="L209" s="89">
        <f t="shared" si="11"/>
        <v>31276654.033333335</v>
      </c>
    </row>
    <row r="210" spans="1:12" ht="31.2" outlineLevel="1" x14ac:dyDescent="0.3">
      <c r="A210" s="85">
        <f>SUBTOTAL(3,$B$34:B210)</f>
        <v>177</v>
      </c>
      <c r="B210" s="86" t="s">
        <v>1055</v>
      </c>
      <c r="C210" s="90" t="s">
        <v>614</v>
      </c>
      <c r="D210" s="87">
        <v>45901</v>
      </c>
      <c r="E210" s="80">
        <v>2</v>
      </c>
      <c r="F210" s="81">
        <v>1030408748</v>
      </c>
      <c r="G210" s="82">
        <v>5</v>
      </c>
      <c r="H210" s="101">
        <v>12</v>
      </c>
      <c r="I210" s="104" t="s">
        <v>1419</v>
      </c>
      <c r="J210" s="88">
        <f t="shared" si="9"/>
        <v>206081749.59999999</v>
      </c>
      <c r="K210" s="89">
        <f t="shared" si="10"/>
        <v>85867395.666666672</v>
      </c>
      <c r="L210" s="89">
        <f t="shared" si="11"/>
        <v>120214353.93333332</v>
      </c>
    </row>
    <row r="211" spans="1:12" ht="15.6" outlineLevel="1" x14ac:dyDescent="0.3">
      <c r="A211" s="85">
        <f>SUBTOTAL(3,$B$34:B211)</f>
        <v>178</v>
      </c>
      <c r="B211" s="86" t="s">
        <v>1060</v>
      </c>
      <c r="C211" s="90" t="s">
        <v>615</v>
      </c>
      <c r="D211" s="87">
        <v>44438</v>
      </c>
      <c r="E211" s="80">
        <v>1</v>
      </c>
      <c r="F211" s="81">
        <v>1971544318</v>
      </c>
      <c r="G211" s="82">
        <v>10</v>
      </c>
      <c r="H211" s="101">
        <v>12</v>
      </c>
      <c r="I211" s="104" t="s">
        <v>1419</v>
      </c>
      <c r="J211" s="88">
        <f t="shared" si="9"/>
        <v>197154431.80000001</v>
      </c>
      <c r="K211" s="89">
        <f t="shared" si="10"/>
        <v>164295359.83333334</v>
      </c>
      <c r="L211" s="89">
        <f t="shared" si="11"/>
        <v>32859071.966666669</v>
      </c>
    </row>
    <row r="212" spans="1:12" ht="15.6" outlineLevel="1" x14ac:dyDescent="0.3">
      <c r="A212" s="85">
        <f>SUBTOTAL(3,$B$34:B212)</f>
        <v>179</v>
      </c>
      <c r="B212" s="86" t="s">
        <v>1061</v>
      </c>
      <c r="C212" s="90" t="s">
        <v>616</v>
      </c>
      <c r="D212" s="87">
        <v>44835</v>
      </c>
      <c r="E212" s="80">
        <v>1</v>
      </c>
      <c r="F212" s="81">
        <v>205226319</v>
      </c>
      <c r="G212" s="82">
        <v>5</v>
      </c>
      <c r="H212" s="101">
        <v>12</v>
      </c>
      <c r="I212" s="104" t="s">
        <v>1419</v>
      </c>
      <c r="J212" s="88">
        <f t="shared" si="9"/>
        <v>41045263.799999997</v>
      </c>
      <c r="K212" s="89">
        <f t="shared" si="10"/>
        <v>17102193.25</v>
      </c>
      <c r="L212" s="89">
        <f t="shared" si="11"/>
        <v>23943070.549999997</v>
      </c>
    </row>
    <row r="213" spans="1:12" ht="15.6" outlineLevel="1" x14ac:dyDescent="0.3">
      <c r="A213" s="85">
        <f>SUBTOTAL(3,$B$34:B213)</f>
        <v>180</v>
      </c>
      <c r="B213" s="86" t="s">
        <v>1062</v>
      </c>
      <c r="C213" s="90" t="s">
        <v>617</v>
      </c>
      <c r="D213" s="87">
        <v>44986</v>
      </c>
      <c r="E213" s="80">
        <v>1</v>
      </c>
      <c r="F213" s="81">
        <v>296505989</v>
      </c>
      <c r="G213" s="82">
        <v>3</v>
      </c>
      <c r="H213" s="101">
        <v>12</v>
      </c>
      <c r="I213" s="104" t="s">
        <v>1419</v>
      </c>
      <c r="J213" s="88">
        <f t="shared" si="9"/>
        <v>98835329.666666672</v>
      </c>
      <c r="K213" s="89">
        <f t="shared" si="10"/>
        <v>24708832.416666668</v>
      </c>
      <c r="L213" s="89">
        <f t="shared" si="11"/>
        <v>74126497.25</v>
      </c>
    </row>
    <row r="214" spans="1:12" ht="15.6" outlineLevel="1" x14ac:dyDescent="0.3">
      <c r="A214" s="85">
        <f>SUBTOTAL(3,$B$34:B214)</f>
        <v>181</v>
      </c>
      <c r="B214" s="86" t="s">
        <v>1063</v>
      </c>
      <c r="C214" s="90" t="s">
        <v>618</v>
      </c>
      <c r="D214" s="87">
        <v>45078</v>
      </c>
      <c r="E214" s="80">
        <v>1</v>
      </c>
      <c r="F214" s="81">
        <v>85559000</v>
      </c>
      <c r="G214" s="82">
        <v>4</v>
      </c>
      <c r="H214" s="101">
        <v>12</v>
      </c>
      <c r="I214" s="104" t="s">
        <v>1419</v>
      </c>
      <c r="J214" s="88">
        <f t="shared" si="9"/>
        <v>21389750</v>
      </c>
      <c r="K214" s="89">
        <f t="shared" si="10"/>
        <v>7129916.666666667</v>
      </c>
      <c r="L214" s="89">
        <f t="shared" si="11"/>
        <v>14259833.333333332</v>
      </c>
    </row>
    <row r="215" spans="1:12" ht="15.6" outlineLevel="1" x14ac:dyDescent="0.3">
      <c r="A215" s="85">
        <f>SUBTOTAL(3,$B$34:B215)</f>
        <v>182</v>
      </c>
      <c r="B215" s="86" t="s">
        <v>1064</v>
      </c>
      <c r="C215" s="90" t="s">
        <v>619</v>
      </c>
      <c r="D215" s="87">
        <v>45078</v>
      </c>
      <c r="E215" s="80">
        <v>1</v>
      </c>
      <c r="F215" s="81">
        <v>85559000</v>
      </c>
      <c r="G215" s="82">
        <v>4</v>
      </c>
      <c r="H215" s="101">
        <v>12</v>
      </c>
      <c r="I215" s="104" t="s">
        <v>1419</v>
      </c>
      <c r="J215" s="88">
        <f t="shared" si="9"/>
        <v>21389750</v>
      </c>
      <c r="K215" s="89">
        <f t="shared" si="10"/>
        <v>7129916.666666667</v>
      </c>
      <c r="L215" s="89">
        <f t="shared" si="11"/>
        <v>14259833.333333332</v>
      </c>
    </row>
    <row r="216" spans="1:12" ht="31.2" outlineLevel="1" x14ac:dyDescent="0.3">
      <c r="A216" s="85">
        <f>SUBTOTAL(3,$B$34:B216)</f>
        <v>183</v>
      </c>
      <c r="B216" s="86" t="s">
        <v>1065</v>
      </c>
      <c r="C216" s="90" t="s">
        <v>620</v>
      </c>
      <c r="D216" s="87">
        <v>45170</v>
      </c>
      <c r="E216" s="80">
        <v>1</v>
      </c>
      <c r="F216" s="81">
        <v>267417833</v>
      </c>
      <c r="G216" s="82">
        <v>5</v>
      </c>
      <c r="H216" s="101">
        <v>12</v>
      </c>
      <c r="I216" s="104" t="s">
        <v>1419</v>
      </c>
      <c r="J216" s="88">
        <f t="shared" si="9"/>
        <v>53483566.600000001</v>
      </c>
      <c r="K216" s="89">
        <f t="shared" si="10"/>
        <v>22284819.416666668</v>
      </c>
      <c r="L216" s="89">
        <f t="shared" si="11"/>
        <v>31198747.183333334</v>
      </c>
    </row>
    <row r="217" spans="1:12" ht="29.1" customHeight="1" outlineLevel="1" x14ac:dyDescent="0.3">
      <c r="A217" s="85">
        <f>SUBTOTAL(3,$B$34:B217)</f>
        <v>184</v>
      </c>
      <c r="B217" s="86" t="s">
        <v>1036</v>
      </c>
      <c r="C217" s="90" t="s">
        <v>599</v>
      </c>
      <c r="D217" s="87">
        <v>45717</v>
      </c>
      <c r="E217" s="80">
        <v>1</v>
      </c>
      <c r="F217" s="81">
        <v>185000000</v>
      </c>
      <c r="G217" s="82">
        <v>3</v>
      </c>
      <c r="H217" s="101">
        <v>12</v>
      </c>
      <c r="I217" s="104" t="s">
        <v>1419</v>
      </c>
      <c r="J217" s="88">
        <f t="shared" si="9"/>
        <v>61666666.666666664</v>
      </c>
      <c r="K217" s="89">
        <f t="shared" si="10"/>
        <v>15416666.666666666</v>
      </c>
      <c r="L217" s="89">
        <f t="shared" si="11"/>
        <v>46250000</v>
      </c>
    </row>
    <row r="218" spans="1:12" ht="29.1" customHeight="1" outlineLevel="1" x14ac:dyDescent="0.3">
      <c r="A218" s="85">
        <f>SUBTOTAL(3,$B$34:B218)</f>
        <v>185</v>
      </c>
      <c r="B218" s="86" t="s">
        <v>1021</v>
      </c>
      <c r="C218" s="90" t="s">
        <v>584</v>
      </c>
      <c r="D218" s="87">
        <v>45474</v>
      </c>
      <c r="E218" s="80">
        <v>1</v>
      </c>
      <c r="F218" s="81">
        <v>98100000</v>
      </c>
      <c r="G218" s="82">
        <v>2</v>
      </c>
      <c r="H218" s="101">
        <v>12</v>
      </c>
      <c r="I218" s="104" t="s">
        <v>1419</v>
      </c>
      <c r="J218" s="88">
        <f t="shared" si="9"/>
        <v>49050000</v>
      </c>
      <c r="K218" s="89">
        <f t="shared" si="10"/>
        <v>8175000</v>
      </c>
      <c r="L218" s="89">
        <f t="shared" si="11"/>
        <v>40875000</v>
      </c>
    </row>
    <row r="219" spans="1:12" ht="29.1" customHeight="1" outlineLevel="1" x14ac:dyDescent="0.3">
      <c r="A219" s="85">
        <f>SUBTOTAL(3,$B$34:B219)</f>
        <v>186</v>
      </c>
      <c r="B219" s="86" t="s">
        <v>1022</v>
      </c>
      <c r="C219" s="90" t="s">
        <v>585</v>
      </c>
      <c r="D219" s="87">
        <v>45474</v>
      </c>
      <c r="E219" s="80">
        <v>1</v>
      </c>
      <c r="F219" s="81">
        <v>350000000</v>
      </c>
      <c r="G219" s="82">
        <v>2</v>
      </c>
      <c r="H219" s="101">
        <v>12</v>
      </c>
      <c r="I219" s="104" t="s">
        <v>1419</v>
      </c>
      <c r="J219" s="88">
        <f t="shared" si="9"/>
        <v>175000000</v>
      </c>
      <c r="K219" s="89">
        <f t="shared" si="10"/>
        <v>29166666.666666668</v>
      </c>
      <c r="L219" s="89">
        <f t="shared" si="11"/>
        <v>145833333.33333334</v>
      </c>
    </row>
    <row r="220" spans="1:12" ht="15.6" outlineLevel="1" x14ac:dyDescent="0.3">
      <c r="A220" s="85">
        <f>SUBTOTAL(3,$B$34:B220)</f>
        <v>187</v>
      </c>
      <c r="B220" s="86" t="s">
        <v>1160</v>
      </c>
      <c r="C220" s="90" t="s">
        <v>793</v>
      </c>
      <c r="D220" s="87">
        <v>45627</v>
      </c>
      <c r="E220" s="80">
        <v>1</v>
      </c>
      <c r="F220" s="81">
        <v>904469422</v>
      </c>
      <c r="G220" s="82">
        <v>3</v>
      </c>
      <c r="H220" s="101">
        <v>12</v>
      </c>
      <c r="I220" s="104" t="s">
        <v>1419</v>
      </c>
      <c r="J220" s="88">
        <f t="shared" si="9"/>
        <v>301489807.33333331</v>
      </c>
      <c r="K220" s="89">
        <f t="shared" si="10"/>
        <v>75372451.833333328</v>
      </c>
      <c r="L220" s="89">
        <f t="shared" si="11"/>
        <v>226117355.5</v>
      </c>
    </row>
    <row r="221" spans="1:12" ht="15.6" outlineLevel="1" x14ac:dyDescent="0.3">
      <c r="A221" s="85">
        <f>SUBTOTAL(3,$B$34:B221)</f>
        <v>188</v>
      </c>
      <c r="B221" s="86" t="s">
        <v>1162</v>
      </c>
      <c r="C221" s="90" t="s">
        <v>794</v>
      </c>
      <c r="D221" s="87">
        <v>45627</v>
      </c>
      <c r="E221" s="80">
        <v>1</v>
      </c>
      <c r="F221" s="81">
        <v>222233555</v>
      </c>
      <c r="G221" s="82">
        <v>3</v>
      </c>
      <c r="H221" s="101">
        <v>12</v>
      </c>
      <c r="I221" s="104" t="s">
        <v>1419</v>
      </c>
      <c r="J221" s="88">
        <f t="shared" si="9"/>
        <v>74077851.666666672</v>
      </c>
      <c r="K221" s="89">
        <f t="shared" si="10"/>
        <v>18519462.916666668</v>
      </c>
      <c r="L221" s="89">
        <f t="shared" si="11"/>
        <v>55558388.75</v>
      </c>
    </row>
    <row r="222" spans="1:12" ht="15.6" outlineLevel="1" x14ac:dyDescent="0.3">
      <c r="A222" s="85">
        <f>SUBTOTAL(3,$B$34:B222)</f>
        <v>189</v>
      </c>
      <c r="B222" s="86" t="s">
        <v>1163</v>
      </c>
      <c r="C222" s="90" t="s">
        <v>795</v>
      </c>
      <c r="D222" s="87">
        <v>45627</v>
      </c>
      <c r="E222" s="80">
        <v>1</v>
      </c>
      <c r="F222" s="81">
        <v>1081360419</v>
      </c>
      <c r="G222" s="82">
        <v>4</v>
      </c>
      <c r="H222" s="101">
        <v>12</v>
      </c>
      <c r="I222" s="104" t="s">
        <v>1419</v>
      </c>
      <c r="J222" s="88">
        <f t="shared" si="9"/>
        <v>270340104.75</v>
      </c>
      <c r="K222" s="89">
        <f t="shared" si="10"/>
        <v>90113368.25</v>
      </c>
      <c r="L222" s="89">
        <f t="shared" si="11"/>
        <v>180226736.5</v>
      </c>
    </row>
    <row r="223" spans="1:12" ht="15.6" outlineLevel="1" x14ac:dyDescent="0.3">
      <c r="A223" s="85">
        <f>SUBTOTAL(3,$B$34:B223)</f>
        <v>190</v>
      </c>
      <c r="B223" s="86" t="s">
        <v>1164</v>
      </c>
      <c r="C223" s="90" t="s">
        <v>796</v>
      </c>
      <c r="D223" s="87">
        <v>45627</v>
      </c>
      <c r="E223" s="80">
        <v>1</v>
      </c>
      <c r="F223" s="81">
        <v>170777778</v>
      </c>
      <c r="G223" s="82">
        <v>5</v>
      </c>
      <c r="H223" s="101">
        <v>12</v>
      </c>
      <c r="I223" s="104" t="s">
        <v>1419</v>
      </c>
      <c r="J223" s="88">
        <f t="shared" si="9"/>
        <v>34155555.600000001</v>
      </c>
      <c r="K223" s="89">
        <f t="shared" si="10"/>
        <v>14231481.5</v>
      </c>
      <c r="L223" s="89">
        <f t="shared" si="11"/>
        <v>19924074.100000001</v>
      </c>
    </row>
    <row r="224" spans="1:12" ht="31.2" outlineLevel="1" x14ac:dyDescent="0.3">
      <c r="A224" s="85">
        <f>SUBTOTAL(3,$B$34:B224)</f>
        <v>191</v>
      </c>
      <c r="B224" s="86" t="s">
        <v>1165</v>
      </c>
      <c r="C224" s="90" t="s">
        <v>797</v>
      </c>
      <c r="D224" s="87">
        <v>45627</v>
      </c>
      <c r="E224" s="80">
        <v>1</v>
      </c>
      <c r="F224" s="81">
        <v>172120000</v>
      </c>
      <c r="G224" s="82">
        <v>3</v>
      </c>
      <c r="H224" s="101">
        <v>12</v>
      </c>
      <c r="I224" s="104" t="s">
        <v>1419</v>
      </c>
      <c r="J224" s="88">
        <f t="shared" si="9"/>
        <v>57373333.333333336</v>
      </c>
      <c r="K224" s="89">
        <f t="shared" si="10"/>
        <v>14343333.333333334</v>
      </c>
      <c r="L224" s="89">
        <f t="shared" si="11"/>
        <v>43030000</v>
      </c>
    </row>
    <row r="225" spans="1:12" ht="31.2" outlineLevel="1" x14ac:dyDescent="0.3">
      <c r="A225" s="85">
        <f>SUBTOTAL(3,$B$34:B225)</f>
        <v>192</v>
      </c>
      <c r="B225" s="86" t="s">
        <v>1166</v>
      </c>
      <c r="C225" s="90" t="s">
        <v>798</v>
      </c>
      <c r="D225" s="87">
        <v>45627</v>
      </c>
      <c r="E225" s="80">
        <v>1</v>
      </c>
      <c r="F225" s="81">
        <v>133781334</v>
      </c>
      <c r="G225" s="82">
        <v>3</v>
      </c>
      <c r="H225" s="101">
        <v>12</v>
      </c>
      <c r="I225" s="104" t="s">
        <v>1419</v>
      </c>
      <c r="J225" s="88">
        <f t="shared" si="9"/>
        <v>44593778</v>
      </c>
      <c r="K225" s="89">
        <f t="shared" si="10"/>
        <v>11148444.5</v>
      </c>
      <c r="L225" s="89">
        <f t="shared" si="11"/>
        <v>33445333.5</v>
      </c>
    </row>
    <row r="226" spans="1:12" ht="15.6" outlineLevel="1" x14ac:dyDescent="0.3">
      <c r="A226" s="85">
        <f>SUBTOTAL(3,$B$34:B226)</f>
        <v>193</v>
      </c>
      <c r="B226" s="86" t="s">
        <v>1167</v>
      </c>
      <c r="C226" s="90" t="s">
        <v>799</v>
      </c>
      <c r="D226" s="87">
        <v>45627</v>
      </c>
      <c r="E226" s="80">
        <v>1</v>
      </c>
      <c r="F226" s="81">
        <v>814583334</v>
      </c>
      <c r="G226" s="82">
        <v>8</v>
      </c>
      <c r="H226" s="101">
        <v>12</v>
      </c>
      <c r="I226" s="104" t="s">
        <v>1419</v>
      </c>
      <c r="J226" s="88">
        <f t="shared" ref="J226:J243" si="12">F226/G226</f>
        <v>101822916.75</v>
      </c>
      <c r="K226" s="89">
        <f t="shared" ref="K226:K243" si="13">F226/H226</f>
        <v>67881944.5</v>
      </c>
      <c r="L226" s="89">
        <f t="shared" si="11"/>
        <v>33940972.25</v>
      </c>
    </row>
    <row r="227" spans="1:12" ht="15.6" outlineLevel="1" x14ac:dyDescent="0.3">
      <c r="A227" s="85">
        <f>SUBTOTAL(3,$B$34:B227)</f>
        <v>194</v>
      </c>
      <c r="B227" s="86" t="s">
        <v>1168</v>
      </c>
      <c r="C227" s="90" t="s">
        <v>800</v>
      </c>
      <c r="D227" s="87">
        <v>45627</v>
      </c>
      <c r="E227" s="80">
        <v>1</v>
      </c>
      <c r="F227" s="81">
        <v>1107892413</v>
      </c>
      <c r="G227" s="82">
        <v>8</v>
      </c>
      <c r="H227" s="101">
        <v>12</v>
      </c>
      <c r="I227" s="104" t="s">
        <v>1419</v>
      </c>
      <c r="J227" s="88">
        <f t="shared" si="12"/>
        <v>138486551.625</v>
      </c>
      <c r="K227" s="89">
        <f t="shared" si="13"/>
        <v>92324367.75</v>
      </c>
      <c r="L227" s="89">
        <f t="shared" si="11"/>
        <v>46162183.875</v>
      </c>
    </row>
    <row r="228" spans="1:12" ht="31.2" outlineLevel="1" x14ac:dyDescent="0.3">
      <c r="A228" s="85">
        <f>SUBTOTAL(3,$B$34:B228)</f>
        <v>195</v>
      </c>
      <c r="B228" s="86" t="s">
        <v>1169</v>
      </c>
      <c r="C228" s="90" t="s">
        <v>801</v>
      </c>
      <c r="D228" s="87">
        <v>45627</v>
      </c>
      <c r="E228" s="80">
        <v>1</v>
      </c>
      <c r="F228" s="81">
        <v>596077747</v>
      </c>
      <c r="G228" s="82">
        <v>3</v>
      </c>
      <c r="H228" s="101">
        <v>12</v>
      </c>
      <c r="I228" s="104" t="s">
        <v>1419</v>
      </c>
      <c r="J228" s="88">
        <f t="shared" si="12"/>
        <v>198692582.33333334</v>
      </c>
      <c r="K228" s="89">
        <f t="shared" si="13"/>
        <v>49673145.583333336</v>
      </c>
      <c r="L228" s="89">
        <f t="shared" ref="L228:L243" si="14">J228-K228</f>
        <v>149019436.75</v>
      </c>
    </row>
    <row r="229" spans="1:12" ht="15.6" outlineLevel="1" x14ac:dyDescent="0.3">
      <c r="A229" s="85">
        <f>SUBTOTAL(3,$B$34:B229)</f>
        <v>196</v>
      </c>
      <c r="B229" s="86" t="s">
        <v>1170</v>
      </c>
      <c r="C229" s="90" t="s">
        <v>802</v>
      </c>
      <c r="D229" s="87">
        <v>45627</v>
      </c>
      <c r="E229" s="80">
        <v>1</v>
      </c>
      <c r="F229" s="81">
        <v>2648137998</v>
      </c>
      <c r="G229" s="82">
        <v>3</v>
      </c>
      <c r="H229" s="101">
        <v>12</v>
      </c>
      <c r="I229" s="104" t="s">
        <v>1419</v>
      </c>
      <c r="J229" s="88">
        <f t="shared" si="12"/>
        <v>882712666</v>
      </c>
      <c r="K229" s="89">
        <f t="shared" si="13"/>
        <v>220678166.5</v>
      </c>
      <c r="L229" s="89">
        <f t="shared" si="14"/>
        <v>662034499.5</v>
      </c>
    </row>
    <row r="230" spans="1:12" ht="15.6" outlineLevel="1" x14ac:dyDescent="0.3">
      <c r="A230" s="85">
        <f>SUBTOTAL(3,$B$34:B230)</f>
        <v>197</v>
      </c>
      <c r="B230" s="86" t="s">
        <v>1171</v>
      </c>
      <c r="C230" s="90" t="s">
        <v>779</v>
      </c>
      <c r="D230" s="87">
        <v>45627</v>
      </c>
      <c r="E230" s="80">
        <v>1</v>
      </c>
      <c r="F230" s="81">
        <v>615186670</v>
      </c>
      <c r="G230" s="82">
        <v>4</v>
      </c>
      <c r="H230" s="101">
        <v>12</v>
      </c>
      <c r="I230" s="104" t="s">
        <v>1419</v>
      </c>
      <c r="J230" s="88">
        <f t="shared" si="12"/>
        <v>153796667.5</v>
      </c>
      <c r="K230" s="89">
        <f t="shared" si="13"/>
        <v>51265555.833333336</v>
      </c>
      <c r="L230" s="89">
        <f t="shared" si="14"/>
        <v>102531111.66666666</v>
      </c>
    </row>
    <row r="231" spans="1:12" ht="31.2" outlineLevel="1" x14ac:dyDescent="0.3">
      <c r="A231" s="85">
        <f>SUBTOTAL(3,$B$34:B231)</f>
        <v>198</v>
      </c>
      <c r="B231" s="86" t="s">
        <v>1172</v>
      </c>
      <c r="C231" s="90" t="s">
        <v>780</v>
      </c>
      <c r="D231" s="87">
        <v>45627</v>
      </c>
      <c r="E231" s="80">
        <v>1</v>
      </c>
      <c r="F231" s="81">
        <v>184542222</v>
      </c>
      <c r="G231" s="82">
        <v>4</v>
      </c>
      <c r="H231" s="101">
        <v>12</v>
      </c>
      <c r="I231" s="104" t="s">
        <v>1419</v>
      </c>
      <c r="J231" s="88">
        <f t="shared" si="12"/>
        <v>46135555.5</v>
      </c>
      <c r="K231" s="89">
        <f t="shared" si="13"/>
        <v>15378518.5</v>
      </c>
      <c r="L231" s="89">
        <f t="shared" si="14"/>
        <v>30757037</v>
      </c>
    </row>
    <row r="232" spans="1:12" ht="31.2" outlineLevel="1" x14ac:dyDescent="0.3">
      <c r="A232" s="85">
        <f>SUBTOTAL(3,$B$34:B232)</f>
        <v>199</v>
      </c>
      <c r="B232" s="86" t="s">
        <v>1173</v>
      </c>
      <c r="C232" s="90" t="s">
        <v>781</v>
      </c>
      <c r="D232" s="87">
        <v>45627</v>
      </c>
      <c r="E232" s="80">
        <v>1</v>
      </c>
      <c r="F232" s="81">
        <v>1050660000</v>
      </c>
      <c r="G232" s="82">
        <v>4</v>
      </c>
      <c r="H232" s="101">
        <v>12</v>
      </c>
      <c r="I232" s="104" t="s">
        <v>1419</v>
      </c>
      <c r="J232" s="88">
        <f t="shared" si="12"/>
        <v>262665000</v>
      </c>
      <c r="K232" s="89">
        <f t="shared" si="13"/>
        <v>87555000</v>
      </c>
      <c r="L232" s="89">
        <f t="shared" si="14"/>
        <v>175110000</v>
      </c>
    </row>
    <row r="233" spans="1:12" ht="15.6" outlineLevel="1" x14ac:dyDescent="0.3">
      <c r="A233" s="85">
        <f>SUBTOTAL(3,$B$34:B233)</f>
        <v>200</v>
      </c>
      <c r="B233" s="86" t="s">
        <v>1174</v>
      </c>
      <c r="C233" s="90" t="s">
        <v>782</v>
      </c>
      <c r="D233" s="87">
        <v>45627</v>
      </c>
      <c r="E233" s="80">
        <v>1</v>
      </c>
      <c r="F233" s="81">
        <v>386303995</v>
      </c>
      <c r="G233" s="82">
        <v>7</v>
      </c>
      <c r="H233" s="101">
        <v>12</v>
      </c>
      <c r="I233" s="104" t="s">
        <v>1419</v>
      </c>
      <c r="J233" s="88">
        <f t="shared" si="12"/>
        <v>55186285</v>
      </c>
      <c r="K233" s="89">
        <f t="shared" si="13"/>
        <v>32191999.583333332</v>
      </c>
      <c r="L233" s="89">
        <f t="shared" si="14"/>
        <v>22994285.416666668</v>
      </c>
    </row>
    <row r="234" spans="1:12" ht="15.6" outlineLevel="1" x14ac:dyDescent="0.3">
      <c r="A234" s="85">
        <f>SUBTOTAL(3,$B$34:B234)</f>
        <v>201</v>
      </c>
      <c r="B234" s="86" t="s">
        <v>1175</v>
      </c>
      <c r="C234" s="90" t="s">
        <v>783</v>
      </c>
      <c r="D234" s="87">
        <v>45627</v>
      </c>
      <c r="E234" s="80">
        <v>1</v>
      </c>
      <c r="F234" s="81">
        <v>2563310334</v>
      </c>
      <c r="G234" s="82">
        <v>7</v>
      </c>
      <c r="H234" s="101">
        <v>12</v>
      </c>
      <c r="I234" s="104" t="s">
        <v>1419</v>
      </c>
      <c r="J234" s="88">
        <f t="shared" si="12"/>
        <v>366187190.5714286</v>
      </c>
      <c r="K234" s="89">
        <f t="shared" si="13"/>
        <v>213609194.5</v>
      </c>
      <c r="L234" s="89">
        <f t="shared" si="14"/>
        <v>152577996.0714286</v>
      </c>
    </row>
    <row r="235" spans="1:12" ht="15.6" outlineLevel="1" x14ac:dyDescent="0.3">
      <c r="A235" s="85">
        <f>SUBTOTAL(3,$B$34:B235)</f>
        <v>202</v>
      </c>
      <c r="B235" s="86" t="s">
        <v>1176</v>
      </c>
      <c r="C235" s="90" t="s">
        <v>784</v>
      </c>
      <c r="D235" s="87">
        <v>45627</v>
      </c>
      <c r="E235" s="80">
        <v>1</v>
      </c>
      <c r="F235" s="81">
        <v>5107049458</v>
      </c>
      <c r="G235" s="82">
        <v>7</v>
      </c>
      <c r="H235" s="101">
        <v>12</v>
      </c>
      <c r="I235" s="104" t="s">
        <v>1419</v>
      </c>
      <c r="J235" s="88">
        <f t="shared" si="12"/>
        <v>729578494</v>
      </c>
      <c r="K235" s="89">
        <f t="shared" si="13"/>
        <v>425587454.83333331</v>
      </c>
      <c r="L235" s="89">
        <f t="shared" si="14"/>
        <v>303991039.16666669</v>
      </c>
    </row>
    <row r="236" spans="1:12" ht="31.2" outlineLevel="1" x14ac:dyDescent="0.3">
      <c r="A236" s="85">
        <f>SUBTOTAL(3,$B$34:B236)</f>
        <v>203</v>
      </c>
      <c r="B236" s="86" t="s">
        <v>1177</v>
      </c>
      <c r="C236" s="90" t="s">
        <v>785</v>
      </c>
      <c r="D236" s="87">
        <v>45627</v>
      </c>
      <c r="E236" s="80">
        <v>1</v>
      </c>
      <c r="F236" s="81">
        <v>237926332</v>
      </c>
      <c r="G236" s="82">
        <v>3</v>
      </c>
      <c r="H236" s="101">
        <v>12</v>
      </c>
      <c r="I236" s="104" t="s">
        <v>1419</v>
      </c>
      <c r="J236" s="88">
        <f t="shared" si="12"/>
        <v>79308777.333333328</v>
      </c>
      <c r="K236" s="89">
        <f t="shared" si="13"/>
        <v>19827194.333333332</v>
      </c>
      <c r="L236" s="89">
        <f t="shared" si="14"/>
        <v>59481583</v>
      </c>
    </row>
    <row r="237" spans="1:12" ht="15.6" outlineLevel="1" x14ac:dyDescent="0.3">
      <c r="A237" s="85">
        <f>SUBTOTAL(3,$B$34:B237)</f>
        <v>204</v>
      </c>
      <c r="B237" s="86" t="s">
        <v>1178</v>
      </c>
      <c r="C237" s="90" t="s">
        <v>786</v>
      </c>
      <c r="D237" s="87">
        <v>45627</v>
      </c>
      <c r="E237" s="80">
        <v>1</v>
      </c>
      <c r="F237" s="81">
        <v>189637410</v>
      </c>
      <c r="G237" s="82">
        <v>3</v>
      </c>
      <c r="H237" s="101">
        <v>12</v>
      </c>
      <c r="I237" s="104" t="s">
        <v>1419</v>
      </c>
      <c r="J237" s="88">
        <f t="shared" si="12"/>
        <v>63212470</v>
      </c>
      <c r="K237" s="89">
        <f t="shared" si="13"/>
        <v>15803117.5</v>
      </c>
      <c r="L237" s="89">
        <f t="shared" si="14"/>
        <v>47409352.5</v>
      </c>
    </row>
    <row r="238" spans="1:12" ht="15.6" outlineLevel="1" x14ac:dyDescent="0.3">
      <c r="A238" s="85">
        <f>SUBTOTAL(3,$B$34:B238)</f>
        <v>205</v>
      </c>
      <c r="B238" s="86" t="s">
        <v>1179</v>
      </c>
      <c r="C238" s="90" t="s">
        <v>787</v>
      </c>
      <c r="D238" s="87">
        <v>45627</v>
      </c>
      <c r="E238" s="80">
        <v>1</v>
      </c>
      <c r="F238" s="81">
        <v>198958500</v>
      </c>
      <c r="G238" s="82">
        <v>3</v>
      </c>
      <c r="H238" s="101">
        <v>12</v>
      </c>
      <c r="I238" s="104" t="s">
        <v>1419</v>
      </c>
      <c r="J238" s="88">
        <f t="shared" si="12"/>
        <v>66319500</v>
      </c>
      <c r="K238" s="89">
        <f t="shared" si="13"/>
        <v>16579875</v>
      </c>
      <c r="L238" s="89">
        <f t="shared" si="14"/>
        <v>49739625</v>
      </c>
    </row>
    <row r="239" spans="1:12" ht="31.2" outlineLevel="1" x14ac:dyDescent="0.3">
      <c r="A239" s="85">
        <f>SUBTOTAL(3,$B$34:B239)</f>
        <v>206</v>
      </c>
      <c r="B239" s="86" t="s">
        <v>1180</v>
      </c>
      <c r="C239" s="90" t="s">
        <v>788</v>
      </c>
      <c r="D239" s="87">
        <v>45627</v>
      </c>
      <c r="E239" s="80">
        <v>1</v>
      </c>
      <c r="F239" s="81">
        <v>1084008774</v>
      </c>
      <c r="G239" s="82">
        <v>3</v>
      </c>
      <c r="H239" s="101">
        <v>12</v>
      </c>
      <c r="I239" s="104" t="s">
        <v>1419</v>
      </c>
      <c r="J239" s="88">
        <f t="shared" si="12"/>
        <v>361336258</v>
      </c>
      <c r="K239" s="89">
        <f t="shared" si="13"/>
        <v>90334064.5</v>
      </c>
      <c r="L239" s="89">
        <f t="shared" si="14"/>
        <v>271002193.5</v>
      </c>
    </row>
    <row r="240" spans="1:12" ht="15.6" outlineLevel="1" x14ac:dyDescent="0.3">
      <c r="A240" s="85">
        <f>SUBTOTAL(3,$B$34:B240)</f>
        <v>207</v>
      </c>
      <c r="B240" s="86" t="s">
        <v>1181</v>
      </c>
      <c r="C240" s="90" t="s">
        <v>789</v>
      </c>
      <c r="D240" s="87">
        <v>45627</v>
      </c>
      <c r="E240" s="80">
        <v>1</v>
      </c>
      <c r="F240" s="81">
        <v>147949511</v>
      </c>
      <c r="G240" s="82">
        <v>1</v>
      </c>
      <c r="H240" s="101">
        <v>12</v>
      </c>
      <c r="I240" s="104" t="s">
        <v>1419</v>
      </c>
      <c r="J240" s="88">
        <f t="shared" si="12"/>
        <v>147949511</v>
      </c>
      <c r="K240" s="89">
        <f t="shared" si="13"/>
        <v>12329125.916666666</v>
      </c>
      <c r="L240" s="89">
        <f t="shared" si="14"/>
        <v>135620385.08333334</v>
      </c>
    </row>
    <row r="241" spans="1:12" ht="15.6" outlineLevel="1" x14ac:dyDescent="0.3">
      <c r="A241" s="85">
        <f>SUBTOTAL(3,$B$34:B241)</f>
        <v>208</v>
      </c>
      <c r="B241" s="86" t="s">
        <v>1182</v>
      </c>
      <c r="C241" s="90" t="s">
        <v>790</v>
      </c>
      <c r="D241" s="87">
        <v>45627</v>
      </c>
      <c r="E241" s="80">
        <v>1</v>
      </c>
      <c r="F241" s="81">
        <v>120047555</v>
      </c>
      <c r="G241" s="82">
        <v>1</v>
      </c>
      <c r="H241" s="101">
        <v>12</v>
      </c>
      <c r="I241" s="104" t="s">
        <v>1419</v>
      </c>
      <c r="J241" s="88">
        <f t="shared" si="12"/>
        <v>120047555</v>
      </c>
      <c r="K241" s="89">
        <f t="shared" si="13"/>
        <v>10003962.916666666</v>
      </c>
      <c r="L241" s="89">
        <f t="shared" si="14"/>
        <v>110043592.08333333</v>
      </c>
    </row>
    <row r="242" spans="1:12" ht="15.6" outlineLevel="1" x14ac:dyDescent="0.3">
      <c r="A242" s="85">
        <f>SUBTOTAL(3,$B$34:B242)</f>
        <v>209</v>
      </c>
      <c r="B242" s="86" t="s">
        <v>1183</v>
      </c>
      <c r="C242" s="90" t="s">
        <v>791</v>
      </c>
      <c r="D242" s="87">
        <v>45627</v>
      </c>
      <c r="E242" s="80">
        <v>1</v>
      </c>
      <c r="F242" s="81">
        <v>1022017750</v>
      </c>
      <c r="G242" s="82">
        <v>3</v>
      </c>
      <c r="H242" s="101">
        <v>12</v>
      </c>
      <c r="I242" s="104" t="s">
        <v>1419</v>
      </c>
      <c r="J242" s="88">
        <f t="shared" si="12"/>
        <v>340672583.33333331</v>
      </c>
      <c r="K242" s="89">
        <f t="shared" si="13"/>
        <v>85168145.833333328</v>
      </c>
      <c r="L242" s="89">
        <f t="shared" si="14"/>
        <v>255504437.5</v>
      </c>
    </row>
    <row r="243" spans="1:12" ht="15.6" outlineLevel="1" x14ac:dyDescent="0.3">
      <c r="A243" s="85">
        <f>SUBTOTAL(3,$B$34:B243)</f>
        <v>210</v>
      </c>
      <c r="B243" s="86" t="s">
        <v>1184</v>
      </c>
      <c r="C243" s="90" t="s">
        <v>792</v>
      </c>
      <c r="D243" s="87">
        <v>45627</v>
      </c>
      <c r="E243" s="80">
        <v>1</v>
      </c>
      <c r="F243" s="81">
        <v>1022017750</v>
      </c>
      <c r="G243" s="82">
        <v>3</v>
      </c>
      <c r="H243" s="101">
        <v>12</v>
      </c>
      <c r="I243" s="104" t="s">
        <v>1419</v>
      </c>
      <c r="J243" s="88">
        <f t="shared" si="12"/>
        <v>340672583.33333331</v>
      </c>
      <c r="K243" s="89">
        <f t="shared" si="13"/>
        <v>85168145.833333328</v>
      </c>
      <c r="L243" s="89">
        <f t="shared" si="14"/>
        <v>255504437.5</v>
      </c>
    </row>
    <row r="244" spans="1:12" ht="15.6" x14ac:dyDescent="0.3">
      <c r="A244" s="76" t="s">
        <v>1420</v>
      </c>
      <c r="B244" s="77"/>
      <c r="C244" s="78" t="s">
        <v>1421</v>
      </c>
      <c r="D244" s="79"/>
      <c r="E244" s="80"/>
      <c r="F244" s="81"/>
      <c r="G244" s="82">
        <v>10</v>
      </c>
      <c r="H244" s="80">
        <v>20</v>
      </c>
      <c r="I244" s="104" t="s">
        <v>1419</v>
      </c>
      <c r="J244" s="82"/>
      <c r="K244" s="82"/>
      <c r="L244" s="82"/>
    </row>
    <row r="245" spans="1:12" ht="15.6" x14ac:dyDescent="0.3">
      <c r="A245" s="76" t="s">
        <v>1422</v>
      </c>
      <c r="B245" s="77"/>
      <c r="C245" s="78" t="s">
        <v>1423</v>
      </c>
      <c r="D245" s="79"/>
      <c r="E245" s="80"/>
      <c r="F245" s="81"/>
      <c r="G245" s="82">
        <v>5</v>
      </c>
      <c r="H245" s="80">
        <v>10</v>
      </c>
      <c r="I245" s="104" t="s">
        <v>1419</v>
      </c>
      <c r="J245" s="82"/>
      <c r="K245" s="82"/>
      <c r="L245" s="82"/>
    </row>
    <row r="246" spans="1:12" ht="15.6" x14ac:dyDescent="0.3">
      <c r="A246" s="76" t="s">
        <v>1424</v>
      </c>
      <c r="B246" s="77"/>
      <c r="C246" s="107" t="s">
        <v>1425</v>
      </c>
      <c r="D246" s="79"/>
      <c r="E246" s="80"/>
      <c r="F246" s="81"/>
      <c r="G246" s="82">
        <v>6</v>
      </c>
      <c r="H246" s="80">
        <v>10</v>
      </c>
      <c r="I246" s="104" t="s">
        <v>1419</v>
      </c>
      <c r="J246" s="82"/>
      <c r="K246" s="82"/>
      <c r="L246" s="82"/>
    </row>
    <row r="247" spans="1:12" ht="15.6" x14ac:dyDescent="0.3">
      <c r="A247" s="76" t="s">
        <v>1426</v>
      </c>
      <c r="B247" s="77"/>
      <c r="C247" s="78" t="s">
        <v>1427</v>
      </c>
      <c r="D247" s="79"/>
      <c r="E247" s="80"/>
      <c r="F247" s="81"/>
      <c r="G247" s="82">
        <v>5</v>
      </c>
      <c r="H247" s="80">
        <v>20</v>
      </c>
      <c r="I247" s="104" t="s">
        <v>1419</v>
      </c>
      <c r="J247" s="82"/>
      <c r="K247" s="82"/>
      <c r="L247" s="82"/>
    </row>
    <row r="248" spans="1:12" ht="15.6" x14ac:dyDescent="0.3">
      <c r="A248" s="76" t="s">
        <v>1428</v>
      </c>
      <c r="B248" s="77"/>
      <c r="C248" s="78" t="s">
        <v>1429</v>
      </c>
      <c r="D248" s="79"/>
      <c r="E248" s="80"/>
      <c r="F248" s="81"/>
      <c r="G248" s="82">
        <v>6</v>
      </c>
      <c r="H248" s="80">
        <v>10</v>
      </c>
      <c r="I248" s="104" t="s">
        <v>1419</v>
      </c>
      <c r="J248" s="82"/>
      <c r="K248" s="82"/>
      <c r="L248" s="82"/>
    </row>
    <row r="249" spans="1:12" ht="15.6" outlineLevel="1" x14ac:dyDescent="0.3">
      <c r="A249" s="85">
        <v>1</v>
      </c>
      <c r="B249" s="86" t="s">
        <v>1068</v>
      </c>
      <c r="C249" s="90" t="s">
        <v>706</v>
      </c>
      <c r="D249" s="87">
        <v>44414</v>
      </c>
      <c r="E249" s="80">
        <v>1</v>
      </c>
      <c r="F249" s="81">
        <v>125000000</v>
      </c>
      <c r="G249" s="82">
        <v>5</v>
      </c>
      <c r="H249" s="80">
        <v>10</v>
      </c>
      <c r="I249" s="104" t="s">
        <v>1419</v>
      </c>
      <c r="J249" s="88">
        <f t="shared" ref="J249:J294" si="15">F249/G249</f>
        <v>25000000</v>
      </c>
      <c r="K249" s="89">
        <f t="shared" ref="K249:K294" si="16">F249/H249</f>
        <v>12500000</v>
      </c>
      <c r="L249" s="89">
        <f t="shared" ref="L249:L294" si="17">J249-K249</f>
        <v>12500000</v>
      </c>
    </row>
    <row r="250" spans="1:12" ht="15.6" outlineLevel="1" x14ac:dyDescent="0.3">
      <c r="A250" s="85">
        <v>2</v>
      </c>
      <c r="B250" s="86" t="s">
        <v>1069</v>
      </c>
      <c r="C250" s="90" t="s">
        <v>707</v>
      </c>
      <c r="D250" s="87">
        <v>44501</v>
      </c>
      <c r="E250" s="80">
        <v>1</v>
      </c>
      <c r="F250" s="81">
        <v>127934000</v>
      </c>
      <c r="G250" s="82">
        <v>6</v>
      </c>
      <c r="H250" s="80">
        <v>10</v>
      </c>
      <c r="I250" s="104" t="s">
        <v>1419</v>
      </c>
      <c r="J250" s="88">
        <f t="shared" si="15"/>
        <v>21322333.333333332</v>
      </c>
      <c r="K250" s="89">
        <f t="shared" si="16"/>
        <v>12793400</v>
      </c>
      <c r="L250" s="89">
        <f t="shared" si="17"/>
        <v>8528933.3333333321</v>
      </c>
    </row>
    <row r="251" spans="1:12" ht="28.5" customHeight="1" outlineLevel="1" x14ac:dyDescent="0.3">
      <c r="A251" s="85">
        <v>3</v>
      </c>
      <c r="B251" s="86" t="s">
        <v>1070</v>
      </c>
      <c r="C251" s="90" t="s">
        <v>708</v>
      </c>
      <c r="D251" s="87">
        <v>44510</v>
      </c>
      <c r="E251" s="80">
        <v>2</v>
      </c>
      <c r="F251" s="81">
        <v>165000000</v>
      </c>
      <c r="G251" s="82">
        <v>6</v>
      </c>
      <c r="H251" s="80">
        <v>10</v>
      </c>
      <c r="I251" s="104" t="s">
        <v>1419</v>
      </c>
      <c r="J251" s="88">
        <f t="shared" si="15"/>
        <v>27500000</v>
      </c>
      <c r="K251" s="89">
        <f t="shared" si="16"/>
        <v>16500000</v>
      </c>
      <c r="L251" s="89">
        <f t="shared" si="17"/>
        <v>11000000</v>
      </c>
    </row>
    <row r="252" spans="1:12" ht="25.05" customHeight="1" outlineLevel="1" x14ac:dyDescent="0.3">
      <c r="A252" s="85">
        <v>4</v>
      </c>
      <c r="B252" s="86" t="s">
        <v>1071</v>
      </c>
      <c r="C252" s="90" t="s">
        <v>709</v>
      </c>
      <c r="D252" s="87">
        <v>44593</v>
      </c>
      <c r="E252" s="80">
        <v>1</v>
      </c>
      <c r="F252" s="81">
        <v>122500000</v>
      </c>
      <c r="G252" s="82">
        <v>5</v>
      </c>
      <c r="H252" s="80">
        <v>10</v>
      </c>
      <c r="I252" s="104" t="s">
        <v>1419</v>
      </c>
      <c r="J252" s="88">
        <f t="shared" si="15"/>
        <v>24500000</v>
      </c>
      <c r="K252" s="89">
        <f t="shared" si="16"/>
        <v>12250000</v>
      </c>
      <c r="L252" s="89">
        <f t="shared" si="17"/>
        <v>12250000</v>
      </c>
    </row>
    <row r="253" spans="1:12" ht="33.6" customHeight="1" outlineLevel="1" x14ac:dyDescent="0.3">
      <c r="A253" s="85">
        <v>5</v>
      </c>
      <c r="B253" s="86" t="s">
        <v>1072</v>
      </c>
      <c r="C253" s="90" t="s">
        <v>710</v>
      </c>
      <c r="D253" s="87">
        <v>44634</v>
      </c>
      <c r="E253" s="80">
        <v>1</v>
      </c>
      <c r="F253" s="81">
        <v>85000000</v>
      </c>
      <c r="G253" s="82">
        <v>6</v>
      </c>
      <c r="H253" s="80">
        <v>10</v>
      </c>
      <c r="I253" s="104" t="s">
        <v>1419</v>
      </c>
      <c r="J253" s="88">
        <f t="shared" si="15"/>
        <v>14166666.666666666</v>
      </c>
      <c r="K253" s="89">
        <f t="shared" si="16"/>
        <v>8500000</v>
      </c>
      <c r="L253" s="89">
        <f t="shared" si="17"/>
        <v>5666666.666666666</v>
      </c>
    </row>
    <row r="254" spans="1:12" ht="31.2" outlineLevel="1" x14ac:dyDescent="0.3">
      <c r="A254" s="85">
        <v>6</v>
      </c>
      <c r="B254" s="86" t="s">
        <v>1073</v>
      </c>
      <c r="C254" s="90" t="s">
        <v>711</v>
      </c>
      <c r="D254" s="87">
        <v>44673</v>
      </c>
      <c r="E254" s="80">
        <v>1</v>
      </c>
      <c r="F254" s="81">
        <v>600000000</v>
      </c>
      <c r="G254" s="82">
        <v>6</v>
      </c>
      <c r="H254" s="80">
        <v>10</v>
      </c>
      <c r="I254" s="104" t="s">
        <v>1419</v>
      </c>
      <c r="J254" s="88">
        <f t="shared" si="15"/>
        <v>100000000</v>
      </c>
      <c r="K254" s="89">
        <f t="shared" si="16"/>
        <v>60000000</v>
      </c>
      <c r="L254" s="89">
        <f t="shared" si="17"/>
        <v>40000000</v>
      </c>
    </row>
    <row r="255" spans="1:12" ht="31.2" outlineLevel="1" x14ac:dyDescent="0.3">
      <c r="A255" s="85">
        <v>7</v>
      </c>
      <c r="B255" s="86" t="s">
        <v>1074</v>
      </c>
      <c r="C255" s="90" t="s">
        <v>712</v>
      </c>
      <c r="D255" s="87">
        <v>44673</v>
      </c>
      <c r="E255" s="80">
        <v>1</v>
      </c>
      <c r="F255" s="81">
        <v>162000000</v>
      </c>
      <c r="G255" s="82">
        <v>6</v>
      </c>
      <c r="H255" s="80">
        <v>10</v>
      </c>
      <c r="I255" s="104" t="s">
        <v>1419</v>
      </c>
      <c r="J255" s="88">
        <f t="shared" si="15"/>
        <v>27000000</v>
      </c>
      <c r="K255" s="89">
        <f t="shared" si="16"/>
        <v>16200000</v>
      </c>
      <c r="L255" s="89">
        <f t="shared" si="17"/>
        <v>10800000</v>
      </c>
    </row>
    <row r="256" spans="1:12" ht="27" customHeight="1" outlineLevel="1" x14ac:dyDescent="0.3">
      <c r="A256" s="85">
        <v>8</v>
      </c>
      <c r="B256" s="86" t="s">
        <v>1075</v>
      </c>
      <c r="C256" s="90" t="s">
        <v>713</v>
      </c>
      <c r="D256" s="87">
        <v>44757</v>
      </c>
      <c r="E256" s="80">
        <v>1</v>
      </c>
      <c r="F256" s="81">
        <v>1191602171</v>
      </c>
      <c r="G256" s="82">
        <v>8</v>
      </c>
      <c r="H256" s="80">
        <v>10</v>
      </c>
      <c r="I256" s="104" t="s">
        <v>1419</v>
      </c>
      <c r="J256" s="88">
        <f t="shared" si="15"/>
        <v>148950271.375</v>
      </c>
      <c r="K256" s="89">
        <f t="shared" si="16"/>
        <v>119160217.09999999</v>
      </c>
      <c r="L256" s="89">
        <f t="shared" si="17"/>
        <v>29790054.275000006</v>
      </c>
    </row>
    <row r="257" spans="1:12" ht="30" customHeight="1" outlineLevel="1" x14ac:dyDescent="0.3">
      <c r="A257" s="85">
        <v>9</v>
      </c>
      <c r="B257" s="86" t="s">
        <v>1076</v>
      </c>
      <c r="C257" s="90" t="s">
        <v>714</v>
      </c>
      <c r="D257" s="87">
        <v>44722</v>
      </c>
      <c r="E257" s="80">
        <v>1</v>
      </c>
      <c r="F257" s="81">
        <v>472000000</v>
      </c>
      <c r="G257" s="82">
        <v>5</v>
      </c>
      <c r="H257" s="80">
        <v>10</v>
      </c>
      <c r="I257" s="104" t="s">
        <v>1419</v>
      </c>
      <c r="J257" s="88">
        <f t="shared" si="15"/>
        <v>94400000</v>
      </c>
      <c r="K257" s="89">
        <f t="shared" si="16"/>
        <v>47200000</v>
      </c>
      <c r="L257" s="89">
        <f t="shared" si="17"/>
        <v>47200000</v>
      </c>
    </row>
    <row r="258" spans="1:12" ht="32.549999999999997" customHeight="1" outlineLevel="1" x14ac:dyDescent="0.3">
      <c r="A258" s="85">
        <v>10</v>
      </c>
      <c r="B258" s="86" t="s">
        <v>1077</v>
      </c>
      <c r="C258" s="90" t="s">
        <v>715</v>
      </c>
      <c r="D258" s="87">
        <v>44873</v>
      </c>
      <c r="E258" s="80">
        <v>1</v>
      </c>
      <c r="F258" s="81">
        <v>1309027251</v>
      </c>
      <c r="G258" s="82">
        <v>8</v>
      </c>
      <c r="H258" s="80">
        <v>10</v>
      </c>
      <c r="I258" s="104" t="s">
        <v>1419</v>
      </c>
      <c r="J258" s="88">
        <f t="shared" si="15"/>
        <v>163628406.375</v>
      </c>
      <c r="K258" s="89">
        <f t="shared" si="16"/>
        <v>130902725.09999999</v>
      </c>
      <c r="L258" s="89">
        <f t="shared" si="17"/>
        <v>32725681.275000006</v>
      </c>
    </row>
    <row r="259" spans="1:12" ht="31.05" customHeight="1" outlineLevel="1" x14ac:dyDescent="0.3">
      <c r="A259" s="85">
        <v>11</v>
      </c>
      <c r="B259" s="86" t="s">
        <v>1078</v>
      </c>
      <c r="C259" s="90" t="s">
        <v>716</v>
      </c>
      <c r="D259" s="87">
        <v>44873</v>
      </c>
      <c r="E259" s="80">
        <v>1</v>
      </c>
      <c r="F259" s="81">
        <v>1309027247</v>
      </c>
      <c r="G259" s="82">
        <v>8</v>
      </c>
      <c r="H259" s="80">
        <v>10</v>
      </c>
      <c r="I259" s="104" t="s">
        <v>1419</v>
      </c>
      <c r="J259" s="88">
        <f t="shared" si="15"/>
        <v>163628405.875</v>
      </c>
      <c r="K259" s="89">
        <f t="shared" si="16"/>
        <v>130902724.7</v>
      </c>
      <c r="L259" s="89">
        <f t="shared" si="17"/>
        <v>32725681.174999997</v>
      </c>
    </row>
    <row r="260" spans="1:12" ht="15.6" outlineLevel="1" x14ac:dyDescent="0.3">
      <c r="A260" s="85">
        <v>12</v>
      </c>
      <c r="B260" s="86" t="s">
        <v>1079</v>
      </c>
      <c r="C260" s="90" t="s">
        <v>717</v>
      </c>
      <c r="D260" s="87">
        <v>44896</v>
      </c>
      <c r="E260" s="80">
        <v>1</v>
      </c>
      <c r="F260" s="81">
        <v>450000000</v>
      </c>
      <c r="G260" s="82">
        <v>5</v>
      </c>
      <c r="H260" s="80">
        <v>10</v>
      </c>
      <c r="I260" s="104" t="s">
        <v>1419</v>
      </c>
      <c r="J260" s="88">
        <f t="shared" si="15"/>
        <v>90000000</v>
      </c>
      <c r="K260" s="89">
        <f t="shared" si="16"/>
        <v>45000000</v>
      </c>
      <c r="L260" s="89">
        <f t="shared" si="17"/>
        <v>45000000</v>
      </c>
    </row>
    <row r="261" spans="1:12" ht="15.6" outlineLevel="1" x14ac:dyDescent="0.3">
      <c r="A261" s="85">
        <v>13</v>
      </c>
      <c r="B261" s="86" t="s">
        <v>1080</v>
      </c>
      <c r="C261" s="90" t="s">
        <v>718</v>
      </c>
      <c r="D261" s="87">
        <v>45028</v>
      </c>
      <c r="E261" s="80">
        <v>1</v>
      </c>
      <c r="F261" s="81">
        <v>515000000</v>
      </c>
      <c r="G261" s="82">
        <v>10</v>
      </c>
      <c r="H261" s="80">
        <v>10</v>
      </c>
      <c r="I261" s="104" t="s">
        <v>1419</v>
      </c>
      <c r="J261" s="88">
        <f t="shared" si="15"/>
        <v>51500000</v>
      </c>
      <c r="K261" s="89">
        <f t="shared" si="16"/>
        <v>51500000</v>
      </c>
      <c r="L261" s="89">
        <f t="shared" si="17"/>
        <v>0</v>
      </c>
    </row>
    <row r="262" spans="1:12" ht="15.6" outlineLevel="1" x14ac:dyDescent="0.3">
      <c r="A262" s="85">
        <v>14</v>
      </c>
      <c r="B262" s="86" t="s">
        <v>1081</v>
      </c>
      <c r="C262" s="90" t="s">
        <v>719</v>
      </c>
      <c r="D262" s="87">
        <v>45028</v>
      </c>
      <c r="E262" s="80">
        <v>1</v>
      </c>
      <c r="F262" s="81">
        <v>465000000</v>
      </c>
      <c r="G262" s="82">
        <v>10</v>
      </c>
      <c r="H262" s="80">
        <v>10</v>
      </c>
      <c r="I262" s="104" t="s">
        <v>1419</v>
      </c>
      <c r="J262" s="88">
        <f t="shared" si="15"/>
        <v>46500000</v>
      </c>
      <c r="K262" s="89">
        <f t="shared" si="16"/>
        <v>46500000</v>
      </c>
      <c r="L262" s="89">
        <f t="shared" si="17"/>
        <v>0</v>
      </c>
    </row>
    <row r="263" spans="1:12" ht="15.6" outlineLevel="1" x14ac:dyDescent="0.3">
      <c r="A263" s="85">
        <v>15</v>
      </c>
      <c r="B263" s="86" t="s">
        <v>1082</v>
      </c>
      <c r="C263" s="90" t="s">
        <v>720</v>
      </c>
      <c r="D263" s="87">
        <v>45028</v>
      </c>
      <c r="E263" s="80">
        <v>1</v>
      </c>
      <c r="F263" s="81">
        <v>465000000</v>
      </c>
      <c r="G263" s="82">
        <v>6</v>
      </c>
      <c r="H263" s="80">
        <v>10</v>
      </c>
      <c r="I263" s="104" t="s">
        <v>1419</v>
      </c>
      <c r="J263" s="88">
        <f t="shared" si="15"/>
        <v>77500000</v>
      </c>
      <c r="K263" s="89">
        <f t="shared" si="16"/>
        <v>46500000</v>
      </c>
      <c r="L263" s="89">
        <f t="shared" si="17"/>
        <v>31000000</v>
      </c>
    </row>
    <row r="264" spans="1:12" ht="15.6" outlineLevel="1" x14ac:dyDescent="0.3">
      <c r="A264" s="85">
        <v>16</v>
      </c>
      <c r="B264" s="86" t="s">
        <v>1083</v>
      </c>
      <c r="C264" s="90" t="s">
        <v>721</v>
      </c>
      <c r="D264" s="87">
        <v>45028</v>
      </c>
      <c r="E264" s="80">
        <v>1</v>
      </c>
      <c r="F264" s="81">
        <v>515000000</v>
      </c>
      <c r="G264" s="82">
        <v>6</v>
      </c>
      <c r="H264" s="80">
        <v>10</v>
      </c>
      <c r="I264" s="104" t="s">
        <v>1419</v>
      </c>
      <c r="J264" s="88">
        <f t="shared" si="15"/>
        <v>85833333.333333328</v>
      </c>
      <c r="K264" s="89">
        <f t="shared" si="16"/>
        <v>51500000</v>
      </c>
      <c r="L264" s="89">
        <f t="shared" si="17"/>
        <v>34333333.333333328</v>
      </c>
    </row>
    <row r="265" spans="1:12" ht="31.2" outlineLevel="1" x14ac:dyDescent="0.3">
      <c r="A265" s="85">
        <v>17</v>
      </c>
      <c r="B265" s="86" t="s">
        <v>1084</v>
      </c>
      <c r="C265" s="90" t="s">
        <v>722</v>
      </c>
      <c r="D265" s="87">
        <v>45444</v>
      </c>
      <c r="E265" s="80">
        <v>1</v>
      </c>
      <c r="F265" s="81">
        <v>37962963</v>
      </c>
      <c r="G265" s="82">
        <v>5</v>
      </c>
      <c r="H265" s="80">
        <v>10</v>
      </c>
      <c r="I265" s="104" t="s">
        <v>1419</v>
      </c>
      <c r="J265" s="88">
        <f t="shared" si="15"/>
        <v>7592592.5999999996</v>
      </c>
      <c r="K265" s="89">
        <f t="shared" si="16"/>
        <v>3796296.3</v>
      </c>
      <c r="L265" s="89">
        <f t="shared" si="17"/>
        <v>3796296.3</v>
      </c>
    </row>
    <row r="266" spans="1:12" ht="31.2" outlineLevel="1" x14ac:dyDescent="0.3">
      <c r="A266" s="85">
        <v>18</v>
      </c>
      <c r="B266" s="86" t="s">
        <v>1085</v>
      </c>
      <c r="C266" s="90" t="s">
        <v>723</v>
      </c>
      <c r="D266" s="87">
        <v>45444</v>
      </c>
      <c r="E266" s="80">
        <v>1</v>
      </c>
      <c r="F266" s="81">
        <v>37962963</v>
      </c>
      <c r="G266" s="82">
        <v>5</v>
      </c>
      <c r="H266" s="80">
        <v>10</v>
      </c>
      <c r="I266" s="104" t="s">
        <v>1419</v>
      </c>
      <c r="J266" s="88">
        <f t="shared" si="15"/>
        <v>7592592.5999999996</v>
      </c>
      <c r="K266" s="89">
        <f t="shared" si="16"/>
        <v>3796296.3</v>
      </c>
      <c r="L266" s="89">
        <f t="shared" si="17"/>
        <v>3796296.3</v>
      </c>
    </row>
    <row r="267" spans="1:12" ht="15.6" outlineLevel="1" x14ac:dyDescent="0.3">
      <c r="A267" s="85">
        <v>19</v>
      </c>
      <c r="B267" s="86" t="s">
        <v>1086</v>
      </c>
      <c r="C267" s="90" t="s">
        <v>724</v>
      </c>
      <c r="D267" s="87">
        <v>45627</v>
      </c>
      <c r="E267" s="80">
        <v>1</v>
      </c>
      <c r="F267" s="81">
        <v>116500000</v>
      </c>
      <c r="G267" s="82">
        <v>5</v>
      </c>
      <c r="H267" s="80">
        <v>10</v>
      </c>
      <c r="I267" s="104" t="s">
        <v>1419</v>
      </c>
      <c r="J267" s="88">
        <f t="shared" si="15"/>
        <v>23300000</v>
      </c>
      <c r="K267" s="89">
        <f t="shared" si="16"/>
        <v>11650000</v>
      </c>
      <c r="L267" s="89">
        <f t="shared" si="17"/>
        <v>11650000</v>
      </c>
    </row>
    <row r="268" spans="1:12" ht="31.2" outlineLevel="1" x14ac:dyDescent="0.3">
      <c r="A268" s="85">
        <v>20</v>
      </c>
      <c r="B268" s="86" t="s">
        <v>1087</v>
      </c>
      <c r="C268" s="90" t="s">
        <v>725</v>
      </c>
      <c r="D268" s="87">
        <v>45748</v>
      </c>
      <c r="E268" s="80">
        <v>2</v>
      </c>
      <c r="F268" s="81">
        <v>290000000</v>
      </c>
      <c r="G268" s="82">
        <v>5</v>
      </c>
      <c r="H268" s="80">
        <v>10</v>
      </c>
      <c r="I268" s="104" t="s">
        <v>1419</v>
      </c>
      <c r="J268" s="88">
        <f t="shared" si="15"/>
        <v>58000000</v>
      </c>
      <c r="K268" s="89">
        <f t="shared" si="16"/>
        <v>29000000</v>
      </c>
      <c r="L268" s="89">
        <f t="shared" si="17"/>
        <v>29000000</v>
      </c>
    </row>
    <row r="269" spans="1:12" ht="15.6" outlineLevel="1" x14ac:dyDescent="0.3">
      <c r="A269" s="85">
        <v>21</v>
      </c>
      <c r="B269" s="86" t="s">
        <v>1088</v>
      </c>
      <c r="C269" s="90" t="s">
        <v>726</v>
      </c>
      <c r="D269" s="87">
        <v>45839</v>
      </c>
      <c r="E269" s="80">
        <v>1</v>
      </c>
      <c r="F269" s="81">
        <v>70750000</v>
      </c>
      <c r="G269" s="82">
        <v>6</v>
      </c>
      <c r="H269" s="80">
        <v>10</v>
      </c>
      <c r="I269" s="104" t="s">
        <v>1419</v>
      </c>
      <c r="J269" s="88">
        <f t="shared" si="15"/>
        <v>11791666.666666666</v>
      </c>
      <c r="K269" s="89">
        <f t="shared" si="16"/>
        <v>7075000</v>
      </c>
      <c r="L269" s="89">
        <f t="shared" si="17"/>
        <v>4716666.666666666</v>
      </c>
    </row>
    <row r="270" spans="1:12" ht="27" customHeight="1" outlineLevel="1" x14ac:dyDescent="0.3">
      <c r="A270" s="85">
        <v>22</v>
      </c>
      <c r="B270" s="86" t="s">
        <v>1089</v>
      </c>
      <c r="C270" s="90" t="s">
        <v>727</v>
      </c>
      <c r="D270" s="87">
        <v>45748</v>
      </c>
      <c r="E270" s="80">
        <v>2</v>
      </c>
      <c r="F270" s="81">
        <v>37962963</v>
      </c>
      <c r="G270" s="82">
        <v>5</v>
      </c>
      <c r="H270" s="80">
        <v>10</v>
      </c>
      <c r="I270" s="104" t="s">
        <v>1419</v>
      </c>
      <c r="J270" s="88">
        <f t="shared" si="15"/>
        <v>7592592.5999999996</v>
      </c>
      <c r="K270" s="89">
        <f t="shared" si="16"/>
        <v>3796296.3</v>
      </c>
      <c r="L270" s="89">
        <f t="shared" si="17"/>
        <v>3796296.3</v>
      </c>
    </row>
    <row r="271" spans="1:12" ht="27" customHeight="1" outlineLevel="1" x14ac:dyDescent="0.3">
      <c r="A271" s="85">
        <v>23</v>
      </c>
      <c r="B271" s="86" t="s">
        <v>1090</v>
      </c>
      <c r="C271" s="90" t="s">
        <v>728</v>
      </c>
      <c r="D271" s="87">
        <v>45778</v>
      </c>
      <c r="E271" s="80">
        <v>2</v>
      </c>
      <c r="F271" s="81">
        <v>37962963</v>
      </c>
      <c r="G271" s="82">
        <v>3</v>
      </c>
      <c r="H271" s="80">
        <v>10</v>
      </c>
      <c r="I271" s="104" t="s">
        <v>1419</v>
      </c>
      <c r="J271" s="88">
        <f t="shared" si="15"/>
        <v>12654321</v>
      </c>
      <c r="K271" s="89">
        <f t="shared" si="16"/>
        <v>3796296.3</v>
      </c>
      <c r="L271" s="89">
        <f t="shared" si="17"/>
        <v>8858024.6999999993</v>
      </c>
    </row>
    <row r="272" spans="1:12" ht="30" customHeight="1" outlineLevel="1" x14ac:dyDescent="0.3">
      <c r="A272" s="85">
        <v>24</v>
      </c>
      <c r="B272" s="86" t="s">
        <v>1091</v>
      </c>
      <c r="C272" s="90" t="s">
        <v>729</v>
      </c>
      <c r="D272" s="87">
        <v>45778</v>
      </c>
      <c r="E272" s="80">
        <v>2</v>
      </c>
      <c r="F272" s="81">
        <v>37962963</v>
      </c>
      <c r="G272" s="82">
        <v>3</v>
      </c>
      <c r="H272" s="80">
        <v>10</v>
      </c>
      <c r="I272" s="104" t="s">
        <v>1419</v>
      </c>
      <c r="J272" s="88">
        <f t="shared" si="15"/>
        <v>12654321</v>
      </c>
      <c r="K272" s="89">
        <f t="shared" si="16"/>
        <v>3796296.3</v>
      </c>
      <c r="L272" s="89">
        <f t="shared" si="17"/>
        <v>8858024.6999999993</v>
      </c>
    </row>
    <row r="273" spans="1:12" ht="30.6" customHeight="1" outlineLevel="1" x14ac:dyDescent="0.3">
      <c r="A273" s="85">
        <v>25</v>
      </c>
      <c r="B273" s="86" t="s">
        <v>1092</v>
      </c>
      <c r="C273" s="90" t="s">
        <v>730</v>
      </c>
      <c r="D273" s="87">
        <v>45839</v>
      </c>
      <c r="E273" s="80">
        <v>2</v>
      </c>
      <c r="F273" s="81">
        <v>37962963</v>
      </c>
      <c r="G273" s="82">
        <v>3</v>
      </c>
      <c r="H273" s="80">
        <v>10</v>
      </c>
      <c r="I273" s="104" t="s">
        <v>1419</v>
      </c>
      <c r="J273" s="88">
        <f t="shared" si="15"/>
        <v>12654321</v>
      </c>
      <c r="K273" s="89">
        <f t="shared" si="16"/>
        <v>3796296.3</v>
      </c>
      <c r="L273" s="89">
        <f t="shared" si="17"/>
        <v>8858024.6999999993</v>
      </c>
    </row>
    <row r="274" spans="1:12" ht="31.2" outlineLevel="1" x14ac:dyDescent="0.3">
      <c r="A274" s="85">
        <v>26</v>
      </c>
      <c r="B274" s="86" t="s">
        <v>1093</v>
      </c>
      <c r="C274" s="90" t="s">
        <v>731</v>
      </c>
      <c r="D274" s="87">
        <v>45839</v>
      </c>
      <c r="E274" s="80">
        <v>2</v>
      </c>
      <c r="F274" s="81">
        <v>37962963</v>
      </c>
      <c r="G274" s="82">
        <v>3</v>
      </c>
      <c r="H274" s="80">
        <v>10</v>
      </c>
      <c r="I274" s="104" t="s">
        <v>1419</v>
      </c>
      <c r="J274" s="88">
        <f t="shared" si="15"/>
        <v>12654321</v>
      </c>
      <c r="K274" s="89">
        <f t="shared" si="16"/>
        <v>3796296.3</v>
      </c>
      <c r="L274" s="89">
        <f t="shared" si="17"/>
        <v>8858024.6999999993</v>
      </c>
    </row>
    <row r="275" spans="1:12" ht="28.5" customHeight="1" outlineLevel="1" x14ac:dyDescent="0.3">
      <c r="A275" s="85">
        <v>27</v>
      </c>
      <c r="B275" s="86" t="s">
        <v>1094</v>
      </c>
      <c r="C275" s="90" t="s">
        <v>732</v>
      </c>
      <c r="D275" s="87">
        <v>45839</v>
      </c>
      <c r="E275" s="80">
        <v>2</v>
      </c>
      <c r="F275" s="81">
        <v>39000000</v>
      </c>
      <c r="G275" s="82">
        <v>3</v>
      </c>
      <c r="H275" s="80">
        <v>10</v>
      </c>
      <c r="I275" s="104" t="s">
        <v>1419</v>
      </c>
      <c r="J275" s="88">
        <f t="shared" si="15"/>
        <v>13000000</v>
      </c>
      <c r="K275" s="89">
        <f t="shared" si="16"/>
        <v>3900000</v>
      </c>
      <c r="L275" s="89">
        <f t="shared" si="17"/>
        <v>9100000</v>
      </c>
    </row>
    <row r="276" spans="1:12" ht="15.6" outlineLevel="1" x14ac:dyDescent="0.3">
      <c r="A276" s="85">
        <v>28</v>
      </c>
      <c r="B276" s="86" t="s">
        <v>1095</v>
      </c>
      <c r="C276" s="90" t="s">
        <v>703</v>
      </c>
      <c r="D276" s="87">
        <v>44334</v>
      </c>
      <c r="E276" s="80">
        <v>5</v>
      </c>
      <c r="F276" s="81">
        <v>565832789</v>
      </c>
      <c r="G276" s="82">
        <v>8</v>
      </c>
      <c r="H276" s="80">
        <v>10</v>
      </c>
      <c r="I276" s="104" t="s">
        <v>1419</v>
      </c>
      <c r="J276" s="88">
        <f t="shared" si="15"/>
        <v>70729098.625</v>
      </c>
      <c r="K276" s="89">
        <f t="shared" si="16"/>
        <v>56583278.899999999</v>
      </c>
      <c r="L276" s="89">
        <f t="shared" si="17"/>
        <v>14145819.725000001</v>
      </c>
    </row>
    <row r="277" spans="1:12" ht="31.2" outlineLevel="1" x14ac:dyDescent="0.3">
      <c r="A277" s="85">
        <v>29</v>
      </c>
      <c r="B277" s="86" t="s">
        <v>1096</v>
      </c>
      <c r="C277" s="90" t="s">
        <v>704</v>
      </c>
      <c r="D277" s="87">
        <v>44986</v>
      </c>
      <c r="E277" s="80">
        <v>2</v>
      </c>
      <c r="F277" s="81">
        <v>280000000</v>
      </c>
      <c r="G277" s="82">
        <v>3</v>
      </c>
      <c r="H277" s="80">
        <v>10</v>
      </c>
      <c r="I277" s="104" t="s">
        <v>1419</v>
      </c>
      <c r="J277" s="88">
        <f t="shared" si="15"/>
        <v>93333333.333333328</v>
      </c>
      <c r="K277" s="89">
        <f t="shared" si="16"/>
        <v>28000000</v>
      </c>
      <c r="L277" s="89">
        <f t="shared" si="17"/>
        <v>65333333.333333328</v>
      </c>
    </row>
    <row r="278" spans="1:12" ht="31.2" outlineLevel="1" x14ac:dyDescent="0.3">
      <c r="A278" s="85">
        <v>30</v>
      </c>
      <c r="B278" s="86" t="s">
        <v>1097</v>
      </c>
      <c r="C278" s="90" t="s">
        <v>705</v>
      </c>
      <c r="D278" s="87">
        <v>44986</v>
      </c>
      <c r="E278" s="80">
        <v>2</v>
      </c>
      <c r="F278" s="81">
        <v>210000000</v>
      </c>
      <c r="G278" s="82">
        <v>3</v>
      </c>
      <c r="H278" s="80">
        <v>10</v>
      </c>
      <c r="I278" s="104" t="s">
        <v>1419</v>
      </c>
      <c r="J278" s="88">
        <f t="shared" si="15"/>
        <v>70000000</v>
      </c>
      <c r="K278" s="89">
        <f t="shared" si="16"/>
        <v>21000000</v>
      </c>
      <c r="L278" s="89">
        <f t="shared" si="17"/>
        <v>49000000</v>
      </c>
    </row>
    <row r="279" spans="1:12" ht="15.6" outlineLevel="1" x14ac:dyDescent="0.3">
      <c r="A279" s="85">
        <v>31</v>
      </c>
      <c r="B279" s="86" t="s">
        <v>1185</v>
      </c>
      <c r="C279" s="90" t="s">
        <v>803</v>
      </c>
      <c r="D279" s="87">
        <v>45627</v>
      </c>
      <c r="E279" s="80">
        <v>1</v>
      </c>
      <c r="F279" s="81">
        <v>210526315</v>
      </c>
      <c r="G279" s="82">
        <v>1</v>
      </c>
      <c r="H279" s="80">
        <v>10</v>
      </c>
      <c r="I279" s="104" t="s">
        <v>1419</v>
      </c>
      <c r="J279" s="88">
        <f t="shared" si="15"/>
        <v>210526315</v>
      </c>
      <c r="K279" s="89">
        <f t="shared" si="16"/>
        <v>21052631.5</v>
      </c>
      <c r="L279" s="89">
        <f t="shared" si="17"/>
        <v>189473683.5</v>
      </c>
    </row>
    <row r="280" spans="1:12" ht="31.2" outlineLevel="1" x14ac:dyDescent="0.3">
      <c r="A280" s="85">
        <v>32</v>
      </c>
      <c r="B280" s="86" t="s">
        <v>1186</v>
      </c>
      <c r="C280" s="90" t="s">
        <v>804</v>
      </c>
      <c r="D280" s="87">
        <v>45627</v>
      </c>
      <c r="E280" s="80">
        <v>1</v>
      </c>
      <c r="F280" s="81">
        <v>292916667</v>
      </c>
      <c r="G280" s="82">
        <v>3</v>
      </c>
      <c r="H280" s="80">
        <v>10</v>
      </c>
      <c r="I280" s="104" t="s">
        <v>1419</v>
      </c>
      <c r="J280" s="88">
        <f t="shared" si="15"/>
        <v>97638889</v>
      </c>
      <c r="K280" s="89">
        <f t="shared" si="16"/>
        <v>29291666.699999999</v>
      </c>
      <c r="L280" s="89">
        <f t="shared" si="17"/>
        <v>68347222.299999997</v>
      </c>
    </row>
    <row r="281" spans="1:12" ht="31.2" outlineLevel="1" x14ac:dyDescent="0.3">
      <c r="A281" s="85">
        <v>33</v>
      </c>
      <c r="B281" s="86" t="s">
        <v>1187</v>
      </c>
      <c r="C281" s="90" t="s">
        <v>805</v>
      </c>
      <c r="D281" s="87">
        <v>45627</v>
      </c>
      <c r="E281" s="80">
        <v>1</v>
      </c>
      <c r="F281" s="81">
        <v>301000000</v>
      </c>
      <c r="G281" s="82">
        <v>3</v>
      </c>
      <c r="H281" s="80">
        <v>10</v>
      </c>
      <c r="I281" s="104" t="s">
        <v>1419</v>
      </c>
      <c r="J281" s="88">
        <f t="shared" si="15"/>
        <v>100333333.33333333</v>
      </c>
      <c r="K281" s="89">
        <f t="shared" si="16"/>
        <v>30100000</v>
      </c>
      <c r="L281" s="89">
        <f t="shared" si="17"/>
        <v>70233333.333333328</v>
      </c>
    </row>
    <row r="282" spans="1:12" ht="31.2" outlineLevel="1" x14ac:dyDescent="0.3">
      <c r="A282" s="85">
        <v>34</v>
      </c>
      <c r="B282" s="86" t="s">
        <v>1188</v>
      </c>
      <c r="C282" s="90" t="s">
        <v>806</v>
      </c>
      <c r="D282" s="87">
        <v>45627</v>
      </c>
      <c r="E282" s="80">
        <v>1</v>
      </c>
      <c r="F282" s="81">
        <v>177833334</v>
      </c>
      <c r="G282" s="82">
        <v>4</v>
      </c>
      <c r="H282" s="80">
        <v>10</v>
      </c>
      <c r="I282" s="104" t="s">
        <v>1419</v>
      </c>
      <c r="J282" s="88">
        <f t="shared" si="15"/>
        <v>44458333.5</v>
      </c>
      <c r="K282" s="89">
        <f t="shared" si="16"/>
        <v>17783333.399999999</v>
      </c>
      <c r="L282" s="89">
        <f t="shared" si="17"/>
        <v>26675000.100000001</v>
      </c>
    </row>
    <row r="283" spans="1:12" ht="31.2" outlineLevel="1" x14ac:dyDescent="0.3">
      <c r="A283" s="85">
        <v>35</v>
      </c>
      <c r="B283" s="86" t="s">
        <v>1189</v>
      </c>
      <c r="C283" s="90" t="s">
        <v>807</v>
      </c>
      <c r="D283" s="87">
        <v>45627</v>
      </c>
      <c r="E283" s="80">
        <v>1</v>
      </c>
      <c r="F283" s="81">
        <v>287222223</v>
      </c>
      <c r="G283" s="82">
        <v>4</v>
      </c>
      <c r="H283" s="80">
        <v>10</v>
      </c>
      <c r="I283" s="104" t="s">
        <v>1419</v>
      </c>
      <c r="J283" s="88">
        <f t="shared" si="15"/>
        <v>71805555.75</v>
      </c>
      <c r="K283" s="89">
        <f t="shared" si="16"/>
        <v>28722222.300000001</v>
      </c>
      <c r="L283" s="89">
        <f t="shared" si="17"/>
        <v>43083333.450000003</v>
      </c>
    </row>
    <row r="284" spans="1:12" ht="31.2" outlineLevel="1" x14ac:dyDescent="0.3">
      <c r="A284" s="85">
        <v>36</v>
      </c>
      <c r="B284" s="86" t="s">
        <v>1190</v>
      </c>
      <c r="C284" s="90" t="s">
        <v>808</v>
      </c>
      <c r="D284" s="87">
        <v>45627</v>
      </c>
      <c r="E284" s="80">
        <v>1</v>
      </c>
      <c r="F284" s="81">
        <v>497068134</v>
      </c>
      <c r="G284" s="82">
        <v>3</v>
      </c>
      <c r="H284" s="80">
        <v>10</v>
      </c>
      <c r="I284" s="104" t="s">
        <v>1419</v>
      </c>
      <c r="J284" s="88">
        <f t="shared" si="15"/>
        <v>165689378</v>
      </c>
      <c r="K284" s="89">
        <f t="shared" si="16"/>
        <v>49706813.399999999</v>
      </c>
      <c r="L284" s="89">
        <f t="shared" si="17"/>
        <v>115982564.59999999</v>
      </c>
    </row>
    <row r="285" spans="1:12" ht="15.6" outlineLevel="1" x14ac:dyDescent="0.3">
      <c r="A285" s="85">
        <v>37</v>
      </c>
      <c r="B285" s="86" t="s">
        <v>1191</v>
      </c>
      <c r="C285" s="90" t="s">
        <v>809</v>
      </c>
      <c r="D285" s="87">
        <v>45627</v>
      </c>
      <c r="E285" s="80">
        <v>1</v>
      </c>
      <c r="F285" s="81">
        <v>308333333</v>
      </c>
      <c r="G285" s="82">
        <v>3</v>
      </c>
      <c r="H285" s="80">
        <v>10</v>
      </c>
      <c r="I285" s="104" t="s">
        <v>1419</v>
      </c>
      <c r="J285" s="88">
        <f t="shared" si="15"/>
        <v>102777777.66666667</v>
      </c>
      <c r="K285" s="89">
        <f t="shared" si="16"/>
        <v>30833333.300000001</v>
      </c>
      <c r="L285" s="89">
        <f t="shared" si="17"/>
        <v>71944444.366666675</v>
      </c>
    </row>
    <row r="286" spans="1:12" ht="15.6" outlineLevel="1" x14ac:dyDescent="0.3">
      <c r="A286" s="85">
        <v>38</v>
      </c>
      <c r="B286" s="86" t="s">
        <v>1192</v>
      </c>
      <c r="C286" s="90" t="s">
        <v>810</v>
      </c>
      <c r="D286" s="87">
        <v>45627</v>
      </c>
      <c r="E286" s="80">
        <v>1</v>
      </c>
      <c r="F286" s="81">
        <v>296000000</v>
      </c>
      <c r="G286" s="82">
        <v>3</v>
      </c>
      <c r="H286" s="80">
        <v>10</v>
      </c>
      <c r="I286" s="104" t="s">
        <v>1419</v>
      </c>
      <c r="J286" s="88">
        <f t="shared" si="15"/>
        <v>98666666.666666672</v>
      </c>
      <c r="K286" s="89">
        <f t="shared" si="16"/>
        <v>29600000</v>
      </c>
      <c r="L286" s="89">
        <f t="shared" si="17"/>
        <v>69066666.666666672</v>
      </c>
    </row>
    <row r="287" spans="1:12" ht="15.6" outlineLevel="1" x14ac:dyDescent="0.3">
      <c r="A287" s="85">
        <v>39</v>
      </c>
      <c r="B287" s="86" t="s">
        <v>1193</v>
      </c>
      <c r="C287" s="90" t="s">
        <v>811</v>
      </c>
      <c r="D287" s="87">
        <v>45627</v>
      </c>
      <c r="E287" s="80">
        <v>1</v>
      </c>
      <c r="F287" s="81">
        <v>285000000</v>
      </c>
      <c r="G287" s="82">
        <v>3</v>
      </c>
      <c r="H287" s="80">
        <v>10</v>
      </c>
      <c r="I287" s="104" t="s">
        <v>1419</v>
      </c>
      <c r="J287" s="88">
        <f t="shared" si="15"/>
        <v>95000000</v>
      </c>
      <c r="K287" s="89">
        <f t="shared" si="16"/>
        <v>28500000</v>
      </c>
      <c r="L287" s="89">
        <f t="shared" si="17"/>
        <v>66500000</v>
      </c>
    </row>
    <row r="288" spans="1:12" ht="15.6" outlineLevel="1" x14ac:dyDescent="0.3">
      <c r="A288" s="85">
        <v>40</v>
      </c>
      <c r="B288" s="86" t="s">
        <v>1194</v>
      </c>
      <c r="C288" s="90" t="s">
        <v>812</v>
      </c>
      <c r="D288" s="87">
        <v>45627</v>
      </c>
      <c r="E288" s="80">
        <v>1</v>
      </c>
      <c r="F288" s="81">
        <v>300000000</v>
      </c>
      <c r="G288" s="82">
        <v>3</v>
      </c>
      <c r="H288" s="80">
        <v>10</v>
      </c>
      <c r="I288" s="104" t="s">
        <v>1419</v>
      </c>
      <c r="J288" s="88">
        <f t="shared" si="15"/>
        <v>100000000</v>
      </c>
      <c r="K288" s="89">
        <f t="shared" si="16"/>
        <v>30000000</v>
      </c>
      <c r="L288" s="89">
        <f t="shared" si="17"/>
        <v>70000000</v>
      </c>
    </row>
    <row r="289" spans="1:12" ht="15.6" outlineLevel="1" x14ac:dyDescent="0.3">
      <c r="A289" s="85">
        <v>41</v>
      </c>
      <c r="B289" s="86" t="s">
        <v>1195</v>
      </c>
      <c r="C289" s="90" t="s">
        <v>813</v>
      </c>
      <c r="D289" s="87">
        <v>45627</v>
      </c>
      <c r="E289" s="80">
        <v>1</v>
      </c>
      <c r="F289" s="81">
        <v>341326607</v>
      </c>
      <c r="G289" s="82">
        <v>3</v>
      </c>
      <c r="H289" s="80">
        <v>10</v>
      </c>
      <c r="I289" s="104" t="s">
        <v>1419</v>
      </c>
      <c r="J289" s="88">
        <f t="shared" si="15"/>
        <v>113775535.66666667</v>
      </c>
      <c r="K289" s="89">
        <f t="shared" si="16"/>
        <v>34132660.700000003</v>
      </c>
      <c r="L289" s="89">
        <f t="shared" si="17"/>
        <v>79642874.966666669</v>
      </c>
    </row>
    <row r="290" spans="1:12" ht="15.6" outlineLevel="1" x14ac:dyDescent="0.3">
      <c r="A290" s="85">
        <v>42</v>
      </c>
      <c r="B290" s="86" t="s">
        <v>1196</v>
      </c>
      <c r="C290" s="90" t="s">
        <v>814</v>
      </c>
      <c r="D290" s="87">
        <v>45627</v>
      </c>
      <c r="E290" s="80">
        <v>1</v>
      </c>
      <c r="F290" s="81">
        <v>69105000</v>
      </c>
      <c r="G290" s="82">
        <v>4</v>
      </c>
      <c r="H290" s="80">
        <v>10</v>
      </c>
      <c r="I290" s="104" t="s">
        <v>1419</v>
      </c>
      <c r="J290" s="88">
        <f t="shared" si="15"/>
        <v>17276250</v>
      </c>
      <c r="K290" s="89">
        <f t="shared" si="16"/>
        <v>6910500</v>
      </c>
      <c r="L290" s="89">
        <f t="shared" si="17"/>
        <v>10365750</v>
      </c>
    </row>
    <row r="291" spans="1:12" ht="31.2" outlineLevel="1" x14ac:dyDescent="0.3">
      <c r="A291" s="85">
        <v>43</v>
      </c>
      <c r="B291" s="86" t="s">
        <v>1197</v>
      </c>
      <c r="C291" s="90" t="s">
        <v>815</v>
      </c>
      <c r="D291" s="87">
        <v>45627</v>
      </c>
      <c r="E291" s="80">
        <v>1</v>
      </c>
      <c r="F291" s="81">
        <v>35432099</v>
      </c>
      <c r="G291" s="82">
        <v>5</v>
      </c>
      <c r="H291" s="80">
        <v>10</v>
      </c>
      <c r="I291" s="104" t="s">
        <v>1419</v>
      </c>
      <c r="J291" s="88">
        <f t="shared" si="15"/>
        <v>7086419.7999999998</v>
      </c>
      <c r="K291" s="89">
        <f t="shared" si="16"/>
        <v>3543209.9</v>
      </c>
      <c r="L291" s="89">
        <f t="shared" si="17"/>
        <v>3543209.9</v>
      </c>
    </row>
    <row r="292" spans="1:12" ht="31.2" outlineLevel="1" x14ac:dyDescent="0.3">
      <c r="A292" s="85">
        <v>44</v>
      </c>
      <c r="B292" s="86" t="s">
        <v>1198</v>
      </c>
      <c r="C292" s="90" t="s">
        <v>816</v>
      </c>
      <c r="D292" s="87">
        <v>45627</v>
      </c>
      <c r="E292" s="80">
        <v>1</v>
      </c>
      <c r="F292" s="81">
        <v>35432099</v>
      </c>
      <c r="G292" s="82">
        <v>5</v>
      </c>
      <c r="H292" s="80">
        <v>10</v>
      </c>
      <c r="I292" s="104" t="s">
        <v>1419</v>
      </c>
      <c r="J292" s="88">
        <f t="shared" si="15"/>
        <v>7086419.7999999998</v>
      </c>
      <c r="K292" s="89">
        <f t="shared" si="16"/>
        <v>3543209.9</v>
      </c>
      <c r="L292" s="89">
        <f t="shared" si="17"/>
        <v>3543209.9</v>
      </c>
    </row>
    <row r="293" spans="1:12" ht="31.2" outlineLevel="1" x14ac:dyDescent="0.3">
      <c r="A293" s="85">
        <v>45</v>
      </c>
      <c r="B293" s="86" t="s">
        <v>1199</v>
      </c>
      <c r="C293" s="90" t="s">
        <v>817</v>
      </c>
      <c r="D293" s="87">
        <v>45627</v>
      </c>
      <c r="E293" s="80">
        <v>1</v>
      </c>
      <c r="F293" s="81">
        <v>34799383</v>
      </c>
      <c r="G293" s="82">
        <v>4</v>
      </c>
      <c r="H293" s="80">
        <v>10</v>
      </c>
      <c r="I293" s="104" t="s">
        <v>1419</v>
      </c>
      <c r="J293" s="88">
        <f t="shared" si="15"/>
        <v>8699845.75</v>
      </c>
      <c r="K293" s="89">
        <f t="shared" si="16"/>
        <v>3479938.3</v>
      </c>
      <c r="L293" s="89">
        <f t="shared" si="17"/>
        <v>5219907.45</v>
      </c>
    </row>
    <row r="294" spans="1:12" ht="35.549999999999997" customHeight="1" outlineLevel="1" x14ac:dyDescent="0.3">
      <c r="A294" s="85">
        <v>46</v>
      </c>
      <c r="B294" s="86" t="s">
        <v>1200</v>
      </c>
      <c r="C294" s="90" t="s">
        <v>818</v>
      </c>
      <c r="D294" s="87">
        <v>45627</v>
      </c>
      <c r="E294" s="80">
        <v>1</v>
      </c>
      <c r="F294" s="81">
        <v>201500000</v>
      </c>
      <c r="G294" s="82">
        <v>2</v>
      </c>
      <c r="H294" s="80">
        <v>10</v>
      </c>
      <c r="I294" s="104" t="s">
        <v>1419</v>
      </c>
      <c r="J294" s="88">
        <f t="shared" si="15"/>
        <v>100750000</v>
      </c>
      <c r="K294" s="89">
        <f t="shared" si="16"/>
        <v>20150000</v>
      </c>
      <c r="L294" s="89">
        <f t="shared" si="17"/>
        <v>80600000</v>
      </c>
    </row>
    <row r="295" spans="1:12" ht="16.2" x14ac:dyDescent="0.3">
      <c r="A295" s="76" t="s">
        <v>1430</v>
      </c>
      <c r="B295" s="108"/>
      <c r="C295" s="109" t="s">
        <v>1431</v>
      </c>
      <c r="D295" s="87"/>
      <c r="E295" s="80"/>
      <c r="F295" s="81"/>
      <c r="G295" s="82">
        <v>3</v>
      </c>
      <c r="H295" s="80">
        <v>5</v>
      </c>
      <c r="I295" s="83" t="s">
        <v>1432</v>
      </c>
      <c r="J295" s="82"/>
      <c r="K295" s="82"/>
      <c r="L295" s="82"/>
    </row>
    <row r="296" spans="1:12" ht="48.6" x14ac:dyDescent="0.3">
      <c r="A296" s="76" t="s">
        <v>1433</v>
      </c>
      <c r="B296" s="108"/>
      <c r="C296" s="110" t="s">
        <v>1434</v>
      </c>
      <c r="D296" s="87"/>
      <c r="E296" s="80"/>
      <c r="F296" s="81"/>
      <c r="G296" s="83" t="s">
        <v>1435</v>
      </c>
      <c r="H296" s="80">
        <v>25</v>
      </c>
      <c r="I296" s="83" t="s">
        <v>1436</v>
      </c>
      <c r="J296" s="82"/>
      <c r="K296" s="82"/>
      <c r="L296" s="82"/>
    </row>
    <row r="297" spans="1:12" ht="15.6" outlineLevel="1" x14ac:dyDescent="0.3">
      <c r="A297" s="85">
        <v>1</v>
      </c>
      <c r="B297" s="86" t="s">
        <v>1127</v>
      </c>
      <c r="C297" s="90" t="s">
        <v>756</v>
      </c>
      <c r="D297" s="87">
        <v>44228</v>
      </c>
      <c r="E297" s="80">
        <v>1</v>
      </c>
      <c r="F297" s="81">
        <v>422000000</v>
      </c>
      <c r="G297" s="82">
        <v>5</v>
      </c>
      <c r="H297" s="80">
        <v>25</v>
      </c>
      <c r="I297" s="83" t="s">
        <v>1436</v>
      </c>
      <c r="J297" s="88">
        <f t="shared" ref="J297:J327" si="18">F297/G297</f>
        <v>84400000</v>
      </c>
      <c r="K297" s="89">
        <f t="shared" ref="K297:K327" si="19">F297/H297</f>
        <v>16880000</v>
      </c>
      <c r="L297" s="89">
        <f t="shared" ref="L297:L327" si="20">J297-K297</f>
        <v>67520000</v>
      </c>
    </row>
    <row r="298" spans="1:12" ht="15.6" outlineLevel="1" x14ac:dyDescent="0.3">
      <c r="A298" s="85">
        <v>2</v>
      </c>
      <c r="B298" s="86" t="s">
        <v>1128</v>
      </c>
      <c r="C298" s="90" t="s">
        <v>757</v>
      </c>
      <c r="D298" s="87">
        <v>44228</v>
      </c>
      <c r="E298" s="80">
        <v>1</v>
      </c>
      <c r="F298" s="81">
        <v>155100000</v>
      </c>
      <c r="G298" s="82">
        <v>5</v>
      </c>
      <c r="H298" s="80">
        <v>25</v>
      </c>
      <c r="I298" s="83" t="s">
        <v>1436</v>
      </c>
      <c r="J298" s="88">
        <f t="shared" si="18"/>
        <v>31020000</v>
      </c>
      <c r="K298" s="89">
        <f t="shared" si="19"/>
        <v>6204000</v>
      </c>
      <c r="L298" s="89">
        <f t="shared" si="20"/>
        <v>24816000</v>
      </c>
    </row>
    <row r="299" spans="1:12" ht="15.6" outlineLevel="1" x14ac:dyDescent="0.3">
      <c r="A299" s="85">
        <v>3</v>
      </c>
      <c r="B299" s="86" t="s">
        <v>1129</v>
      </c>
      <c r="C299" s="90" t="s">
        <v>758</v>
      </c>
      <c r="D299" s="87">
        <v>44327</v>
      </c>
      <c r="E299" s="80">
        <v>1</v>
      </c>
      <c r="F299" s="81">
        <v>165107500</v>
      </c>
      <c r="G299" s="82">
        <v>5</v>
      </c>
      <c r="H299" s="80">
        <v>25</v>
      </c>
      <c r="I299" s="83" t="s">
        <v>1436</v>
      </c>
      <c r="J299" s="88">
        <f t="shared" si="18"/>
        <v>33021500</v>
      </c>
      <c r="K299" s="89">
        <f t="shared" si="19"/>
        <v>6604300</v>
      </c>
      <c r="L299" s="89">
        <f t="shared" si="20"/>
        <v>26417200</v>
      </c>
    </row>
    <row r="300" spans="1:12" ht="15.6" outlineLevel="1" x14ac:dyDescent="0.3">
      <c r="A300" s="85">
        <v>4</v>
      </c>
      <c r="B300" s="86" t="s">
        <v>1130</v>
      </c>
      <c r="C300" s="90" t="s">
        <v>759</v>
      </c>
      <c r="D300" s="87">
        <v>44561</v>
      </c>
      <c r="E300" s="80">
        <v>1</v>
      </c>
      <c r="F300" s="81">
        <v>327600000</v>
      </c>
      <c r="G300" s="82">
        <v>6</v>
      </c>
      <c r="H300" s="80">
        <v>25</v>
      </c>
      <c r="I300" s="83" t="s">
        <v>1436</v>
      </c>
      <c r="J300" s="88">
        <f t="shared" si="18"/>
        <v>54600000</v>
      </c>
      <c r="K300" s="89">
        <f t="shared" si="19"/>
        <v>13104000</v>
      </c>
      <c r="L300" s="89">
        <f t="shared" si="20"/>
        <v>41496000</v>
      </c>
    </row>
    <row r="301" spans="1:12" ht="15.6" outlineLevel="1" x14ac:dyDescent="0.3">
      <c r="A301" s="85">
        <v>5</v>
      </c>
      <c r="B301" s="86" t="s">
        <v>1133</v>
      </c>
      <c r="C301" s="90" t="s">
        <v>760</v>
      </c>
      <c r="D301" s="87">
        <v>45108</v>
      </c>
      <c r="E301" s="80">
        <v>1</v>
      </c>
      <c r="F301" s="81">
        <v>102096978</v>
      </c>
      <c r="G301" s="82">
        <v>3</v>
      </c>
      <c r="H301" s="80">
        <v>25</v>
      </c>
      <c r="I301" s="83" t="s">
        <v>1436</v>
      </c>
      <c r="J301" s="88">
        <f t="shared" si="18"/>
        <v>34032326</v>
      </c>
      <c r="K301" s="89">
        <f t="shared" si="19"/>
        <v>4083879.12</v>
      </c>
      <c r="L301" s="89">
        <f t="shared" si="20"/>
        <v>29948446.879999999</v>
      </c>
    </row>
    <row r="302" spans="1:12" ht="31.2" outlineLevel="1" x14ac:dyDescent="0.3">
      <c r="A302" s="85">
        <v>6</v>
      </c>
      <c r="B302" s="86" t="s">
        <v>1134</v>
      </c>
      <c r="C302" s="90" t="s">
        <v>761</v>
      </c>
      <c r="D302" s="87">
        <v>45108</v>
      </c>
      <c r="E302" s="80">
        <v>1</v>
      </c>
      <c r="F302" s="81">
        <v>195672934</v>
      </c>
      <c r="G302" s="82">
        <v>3</v>
      </c>
      <c r="H302" s="80">
        <v>25</v>
      </c>
      <c r="I302" s="83" t="s">
        <v>1436</v>
      </c>
      <c r="J302" s="88">
        <f t="shared" si="18"/>
        <v>65224311.333333336</v>
      </c>
      <c r="K302" s="89">
        <f t="shared" si="19"/>
        <v>7826917.3600000003</v>
      </c>
      <c r="L302" s="89">
        <f t="shared" si="20"/>
        <v>57397393.973333336</v>
      </c>
    </row>
    <row r="303" spans="1:12" ht="15.6" outlineLevel="1" x14ac:dyDescent="0.3">
      <c r="A303" s="85">
        <v>7</v>
      </c>
      <c r="B303" s="86" t="s">
        <v>1135</v>
      </c>
      <c r="C303" s="90" t="s">
        <v>762</v>
      </c>
      <c r="D303" s="87">
        <v>45108</v>
      </c>
      <c r="E303" s="80">
        <v>1</v>
      </c>
      <c r="F303" s="81">
        <v>53030000</v>
      </c>
      <c r="G303" s="82">
        <v>3</v>
      </c>
      <c r="H303" s="80">
        <v>25</v>
      </c>
      <c r="I303" s="83" t="s">
        <v>1436</v>
      </c>
      <c r="J303" s="88">
        <f t="shared" si="18"/>
        <v>17676666.666666668</v>
      </c>
      <c r="K303" s="89">
        <f t="shared" si="19"/>
        <v>2121200</v>
      </c>
      <c r="L303" s="89">
        <f t="shared" si="20"/>
        <v>15555466.666666668</v>
      </c>
    </row>
    <row r="304" spans="1:12" ht="15.6" outlineLevel="1" x14ac:dyDescent="0.3">
      <c r="A304" s="85">
        <v>8</v>
      </c>
      <c r="B304" s="86" t="s">
        <v>1136</v>
      </c>
      <c r="C304" s="90" t="s">
        <v>763</v>
      </c>
      <c r="D304" s="87">
        <v>45141</v>
      </c>
      <c r="E304" s="80">
        <v>1</v>
      </c>
      <c r="F304" s="81">
        <v>81154545</v>
      </c>
      <c r="G304" s="82">
        <v>3</v>
      </c>
      <c r="H304" s="80">
        <v>25</v>
      </c>
      <c r="I304" s="83" t="s">
        <v>1436</v>
      </c>
      <c r="J304" s="88">
        <f t="shared" si="18"/>
        <v>27051515</v>
      </c>
      <c r="K304" s="89">
        <f t="shared" si="19"/>
        <v>3246181.8</v>
      </c>
      <c r="L304" s="89">
        <f t="shared" si="20"/>
        <v>23805333.199999999</v>
      </c>
    </row>
    <row r="305" spans="1:12" ht="15.6" outlineLevel="1" x14ac:dyDescent="0.3">
      <c r="A305" s="85">
        <v>9</v>
      </c>
      <c r="B305" s="86" t="s">
        <v>1137</v>
      </c>
      <c r="C305" s="90" t="s">
        <v>764</v>
      </c>
      <c r="D305" s="87">
        <v>45170</v>
      </c>
      <c r="E305" s="80">
        <v>1</v>
      </c>
      <c r="F305" s="81">
        <v>6445602086</v>
      </c>
      <c r="G305" s="82">
        <v>15</v>
      </c>
      <c r="H305" s="80">
        <v>25</v>
      </c>
      <c r="I305" s="83" t="s">
        <v>1436</v>
      </c>
      <c r="J305" s="88">
        <f t="shared" si="18"/>
        <v>429706805.73333335</v>
      </c>
      <c r="K305" s="89">
        <f t="shared" si="19"/>
        <v>257824083.44</v>
      </c>
      <c r="L305" s="89">
        <f t="shared" si="20"/>
        <v>171882722.29333335</v>
      </c>
    </row>
    <row r="306" spans="1:12" ht="15.6" outlineLevel="1" x14ac:dyDescent="0.3">
      <c r="A306" s="85">
        <v>10</v>
      </c>
      <c r="B306" s="86" t="s">
        <v>1138</v>
      </c>
      <c r="C306" s="90" t="s">
        <v>765</v>
      </c>
      <c r="D306" s="87">
        <v>45323</v>
      </c>
      <c r="E306" s="80">
        <v>1</v>
      </c>
      <c r="F306" s="81">
        <v>62000000</v>
      </c>
      <c r="G306" s="82">
        <v>5</v>
      </c>
      <c r="H306" s="80">
        <v>25</v>
      </c>
      <c r="I306" s="83" t="s">
        <v>1436</v>
      </c>
      <c r="J306" s="88">
        <f t="shared" si="18"/>
        <v>12400000</v>
      </c>
      <c r="K306" s="89">
        <f t="shared" si="19"/>
        <v>2480000</v>
      </c>
      <c r="L306" s="89">
        <f t="shared" si="20"/>
        <v>9920000</v>
      </c>
    </row>
    <row r="307" spans="1:12" ht="15.6" outlineLevel="1" x14ac:dyDescent="0.3">
      <c r="A307" s="85">
        <v>11</v>
      </c>
      <c r="B307" s="86" t="s">
        <v>1139</v>
      </c>
      <c r="C307" s="90" t="s">
        <v>766</v>
      </c>
      <c r="D307" s="87">
        <v>45323</v>
      </c>
      <c r="E307" s="80">
        <v>1</v>
      </c>
      <c r="F307" s="81">
        <v>82154641</v>
      </c>
      <c r="G307" s="82">
        <v>5</v>
      </c>
      <c r="H307" s="80">
        <v>25</v>
      </c>
      <c r="I307" s="83" t="s">
        <v>1436</v>
      </c>
      <c r="J307" s="88">
        <f t="shared" si="18"/>
        <v>16430928.199999999</v>
      </c>
      <c r="K307" s="89">
        <f t="shared" si="19"/>
        <v>3286185.64</v>
      </c>
      <c r="L307" s="89">
        <f t="shared" si="20"/>
        <v>13144742.559999999</v>
      </c>
    </row>
    <row r="308" spans="1:12" ht="15.6" outlineLevel="1" x14ac:dyDescent="0.3">
      <c r="A308" s="85">
        <v>12</v>
      </c>
      <c r="B308" s="86" t="s">
        <v>1140</v>
      </c>
      <c r="C308" s="90" t="s">
        <v>767</v>
      </c>
      <c r="D308" s="87">
        <v>45323</v>
      </c>
      <c r="E308" s="80">
        <v>1</v>
      </c>
      <c r="F308" s="81">
        <v>85500000</v>
      </c>
      <c r="G308" s="82">
        <v>5</v>
      </c>
      <c r="H308" s="80">
        <v>25</v>
      </c>
      <c r="I308" s="83" t="s">
        <v>1436</v>
      </c>
      <c r="J308" s="88">
        <f t="shared" si="18"/>
        <v>17100000</v>
      </c>
      <c r="K308" s="89">
        <f t="shared" si="19"/>
        <v>3420000</v>
      </c>
      <c r="L308" s="89">
        <f t="shared" si="20"/>
        <v>13680000</v>
      </c>
    </row>
    <row r="309" spans="1:12" ht="15.6" outlineLevel="1" x14ac:dyDescent="0.3">
      <c r="A309" s="85">
        <v>13</v>
      </c>
      <c r="B309" s="86" t="s">
        <v>1141</v>
      </c>
      <c r="C309" s="90" t="s">
        <v>768</v>
      </c>
      <c r="D309" s="87">
        <v>45323</v>
      </c>
      <c r="E309" s="80">
        <v>1</v>
      </c>
      <c r="F309" s="81">
        <v>62000000</v>
      </c>
      <c r="G309" s="82">
        <v>5</v>
      </c>
      <c r="H309" s="80">
        <v>25</v>
      </c>
      <c r="I309" s="83" t="s">
        <v>1436</v>
      </c>
      <c r="J309" s="88">
        <f t="shared" si="18"/>
        <v>12400000</v>
      </c>
      <c r="K309" s="89">
        <f t="shared" si="19"/>
        <v>2480000</v>
      </c>
      <c r="L309" s="89">
        <f t="shared" si="20"/>
        <v>9920000</v>
      </c>
    </row>
    <row r="310" spans="1:12" ht="15.6" outlineLevel="1" x14ac:dyDescent="0.3">
      <c r="A310" s="85">
        <v>14</v>
      </c>
      <c r="B310" s="86" t="s">
        <v>1142</v>
      </c>
      <c r="C310" s="90" t="s">
        <v>769</v>
      </c>
      <c r="D310" s="87">
        <v>45383</v>
      </c>
      <c r="E310" s="80">
        <v>1</v>
      </c>
      <c r="F310" s="81">
        <v>22957791544</v>
      </c>
      <c r="G310" s="82">
        <v>15</v>
      </c>
      <c r="H310" s="80">
        <v>25</v>
      </c>
      <c r="I310" s="83" t="s">
        <v>1436</v>
      </c>
      <c r="J310" s="88">
        <f t="shared" si="18"/>
        <v>1530519436.2666667</v>
      </c>
      <c r="K310" s="89">
        <f t="shared" si="19"/>
        <v>918311661.75999999</v>
      </c>
      <c r="L310" s="89">
        <f t="shared" si="20"/>
        <v>612207774.50666666</v>
      </c>
    </row>
    <row r="311" spans="1:12" ht="15.6" outlineLevel="1" x14ac:dyDescent="0.3">
      <c r="A311" s="85">
        <v>15</v>
      </c>
      <c r="B311" s="86" t="s">
        <v>1143</v>
      </c>
      <c r="C311" s="90" t="s">
        <v>770</v>
      </c>
      <c r="D311" s="87">
        <v>45383</v>
      </c>
      <c r="E311" s="80">
        <v>1</v>
      </c>
      <c r="F311" s="81">
        <v>185719645</v>
      </c>
      <c r="G311" s="82">
        <v>3</v>
      </c>
      <c r="H311" s="80">
        <v>25</v>
      </c>
      <c r="I311" s="83" t="s">
        <v>1436</v>
      </c>
      <c r="J311" s="88">
        <f t="shared" si="18"/>
        <v>61906548.333333336</v>
      </c>
      <c r="K311" s="89">
        <f t="shared" si="19"/>
        <v>7428785.7999999998</v>
      </c>
      <c r="L311" s="89">
        <f t="shared" si="20"/>
        <v>54477762.533333339</v>
      </c>
    </row>
    <row r="312" spans="1:12" ht="15.6" outlineLevel="1" x14ac:dyDescent="0.3">
      <c r="A312" s="85">
        <v>16</v>
      </c>
      <c r="B312" s="86" t="s">
        <v>1144</v>
      </c>
      <c r="C312" s="90" t="s">
        <v>771</v>
      </c>
      <c r="D312" s="87">
        <v>45413</v>
      </c>
      <c r="E312" s="80">
        <v>1</v>
      </c>
      <c r="F312" s="81">
        <v>1744151201</v>
      </c>
      <c r="G312" s="82">
        <v>5</v>
      </c>
      <c r="H312" s="80">
        <v>25</v>
      </c>
      <c r="I312" s="83" t="s">
        <v>1436</v>
      </c>
      <c r="J312" s="88">
        <f t="shared" si="18"/>
        <v>348830240.19999999</v>
      </c>
      <c r="K312" s="89">
        <f t="shared" si="19"/>
        <v>69766048.040000007</v>
      </c>
      <c r="L312" s="89">
        <f t="shared" si="20"/>
        <v>279064192.15999997</v>
      </c>
    </row>
    <row r="313" spans="1:12" ht="31.2" outlineLevel="1" x14ac:dyDescent="0.3">
      <c r="A313" s="85">
        <v>17</v>
      </c>
      <c r="B313" s="86" t="s">
        <v>1145</v>
      </c>
      <c r="C313" s="90" t="s">
        <v>772</v>
      </c>
      <c r="D313" s="87">
        <v>45627</v>
      </c>
      <c r="E313" s="80">
        <v>1</v>
      </c>
      <c r="F313" s="81">
        <v>95100000</v>
      </c>
      <c r="G313" s="82">
        <v>5</v>
      </c>
      <c r="H313" s="80">
        <v>25</v>
      </c>
      <c r="I313" s="83" t="s">
        <v>1436</v>
      </c>
      <c r="J313" s="88">
        <f t="shared" si="18"/>
        <v>19020000</v>
      </c>
      <c r="K313" s="89">
        <f t="shared" si="19"/>
        <v>3804000</v>
      </c>
      <c r="L313" s="89">
        <f t="shared" si="20"/>
        <v>15216000</v>
      </c>
    </row>
    <row r="314" spans="1:12" ht="31.2" outlineLevel="1" x14ac:dyDescent="0.3">
      <c r="A314" s="85">
        <v>18</v>
      </c>
      <c r="B314" s="86" t="s">
        <v>1146</v>
      </c>
      <c r="C314" s="90" t="s">
        <v>773</v>
      </c>
      <c r="D314" s="87">
        <v>45658</v>
      </c>
      <c r="E314" s="80">
        <v>2</v>
      </c>
      <c r="F314" s="81">
        <v>60000000</v>
      </c>
      <c r="G314" s="82">
        <v>3</v>
      </c>
      <c r="H314" s="80">
        <v>25</v>
      </c>
      <c r="I314" s="83" t="s">
        <v>1436</v>
      </c>
      <c r="J314" s="88">
        <f t="shared" si="18"/>
        <v>20000000</v>
      </c>
      <c r="K314" s="89">
        <f t="shared" si="19"/>
        <v>2400000</v>
      </c>
      <c r="L314" s="89">
        <f t="shared" si="20"/>
        <v>17600000</v>
      </c>
    </row>
    <row r="315" spans="1:12" ht="31.2" outlineLevel="1" x14ac:dyDescent="0.3">
      <c r="A315" s="85">
        <v>19</v>
      </c>
      <c r="B315" s="86" t="s">
        <v>1147</v>
      </c>
      <c r="C315" s="90" t="s">
        <v>774</v>
      </c>
      <c r="D315" s="87">
        <v>45931</v>
      </c>
      <c r="E315" s="80">
        <v>1</v>
      </c>
      <c r="F315" s="81">
        <v>34920000</v>
      </c>
      <c r="G315" s="82">
        <v>3</v>
      </c>
      <c r="H315" s="80">
        <v>25</v>
      </c>
      <c r="I315" s="83" t="s">
        <v>1436</v>
      </c>
      <c r="J315" s="88">
        <f t="shared" si="18"/>
        <v>11640000</v>
      </c>
      <c r="K315" s="89">
        <f t="shared" si="19"/>
        <v>1396800</v>
      </c>
      <c r="L315" s="89">
        <f t="shared" si="20"/>
        <v>10243200</v>
      </c>
    </row>
    <row r="316" spans="1:12" ht="31.2" outlineLevel="1" x14ac:dyDescent="0.3">
      <c r="A316" s="85">
        <v>20</v>
      </c>
      <c r="B316" s="86" t="s">
        <v>1148</v>
      </c>
      <c r="C316" s="90" t="s">
        <v>775</v>
      </c>
      <c r="D316" s="87">
        <v>45931</v>
      </c>
      <c r="E316" s="80">
        <v>1</v>
      </c>
      <c r="F316" s="81">
        <v>34920000</v>
      </c>
      <c r="G316" s="82">
        <v>3</v>
      </c>
      <c r="H316" s="80">
        <v>25</v>
      </c>
      <c r="I316" s="83" t="s">
        <v>1436</v>
      </c>
      <c r="J316" s="88">
        <f t="shared" si="18"/>
        <v>11640000</v>
      </c>
      <c r="K316" s="89">
        <f t="shared" si="19"/>
        <v>1396800</v>
      </c>
      <c r="L316" s="89">
        <f t="shared" si="20"/>
        <v>10243200</v>
      </c>
    </row>
    <row r="317" spans="1:12" ht="31.2" outlineLevel="1" x14ac:dyDescent="0.3">
      <c r="A317" s="85">
        <v>21</v>
      </c>
      <c r="B317" s="86" t="s">
        <v>1149</v>
      </c>
      <c r="C317" s="90" t="s">
        <v>776</v>
      </c>
      <c r="D317" s="87">
        <v>45931</v>
      </c>
      <c r="E317" s="80">
        <v>1</v>
      </c>
      <c r="F317" s="81">
        <v>34920000</v>
      </c>
      <c r="G317" s="82">
        <v>3</v>
      </c>
      <c r="H317" s="80">
        <v>25</v>
      </c>
      <c r="I317" s="83" t="s">
        <v>1436</v>
      </c>
      <c r="J317" s="88">
        <f t="shared" si="18"/>
        <v>11640000</v>
      </c>
      <c r="K317" s="89">
        <f t="shared" si="19"/>
        <v>1396800</v>
      </c>
      <c r="L317" s="89">
        <f t="shared" si="20"/>
        <v>10243200</v>
      </c>
    </row>
    <row r="318" spans="1:12" ht="31.2" outlineLevel="1" x14ac:dyDescent="0.3">
      <c r="A318" s="85">
        <v>22</v>
      </c>
      <c r="B318" s="86" t="s">
        <v>1150</v>
      </c>
      <c r="C318" s="90" t="s">
        <v>777</v>
      </c>
      <c r="D318" s="87">
        <v>45778</v>
      </c>
      <c r="E318" s="80">
        <v>1</v>
      </c>
      <c r="F318" s="81">
        <v>30905000</v>
      </c>
      <c r="G318" s="82">
        <v>3</v>
      </c>
      <c r="H318" s="80">
        <v>25</v>
      </c>
      <c r="I318" s="83" t="s">
        <v>1436</v>
      </c>
      <c r="J318" s="88">
        <f t="shared" si="18"/>
        <v>10301666.666666666</v>
      </c>
      <c r="K318" s="89">
        <f t="shared" si="19"/>
        <v>1236200</v>
      </c>
      <c r="L318" s="89">
        <f t="shared" si="20"/>
        <v>9065466.666666666</v>
      </c>
    </row>
    <row r="319" spans="1:12" ht="31.2" outlineLevel="1" x14ac:dyDescent="0.3">
      <c r="A319" s="85">
        <v>23</v>
      </c>
      <c r="B319" s="86" t="s">
        <v>1151</v>
      </c>
      <c r="C319" s="90" t="s">
        <v>778</v>
      </c>
      <c r="D319" s="87">
        <v>45901</v>
      </c>
      <c r="E319" s="80">
        <v>1</v>
      </c>
      <c r="F319" s="81">
        <v>90591075</v>
      </c>
      <c r="G319" s="82">
        <v>4</v>
      </c>
      <c r="H319" s="80">
        <v>25</v>
      </c>
      <c r="I319" s="83" t="s">
        <v>1436</v>
      </c>
      <c r="J319" s="88">
        <f t="shared" si="18"/>
        <v>22647768.75</v>
      </c>
      <c r="K319" s="89">
        <f t="shared" si="19"/>
        <v>3623643</v>
      </c>
      <c r="L319" s="89">
        <f t="shared" si="20"/>
        <v>19024125.75</v>
      </c>
    </row>
    <row r="320" spans="1:12" ht="15.6" outlineLevel="1" x14ac:dyDescent="0.3">
      <c r="A320" s="85">
        <v>24</v>
      </c>
      <c r="B320" s="86" t="s">
        <v>1152</v>
      </c>
      <c r="C320" s="90" t="s">
        <v>748</v>
      </c>
      <c r="D320" s="87">
        <v>44986</v>
      </c>
      <c r="E320" s="80">
        <v>1</v>
      </c>
      <c r="F320" s="81">
        <v>308593906</v>
      </c>
      <c r="G320" s="82">
        <v>3</v>
      </c>
      <c r="H320" s="80">
        <v>25</v>
      </c>
      <c r="I320" s="83" t="s">
        <v>1436</v>
      </c>
      <c r="J320" s="88">
        <f t="shared" si="18"/>
        <v>102864635.33333333</v>
      </c>
      <c r="K320" s="89">
        <f t="shared" si="19"/>
        <v>12343756.24</v>
      </c>
      <c r="L320" s="89">
        <f t="shared" si="20"/>
        <v>90520879.093333334</v>
      </c>
    </row>
    <row r="321" spans="1:12" ht="31.2" outlineLevel="1" x14ac:dyDescent="0.3">
      <c r="A321" s="85">
        <v>25</v>
      </c>
      <c r="B321" s="86" t="s">
        <v>1153</v>
      </c>
      <c r="C321" s="90" t="s">
        <v>749</v>
      </c>
      <c r="D321" s="87">
        <v>45017</v>
      </c>
      <c r="E321" s="80">
        <v>1</v>
      </c>
      <c r="F321" s="81">
        <v>807761229</v>
      </c>
      <c r="G321" s="82">
        <v>3</v>
      </c>
      <c r="H321" s="80">
        <v>25</v>
      </c>
      <c r="I321" s="83" t="s">
        <v>1436</v>
      </c>
      <c r="J321" s="88">
        <f t="shared" si="18"/>
        <v>269253743</v>
      </c>
      <c r="K321" s="89">
        <f t="shared" si="19"/>
        <v>32310449.16</v>
      </c>
      <c r="L321" s="89">
        <f t="shared" si="20"/>
        <v>236943293.84</v>
      </c>
    </row>
    <row r="322" spans="1:12" ht="31.2" outlineLevel="1" x14ac:dyDescent="0.3">
      <c r="A322" s="85">
        <v>26</v>
      </c>
      <c r="B322" s="86" t="s">
        <v>1154</v>
      </c>
      <c r="C322" s="90" t="s">
        <v>750</v>
      </c>
      <c r="D322" s="87">
        <v>45108</v>
      </c>
      <c r="E322" s="80">
        <v>1</v>
      </c>
      <c r="F322" s="81">
        <v>59068700</v>
      </c>
      <c r="G322" s="82">
        <v>3</v>
      </c>
      <c r="H322" s="80">
        <v>25</v>
      </c>
      <c r="I322" s="83" t="s">
        <v>1436</v>
      </c>
      <c r="J322" s="88">
        <f t="shared" si="18"/>
        <v>19689566.666666668</v>
      </c>
      <c r="K322" s="89">
        <f t="shared" si="19"/>
        <v>2362748</v>
      </c>
      <c r="L322" s="89">
        <f t="shared" si="20"/>
        <v>17326818.666666668</v>
      </c>
    </row>
    <row r="323" spans="1:12" ht="15.6" outlineLevel="1" x14ac:dyDescent="0.3">
      <c r="A323" s="85">
        <v>27</v>
      </c>
      <c r="B323" s="86" t="s">
        <v>1155</v>
      </c>
      <c r="C323" s="90" t="s">
        <v>751</v>
      </c>
      <c r="D323" s="87">
        <v>45110</v>
      </c>
      <c r="E323" s="80">
        <v>1</v>
      </c>
      <c r="F323" s="81">
        <v>69288347</v>
      </c>
      <c r="G323" s="82">
        <v>3</v>
      </c>
      <c r="H323" s="80">
        <v>25</v>
      </c>
      <c r="I323" s="83" t="s">
        <v>1436</v>
      </c>
      <c r="J323" s="88">
        <f t="shared" si="18"/>
        <v>23096115.666666668</v>
      </c>
      <c r="K323" s="89">
        <f t="shared" si="19"/>
        <v>2771533.88</v>
      </c>
      <c r="L323" s="89">
        <f t="shared" si="20"/>
        <v>20324581.786666669</v>
      </c>
    </row>
    <row r="324" spans="1:12" ht="15.6" outlineLevel="1" x14ac:dyDescent="0.3">
      <c r="A324" s="85">
        <v>28</v>
      </c>
      <c r="B324" s="86" t="s">
        <v>1156</v>
      </c>
      <c r="C324" s="90" t="s">
        <v>752</v>
      </c>
      <c r="D324" s="87">
        <v>45170</v>
      </c>
      <c r="E324" s="80">
        <v>1</v>
      </c>
      <c r="F324" s="81">
        <v>261991507</v>
      </c>
      <c r="G324" s="82">
        <v>5</v>
      </c>
      <c r="H324" s="80">
        <v>25</v>
      </c>
      <c r="I324" s="83" t="s">
        <v>1436</v>
      </c>
      <c r="J324" s="88">
        <f t="shared" si="18"/>
        <v>52398301.399999999</v>
      </c>
      <c r="K324" s="89">
        <f t="shared" si="19"/>
        <v>10479660.279999999</v>
      </c>
      <c r="L324" s="89">
        <f t="shared" si="20"/>
        <v>41918641.119999997</v>
      </c>
    </row>
    <row r="325" spans="1:12" ht="15.6" outlineLevel="1" x14ac:dyDescent="0.3">
      <c r="A325" s="85">
        <v>29</v>
      </c>
      <c r="B325" s="86" t="s">
        <v>1157</v>
      </c>
      <c r="C325" s="90" t="s">
        <v>753</v>
      </c>
      <c r="D325" s="87">
        <v>45383</v>
      </c>
      <c r="E325" s="80">
        <v>1</v>
      </c>
      <c r="F325" s="81">
        <v>235000000</v>
      </c>
      <c r="G325" s="82">
        <v>5</v>
      </c>
      <c r="H325" s="80">
        <v>25</v>
      </c>
      <c r="I325" s="83" t="s">
        <v>1436</v>
      </c>
      <c r="J325" s="88">
        <f t="shared" si="18"/>
        <v>47000000</v>
      </c>
      <c r="K325" s="89">
        <f t="shared" si="19"/>
        <v>9400000</v>
      </c>
      <c r="L325" s="89">
        <f t="shared" si="20"/>
        <v>37600000</v>
      </c>
    </row>
    <row r="326" spans="1:12" ht="15.6" outlineLevel="1" x14ac:dyDescent="0.3">
      <c r="A326" s="85">
        <v>30</v>
      </c>
      <c r="B326" s="86" t="s">
        <v>1158</v>
      </c>
      <c r="C326" s="90" t="s">
        <v>754</v>
      </c>
      <c r="D326" s="87">
        <v>45383</v>
      </c>
      <c r="E326" s="80">
        <v>1</v>
      </c>
      <c r="F326" s="81">
        <v>188000000</v>
      </c>
      <c r="G326" s="82">
        <v>5</v>
      </c>
      <c r="H326" s="80">
        <v>25</v>
      </c>
      <c r="I326" s="83" t="s">
        <v>1436</v>
      </c>
      <c r="J326" s="88">
        <f t="shared" si="18"/>
        <v>37600000</v>
      </c>
      <c r="K326" s="89">
        <f t="shared" si="19"/>
        <v>7520000</v>
      </c>
      <c r="L326" s="89">
        <f t="shared" si="20"/>
        <v>30080000</v>
      </c>
    </row>
    <row r="327" spans="1:12" ht="15.6" outlineLevel="1" x14ac:dyDescent="0.3">
      <c r="A327" s="85">
        <v>31</v>
      </c>
      <c r="B327" s="86" t="s">
        <v>1159</v>
      </c>
      <c r="C327" s="90" t="s">
        <v>755</v>
      </c>
      <c r="D327" s="87">
        <v>45383</v>
      </c>
      <c r="E327" s="80">
        <v>1</v>
      </c>
      <c r="F327" s="81">
        <v>211500000</v>
      </c>
      <c r="G327" s="82">
        <v>5</v>
      </c>
      <c r="H327" s="80">
        <v>25</v>
      </c>
      <c r="I327" s="83" t="s">
        <v>1436</v>
      </c>
      <c r="J327" s="88">
        <f t="shared" si="18"/>
        <v>42300000</v>
      </c>
      <c r="K327" s="89">
        <f t="shared" si="19"/>
        <v>8460000</v>
      </c>
      <c r="L327" s="89">
        <f t="shared" si="20"/>
        <v>33840000</v>
      </c>
    </row>
    <row r="328" spans="1:12" ht="16.2" x14ac:dyDescent="0.3">
      <c r="A328" s="92" t="s">
        <v>1437</v>
      </c>
      <c r="B328" s="93"/>
      <c r="C328" s="94" t="s">
        <v>1438</v>
      </c>
      <c r="D328" s="95"/>
      <c r="E328" s="96"/>
      <c r="F328" s="97"/>
      <c r="G328" s="98"/>
      <c r="H328" s="99"/>
      <c r="I328" s="98"/>
      <c r="J328" s="98"/>
      <c r="K328" s="98"/>
      <c r="L328" s="98"/>
    </row>
    <row r="329" spans="1:12" ht="15.6" x14ac:dyDescent="0.3">
      <c r="A329" s="76" t="s">
        <v>1439</v>
      </c>
      <c r="B329" s="77"/>
      <c r="C329" s="78" t="s">
        <v>1440</v>
      </c>
      <c r="D329" s="79"/>
      <c r="E329" s="111"/>
      <c r="F329" s="112"/>
      <c r="G329" s="113" t="s">
        <v>1441</v>
      </c>
      <c r="H329" s="114">
        <v>15</v>
      </c>
      <c r="I329" s="83" t="s">
        <v>1442</v>
      </c>
      <c r="J329" s="115"/>
      <c r="K329" s="115"/>
      <c r="L329" s="115"/>
    </row>
    <row r="330" spans="1:12" ht="15" customHeight="1" outlineLevel="1" x14ac:dyDescent="0.3">
      <c r="A330" s="85">
        <v>1</v>
      </c>
      <c r="B330" s="86" t="s">
        <v>1126</v>
      </c>
      <c r="C330" s="90" t="s">
        <v>747</v>
      </c>
      <c r="D330" s="87">
        <v>44896</v>
      </c>
      <c r="E330" s="80">
        <v>1</v>
      </c>
      <c r="F330" s="81">
        <v>322740000</v>
      </c>
      <c r="G330" s="82">
        <v>3</v>
      </c>
      <c r="H330" s="114">
        <v>15</v>
      </c>
      <c r="I330" s="83" t="s">
        <v>1442</v>
      </c>
      <c r="J330" s="88">
        <f>F330/G330</f>
        <v>107580000</v>
      </c>
      <c r="K330" s="89">
        <f>F330/H330</f>
        <v>21516000</v>
      </c>
      <c r="L330" s="89">
        <f t="shared" ref="L330" si="21">J330-K330</f>
        <v>86064000</v>
      </c>
    </row>
    <row r="331" spans="1:12" ht="15.6" x14ac:dyDescent="0.3">
      <c r="A331" s="76" t="s">
        <v>1443</v>
      </c>
      <c r="B331" s="77"/>
      <c r="C331" s="78" t="s">
        <v>1444</v>
      </c>
      <c r="D331" s="79"/>
      <c r="E331" s="111"/>
      <c r="F331" s="112"/>
      <c r="G331" s="113" t="s">
        <v>1441</v>
      </c>
      <c r="H331" s="114">
        <v>40</v>
      </c>
      <c r="I331" s="83" t="s">
        <v>1445</v>
      </c>
      <c r="J331" s="115"/>
      <c r="K331" s="115"/>
      <c r="L331" s="115"/>
    </row>
    <row r="332" spans="1:12" ht="15.6" x14ac:dyDescent="0.3">
      <c r="A332" s="76" t="s">
        <v>1446</v>
      </c>
      <c r="B332" s="77"/>
      <c r="C332" s="78" t="s">
        <v>1447</v>
      </c>
      <c r="D332" s="79"/>
      <c r="E332" s="111"/>
      <c r="F332" s="112"/>
      <c r="G332" s="113" t="s">
        <v>1441</v>
      </c>
      <c r="H332" s="114">
        <v>8</v>
      </c>
      <c r="I332" s="83" t="s">
        <v>1448</v>
      </c>
      <c r="J332" s="115"/>
      <c r="K332" s="115"/>
      <c r="L332" s="115"/>
    </row>
    <row r="333" spans="1:12" ht="16.2" x14ac:dyDescent="0.3">
      <c r="A333" s="92" t="s">
        <v>1449</v>
      </c>
      <c r="B333" s="93"/>
      <c r="C333" s="94" t="s">
        <v>1450</v>
      </c>
      <c r="D333" s="95"/>
      <c r="E333" s="96"/>
      <c r="F333" s="97"/>
      <c r="G333" s="98"/>
      <c r="H333" s="99"/>
      <c r="I333" s="98"/>
      <c r="J333" s="98"/>
      <c r="K333" s="98"/>
      <c r="L333" s="98"/>
    </row>
    <row r="334" spans="1:12" ht="15.6" x14ac:dyDescent="0.3">
      <c r="A334" s="76" t="s">
        <v>1451</v>
      </c>
      <c r="B334" s="77"/>
      <c r="C334" s="78" t="s">
        <v>1452</v>
      </c>
      <c r="D334" s="79"/>
      <c r="E334" s="80"/>
      <c r="F334" s="81"/>
      <c r="G334" s="82">
        <v>5</v>
      </c>
      <c r="H334" s="80">
        <v>8</v>
      </c>
      <c r="I334" s="83" t="s">
        <v>1453</v>
      </c>
      <c r="J334" s="82"/>
      <c r="K334" s="82"/>
      <c r="L334" s="82"/>
    </row>
    <row r="335" spans="1:12" ht="15.6" x14ac:dyDescent="0.3">
      <c r="A335" s="76" t="s">
        <v>1454</v>
      </c>
      <c r="B335" s="77"/>
      <c r="C335" s="78" t="s">
        <v>1455</v>
      </c>
      <c r="D335" s="79"/>
      <c r="E335" s="80"/>
      <c r="F335" s="81"/>
      <c r="G335" s="82">
        <v>5</v>
      </c>
      <c r="H335" s="80">
        <v>10</v>
      </c>
      <c r="I335" s="83" t="s">
        <v>1392</v>
      </c>
      <c r="J335" s="82"/>
      <c r="K335" s="82"/>
      <c r="L335" s="82"/>
    </row>
    <row r="336" spans="1:12" ht="28.05" customHeight="1" outlineLevel="1" x14ac:dyDescent="0.3">
      <c r="A336" s="85">
        <v>1</v>
      </c>
      <c r="B336" s="86" t="s">
        <v>1098</v>
      </c>
      <c r="C336" s="90" t="s">
        <v>741</v>
      </c>
      <c r="D336" s="87">
        <v>44515</v>
      </c>
      <c r="E336" s="80">
        <v>1</v>
      </c>
      <c r="F336" s="81">
        <v>53350000</v>
      </c>
      <c r="G336" s="82">
        <v>5</v>
      </c>
      <c r="H336" s="80">
        <v>10</v>
      </c>
      <c r="I336" s="83" t="s">
        <v>1392</v>
      </c>
      <c r="J336" s="88">
        <f t="shared" ref="J336:J353" si="22">F336/G336</f>
        <v>10670000</v>
      </c>
      <c r="K336" s="89">
        <f t="shared" ref="K336:K353" si="23">F336/H336</f>
        <v>5335000</v>
      </c>
      <c r="L336" s="89">
        <f t="shared" ref="L336:L353" si="24">J336-K336</f>
        <v>5335000</v>
      </c>
    </row>
    <row r="337" spans="1:12" ht="15.6" outlineLevel="1" x14ac:dyDescent="0.3">
      <c r="A337" s="85">
        <v>2</v>
      </c>
      <c r="B337" s="86" t="s">
        <v>1101</v>
      </c>
      <c r="C337" s="90" t="s">
        <v>742</v>
      </c>
      <c r="D337" s="87">
        <v>45231</v>
      </c>
      <c r="E337" s="80">
        <v>1</v>
      </c>
      <c r="F337" s="81">
        <v>110912800</v>
      </c>
      <c r="G337" s="82">
        <v>5</v>
      </c>
      <c r="H337" s="80">
        <v>10</v>
      </c>
      <c r="I337" s="83" t="s">
        <v>1392</v>
      </c>
      <c r="J337" s="88">
        <f t="shared" si="22"/>
        <v>22182560</v>
      </c>
      <c r="K337" s="89">
        <f t="shared" si="23"/>
        <v>11091280</v>
      </c>
      <c r="L337" s="89">
        <f t="shared" si="24"/>
        <v>11091280</v>
      </c>
    </row>
    <row r="338" spans="1:12" ht="31.5" customHeight="1" outlineLevel="1" x14ac:dyDescent="0.3">
      <c r="A338" s="85">
        <v>3</v>
      </c>
      <c r="B338" s="86" t="s">
        <v>1102</v>
      </c>
      <c r="C338" s="90" t="s">
        <v>743</v>
      </c>
      <c r="D338" s="87">
        <v>45566</v>
      </c>
      <c r="E338" s="80">
        <v>1</v>
      </c>
      <c r="F338" s="81">
        <v>49000000</v>
      </c>
      <c r="G338" s="82">
        <v>3</v>
      </c>
      <c r="H338" s="80">
        <v>10</v>
      </c>
      <c r="I338" s="83" t="s">
        <v>1392</v>
      </c>
      <c r="J338" s="88">
        <f t="shared" si="22"/>
        <v>16333333.333333334</v>
      </c>
      <c r="K338" s="89">
        <f t="shared" si="23"/>
        <v>4900000</v>
      </c>
      <c r="L338" s="89">
        <f t="shared" si="24"/>
        <v>11433333.333333334</v>
      </c>
    </row>
    <row r="339" spans="1:12" ht="31.2" outlineLevel="1" x14ac:dyDescent="0.3">
      <c r="A339" s="85">
        <v>4</v>
      </c>
      <c r="B339" s="86" t="s">
        <v>1103</v>
      </c>
      <c r="C339" s="90" t="s">
        <v>744</v>
      </c>
      <c r="D339" s="87">
        <v>45627</v>
      </c>
      <c r="E339" s="80">
        <v>1</v>
      </c>
      <c r="F339" s="81">
        <v>85000000</v>
      </c>
      <c r="G339" s="82">
        <v>3</v>
      </c>
      <c r="H339" s="80">
        <v>10</v>
      </c>
      <c r="I339" s="83" t="s">
        <v>1392</v>
      </c>
      <c r="J339" s="88">
        <f t="shared" si="22"/>
        <v>28333333.333333332</v>
      </c>
      <c r="K339" s="89">
        <f t="shared" si="23"/>
        <v>8500000</v>
      </c>
      <c r="L339" s="89">
        <f t="shared" si="24"/>
        <v>19833333.333333332</v>
      </c>
    </row>
    <row r="340" spans="1:12" ht="50.1" customHeight="1" outlineLevel="1" x14ac:dyDescent="0.3">
      <c r="A340" s="85">
        <v>5</v>
      </c>
      <c r="B340" s="86" t="s">
        <v>1104</v>
      </c>
      <c r="C340" s="90" t="s">
        <v>745</v>
      </c>
      <c r="D340" s="87">
        <v>45689</v>
      </c>
      <c r="E340" s="80">
        <v>3</v>
      </c>
      <c r="F340" s="81">
        <v>34221000</v>
      </c>
      <c r="G340" s="82">
        <v>5</v>
      </c>
      <c r="H340" s="80">
        <v>10</v>
      </c>
      <c r="I340" s="83" t="s">
        <v>1392</v>
      </c>
      <c r="J340" s="88">
        <f t="shared" si="22"/>
        <v>6844200</v>
      </c>
      <c r="K340" s="89">
        <f t="shared" si="23"/>
        <v>3422100</v>
      </c>
      <c r="L340" s="89">
        <f t="shared" si="24"/>
        <v>3422100</v>
      </c>
    </row>
    <row r="341" spans="1:12" ht="15.6" outlineLevel="1" x14ac:dyDescent="0.3">
      <c r="A341" s="85">
        <v>6</v>
      </c>
      <c r="B341" s="86" t="s">
        <v>1105</v>
      </c>
      <c r="C341" s="90" t="s">
        <v>746</v>
      </c>
      <c r="D341" s="87">
        <v>45901</v>
      </c>
      <c r="E341" s="80">
        <v>1</v>
      </c>
      <c r="F341" s="81">
        <v>162458000</v>
      </c>
      <c r="G341" s="82">
        <v>5</v>
      </c>
      <c r="H341" s="80">
        <v>10</v>
      </c>
      <c r="I341" s="83" t="s">
        <v>1392</v>
      </c>
      <c r="J341" s="88">
        <f t="shared" si="22"/>
        <v>32491600</v>
      </c>
      <c r="K341" s="89">
        <f t="shared" si="23"/>
        <v>16245800</v>
      </c>
      <c r="L341" s="89">
        <f t="shared" si="24"/>
        <v>16245800</v>
      </c>
    </row>
    <row r="342" spans="1:12" ht="33.6" customHeight="1" outlineLevel="1" x14ac:dyDescent="0.3">
      <c r="A342" s="85">
        <v>7</v>
      </c>
      <c r="B342" s="86" t="s">
        <v>1114</v>
      </c>
      <c r="C342" s="90" t="s">
        <v>733</v>
      </c>
      <c r="D342" s="87">
        <v>44699</v>
      </c>
      <c r="E342" s="80">
        <v>1</v>
      </c>
      <c r="F342" s="81">
        <v>35838000</v>
      </c>
      <c r="G342" s="82">
        <v>5</v>
      </c>
      <c r="H342" s="80">
        <v>10</v>
      </c>
      <c r="I342" s="83" t="s">
        <v>1392</v>
      </c>
      <c r="J342" s="88">
        <f t="shared" si="22"/>
        <v>7167600</v>
      </c>
      <c r="K342" s="89">
        <f t="shared" si="23"/>
        <v>3583800</v>
      </c>
      <c r="L342" s="89">
        <f t="shared" si="24"/>
        <v>3583800</v>
      </c>
    </row>
    <row r="343" spans="1:12" ht="15.6" outlineLevel="1" x14ac:dyDescent="0.3">
      <c r="A343" s="85">
        <v>8</v>
      </c>
      <c r="B343" s="86" t="s">
        <v>1119</v>
      </c>
      <c r="C343" s="90" t="s">
        <v>734</v>
      </c>
      <c r="D343" s="87">
        <v>45017</v>
      </c>
      <c r="E343" s="80">
        <v>1</v>
      </c>
      <c r="F343" s="81">
        <v>110306000</v>
      </c>
      <c r="G343" s="82">
        <v>3</v>
      </c>
      <c r="H343" s="80">
        <v>10</v>
      </c>
      <c r="I343" s="83" t="s">
        <v>1392</v>
      </c>
      <c r="J343" s="88">
        <f t="shared" si="22"/>
        <v>36768666.666666664</v>
      </c>
      <c r="K343" s="89">
        <f t="shared" si="23"/>
        <v>11030600</v>
      </c>
      <c r="L343" s="89">
        <f t="shared" si="24"/>
        <v>25738066.666666664</v>
      </c>
    </row>
    <row r="344" spans="1:12" ht="34.5" customHeight="1" outlineLevel="1" x14ac:dyDescent="0.3">
      <c r="A344" s="85">
        <v>9</v>
      </c>
      <c r="B344" s="86" t="s">
        <v>1120</v>
      </c>
      <c r="C344" s="90" t="s">
        <v>735</v>
      </c>
      <c r="D344" s="87">
        <v>45748</v>
      </c>
      <c r="E344" s="80">
        <v>1</v>
      </c>
      <c r="F344" s="81">
        <v>34926000</v>
      </c>
      <c r="G344" s="82">
        <v>5</v>
      </c>
      <c r="H344" s="80">
        <v>10</v>
      </c>
      <c r="I344" s="83" t="s">
        <v>1392</v>
      </c>
      <c r="J344" s="88">
        <f t="shared" si="22"/>
        <v>6985200</v>
      </c>
      <c r="K344" s="89">
        <f t="shared" si="23"/>
        <v>3492600</v>
      </c>
      <c r="L344" s="89">
        <f t="shared" si="24"/>
        <v>3492600</v>
      </c>
    </row>
    <row r="345" spans="1:12" ht="15.6" outlineLevel="1" x14ac:dyDescent="0.3">
      <c r="A345" s="85">
        <v>10</v>
      </c>
      <c r="B345" s="86" t="s">
        <v>1121</v>
      </c>
      <c r="C345" s="90" t="s">
        <v>736</v>
      </c>
      <c r="D345" s="87">
        <v>45627</v>
      </c>
      <c r="E345" s="80">
        <v>1</v>
      </c>
      <c r="F345" s="81">
        <v>261270972</v>
      </c>
      <c r="G345" s="82">
        <v>3</v>
      </c>
      <c r="H345" s="80">
        <v>10</v>
      </c>
      <c r="I345" s="83" t="s">
        <v>1392</v>
      </c>
      <c r="J345" s="88">
        <f t="shared" si="22"/>
        <v>87090324</v>
      </c>
      <c r="K345" s="89">
        <f t="shared" si="23"/>
        <v>26127097.199999999</v>
      </c>
      <c r="L345" s="89">
        <f t="shared" si="24"/>
        <v>60963226.799999997</v>
      </c>
    </row>
    <row r="346" spans="1:12" ht="15.6" outlineLevel="1" x14ac:dyDescent="0.3">
      <c r="A346" s="85">
        <v>11</v>
      </c>
      <c r="B346" s="86" t="s">
        <v>1122</v>
      </c>
      <c r="C346" s="90" t="s">
        <v>737</v>
      </c>
      <c r="D346" s="87">
        <v>45627</v>
      </c>
      <c r="E346" s="80">
        <v>1</v>
      </c>
      <c r="F346" s="81">
        <v>351402508</v>
      </c>
      <c r="G346" s="82">
        <v>3</v>
      </c>
      <c r="H346" s="80">
        <v>10</v>
      </c>
      <c r="I346" s="83" t="s">
        <v>1392</v>
      </c>
      <c r="J346" s="88">
        <f t="shared" si="22"/>
        <v>117134169.33333333</v>
      </c>
      <c r="K346" s="89">
        <f t="shared" si="23"/>
        <v>35140250.799999997</v>
      </c>
      <c r="L346" s="89">
        <f t="shared" si="24"/>
        <v>81993918.533333331</v>
      </c>
    </row>
    <row r="347" spans="1:12" ht="38.549999999999997" customHeight="1" outlineLevel="1" x14ac:dyDescent="0.3">
      <c r="A347" s="85">
        <v>12</v>
      </c>
      <c r="B347" s="86" t="s">
        <v>1123</v>
      </c>
      <c r="C347" s="90" t="s">
        <v>738</v>
      </c>
      <c r="D347" s="87">
        <v>45901</v>
      </c>
      <c r="E347" s="80">
        <v>1</v>
      </c>
      <c r="F347" s="81">
        <v>33150000</v>
      </c>
      <c r="G347" s="82">
        <v>5</v>
      </c>
      <c r="H347" s="80">
        <v>10</v>
      </c>
      <c r="I347" s="83" t="s">
        <v>1392</v>
      </c>
      <c r="J347" s="88">
        <f t="shared" si="22"/>
        <v>6630000</v>
      </c>
      <c r="K347" s="89">
        <f t="shared" si="23"/>
        <v>3315000</v>
      </c>
      <c r="L347" s="89">
        <f t="shared" si="24"/>
        <v>3315000</v>
      </c>
    </row>
    <row r="348" spans="1:12" ht="15.6" outlineLevel="1" x14ac:dyDescent="0.3">
      <c r="A348" s="85">
        <v>13</v>
      </c>
      <c r="B348" s="86" t="s">
        <v>1125</v>
      </c>
      <c r="C348" s="90" t="s">
        <v>740</v>
      </c>
      <c r="D348" s="87">
        <v>45931</v>
      </c>
      <c r="E348" s="80">
        <v>1</v>
      </c>
      <c r="F348" s="81">
        <v>76531000</v>
      </c>
      <c r="G348" s="82">
        <v>5</v>
      </c>
      <c r="H348" s="80">
        <v>10</v>
      </c>
      <c r="I348" s="83" t="s">
        <v>1392</v>
      </c>
      <c r="J348" s="88">
        <f t="shared" si="22"/>
        <v>15306200</v>
      </c>
      <c r="K348" s="89">
        <f t="shared" si="23"/>
        <v>7653100</v>
      </c>
      <c r="L348" s="89">
        <f t="shared" si="24"/>
        <v>7653100</v>
      </c>
    </row>
    <row r="349" spans="1:12" ht="31.2" outlineLevel="1" x14ac:dyDescent="0.3">
      <c r="A349" s="85">
        <v>13</v>
      </c>
      <c r="B349" s="86" t="s">
        <v>1124</v>
      </c>
      <c r="C349" s="90" t="s">
        <v>739</v>
      </c>
      <c r="D349" s="87">
        <v>45870</v>
      </c>
      <c r="E349" s="80">
        <v>1</v>
      </c>
      <c r="F349" s="81">
        <v>47500000</v>
      </c>
      <c r="G349" s="82">
        <v>5</v>
      </c>
      <c r="H349" s="80">
        <v>10</v>
      </c>
      <c r="I349" s="83" t="s">
        <v>1392</v>
      </c>
      <c r="J349" s="88">
        <f t="shared" si="22"/>
        <v>9500000</v>
      </c>
      <c r="K349" s="89">
        <f t="shared" si="23"/>
        <v>4750000</v>
      </c>
      <c r="L349" s="89">
        <f t="shared" si="24"/>
        <v>4750000</v>
      </c>
    </row>
    <row r="350" spans="1:12" ht="46.8" x14ac:dyDescent="0.3">
      <c r="A350" s="76" t="s">
        <v>1456</v>
      </c>
      <c r="B350" s="77"/>
      <c r="C350" s="91" t="s">
        <v>1457</v>
      </c>
      <c r="D350" s="87"/>
      <c r="E350" s="80"/>
      <c r="F350" s="81"/>
      <c r="G350" s="82">
        <v>3</v>
      </c>
      <c r="H350" s="80">
        <v>8</v>
      </c>
      <c r="I350" s="83" t="s">
        <v>1391</v>
      </c>
      <c r="J350" s="88">
        <f t="shared" si="22"/>
        <v>0</v>
      </c>
      <c r="K350" s="89">
        <f t="shared" si="23"/>
        <v>0</v>
      </c>
      <c r="L350" s="89">
        <f t="shared" si="24"/>
        <v>0</v>
      </c>
    </row>
    <row r="351" spans="1:12" ht="15.6" outlineLevel="1" x14ac:dyDescent="0.3">
      <c r="A351" s="85">
        <v>1</v>
      </c>
      <c r="B351" s="86" t="s">
        <v>1201</v>
      </c>
      <c r="C351" s="90" t="s">
        <v>820</v>
      </c>
      <c r="D351" s="87">
        <v>45139</v>
      </c>
      <c r="E351" s="80">
        <v>1</v>
      </c>
      <c r="F351" s="81">
        <v>53870000</v>
      </c>
      <c r="G351" s="82">
        <v>5</v>
      </c>
      <c r="H351" s="80">
        <v>8</v>
      </c>
      <c r="I351" s="83" t="s">
        <v>1391</v>
      </c>
      <c r="J351" s="88">
        <f t="shared" si="22"/>
        <v>10774000</v>
      </c>
      <c r="K351" s="89">
        <f t="shared" si="23"/>
        <v>6733750</v>
      </c>
      <c r="L351" s="89">
        <f t="shared" si="24"/>
        <v>4040250</v>
      </c>
    </row>
    <row r="352" spans="1:12" ht="15.6" outlineLevel="1" x14ac:dyDescent="0.3">
      <c r="A352" s="85">
        <v>2</v>
      </c>
      <c r="B352" s="86" t="s">
        <v>1206</v>
      </c>
      <c r="C352" s="90" t="s">
        <v>821</v>
      </c>
      <c r="D352" s="87">
        <v>45931</v>
      </c>
      <c r="E352" s="80">
        <v>1</v>
      </c>
      <c r="F352" s="81">
        <v>1938493958</v>
      </c>
      <c r="G352" s="82">
        <v>4</v>
      </c>
      <c r="H352" s="80">
        <v>8</v>
      </c>
      <c r="I352" s="83" t="s">
        <v>1391</v>
      </c>
      <c r="J352" s="88">
        <f t="shared" si="22"/>
        <v>484623489.5</v>
      </c>
      <c r="K352" s="89">
        <f t="shared" si="23"/>
        <v>242311744.75</v>
      </c>
      <c r="L352" s="89">
        <f t="shared" si="24"/>
        <v>242311744.75</v>
      </c>
    </row>
    <row r="353" spans="1:12" ht="34.5" customHeight="1" x14ac:dyDescent="0.3">
      <c r="A353" s="85">
        <v>3</v>
      </c>
      <c r="B353" s="86" t="s">
        <v>1207</v>
      </c>
      <c r="C353" s="90" t="s">
        <v>819</v>
      </c>
      <c r="D353" s="87">
        <v>45748</v>
      </c>
      <c r="E353" s="80">
        <v>1</v>
      </c>
      <c r="F353" s="81">
        <v>487610783</v>
      </c>
      <c r="G353" s="82">
        <v>3</v>
      </c>
      <c r="H353" s="80">
        <v>8</v>
      </c>
      <c r="I353" s="83" t="s">
        <v>1391</v>
      </c>
      <c r="J353" s="88">
        <f t="shared" si="22"/>
        <v>162536927.66666666</v>
      </c>
      <c r="K353" s="89">
        <f t="shared" si="23"/>
        <v>60951347.875</v>
      </c>
      <c r="L353" s="89">
        <f t="shared" si="24"/>
        <v>101585579.79166666</v>
      </c>
    </row>
    <row r="354" spans="1:12" ht="31.5" customHeight="1" x14ac:dyDescent="0.3">
      <c r="A354" s="76" t="s">
        <v>1458</v>
      </c>
      <c r="B354" s="77"/>
      <c r="C354" s="110" t="s">
        <v>1459</v>
      </c>
      <c r="D354" s="79"/>
      <c r="E354" s="80"/>
      <c r="F354" s="81"/>
      <c r="G354" s="82">
        <v>5</v>
      </c>
      <c r="H354" s="80">
        <v>15</v>
      </c>
      <c r="I354" s="83" t="s">
        <v>1435</v>
      </c>
      <c r="J354" s="82"/>
      <c r="K354" s="82"/>
      <c r="L354" s="82"/>
    </row>
    <row r="355" spans="1:12" ht="16.2" x14ac:dyDescent="0.3">
      <c r="A355" s="76" t="s">
        <v>1460</v>
      </c>
      <c r="B355" s="77"/>
      <c r="C355" s="116" t="s">
        <v>1461</v>
      </c>
      <c r="D355" s="79"/>
      <c r="E355" s="80"/>
      <c r="F355" s="81"/>
      <c r="G355" s="82">
        <v>3</v>
      </c>
      <c r="H355" s="80">
        <v>20</v>
      </c>
      <c r="I355" s="83" t="s">
        <v>1462</v>
      </c>
      <c r="J355" s="82"/>
      <c r="K355" s="82"/>
      <c r="L355" s="82"/>
    </row>
    <row r="356" spans="1:12" ht="15.6" outlineLevel="1" x14ac:dyDescent="0.3">
      <c r="A356" s="85">
        <f>SUBTOTAL(3,$B$356:B356)</f>
        <v>1</v>
      </c>
      <c r="B356" s="86" t="s">
        <v>1208</v>
      </c>
      <c r="C356" s="90" t="s">
        <v>828</v>
      </c>
      <c r="D356" s="87">
        <v>44438</v>
      </c>
      <c r="E356" s="80">
        <v>1</v>
      </c>
      <c r="F356" s="81">
        <v>275200000</v>
      </c>
      <c r="G356" s="82">
        <v>5</v>
      </c>
      <c r="H356" s="117">
        <v>20</v>
      </c>
      <c r="I356" s="83" t="s">
        <v>1462</v>
      </c>
      <c r="J356" s="88">
        <f t="shared" ref="J356:J362" si="25">F356/G356</f>
        <v>55040000</v>
      </c>
      <c r="K356" s="89">
        <f t="shared" ref="K356:K362" si="26">F356/H356</f>
        <v>13760000</v>
      </c>
      <c r="L356" s="89">
        <f t="shared" ref="L356:L362" si="27">J356-K356</f>
        <v>41280000</v>
      </c>
    </row>
    <row r="357" spans="1:12" ht="15.6" outlineLevel="1" x14ac:dyDescent="0.3">
      <c r="A357" s="85">
        <f>SUBTOTAL(3,$B$356:B357)</f>
        <v>2</v>
      </c>
      <c r="B357" s="86" t="s">
        <v>1209</v>
      </c>
      <c r="C357" s="90" t="s">
        <v>822</v>
      </c>
      <c r="D357" s="87">
        <v>44438</v>
      </c>
      <c r="E357" s="80">
        <v>1</v>
      </c>
      <c r="F357" s="81">
        <v>468054545</v>
      </c>
      <c r="G357" s="82">
        <v>5</v>
      </c>
      <c r="H357" s="117">
        <v>20</v>
      </c>
      <c r="I357" s="83" t="s">
        <v>1462</v>
      </c>
      <c r="J357" s="88">
        <f t="shared" si="25"/>
        <v>93610909</v>
      </c>
      <c r="K357" s="89">
        <f t="shared" si="26"/>
        <v>23402727.25</v>
      </c>
      <c r="L357" s="89">
        <f t="shared" si="27"/>
        <v>70208181.75</v>
      </c>
    </row>
    <row r="358" spans="1:12" ht="15.6" outlineLevel="1" x14ac:dyDescent="0.3">
      <c r="A358" s="85">
        <f>SUBTOTAL(3,$B$356:B358)</f>
        <v>3</v>
      </c>
      <c r="B358" s="86" t="s">
        <v>1212</v>
      </c>
      <c r="C358" s="90" t="s">
        <v>823</v>
      </c>
      <c r="D358" s="87">
        <v>44819</v>
      </c>
      <c r="E358" s="80">
        <v>1</v>
      </c>
      <c r="F358" s="81">
        <v>215935347</v>
      </c>
      <c r="G358" s="82">
        <v>5</v>
      </c>
      <c r="H358" s="117">
        <v>20</v>
      </c>
      <c r="I358" s="83" t="s">
        <v>1462</v>
      </c>
      <c r="J358" s="88">
        <f t="shared" si="25"/>
        <v>43187069.399999999</v>
      </c>
      <c r="K358" s="89">
        <f t="shared" si="26"/>
        <v>10796767.35</v>
      </c>
      <c r="L358" s="89">
        <f t="shared" si="27"/>
        <v>32390302.049999997</v>
      </c>
    </row>
    <row r="359" spans="1:12" ht="31.2" outlineLevel="1" x14ac:dyDescent="0.3">
      <c r="A359" s="85">
        <f>SUBTOTAL(3,$B$356:B359)</f>
        <v>4</v>
      </c>
      <c r="B359" s="86" t="s">
        <v>1213</v>
      </c>
      <c r="C359" s="90" t="s">
        <v>824</v>
      </c>
      <c r="D359" s="87">
        <v>44819</v>
      </c>
      <c r="E359" s="80">
        <v>1</v>
      </c>
      <c r="F359" s="81">
        <v>303920466</v>
      </c>
      <c r="G359" s="82">
        <v>5</v>
      </c>
      <c r="H359" s="117">
        <v>20</v>
      </c>
      <c r="I359" s="83" t="s">
        <v>1462</v>
      </c>
      <c r="J359" s="88">
        <f t="shared" si="25"/>
        <v>60784093.200000003</v>
      </c>
      <c r="K359" s="89">
        <f t="shared" si="26"/>
        <v>15196023.300000001</v>
      </c>
      <c r="L359" s="89">
        <f t="shared" si="27"/>
        <v>45588069.900000006</v>
      </c>
    </row>
    <row r="360" spans="1:12" ht="31.2" outlineLevel="1" x14ac:dyDescent="0.3">
      <c r="A360" s="85">
        <f>SUBTOTAL(3,$B$356:B360)</f>
        <v>5</v>
      </c>
      <c r="B360" s="86" t="s">
        <v>1214</v>
      </c>
      <c r="C360" s="90" t="s">
        <v>825</v>
      </c>
      <c r="D360" s="87">
        <v>44819</v>
      </c>
      <c r="E360" s="80">
        <v>1</v>
      </c>
      <c r="F360" s="81">
        <v>987208013</v>
      </c>
      <c r="G360" s="82">
        <v>8</v>
      </c>
      <c r="H360" s="117">
        <v>20</v>
      </c>
      <c r="I360" s="83" t="s">
        <v>1462</v>
      </c>
      <c r="J360" s="88">
        <f t="shared" si="25"/>
        <v>123401001.625</v>
      </c>
      <c r="K360" s="89">
        <f t="shared" si="26"/>
        <v>49360400.649999999</v>
      </c>
      <c r="L360" s="89">
        <f t="shared" si="27"/>
        <v>74040600.974999994</v>
      </c>
    </row>
    <row r="361" spans="1:12" ht="31.2" outlineLevel="1" x14ac:dyDescent="0.3">
      <c r="A361" s="85">
        <f>SUBTOTAL(3,$B$356:B361)</f>
        <v>6</v>
      </c>
      <c r="B361" s="86" t="s">
        <v>1215</v>
      </c>
      <c r="C361" s="90" t="s">
        <v>826</v>
      </c>
      <c r="D361" s="87">
        <v>45383</v>
      </c>
      <c r="E361" s="80">
        <v>1</v>
      </c>
      <c r="F361" s="81">
        <v>431300039</v>
      </c>
      <c r="G361" s="82">
        <v>3</v>
      </c>
      <c r="H361" s="117">
        <v>20</v>
      </c>
      <c r="I361" s="83" t="s">
        <v>1462</v>
      </c>
      <c r="J361" s="88">
        <f t="shared" si="25"/>
        <v>143766679.66666666</v>
      </c>
      <c r="K361" s="89">
        <f t="shared" si="26"/>
        <v>21565001.949999999</v>
      </c>
      <c r="L361" s="89">
        <f t="shared" si="27"/>
        <v>122201677.71666665</v>
      </c>
    </row>
    <row r="362" spans="1:12" ht="15.6" outlineLevel="1" x14ac:dyDescent="0.3">
      <c r="A362" s="85">
        <f>SUBTOTAL(3,$B$356:B362)</f>
        <v>7</v>
      </c>
      <c r="B362" s="86" t="s">
        <v>1216</v>
      </c>
      <c r="C362" s="90" t="s">
        <v>827</v>
      </c>
      <c r="D362" s="87">
        <v>45658</v>
      </c>
      <c r="E362" s="80">
        <v>2</v>
      </c>
      <c r="F362" s="81">
        <v>529122899</v>
      </c>
      <c r="G362" s="82">
        <v>3</v>
      </c>
      <c r="H362" s="117">
        <v>20</v>
      </c>
      <c r="I362" s="83" t="s">
        <v>1462</v>
      </c>
      <c r="J362" s="88">
        <f t="shared" si="25"/>
        <v>176374299.66666666</v>
      </c>
      <c r="K362" s="89">
        <f t="shared" si="26"/>
        <v>26456144.949999999</v>
      </c>
      <c r="L362" s="89">
        <f t="shared" si="27"/>
        <v>149918154.71666667</v>
      </c>
    </row>
    <row r="363" spans="1:12" s="120" customFormat="1" x14ac:dyDescent="0.3">
      <c r="A363" s="76"/>
      <c r="B363" s="77"/>
      <c r="C363" s="77" t="s">
        <v>1463</v>
      </c>
      <c r="D363" s="77"/>
      <c r="E363" s="77"/>
      <c r="F363" s="118">
        <f>SUBTOTAL(9,F7:F362)</f>
        <v>360353780990</v>
      </c>
      <c r="G363" s="77"/>
      <c r="H363" s="119"/>
      <c r="I363" s="77"/>
      <c r="J363" s="118">
        <f>SUBTOTAL(9,J7:J362)</f>
        <v>52759401464.921425</v>
      </c>
      <c r="K363" s="118">
        <f>SUBTOTAL(9,K7:K362)</f>
        <v>28792098169.644978</v>
      </c>
      <c r="L363" s="118">
        <f>SUBTOTAL(9,L7:L362)</f>
        <v>23967303295.276436</v>
      </c>
    </row>
  </sheetData>
  <mergeCells count="12"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D130-485C-48D9-81E1-E723A6177366}">
  <sheetPr codeName="Sheet15">
    <tabColor theme="7" tint="0.39997558519241921"/>
  </sheetPr>
  <dimension ref="A1:AP413"/>
  <sheetViews>
    <sheetView showGridLines="0" zoomScale="55" zoomScaleNormal="55" workbookViewId="0">
      <pane xSplit="6" ySplit="9" topLeftCell="V330" activePane="bottomRight" state="frozen"/>
      <selection activeCell="AB48" sqref="AB48"/>
      <selection pane="topRight" activeCell="AB48" sqref="AB48"/>
      <selection pane="bottomLeft" activeCell="AB48" sqref="AB48"/>
      <selection pane="bottomRight" activeCell="AN362" sqref="AC9:AN362"/>
    </sheetView>
  </sheetViews>
  <sheetFormatPr defaultRowHeight="14.4" outlineLevelCol="1" x14ac:dyDescent="0.3"/>
  <cols>
    <col min="1" max="1" width="11" customWidth="1"/>
    <col min="2" max="2" width="9.44140625" customWidth="1"/>
    <col min="3" max="3" width="12.33203125" customWidth="1"/>
    <col min="4" max="4" width="24.33203125" bestFit="1" customWidth="1"/>
    <col min="5" max="5" width="13.109375" bestFit="1" customWidth="1"/>
    <col min="6" max="6" width="52.77734375" bestFit="1" customWidth="1"/>
    <col min="7" max="7" width="12.5546875" customWidth="1"/>
    <col min="8" max="8" width="29.77734375" bestFit="1" customWidth="1"/>
    <col min="9" max="9" width="33" bestFit="1" customWidth="1"/>
    <col min="10" max="10" width="11.77734375" customWidth="1"/>
    <col min="11" max="11" width="12.21875" customWidth="1"/>
    <col min="12" max="12" width="11.5546875" customWidth="1"/>
    <col min="13" max="13" width="12.77734375" customWidth="1"/>
    <col min="14" max="14" width="12.44140625" customWidth="1"/>
    <col min="15" max="15" width="20.109375" bestFit="1" customWidth="1"/>
    <col min="16" max="16" width="16" bestFit="1" customWidth="1"/>
    <col min="17" max="17" width="18.109375" customWidth="1"/>
    <col min="18" max="18" width="19" customWidth="1" outlineLevel="1"/>
    <col min="19" max="19" width="15" customWidth="1" outlineLevel="1"/>
    <col min="20" max="20" width="17.109375" customWidth="1" outlineLevel="1"/>
    <col min="21" max="21" width="19.21875" bestFit="1" customWidth="1"/>
    <col min="22" max="22" width="17.109375" customWidth="1"/>
    <col min="23" max="23" width="12.109375" customWidth="1"/>
    <col min="24" max="24" width="13.44140625" customWidth="1"/>
    <col min="25" max="25" width="10.5546875" customWidth="1"/>
    <col min="26" max="26" width="14.21875" customWidth="1"/>
    <col min="27" max="27" width="16.77734375" customWidth="1"/>
    <col min="28" max="28" width="13.44140625" bestFit="1" customWidth="1"/>
    <col min="29" max="29" width="18.109375" customWidth="1" outlineLevel="1"/>
    <col min="30" max="39" width="15.21875" customWidth="1" outlineLevel="1"/>
    <col min="40" max="40" width="17.44140625" customWidth="1" outlineLevel="1"/>
    <col min="41" max="41" width="18.44140625" customWidth="1"/>
    <col min="42" max="42" width="19.5546875" bestFit="1" customWidth="1"/>
  </cols>
  <sheetData>
    <row r="1" spans="1:42" ht="20.399999999999999" x14ac:dyDescent="0.3">
      <c r="C1" s="6"/>
      <c r="D1" s="5" t="s">
        <v>235</v>
      </c>
      <c r="E1" s="6"/>
    </row>
    <row r="2" spans="1:42" ht="20.399999999999999" x14ac:dyDescent="0.3">
      <c r="C2" s="6"/>
      <c r="D2" s="7" t="s">
        <v>236</v>
      </c>
      <c r="E2" s="6"/>
      <c r="S2" s="35"/>
      <c r="Y2" s="35"/>
      <c r="Z2" s="35"/>
      <c r="AA2" s="35"/>
      <c r="AB2" s="35"/>
    </row>
    <row r="3" spans="1:42" ht="20.399999999999999" x14ac:dyDescent="0.3">
      <c r="C3" s="6"/>
      <c r="D3" s="8" t="s">
        <v>1369</v>
      </c>
      <c r="E3" s="6"/>
      <c r="R3" s="62"/>
      <c r="S3" s="122"/>
    </row>
    <row r="4" spans="1:42" ht="20.399999999999999" x14ac:dyDescent="0.35">
      <c r="D4" s="9" t="s">
        <v>237</v>
      </c>
      <c r="E4" s="9" t="s">
        <v>238</v>
      </c>
      <c r="R4" s="35"/>
      <c r="Y4" s="122"/>
      <c r="Z4" s="122"/>
      <c r="AA4" s="122"/>
      <c r="AB4" s="122"/>
    </row>
    <row r="5" spans="1:42" x14ac:dyDescent="0.3">
      <c r="G5" s="33" t="s">
        <v>829</v>
      </c>
      <c r="N5" s="33" t="s">
        <v>829</v>
      </c>
      <c r="O5" s="33"/>
      <c r="P5" s="33"/>
    </row>
    <row r="6" spans="1:42" s="14" customFormat="1" x14ac:dyDescent="0.3">
      <c r="A6" s="14" t="s">
        <v>316</v>
      </c>
      <c r="B6" s="14" t="s">
        <v>316</v>
      </c>
      <c r="C6" s="14" t="s">
        <v>499</v>
      </c>
      <c r="D6" s="14" t="s">
        <v>293</v>
      </c>
      <c r="E6" s="14" t="s">
        <v>499</v>
      </c>
      <c r="F6" s="14" t="s">
        <v>499</v>
      </c>
      <c r="G6" s="14" t="s">
        <v>499</v>
      </c>
      <c r="H6" s="14" t="s">
        <v>499</v>
      </c>
      <c r="I6" s="14" t="s">
        <v>293</v>
      </c>
      <c r="J6" s="14" t="s">
        <v>293</v>
      </c>
      <c r="K6" s="14" t="s">
        <v>293</v>
      </c>
      <c r="L6" s="14" t="s">
        <v>499</v>
      </c>
      <c r="M6" s="14" t="s">
        <v>293</v>
      </c>
      <c r="N6" s="14" t="s">
        <v>499</v>
      </c>
      <c r="O6" s="14" t="s">
        <v>499</v>
      </c>
      <c r="P6" s="14" t="s">
        <v>499</v>
      </c>
      <c r="Q6" s="14" t="s">
        <v>499</v>
      </c>
      <c r="R6" s="14" t="s">
        <v>499</v>
      </c>
      <c r="S6" s="14" t="s">
        <v>293</v>
      </c>
      <c r="T6" s="14" t="s">
        <v>499</v>
      </c>
      <c r="U6" s="14" t="s">
        <v>499</v>
      </c>
      <c r="V6" s="14" t="s">
        <v>499</v>
      </c>
      <c r="W6" s="14" t="s">
        <v>293</v>
      </c>
      <c r="X6" s="14" t="s">
        <v>293</v>
      </c>
      <c r="Y6" s="14" t="s">
        <v>293</v>
      </c>
      <c r="Z6" s="14" t="s">
        <v>293</v>
      </c>
      <c r="AA6" s="14" t="s">
        <v>293</v>
      </c>
      <c r="AB6" s="14" t="s">
        <v>293</v>
      </c>
      <c r="AC6" s="14" t="s">
        <v>499</v>
      </c>
      <c r="AD6" s="14" t="s">
        <v>499</v>
      </c>
      <c r="AE6" s="14" t="s">
        <v>499</v>
      </c>
      <c r="AF6" s="14" t="s">
        <v>499</v>
      </c>
      <c r="AG6" s="14" t="s">
        <v>499</v>
      </c>
      <c r="AH6" s="14" t="s">
        <v>499</v>
      </c>
      <c r="AI6" s="14" t="s">
        <v>499</v>
      </c>
      <c r="AJ6" s="14" t="s">
        <v>499</v>
      </c>
      <c r="AK6" s="14" t="s">
        <v>499</v>
      </c>
      <c r="AL6" s="14" t="s">
        <v>499</v>
      </c>
      <c r="AM6" s="14" t="s">
        <v>499</v>
      </c>
      <c r="AN6" s="14" t="s">
        <v>499</v>
      </c>
      <c r="AO6" s="14" t="s">
        <v>500</v>
      </c>
      <c r="AP6" s="14" t="s">
        <v>501</v>
      </c>
    </row>
    <row r="7" spans="1:42" s="64" customFormat="1" ht="15" thickBot="1" x14ac:dyDescent="0.35">
      <c r="O7" s="65">
        <f>SUBTOTAL(9,Data_Dep.12[Nguyên giá])</f>
        <v>721453478812</v>
      </c>
      <c r="R7" s="65"/>
      <c r="U7" s="65">
        <f>SUBTOTAL(9,Data_Dep.12[KH_Q4.25])</f>
        <v>-13231330481</v>
      </c>
      <c r="V7" s="65">
        <f>SUBTOTAL(9,Data_Dep.12[Giá trị còn lại 31/12/25])</f>
        <v>281898063562</v>
      </c>
      <c r="AC7" s="65">
        <f>SUBTOTAL(9,Data_Dep.12[KH_2601])</f>
        <v>-2458734129.7011147</v>
      </c>
    </row>
    <row r="8" spans="1:42" ht="46.5" customHeight="1" thickTop="1" x14ac:dyDescent="0.3">
      <c r="A8" s="1" t="s">
        <v>13</v>
      </c>
      <c r="B8" s="1" t="s">
        <v>29</v>
      </c>
      <c r="C8" s="4" t="s">
        <v>229</v>
      </c>
      <c r="D8" s="4" t="s">
        <v>317</v>
      </c>
      <c r="E8" s="4" t="s">
        <v>290</v>
      </c>
      <c r="F8" s="4" t="s">
        <v>291</v>
      </c>
      <c r="G8" s="4" t="s">
        <v>322</v>
      </c>
      <c r="H8" s="4" t="s">
        <v>292</v>
      </c>
      <c r="I8" s="4" t="s">
        <v>1303</v>
      </c>
      <c r="J8" s="4" t="s">
        <v>243</v>
      </c>
      <c r="K8" s="4" t="s">
        <v>324</v>
      </c>
      <c r="L8" s="15" t="s">
        <v>318</v>
      </c>
      <c r="M8" s="15" t="s">
        <v>294</v>
      </c>
      <c r="N8" s="15" t="s">
        <v>323</v>
      </c>
      <c r="O8" s="20" t="s">
        <v>295</v>
      </c>
      <c r="P8" s="16" t="s">
        <v>296</v>
      </c>
      <c r="Q8" s="20" t="s">
        <v>297</v>
      </c>
      <c r="R8" s="16" t="s">
        <v>298</v>
      </c>
      <c r="S8" s="16" t="s">
        <v>299</v>
      </c>
      <c r="T8" s="16" t="s">
        <v>300</v>
      </c>
      <c r="U8" s="20" t="s">
        <v>1343</v>
      </c>
      <c r="V8" s="17" t="s">
        <v>301</v>
      </c>
      <c r="W8" s="17" t="s">
        <v>1466</v>
      </c>
      <c r="X8" s="63" t="s">
        <v>1371</v>
      </c>
      <c r="Y8" s="15" t="s">
        <v>1370</v>
      </c>
      <c r="Z8" s="15" t="s">
        <v>1464</v>
      </c>
      <c r="AA8" s="15" t="s">
        <v>1470</v>
      </c>
      <c r="AB8" s="15" t="s">
        <v>1465</v>
      </c>
      <c r="AC8" s="18" t="s">
        <v>303</v>
      </c>
      <c r="AD8" s="18" t="s">
        <v>304</v>
      </c>
      <c r="AE8" s="18" t="s">
        <v>305</v>
      </c>
      <c r="AF8" s="18" t="s">
        <v>306</v>
      </c>
      <c r="AG8" s="18" t="s">
        <v>307</v>
      </c>
      <c r="AH8" s="18" t="s">
        <v>308</v>
      </c>
      <c r="AI8" s="18" t="s">
        <v>309</v>
      </c>
      <c r="AJ8" s="18" t="s">
        <v>310</v>
      </c>
      <c r="AK8" s="18" t="s">
        <v>311</v>
      </c>
      <c r="AL8" s="18" t="s">
        <v>312</v>
      </c>
      <c r="AM8" s="18" t="s">
        <v>313</v>
      </c>
      <c r="AN8" s="18" t="s">
        <v>302</v>
      </c>
      <c r="AO8" s="19" t="s">
        <v>314</v>
      </c>
      <c r="AP8" s="17" t="s">
        <v>315</v>
      </c>
    </row>
    <row r="9" spans="1:42" x14ac:dyDescent="0.3">
      <c r="A9" s="157"/>
      <c r="B9" s="157"/>
      <c r="C9" s="158" t="s">
        <v>336</v>
      </c>
      <c r="D9" s="157" t="str">
        <f>_xlfn.XLOOKUP(Data_Dep.12[[#This Row],[Nhóm tài sản]],MD_Account_Asset_Type[Nhóm tài sản],MD_Account_Asset_Type[Tên Nhóm tài sản])</f>
        <v>Nhà cửa, vật kiến trúc - QL 642</v>
      </c>
      <c r="E9" s="159" t="s">
        <v>835</v>
      </c>
      <c r="F9" s="158" t="s">
        <v>503</v>
      </c>
      <c r="G9" s="157" t="s">
        <v>830</v>
      </c>
      <c r="H9" s="158" t="s">
        <v>36</v>
      </c>
      <c r="I9" s="158" t="str">
        <f>_xlfn.XLOOKUP(Data_Dep.12[[#This Row],[Cost center]],MD_Cost_Center[Mã Cost Center],MD_Cost_Center[Tên Cost Center])</f>
        <v>Hành chánh nhân sự</v>
      </c>
      <c r="J9" s="160">
        <f>_xlfn.XLOOKUP(Data_Dep.12[[#This Row],[Cost center]],MD_Cost_Center[Mã Cost Center],MD_Cost_Center[Work center],"Check")</f>
        <v>0</v>
      </c>
      <c r="K9" s="157" t="str">
        <f>_xlfn.XLOOKUP(Data_Dep.12[[#This Row],[Nhóm tài sản]],MD_Account_Asset_Type[Nhóm tài sản],MD_Account_Asset_Type[Tài khoản KH],"Check")</f>
        <v>6424001901</v>
      </c>
      <c r="L9" s="161">
        <v>44986</v>
      </c>
      <c r="M9" s="162">
        <f>EDATE(Data_Dep.12[[#This Row],[Ngày bắt đầu KH]],Data_Dep.12[[#This Row],[T/G Khấu hao]])</f>
        <v>46082</v>
      </c>
      <c r="N9" s="163">
        <v>36</v>
      </c>
      <c r="O9" s="163">
        <v>184508875</v>
      </c>
      <c r="P9" s="164">
        <v>-158882642</v>
      </c>
      <c r="Q9" s="163">
        <f>Data_Dep.12[[#This Row],[Nguyên giá]]+Data_Dep.12[[#This Row],[KH lũy kế]]</f>
        <v>25626233</v>
      </c>
      <c r="R9" s="165">
        <v>-5125247</v>
      </c>
      <c r="S9" s="165">
        <v>-5125246</v>
      </c>
      <c r="T9" s="165">
        <v>-5125247</v>
      </c>
      <c r="U9" s="165">
        <f>SUM(Data_Dep.12[[#This Row],[KH_2510]:[KH_2512]])</f>
        <v>-15375740</v>
      </c>
      <c r="V9" s="196">
        <f>Data_Dep.12[[#This Row],[Nguyên giá]]+Data_Dep.12[[#This Row],[KH lũy kế]]+Data_Dep.12[[#This Row],[KH_Q4.25]]</f>
        <v>10250493</v>
      </c>
      <c r="W9" s="195">
        <f>ROUND(Data_Dep.12[[#This Row],[T/G Khấu hao]]-Data_Dep.12[[#This Row],[Giá trị còn lại 31/12/25]]/Data_Dep.12[[#This Row],[Nguyên giá]]*Data_Dep.12[[#This Row],[T/G Khấu hao]],0)</f>
        <v>34</v>
      </c>
      <c r="X9" s="166">
        <v>84</v>
      </c>
      <c r="Y9" s="163">
        <f>Data_Dep.12[[#This Row],[T/G Khấu hao]]+Data_Dep.12[[#This Row],[Điều chỉnh]]</f>
        <v>120</v>
      </c>
      <c r="Z9" s="167">
        <f>EDATE(Data_Dep.12[[#This Row],[Ngày bắt đầu KH]],Data_Dep.12[[#This Row],[T/G điều chỉnh]])</f>
        <v>48639</v>
      </c>
      <c r="AA9" s="197">
        <f>Data_Dep.12[[#This Row],[T/G điều chỉnh]]-Data_Dep.12[[#This Row],[Số kỳ đã khấu hao]]</f>
        <v>86</v>
      </c>
      <c r="AB9" s="163">
        <f>IFERROR(-Data_Dep.12[[#This Row],[Giá trị còn lại 31/12/25]]/(Data_Dep.12[[#This Row],[T/G điều chỉnh]]-Data_Dep.12[[#This Row],[Số kỳ đã khấu hao]]),0)</f>
        <v>-119191.77906976744</v>
      </c>
      <c r="AC9" s="168">
        <v>-119191.77906976744</v>
      </c>
      <c r="AD9" s="168">
        <v>-119191.77906976744</v>
      </c>
      <c r="AE9" s="168">
        <v>-119191.77906976744</v>
      </c>
      <c r="AF9" s="168">
        <v>-119191.77906976744</v>
      </c>
      <c r="AG9" s="168">
        <v>-119191.77906976744</v>
      </c>
      <c r="AH9" s="168">
        <v>-119191.77906976744</v>
      </c>
      <c r="AI9" s="168">
        <v>-119191.77906976744</v>
      </c>
      <c r="AJ9" s="168">
        <v>-119191.77906976744</v>
      </c>
      <c r="AK9" s="168">
        <v>-119191.77906976744</v>
      </c>
      <c r="AL9" s="168">
        <v>-119191.77906976744</v>
      </c>
      <c r="AM9" s="168">
        <v>-119191.77906976744</v>
      </c>
      <c r="AN9" s="168">
        <v>-119191.77906976744</v>
      </c>
      <c r="AO9" s="163">
        <f>SUM(Data_Dep.12[[#This Row],[KH_2601]:[KH_2612]])</f>
        <v>-1430301.3488372089</v>
      </c>
      <c r="AP9" s="163">
        <f>Data_Dep.12[[#This Row],[Giá trị còn lại 31/12/25]]+Data_Dep.12[[#This Row],[KH LK 2026]]</f>
        <v>8820191.651162792</v>
      </c>
    </row>
    <row r="10" spans="1:42" x14ac:dyDescent="0.3">
      <c r="A10" s="169"/>
      <c r="B10" s="169"/>
      <c r="C10" s="170" t="s">
        <v>336</v>
      </c>
      <c r="D10" s="169" t="str">
        <f>_xlfn.XLOOKUP(Data_Dep.12[[#This Row],[Nhóm tài sản]],MD_Account_Asset_Type[Nhóm tài sản],MD_Account_Asset_Type[Tên Nhóm tài sản])</f>
        <v>Nhà cửa, vật kiến trúc - QL 642</v>
      </c>
      <c r="E10" s="171" t="s">
        <v>836</v>
      </c>
      <c r="F10" s="170" t="s">
        <v>504</v>
      </c>
      <c r="G10" s="169" t="s">
        <v>830</v>
      </c>
      <c r="H10" s="170" t="s">
        <v>36</v>
      </c>
      <c r="I10" s="170" t="str">
        <f>_xlfn.XLOOKUP(Data_Dep.12[[#This Row],[Cost center]],MD_Cost_Center[Mã Cost Center],MD_Cost_Center[Tên Cost Center])</f>
        <v>Hành chánh nhân sự</v>
      </c>
      <c r="J10" s="172">
        <f>_xlfn.XLOOKUP(Data_Dep.12[[#This Row],[Cost center]],MD_Cost_Center[Mã Cost Center],MD_Cost_Center[Work center],"Check")</f>
        <v>0</v>
      </c>
      <c r="K10" s="169" t="str">
        <f>_xlfn.XLOOKUP(Data_Dep.12[[#This Row],[Nhóm tài sản]],MD_Account_Asset_Type[Nhóm tài sản],MD_Account_Asset_Type[Tài khoản KH],"Check")</f>
        <v>6424001901</v>
      </c>
      <c r="L10" s="173">
        <v>45261</v>
      </c>
      <c r="M10" s="174">
        <f>EDATE(Data_Dep.12[[#This Row],[Ngày bắt đầu KH]],Data_Dep.12[[#This Row],[T/G Khấu hao]])</f>
        <v>47453</v>
      </c>
      <c r="N10" s="175">
        <v>72</v>
      </c>
      <c r="O10" s="175">
        <v>267942150</v>
      </c>
      <c r="P10" s="176">
        <v>-81871213</v>
      </c>
      <c r="Q10" s="175">
        <f>Data_Dep.12[[#This Row],[Nguyên giá]]+Data_Dep.12[[#This Row],[KH lũy kế]]</f>
        <v>186070937</v>
      </c>
      <c r="R10" s="177">
        <v>-3721418</v>
      </c>
      <c r="S10" s="177">
        <v>-3721419</v>
      </c>
      <c r="T10" s="177">
        <v>-3721419</v>
      </c>
      <c r="U10" s="177">
        <f>SUM(Data_Dep.12[[#This Row],[KH_2510]:[KH_2512]])</f>
        <v>-11164256</v>
      </c>
      <c r="V10" s="175">
        <f>Data_Dep.12[[#This Row],[Nguyên giá]]+Data_Dep.12[[#This Row],[KH lũy kế]]+Data_Dep.12[[#This Row],[KH_Q4.25]]</f>
        <v>174906681</v>
      </c>
      <c r="W10" s="178">
        <f>ROUND(Data_Dep.12[[#This Row],[T/G Khấu hao]]-Data_Dep.12[[#This Row],[Giá trị còn lại 31/12/25]]/Data_Dep.12[[#This Row],[Nguyên giá]]*Data_Dep.12[[#This Row],[T/G Khấu hao]],0)</f>
        <v>25</v>
      </c>
      <c r="X10" s="179">
        <v>48</v>
      </c>
      <c r="Y10" s="175">
        <f>Data_Dep.12[[#This Row],[T/G Khấu hao]]+Data_Dep.12[[#This Row],[Điều chỉnh]]</f>
        <v>120</v>
      </c>
      <c r="Z10" s="180">
        <f>EDATE(Data_Dep.12[[#This Row],[Ngày bắt đầu KH]],Data_Dep.12[[#This Row],[T/G điều chỉnh]])</f>
        <v>48914</v>
      </c>
      <c r="AA10" s="175">
        <f>Data_Dep.12[[#This Row],[T/G điều chỉnh]]-Data_Dep.12[[#This Row],[Số kỳ đã khấu hao]]</f>
        <v>95</v>
      </c>
      <c r="AB10" s="175">
        <f>IFERROR(-Data_Dep.12[[#This Row],[Giá trị còn lại 31/12/25]]/(Data_Dep.12[[#This Row],[T/G điều chỉnh]]-Data_Dep.12[[#This Row],[Số kỳ đã khấu hao]]),0)</f>
        <v>-1841122.9578947369</v>
      </c>
      <c r="AC10" s="181">
        <v>-1841122.9578947369</v>
      </c>
      <c r="AD10" s="181">
        <v>-1841122.9578947369</v>
      </c>
      <c r="AE10" s="181">
        <v>-1841122.9578947369</v>
      </c>
      <c r="AF10" s="181">
        <v>-1841122.9578947369</v>
      </c>
      <c r="AG10" s="181">
        <v>-1841122.9578947369</v>
      </c>
      <c r="AH10" s="181">
        <v>-1841122.9578947369</v>
      </c>
      <c r="AI10" s="181">
        <v>-1841122.9578947369</v>
      </c>
      <c r="AJ10" s="181">
        <v>-1841122.9578947369</v>
      </c>
      <c r="AK10" s="181">
        <v>-1841122.9578947369</v>
      </c>
      <c r="AL10" s="181">
        <v>-1841122.9578947369</v>
      </c>
      <c r="AM10" s="181">
        <v>-1841122.9578947369</v>
      </c>
      <c r="AN10" s="181">
        <v>-1841122.9578947369</v>
      </c>
      <c r="AO10" s="175">
        <f>SUM(Data_Dep.12[[#This Row],[KH_2601]:[KH_2612]])</f>
        <v>-22093475.494736843</v>
      </c>
      <c r="AP10" s="175">
        <f>Data_Dep.12[[#This Row],[Giá trị còn lại 31/12/25]]+Data_Dep.12[[#This Row],[KH LK 2026]]</f>
        <v>152813205.50526315</v>
      </c>
    </row>
    <row r="11" spans="1:42" x14ac:dyDescent="0.3">
      <c r="A11" s="169"/>
      <c r="B11" s="169"/>
      <c r="C11" s="170" t="s">
        <v>336</v>
      </c>
      <c r="D11" s="169" t="str">
        <f>_xlfn.XLOOKUP(Data_Dep.12[[#This Row],[Nhóm tài sản]],MD_Account_Asset_Type[Nhóm tài sản],MD_Account_Asset_Type[Tên Nhóm tài sản])</f>
        <v>Nhà cửa, vật kiến trúc - QL 642</v>
      </c>
      <c r="E11" s="171" t="s">
        <v>837</v>
      </c>
      <c r="F11" s="170" t="s">
        <v>505</v>
      </c>
      <c r="G11" s="169" t="s">
        <v>830</v>
      </c>
      <c r="H11" s="170" t="s">
        <v>34</v>
      </c>
      <c r="I11" s="170" t="str">
        <f>_xlfn.XLOOKUP(Data_Dep.12[[#This Row],[Cost center]],MD_Cost_Center[Mã Cost Center],MD_Cost_Center[Tên Cost Center])</f>
        <v>Ban dự án XDCB</v>
      </c>
      <c r="J11" s="172">
        <f>_xlfn.XLOOKUP(Data_Dep.12[[#This Row],[Cost center]],MD_Cost_Center[Mã Cost Center],MD_Cost_Center[Work center],"Check")</f>
        <v>0</v>
      </c>
      <c r="K11" s="169" t="str">
        <f>_xlfn.XLOOKUP(Data_Dep.12[[#This Row],[Nhóm tài sản]],MD_Account_Asset_Type[Nhóm tài sản],MD_Account_Asset_Type[Tài khoản KH],"Check")</f>
        <v>6424001901</v>
      </c>
      <c r="L11" s="173">
        <v>45261</v>
      </c>
      <c r="M11" s="174">
        <f>EDATE(Data_Dep.12[[#This Row],[Ngày bắt đầu KH]],Data_Dep.12[[#This Row],[T/G Khấu hao]])</f>
        <v>46357</v>
      </c>
      <c r="N11" s="175">
        <v>36</v>
      </c>
      <c r="O11" s="175">
        <v>309657600</v>
      </c>
      <c r="P11" s="176">
        <v>-189235200</v>
      </c>
      <c r="Q11" s="175">
        <f>Data_Dep.12[[#This Row],[Nguyên giá]]+Data_Dep.12[[#This Row],[KH lũy kế]]</f>
        <v>120422400</v>
      </c>
      <c r="R11" s="177">
        <v>-8601600</v>
      </c>
      <c r="S11" s="177">
        <v>-8601600</v>
      </c>
      <c r="T11" s="177">
        <v>-8601600</v>
      </c>
      <c r="U11" s="177">
        <f>SUM(Data_Dep.12[[#This Row],[KH_2510]:[KH_2512]])</f>
        <v>-25804800</v>
      </c>
      <c r="V11" s="175">
        <f>Data_Dep.12[[#This Row],[Nguyên giá]]+Data_Dep.12[[#This Row],[KH lũy kế]]+Data_Dep.12[[#This Row],[KH_Q4.25]]</f>
        <v>94617600</v>
      </c>
      <c r="W11" s="178">
        <f>ROUND(Data_Dep.12[[#This Row],[T/G Khấu hao]]-Data_Dep.12[[#This Row],[Giá trị còn lại 31/12/25]]/Data_Dep.12[[#This Row],[Nguyên giá]]*Data_Dep.12[[#This Row],[T/G Khấu hao]],0)</f>
        <v>25</v>
      </c>
      <c r="X11" s="179">
        <v>84</v>
      </c>
      <c r="Y11" s="175">
        <f>Data_Dep.12[[#This Row],[T/G Khấu hao]]+Data_Dep.12[[#This Row],[Điều chỉnh]]</f>
        <v>120</v>
      </c>
      <c r="Z11" s="180">
        <f>EDATE(Data_Dep.12[[#This Row],[Ngày bắt đầu KH]],Data_Dep.12[[#This Row],[T/G điều chỉnh]])</f>
        <v>48914</v>
      </c>
      <c r="AA11" s="175">
        <f>Data_Dep.12[[#This Row],[T/G điều chỉnh]]-Data_Dep.12[[#This Row],[Số kỳ đã khấu hao]]</f>
        <v>95</v>
      </c>
      <c r="AB11" s="175">
        <f>IFERROR(-Data_Dep.12[[#This Row],[Giá trị còn lại 31/12/25]]/(Data_Dep.12[[#This Row],[T/G điều chỉnh]]-Data_Dep.12[[#This Row],[Số kỳ đã khấu hao]]),0)</f>
        <v>-995974.73684210528</v>
      </c>
      <c r="AC11" s="181">
        <v>-995974.73684210528</v>
      </c>
      <c r="AD11" s="181">
        <v>-995974.73684210528</v>
      </c>
      <c r="AE11" s="181">
        <v>-995974.73684210528</v>
      </c>
      <c r="AF11" s="181">
        <v>-995974.73684210528</v>
      </c>
      <c r="AG11" s="181">
        <v>-995974.73684210528</v>
      </c>
      <c r="AH11" s="181">
        <v>-995974.73684210528</v>
      </c>
      <c r="AI11" s="181">
        <v>-995974.73684210528</v>
      </c>
      <c r="AJ11" s="181">
        <v>-995974.73684210528</v>
      </c>
      <c r="AK11" s="181">
        <v>-995974.73684210528</v>
      </c>
      <c r="AL11" s="181">
        <v>-995974.73684210528</v>
      </c>
      <c r="AM11" s="181">
        <v>-995974.73684210528</v>
      </c>
      <c r="AN11" s="181">
        <v>-995974.73684210528</v>
      </c>
      <c r="AO11" s="175">
        <f>SUM(Data_Dep.12[[#This Row],[KH_2601]:[KH_2612]])</f>
        <v>-11951696.842105264</v>
      </c>
      <c r="AP11" s="175">
        <f>Data_Dep.12[[#This Row],[Giá trị còn lại 31/12/25]]+Data_Dep.12[[#This Row],[KH LK 2026]]</f>
        <v>82665903.157894731</v>
      </c>
    </row>
    <row r="12" spans="1:42" x14ac:dyDescent="0.3">
      <c r="A12" s="169"/>
      <c r="B12" s="169"/>
      <c r="C12" s="170" t="s">
        <v>336</v>
      </c>
      <c r="D12" s="169" t="str">
        <f>_xlfn.XLOOKUP(Data_Dep.12[[#This Row],[Nhóm tài sản]],MD_Account_Asset_Type[Nhóm tài sản],MD_Account_Asset_Type[Tên Nhóm tài sản])</f>
        <v>Nhà cửa, vật kiến trúc - QL 642</v>
      </c>
      <c r="E12" s="171" t="s">
        <v>838</v>
      </c>
      <c r="F12" s="170" t="s">
        <v>506</v>
      </c>
      <c r="G12" s="169" t="s">
        <v>830</v>
      </c>
      <c r="H12" s="170" t="s">
        <v>36</v>
      </c>
      <c r="I12" s="170" t="str">
        <f>_xlfn.XLOOKUP(Data_Dep.12[[#This Row],[Cost center]],MD_Cost_Center[Mã Cost Center],MD_Cost_Center[Tên Cost Center])</f>
        <v>Hành chánh nhân sự</v>
      </c>
      <c r="J12" s="172">
        <f>_xlfn.XLOOKUP(Data_Dep.12[[#This Row],[Cost center]],MD_Cost_Center[Mã Cost Center],MD_Cost_Center[Work center],"Check")</f>
        <v>0</v>
      </c>
      <c r="K12" s="169" t="str">
        <f>_xlfn.XLOOKUP(Data_Dep.12[[#This Row],[Nhóm tài sản]],MD_Account_Asset_Type[Nhóm tài sản],MD_Account_Asset_Type[Tài khoản KH],"Check")</f>
        <v>6424001901</v>
      </c>
      <c r="L12" s="173">
        <v>45261</v>
      </c>
      <c r="M12" s="174">
        <f>EDATE(Data_Dep.12[[#This Row],[Ngày bắt đầu KH]],Data_Dep.12[[#This Row],[T/G Khấu hao]])</f>
        <v>47453</v>
      </c>
      <c r="N12" s="175">
        <v>72</v>
      </c>
      <c r="O12" s="175">
        <v>278150000</v>
      </c>
      <c r="P12" s="176">
        <v>-84990277</v>
      </c>
      <c r="Q12" s="175">
        <f>Data_Dep.12[[#This Row],[Nguyên giá]]+Data_Dep.12[[#This Row],[KH lũy kế]]</f>
        <v>193159723</v>
      </c>
      <c r="R12" s="177">
        <v>-3863195</v>
      </c>
      <c r="S12" s="177">
        <v>-3863194</v>
      </c>
      <c r="T12" s="177">
        <v>-3863194</v>
      </c>
      <c r="U12" s="177">
        <f>SUM(Data_Dep.12[[#This Row],[KH_2510]:[KH_2512]])</f>
        <v>-11589583</v>
      </c>
      <c r="V12" s="175">
        <f>Data_Dep.12[[#This Row],[Nguyên giá]]+Data_Dep.12[[#This Row],[KH lũy kế]]+Data_Dep.12[[#This Row],[KH_Q4.25]]</f>
        <v>181570140</v>
      </c>
      <c r="W12" s="178">
        <f>ROUND(Data_Dep.12[[#This Row],[T/G Khấu hao]]-Data_Dep.12[[#This Row],[Giá trị còn lại 31/12/25]]/Data_Dep.12[[#This Row],[Nguyên giá]]*Data_Dep.12[[#This Row],[T/G Khấu hao]],0)</f>
        <v>25</v>
      </c>
      <c r="X12" s="179">
        <v>48</v>
      </c>
      <c r="Y12" s="175">
        <f>Data_Dep.12[[#This Row],[T/G Khấu hao]]+Data_Dep.12[[#This Row],[Điều chỉnh]]</f>
        <v>120</v>
      </c>
      <c r="Z12" s="180">
        <f>EDATE(Data_Dep.12[[#This Row],[Ngày bắt đầu KH]],Data_Dep.12[[#This Row],[T/G điều chỉnh]])</f>
        <v>48914</v>
      </c>
      <c r="AA12" s="175">
        <f>Data_Dep.12[[#This Row],[T/G điều chỉnh]]-Data_Dep.12[[#This Row],[Số kỳ đã khấu hao]]</f>
        <v>95</v>
      </c>
      <c r="AB12" s="175">
        <f>IFERROR(-Data_Dep.12[[#This Row],[Giá trị còn lại 31/12/25]]/(Data_Dep.12[[#This Row],[T/G điều chỉnh]]-Data_Dep.12[[#This Row],[Số kỳ đã khấu hao]]),0)</f>
        <v>-1911264.6315789474</v>
      </c>
      <c r="AC12" s="181">
        <v>-1911264.6315789474</v>
      </c>
      <c r="AD12" s="181">
        <v>-1911264.6315789474</v>
      </c>
      <c r="AE12" s="181">
        <v>-1911264.6315789474</v>
      </c>
      <c r="AF12" s="181">
        <v>-1911264.6315789474</v>
      </c>
      <c r="AG12" s="181">
        <v>-1911264.6315789474</v>
      </c>
      <c r="AH12" s="181">
        <v>-1911264.6315789474</v>
      </c>
      <c r="AI12" s="181">
        <v>-1911264.6315789474</v>
      </c>
      <c r="AJ12" s="181">
        <v>-1911264.6315789474</v>
      </c>
      <c r="AK12" s="181">
        <v>-1911264.6315789474</v>
      </c>
      <c r="AL12" s="181">
        <v>-1911264.6315789474</v>
      </c>
      <c r="AM12" s="181">
        <v>-1911264.6315789474</v>
      </c>
      <c r="AN12" s="181">
        <v>-1911264.6315789474</v>
      </c>
      <c r="AO12" s="175">
        <f>SUM(Data_Dep.12[[#This Row],[KH_2601]:[KH_2612]])</f>
        <v>-22935175.578947376</v>
      </c>
      <c r="AP12" s="175">
        <f>Data_Dep.12[[#This Row],[Giá trị còn lại 31/12/25]]+Data_Dep.12[[#This Row],[KH LK 2026]]</f>
        <v>158634964.42105263</v>
      </c>
    </row>
    <row r="13" spans="1:42" x14ac:dyDescent="0.3">
      <c r="A13" s="169"/>
      <c r="B13" s="169"/>
      <c r="C13" s="170" t="s">
        <v>336</v>
      </c>
      <c r="D13" s="169" t="str">
        <f>_xlfn.XLOOKUP(Data_Dep.12[[#This Row],[Nhóm tài sản]],MD_Account_Asset_Type[Nhóm tài sản],MD_Account_Asset_Type[Tên Nhóm tài sản])</f>
        <v>Nhà cửa, vật kiến trúc - QL 642</v>
      </c>
      <c r="E13" s="171" t="s">
        <v>839</v>
      </c>
      <c r="F13" s="170" t="s">
        <v>507</v>
      </c>
      <c r="G13" s="169" t="s">
        <v>830</v>
      </c>
      <c r="H13" s="170" t="s">
        <v>36</v>
      </c>
      <c r="I13" s="170" t="str">
        <f>_xlfn.XLOOKUP(Data_Dep.12[[#This Row],[Cost center]],MD_Cost_Center[Mã Cost Center],MD_Cost_Center[Tên Cost Center])</f>
        <v>Hành chánh nhân sự</v>
      </c>
      <c r="J13" s="172">
        <f>_xlfn.XLOOKUP(Data_Dep.12[[#This Row],[Cost center]],MD_Cost_Center[Mã Cost Center],MD_Cost_Center[Work center],"Check")</f>
        <v>0</v>
      </c>
      <c r="K13" s="169" t="str">
        <f>_xlfn.XLOOKUP(Data_Dep.12[[#This Row],[Nhóm tài sản]],MD_Account_Asset_Type[Nhóm tài sản],MD_Account_Asset_Type[Tài khoản KH],"Check")</f>
        <v>6424001901</v>
      </c>
      <c r="L13" s="173">
        <v>45261</v>
      </c>
      <c r="M13" s="174">
        <f>EDATE(Data_Dep.12[[#This Row],[Ngày bắt đầu KH]],Data_Dep.12[[#This Row],[T/G Khấu hao]])</f>
        <v>48183</v>
      </c>
      <c r="N13" s="175">
        <v>96</v>
      </c>
      <c r="O13" s="175">
        <v>118791283</v>
      </c>
      <c r="P13" s="176">
        <v>-27223002</v>
      </c>
      <c r="Q13" s="175">
        <f>Data_Dep.12[[#This Row],[Nguyên giá]]+Data_Dep.12[[#This Row],[KH lũy kế]]</f>
        <v>91568281</v>
      </c>
      <c r="R13" s="177">
        <v>-1237409</v>
      </c>
      <c r="S13" s="177">
        <v>-1237409</v>
      </c>
      <c r="T13" s="177">
        <v>-1237409</v>
      </c>
      <c r="U13" s="177">
        <f>SUM(Data_Dep.12[[#This Row],[KH_2510]:[KH_2512]])</f>
        <v>-3712227</v>
      </c>
      <c r="V13" s="175">
        <f>Data_Dep.12[[#This Row],[Nguyên giá]]+Data_Dep.12[[#This Row],[KH lũy kế]]+Data_Dep.12[[#This Row],[KH_Q4.25]]</f>
        <v>87856054</v>
      </c>
      <c r="W13" s="178">
        <f>ROUND(Data_Dep.12[[#This Row],[T/G Khấu hao]]-Data_Dep.12[[#This Row],[Giá trị còn lại 31/12/25]]/Data_Dep.12[[#This Row],[Nguyên giá]]*Data_Dep.12[[#This Row],[T/G Khấu hao]],0)</f>
        <v>25</v>
      </c>
      <c r="X13" s="179">
        <v>24</v>
      </c>
      <c r="Y13" s="175">
        <f>Data_Dep.12[[#This Row],[T/G Khấu hao]]+Data_Dep.12[[#This Row],[Điều chỉnh]]</f>
        <v>120</v>
      </c>
      <c r="Z13" s="180">
        <f>EDATE(Data_Dep.12[[#This Row],[Ngày bắt đầu KH]],Data_Dep.12[[#This Row],[T/G điều chỉnh]])</f>
        <v>48914</v>
      </c>
      <c r="AA13" s="175">
        <f>Data_Dep.12[[#This Row],[T/G điều chỉnh]]-Data_Dep.12[[#This Row],[Số kỳ đã khấu hao]]</f>
        <v>95</v>
      </c>
      <c r="AB13" s="175">
        <f>IFERROR(-Data_Dep.12[[#This Row],[Giá trị còn lại 31/12/25]]/(Data_Dep.12[[#This Row],[T/G điều chỉnh]]-Data_Dep.12[[#This Row],[Số kỳ đã khấu hao]]),0)</f>
        <v>-924800.56842105265</v>
      </c>
      <c r="AC13" s="181">
        <v>-924800.56842105265</v>
      </c>
      <c r="AD13" s="181">
        <v>-924800.56842105265</v>
      </c>
      <c r="AE13" s="181">
        <v>-924800.56842105265</v>
      </c>
      <c r="AF13" s="181">
        <v>-924800.56842105265</v>
      </c>
      <c r="AG13" s="181">
        <v>-924800.56842105265</v>
      </c>
      <c r="AH13" s="181">
        <v>-924800.56842105265</v>
      </c>
      <c r="AI13" s="181">
        <v>-924800.56842105265</v>
      </c>
      <c r="AJ13" s="181">
        <v>-924800.56842105265</v>
      </c>
      <c r="AK13" s="181">
        <v>-924800.56842105265</v>
      </c>
      <c r="AL13" s="181">
        <v>-924800.56842105265</v>
      </c>
      <c r="AM13" s="181">
        <v>-924800.56842105265</v>
      </c>
      <c r="AN13" s="181">
        <v>-924800.56842105265</v>
      </c>
      <c r="AO13" s="175">
        <f>SUM(Data_Dep.12[[#This Row],[KH_2601]:[KH_2612]])</f>
        <v>-11097606.821052631</v>
      </c>
      <c r="AP13" s="175">
        <f>Data_Dep.12[[#This Row],[Giá trị còn lại 31/12/25]]+Data_Dep.12[[#This Row],[KH LK 2026]]</f>
        <v>76758447.178947374</v>
      </c>
    </row>
    <row r="14" spans="1:42" x14ac:dyDescent="0.3">
      <c r="A14" s="169"/>
      <c r="B14" s="169"/>
      <c r="C14" s="170" t="s">
        <v>336</v>
      </c>
      <c r="D14" s="169" t="str">
        <f>_xlfn.XLOOKUP(Data_Dep.12[[#This Row],[Nhóm tài sản]],MD_Account_Asset_Type[Nhóm tài sản],MD_Account_Asset_Type[Tên Nhóm tài sản])</f>
        <v>Nhà cửa, vật kiến trúc - QL 642</v>
      </c>
      <c r="E14" s="171" t="s">
        <v>840</v>
      </c>
      <c r="F14" s="170" t="s">
        <v>508</v>
      </c>
      <c r="G14" s="169" t="s">
        <v>830</v>
      </c>
      <c r="H14" s="170" t="s">
        <v>36</v>
      </c>
      <c r="I14" s="170" t="str">
        <f>_xlfn.XLOOKUP(Data_Dep.12[[#This Row],[Cost center]],MD_Cost_Center[Mã Cost Center],MD_Cost_Center[Tên Cost Center])</f>
        <v>Hành chánh nhân sự</v>
      </c>
      <c r="J14" s="172">
        <f>_xlfn.XLOOKUP(Data_Dep.12[[#This Row],[Cost center]],MD_Cost_Center[Mã Cost Center],MD_Cost_Center[Work center],"Check")</f>
        <v>0</v>
      </c>
      <c r="K14" s="169" t="str">
        <f>_xlfn.XLOOKUP(Data_Dep.12[[#This Row],[Nhóm tài sản]],MD_Account_Asset_Type[Nhóm tài sản],MD_Account_Asset_Type[Tài khoản KH],"Check")</f>
        <v>6424001901</v>
      </c>
      <c r="L14" s="173">
        <v>45261</v>
      </c>
      <c r="M14" s="174">
        <f>EDATE(Data_Dep.12[[#This Row],[Ngày bắt đầu KH]],Data_Dep.12[[#This Row],[T/G Khấu hao]])</f>
        <v>47453</v>
      </c>
      <c r="N14" s="175">
        <v>72</v>
      </c>
      <c r="O14" s="175">
        <v>117700000</v>
      </c>
      <c r="P14" s="176">
        <v>-35963889</v>
      </c>
      <c r="Q14" s="175">
        <f>Data_Dep.12[[#This Row],[Nguyên giá]]+Data_Dep.12[[#This Row],[KH lũy kế]]</f>
        <v>81736111</v>
      </c>
      <c r="R14" s="177">
        <v>-1634722</v>
      </c>
      <c r="S14" s="177">
        <v>-1634722</v>
      </c>
      <c r="T14" s="177">
        <v>-1634723</v>
      </c>
      <c r="U14" s="177">
        <f>SUM(Data_Dep.12[[#This Row],[KH_2510]:[KH_2512]])</f>
        <v>-4904167</v>
      </c>
      <c r="V14" s="175">
        <f>Data_Dep.12[[#This Row],[Nguyên giá]]+Data_Dep.12[[#This Row],[KH lũy kế]]+Data_Dep.12[[#This Row],[KH_Q4.25]]</f>
        <v>76831944</v>
      </c>
      <c r="W14" s="178">
        <f>ROUND(Data_Dep.12[[#This Row],[T/G Khấu hao]]-Data_Dep.12[[#This Row],[Giá trị còn lại 31/12/25]]/Data_Dep.12[[#This Row],[Nguyên giá]]*Data_Dep.12[[#This Row],[T/G Khấu hao]],0)</f>
        <v>25</v>
      </c>
      <c r="X14" s="179">
        <v>48</v>
      </c>
      <c r="Y14" s="175">
        <f>Data_Dep.12[[#This Row],[T/G Khấu hao]]+Data_Dep.12[[#This Row],[Điều chỉnh]]</f>
        <v>120</v>
      </c>
      <c r="Z14" s="180">
        <f>EDATE(Data_Dep.12[[#This Row],[Ngày bắt đầu KH]],Data_Dep.12[[#This Row],[T/G điều chỉnh]])</f>
        <v>48914</v>
      </c>
      <c r="AA14" s="175">
        <f>Data_Dep.12[[#This Row],[T/G điều chỉnh]]-Data_Dep.12[[#This Row],[Số kỳ đã khấu hao]]</f>
        <v>95</v>
      </c>
      <c r="AB14" s="175">
        <f>IFERROR(-Data_Dep.12[[#This Row],[Giá trị còn lại 31/12/25]]/(Data_Dep.12[[#This Row],[T/G điều chỉnh]]-Data_Dep.12[[#This Row],[Số kỳ đã khấu hao]]),0)</f>
        <v>-808757.30526315793</v>
      </c>
      <c r="AC14" s="181">
        <v>-808757.30526315793</v>
      </c>
      <c r="AD14" s="181">
        <v>-808757.30526315793</v>
      </c>
      <c r="AE14" s="181">
        <v>-808757.30526315793</v>
      </c>
      <c r="AF14" s="181">
        <v>-808757.30526315793</v>
      </c>
      <c r="AG14" s="181">
        <v>-808757.30526315793</v>
      </c>
      <c r="AH14" s="181">
        <v>-808757.30526315793</v>
      </c>
      <c r="AI14" s="181">
        <v>-808757.30526315793</v>
      </c>
      <c r="AJ14" s="181">
        <v>-808757.30526315793</v>
      </c>
      <c r="AK14" s="181">
        <v>-808757.30526315793</v>
      </c>
      <c r="AL14" s="181">
        <v>-808757.30526315793</v>
      </c>
      <c r="AM14" s="181">
        <v>-808757.30526315793</v>
      </c>
      <c r="AN14" s="181">
        <v>-808757.30526315793</v>
      </c>
      <c r="AO14" s="175">
        <f>SUM(Data_Dep.12[[#This Row],[KH_2601]:[KH_2612]])</f>
        <v>-9705087.6631578952</v>
      </c>
      <c r="AP14" s="175">
        <f>Data_Dep.12[[#This Row],[Giá trị còn lại 31/12/25]]+Data_Dep.12[[#This Row],[KH LK 2026]]</f>
        <v>67126856.336842105</v>
      </c>
    </row>
    <row r="15" spans="1:42" x14ac:dyDescent="0.3">
      <c r="A15" s="169"/>
      <c r="B15" s="169"/>
      <c r="C15" s="170" t="s">
        <v>336</v>
      </c>
      <c r="D15" s="169" t="str">
        <f>_xlfn.XLOOKUP(Data_Dep.12[[#This Row],[Nhóm tài sản]],MD_Account_Asset_Type[Nhóm tài sản],MD_Account_Asset_Type[Tên Nhóm tài sản])</f>
        <v>Nhà cửa, vật kiến trúc - QL 642</v>
      </c>
      <c r="E15" s="171" t="s">
        <v>841</v>
      </c>
      <c r="F15" s="170" t="s">
        <v>509</v>
      </c>
      <c r="G15" s="169" t="s">
        <v>830</v>
      </c>
      <c r="H15" s="170" t="s">
        <v>36</v>
      </c>
      <c r="I15" s="170" t="str">
        <f>_xlfn.XLOOKUP(Data_Dep.12[[#This Row],[Cost center]],MD_Cost_Center[Mã Cost Center],MD_Cost_Center[Tên Cost Center])</f>
        <v>Hành chánh nhân sự</v>
      </c>
      <c r="J15" s="172">
        <f>_xlfn.XLOOKUP(Data_Dep.12[[#This Row],[Cost center]],MD_Cost_Center[Mã Cost Center],MD_Cost_Center[Work center],"Check")</f>
        <v>0</v>
      </c>
      <c r="K15" s="169" t="str">
        <f>_xlfn.XLOOKUP(Data_Dep.12[[#This Row],[Nhóm tài sản]],MD_Account_Asset_Type[Nhóm tài sản],MD_Account_Asset_Type[Tài khoản KH],"Check")</f>
        <v>6424001901</v>
      </c>
      <c r="L15" s="173">
        <v>45261</v>
      </c>
      <c r="M15" s="174">
        <f>EDATE(Data_Dep.12[[#This Row],[Ngày bắt đầu KH]],Data_Dep.12[[#This Row],[T/G Khấu hao]])</f>
        <v>46357</v>
      </c>
      <c r="N15" s="175">
        <v>36</v>
      </c>
      <c r="O15" s="175">
        <v>30548500</v>
      </c>
      <c r="P15" s="176">
        <v>-22588683</v>
      </c>
      <c r="Q15" s="175">
        <f>Data_Dep.12[[#This Row],[Nguyên giá]]+Data_Dep.12[[#This Row],[KH lũy kế]]</f>
        <v>7959817</v>
      </c>
      <c r="R15" s="177">
        <v>-568558</v>
      </c>
      <c r="S15" s="177">
        <v>-568559</v>
      </c>
      <c r="T15" s="177">
        <v>-568558</v>
      </c>
      <c r="U15" s="177">
        <f>SUM(Data_Dep.12[[#This Row],[KH_2510]:[KH_2512]])</f>
        <v>-1705675</v>
      </c>
      <c r="V15" s="175">
        <f>Data_Dep.12[[#This Row],[Nguyên giá]]+Data_Dep.12[[#This Row],[KH lũy kế]]+Data_Dep.12[[#This Row],[KH_Q4.25]]</f>
        <v>6254142</v>
      </c>
      <c r="W15" s="178">
        <f>ROUND(Data_Dep.12[[#This Row],[T/G Khấu hao]]-Data_Dep.12[[#This Row],[Giá trị còn lại 31/12/25]]/Data_Dep.12[[#This Row],[Nguyên giá]]*Data_Dep.12[[#This Row],[T/G Khấu hao]],0)</f>
        <v>29</v>
      </c>
      <c r="X15" s="179">
        <v>84</v>
      </c>
      <c r="Y15" s="175">
        <f>Data_Dep.12[[#This Row],[T/G Khấu hao]]+Data_Dep.12[[#This Row],[Điều chỉnh]]</f>
        <v>120</v>
      </c>
      <c r="Z15" s="180">
        <f>EDATE(Data_Dep.12[[#This Row],[Ngày bắt đầu KH]],Data_Dep.12[[#This Row],[T/G điều chỉnh]])</f>
        <v>48914</v>
      </c>
      <c r="AA15" s="175">
        <f>Data_Dep.12[[#This Row],[T/G điều chỉnh]]-Data_Dep.12[[#This Row],[Số kỳ đã khấu hao]]</f>
        <v>91</v>
      </c>
      <c r="AB15" s="175">
        <f>IFERROR(-Data_Dep.12[[#This Row],[Giá trị còn lại 31/12/25]]/(Data_Dep.12[[#This Row],[T/G điều chỉnh]]-Data_Dep.12[[#This Row],[Số kỳ đã khấu hao]]),0)</f>
        <v>-68726.835164835167</v>
      </c>
      <c r="AC15" s="181">
        <v>-68726.835164835167</v>
      </c>
      <c r="AD15" s="181">
        <v>-68726.835164835167</v>
      </c>
      <c r="AE15" s="181">
        <v>-68726.835164835167</v>
      </c>
      <c r="AF15" s="181">
        <v>-68726.835164835167</v>
      </c>
      <c r="AG15" s="181">
        <v>-68726.835164835167</v>
      </c>
      <c r="AH15" s="181">
        <v>-68726.835164835167</v>
      </c>
      <c r="AI15" s="181">
        <v>-68726.835164835167</v>
      </c>
      <c r="AJ15" s="181">
        <v>-68726.835164835167</v>
      </c>
      <c r="AK15" s="181">
        <v>-68726.835164835167</v>
      </c>
      <c r="AL15" s="181">
        <v>-68726.835164835167</v>
      </c>
      <c r="AM15" s="181">
        <v>-68726.835164835167</v>
      </c>
      <c r="AN15" s="181">
        <v>-68726.835164835167</v>
      </c>
      <c r="AO15" s="175">
        <f>SUM(Data_Dep.12[[#This Row],[KH_2601]:[KH_2612]])</f>
        <v>-824722.02197802218</v>
      </c>
      <c r="AP15" s="175">
        <f>Data_Dep.12[[#This Row],[Giá trị còn lại 31/12/25]]+Data_Dep.12[[#This Row],[KH LK 2026]]</f>
        <v>5429419.9780219775</v>
      </c>
    </row>
    <row r="16" spans="1:42" x14ac:dyDescent="0.3">
      <c r="A16" s="169"/>
      <c r="B16" s="169"/>
      <c r="C16" s="170" t="s">
        <v>336</v>
      </c>
      <c r="D16" s="169" t="str">
        <f>_xlfn.XLOOKUP(Data_Dep.12[[#This Row],[Nhóm tài sản]],MD_Account_Asset_Type[Nhóm tài sản],MD_Account_Asset_Type[Tên Nhóm tài sản])</f>
        <v>Nhà cửa, vật kiến trúc - QL 642</v>
      </c>
      <c r="E16" s="171" t="s">
        <v>842</v>
      </c>
      <c r="F16" s="170" t="s">
        <v>510</v>
      </c>
      <c r="G16" s="169" t="s">
        <v>502</v>
      </c>
      <c r="H16" s="170" t="s">
        <v>34</v>
      </c>
      <c r="I16" s="170" t="str">
        <f>_xlfn.XLOOKUP(Data_Dep.12[[#This Row],[Cost center]],MD_Cost_Center[Mã Cost Center],MD_Cost_Center[Tên Cost Center])</f>
        <v>Ban dự án XDCB</v>
      </c>
      <c r="J16" s="172">
        <f>_xlfn.XLOOKUP(Data_Dep.12[[#This Row],[Cost center]],MD_Cost_Center[Mã Cost Center],MD_Cost_Center[Work center],"Check")</f>
        <v>0</v>
      </c>
      <c r="K16" s="169" t="str">
        <f>_xlfn.XLOOKUP(Data_Dep.12[[#This Row],[Nhóm tài sản]],MD_Account_Asset_Type[Nhóm tài sản],MD_Account_Asset_Type[Tài khoản KH],"Check")</f>
        <v>6424001901</v>
      </c>
      <c r="L16" s="173">
        <v>45413</v>
      </c>
      <c r="M16" s="174">
        <f>EDATE(Data_Dep.12[[#This Row],[Ngày bắt đầu KH]],Data_Dep.12[[#This Row],[T/G Khấu hao]])</f>
        <v>46508</v>
      </c>
      <c r="N16" s="175">
        <v>36</v>
      </c>
      <c r="O16" s="175">
        <v>160781500</v>
      </c>
      <c r="P16" s="176">
        <v>-75924597</v>
      </c>
      <c r="Q16" s="175">
        <f>Data_Dep.12[[#This Row],[Nguyên giá]]+Data_Dep.12[[#This Row],[KH lũy kế]]</f>
        <v>84856903</v>
      </c>
      <c r="R16" s="177">
        <v>-4466153</v>
      </c>
      <c r="S16" s="177">
        <v>-4466153</v>
      </c>
      <c r="T16" s="177">
        <v>-4466152</v>
      </c>
      <c r="U16" s="177">
        <f>SUM(Data_Dep.12[[#This Row],[KH_2510]:[KH_2512]])</f>
        <v>-13398458</v>
      </c>
      <c r="V16" s="175">
        <f>Data_Dep.12[[#This Row],[Nguyên giá]]+Data_Dep.12[[#This Row],[KH lũy kế]]+Data_Dep.12[[#This Row],[KH_Q4.25]]</f>
        <v>71458445</v>
      </c>
      <c r="W16" s="178">
        <f>ROUND(Data_Dep.12[[#This Row],[T/G Khấu hao]]-Data_Dep.12[[#This Row],[Giá trị còn lại 31/12/25]]/Data_Dep.12[[#This Row],[Nguyên giá]]*Data_Dep.12[[#This Row],[T/G Khấu hao]],0)</f>
        <v>20</v>
      </c>
      <c r="X16" s="179">
        <v>84</v>
      </c>
      <c r="Y16" s="175">
        <f>Data_Dep.12[[#This Row],[T/G Khấu hao]]+Data_Dep.12[[#This Row],[Điều chỉnh]]</f>
        <v>120</v>
      </c>
      <c r="Z16" s="180">
        <f>EDATE(Data_Dep.12[[#This Row],[Ngày bắt đầu KH]],Data_Dep.12[[#This Row],[T/G điều chỉnh]])</f>
        <v>49065</v>
      </c>
      <c r="AA16" s="175">
        <f>Data_Dep.12[[#This Row],[T/G điều chỉnh]]-Data_Dep.12[[#This Row],[Số kỳ đã khấu hao]]</f>
        <v>100</v>
      </c>
      <c r="AB16" s="175">
        <f>IFERROR(-Data_Dep.12[[#This Row],[Giá trị còn lại 31/12/25]]/(Data_Dep.12[[#This Row],[T/G điều chỉnh]]-Data_Dep.12[[#This Row],[Số kỳ đã khấu hao]]),0)</f>
        <v>-714584.45</v>
      </c>
      <c r="AC16" s="181">
        <v>-714584.45</v>
      </c>
      <c r="AD16" s="181">
        <v>-714584.45</v>
      </c>
      <c r="AE16" s="181">
        <v>-714584.45</v>
      </c>
      <c r="AF16" s="181">
        <v>-714584.45</v>
      </c>
      <c r="AG16" s="181">
        <v>-714584.45</v>
      </c>
      <c r="AH16" s="181">
        <v>-714584.45</v>
      </c>
      <c r="AI16" s="181">
        <v>-714584.45</v>
      </c>
      <c r="AJ16" s="181">
        <v>-714584.45</v>
      </c>
      <c r="AK16" s="181">
        <v>-714584.45</v>
      </c>
      <c r="AL16" s="181">
        <v>-714584.45</v>
      </c>
      <c r="AM16" s="181">
        <v>-714584.45</v>
      </c>
      <c r="AN16" s="181">
        <v>-714584.45</v>
      </c>
      <c r="AO16" s="175">
        <f>SUM(Data_Dep.12[[#This Row],[KH_2601]:[KH_2612]])</f>
        <v>-8575013.4000000004</v>
      </c>
      <c r="AP16" s="175">
        <f>Data_Dep.12[[#This Row],[Giá trị còn lại 31/12/25]]+Data_Dep.12[[#This Row],[KH LK 2026]]</f>
        <v>62883431.600000001</v>
      </c>
    </row>
    <row r="17" spans="1:42" x14ac:dyDescent="0.3">
      <c r="A17" s="169"/>
      <c r="B17" s="169"/>
      <c r="C17" s="170" t="s">
        <v>336</v>
      </c>
      <c r="D17" s="169" t="str">
        <f>_xlfn.XLOOKUP(Data_Dep.12[[#This Row],[Nhóm tài sản]],MD_Account_Asset_Type[Nhóm tài sản],MD_Account_Asset_Type[Tên Nhóm tài sản])</f>
        <v>Nhà cửa, vật kiến trúc - QL 642</v>
      </c>
      <c r="E17" s="171" t="s">
        <v>843</v>
      </c>
      <c r="F17" s="170" t="s">
        <v>511</v>
      </c>
      <c r="G17" s="169" t="s">
        <v>830</v>
      </c>
      <c r="H17" s="170" t="s">
        <v>38</v>
      </c>
      <c r="I17" s="170" t="str">
        <f>_xlfn.XLOOKUP(Data_Dep.12[[#This Row],[Cost center]],MD_Cost_Center[Mã Cost Center],MD_Cost_Center[Tên Cost Center])</f>
        <v>Kế toán</v>
      </c>
      <c r="J17" s="172">
        <f>_xlfn.XLOOKUP(Data_Dep.12[[#This Row],[Cost center]],MD_Cost_Center[Mã Cost Center],MD_Cost_Center[Work center],"Check")</f>
        <v>0</v>
      </c>
      <c r="K17" s="169" t="str">
        <f>_xlfn.XLOOKUP(Data_Dep.12[[#This Row],[Nhóm tài sản]],MD_Account_Asset_Type[Nhóm tài sản],MD_Account_Asset_Type[Tài khoản KH],"Check")</f>
        <v>6424001901</v>
      </c>
      <c r="L17" s="173">
        <v>45627</v>
      </c>
      <c r="M17" s="174">
        <f>EDATE(Data_Dep.12[[#This Row],[Ngày bắt đầu KH]],Data_Dep.12[[#This Row],[T/G Khấu hao]])</f>
        <v>46722</v>
      </c>
      <c r="N17" s="175">
        <v>36</v>
      </c>
      <c r="O17" s="175">
        <v>71423600</v>
      </c>
      <c r="P17" s="176">
        <v>-19839889</v>
      </c>
      <c r="Q17" s="175">
        <f>Data_Dep.12[[#This Row],[Nguyên giá]]+Data_Dep.12[[#This Row],[KH lũy kế]]</f>
        <v>51583711</v>
      </c>
      <c r="R17" s="177">
        <v>-1983989</v>
      </c>
      <c r="S17" s="177">
        <v>-1983989</v>
      </c>
      <c r="T17" s="177">
        <v>-1983989</v>
      </c>
      <c r="U17" s="177">
        <f>SUM(Data_Dep.12[[#This Row],[KH_2510]:[KH_2512]])</f>
        <v>-5951967</v>
      </c>
      <c r="V17" s="175">
        <f>Data_Dep.12[[#This Row],[Nguyên giá]]+Data_Dep.12[[#This Row],[KH lũy kế]]+Data_Dep.12[[#This Row],[KH_Q4.25]]</f>
        <v>45631744</v>
      </c>
      <c r="W17" s="178">
        <f>ROUND(Data_Dep.12[[#This Row],[T/G Khấu hao]]-Data_Dep.12[[#This Row],[Giá trị còn lại 31/12/25]]/Data_Dep.12[[#This Row],[Nguyên giá]]*Data_Dep.12[[#This Row],[T/G Khấu hao]],0)</f>
        <v>13</v>
      </c>
      <c r="X17" s="179">
        <v>84</v>
      </c>
      <c r="Y17" s="175">
        <f>Data_Dep.12[[#This Row],[T/G Khấu hao]]+Data_Dep.12[[#This Row],[Điều chỉnh]]</f>
        <v>120</v>
      </c>
      <c r="Z17" s="180">
        <f>EDATE(Data_Dep.12[[#This Row],[Ngày bắt đầu KH]],Data_Dep.12[[#This Row],[T/G điều chỉnh]])</f>
        <v>49279</v>
      </c>
      <c r="AA17" s="175">
        <f>Data_Dep.12[[#This Row],[T/G điều chỉnh]]-Data_Dep.12[[#This Row],[Số kỳ đã khấu hao]]</f>
        <v>107</v>
      </c>
      <c r="AB17" s="175">
        <f>IFERROR(-Data_Dep.12[[#This Row],[Giá trị còn lại 31/12/25]]/(Data_Dep.12[[#This Row],[T/G điều chỉnh]]-Data_Dep.12[[#This Row],[Số kỳ đã khấu hao]]),0)</f>
        <v>-426464.89719626168</v>
      </c>
      <c r="AC17" s="181">
        <v>-426464.89719626168</v>
      </c>
      <c r="AD17" s="181">
        <v>-426464.89719626168</v>
      </c>
      <c r="AE17" s="181">
        <v>-426464.89719626168</v>
      </c>
      <c r="AF17" s="181">
        <v>-426464.89719626168</v>
      </c>
      <c r="AG17" s="181">
        <v>-426464.89719626168</v>
      </c>
      <c r="AH17" s="181">
        <v>-426464.89719626168</v>
      </c>
      <c r="AI17" s="181">
        <v>-426464.89719626168</v>
      </c>
      <c r="AJ17" s="181">
        <v>-426464.89719626168</v>
      </c>
      <c r="AK17" s="181">
        <v>-426464.89719626168</v>
      </c>
      <c r="AL17" s="181">
        <v>-426464.89719626168</v>
      </c>
      <c r="AM17" s="181">
        <v>-426464.89719626168</v>
      </c>
      <c r="AN17" s="181">
        <v>-426464.89719626168</v>
      </c>
      <c r="AO17" s="175">
        <f>SUM(Data_Dep.12[[#This Row],[KH_2601]:[KH_2612]])</f>
        <v>-5117578.7663551401</v>
      </c>
      <c r="AP17" s="175">
        <f>Data_Dep.12[[#This Row],[Giá trị còn lại 31/12/25]]+Data_Dep.12[[#This Row],[KH LK 2026]]</f>
        <v>40514165.233644858</v>
      </c>
    </row>
    <row r="18" spans="1:42" x14ac:dyDescent="0.3">
      <c r="A18" s="169"/>
      <c r="B18" s="169"/>
      <c r="C18" s="170" t="s">
        <v>336</v>
      </c>
      <c r="D18" s="169" t="str">
        <f>_xlfn.XLOOKUP(Data_Dep.12[[#This Row],[Nhóm tài sản]],MD_Account_Asset_Type[Nhóm tài sản],MD_Account_Asset_Type[Tên Nhóm tài sản])</f>
        <v>Nhà cửa, vật kiến trúc - QL 642</v>
      </c>
      <c r="E18" s="171" t="s">
        <v>844</v>
      </c>
      <c r="F18" s="170" t="s">
        <v>512</v>
      </c>
      <c r="G18" s="169" t="s">
        <v>830</v>
      </c>
      <c r="H18" s="170" t="s">
        <v>38</v>
      </c>
      <c r="I18" s="170" t="str">
        <f>_xlfn.XLOOKUP(Data_Dep.12[[#This Row],[Cost center]],MD_Cost_Center[Mã Cost Center],MD_Cost_Center[Tên Cost Center])</f>
        <v>Kế toán</v>
      </c>
      <c r="J18" s="172">
        <f>_xlfn.XLOOKUP(Data_Dep.12[[#This Row],[Cost center]],MD_Cost_Center[Mã Cost Center],MD_Cost_Center[Work center],"Check")</f>
        <v>0</v>
      </c>
      <c r="K18" s="169" t="str">
        <f>_xlfn.XLOOKUP(Data_Dep.12[[#This Row],[Nhóm tài sản]],MD_Account_Asset_Type[Nhóm tài sản],MD_Account_Asset_Type[Tài khoản KH],"Check")</f>
        <v>6424001901</v>
      </c>
      <c r="L18" s="173">
        <v>45717</v>
      </c>
      <c r="M18" s="174">
        <f>EDATE(Data_Dep.12[[#This Row],[Ngày bắt đầu KH]],Data_Dep.12[[#This Row],[T/G Khấu hao]])</f>
        <v>46813</v>
      </c>
      <c r="N18" s="175">
        <v>36</v>
      </c>
      <c r="O18" s="175">
        <v>140570000</v>
      </c>
      <c r="P18" s="176">
        <v>-27333056</v>
      </c>
      <c r="Q18" s="175">
        <f>Data_Dep.12[[#This Row],[Nguyên giá]]+Data_Dep.12[[#This Row],[KH lũy kế]]</f>
        <v>113236944</v>
      </c>
      <c r="R18" s="177">
        <v>-3904722</v>
      </c>
      <c r="S18" s="177">
        <v>-3904722</v>
      </c>
      <c r="T18" s="177">
        <v>-3904722</v>
      </c>
      <c r="U18" s="177">
        <f>SUM(Data_Dep.12[[#This Row],[KH_2510]:[KH_2512]])</f>
        <v>-11714166</v>
      </c>
      <c r="V18" s="175">
        <f>Data_Dep.12[[#This Row],[Nguyên giá]]+Data_Dep.12[[#This Row],[KH lũy kế]]+Data_Dep.12[[#This Row],[KH_Q4.25]]</f>
        <v>101522778</v>
      </c>
      <c r="W18" s="178">
        <f>ROUND(Data_Dep.12[[#This Row],[T/G Khấu hao]]-Data_Dep.12[[#This Row],[Giá trị còn lại 31/12/25]]/Data_Dep.12[[#This Row],[Nguyên giá]]*Data_Dep.12[[#This Row],[T/G Khấu hao]],0)</f>
        <v>10</v>
      </c>
      <c r="X18" s="179">
        <v>84</v>
      </c>
      <c r="Y18" s="175">
        <f>Data_Dep.12[[#This Row],[T/G Khấu hao]]+Data_Dep.12[[#This Row],[Điều chỉnh]]</f>
        <v>120</v>
      </c>
      <c r="Z18" s="180">
        <f>EDATE(Data_Dep.12[[#This Row],[Ngày bắt đầu KH]],Data_Dep.12[[#This Row],[T/G điều chỉnh]])</f>
        <v>49369</v>
      </c>
      <c r="AA18" s="175">
        <f>Data_Dep.12[[#This Row],[T/G điều chỉnh]]-Data_Dep.12[[#This Row],[Số kỳ đã khấu hao]]</f>
        <v>110</v>
      </c>
      <c r="AB18" s="175">
        <f>IFERROR(-Data_Dep.12[[#This Row],[Giá trị còn lại 31/12/25]]/(Data_Dep.12[[#This Row],[T/G điều chỉnh]]-Data_Dep.12[[#This Row],[Số kỳ đã khấu hao]]),0)</f>
        <v>-922934.34545454546</v>
      </c>
      <c r="AC18" s="181">
        <v>-922934.34545454546</v>
      </c>
      <c r="AD18" s="181">
        <v>-922934.34545454546</v>
      </c>
      <c r="AE18" s="181">
        <v>-922934.34545454546</v>
      </c>
      <c r="AF18" s="181">
        <v>-922934.34545454546</v>
      </c>
      <c r="AG18" s="181">
        <v>-922934.34545454546</v>
      </c>
      <c r="AH18" s="181">
        <v>-922934.34545454546</v>
      </c>
      <c r="AI18" s="181">
        <v>-922934.34545454546</v>
      </c>
      <c r="AJ18" s="181">
        <v>-922934.34545454546</v>
      </c>
      <c r="AK18" s="181">
        <v>-922934.34545454546</v>
      </c>
      <c r="AL18" s="181">
        <v>-922934.34545454546</v>
      </c>
      <c r="AM18" s="181">
        <v>-922934.34545454546</v>
      </c>
      <c r="AN18" s="181">
        <v>-922934.34545454546</v>
      </c>
      <c r="AO18" s="175">
        <f>SUM(Data_Dep.12[[#This Row],[KH_2601]:[KH_2612]])</f>
        <v>-11075212.145454546</v>
      </c>
      <c r="AP18" s="175">
        <f>Data_Dep.12[[#This Row],[Giá trị còn lại 31/12/25]]+Data_Dep.12[[#This Row],[KH LK 2026]]</f>
        <v>90447565.854545459</v>
      </c>
    </row>
    <row r="19" spans="1:42" x14ac:dyDescent="0.3">
      <c r="A19" s="169"/>
      <c r="B19" s="169"/>
      <c r="C19" s="170" t="s">
        <v>336</v>
      </c>
      <c r="D19" s="169" t="str">
        <f>_xlfn.XLOOKUP(Data_Dep.12[[#This Row],[Nhóm tài sản]],MD_Account_Asset_Type[Nhóm tài sản],MD_Account_Asset_Type[Tên Nhóm tài sản])</f>
        <v>Nhà cửa, vật kiến trúc - QL 642</v>
      </c>
      <c r="E19" s="171" t="s">
        <v>845</v>
      </c>
      <c r="F19" s="170" t="s">
        <v>513</v>
      </c>
      <c r="G19" s="169" t="s">
        <v>830</v>
      </c>
      <c r="H19" s="170" t="s">
        <v>36</v>
      </c>
      <c r="I19" s="170" t="str">
        <f>_xlfn.XLOOKUP(Data_Dep.12[[#This Row],[Cost center]],MD_Cost_Center[Mã Cost Center],MD_Cost_Center[Tên Cost Center])</f>
        <v>Hành chánh nhân sự</v>
      </c>
      <c r="J19" s="172">
        <f>_xlfn.XLOOKUP(Data_Dep.12[[#This Row],[Cost center]],MD_Cost_Center[Mã Cost Center],MD_Cost_Center[Work center],"Check")</f>
        <v>0</v>
      </c>
      <c r="K19" s="169" t="str">
        <f>_xlfn.XLOOKUP(Data_Dep.12[[#This Row],[Nhóm tài sản]],MD_Account_Asset_Type[Nhóm tài sản],MD_Account_Asset_Type[Tài khoản KH],"Check")</f>
        <v>6424001901</v>
      </c>
      <c r="L19" s="173">
        <v>45809</v>
      </c>
      <c r="M19" s="174">
        <f>EDATE(Data_Dep.12[[#This Row],[Ngày bắt đầu KH]],Data_Dep.12[[#This Row],[T/G Khấu hao]])</f>
        <v>48000</v>
      </c>
      <c r="N19" s="175">
        <v>72</v>
      </c>
      <c r="O19" s="175">
        <v>72217040</v>
      </c>
      <c r="P19" s="176">
        <v>-4012058</v>
      </c>
      <c r="Q19" s="175">
        <f>Data_Dep.12[[#This Row],[Nguyên giá]]+Data_Dep.12[[#This Row],[KH lũy kế]]</f>
        <v>68204982</v>
      </c>
      <c r="R19" s="177">
        <v>-1003014</v>
      </c>
      <c r="S19" s="177">
        <v>-1003015</v>
      </c>
      <c r="T19" s="177">
        <v>-1003014</v>
      </c>
      <c r="U19" s="177">
        <f>SUM(Data_Dep.12[[#This Row],[KH_2510]:[KH_2512]])</f>
        <v>-3009043</v>
      </c>
      <c r="V19" s="175">
        <f>Data_Dep.12[[#This Row],[Nguyên giá]]+Data_Dep.12[[#This Row],[KH lũy kế]]+Data_Dep.12[[#This Row],[KH_Q4.25]]</f>
        <v>65195939</v>
      </c>
      <c r="W19" s="178">
        <f>ROUND(Data_Dep.12[[#This Row],[T/G Khấu hao]]-Data_Dep.12[[#This Row],[Giá trị còn lại 31/12/25]]/Data_Dep.12[[#This Row],[Nguyên giá]]*Data_Dep.12[[#This Row],[T/G Khấu hao]],0)</f>
        <v>7</v>
      </c>
      <c r="X19" s="179">
        <v>48</v>
      </c>
      <c r="Y19" s="175">
        <f>Data_Dep.12[[#This Row],[T/G Khấu hao]]+Data_Dep.12[[#This Row],[Điều chỉnh]]</f>
        <v>120</v>
      </c>
      <c r="Z19" s="180">
        <f>EDATE(Data_Dep.12[[#This Row],[Ngày bắt đầu KH]],Data_Dep.12[[#This Row],[T/G điều chỉnh]])</f>
        <v>49461</v>
      </c>
      <c r="AA19" s="175">
        <f>Data_Dep.12[[#This Row],[T/G điều chỉnh]]-Data_Dep.12[[#This Row],[Số kỳ đã khấu hao]]</f>
        <v>113</v>
      </c>
      <c r="AB19" s="175">
        <f>IFERROR(-Data_Dep.12[[#This Row],[Giá trị còn lại 31/12/25]]/(Data_Dep.12[[#This Row],[T/G điều chỉnh]]-Data_Dep.12[[#This Row],[Số kỳ đã khấu hao]]),0)</f>
        <v>-576955.21238938055</v>
      </c>
      <c r="AC19" s="181">
        <v>-576955.21238938055</v>
      </c>
      <c r="AD19" s="181">
        <v>-576955.21238938055</v>
      </c>
      <c r="AE19" s="181">
        <v>-576955.21238938055</v>
      </c>
      <c r="AF19" s="181">
        <v>-576955.21238938055</v>
      </c>
      <c r="AG19" s="181">
        <v>-576955.21238938055</v>
      </c>
      <c r="AH19" s="181">
        <v>-576955.21238938055</v>
      </c>
      <c r="AI19" s="181">
        <v>-576955.21238938055</v>
      </c>
      <c r="AJ19" s="181">
        <v>-576955.21238938055</v>
      </c>
      <c r="AK19" s="181">
        <v>-576955.21238938055</v>
      </c>
      <c r="AL19" s="181">
        <v>-576955.21238938055</v>
      </c>
      <c r="AM19" s="181">
        <v>-576955.21238938055</v>
      </c>
      <c r="AN19" s="181">
        <v>-576955.21238938055</v>
      </c>
      <c r="AO19" s="175">
        <f>SUM(Data_Dep.12[[#This Row],[KH_2601]:[KH_2612]])</f>
        <v>-6923462.5486725671</v>
      </c>
      <c r="AP19" s="175">
        <f>Data_Dep.12[[#This Row],[Giá trị còn lại 31/12/25]]+Data_Dep.12[[#This Row],[KH LK 2026]]</f>
        <v>58272476.451327436</v>
      </c>
    </row>
    <row r="20" spans="1:42" x14ac:dyDescent="0.3">
      <c r="A20" s="169"/>
      <c r="B20" s="169"/>
      <c r="C20" s="170" t="s">
        <v>336</v>
      </c>
      <c r="D20" s="169" t="str">
        <f>_xlfn.XLOOKUP(Data_Dep.12[[#This Row],[Nhóm tài sản]],MD_Account_Asset_Type[Nhóm tài sản],MD_Account_Asset_Type[Tên Nhóm tài sản])</f>
        <v>Nhà cửa, vật kiến trúc - QL 642</v>
      </c>
      <c r="E20" s="171" t="s">
        <v>846</v>
      </c>
      <c r="F20" s="170" t="s">
        <v>514</v>
      </c>
      <c r="G20" s="169" t="s">
        <v>830</v>
      </c>
      <c r="H20" s="170" t="s">
        <v>38</v>
      </c>
      <c r="I20" s="170" t="str">
        <f>_xlfn.XLOOKUP(Data_Dep.12[[#This Row],[Cost center]],MD_Cost_Center[Mã Cost Center],MD_Cost_Center[Tên Cost Center])</f>
        <v>Kế toán</v>
      </c>
      <c r="J20" s="172">
        <f>_xlfn.XLOOKUP(Data_Dep.12[[#This Row],[Cost center]],MD_Cost_Center[Mã Cost Center],MD_Cost_Center[Work center],"Check")</f>
        <v>0</v>
      </c>
      <c r="K20" s="169" t="str">
        <f>_xlfn.XLOOKUP(Data_Dep.12[[#This Row],[Nhóm tài sản]],MD_Account_Asset_Type[Nhóm tài sản],MD_Account_Asset_Type[Tài khoản KH],"Check")</f>
        <v>6424001901</v>
      </c>
      <c r="L20" s="173">
        <v>45931</v>
      </c>
      <c r="M20" s="174">
        <f>EDATE(Data_Dep.12[[#This Row],[Ngày bắt đầu KH]],Data_Dep.12[[#This Row],[T/G Khấu hao]])</f>
        <v>48122</v>
      </c>
      <c r="N20" s="175">
        <v>72</v>
      </c>
      <c r="O20" s="175">
        <v>108193230</v>
      </c>
      <c r="P20" s="176">
        <v>0</v>
      </c>
      <c r="Q20" s="175">
        <f>Data_Dep.12[[#This Row],[Nguyên giá]]+Data_Dep.12[[#This Row],[KH lũy kế]]</f>
        <v>108193230</v>
      </c>
      <c r="R20" s="177">
        <v>-1502684</v>
      </c>
      <c r="S20" s="177">
        <v>-1502684</v>
      </c>
      <c r="T20" s="177">
        <v>-1502683</v>
      </c>
      <c r="U20" s="177">
        <f>SUM(Data_Dep.12[[#This Row],[KH_2510]:[KH_2512]])</f>
        <v>-4508051</v>
      </c>
      <c r="V20" s="175">
        <f>Data_Dep.12[[#This Row],[Nguyên giá]]+Data_Dep.12[[#This Row],[KH lũy kế]]+Data_Dep.12[[#This Row],[KH_Q4.25]]</f>
        <v>103685179</v>
      </c>
      <c r="W20" s="178">
        <f>ROUND(Data_Dep.12[[#This Row],[T/G Khấu hao]]-Data_Dep.12[[#This Row],[Giá trị còn lại 31/12/25]]/Data_Dep.12[[#This Row],[Nguyên giá]]*Data_Dep.12[[#This Row],[T/G Khấu hao]],0)</f>
        <v>3</v>
      </c>
      <c r="X20" s="179">
        <v>48</v>
      </c>
      <c r="Y20" s="175">
        <f>Data_Dep.12[[#This Row],[T/G Khấu hao]]+Data_Dep.12[[#This Row],[Điều chỉnh]]</f>
        <v>120</v>
      </c>
      <c r="Z20" s="180">
        <f>EDATE(Data_Dep.12[[#This Row],[Ngày bắt đầu KH]],Data_Dep.12[[#This Row],[T/G điều chỉnh]])</f>
        <v>49583</v>
      </c>
      <c r="AA20" s="175">
        <f>Data_Dep.12[[#This Row],[T/G điều chỉnh]]-Data_Dep.12[[#This Row],[Số kỳ đã khấu hao]]</f>
        <v>117</v>
      </c>
      <c r="AB20" s="175">
        <f>IFERROR(-Data_Dep.12[[#This Row],[Giá trị còn lại 31/12/25]]/(Data_Dep.12[[#This Row],[T/G điều chỉnh]]-Data_Dep.12[[#This Row],[Số kỳ đã khấu hao]]),0)</f>
        <v>-886198.11111111112</v>
      </c>
      <c r="AC20" s="181">
        <v>-886198.11111111112</v>
      </c>
      <c r="AD20" s="181">
        <v>-886198.11111111112</v>
      </c>
      <c r="AE20" s="181">
        <v>-886198.11111111112</v>
      </c>
      <c r="AF20" s="181">
        <v>-886198.11111111112</v>
      </c>
      <c r="AG20" s="181">
        <v>-886198.11111111112</v>
      </c>
      <c r="AH20" s="181">
        <v>-886198.11111111112</v>
      </c>
      <c r="AI20" s="181">
        <v>-886198.11111111112</v>
      </c>
      <c r="AJ20" s="181">
        <v>-886198.11111111112</v>
      </c>
      <c r="AK20" s="181">
        <v>-886198.11111111112</v>
      </c>
      <c r="AL20" s="181">
        <v>-886198.11111111112</v>
      </c>
      <c r="AM20" s="181">
        <v>-886198.11111111112</v>
      </c>
      <c r="AN20" s="181">
        <v>-886198.11111111112</v>
      </c>
      <c r="AO20" s="175">
        <f>SUM(Data_Dep.12[[#This Row],[KH_2601]:[KH_2612]])</f>
        <v>-10634377.333333336</v>
      </c>
      <c r="AP20" s="175">
        <f>Data_Dep.12[[#This Row],[Giá trị còn lại 31/12/25]]+Data_Dep.12[[#This Row],[KH LK 2026]]</f>
        <v>93050801.666666657</v>
      </c>
    </row>
    <row r="21" spans="1:42" x14ac:dyDescent="0.3">
      <c r="A21" s="169"/>
      <c r="B21" s="169"/>
      <c r="C21" s="170" t="s">
        <v>319</v>
      </c>
      <c r="D21" s="169" t="str">
        <f>_xlfn.XLOOKUP(Data_Dep.12[[#This Row],[Nhóm tài sản]],MD_Account_Asset_Type[Nhóm tài sản],MD_Account_Asset_Type[Tên Nhóm tài sản])</f>
        <v>Nhà cửa, vật kiến trúc - SX 627</v>
      </c>
      <c r="E21" s="171" t="s">
        <v>320</v>
      </c>
      <c r="F21" s="170" t="s">
        <v>321</v>
      </c>
      <c r="G21" s="169" t="s">
        <v>830</v>
      </c>
      <c r="H21" s="170" t="s">
        <v>48</v>
      </c>
      <c r="I21" s="170" t="str">
        <f>_xlfn.XLOOKUP(Data_Dep.12[[#This Row],[Cost center]],MD_Cost_Center[Mã Cost Center],MD_Cost_Center[Tên Cost Center])</f>
        <v>Xưởng sản xuất PET</v>
      </c>
      <c r="J21" s="172">
        <f>_xlfn.XLOOKUP(Data_Dep.12[[#This Row],[Cost center]],MD_Cost_Center[Mã Cost Center],MD_Cost_Center[Work center],"Check")</f>
        <v>0</v>
      </c>
      <c r="K21" s="169" t="str">
        <f>_xlfn.XLOOKUP(Data_Dep.12[[#This Row],[Nhóm tài sản]],MD_Account_Asset_Type[Nhóm tài sản],MD_Account_Asset_Type[Tài khoản KH],"Check")</f>
        <v>6274001901</v>
      </c>
      <c r="L21" s="173">
        <v>45261</v>
      </c>
      <c r="M21" s="174">
        <f>EDATE(Data_Dep.12[[#This Row],[Ngày bắt đầu KH]],Data_Dep.12[[#This Row],[T/G Khấu hao]])</f>
        <v>47088</v>
      </c>
      <c r="N21" s="175">
        <v>60</v>
      </c>
      <c r="O21" s="175">
        <v>304857717</v>
      </c>
      <c r="P21" s="176">
        <v>-111757669</v>
      </c>
      <c r="Q21" s="175">
        <f>Data_Dep.12[[#This Row],[Nguyên giá]]+Data_Dep.12[[#This Row],[KH lũy kế]]</f>
        <v>193100048</v>
      </c>
      <c r="R21" s="177">
        <v>-5081580</v>
      </c>
      <c r="S21" s="177">
        <v>-5081580</v>
      </c>
      <c r="T21" s="177">
        <v>-5081581</v>
      </c>
      <c r="U21" s="177">
        <f>SUM(Data_Dep.12[[#This Row],[KH_2510]:[KH_2512]])</f>
        <v>-15244741</v>
      </c>
      <c r="V21" s="175">
        <f>Data_Dep.12[[#This Row],[Nguyên giá]]+Data_Dep.12[[#This Row],[KH lũy kế]]+Data_Dep.12[[#This Row],[KH_Q4.25]]</f>
        <v>177855307</v>
      </c>
      <c r="W21" s="178">
        <f>ROUND(Data_Dep.12[[#This Row],[T/G Khấu hao]]-Data_Dep.12[[#This Row],[Giá trị còn lại 31/12/25]]/Data_Dep.12[[#This Row],[Nguyên giá]]*Data_Dep.12[[#This Row],[T/G Khấu hao]],0)</f>
        <v>25</v>
      </c>
      <c r="X21" s="179">
        <v>84</v>
      </c>
      <c r="Y21" s="175">
        <f>Data_Dep.12[[#This Row],[T/G Khấu hao]]+Data_Dep.12[[#This Row],[Điều chỉnh]]</f>
        <v>144</v>
      </c>
      <c r="Z21" s="180">
        <f>EDATE(Data_Dep.12[[#This Row],[Ngày bắt đầu KH]],Data_Dep.12[[#This Row],[T/G điều chỉnh]])</f>
        <v>49644</v>
      </c>
      <c r="AA21" s="175">
        <f>Data_Dep.12[[#This Row],[T/G điều chỉnh]]-Data_Dep.12[[#This Row],[Số kỳ đã khấu hao]]</f>
        <v>119</v>
      </c>
      <c r="AB21" s="175">
        <f>IFERROR(-Data_Dep.12[[#This Row],[Giá trị còn lại 31/12/25]]/(Data_Dep.12[[#This Row],[T/G điều chỉnh]]-Data_Dep.12[[#This Row],[Số kỳ đã khấu hao]]),0)</f>
        <v>-1494582.4117647058</v>
      </c>
      <c r="AC21" s="181">
        <v>-1494582.4117647058</v>
      </c>
      <c r="AD21" s="181">
        <v>-1494582.4117647058</v>
      </c>
      <c r="AE21" s="181">
        <v>-1494582.4117647058</v>
      </c>
      <c r="AF21" s="181">
        <v>-1494582.4117647058</v>
      </c>
      <c r="AG21" s="181">
        <v>-1494582.4117647058</v>
      </c>
      <c r="AH21" s="181">
        <v>-1494582.4117647058</v>
      </c>
      <c r="AI21" s="181">
        <v>-1494582.4117647058</v>
      </c>
      <c r="AJ21" s="181">
        <v>-1494582.4117647058</v>
      </c>
      <c r="AK21" s="181">
        <v>-1494582.4117647058</v>
      </c>
      <c r="AL21" s="181">
        <v>-1494582.4117647058</v>
      </c>
      <c r="AM21" s="181">
        <v>-1494582.4117647058</v>
      </c>
      <c r="AN21" s="181">
        <v>-1494582.4117647058</v>
      </c>
      <c r="AO21" s="175">
        <f>SUM(Data_Dep.12[[#This Row],[KH_2601]:[KH_2612]])</f>
        <v>-17934988.94117647</v>
      </c>
      <c r="AP21" s="175">
        <f>Data_Dep.12[[#This Row],[Giá trị còn lại 31/12/25]]+Data_Dep.12[[#This Row],[KH LK 2026]]</f>
        <v>159920318.05882353</v>
      </c>
    </row>
    <row r="22" spans="1:42" x14ac:dyDescent="0.3">
      <c r="A22" s="169"/>
      <c r="B22" s="169"/>
      <c r="C22" s="170" t="s">
        <v>319</v>
      </c>
      <c r="D22" s="169" t="str">
        <f>_xlfn.XLOOKUP(Data_Dep.12[[#This Row],[Nhóm tài sản]],MD_Account_Asset_Type[Nhóm tài sản],MD_Account_Asset_Type[Tên Nhóm tài sản])</f>
        <v>Nhà cửa, vật kiến trúc - SX 627</v>
      </c>
      <c r="E22" s="171" t="s">
        <v>831</v>
      </c>
      <c r="F22" s="170" t="s">
        <v>515</v>
      </c>
      <c r="G22" s="169" t="s">
        <v>830</v>
      </c>
      <c r="H22" s="170" t="s">
        <v>45</v>
      </c>
      <c r="I22" s="170" t="str">
        <f>_xlfn.XLOOKUP(Data_Dep.12[[#This Row],[Cost center]],MD_Cost_Center[Mã Cost Center],MD_Cost_Center[Tên Cost Center])</f>
        <v>Kỹ thuật</v>
      </c>
      <c r="J22" s="172">
        <f>_xlfn.XLOOKUP(Data_Dep.12[[#This Row],[Cost center]],MD_Cost_Center[Mã Cost Center],MD_Cost_Center[Work center],"Check")</f>
        <v>0</v>
      </c>
      <c r="K22" s="169" t="str">
        <f>_xlfn.XLOOKUP(Data_Dep.12[[#This Row],[Nhóm tài sản]],MD_Account_Asset_Type[Nhóm tài sản],MD_Account_Asset_Type[Tài khoản KH],"Check")</f>
        <v>6274001901</v>
      </c>
      <c r="L22" s="173">
        <v>45261</v>
      </c>
      <c r="M22" s="174">
        <f>EDATE(Data_Dep.12[[#This Row],[Ngày bắt đầu KH]],Data_Dep.12[[#This Row],[T/G Khấu hao]])</f>
        <v>47453</v>
      </c>
      <c r="N22" s="175">
        <v>72</v>
      </c>
      <c r="O22" s="175">
        <v>958076791</v>
      </c>
      <c r="P22" s="176">
        <v>-292745686</v>
      </c>
      <c r="Q22" s="175">
        <f>Data_Dep.12[[#This Row],[Nguyên giá]]+Data_Dep.12[[#This Row],[KH lũy kế]]</f>
        <v>665331105</v>
      </c>
      <c r="R22" s="177">
        <v>-13306622</v>
      </c>
      <c r="S22" s="177">
        <v>-13306622</v>
      </c>
      <c r="T22" s="177">
        <v>-13306622</v>
      </c>
      <c r="U22" s="177">
        <f>SUM(Data_Dep.12[[#This Row],[KH_2510]:[KH_2512]])</f>
        <v>-39919866</v>
      </c>
      <c r="V22" s="175">
        <f>Data_Dep.12[[#This Row],[Nguyên giá]]+Data_Dep.12[[#This Row],[KH lũy kế]]+Data_Dep.12[[#This Row],[KH_Q4.25]]</f>
        <v>625411239</v>
      </c>
      <c r="W22" s="178">
        <f>ROUND(Data_Dep.12[[#This Row],[T/G Khấu hao]]-Data_Dep.12[[#This Row],[Giá trị còn lại 31/12/25]]/Data_Dep.12[[#This Row],[Nguyên giá]]*Data_Dep.12[[#This Row],[T/G Khấu hao]],0)</f>
        <v>25</v>
      </c>
      <c r="X22" s="179">
        <v>48</v>
      </c>
      <c r="Y22" s="175">
        <f>Data_Dep.12[[#This Row],[T/G Khấu hao]]+Data_Dep.12[[#This Row],[Điều chỉnh]]</f>
        <v>120</v>
      </c>
      <c r="Z22" s="180">
        <f>EDATE(Data_Dep.12[[#This Row],[Ngày bắt đầu KH]],Data_Dep.12[[#This Row],[T/G điều chỉnh]])</f>
        <v>48914</v>
      </c>
      <c r="AA22" s="175">
        <f>Data_Dep.12[[#This Row],[T/G điều chỉnh]]-Data_Dep.12[[#This Row],[Số kỳ đã khấu hao]]</f>
        <v>95</v>
      </c>
      <c r="AB22" s="175">
        <f>IFERROR(-Data_Dep.12[[#This Row],[Giá trị còn lại 31/12/25]]/(Data_Dep.12[[#This Row],[T/G điều chỉnh]]-Data_Dep.12[[#This Row],[Số kỳ đã khấu hao]]),0)</f>
        <v>-6583276.2000000002</v>
      </c>
      <c r="AC22" s="181">
        <v>-6583276.2000000002</v>
      </c>
      <c r="AD22" s="181">
        <v>-6583276.2000000002</v>
      </c>
      <c r="AE22" s="181">
        <v>-6583276.2000000002</v>
      </c>
      <c r="AF22" s="181">
        <v>-6583276.2000000002</v>
      </c>
      <c r="AG22" s="181">
        <v>-6583276.2000000002</v>
      </c>
      <c r="AH22" s="181">
        <v>-6583276.2000000002</v>
      </c>
      <c r="AI22" s="181">
        <v>-6583276.2000000002</v>
      </c>
      <c r="AJ22" s="181">
        <v>-6583276.2000000002</v>
      </c>
      <c r="AK22" s="181">
        <v>-6583276.2000000002</v>
      </c>
      <c r="AL22" s="181">
        <v>-6583276.2000000002</v>
      </c>
      <c r="AM22" s="181">
        <v>-6583276.2000000002</v>
      </c>
      <c r="AN22" s="181">
        <v>-6583276.2000000002</v>
      </c>
      <c r="AO22" s="175">
        <f>SUM(Data_Dep.12[[#This Row],[KH_2601]:[KH_2612]])</f>
        <v>-78999314.400000021</v>
      </c>
      <c r="AP22" s="175">
        <f>Data_Dep.12[[#This Row],[Giá trị còn lại 31/12/25]]+Data_Dep.12[[#This Row],[KH LK 2026]]</f>
        <v>546411924.60000002</v>
      </c>
    </row>
    <row r="23" spans="1:42" x14ac:dyDescent="0.3">
      <c r="A23" s="169"/>
      <c r="B23" s="169"/>
      <c r="C23" s="170" t="s">
        <v>319</v>
      </c>
      <c r="D23" s="169" t="str">
        <f>_xlfn.XLOOKUP(Data_Dep.12[[#This Row],[Nhóm tài sản]],MD_Account_Asset_Type[Nhóm tài sản],MD_Account_Asset_Type[Tên Nhóm tài sản])</f>
        <v>Nhà cửa, vật kiến trúc - SX 627</v>
      </c>
      <c r="E23" s="171" t="s">
        <v>832</v>
      </c>
      <c r="F23" s="170" t="s">
        <v>516</v>
      </c>
      <c r="G23" s="169" t="s">
        <v>502</v>
      </c>
      <c r="H23" s="170" t="s">
        <v>46</v>
      </c>
      <c r="I23" s="170" t="str">
        <f>_xlfn.XLOOKUP(Data_Dep.12[[#This Row],[Cost center]],MD_Cost_Center[Mã Cost Center],MD_Cost_Center[Tên Cost Center])</f>
        <v>Kiểm soát chất lượng</v>
      </c>
      <c r="J23" s="172">
        <f>_xlfn.XLOOKUP(Data_Dep.12[[#This Row],[Cost center]],MD_Cost_Center[Mã Cost Center],MD_Cost_Center[Work center],"Check")</f>
        <v>0</v>
      </c>
      <c r="K23" s="169" t="str">
        <f>_xlfn.XLOOKUP(Data_Dep.12[[#This Row],[Nhóm tài sản]],MD_Account_Asset_Type[Nhóm tài sản],MD_Account_Asset_Type[Tài khoản KH],"Check")</f>
        <v>6274001901</v>
      </c>
      <c r="L23" s="173">
        <v>45383</v>
      </c>
      <c r="M23" s="174">
        <f>EDATE(Data_Dep.12[[#This Row],[Ngày bắt đầu KH]],Data_Dep.12[[#This Row],[T/G Khấu hao]])</f>
        <v>46478</v>
      </c>
      <c r="N23" s="175">
        <v>36</v>
      </c>
      <c r="O23" s="175">
        <v>33811200</v>
      </c>
      <c r="P23" s="176">
        <v>-16905600</v>
      </c>
      <c r="Q23" s="175">
        <f>Data_Dep.12[[#This Row],[Nguyên giá]]+Data_Dep.12[[#This Row],[KH lũy kế]]</f>
        <v>16905600</v>
      </c>
      <c r="R23" s="177">
        <v>-939200</v>
      </c>
      <c r="S23" s="177">
        <v>-939200</v>
      </c>
      <c r="T23" s="177">
        <v>-939200</v>
      </c>
      <c r="U23" s="177">
        <f>SUM(Data_Dep.12[[#This Row],[KH_2510]:[KH_2512]])</f>
        <v>-2817600</v>
      </c>
      <c r="V23" s="175">
        <f>Data_Dep.12[[#This Row],[Nguyên giá]]+Data_Dep.12[[#This Row],[KH lũy kế]]+Data_Dep.12[[#This Row],[KH_Q4.25]]</f>
        <v>14088000</v>
      </c>
      <c r="W23" s="178">
        <f>ROUND(Data_Dep.12[[#This Row],[T/G Khấu hao]]-Data_Dep.12[[#This Row],[Giá trị còn lại 31/12/25]]/Data_Dep.12[[#This Row],[Nguyên giá]]*Data_Dep.12[[#This Row],[T/G Khấu hao]],0)</f>
        <v>21</v>
      </c>
      <c r="X23" s="179">
        <v>84</v>
      </c>
      <c r="Y23" s="175">
        <f>Data_Dep.12[[#This Row],[T/G Khấu hao]]+Data_Dep.12[[#This Row],[Điều chỉnh]]</f>
        <v>120</v>
      </c>
      <c r="Z23" s="180">
        <f>EDATE(Data_Dep.12[[#This Row],[Ngày bắt đầu KH]],Data_Dep.12[[#This Row],[T/G điều chỉnh]])</f>
        <v>49035</v>
      </c>
      <c r="AA23" s="175">
        <f>Data_Dep.12[[#This Row],[T/G điều chỉnh]]-Data_Dep.12[[#This Row],[Số kỳ đã khấu hao]]</f>
        <v>99</v>
      </c>
      <c r="AB23" s="175">
        <f>IFERROR(-Data_Dep.12[[#This Row],[Giá trị còn lại 31/12/25]]/(Data_Dep.12[[#This Row],[T/G điều chỉnh]]-Data_Dep.12[[#This Row],[Số kỳ đã khấu hao]]),0)</f>
        <v>-142303.0303030303</v>
      </c>
      <c r="AC23" s="181">
        <v>-142303.0303030303</v>
      </c>
      <c r="AD23" s="181">
        <v>-142303.0303030303</v>
      </c>
      <c r="AE23" s="181">
        <v>-142303.0303030303</v>
      </c>
      <c r="AF23" s="181">
        <v>-142303.0303030303</v>
      </c>
      <c r="AG23" s="181">
        <v>-142303.0303030303</v>
      </c>
      <c r="AH23" s="181">
        <v>-142303.0303030303</v>
      </c>
      <c r="AI23" s="181">
        <v>-142303.0303030303</v>
      </c>
      <c r="AJ23" s="181">
        <v>-142303.0303030303</v>
      </c>
      <c r="AK23" s="181">
        <v>-142303.0303030303</v>
      </c>
      <c r="AL23" s="181">
        <v>-142303.0303030303</v>
      </c>
      <c r="AM23" s="181">
        <v>-142303.0303030303</v>
      </c>
      <c r="AN23" s="181">
        <v>-142303.0303030303</v>
      </c>
      <c r="AO23" s="175">
        <f>SUM(Data_Dep.12[[#This Row],[KH_2601]:[KH_2612]])</f>
        <v>-1707636.3636363635</v>
      </c>
      <c r="AP23" s="175">
        <f>Data_Dep.12[[#This Row],[Giá trị còn lại 31/12/25]]+Data_Dep.12[[#This Row],[KH LK 2026]]</f>
        <v>12380363.636363637</v>
      </c>
    </row>
    <row r="24" spans="1:42" x14ac:dyDescent="0.3">
      <c r="A24" s="169"/>
      <c r="B24" s="169"/>
      <c r="C24" s="170" t="s">
        <v>319</v>
      </c>
      <c r="D24" s="169" t="str">
        <f>_xlfn.XLOOKUP(Data_Dep.12[[#This Row],[Nhóm tài sản]],MD_Account_Asset_Type[Nhóm tài sản],MD_Account_Asset_Type[Tên Nhóm tài sản])</f>
        <v>Nhà cửa, vật kiến trúc - SX 627</v>
      </c>
      <c r="E24" s="171" t="s">
        <v>833</v>
      </c>
      <c r="F24" s="170" t="s">
        <v>517</v>
      </c>
      <c r="G24" s="169" t="s">
        <v>830</v>
      </c>
      <c r="H24" s="170" t="s">
        <v>48</v>
      </c>
      <c r="I24" s="170" t="str">
        <f>_xlfn.XLOOKUP(Data_Dep.12[[#This Row],[Cost center]],MD_Cost_Center[Mã Cost Center],MD_Cost_Center[Tên Cost Center])</f>
        <v>Xưởng sản xuất PET</v>
      </c>
      <c r="J24" s="172">
        <f>_xlfn.XLOOKUP(Data_Dep.12[[#This Row],[Cost center]],MD_Cost_Center[Mã Cost Center],MD_Cost_Center[Work center],"Check")</f>
        <v>0</v>
      </c>
      <c r="K24" s="169" t="str">
        <f>_xlfn.XLOOKUP(Data_Dep.12[[#This Row],[Nhóm tài sản]],MD_Account_Asset_Type[Nhóm tài sản],MD_Account_Asset_Type[Tài khoản KH],"Check")</f>
        <v>6274001901</v>
      </c>
      <c r="L24" s="173">
        <v>45627</v>
      </c>
      <c r="M24" s="174">
        <f>EDATE(Data_Dep.12[[#This Row],[Ngày bắt đầu KH]],Data_Dep.12[[#This Row],[T/G Khấu hao]])</f>
        <v>46722</v>
      </c>
      <c r="N24" s="175">
        <v>36</v>
      </c>
      <c r="O24" s="175">
        <v>621093014</v>
      </c>
      <c r="P24" s="176">
        <v>-172525837</v>
      </c>
      <c r="Q24" s="175">
        <f>Data_Dep.12[[#This Row],[Nguyên giá]]+Data_Dep.12[[#This Row],[KH lũy kế]]</f>
        <v>448567177</v>
      </c>
      <c r="R24" s="177">
        <v>-17252584</v>
      </c>
      <c r="S24" s="177">
        <v>-17252584</v>
      </c>
      <c r="T24" s="177">
        <v>-17252584</v>
      </c>
      <c r="U24" s="177">
        <f>SUM(Data_Dep.12[[#This Row],[KH_2510]:[KH_2512]])</f>
        <v>-51757752</v>
      </c>
      <c r="V24" s="175">
        <f>Data_Dep.12[[#This Row],[Nguyên giá]]+Data_Dep.12[[#This Row],[KH lũy kế]]+Data_Dep.12[[#This Row],[KH_Q4.25]]</f>
        <v>396809425</v>
      </c>
      <c r="W24" s="178">
        <f>ROUND(Data_Dep.12[[#This Row],[T/G Khấu hao]]-Data_Dep.12[[#This Row],[Giá trị còn lại 31/12/25]]/Data_Dep.12[[#This Row],[Nguyên giá]]*Data_Dep.12[[#This Row],[T/G Khấu hao]],0)</f>
        <v>13</v>
      </c>
      <c r="X24" s="179">
        <v>84</v>
      </c>
      <c r="Y24" s="175">
        <f>Data_Dep.12[[#This Row],[T/G Khấu hao]]+Data_Dep.12[[#This Row],[Điều chỉnh]]</f>
        <v>120</v>
      </c>
      <c r="Z24" s="180">
        <f>EDATE(Data_Dep.12[[#This Row],[Ngày bắt đầu KH]],Data_Dep.12[[#This Row],[T/G điều chỉnh]])</f>
        <v>49279</v>
      </c>
      <c r="AA24" s="175">
        <f>Data_Dep.12[[#This Row],[T/G điều chỉnh]]-Data_Dep.12[[#This Row],[Số kỳ đã khấu hao]]</f>
        <v>107</v>
      </c>
      <c r="AB24" s="175">
        <f>IFERROR(-Data_Dep.12[[#This Row],[Giá trị còn lại 31/12/25]]/(Data_Dep.12[[#This Row],[T/G điều chỉnh]]-Data_Dep.12[[#This Row],[Số kỳ đã khấu hao]]),0)</f>
        <v>-3708499.2990654204</v>
      </c>
      <c r="AC24" s="181">
        <v>-3708499.2990654204</v>
      </c>
      <c r="AD24" s="181">
        <v>-3708499.2990654204</v>
      </c>
      <c r="AE24" s="181">
        <v>-3708499.2990654204</v>
      </c>
      <c r="AF24" s="181">
        <v>-3708499.2990654204</v>
      </c>
      <c r="AG24" s="181">
        <v>-3708499.2990654204</v>
      </c>
      <c r="AH24" s="181">
        <v>-3708499.2990654204</v>
      </c>
      <c r="AI24" s="181">
        <v>-3708499.2990654204</v>
      </c>
      <c r="AJ24" s="181">
        <v>-3708499.2990654204</v>
      </c>
      <c r="AK24" s="181">
        <v>-3708499.2990654204</v>
      </c>
      <c r="AL24" s="181">
        <v>-3708499.2990654204</v>
      </c>
      <c r="AM24" s="181">
        <v>-3708499.2990654204</v>
      </c>
      <c r="AN24" s="181">
        <v>-3708499.2990654204</v>
      </c>
      <c r="AO24" s="175">
        <f>SUM(Data_Dep.12[[#This Row],[KH_2601]:[KH_2612]])</f>
        <v>-44501991.58878503</v>
      </c>
      <c r="AP24" s="175">
        <f>Data_Dep.12[[#This Row],[Giá trị còn lại 31/12/25]]+Data_Dep.12[[#This Row],[KH LK 2026]]</f>
        <v>352307433.41121495</v>
      </c>
    </row>
    <row r="25" spans="1:42" x14ac:dyDescent="0.3">
      <c r="A25" s="169"/>
      <c r="B25" s="169"/>
      <c r="C25" s="170" t="s">
        <v>319</v>
      </c>
      <c r="D25" s="169" t="str">
        <f>_xlfn.XLOOKUP(Data_Dep.12[[#This Row],[Nhóm tài sản]],MD_Account_Asset_Type[Nhóm tài sản],MD_Account_Asset_Type[Tên Nhóm tài sản])</f>
        <v>Nhà cửa, vật kiến trúc - SX 627</v>
      </c>
      <c r="E25" s="171" t="s">
        <v>834</v>
      </c>
      <c r="F25" s="170" t="s">
        <v>518</v>
      </c>
      <c r="G25" s="169" t="s">
        <v>830</v>
      </c>
      <c r="H25" s="170" t="s">
        <v>45</v>
      </c>
      <c r="I25" s="170" t="str">
        <f>_xlfn.XLOOKUP(Data_Dep.12[[#This Row],[Cost center]],MD_Cost_Center[Mã Cost Center],MD_Cost_Center[Tên Cost Center])</f>
        <v>Kỹ thuật</v>
      </c>
      <c r="J25" s="172">
        <f>_xlfn.XLOOKUP(Data_Dep.12[[#This Row],[Cost center]],MD_Cost_Center[Mã Cost Center],MD_Cost_Center[Work center],"Check")</f>
        <v>0</v>
      </c>
      <c r="K25" s="169" t="str">
        <f>_xlfn.XLOOKUP(Data_Dep.12[[#This Row],[Nhóm tài sản]],MD_Account_Asset_Type[Nhóm tài sản],MD_Account_Asset_Type[Tài khoản KH],"Check")</f>
        <v>6274001901</v>
      </c>
      <c r="L25" s="173">
        <v>45689</v>
      </c>
      <c r="M25" s="174">
        <f>EDATE(Data_Dep.12[[#This Row],[Ngày bắt đầu KH]],Data_Dep.12[[#This Row],[T/G Khấu hao]])</f>
        <v>46327</v>
      </c>
      <c r="N25" s="175">
        <v>21</v>
      </c>
      <c r="O25" s="175">
        <v>174699000</v>
      </c>
      <c r="P25" s="176">
        <v>-36800021</v>
      </c>
      <c r="Q25" s="175">
        <f>Data_Dep.12[[#This Row],[Nguyên giá]]+Data_Dep.12[[#This Row],[KH lũy kế]]</f>
        <v>137898979</v>
      </c>
      <c r="R25" s="177">
        <v>-4852750</v>
      </c>
      <c r="S25" s="177">
        <v>-4852750</v>
      </c>
      <c r="T25" s="177">
        <v>-4852750</v>
      </c>
      <c r="U25" s="177">
        <f>SUM(Data_Dep.12[[#This Row],[KH_2510]:[KH_2512]])</f>
        <v>-14558250</v>
      </c>
      <c r="V25" s="175">
        <f>Data_Dep.12[[#This Row],[Nguyên giá]]+Data_Dep.12[[#This Row],[KH lũy kế]]+Data_Dep.12[[#This Row],[KH_Q4.25]]</f>
        <v>123340729</v>
      </c>
      <c r="W25" s="178">
        <f>ROUND(Data_Dep.12[[#This Row],[T/G Khấu hao]]-Data_Dep.12[[#This Row],[Giá trị còn lại 31/12/25]]/Data_Dep.12[[#This Row],[Nguyên giá]]*Data_Dep.12[[#This Row],[T/G Khấu hao]],0)</f>
        <v>6</v>
      </c>
      <c r="X25" s="179">
        <v>99</v>
      </c>
      <c r="Y25" s="175">
        <f>Data_Dep.12[[#This Row],[T/G Khấu hao]]+Data_Dep.12[[#This Row],[Điều chỉnh]]</f>
        <v>120</v>
      </c>
      <c r="Z25" s="180">
        <f>EDATE(Data_Dep.12[[#This Row],[Ngày bắt đầu KH]],Data_Dep.12[[#This Row],[T/G điều chỉnh]])</f>
        <v>49341</v>
      </c>
      <c r="AA25" s="175">
        <f>Data_Dep.12[[#This Row],[T/G điều chỉnh]]-Data_Dep.12[[#This Row],[Số kỳ đã khấu hao]]</f>
        <v>114</v>
      </c>
      <c r="AB25" s="175">
        <f>IFERROR(-Data_Dep.12[[#This Row],[Giá trị còn lại 31/12/25]]/(Data_Dep.12[[#This Row],[T/G điều chỉnh]]-Data_Dep.12[[#This Row],[Số kỳ đã khấu hao]]),0)</f>
        <v>-1081936.2192982456</v>
      </c>
      <c r="AC25" s="181">
        <v>-1081936.2192982456</v>
      </c>
      <c r="AD25" s="181">
        <v>-1081936.2192982456</v>
      </c>
      <c r="AE25" s="181">
        <v>-1081936.2192982456</v>
      </c>
      <c r="AF25" s="181">
        <v>-1081936.2192982456</v>
      </c>
      <c r="AG25" s="181">
        <v>-1081936.2192982456</v>
      </c>
      <c r="AH25" s="181">
        <v>-1081936.2192982456</v>
      </c>
      <c r="AI25" s="181">
        <v>-1081936.2192982456</v>
      </c>
      <c r="AJ25" s="181">
        <v>-1081936.2192982456</v>
      </c>
      <c r="AK25" s="181">
        <v>-1081936.2192982456</v>
      </c>
      <c r="AL25" s="181">
        <v>-1081936.2192982456</v>
      </c>
      <c r="AM25" s="181">
        <v>-1081936.2192982456</v>
      </c>
      <c r="AN25" s="181">
        <v>-1081936.2192982456</v>
      </c>
      <c r="AO25" s="175">
        <f>SUM(Data_Dep.12[[#This Row],[KH_2601]:[KH_2612]])</f>
        <v>-12983234.631578946</v>
      </c>
      <c r="AP25" s="175">
        <f>Data_Dep.12[[#This Row],[Giá trị còn lại 31/12/25]]+Data_Dep.12[[#This Row],[KH LK 2026]]</f>
        <v>110357494.36842105</v>
      </c>
    </row>
    <row r="26" spans="1:42" x14ac:dyDescent="0.3">
      <c r="A26" s="169"/>
      <c r="B26" s="169"/>
      <c r="C26" s="170" t="s">
        <v>337</v>
      </c>
      <c r="D26" s="169" t="str">
        <f>_xlfn.XLOOKUP(Data_Dep.12[[#This Row],[Nhóm tài sản]],MD_Account_Asset_Type[Nhóm tài sản],MD_Account_Asset_Type[Tên Nhóm tài sản])</f>
        <v>Máy móc, thiết bị phụ - SX 627</v>
      </c>
      <c r="E26" s="171" t="s">
        <v>941</v>
      </c>
      <c r="F26" s="170" t="s">
        <v>519</v>
      </c>
      <c r="G26" s="169" t="s">
        <v>830</v>
      </c>
      <c r="H26" s="170" t="s">
        <v>52</v>
      </c>
      <c r="I26" s="170" t="str">
        <f>_xlfn.XLOOKUP(Data_Dep.12[[#This Row],[Cost center]],MD_Cost_Center[Mã Cost Center],MD_Cost_Center[Tên Cost Center])</f>
        <v>Máy tạo hạt PET HTL+máy kết tinh TKN</v>
      </c>
      <c r="J26" s="172" t="str">
        <f>_xlfn.XLOOKUP(Data_Dep.12[[#This Row],[Cost center]],MD_Cost_Center[Mã Cost Center],MD_Cost_Center[Work center],"Check")</f>
        <v>OSAK-01</v>
      </c>
      <c r="K26" s="169" t="str">
        <f>_xlfn.XLOOKUP(Data_Dep.12[[#This Row],[Nhóm tài sản]],MD_Account_Asset_Type[Nhóm tài sản],MD_Account_Asset_Type[Tài khoản KH],"Check")</f>
        <v>6274001906</v>
      </c>
      <c r="L26" s="173">
        <v>44110</v>
      </c>
      <c r="M26" s="174">
        <f>EDATE(Data_Dep.12[[#This Row],[Ngày bắt đầu KH]],Data_Dep.12[[#This Row],[T/G Khấu hao]])</f>
        <v>46849</v>
      </c>
      <c r="N26" s="175">
        <v>90</v>
      </c>
      <c r="O26" s="175">
        <v>114480000</v>
      </c>
      <c r="P26" s="176">
        <v>-76320000</v>
      </c>
      <c r="Q26" s="175">
        <f>Data_Dep.12[[#This Row],[Nguyên giá]]+Data_Dep.12[[#This Row],[KH lũy kế]]</f>
        <v>38160000</v>
      </c>
      <c r="R26" s="177">
        <v>-1272000</v>
      </c>
      <c r="S26" s="177">
        <v>-1272000</v>
      </c>
      <c r="T26" s="177">
        <v>-1272000</v>
      </c>
      <c r="U26" s="177">
        <f>SUM(Data_Dep.12[[#This Row],[KH_2510]:[KH_2512]])</f>
        <v>-3816000</v>
      </c>
      <c r="V26" s="175">
        <f>Data_Dep.12[[#This Row],[Nguyên giá]]+Data_Dep.12[[#This Row],[KH lũy kế]]+Data_Dep.12[[#This Row],[KH_Q4.25]]</f>
        <v>34344000</v>
      </c>
      <c r="W26" s="178">
        <f>ROUND(Data_Dep.12[[#This Row],[T/G Khấu hao]]-Data_Dep.12[[#This Row],[Giá trị còn lại 31/12/25]]/Data_Dep.12[[#This Row],[Nguyên giá]]*Data_Dep.12[[#This Row],[T/G Khấu hao]],0)</f>
        <v>63</v>
      </c>
      <c r="X26" s="179">
        <v>54</v>
      </c>
      <c r="Y26" s="175">
        <f>Data_Dep.12[[#This Row],[T/G Khấu hao]]+Data_Dep.12[[#This Row],[Điều chỉnh]]</f>
        <v>144</v>
      </c>
      <c r="Z26" s="180">
        <f>EDATE(Data_Dep.12[[#This Row],[Ngày bắt đầu KH]],Data_Dep.12[[#This Row],[T/G điều chỉnh]])</f>
        <v>48493</v>
      </c>
      <c r="AA26" s="175">
        <f>Data_Dep.12[[#This Row],[T/G điều chỉnh]]-Data_Dep.12[[#This Row],[Số kỳ đã khấu hao]]</f>
        <v>81</v>
      </c>
      <c r="AB26" s="175">
        <f>IFERROR(-Data_Dep.12[[#This Row],[Giá trị còn lại 31/12/25]]/(Data_Dep.12[[#This Row],[T/G điều chỉnh]]-Data_Dep.12[[#This Row],[Số kỳ đã khấu hao]]),0)</f>
        <v>-424000</v>
      </c>
      <c r="AC26" s="181">
        <v>-424000</v>
      </c>
      <c r="AD26" s="181">
        <v>-424000</v>
      </c>
      <c r="AE26" s="181">
        <v>-424000</v>
      </c>
      <c r="AF26" s="181">
        <v>-424000</v>
      </c>
      <c r="AG26" s="181">
        <v>-424000</v>
      </c>
      <c r="AH26" s="181">
        <v>-424000</v>
      </c>
      <c r="AI26" s="181">
        <v>-424000</v>
      </c>
      <c r="AJ26" s="181">
        <v>-424000</v>
      </c>
      <c r="AK26" s="181">
        <v>-424000</v>
      </c>
      <c r="AL26" s="181">
        <v>-424000</v>
      </c>
      <c r="AM26" s="181">
        <v>-424000</v>
      </c>
      <c r="AN26" s="181">
        <v>-424000</v>
      </c>
      <c r="AO26" s="175">
        <f>SUM(Data_Dep.12[[#This Row],[KH_2601]:[KH_2612]])</f>
        <v>-5088000</v>
      </c>
      <c r="AP26" s="175">
        <f>Data_Dep.12[[#This Row],[Giá trị còn lại 31/12/25]]+Data_Dep.12[[#This Row],[KH LK 2026]]</f>
        <v>29256000</v>
      </c>
    </row>
    <row r="27" spans="1:42" x14ac:dyDescent="0.3">
      <c r="A27" s="169"/>
      <c r="B27" s="169"/>
      <c r="C27" s="170" t="s">
        <v>337</v>
      </c>
      <c r="D27" s="169" t="str">
        <f>_xlfn.XLOOKUP(Data_Dep.12[[#This Row],[Nhóm tài sản]],MD_Account_Asset_Type[Nhóm tài sản],MD_Account_Asset_Type[Tên Nhóm tài sản])</f>
        <v>Máy móc, thiết bị phụ - SX 627</v>
      </c>
      <c r="E27" s="171" t="s">
        <v>942</v>
      </c>
      <c r="F27" s="170" t="s">
        <v>520</v>
      </c>
      <c r="G27" s="169" t="s">
        <v>830</v>
      </c>
      <c r="H27" s="170" t="s">
        <v>52</v>
      </c>
      <c r="I27" s="170" t="str">
        <f>_xlfn.XLOOKUP(Data_Dep.12[[#This Row],[Cost center]],MD_Cost_Center[Mã Cost Center],MD_Cost_Center[Tên Cost Center])</f>
        <v>Máy tạo hạt PET HTL+máy kết tinh TKN</v>
      </c>
      <c r="J27" s="172" t="str">
        <f>_xlfn.XLOOKUP(Data_Dep.12[[#This Row],[Cost center]],MD_Cost_Center[Mã Cost Center],MD_Cost_Center[Work center],"Check")</f>
        <v>OSAK-01</v>
      </c>
      <c r="K27" s="169" t="str">
        <f>_xlfn.XLOOKUP(Data_Dep.12[[#This Row],[Nhóm tài sản]],MD_Account_Asset_Type[Nhóm tài sản],MD_Account_Asset_Type[Tài khoản KH],"Check")</f>
        <v>6274001906</v>
      </c>
      <c r="L27" s="173">
        <v>44110</v>
      </c>
      <c r="M27" s="174">
        <f>EDATE(Data_Dep.12[[#This Row],[Ngày bắt đầu KH]],Data_Dep.12[[#This Row],[T/G Khấu hao]])</f>
        <v>46849</v>
      </c>
      <c r="N27" s="175">
        <v>90</v>
      </c>
      <c r="O27" s="175">
        <v>144274000</v>
      </c>
      <c r="P27" s="176">
        <v>-96182666</v>
      </c>
      <c r="Q27" s="175">
        <f>Data_Dep.12[[#This Row],[Nguyên giá]]+Data_Dep.12[[#This Row],[KH lũy kế]]</f>
        <v>48091334</v>
      </c>
      <c r="R27" s="177">
        <v>-1603045</v>
      </c>
      <c r="S27" s="177">
        <v>-1603044</v>
      </c>
      <c r="T27" s="177">
        <v>-1603045</v>
      </c>
      <c r="U27" s="177">
        <f>SUM(Data_Dep.12[[#This Row],[KH_2510]:[KH_2512]])</f>
        <v>-4809134</v>
      </c>
      <c r="V27" s="175">
        <f>Data_Dep.12[[#This Row],[Nguyên giá]]+Data_Dep.12[[#This Row],[KH lũy kế]]+Data_Dep.12[[#This Row],[KH_Q4.25]]</f>
        <v>43282200</v>
      </c>
      <c r="W27" s="178">
        <f>ROUND(Data_Dep.12[[#This Row],[T/G Khấu hao]]-Data_Dep.12[[#This Row],[Giá trị còn lại 31/12/25]]/Data_Dep.12[[#This Row],[Nguyên giá]]*Data_Dep.12[[#This Row],[T/G Khấu hao]],0)</f>
        <v>63</v>
      </c>
      <c r="X27" s="179">
        <v>54</v>
      </c>
      <c r="Y27" s="175">
        <f>Data_Dep.12[[#This Row],[T/G Khấu hao]]+Data_Dep.12[[#This Row],[Điều chỉnh]]</f>
        <v>144</v>
      </c>
      <c r="Z27" s="180">
        <f>EDATE(Data_Dep.12[[#This Row],[Ngày bắt đầu KH]],Data_Dep.12[[#This Row],[T/G điều chỉnh]])</f>
        <v>48493</v>
      </c>
      <c r="AA27" s="175">
        <f>Data_Dep.12[[#This Row],[T/G điều chỉnh]]-Data_Dep.12[[#This Row],[Số kỳ đã khấu hao]]</f>
        <v>81</v>
      </c>
      <c r="AB27" s="175">
        <f>IFERROR(-Data_Dep.12[[#This Row],[Giá trị còn lại 31/12/25]]/(Data_Dep.12[[#This Row],[T/G điều chỉnh]]-Data_Dep.12[[#This Row],[Số kỳ đã khấu hao]]),0)</f>
        <v>-534348.1481481482</v>
      </c>
      <c r="AC27" s="181">
        <v>-534348.1481481482</v>
      </c>
      <c r="AD27" s="181">
        <v>-534348.1481481482</v>
      </c>
      <c r="AE27" s="181">
        <v>-534348.1481481482</v>
      </c>
      <c r="AF27" s="181">
        <v>-534348.1481481482</v>
      </c>
      <c r="AG27" s="181">
        <v>-534348.1481481482</v>
      </c>
      <c r="AH27" s="181">
        <v>-534348.1481481482</v>
      </c>
      <c r="AI27" s="181">
        <v>-534348.1481481482</v>
      </c>
      <c r="AJ27" s="181">
        <v>-534348.1481481482</v>
      </c>
      <c r="AK27" s="181">
        <v>-534348.1481481482</v>
      </c>
      <c r="AL27" s="181">
        <v>-534348.1481481482</v>
      </c>
      <c r="AM27" s="181">
        <v>-534348.1481481482</v>
      </c>
      <c r="AN27" s="181">
        <v>-534348.1481481482</v>
      </c>
      <c r="AO27" s="175">
        <f>SUM(Data_Dep.12[[#This Row],[KH_2601]:[KH_2612]])</f>
        <v>-6412177.7777777789</v>
      </c>
      <c r="AP27" s="175">
        <f>Data_Dep.12[[#This Row],[Giá trị còn lại 31/12/25]]+Data_Dep.12[[#This Row],[KH LK 2026]]</f>
        <v>36870022.222222224</v>
      </c>
    </row>
    <row r="28" spans="1:42" x14ac:dyDescent="0.3">
      <c r="A28" s="169"/>
      <c r="B28" s="169"/>
      <c r="C28" s="170" t="s">
        <v>337</v>
      </c>
      <c r="D28" s="169" t="str">
        <f>_xlfn.XLOOKUP(Data_Dep.12[[#This Row],[Nhóm tài sản]],MD_Account_Asset_Type[Nhóm tài sản],MD_Account_Asset_Type[Tên Nhóm tài sản])</f>
        <v>Máy móc, thiết bị phụ - SX 627</v>
      </c>
      <c r="E28" s="171" t="s">
        <v>943</v>
      </c>
      <c r="F28" s="170" t="s">
        <v>521</v>
      </c>
      <c r="G28" s="169" t="s">
        <v>830</v>
      </c>
      <c r="H28" s="170" t="s">
        <v>48</v>
      </c>
      <c r="I28" s="170" t="str">
        <f>_xlfn.XLOOKUP(Data_Dep.12[[#This Row],[Cost center]],MD_Cost_Center[Mã Cost Center],MD_Cost_Center[Tên Cost Center])</f>
        <v>Xưởng sản xuất PET</v>
      </c>
      <c r="J28" s="172">
        <f>_xlfn.XLOOKUP(Data_Dep.12[[#This Row],[Cost center]],MD_Cost_Center[Mã Cost Center],MD_Cost_Center[Work center],"Check")</f>
        <v>0</v>
      </c>
      <c r="K28" s="169" t="str">
        <f>_xlfn.XLOOKUP(Data_Dep.12[[#This Row],[Nhóm tài sản]],MD_Account_Asset_Type[Nhóm tài sản],MD_Account_Asset_Type[Tài khoản KH],"Check")</f>
        <v>6274001906</v>
      </c>
      <c r="L28" s="173">
        <v>44166</v>
      </c>
      <c r="M28" s="174">
        <f>EDATE(Data_Dep.12[[#This Row],[Ngày bắt đầu KH]],Data_Dep.12[[#This Row],[T/G Khấu hao]])</f>
        <v>46905</v>
      </c>
      <c r="N28" s="175">
        <v>90</v>
      </c>
      <c r="O28" s="175">
        <v>187612000</v>
      </c>
      <c r="P28" s="176">
        <v>-120905511</v>
      </c>
      <c r="Q28" s="175">
        <f>Data_Dep.12[[#This Row],[Nguyên giá]]+Data_Dep.12[[#This Row],[KH lũy kế]]</f>
        <v>66706489</v>
      </c>
      <c r="R28" s="177">
        <v>-2084578</v>
      </c>
      <c r="S28" s="177">
        <v>-2084578</v>
      </c>
      <c r="T28" s="177">
        <v>-2084577</v>
      </c>
      <c r="U28" s="177">
        <f>SUM(Data_Dep.12[[#This Row],[KH_2510]:[KH_2512]])</f>
        <v>-6253733</v>
      </c>
      <c r="V28" s="175">
        <f>Data_Dep.12[[#This Row],[Nguyên giá]]+Data_Dep.12[[#This Row],[KH lũy kế]]+Data_Dep.12[[#This Row],[KH_Q4.25]]</f>
        <v>60452756</v>
      </c>
      <c r="W28" s="178">
        <f>ROUND(Data_Dep.12[[#This Row],[T/G Khấu hao]]-Data_Dep.12[[#This Row],[Giá trị còn lại 31/12/25]]/Data_Dep.12[[#This Row],[Nguyên giá]]*Data_Dep.12[[#This Row],[T/G Khấu hao]],0)</f>
        <v>61</v>
      </c>
      <c r="X28" s="179">
        <v>54</v>
      </c>
      <c r="Y28" s="175">
        <f>Data_Dep.12[[#This Row],[T/G Khấu hao]]+Data_Dep.12[[#This Row],[Điều chỉnh]]</f>
        <v>144</v>
      </c>
      <c r="Z28" s="180">
        <f>EDATE(Data_Dep.12[[#This Row],[Ngày bắt đầu KH]],Data_Dep.12[[#This Row],[T/G điều chỉnh]])</f>
        <v>48549</v>
      </c>
      <c r="AA28" s="175">
        <f>Data_Dep.12[[#This Row],[T/G điều chỉnh]]-Data_Dep.12[[#This Row],[Số kỳ đã khấu hao]]</f>
        <v>83</v>
      </c>
      <c r="AB28" s="175">
        <f>IFERROR(-Data_Dep.12[[#This Row],[Giá trị còn lại 31/12/25]]/(Data_Dep.12[[#This Row],[T/G điều chỉnh]]-Data_Dep.12[[#This Row],[Số kỳ đã khấu hao]]),0)</f>
        <v>-728346.45783132536</v>
      </c>
      <c r="AC28" s="181">
        <v>-728346.45783132536</v>
      </c>
      <c r="AD28" s="181">
        <v>-728346.45783132536</v>
      </c>
      <c r="AE28" s="181">
        <v>-728346.45783132536</v>
      </c>
      <c r="AF28" s="181">
        <v>-728346.45783132536</v>
      </c>
      <c r="AG28" s="181">
        <v>-728346.45783132536</v>
      </c>
      <c r="AH28" s="181">
        <v>-728346.45783132536</v>
      </c>
      <c r="AI28" s="181">
        <v>-728346.45783132536</v>
      </c>
      <c r="AJ28" s="181">
        <v>-728346.45783132536</v>
      </c>
      <c r="AK28" s="181">
        <v>-728346.45783132536</v>
      </c>
      <c r="AL28" s="181">
        <v>-728346.45783132536</v>
      </c>
      <c r="AM28" s="181">
        <v>-728346.45783132536</v>
      </c>
      <c r="AN28" s="181">
        <v>-728346.45783132536</v>
      </c>
      <c r="AO28" s="175">
        <f>SUM(Data_Dep.12[[#This Row],[KH_2601]:[KH_2612]])</f>
        <v>-8740157.493975902</v>
      </c>
      <c r="AP28" s="175">
        <f>Data_Dep.12[[#This Row],[Giá trị còn lại 31/12/25]]+Data_Dep.12[[#This Row],[KH LK 2026]]</f>
        <v>51712598.5060241</v>
      </c>
    </row>
    <row r="29" spans="1:42" x14ac:dyDescent="0.3">
      <c r="A29" s="169"/>
      <c r="B29" s="169"/>
      <c r="C29" s="170" t="s">
        <v>337</v>
      </c>
      <c r="D29" s="169" t="str">
        <f>_xlfn.XLOOKUP(Data_Dep.12[[#This Row],[Nhóm tài sản]],MD_Account_Asset_Type[Nhóm tài sản],MD_Account_Asset_Type[Tên Nhóm tài sản])</f>
        <v>Máy móc, thiết bị phụ - SX 627</v>
      </c>
      <c r="E29" s="171" t="s">
        <v>944</v>
      </c>
      <c r="F29" s="170" t="s">
        <v>522</v>
      </c>
      <c r="G29" s="169" t="s">
        <v>830</v>
      </c>
      <c r="H29" s="170" t="s">
        <v>48</v>
      </c>
      <c r="I29" s="170" t="str">
        <f>_xlfn.XLOOKUP(Data_Dep.12[[#This Row],[Cost center]],MD_Cost_Center[Mã Cost Center],MD_Cost_Center[Tên Cost Center])</f>
        <v>Xưởng sản xuất PET</v>
      </c>
      <c r="J29" s="172">
        <f>_xlfn.XLOOKUP(Data_Dep.12[[#This Row],[Cost center]],MD_Cost_Center[Mã Cost Center],MD_Cost_Center[Work center],"Check")</f>
        <v>0</v>
      </c>
      <c r="K29" s="169" t="str">
        <f>_xlfn.XLOOKUP(Data_Dep.12[[#This Row],[Nhóm tài sản]],MD_Account_Asset_Type[Nhóm tài sản],MD_Account_Asset_Type[Tài khoản KH],"Check")</f>
        <v>6274001906</v>
      </c>
      <c r="L29" s="173">
        <v>44177</v>
      </c>
      <c r="M29" s="174">
        <f>EDATE(Data_Dep.12[[#This Row],[Ngày bắt đầu KH]],Data_Dep.12[[#This Row],[T/G Khấu hao]])</f>
        <v>46003</v>
      </c>
      <c r="N29" s="175">
        <v>60</v>
      </c>
      <c r="O29" s="175">
        <v>330000000</v>
      </c>
      <c r="P29" s="176">
        <v>-319000000</v>
      </c>
      <c r="Q29" s="175">
        <f>Data_Dep.12[[#This Row],[Nguyên giá]]+Data_Dep.12[[#This Row],[KH lũy kế]]</f>
        <v>11000000</v>
      </c>
      <c r="R29" s="177">
        <v>-5500000</v>
      </c>
      <c r="S29" s="177">
        <v>-5500000</v>
      </c>
      <c r="T29" s="177">
        <v>0</v>
      </c>
      <c r="U29" s="177">
        <f>SUM(Data_Dep.12[[#This Row],[KH_2510]:[KH_2512]])</f>
        <v>-11000000</v>
      </c>
      <c r="V29" s="175">
        <f>Data_Dep.12[[#This Row],[Nguyên giá]]+Data_Dep.12[[#This Row],[KH lũy kế]]+Data_Dep.12[[#This Row],[KH_Q4.25]]</f>
        <v>0</v>
      </c>
      <c r="W29" s="178">
        <f>ROUND(Data_Dep.12[[#This Row],[T/G Khấu hao]]-Data_Dep.12[[#This Row],[Giá trị còn lại 31/12/25]]/Data_Dep.12[[#This Row],[Nguyên giá]]*Data_Dep.12[[#This Row],[T/G Khấu hao]],0)</f>
        <v>60</v>
      </c>
      <c r="X29" s="179">
        <v>84</v>
      </c>
      <c r="Y29" s="175">
        <f>Data_Dep.12[[#This Row],[T/G Khấu hao]]+Data_Dep.12[[#This Row],[Điều chỉnh]]</f>
        <v>144</v>
      </c>
      <c r="Z29" s="180">
        <f>EDATE(Data_Dep.12[[#This Row],[Ngày bắt đầu KH]],Data_Dep.12[[#This Row],[T/G điều chỉnh]])</f>
        <v>48560</v>
      </c>
      <c r="AA29" s="175">
        <f>Data_Dep.12[[#This Row],[T/G điều chỉnh]]-Data_Dep.12[[#This Row],[Số kỳ đã khấu hao]]</f>
        <v>84</v>
      </c>
      <c r="AB29" s="175">
        <f>IFERROR(-Data_Dep.12[[#This Row],[Giá trị còn lại 31/12/25]]/(Data_Dep.12[[#This Row],[T/G điều chỉnh]]-Data_Dep.12[[#This Row],[Số kỳ đã khấu hao]]),0)</f>
        <v>0</v>
      </c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>
        <v>0</v>
      </c>
      <c r="AI29" s="181">
        <v>0</v>
      </c>
      <c r="AJ29" s="181">
        <v>0</v>
      </c>
      <c r="AK29" s="181">
        <v>0</v>
      </c>
      <c r="AL29" s="181">
        <v>0</v>
      </c>
      <c r="AM29" s="181">
        <v>0</v>
      </c>
      <c r="AN29" s="181">
        <v>0</v>
      </c>
      <c r="AO29" s="175">
        <f>SUM(Data_Dep.12[[#This Row],[KH_2601]:[KH_2612]])</f>
        <v>0</v>
      </c>
      <c r="AP29" s="175">
        <f>Data_Dep.12[[#This Row],[Giá trị còn lại 31/12/25]]+Data_Dep.12[[#This Row],[KH LK 2026]]</f>
        <v>0</v>
      </c>
    </row>
    <row r="30" spans="1:42" x14ac:dyDescent="0.3">
      <c r="A30" s="169"/>
      <c r="B30" s="169"/>
      <c r="C30" s="170" t="s">
        <v>337</v>
      </c>
      <c r="D30" s="169" t="str">
        <f>_xlfn.XLOOKUP(Data_Dep.12[[#This Row],[Nhóm tài sản]],MD_Account_Asset_Type[Nhóm tài sản],MD_Account_Asset_Type[Tên Nhóm tài sản])</f>
        <v>Máy móc, thiết bị phụ - SX 627</v>
      </c>
      <c r="E30" s="171" t="s">
        <v>945</v>
      </c>
      <c r="F30" s="170" t="s">
        <v>523</v>
      </c>
      <c r="G30" s="169" t="s">
        <v>830</v>
      </c>
      <c r="H30" s="170" t="s">
        <v>48</v>
      </c>
      <c r="I30" s="170" t="str">
        <f>_xlfn.XLOOKUP(Data_Dep.12[[#This Row],[Cost center]],MD_Cost_Center[Mã Cost Center],MD_Cost_Center[Tên Cost Center])</f>
        <v>Xưởng sản xuất PET</v>
      </c>
      <c r="J30" s="172">
        <f>_xlfn.XLOOKUP(Data_Dep.12[[#This Row],[Cost center]],MD_Cost_Center[Mã Cost Center],MD_Cost_Center[Work center],"Check")</f>
        <v>0</v>
      </c>
      <c r="K30" s="169" t="str">
        <f>_xlfn.XLOOKUP(Data_Dep.12[[#This Row],[Nhóm tài sản]],MD_Account_Asset_Type[Nhóm tài sản],MD_Account_Asset_Type[Tài khoản KH],"Check")</f>
        <v>6274001906</v>
      </c>
      <c r="L30" s="173">
        <v>44177</v>
      </c>
      <c r="M30" s="174">
        <f>EDATE(Data_Dep.12[[#This Row],[Ngày bắt đầu KH]],Data_Dep.12[[#This Row],[T/G Khấu hao]])</f>
        <v>46003</v>
      </c>
      <c r="N30" s="175">
        <v>60</v>
      </c>
      <c r="O30" s="175">
        <v>199000000</v>
      </c>
      <c r="P30" s="176">
        <v>-192366667</v>
      </c>
      <c r="Q30" s="175">
        <f>Data_Dep.12[[#This Row],[Nguyên giá]]+Data_Dep.12[[#This Row],[KH lũy kế]]</f>
        <v>6633333</v>
      </c>
      <c r="R30" s="177">
        <v>-3316666</v>
      </c>
      <c r="S30" s="177">
        <v>-3316667</v>
      </c>
      <c r="T30" s="177">
        <v>0</v>
      </c>
      <c r="U30" s="177">
        <f>SUM(Data_Dep.12[[#This Row],[KH_2510]:[KH_2512]])</f>
        <v>-6633333</v>
      </c>
      <c r="V30" s="175">
        <f>Data_Dep.12[[#This Row],[Nguyên giá]]+Data_Dep.12[[#This Row],[KH lũy kế]]+Data_Dep.12[[#This Row],[KH_Q4.25]]</f>
        <v>0</v>
      </c>
      <c r="W30" s="178">
        <f>ROUND(Data_Dep.12[[#This Row],[T/G Khấu hao]]-Data_Dep.12[[#This Row],[Giá trị còn lại 31/12/25]]/Data_Dep.12[[#This Row],[Nguyên giá]]*Data_Dep.12[[#This Row],[T/G Khấu hao]],0)</f>
        <v>60</v>
      </c>
      <c r="X30" s="179">
        <v>84</v>
      </c>
      <c r="Y30" s="175">
        <f>Data_Dep.12[[#This Row],[T/G Khấu hao]]+Data_Dep.12[[#This Row],[Điều chỉnh]]</f>
        <v>144</v>
      </c>
      <c r="Z30" s="180">
        <f>EDATE(Data_Dep.12[[#This Row],[Ngày bắt đầu KH]],Data_Dep.12[[#This Row],[T/G điều chỉnh]])</f>
        <v>48560</v>
      </c>
      <c r="AA30" s="175">
        <f>Data_Dep.12[[#This Row],[T/G điều chỉnh]]-Data_Dep.12[[#This Row],[Số kỳ đã khấu hao]]</f>
        <v>84</v>
      </c>
      <c r="AB30" s="175">
        <f>IFERROR(-Data_Dep.12[[#This Row],[Giá trị còn lại 31/12/25]]/(Data_Dep.12[[#This Row],[T/G điều chỉnh]]-Data_Dep.12[[#This Row],[Số kỳ đã khấu hao]]),0)</f>
        <v>0</v>
      </c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>
        <v>0</v>
      </c>
      <c r="AI30" s="181">
        <v>0</v>
      </c>
      <c r="AJ30" s="181">
        <v>0</v>
      </c>
      <c r="AK30" s="181">
        <v>0</v>
      </c>
      <c r="AL30" s="181">
        <v>0</v>
      </c>
      <c r="AM30" s="181">
        <v>0</v>
      </c>
      <c r="AN30" s="181">
        <v>0</v>
      </c>
      <c r="AO30" s="175">
        <f>SUM(Data_Dep.12[[#This Row],[KH_2601]:[KH_2612]])</f>
        <v>0</v>
      </c>
      <c r="AP30" s="175">
        <f>Data_Dep.12[[#This Row],[Giá trị còn lại 31/12/25]]+Data_Dep.12[[#This Row],[KH LK 2026]]</f>
        <v>0</v>
      </c>
    </row>
    <row r="31" spans="1:42" x14ac:dyDescent="0.3">
      <c r="A31" s="169"/>
      <c r="B31" s="169"/>
      <c r="C31" s="170" t="s">
        <v>337</v>
      </c>
      <c r="D31" s="169" t="str">
        <f>_xlfn.XLOOKUP(Data_Dep.12[[#This Row],[Nhóm tài sản]],MD_Account_Asset_Type[Nhóm tài sản],MD_Account_Asset_Type[Tên Nhóm tài sản])</f>
        <v>Máy móc, thiết bị phụ - SX 627</v>
      </c>
      <c r="E31" s="171" t="s">
        <v>946</v>
      </c>
      <c r="F31" s="170" t="s">
        <v>524</v>
      </c>
      <c r="G31" s="169" t="s">
        <v>830</v>
      </c>
      <c r="H31" s="170" t="s">
        <v>48</v>
      </c>
      <c r="I31" s="170" t="str">
        <f>_xlfn.XLOOKUP(Data_Dep.12[[#This Row],[Cost center]],MD_Cost_Center[Mã Cost Center],MD_Cost_Center[Tên Cost Center])</f>
        <v>Xưởng sản xuất PET</v>
      </c>
      <c r="J31" s="172">
        <f>_xlfn.XLOOKUP(Data_Dep.12[[#This Row],[Cost center]],MD_Cost_Center[Mã Cost Center],MD_Cost_Center[Work center],"Check")</f>
        <v>0</v>
      </c>
      <c r="K31" s="169" t="str">
        <f>_xlfn.XLOOKUP(Data_Dep.12[[#This Row],[Nhóm tài sản]],MD_Account_Asset_Type[Nhóm tài sản],MD_Account_Asset_Type[Tài khoản KH],"Check")</f>
        <v>6274001906</v>
      </c>
      <c r="L31" s="173">
        <v>44177</v>
      </c>
      <c r="M31" s="174">
        <f>EDATE(Data_Dep.12[[#This Row],[Ngày bắt đầu KH]],Data_Dep.12[[#This Row],[T/G Khấu hao]])</f>
        <v>46003</v>
      </c>
      <c r="N31" s="175">
        <v>60</v>
      </c>
      <c r="O31" s="175">
        <v>51000000</v>
      </c>
      <c r="P31" s="176">
        <v>-49300000</v>
      </c>
      <c r="Q31" s="175">
        <f>Data_Dep.12[[#This Row],[Nguyên giá]]+Data_Dep.12[[#This Row],[KH lũy kế]]</f>
        <v>1700000</v>
      </c>
      <c r="R31" s="177">
        <v>-850000</v>
      </c>
      <c r="S31" s="177">
        <v>-850000</v>
      </c>
      <c r="T31" s="177">
        <v>0</v>
      </c>
      <c r="U31" s="177">
        <f>SUM(Data_Dep.12[[#This Row],[KH_2510]:[KH_2512]])</f>
        <v>-1700000</v>
      </c>
      <c r="V31" s="175">
        <f>Data_Dep.12[[#This Row],[Nguyên giá]]+Data_Dep.12[[#This Row],[KH lũy kế]]+Data_Dep.12[[#This Row],[KH_Q4.25]]</f>
        <v>0</v>
      </c>
      <c r="W31" s="178">
        <f>ROUND(Data_Dep.12[[#This Row],[T/G Khấu hao]]-Data_Dep.12[[#This Row],[Giá trị còn lại 31/12/25]]/Data_Dep.12[[#This Row],[Nguyên giá]]*Data_Dep.12[[#This Row],[T/G Khấu hao]],0)</f>
        <v>60</v>
      </c>
      <c r="X31" s="179">
        <v>84</v>
      </c>
      <c r="Y31" s="175">
        <f>Data_Dep.12[[#This Row],[T/G Khấu hao]]+Data_Dep.12[[#This Row],[Điều chỉnh]]</f>
        <v>144</v>
      </c>
      <c r="Z31" s="180">
        <f>EDATE(Data_Dep.12[[#This Row],[Ngày bắt đầu KH]],Data_Dep.12[[#This Row],[T/G điều chỉnh]])</f>
        <v>48560</v>
      </c>
      <c r="AA31" s="175">
        <f>Data_Dep.12[[#This Row],[T/G điều chỉnh]]-Data_Dep.12[[#This Row],[Số kỳ đã khấu hao]]</f>
        <v>84</v>
      </c>
      <c r="AB31" s="175">
        <f>IFERROR(-Data_Dep.12[[#This Row],[Giá trị còn lại 31/12/25]]/(Data_Dep.12[[#This Row],[T/G điều chỉnh]]-Data_Dep.12[[#This Row],[Số kỳ đã khấu hao]]),0)</f>
        <v>0</v>
      </c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>
        <v>0</v>
      </c>
      <c r="AI31" s="181">
        <v>0</v>
      </c>
      <c r="AJ31" s="181">
        <v>0</v>
      </c>
      <c r="AK31" s="181">
        <v>0</v>
      </c>
      <c r="AL31" s="181">
        <v>0</v>
      </c>
      <c r="AM31" s="181">
        <v>0</v>
      </c>
      <c r="AN31" s="181">
        <v>0</v>
      </c>
      <c r="AO31" s="175">
        <f>SUM(Data_Dep.12[[#This Row],[KH_2601]:[KH_2612]])</f>
        <v>0</v>
      </c>
      <c r="AP31" s="175">
        <f>Data_Dep.12[[#This Row],[Giá trị còn lại 31/12/25]]+Data_Dep.12[[#This Row],[KH LK 2026]]</f>
        <v>0</v>
      </c>
    </row>
    <row r="32" spans="1:42" x14ac:dyDescent="0.3">
      <c r="A32" s="169"/>
      <c r="B32" s="169"/>
      <c r="C32" s="170" t="s">
        <v>337</v>
      </c>
      <c r="D32" s="169" t="str">
        <f>_xlfn.XLOOKUP(Data_Dep.12[[#This Row],[Nhóm tài sản]],MD_Account_Asset_Type[Nhóm tài sản],MD_Account_Asset_Type[Tên Nhóm tài sản])</f>
        <v>Máy móc, thiết bị phụ - SX 627</v>
      </c>
      <c r="E32" s="171" t="s">
        <v>947</v>
      </c>
      <c r="F32" s="170" t="s">
        <v>525</v>
      </c>
      <c r="G32" s="169" t="s">
        <v>830</v>
      </c>
      <c r="H32" s="170" t="s">
        <v>48</v>
      </c>
      <c r="I32" s="170" t="str">
        <f>_xlfn.XLOOKUP(Data_Dep.12[[#This Row],[Cost center]],MD_Cost_Center[Mã Cost Center],MD_Cost_Center[Tên Cost Center])</f>
        <v>Xưởng sản xuất PET</v>
      </c>
      <c r="J32" s="172">
        <f>_xlfn.XLOOKUP(Data_Dep.12[[#This Row],[Cost center]],MD_Cost_Center[Mã Cost Center],MD_Cost_Center[Work center],"Check")</f>
        <v>0</v>
      </c>
      <c r="K32" s="169" t="str">
        <f>_xlfn.XLOOKUP(Data_Dep.12[[#This Row],[Nhóm tài sản]],MD_Account_Asset_Type[Nhóm tài sản],MD_Account_Asset_Type[Tài khoản KH],"Check")</f>
        <v>6274001906</v>
      </c>
      <c r="L32" s="173">
        <v>44177</v>
      </c>
      <c r="M32" s="174">
        <f>EDATE(Data_Dep.12[[#This Row],[Ngày bắt đầu KH]],Data_Dep.12[[#This Row],[T/G Khấu hao]])</f>
        <v>46003</v>
      </c>
      <c r="N32" s="175">
        <v>60</v>
      </c>
      <c r="O32" s="175">
        <v>250000000</v>
      </c>
      <c r="P32" s="176">
        <v>-241666667</v>
      </c>
      <c r="Q32" s="175">
        <f>Data_Dep.12[[#This Row],[Nguyên giá]]+Data_Dep.12[[#This Row],[KH lũy kế]]</f>
        <v>8333333</v>
      </c>
      <c r="R32" s="177">
        <v>-4166666</v>
      </c>
      <c r="S32" s="177">
        <v>-4166667</v>
      </c>
      <c r="T32" s="177">
        <v>0</v>
      </c>
      <c r="U32" s="177">
        <f>SUM(Data_Dep.12[[#This Row],[KH_2510]:[KH_2512]])</f>
        <v>-8333333</v>
      </c>
      <c r="V32" s="175">
        <f>Data_Dep.12[[#This Row],[Nguyên giá]]+Data_Dep.12[[#This Row],[KH lũy kế]]+Data_Dep.12[[#This Row],[KH_Q4.25]]</f>
        <v>0</v>
      </c>
      <c r="W32" s="178">
        <f>ROUND(Data_Dep.12[[#This Row],[T/G Khấu hao]]-Data_Dep.12[[#This Row],[Giá trị còn lại 31/12/25]]/Data_Dep.12[[#This Row],[Nguyên giá]]*Data_Dep.12[[#This Row],[T/G Khấu hao]],0)</f>
        <v>60</v>
      </c>
      <c r="X32" s="179">
        <v>84</v>
      </c>
      <c r="Y32" s="175">
        <f>Data_Dep.12[[#This Row],[T/G Khấu hao]]+Data_Dep.12[[#This Row],[Điều chỉnh]]</f>
        <v>144</v>
      </c>
      <c r="Z32" s="180">
        <f>EDATE(Data_Dep.12[[#This Row],[Ngày bắt đầu KH]],Data_Dep.12[[#This Row],[T/G điều chỉnh]])</f>
        <v>48560</v>
      </c>
      <c r="AA32" s="175">
        <f>Data_Dep.12[[#This Row],[T/G điều chỉnh]]-Data_Dep.12[[#This Row],[Số kỳ đã khấu hao]]</f>
        <v>84</v>
      </c>
      <c r="AB32" s="175">
        <f>IFERROR(-Data_Dep.12[[#This Row],[Giá trị còn lại 31/12/25]]/(Data_Dep.12[[#This Row],[T/G điều chỉnh]]-Data_Dep.12[[#This Row],[Số kỳ đã khấu hao]]),0)</f>
        <v>0</v>
      </c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>
        <v>0</v>
      </c>
      <c r="AI32" s="181">
        <v>0</v>
      </c>
      <c r="AJ32" s="181">
        <v>0</v>
      </c>
      <c r="AK32" s="181">
        <v>0</v>
      </c>
      <c r="AL32" s="181">
        <v>0</v>
      </c>
      <c r="AM32" s="181">
        <v>0</v>
      </c>
      <c r="AN32" s="181">
        <v>0</v>
      </c>
      <c r="AO32" s="175">
        <f>SUM(Data_Dep.12[[#This Row],[KH_2601]:[KH_2612]])</f>
        <v>0</v>
      </c>
      <c r="AP32" s="175">
        <f>Data_Dep.12[[#This Row],[Giá trị còn lại 31/12/25]]+Data_Dep.12[[#This Row],[KH LK 2026]]</f>
        <v>0</v>
      </c>
    </row>
    <row r="33" spans="1:42" x14ac:dyDescent="0.3">
      <c r="A33" s="169"/>
      <c r="B33" s="169"/>
      <c r="C33" s="170" t="s">
        <v>337</v>
      </c>
      <c r="D33" s="169" t="str">
        <f>_xlfn.XLOOKUP(Data_Dep.12[[#This Row],[Nhóm tài sản]],MD_Account_Asset_Type[Nhóm tài sản],MD_Account_Asset_Type[Tên Nhóm tài sản])</f>
        <v>Máy móc, thiết bị phụ - SX 627</v>
      </c>
      <c r="E33" s="171" t="s">
        <v>948</v>
      </c>
      <c r="F33" s="170" t="s">
        <v>526</v>
      </c>
      <c r="G33" s="169" t="s">
        <v>830</v>
      </c>
      <c r="H33" s="170" t="s">
        <v>48</v>
      </c>
      <c r="I33" s="170" t="str">
        <f>_xlfn.XLOOKUP(Data_Dep.12[[#This Row],[Cost center]],MD_Cost_Center[Mã Cost Center],MD_Cost_Center[Tên Cost Center])</f>
        <v>Xưởng sản xuất PET</v>
      </c>
      <c r="J33" s="172">
        <f>_xlfn.XLOOKUP(Data_Dep.12[[#This Row],[Cost center]],MD_Cost_Center[Mã Cost Center],MD_Cost_Center[Work center],"Check")</f>
        <v>0</v>
      </c>
      <c r="K33" s="169" t="str">
        <f>_xlfn.XLOOKUP(Data_Dep.12[[#This Row],[Nhóm tài sản]],MD_Account_Asset_Type[Nhóm tài sản],MD_Account_Asset_Type[Tài khoản KH],"Check")</f>
        <v>6274001906</v>
      </c>
      <c r="L33" s="173">
        <v>44177</v>
      </c>
      <c r="M33" s="174">
        <f>EDATE(Data_Dep.12[[#This Row],[Ngày bắt đầu KH]],Data_Dep.12[[#This Row],[T/G Khấu hao]])</f>
        <v>46003</v>
      </c>
      <c r="N33" s="175">
        <v>60</v>
      </c>
      <c r="O33" s="175">
        <v>28000000</v>
      </c>
      <c r="P33" s="176">
        <v>-27066667</v>
      </c>
      <c r="Q33" s="175">
        <f>Data_Dep.12[[#This Row],[Nguyên giá]]+Data_Dep.12[[#This Row],[KH lũy kế]]</f>
        <v>933333</v>
      </c>
      <c r="R33" s="177">
        <v>-466666</v>
      </c>
      <c r="S33" s="177">
        <v>-466667</v>
      </c>
      <c r="T33" s="177">
        <v>0</v>
      </c>
      <c r="U33" s="177">
        <f>SUM(Data_Dep.12[[#This Row],[KH_2510]:[KH_2512]])</f>
        <v>-933333</v>
      </c>
      <c r="V33" s="175">
        <f>Data_Dep.12[[#This Row],[Nguyên giá]]+Data_Dep.12[[#This Row],[KH lũy kế]]+Data_Dep.12[[#This Row],[KH_Q4.25]]</f>
        <v>0</v>
      </c>
      <c r="W33" s="178">
        <f>ROUND(Data_Dep.12[[#This Row],[T/G Khấu hao]]-Data_Dep.12[[#This Row],[Giá trị còn lại 31/12/25]]/Data_Dep.12[[#This Row],[Nguyên giá]]*Data_Dep.12[[#This Row],[T/G Khấu hao]],0)</f>
        <v>60</v>
      </c>
      <c r="X33" s="179">
        <v>84</v>
      </c>
      <c r="Y33" s="175">
        <f>Data_Dep.12[[#This Row],[T/G Khấu hao]]+Data_Dep.12[[#This Row],[Điều chỉnh]]</f>
        <v>144</v>
      </c>
      <c r="Z33" s="180">
        <f>EDATE(Data_Dep.12[[#This Row],[Ngày bắt đầu KH]],Data_Dep.12[[#This Row],[T/G điều chỉnh]])</f>
        <v>48560</v>
      </c>
      <c r="AA33" s="175">
        <f>Data_Dep.12[[#This Row],[T/G điều chỉnh]]-Data_Dep.12[[#This Row],[Số kỳ đã khấu hao]]</f>
        <v>84</v>
      </c>
      <c r="AB33" s="175">
        <f>IFERROR(-Data_Dep.12[[#This Row],[Giá trị còn lại 31/12/25]]/(Data_Dep.12[[#This Row],[T/G điều chỉnh]]-Data_Dep.12[[#This Row],[Số kỳ đã khấu hao]]),0)</f>
        <v>0</v>
      </c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>
        <v>0</v>
      </c>
      <c r="AI33" s="181">
        <v>0</v>
      </c>
      <c r="AJ33" s="181">
        <v>0</v>
      </c>
      <c r="AK33" s="181">
        <v>0</v>
      </c>
      <c r="AL33" s="181">
        <v>0</v>
      </c>
      <c r="AM33" s="181">
        <v>0</v>
      </c>
      <c r="AN33" s="181">
        <v>0</v>
      </c>
      <c r="AO33" s="175">
        <f>SUM(Data_Dep.12[[#This Row],[KH_2601]:[KH_2612]])</f>
        <v>0</v>
      </c>
      <c r="AP33" s="175">
        <f>Data_Dep.12[[#This Row],[Giá trị còn lại 31/12/25]]+Data_Dep.12[[#This Row],[KH LK 2026]]</f>
        <v>0</v>
      </c>
    </row>
    <row r="34" spans="1:42" x14ac:dyDescent="0.3">
      <c r="A34" s="169"/>
      <c r="B34" s="169"/>
      <c r="C34" s="170" t="s">
        <v>337</v>
      </c>
      <c r="D34" s="169" t="str">
        <f>_xlfn.XLOOKUP(Data_Dep.12[[#This Row],[Nhóm tài sản]],MD_Account_Asset_Type[Nhóm tài sản],MD_Account_Asset_Type[Tên Nhóm tài sản])</f>
        <v>Máy móc, thiết bị phụ - SX 627</v>
      </c>
      <c r="E34" s="171" t="s">
        <v>949</v>
      </c>
      <c r="F34" s="170" t="s">
        <v>527</v>
      </c>
      <c r="G34" s="169" t="s">
        <v>830</v>
      </c>
      <c r="H34" s="170" t="s">
        <v>52</v>
      </c>
      <c r="I34" s="170" t="str">
        <f>_xlfn.XLOOKUP(Data_Dep.12[[#This Row],[Cost center]],MD_Cost_Center[Mã Cost Center],MD_Cost_Center[Tên Cost Center])</f>
        <v>Máy tạo hạt PET HTL+máy kết tinh TKN</v>
      </c>
      <c r="J34" s="172" t="str">
        <f>_xlfn.XLOOKUP(Data_Dep.12[[#This Row],[Cost center]],MD_Cost_Center[Mã Cost Center],MD_Cost_Center[Work center],"Check")</f>
        <v>OSAK-01</v>
      </c>
      <c r="K34" s="169" t="str">
        <f>_xlfn.XLOOKUP(Data_Dep.12[[#This Row],[Nhóm tài sản]],MD_Account_Asset_Type[Nhóm tài sản],MD_Account_Asset_Type[Tài khoản KH],"Check")</f>
        <v>6274001906</v>
      </c>
      <c r="L34" s="173">
        <v>44189</v>
      </c>
      <c r="M34" s="174">
        <f>EDATE(Data_Dep.12[[#This Row],[Ngày bắt đầu KH]],Data_Dep.12[[#This Row],[T/G Khấu hao]])</f>
        <v>46015</v>
      </c>
      <c r="N34" s="175">
        <v>60</v>
      </c>
      <c r="O34" s="175">
        <v>365324800</v>
      </c>
      <c r="P34" s="176">
        <v>-353147307</v>
      </c>
      <c r="Q34" s="175">
        <f>Data_Dep.12[[#This Row],[Nguyên giá]]+Data_Dep.12[[#This Row],[KH lũy kế]]</f>
        <v>12177493</v>
      </c>
      <c r="R34" s="177">
        <v>-6088746</v>
      </c>
      <c r="S34" s="177">
        <v>-6088747</v>
      </c>
      <c r="T34" s="177">
        <v>0</v>
      </c>
      <c r="U34" s="177">
        <f>SUM(Data_Dep.12[[#This Row],[KH_2510]:[KH_2512]])</f>
        <v>-12177493</v>
      </c>
      <c r="V34" s="175">
        <f>Data_Dep.12[[#This Row],[Nguyên giá]]+Data_Dep.12[[#This Row],[KH lũy kế]]+Data_Dep.12[[#This Row],[KH_Q4.25]]</f>
        <v>0</v>
      </c>
      <c r="W34" s="178">
        <f>ROUND(Data_Dep.12[[#This Row],[T/G Khấu hao]]-Data_Dep.12[[#This Row],[Giá trị còn lại 31/12/25]]/Data_Dep.12[[#This Row],[Nguyên giá]]*Data_Dep.12[[#This Row],[T/G Khấu hao]],0)</f>
        <v>60</v>
      </c>
      <c r="X34" s="179">
        <v>84</v>
      </c>
      <c r="Y34" s="175">
        <f>Data_Dep.12[[#This Row],[T/G Khấu hao]]+Data_Dep.12[[#This Row],[Điều chỉnh]]</f>
        <v>144</v>
      </c>
      <c r="Z34" s="180">
        <f>EDATE(Data_Dep.12[[#This Row],[Ngày bắt đầu KH]],Data_Dep.12[[#This Row],[T/G điều chỉnh]])</f>
        <v>48572</v>
      </c>
      <c r="AA34" s="175">
        <f>Data_Dep.12[[#This Row],[T/G điều chỉnh]]-Data_Dep.12[[#This Row],[Số kỳ đã khấu hao]]</f>
        <v>84</v>
      </c>
      <c r="AB34" s="175">
        <f>IFERROR(-Data_Dep.12[[#This Row],[Giá trị còn lại 31/12/25]]/(Data_Dep.12[[#This Row],[T/G điều chỉnh]]-Data_Dep.12[[#This Row],[Số kỳ đã khấu hao]]),0)</f>
        <v>0</v>
      </c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>
        <v>0</v>
      </c>
      <c r="AI34" s="181">
        <v>0</v>
      </c>
      <c r="AJ34" s="181">
        <v>0</v>
      </c>
      <c r="AK34" s="181">
        <v>0</v>
      </c>
      <c r="AL34" s="181">
        <v>0</v>
      </c>
      <c r="AM34" s="181">
        <v>0</v>
      </c>
      <c r="AN34" s="181">
        <v>0</v>
      </c>
      <c r="AO34" s="175">
        <f>SUM(Data_Dep.12[[#This Row],[KH_2601]:[KH_2612]])</f>
        <v>0</v>
      </c>
      <c r="AP34" s="175">
        <f>Data_Dep.12[[#This Row],[Giá trị còn lại 31/12/25]]+Data_Dep.12[[#This Row],[KH LK 2026]]</f>
        <v>0</v>
      </c>
    </row>
    <row r="35" spans="1:42" x14ac:dyDescent="0.3">
      <c r="A35" s="169"/>
      <c r="B35" s="169"/>
      <c r="C35" s="170" t="s">
        <v>337</v>
      </c>
      <c r="D35" s="169" t="str">
        <f>_xlfn.XLOOKUP(Data_Dep.12[[#This Row],[Nhóm tài sản]],MD_Account_Asset_Type[Nhóm tài sản],MD_Account_Asset_Type[Tên Nhóm tài sản])</f>
        <v>Máy móc, thiết bị phụ - SX 627</v>
      </c>
      <c r="E35" s="171" t="s">
        <v>950</v>
      </c>
      <c r="F35" s="170" t="s">
        <v>528</v>
      </c>
      <c r="G35" s="169" t="s">
        <v>830</v>
      </c>
      <c r="H35" s="170" t="s">
        <v>52</v>
      </c>
      <c r="I35" s="170" t="str">
        <f>_xlfn.XLOOKUP(Data_Dep.12[[#This Row],[Cost center]],MD_Cost_Center[Mã Cost Center],MD_Cost_Center[Tên Cost Center])</f>
        <v>Máy tạo hạt PET HTL+máy kết tinh TKN</v>
      </c>
      <c r="J35" s="172" t="str">
        <f>_xlfn.XLOOKUP(Data_Dep.12[[#This Row],[Cost center]],MD_Cost_Center[Mã Cost Center],MD_Cost_Center[Work center],"Check")</f>
        <v>OSAK-01</v>
      </c>
      <c r="K35" s="169" t="str">
        <f>_xlfn.XLOOKUP(Data_Dep.12[[#This Row],[Nhóm tài sản]],MD_Account_Asset_Type[Nhóm tài sản],MD_Account_Asset_Type[Tài khoản KH],"Check")</f>
        <v>6274001906</v>
      </c>
      <c r="L35" s="173">
        <v>44198</v>
      </c>
      <c r="M35" s="174">
        <f>EDATE(Data_Dep.12[[#This Row],[Ngày bắt đầu KH]],Data_Dep.12[[#This Row],[T/G Khấu hao]])</f>
        <v>46024</v>
      </c>
      <c r="N35" s="175">
        <v>60</v>
      </c>
      <c r="O35" s="175">
        <v>125658000</v>
      </c>
      <c r="P35" s="176">
        <v>-119375100</v>
      </c>
      <c r="Q35" s="175">
        <f>Data_Dep.12[[#This Row],[Nguyên giá]]+Data_Dep.12[[#This Row],[KH lũy kế]]</f>
        <v>6282900</v>
      </c>
      <c r="R35" s="177">
        <v>-2094300</v>
      </c>
      <c r="S35" s="177">
        <v>-2094300</v>
      </c>
      <c r="T35" s="177">
        <v>-2094300</v>
      </c>
      <c r="U35" s="177">
        <f>SUM(Data_Dep.12[[#This Row],[KH_2510]:[KH_2512]])</f>
        <v>-6282900</v>
      </c>
      <c r="V35" s="175">
        <f>Data_Dep.12[[#This Row],[Nguyên giá]]+Data_Dep.12[[#This Row],[KH lũy kế]]+Data_Dep.12[[#This Row],[KH_Q4.25]]</f>
        <v>0</v>
      </c>
      <c r="W35" s="178">
        <f>ROUND(Data_Dep.12[[#This Row],[T/G Khấu hao]]-Data_Dep.12[[#This Row],[Giá trị còn lại 31/12/25]]/Data_Dep.12[[#This Row],[Nguyên giá]]*Data_Dep.12[[#This Row],[T/G Khấu hao]],0)</f>
        <v>60</v>
      </c>
      <c r="X35" s="179">
        <v>84</v>
      </c>
      <c r="Y35" s="175">
        <f>Data_Dep.12[[#This Row],[T/G Khấu hao]]+Data_Dep.12[[#This Row],[Điều chỉnh]]</f>
        <v>144</v>
      </c>
      <c r="Z35" s="180">
        <f>EDATE(Data_Dep.12[[#This Row],[Ngày bắt đầu KH]],Data_Dep.12[[#This Row],[T/G điều chỉnh]])</f>
        <v>48581</v>
      </c>
      <c r="AA35" s="175">
        <f>Data_Dep.12[[#This Row],[T/G điều chỉnh]]-Data_Dep.12[[#This Row],[Số kỳ đã khấu hao]]</f>
        <v>84</v>
      </c>
      <c r="AB35" s="175">
        <f>IFERROR(-Data_Dep.12[[#This Row],[Giá trị còn lại 31/12/25]]/(Data_Dep.12[[#This Row],[T/G điều chỉnh]]-Data_Dep.12[[#This Row],[Số kỳ đã khấu hao]]),0)</f>
        <v>0</v>
      </c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>
        <v>0</v>
      </c>
      <c r="AI35" s="181">
        <v>0</v>
      </c>
      <c r="AJ35" s="181">
        <v>0</v>
      </c>
      <c r="AK35" s="181">
        <v>0</v>
      </c>
      <c r="AL35" s="181">
        <v>0</v>
      </c>
      <c r="AM35" s="181">
        <v>0</v>
      </c>
      <c r="AN35" s="181">
        <v>0</v>
      </c>
      <c r="AO35" s="175">
        <f>SUM(Data_Dep.12[[#This Row],[KH_2601]:[KH_2612]])</f>
        <v>0</v>
      </c>
      <c r="AP35" s="175">
        <f>Data_Dep.12[[#This Row],[Giá trị còn lại 31/12/25]]+Data_Dep.12[[#This Row],[KH LK 2026]]</f>
        <v>0</v>
      </c>
    </row>
    <row r="36" spans="1:42" x14ac:dyDescent="0.3">
      <c r="A36" s="169"/>
      <c r="B36" s="169"/>
      <c r="C36" s="170" t="s">
        <v>337</v>
      </c>
      <c r="D36" s="169" t="str">
        <f>_xlfn.XLOOKUP(Data_Dep.12[[#This Row],[Nhóm tài sản]],MD_Account_Asset_Type[Nhóm tài sản],MD_Account_Asset_Type[Tên Nhóm tài sản])</f>
        <v>Máy móc, thiết bị phụ - SX 627</v>
      </c>
      <c r="E36" s="171" t="s">
        <v>951</v>
      </c>
      <c r="F36" s="170" t="s">
        <v>529</v>
      </c>
      <c r="G36" s="169" t="s">
        <v>830</v>
      </c>
      <c r="H36" s="170" t="s">
        <v>52</v>
      </c>
      <c r="I36" s="170" t="str">
        <f>_xlfn.XLOOKUP(Data_Dep.12[[#This Row],[Cost center]],MD_Cost_Center[Mã Cost Center],MD_Cost_Center[Tên Cost Center])</f>
        <v>Máy tạo hạt PET HTL+máy kết tinh TKN</v>
      </c>
      <c r="J36" s="172" t="str">
        <f>_xlfn.XLOOKUP(Data_Dep.12[[#This Row],[Cost center]],MD_Cost_Center[Mã Cost Center],MD_Cost_Center[Work center],"Check")</f>
        <v>OSAK-01</v>
      </c>
      <c r="K36" s="169" t="str">
        <f>_xlfn.XLOOKUP(Data_Dep.12[[#This Row],[Nhóm tài sản]],MD_Account_Asset_Type[Nhóm tài sản],MD_Account_Asset_Type[Tài khoản KH],"Check")</f>
        <v>6274001906</v>
      </c>
      <c r="L36" s="173">
        <v>44198</v>
      </c>
      <c r="M36" s="174">
        <f>EDATE(Data_Dep.12[[#This Row],[Ngày bắt đầu KH]],Data_Dep.12[[#This Row],[T/G Khấu hao]])</f>
        <v>46024</v>
      </c>
      <c r="N36" s="175">
        <v>60</v>
      </c>
      <c r="O36" s="175">
        <v>130079300</v>
      </c>
      <c r="P36" s="176">
        <v>-123575335</v>
      </c>
      <c r="Q36" s="175">
        <f>Data_Dep.12[[#This Row],[Nguyên giá]]+Data_Dep.12[[#This Row],[KH lũy kế]]</f>
        <v>6503965</v>
      </c>
      <c r="R36" s="177">
        <v>-2167988</v>
      </c>
      <c r="S36" s="177">
        <v>-2167989</v>
      </c>
      <c r="T36" s="177">
        <v>-2167988</v>
      </c>
      <c r="U36" s="177">
        <f>SUM(Data_Dep.12[[#This Row],[KH_2510]:[KH_2512]])</f>
        <v>-6503965</v>
      </c>
      <c r="V36" s="175">
        <f>Data_Dep.12[[#This Row],[Nguyên giá]]+Data_Dep.12[[#This Row],[KH lũy kế]]+Data_Dep.12[[#This Row],[KH_Q4.25]]</f>
        <v>0</v>
      </c>
      <c r="W36" s="178">
        <f>ROUND(Data_Dep.12[[#This Row],[T/G Khấu hao]]-Data_Dep.12[[#This Row],[Giá trị còn lại 31/12/25]]/Data_Dep.12[[#This Row],[Nguyên giá]]*Data_Dep.12[[#This Row],[T/G Khấu hao]],0)</f>
        <v>60</v>
      </c>
      <c r="X36" s="179">
        <v>84</v>
      </c>
      <c r="Y36" s="175">
        <f>Data_Dep.12[[#This Row],[T/G Khấu hao]]+Data_Dep.12[[#This Row],[Điều chỉnh]]</f>
        <v>144</v>
      </c>
      <c r="Z36" s="180">
        <f>EDATE(Data_Dep.12[[#This Row],[Ngày bắt đầu KH]],Data_Dep.12[[#This Row],[T/G điều chỉnh]])</f>
        <v>48581</v>
      </c>
      <c r="AA36" s="175">
        <f>Data_Dep.12[[#This Row],[T/G điều chỉnh]]-Data_Dep.12[[#This Row],[Số kỳ đã khấu hao]]</f>
        <v>84</v>
      </c>
      <c r="AB36" s="175">
        <f>IFERROR(-Data_Dep.12[[#This Row],[Giá trị còn lại 31/12/25]]/(Data_Dep.12[[#This Row],[T/G điều chỉnh]]-Data_Dep.12[[#This Row],[Số kỳ đã khấu hao]]),0)</f>
        <v>0</v>
      </c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>
        <v>0</v>
      </c>
      <c r="AI36" s="181">
        <v>0</v>
      </c>
      <c r="AJ36" s="181">
        <v>0</v>
      </c>
      <c r="AK36" s="181">
        <v>0</v>
      </c>
      <c r="AL36" s="181">
        <v>0</v>
      </c>
      <c r="AM36" s="181">
        <v>0</v>
      </c>
      <c r="AN36" s="181">
        <v>0</v>
      </c>
      <c r="AO36" s="175">
        <f>SUM(Data_Dep.12[[#This Row],[KH_2601]:[KH_2612]])</f>
        <v>0</v>
      </c>
      <c r="AP36" s="175">
        <f>Data_Dep.12[[#This Row],[Giá trị còn lại 31/12/25]]+Data_Dep.12[[#This Row],[KH LK 2026]]</f>
        <v>0</v>
      </c>
    </row>
    <row r="37" spans="1:42" x14ac:dyDescent="0.3">
      <c r="A37" s="169"/>
      <c r="B37" s="169"/>
      <c r="C37" s="170" t="s">
        <v>337</v>
      </c>
      <c r="D37" s="169" t="str">
        <f>_xlfn.XLOOKUP(Data_Dep.12[[#This Row],[Nhóm tài sản]],MD_Account_Asset_Type[Nhóm tài sản],MD_Account_Asset_Type[Tên Nhóm tài sản])</f>
        <v>Máy móc, thiết bị phụ - SX 627</v>
      </c>
      <c r="E37" s="171" t="s">
        <v>952</v>
      </c>
      <c r="F37" s="170" t="s">
        <v>530</v>
      </c>
      <c r="G37" s="169" t="s">
        <v>830</v>
      </c>
      <c r="H37" s="170" t="s">
        <v>52</v>
      </c>
      <c r="I37" s="170" t="str">
        <f>_xlfn.XLOOKUP(Data_Dep.12[[#This Row],[Cost center]],MD_Cost_Center[Mã Cost Center],MD_Cost_Center[Tên Cost Center])</f>
        <v>Máy tạo hạt PET HTL+máy kết tinh TKN</v>
      </c>
      <c r="J37" s="172" t="str">
        <f>_xlfn.XLOOKUP(Data_Dep.12[[#This Row],[Cost center]],MD_Cost_Center[Mã Cost Center],MD_Cost_Center[Work center],"Check")</f>
        <v>OSAK-01</v>
      </c>
      <c r="K37" s="169" t="str">
        <f>_xlfn.XLOOKUP(Data_Dep.12[[#This Row],[Nhóm tài sản]],MD_Account_Asset_Type[Nhóm tài sản],MD_Account_Asset_Type[Tài khoản KH],"Check")</f>
        <v>6274001906</v>
      </c>
      <c r="L37" s="173">
        <v>44228</v>
      </c>
      <c r="M37" s="174">
        <f>EDATE(Data_Dep.12[[#This Row],[Ngày bắt đầu KH]],Data_Dep.12[[#This Row],[T/G Khấu hao]])</f>
        <v>46054</v>
      </c>
      <c r="N37" s="175">
        <v>60</v>
      </c>
      <c r="O37" s="175">
        <v>146100000</v>
      </c>
      <c r="P37" s="176">
        <v>-136360000</v>
      </c>
      <c r="Q37" s="175">
        <f>Data_Dep.12[[#This Row],[Nguyên giá]]+Data_Dep.12[[#This Row],[KH lũy kế]]</f>
        <v>9740000</v>
      </c>
      <c r="R37" s="177">
        <v>-2435000</v>
      </c>
      <c r="S37" s="177">
        <v>-2435000</v>
      </c>
      <c r="T37" s="177">
        <v>-2435000</v>
      </c>
      <c r="U37" s="177">
        <f>SUM(Data_Dep.12[[#This Row],[KH_2510]:[KH_2512]])</f>
        <v>-7305000</v>
      </c>
      <c r="V37" s="175">
        <f>Data_Dep.12[[#This Row],[Nguyên giá]]+Data_Dep.12[[#This Row],[KH lũy kế]]+Data_Dep.12[[#This Row],[KH_Q4.25]]</f>
        <v>2435000</v>
      </c>
      <c r="W37" s="178">
        <f>ROUND(Data_Dep.12[[#This Row],[T/G Khấu hao]]-Data_Dep.12[[#This Row],[Giá trị còn lại 31/12/25]]/Data_Dep.12[[#This Row],[Nguyên giá]]*Data_Dep.12[[#This Row],[T/G Khấu hao]],0)</f>
        <v>59</v>
      </c>
      <c r="X37" s="179">
        <v>84</v>
      </c>
      <c r="Y37" s="175">
        <f>Data_Dep.12[[#This Row],[T/G Khấu hao]]+Data_Dep.12[[#This Row],[Điều chỉnh]]</f>
        <v>144</v>
      </c>
      <c r="Z37" s="180">
        <f>EDATE(Data_Dep.12[[#This Row],[Ngày bắt đầu KH]],Data_Dep.12[[#This Row],[T/G điều chỉnh]])</f>
        <v>48611</v>
      </c>
      <c r="AA37" s="175">
        <f>Data_Dep.12[[#This Row],[T/G điều chỉnh]]-Data_Dep.12[[#This Row],[Số kỳ đã khấu hao]]</f>
        <v>85</v>
      </c>
      <c r="AB37" s="175">
        <f>IFERROR(-Data_Dep.12[[#This Row],[Giá trị còn lại 31/12/25]]/(Data_Dep.12[[#This Row],[T/G điều chỉnh]]-Data_Dep.12[[#This Row],[Số kỳ đã khấu hao]]),0)</f>
        <v>-28647.058823529413</v>
      </c>
      <c r="AC37" s="181">
        <v>-28647.058823529413</v>
      </c>
      <c r="AD37" s="181">
        <v>-28647.058823529413</v>
      </c>
      <c r="AE37" s="181">
        <v>-28647.058823529413</v>
      </c>
      <c r="AF37" s="181">
        <v>-28647.058823529413</v>
      </c>
      <c r="AG37" s="181">
        <v>-28647.058823529413</v>
      </c>
      <c r="AH37" s="181">
        <v>-28647.058823529413</v>
      </c>
      <c r="AI37" s="181">
        <v>-28647.058823529413</v>
      </c>
      <c r="AJ37" s="181">
        <v>-28647.058823529413</v>
      </c>
      <c r="AK37" s="181">
        <v>-28647.058823529413</v>
      </c>
      <c r="AL37" s="181">
        <v>-28647.058823529413</v>
      </c>
      <c r="AM37" s="181">
        <v>-28647.058823529413</v>
      </c>
      <c r="AN37" s="181">
        <v>-28647.058823529413</v>
      </c>
      <c r="AO37" s="175">
        <f>SUM(Data_Dep.12[[#This Row],[KH_2601]:[KH_2612]])</f>
        <v>-343764.70588235284</v>
      </c>
      <c r="AP37" s="175">
        <f>Data_Dep.12[[#This Row],[Giá trị còn lại 31/12/25]]+Data_Dep.12[[#This Row],[KH LK 2026]]</f>
        <v>2091235.2941176472</v>
      </c>
    </row>
    <row r="38" spans="1:42" x14ac:dyDescent="0.3">
      <c r="A38" s="169"/>
      <c r="B38" s="169"/>
      <c r="C38" s="170" t="s">
        <v>337</v>
      </c>
      <c r="D38" s="169" t="str">
        <f>_xlfn.XLOOKUP(Data_Dep.12[[#This Row],[Nhóm tài sản]],MD_Account_Asset_Type[Nhóm tài sản],MD_Account_Asset_Type[Tên Nhóm tài sản])</f>
        <v>Máy móc, thiết bị phụ - SX 627</v>
      </c>
      <c r="E38" s="171" t="s">
        <v>955</v>
      </c>
      <c r="F38" s="170" t="s">
        <v>531</v>
      </c>
      <c r="G38" s="169" t="s">
        <v>830</v>
      </c>
      <c r="H38" s="170" t="s">
        <v>48</v>
      </c>
      <c r="I38" s="170" t="str">
        <f>_xlfn.XLOOKUP(Data_Dep.12[[#This Row],[Cost center]],MD_Cost_Center[Mã Cost Center],MD_Cost_Center[Tên Cost Center])</f>
        <v>Xưởng sản xuất PET</v>
      </c>
      <c r="J38" s="172">
        <f>_xlfn.XLOOKUP(Data_Dep.12[[#This Row],[Cost center]],MD_Cost_Center[Mã Cost Center],MD_Cost_Center[Work center],"Check")</f>
        <v>0</v>
      </c>
      <c r="K38" s="169" t="str">
        <f>_xlfn.XLOOKUP(Data_Dep.12[[#This Row],[Nhóm tài sản]],MD_Account_Asset_Type[Nhóm tài sản],MD_Account_Asset_Type[Tài khoản KH],"Check")</f>
        <v>6274001906</v>
      </c>
      <c r="L38" s="173">
        <v>44378</v>
      </c>
      <c r="M38" s="174">
        <f>EDATE(Data_Dep.12[[#This Row],[Ngày bắt đầu KH]],Data_Dep.12[[#This Row],[T/G Khấu hao]])</f>
        <v>46204</v>
      </c>
      <c r="N38" s="175">
        <v>60</v>
      </c>
      <c r="O38" s="175">
        <v>433134526</v>
      </c>
      <c r="P38" s="176">
        <v>-368164347</v>
      </c>
      <c r="Q38" s="175">
        <f>Data_Dep.12[[#This Row],[Nguyên giá]]+Data_Dep.12[[#This Row],[KH lũy kế]]</f>
        <v>64970179</v>
      </c>
      <c r="R38" s="177">
        <v>-7218909</v>
      </c>
      <c r="S38" s="177">
        <v>-7218909</v>
      </c>
      <c r="T38" s="177">
        <v>-7218908</v>
      </c>
      <c r="U38" s="177">
        <f>SUM(Data_Dep.12[[#This Row],[KH_2510]:[KH_2512]])</f>
        <v>-21656726</v>
      </c>
      <c r="V38" s="175">
        <f>Data_Dep.12[[#This Row],[Nguyên giá]]+Data_Dep.12[[#This Row],[KH lũy kế]]+Data_Dep.12[[#This Row],[KH_Q4.25]]</f>
        <v>43313453</v>
      </c>
      <c r="W38" s="178">
        <f>ROUND(Data_Dep.12[[#This Row],[T/G Khấu hao]]-Data_Dep.12[[#This Row],[Giá trị còn lại 31/12/25]]/Data_Dep.12[[#This Row],[Nguyên giá]]*Data_Dep.12[[#This Row],[T/G Khấu hao]],0)</f>
        <v>54</v>
      </c>
      <c r="X38" s="179">
        <v>84</v>
      </c>
      <c r="Y38" s="175">
        <f>Data_Dep.12[[#This Row],[T/G Khấu hao]]+Data_Dep.12[[#This Row],[Điều chỉnh]]</f>
        <v>144</v>
      </c>
      <c r="Z38" s="180">
        <f>EDATE(Data_Dep.12[[#This Row],[Ngày bắt đầu KH]],Data_Dep.12[[#This Row],[T/G điều chỉnh]])</f>
        <v>48761</v>
      </c>
      <c r="AA38" s="175">
        <f>Data_Dep.12[[#This Row],[T/G điều chỉnh]]-Data_Dep.12[[#This Row],[Số kỳ đã khấu hao]]</f>
        <v>90</v>
      </c>
      <c r="AB38" s="175">
        <f>IFERROR(-Data_Dep.12[[#This Row],[Giá trị còn lại 31/12/25]]/(Data_Dep.12[[#This Row],[T/G điều chỉnh]]-Data_Dep.12[[#This Row],[Số kỳ đã khấu hao]]),0)</f>
        <v>-481260.58888888889</v>
      </c>
      <c r="AC38" s="181">
        <v>-481260.58888888889</v>
      </c>
      <c r="AD38" s="181">
        <v>-481260.58888888889</v>
      </c>
      <c r="AE38" s="181">
        <v>-481260.58888888889</v>
      </c>
      <c r="AF38" s="181">
        <v>-481260.58888888889</v>
      </c>
      <c r="AG38" s="181">
        <v>-481260.58888888889</v>
      </c>
      <c r="AH38" s="181">
        <v>-481260.58888888889</v>
      </c>
      <c r="AI38" s="181">
        <v>-481260.58888888889</v>
      </c>
      <c r="AJ38" s="181">
        <v>-481260.58888888889</v>
      </c>
      <c r="AK38" s="181">
        <v>-481260.58888888889</v>
      </c>
      <c r="AL38" s="181">
        <v>-481260.58888888889</v>
      </c>
      <c r="AM38" s="181">
        <v>-481260.58888888889</v>
      </c>
      <c r="AN38" s="181">
        <v>-481260.58888888889</v>
      </c>
      <c r="AO38" s="175">
        <f>SUM(Data_Dep.12[[#This Row],[KH_2601]:[KH_2612]])</f>
        <v>-5775127.0666666673</v>
      </c>
      <c r="AP38" s="175">
        <f>Data_Dep.12[[#This Row],[Giá trị còn lại 31/12/25]]+Data_Dep.12[[#This Row],[KH LK 2026]]</f>
        <v>37538325.93333333</v>
      </c>
    </row>
    <row r="39" spans="1:42" x14ac:dyDescent="0.3">
      <c r="A39" s="169"/>
      <c r="B39" s="169"/>
      <c r="C39" s="170" t="s">
        <v>337</v>
      </c>
      <c r="D39" s="169" t="str">
        <f>_xlfn.XLOOKUP(Data_Dep.12[[#This Row],[Nhóm tài sản]],MD_Account_Asset_Type[Nhóm tài sản],MD_Account_Asset_Type[Tên Nhóm tài sản])</f>
        <v>Máy móc, thiết bị phụ - SX 627</v>
      </c>
      <c r="E39" s="171" t="s">
        <v>956</v>
      </c>
      <c r="F39" s="170" t="s">
        <v>532</v>
      </c>
      <c r="G39" s="169" t="s">
        <v>850</v>
      </c>
      <c r="H39" s="170" t="s">
        <v>51</v>
      </c>
      <c r="I39" s="170" t="str">
        <f>_xlfn.XLOOKUP(Data_Dep.12[[#This Row],[Cost center]],MD_Cost_Center[Mã Cost Center],MD_Cost_Center[Tên Cost Center])</f>
        <v>Chuyền máy tạo vảy PET CW+Tomra</v>
      </c>
      <c r="J39" s="172" t="str">
        <f>_xlfn.XLOOKUP(Data_Dep.12[[#This Row],[Cost center]],MD_Cost_Center[Mã Cost Center],MD_Cost_Center[Work center],"Check")</f>
        <v>CHWO-R01</v>
      </c>
      <c r="K39" s="169" t="str">
        <f>_xlfn.XLOOKUP(Data_Dep.12[[#This Row],[Nhóm tài sản]],MD_Account_Asset_Type[Nhóm tài sản],MD_Account_Asset_Type[Tài khoản KH],"Check")</f>
        <v>6274001906</v>
      </c>
      <c r="L39" s="173">
        <v>44417</v>
      </c>
      <c r="M39" s="174">
        <f>EDATE(Data_Dep.12[[#This Row],[Ngày bắt đầu KH]],Data_Dep.12[[#This Row],[T/G Khấu hao]])</f>
        <v>48069</v>
      </c>
      <c r="N39" s="175">
        <v>120</v>
      </c>
      <c r="O39" s="175">
        <v>350000000</v>
      </c>
      <c r="P39" s="176">
        <v>-145833333</v>
      </c>
      <c r="Q39" s="175">
        <f>Data_Dep.12[[#This Row],[Nguyên giá]]+Data_Dep.12[[#This Row],[KH lũy kế]]</f>
        <v>204166667</v>
      </c>
      <c r="R39" s="177">
        <v>-2916667</v>
      </c>
      <c r="S39" s="177">
        <v>-2916666</v>
      </c>
      <c r="T39" s="177">
        <v>-2916667</v>
      </c>
      <c r="U39" s="177">
        <f>SUM(Data_Dep.12[[#This Row],[KH_2510]:[KH_2512]])</f>
        <v>-8750000</v>
      </c>
      <c r="V39" s="175">
        <f>Data_Dep.12[[#This Row],[Nguyên giá]]+Data_Dep.12[[#This Row],[KH lũy kế]]+Data_Dep.12[[#This Row],[KH_Q4.25]]</f>
        <v>195416667</v>
      </c>
      <c r="W39" s="178">
        <f>ROUND(Data_Dep.12[[#This Row],[T/G Khấu hao]]-Data_Dep.12[[#This Row],[Giá trị còn lại 31/12/25]]/Data_Dep.12[[#This Row],[Nguyên giá]]*Data_Dep.12[[#This Row],[T/G Khấu hao]],0)</f>
        <v>53</v>
      </c>
      <c r="X39" s="179">
        <v>24</v>
      </c>
      <c r="Y39" s="175">
        <f>Data_Dep.12[[#This Row],[T/G Khấu hao]]+Data_Dep.12[[#This Row],[Điều chỉnh]]</f>
        <v>144</v>
      </c>
      <c r="Z39" s="180">
        <f>EDATE(Data_Dep.12[[#This Row],[Ngày bắt đầu KH]],Data_Dep.12[[#This Row],[T/G điều chỉnh]])</f>
        <v>48800</v>
      </c>
      <c r="AA39" s="175">
        <f>Data_Dep.12[[#This Row],[T/G điều chỉnh]]-Data_Dep.12[[#This Row],[Số kỳ đã khấu hao]]</f>
        <v>91</v>
      </c>
      <c r="AB39" s="175">
        <f>IFERROR(-Data_Dep.12[[#This Row],[Giá trị còn lại 31/12/25]]/(Data_Dep.12[[#This Row],[T/G điều chỉnh]]-Data_Dep.12[[#This Row],[Số kỳ đã khấu hao]]),0)</f>
        <v>-2147435.9010989009</v>
      </c>
      <c r="AC39" s="181">
        <v>-2147435.9010989009</v>
      </c>
      <c r="AD39" s="181">
        <v>-2147435.9010989009</v>
      </c>
      <c r="AE39" s="181">
        <v>-2147435.9010989009</v>
      </c>
      <c r="AF39" s="181">
        <v>-2147435.9010989009</v>
      </c>
      <c r="AG39" s="181">
        <v>-2147435.9010989009</v>
      </c>
      <c r="AH39" s="181">
        <v>-2147435.9010989009</v>
      </c>
      <c r="AI39" s="181">
        <v>-2147435.9010989009</v>
      </c>
      <c r="AJ39" s="181">
        <v>-2147435.9010989009</v>
      </c>
      <c r="AK39" s="181">
        <v>-2147435.9010989009</v>
      </c>
      <c r="AL39" s="181">
        <v>-2147435.9010989009</v>
      </c>
      <c r="AM39" s="181">
        <v>-2147435.9010989009</v>
      </c>
      <c r="AN39" s="181">
        <v>-2147435.9010989009</v>
      </c>
      <c r="AO39" s="175">
        <f>SUM(Data_Dep.12[[#This Row],[KH_2601]:[KH_2612]])</f>
        <v>-25769230.813186806</v>
      </c>
      <c r="AP39" s="175">
        <f>Data_Dep.12[[#This Row],[Giá trị còn lại 31/12/25]]+Data_Dep.12[[#This Row],[KH LK 2026]]</f>
        <v>169647436.18681321</v>
      </c>
    </row>
    <row r="40" spans="1:42" x14ac:dyDescent="0.3">
      <c r="A40" s="169"/>
      <c r="B40" s="169"/>
      <c r="C40" s="170" t="s">
        <v>337</v>
      </c>
      <c r="D40" s="169" t="str">
        <f>_xlfn.XLOOKUP(Data_Dep.12[[#This Row],[Nhóm tài sản]],MD_Account_Asset_Type[Nhóm tài sản],MD_Account_Asset_Type[Tên Nhóm tài sản])</f>
        <v>Máy móc, thiết bị phụ - SX 627</v>
      </c>
      <c r="E40" s="171" t="s">
        <v>957</v>
      </c>
      <c r="F40" s="170" t="s">
        <v>533</v>
      </c>
      <c r="G40" s="169" t="s">
        <v>850</v>
      </c>
      <c r="H40" s="170" t="s">
        <v>51</v>
      </c>
      <c r="I40" s="170" t="str">
        <f>_xlfn.XLOOKUP(Data_Dep.12[[#This Row],[Cost center]],MD_Cost_Center[Mã Cost Center],MD_Cost_Center[Tên Cost Center])</f>
        <v>Chuyền máy tạo vảy PET CW+Tomra</v>
      </c>
      <c r="J40" s="172" t="str">
        <f>_xlfn.XLOOKUP(Data_Dep.12[[#This Row],[Cost center]],MD_Cost_Center[Mã Cost Center],MD_Cost_Center[Work center],"Check")</f>
        <v>CHWO-R01</v>
      </c>
      <c r="K40" s="169" t="str">
        <f>_xlfn.XLOOKUP(Data_Dep.12[[#This Row],[Nhóm tài sản]],MD_Account_Asset_Type[Nhóm tài sản],MD_Account_Asset_Type[Tài khoản KH],"Check")</f>
        <v>6274001906</v>
      </c>
      <c r="L40" s="173">
        <v>44417</v>
      </c>
      <c r="M40" s="174">
        <f>EDATE(Data_Dep.12[[#This Row],[Ngày bắt đầu KH]],Data_Dep.12[[#This Row],[T/G Khấu hao]])</f>
        <v>48069</v>
      </c>
      <c r="N40" s="175">
        <v>120</v>
      </c>
      <c r="O40" s="175">
        <v>7914354019</v>
      </c>
      <c r="P40" s="176">
        <v>-3285427802</v>
      </c>
      <c r="Q40" s="175">
        <f>Data_Dep.12[[#This Row],[Nguyên giá]]+Data_Dep.12[[#This Row],[KH lũy kế]]</f>
        <v>4628926217</v>
      </c>
      <c r="R40" s="177">
        <v>-66127517</v>
      </c>
      <c r="S40" s="177">
        <v>-66127517</v>
      </c>
      <c r="T40" s="177">
        <v>-66127518</v>
      </c>
      <c r="U40" s="177">
        <f>SUM(Data_Dep.12[[#This Row],[KH_2510]:[KH_2512]])</f>
        <v>-198382552</v>
      </c>
      <c r="V40" s="175">
        <f>Data_Dep.12[[#This Row],[Nguyên giá]]+Data_Dep.12[[#This Row],[KH lũy kế]]+Data_Dep.12[[#This Row],[KH_Q4.25]]</f>
        <v>4430543665</v>
      </c>
      <c r="W40" s="178">
        <f>ROUND(Data_Dep.12[[#This Row],[T/G Khấu hao]]-Data_Dep.12[[#This Row],[Giá trị còn lại 31/12/25]]/Data_Dep.12[[#This Row],[Nguyên giá]]*Data_Dep.12[[#This Row],[T/G Khấu hao]],0)</f>
        <v>53</v>
      </c>
      <c r="X40" s="179">
        <v>24</v>
      </c>
      <c r="Y40" s="175">
        <f>Data_Dep.12[[#This Row],[T/G Khấu hao]]+Data_Dep.12[[#This Row],[Điều chỉnh]]</f>
        <v>144</v>
      </c>
      <c r="Z40" s="180">
        <f>EDATE(Data_Dep.12[[#This Row],[Ngày bắt đầu KH]],Data_Dep.12[[#This Row],[T/G điều chỉnh]])</f>
        <v>48800</v>
      </c>
      <c r="AA40" s="175">
        <f>Data_Dep.12[[#This Row],[T/G điều chỉnh]]-Data_Dep.12[[#This Row],[Số kỳ đã khấu hao]]</f>
        <v>91</v>
      </c>
      <c r="AB40" s="175">
        <f>IFERROR(-Data_Dep.12[[#This Row],[Giá trị còn lại 31/12/25]]/(Data_Dep.12[[#This Row],[T/G điều chỉnh]]-Data_Dep.12[[#This Row],[Số kỳ đã khấu hao]]),0)</f>
        <v>-48687293.021978021</v>
      </c>
      <c r="AC40" s="181">
        <v>-48687293.021978021</v>
      </c>
      <c r="AD40" s="181">
        <v>-48687293.021978021</v>
      </c>
      <c r="AE40" s="181">
        <v>-48687293.021978021</v>
      </c>
      <c r="AF40" s="181">
        <v>-48687293.021978021</v>
      </c>
      <c r="AG40" s="181">
        <v>-48687293.021978021</v>
      </c>
      <c r="AH40" s="181">
        <v>-48687293.021978021</v>
      </c>
      <c r="AI40" s="181">
        <v>-48687293.021978021</v>
      </c>
      <c r="AJ40" s="181">
        <v>-48687293.021978021</v>
      </c>
      <c r="AK40" s="181">
        <v>-48687293.021978021</v>
      </c>
      <c r="AL40" s="181">
        <v>-48687293.021978021</v>
      </c>
      <c r="AM40" s="181">
        <v>-48687293.021978021</v>
      </c>
      <c r="AN40" s="181">
        <v>-48687293.021978021</v>
      </c>
      <c r="AO40" s="175">
        <f>SUM(Data_Dep.12[[#This Row],[KH_2601]:[KH_2612]])</f>
        <v>-584247516.26373625</v>
      </c>
      <c r="AP40" s="175">
        <f>Data_Dep.12[[#This Row],[Giá trị còn lại 31/12/25]]+Data_Dep.12[[#This Row],[KH LK 2026]]</f>
        <v>3846296148.7362638</v>
      </c>
    </row>
    <row r="41" spans="1:42" x14ac:dyDescent="0.3">
      <c r="A41" s="169"/>
      <c r="B41" s="169"/>
      <c r="C41" s="170" t="s">
        <v>337</v>
      </c>
      <c r="D41" s="169" t="str">
        <f>_xlfn.XLOOKUP(Data_Dep.12[[#This Row],[Nhóm tài sản]],MD_Account_Asset_Type[Nhóm tài sản],MD_Account_Asset_Type[Tên Nhóm tài sản])</f>
        <v>Máy móc, thiết bị phụ - SX 627</v>
      </c>
      <c r="E41" s="171" t="s">
        <v>958</v>
      </c>
      <c r="F41" s="170" t="s">
        <v>534</v>
      </c>
      <c r="G41" s="169" t="s">
        <v>830</v>
      </c>
      <c r="H41" s="170" t="s">
        <v>48</v>
      </c>
      <c r="I41" s="170" t="str">
        <f>_xlfn.XLOOKUP(Data_Dep.12[[#This Row],[Cost center]],MD_Cost_Center[Mã Cost Center],MD_Cost_Center[Tên Cost Center])</f>
        <v>Xưởng sản xuất PET</v>
      </c>
      <c r="J41" s="172">
        <f>_xlfn.XLOOKUP(Data_Dep.12[[#This Row],[Cost center]],MD_Cost_Center[Mã Cost Center],MD_Cost_Center[Work center],"Check")</f>
        <v>0</v>
      </c>
      <c r="K41" s="169" t="str">
        <f>_xlfn.XLOOKUP(Data_Dep.12[[#This Row],[Nhóm tài sản]],MD_Account_Asset_Type[Nhóm tài sản],MD_Account_Asset_Type[Tài khoản KH],"Check")</f>
        <v>6274001906</v>
      </c>
      <c r="L41" s="173">
        <v>44438</v>
      </c>
      <c r="M41" s="174">
        <f>EDATE(Data_Dep.12[[#This Row],[Ngày bắt đầu KH]],Data_Dep.12[[#This Row],[T/G Khấu hao]])</f>
        <v>48090</v>
      </c>
      <c r="N41" s="175">
        <v>120</v>
      </c>
      <c r="O41" s="175">
        <v>2414319168</v>
      </c>
      <c r="P41" s="176">
        <v>-1005966321</v>
      </c>
      <c r="Q41" s="175">
        <f>Data_Dep.12[[#This Row],[Nguyên giá]]+Data_Dep.12[[#This Row],[KH lũy kế]]</f>
        <v>1408352847</v>
      </c>
      <c r="R41" s="177">
        <v>-20119326</v>
      </c>
      <c r="S41" s="177">
        <v>-20119326</v>
      </c>
      <c r="T41" s="177">
        <v>-20119327</v>
      </c>
      <c r="U41" s="177">
        <f>SUM(Data_Dep.12[[#This Row],[KH_2510]:[KH_2512]])</f>
        <v>-60357979</v>
      </c>
      <c r="V41" s="175">
        <f>Data_Dep.12[[#This Row],[Nguyên giá]]+Data_Dep.12[[#This Row],[KH lũy kế]]+Data_Dep.12[[#This Row],[KH_Q4.25]]</f>
        <v>1347994868</v>
      </c>
      <c r="W41" s="178">
        <f>ROUND(Data_Dep.12[[#This Row],[T/G Khấu hao]]-Data_Dep.12[[#This Row],[Giá trị còn lại 31/12/25]]/Data_Dep.12[[#This Row],[Nguyên giá]]*Data_Dep.12[[#This Row],[T/G Khấu hao]],0)</f>
        <v>53</v>
      </c>
      <c r="X41" s="179">
        <v>24</v>
      </c>
      <c r="Y41" s="175">
        <f>Data_Dep.12[[#This Row],[T/G Khấu hao]]+Data_Dep.12[[#This Row],[Điều chỉnh]]</f>
        <v>144</v>
      </c>
      <c r="Z41" s="180">
        <f>EDATE(Data_Dep.12[[#This Row],[Ngày bắt đầu KH]],Data_Dep.12[[#This Row],[T/G điều chỉnh]])</f>
        <v>48821</v>
      </c>
      <c r="AA41" s="175">
        <f>Data_Dep.12[[#This Row],[T/G điều chỉnh]]-Data_Dep.12[[#This Row],[Số kỳ đã khấu hao]]</f>
        <v>91</v>
      </c>
      <c r="AB41" s="175">
        <f>IFERROR(-Data_Dep.12[[#This Row],[Giá trị còn lại 31/12/25]]/(Data_Dep.12[[#This Row],[T/G điều chỉnh]]-Data_Dep.12[[#This Row],[Số kỳ đã khấu hao]]),0)</f>
        <v>-14813130.417582417</v>
      </c>
      <c r="AC41" s="181">
        <v>-14813130.417582417</v>
      </c>
      <c r="AD41" s="181">
        <v>-14813130.417582417</v>
      </c>
      <c r="AE41" s="181">
        <v>-14813130.417582417</v>
      </c>
      <c r="AF41" s="181">
        <v>-14813130.417582417</v>
      </c>
      <c r="AG41" s="181">
        <v>-14813130.417582417</v>
      </c>
      <c r="AH41" s="181">
        <v>-14813130.417582417</v>
      </c>
      <c r="AI41" s="181">
        <v>-14813130.417582417</v>
      </c>
      <c r="AJ41" s="181">
        <v>-14813130.417582417</v>
      </c>
      <c r="AK41" s="181">
        <v>-14813130.417582417</v>
      </c>
      <c r="AL41" s="181">
        <v>-14813130.417582417</v>
      </c>
      <c r="AM41" s="181">
        <v>-14813130.417582417</v>
      </c>
      <c r="AN41" s="181">
        <v>-14813130.417582417</v>
      </c>
      <c r="AO41" s="175">
        <f>SUM(Data_Dep.12[[#This Row],[KH_2601]:[KH_2612]])</f>
        <v>-177757565.01098904</v>
      </c>
      <c r="AP41" s="175">
        <f>Data_Dep.12[[#This Row],[Giá trị còn lại 31/12/25]]+Data_Dep.12[[#This Row],[KH LK 2026]]</f>
        <v>1170237302.989011</v>
      </c>
    </row>
    <row r="42" spans="1:42" x14ac:dyDescent="0.3">
      <c r="A42" s="169"/>
      <c r="B42" s="169"/>
      <c r="C42" s="170" t="s">
        <v>337</v>
      </c>
      <c r="D42" s="169" t="str">
        <f>_xlfn.XLOOKUP(Data_Dep.12[[#This Row],[Nhóm tài sản]],MD_Account_Asset_Type[Nhóm tài sản],MD_Account_Asset_Type[Tên Nhóm tài sản])</f>
        <v>Máy móc, thiết bị phụ - SX 627</v>
      </c>
      <c r="E42" s="171" t="s">
        <v>959</v>
      </c>
      <c r="F42" s="170" t="s">
        <v>535</v>
      </c>
      <c r="G42" s="169" t="s">
        <v>830</v>
      </c>
      <c r="H42" s="170" t="s">
        <v>48</v>
      </c>
      <c r="I42" s="170" t="str">
        <f>_xlfn.XLOOKUP(Data_Dep.12[[#This Row],[Cost center]],MD_Cost_Center[Mã Cost Center],MD_Cost_Center[Tên Cost Center])</f>
        <v>Xưởng sản xuất PET</v>
      </c>
      <c r="J42" s="172">
        <f>_xlfn.XLOOKUP(Data_Dep.12[[#This Row],[Cost center]],MD_Cost_Center[Mã Cost Center],MD_Cost_Center[Work center],"Check")</f>
        <v>0</v>
      </c>
      <c r="K42" s="169" t="str">
        <f>_xlfn.XLOOKUP(Data_Dep.12[[#This Row],[Nhóm tài sản]],MD_Account_Asset_Type[Nhóm tài sản],MD_Account_Asset_Type[Tài khoản KH],"Check")</f>
        <v>6274001906</v>
      </c>
      <c r="L42" s="173">
        <v>44438</v>
      </c>
      <c r="M42" s="174">
        <f>EDATE(Data_Dep.12[[#This Row],[Ngày bắt đầu KH]],Data_Dep.12[[#This Row],[T/G Khấu hao]])</f>
        <v>46264</v>
      </c>
      <c r="N42" s="175">
        <v>60</v>
      </c>
      <c r="O42" s="175">
        <v>310000000</v>
      </c>
      <c r="P42" s="176">
        <v>-258333333</v>
      </c>
      <c r="Q42" s="175">
        <f>Data_Dep.12[[#This Row],[Nguyên giá]]+Data_Dep.12[[#This Row],[KH lũy kế]]</f>
        <v>51666667</v>
      </c>
      <c r="R42" s="177">
        <v>-5166667</v>
      </c>
      <c r="S42" s="177">
        <v>-5166667</v>
      </c>
      <c r="T42" s="177">
        <v>-5166666</v>
      </c>
      <c r="U42" s="177">
        <f>SUM(Data_Dep.12[[#This Row],[KH_2510]:[KH_2512]])</f>
        <v>-15500000</v>
      </c>
      <c r="V42" s="175">
        <f>Data_Dep.12[[#This Row],[Nguyên giá]]+Data_Dep.12[[#This Row],[KH lũy kế]]+Data_Dep.12[[#This Row],[KH_Q4.25]]</f>
        <v>36166667</v>
      </c>
      <c r="W42" s="178">
        <f>ROUND(Data_Dep.12[[#This Row],[T/G Khấu hao]]-Data_Dep.12[[#This Row],[Giá trị còn lại 31/12/25]]/Data_Dep.12[[#This Row],[Nguyên giá]]*Data_Dep.12[[#This Row],[T/G Khấu hao]],0)</f>
        <v>53</v>
      </c>
      <c r="X42" s="179">
        <v>84</v>
      </c>
      <c r="Y42" s="175">
        <f>Data_Dep.12[[#This Row],[T/G Khấu hao]]+Data_Dep.12[[#This Row],[Điều chỉnh]]</f>
        <v>144</v>
      </c>
      <c r="Z42" s="180">
        <f>EDATE(Data_Dep.12[[#This Row],[Ngày bắt đầu KH]],Data_Dep.12[[#This Row],[T/G điều chỉnh]])</f>
        <v>48821</v>
      </c>
      <c r="AA42" s="175">
        <f>Data_Dep.12[[#This Row],[T/G điều chỉnh]]-Data_Dep.12[[#This Row],[Số kỳ đã khấu hao]]</f>
        <v>91</v>
      </c>
      <c r="AB42" s="175">
        <f>IFERROR(-Data_Dep.12[[#This Row],[Giá trị còn lại 31/12/25]]/(Data_Dep.12[[#This Row],[T/G điều chỉnh]]-Data_Dep.12[[#This Row],[Số kỳ đã khấu hao]]),0)</f>
        <v>-397435.90109890111</v>
      </c>
      <c r="AC42" s="181">
        <v>-397435.90109890111</v>
      </c>
      <c r="AD42" s="181">
        <v>-397435.90109890111</v>
      </c>
      <c r="AE42" s="181">
        <v>-397435.90109890111</v>
      </c>
      <c r="AF42" s="181">
        <v>-397435.90109890111</v>
      </c>
      <c r="AG42" s="181">
        <v>-397435.90109890111</v>
      </c>
      <c r="AH42" s="181">
        <v>-397435.90109890111</v>
      </c>
      <c r="AI42" s="181">
        <v>-397435.90109890111</v>
      </c>
      <c r="AJ42" s="181">
        <v>-397435.90109890111</v>
      </c>
      <c r="AK42" s="181">
        <v>-397435.90109890111</v>
      </c>
      <c r="AL42" s="181">
        <v>-397435.90109890111</v>
      </c>
      <c r="AM42" s="181">
        <v>-397435.90109890111</v>
      </c>
      <c r="AN42" s="181">
        <v>-397435.90109890111</v>
      </c>
      <c r="AO42" s="175">
        <f>SUM(Data_Dep.12[[#This Row],[KH_2601]:[KH_2612]])</f>
        <v>-4769230.8131868131</v>
      </c>
      <c r="AP42" s="175">
        <f>Data_Dep.12[[#This Row],[Giá trị còn lại 31/12/25]]+Data_Dep.12[[#This Row],[KH LK 2026]]</f>
        <v>31397436.186813187</v>
      </c>
    </row>
    <row r="43" spans="1:42" x14ac:dyDescent="0.3">
      <c r="A43" s="169"/>
      <c r="B43" s="169"/>
      <c r="C43" s="170" t="s">
        <v>337</v>
      </c>
      <c r="D43" s="169" t="str">
        <f>_xlfn.XLOOKUP(Data_Dep.12[[#This Row],[Nhóm tài sản]],MD_Account_Asset_Type[Nhóm tài sản],MD_Account_Asset_Type[Tên Nhóm tài sản])</f>
        <v>Máy móc, thiết bị phụ - SX 627</v>
      </c>
      <c r="E43" s="171" t="s">
        <v>960</v>
      </c>
      <c r="F43" s="170" t="s">
        <v>536</v>
      </c>
      <c r="G43" s="169" t="s">
        <v>830</v>
      </c>
      <c r="H43" s="170" t="s">
        <v>48</v>
      </c>
      <c r="I43" s="170" t="str">
        <f>_xlfn.XLOOKUP(Data_Dep.12[[#This Row],[Cost center]],MD_Cost_Center[Mã Cost Center],MD_Cost_Center[Tên Cost Center])</f>
        <v>Xưởng sản xuất PET</v>
      </c>
      <c r="J43" s="172">
        <f>_xlfn.XLOOKUP(Data_Dep.12[[#This Row],[Cost center]],MD_Cost_Center[Mã Cost Center],MD_Cost_Center[Work center],"Check")</f>
        <v>0</v>
      </c>
      <c r="K43" s="169" t="str">
        <f>_xlfn.XLOOKUP(Data_Dep.12[[#This Row],[Nhóm tài sản]],MD_Account_Asset_Type[Nhóm tài sản],MD_Account_Asset_Type[Tài khoản KH],"Check")</f>
        <v>6274001906</v>
      </c>
      <c r="L43" s="173">
        <v>44438</v>
      </c>
      <c r="M43" s="174">
        <f>EDATE(Data_Dep.12[[#This Row],[Ngày bắt đầu KH]],Data_Dep.12[[#This Row],[T/G Khấu hao]])</f>
        <v>48090</v>
      </c>
      <c r="N43" s="175">
        <v>120</v>
      </c>
      <c r="O43" s="175">
        <v>1577222005</v>
      </c>
      <c r="P43" s="176">
        <v>-657175835</v>
      </c>
      <c r="Q43" s="175">
        <f>Data_Dep.12[[#This Row],[Nguyên giá]]+Data_Dep.12[[#This Row],[KH lũy kế]]</f>
        <v>920046170</v>
      </c>
      <c r="R43" s="177">
        <v>-13143517</v>
      </c>
      <c r="S43" s="177">
        <v>-13143517</v>
      </c>
      <c r="T43" s="177">
        <v>-13143517</v>
      </c>
      <c r="U43" s="177">
        <f>SUM(Data_Dep.12[[#This Row],[KH_2510]:[KH_2512]])</f>
        <v>-39430551</v>
      </c>
      <c r="V43" s="175">
        <f>Data_Dep.12[[#This Row],[Nguyên giá]]+Data_Dep.12[[#This Row],[KH lũy kế]]+Data_Dep.12[[#This Row],[KH_Q4.25]]</f>
        <v>880615619</v>
      </c>
      <c r="W43" s="178">
        <f>ROUND(Data_Dep.12[[#This Row],[T/G Khấu hao]]-Data_Dep.12[[#This Row],[Giá trị còn lại 31/12/25]]/Data_Dep.12[[#This Row],[Nguyên giá]]*Data_Dep.12[[#This Row],[T/G Khấu hao]],0)</f>
        <v>53</v>
      </c>
      <c r="X43" s="179">
        <v>24</v>
      </c>
      <c r="Y43" s="175">
        <f>Data_Dep.12[[#This Row],[T/G Khấu hao]]+Data_Dep.12[[#This Row],[Điều chỉnh]]</f>
        <v>144</v>
      </c>
      <c r="Z43" s="180">
        <f>EDATE(Data_Dep.12[[#This Row],[Ngày bắt đầu KH]],Data_Dep.12[[#This Row],[T/G điều chỉnh]])</f>
        <v>48821</v>
      </c>
      <c r="AA43" s="175">
        <f>Data_Dep.12[[#This Row],[T/G điều chỉnh]]-Data_Dep.12[[#This Row],[Số kỳ đã khấu hao]]</f>
        <v>91</v>
      </c>
      <c r="AB43" s="175">
        <f>IFERROR(-Data_Dep.12[[#This Row],[Giá trị còn lại 31/12/25]]/(Data_Dep.12[[#This Row],[T/G điều chỉnh]]-Data_Dep.12[[#This Row],[Số kỳ đã khấu hao]]),0)</f>
        <v>-9677094.7142857146</v>
      </c>
      <c r="AC43" s="181">
        <v>-9677094.7142857146</v>
      </c>
      <c r="AD43" s="181">
        <v>-9677094.7142857146</v>
      </c>
      <c r="AE43" s="181">
        <v>-9677094.7142857146</v>
      </c>
      <c r="AF43" s="181">
        <v>-9677094.7142857146</v>
      </c>
      <c r="AG43" s="181">
        <v>-9677094.7142857146</v>
      </c>
      <c r="AH43" s="181">
        <v>-9677094.7142857146</v>
      </c>
      <c r="AI43" s="181">
        <v>-9677094.7142857146</v>
      </c>
      <c r="AJ43" s="181">
        <v>-9677094.7142857146</v>
      </c>
      <c r="AK43" s="181">
        <v>-9677094.7142857146</v>
      </c>
      <c r="AL43" s="181">
        <v>-9677094.7142857146</v>
      </c>
      <c r="AM43" s="181">
        <v>-9677094.7142857146</v>
      </c>
      <c r="AN43" s="181">
        <v>-9677094.7142857146</v>
      </c>
      <c r="AO43" s="175">
        <f>SUM(Data_Dep.12[[#This Row],[KH_2601]:[KH_2612]])</f>
        <v>-116125136.57142858</v>
      </c>
      <c r="AP43" s="175">
        <f>Data_Dep.12[[#This Row],[Giá trị còn lại 31/12/25]]+Data_Dep.12[[#This Row],[KH LK 2026]]</f>
        <v>764490482.42857146</v>
      </c>
    </row>
    <row r="44" spans="1:42" x14ac:dyDescent="0.3">
      <c r="A44" s="169"/>
      <c r="B44" s="169"/>
      <c r="C44" s="170" t="s">
        <v>337</v>
      </c>
      <c r="D44" s="169" t="str">
        <f>_xlfn.XLOOKUP(Data_Dep.12[[#This Row],[Nhóm tài sản]],MD_Account_Asset_Type[Nhóm tài sản],MD_Account_Asset_Type[Tên Nhóm tài sản])</f>
        <v>Máy móc, thiết bị phụ - SX 627</v>
      </c>
      <c r="E44" s="171" t="s">
        <v>961</v>
      </c>
      <c r="F44" s="170" t="s">
        <v>537</v>
      </c>
      <c r="G44" s="169" t="s">
        <v>502</v>
      </c>
      <c r="H44" s="170" t="s">
        <v>48</v>
      </c>
      <c r="I44" s="170" t="str">
        <f>_xlfn.XLOOKUP(Data_Dep.12[[#This Row],[Cost center]],MD_Cost_Center[Mã Cost Center],MD_Cost_Center[Tên Cost Center])</f>
        <v>Xưởng sản xuất PET</v>
      </c>
      <c r="J44" s="172">
        <f>_xlfn.XLOOKUP(Data_Dep.12[[#This Row],[Cost center]],MD_Cost_Center[Mã Cost Center],MD_Cost_Center[Work center],"Check")</f>
        <v>0</v>
      </c>
      <c r="K44" s="169" t="str">
        <f>_xlfn.XLOOKUP(Data_Dep.12[[#This Row],[Nhóm tài sản]],MD_Account_Asset_Type[Nhóm tài sản],MD_Account_Asset_Type[Tài khoản KH],"Check")</f>
        <v>6274001906</v>
      </c>
      <c r="L44" s="173">
        <v>44438</v>
      </c>
      <c r="M44" s="174">
        <f>EDATE(Data_Dep.12[[#This Row],[Ngày bắt đầu KH]],Data_Dep.12[[#This Row],[T/G Khấu hao]])</f>
        <v>48090</v>
      </c>
      <c r="N44" s="175">
        <v>120</v>
      </c>
      <c r="O44" s="175">
        <v>397073670</v>
      </c>
      <c r="P44" s="176">
        <v>-165447362</v>
      </c>
      <c r="Q44" s="175">
        <f>Data_Dep.12[[#This Row],[Nguyên giá]]+Data_Dep.12[[#This Row],[KH lũy kế]]</f>
        <v>231626308</v>
      </c>
      <c r="R44" s="177">
        <v>-3308948</v>
      </c>
      <c r="S44" s="177">
        <v>-3308947</v>
      </c>
      <c r="T44" s="177">
        <v>-3308947</v>
      </c>
      <c r="U44" s="177">
        <f>SUM(Data_Dep.12[[#This Row],[KH_2510]:[KH_2512]])</f>
        <v>-9926842</v>
      </c>
      <c r="V44" s="175">
        <f>Data_Dep.12[[#This Row],[Nguyên giá]]+Data_Dep.12[[#This Row],[KH lũy kế]]+Data_Dep.12[[#This Row],[KH_Q4.25]]</f>
        <v>221699466</v>
      </c>
      <c r="W44" s="178">
        <f>ROUND(Data_Dep.12[[#This Row],[T/G Khấu hao]]-Data_Dep.12[[#This Row],[Giá trị còn lại 31/12/25]]/Data_Dep.12[[#This Row],[Nguyên giá]]*Data_Dep.12[[#This Row],[T/G Khấu hao]],0)</f>
        <v>53</v>
      </c>
      <c r="X44" s="179">
        <v>24</v>
      </c>
      <c r="Y44" s="175">
        <f>Data_Dep.12[[#This Row],[T/G Khấu hao]]+Data_Dep.12[[#This Row],[Điều chỉnh]]</f>
        <v>144</v>
      </c>
      <c r="Z44" s="180">
        <f>EDATE(Data_Dep.12[[#This Row],[Ngày bắt đầu KH]],Data_Dep.12[[#This Row],[T/G điều chỉnh]])</f>
        <v>48821</v>
      </c>
      <c r="AA44" s="175">
        <f>Data_Dep.12[[#This Row],[T/G điều chỉnh]]-Data_Dep.12[[#This Row],[Số kỳ đã khấu hao]]</f>
        <v>91</v>
      </c>
      <c r="AB44" s="175">
        <f>IFERROR(-Data_Dep.12[[#This Row],[Giá trị còn lại 31/12/25]]/(Data_Dep.12[[#This Row],[T/G điều chỉnh]]-Data_Dep.12[[#This Row],[Số kỳ đã khấu hao]]),0)</f>
        <v>-2436257.8681318681</v>
      </c>
      <c r="AC44" s="181">
        <v>-2436257.8681318681</v>
      </c>
      <c r="AD44" s="181">
        <v>-2436257.8681318681</v>
      </c>
      <c r="AE44" s="181">
        <v>-2436257.8681318681</v>
      </c>
      <c r="AF44" s="181">
        <v>-2436257.8681318681</v>
      </c>
      <c r="AG44" s="181">
        <v>-2436257.8681318681</v>
      </c>
      <c r="AH44" s="181">
        <v>-2436257.8681318681</v>
      </c>
      <c r="AI44" s="181">
        <v>-2436257.8681318681</v>
      </c>
      <c r="AJ44" s="181">
        <v>-2436257.8681318681</v>
      </c>
      <c r="AK44" s="181">
        <v>-2436257.8681318681</v>
      </c>
      <c r="AL44" s="181">
        <v>-2436257.8681318681</v>
      </c>
      <c r="AM44" s="181">
        <v>-2436257.8681318681</v>
      </c>
      <c r="AN44" s="181">
        <v>-2436257.8681318681</v>
      </c>
      <c r="AO44" s="175">
        <f>SUM(Data_Dep.12[[#This Row],[KH_2601]:[KH_2612]])</f>
        <v>-29235094.417582419</v>
      </c>
      <c r="AP44" s="175">
        <f>Data_Dep.12[[#This Row],[Giá trị còn lại 31/12/25]]+Data_Dep.12[[#This Row],[KH LK 2026]]</f>
        <v>192464371.58241758</v>
      </c>
    </row>
    <row r="45" spans="1:42" x14ac:dyDescent="0.3">
      <c r="A45" s="169"/>
      <c r="B45" s="169"/>
      <c r="C45" s="170" t="s">
        <v>337</v>
      </c>
      <c r="D45" s="169" t="str">
        <f>_xlfn.XLOOKUP(Data_Dep.12[[#This Row],[Nhóm tài sản]],MD_Account_Asset_Type[Nhóm tài sản],MD_Account_Asset_Type[Tên Nhóm tài sản])</f>
        <v>Máy móc, thiết bị phụ - SX 627</v>
      </c>
      <c r="E45" s="171" t="s">
        <v>962</v>
      </c>
      <c r="F45" s="170" t="s">
        <v>538</v>
      </c>
      <c r="G45" s="169" t="s">
        <v>830</v>
      </c>
      <c r="H45" s="170" t="s">
        <v>48</v>
      </c>
      <c r="I45" s="170" t="str">
        <f>_xlfn.XLOOKUP(Data_Dep.12[[#This Row],[Cost center]],MD_Cost_Center[Mã Cost Center],MD_Cost_Center[Tên Cost Center])</f>
        <v>Xưởng sản xuất PET</v>
      </c>
      <c r="J45" s="172">
        <f>_xlfn.XLOOKUP(Data_Dep.12[[#This Row],[Cost center]],MD_Cost_Center[Mã Cost Center],MD_Cost_Center[Work center],"Check")</f>
        <v>0</v>
      </c>
      <c r="K45" s="169" t="str">
        <f>_xlfn.XLOOKUP(Data_Dep.12[[#This Row],[Nhóm tài sản]],MD_Account_Asset_Type[Nhóm tài sản],MD_Account_Asset_Type[Tài khoản KH],"Check")</f>
        <v>6274001906</v>
      </c>
      <c r="L45" s="173">
        <v>44438</v>
      </c>
      <c r="M45" s="174">
        <f>EDATE(Data_Dep.12[[#This Row],[Ngày bắt đầu KH]],Data_Dep.12[[#This Row],[T/G Khấu hao]])</f>
        <v>46264</v>
      </c>
      <c r="N45" s="175">
        <v>60</v>
      </c>
      <c r="O45" s="175">
        <v>73500000</v>
      </c>
      <c r="P45" s="176">
        <v>-61250000</v>
      </c>
      <c r="Q45" s="175">
        <f>Data_Dep.12[[#This Row],[Nguyên giá]]+Data_Dep.12[[#This Row],[KH lũy kế]]</f>
        <v>12250000</v>
      </c>
      <c r="R45" s="177">
        <v>-1225000</v>
      </c>
      <c r="S45" s="177">
        <v>-1225000</v>
      </c>
      <c r="T45" s="177">
        <v>-1225000</v>
      </c>
      <c r="U45" s="177">
        <f>SUM(Data_Dep.12[[#This Row],[KH_2510]:[KH_2512]])</f>
        <v>-3675000</v>
      </c>
      <c r="V45" s="175">
        <f>Data_Dep.12[[#This Row],[Nguyên giá]]+Data_Dep.12[[#This Row],[KH lũy kế]]+Data_Dep.12[[#This Row],[KH_Q4.25]]</f>
        <v>8575000</v>
      </c>
      <c r="W45" s="178">
        <f>ROUND(Data_Dep.12[[#This Row],[T/G Khấu hao]]-Data_Dep.12[[#This Row],[Giá trị còn lại 31/12/25]]/Data_Dep.12[[#This Row],[Nguyên giá]]*Data_Dep.12[[#This Row],[T/G Khấu hao]],0)</f>
        <v>53</v>
      </c>
      <c r="X45" s="179">
        <v>84</v>
      </c>
      <c r="Y45" s="175">
        <f>Data_Dep.12[[#This Row],[T/G Khấu hao]]+Data_Dep.12[[#This Row],[Điều chỉnh]]</f>
        <v>144</v>
      </c>
      <c r="Z45" s="180">
        <f>EDATE(Data_Dep.12[[#This Row],[Ngày bắt đầu KH]],Data_Dep.12[[#This Row],[T/G điều chỉnh]])</f>
        <v>48821</v>
      </c>
      <c r="AA45" s="175">
        <f>Data_Dep.12[[#This Row],[T/G điều chỉnh]]-Data_Dep.12[[#This Row],[Số kỳ đã khấu hao]]</f>
        <v>91</v>
      </c>
      <c r="AB45" s="175">
        <f>IFERROR(-Data_Dep.12[[#This Row],[Giá trị còn lại 31/12/25]]/(Data_Dep.12[[#This Row],[T/G điều chỉnh]]-Data_Dep.12[[#This Row],[Số kỳ đã khấu hao]]),0)</f>
        <v>-94230.769230769234</v>
      </c>
      <c r="AC45" s="181">
        <v>-94230.769230769234</v>
      </c>
      <c r="AD45" s="181">
        <v>-94230.769230769234</v>
      </c>
      <c r="AE45" s="181">
        <v>-94230.769230769234</v>
      </c>
      <c r="AF45" s="181">
        <v>-94230.769230769234</v>
      </c>
      <c r="AG45" s="181">
        <v>-94230.769230769234</v>
      </c>
      <c r="AH45" s="181">
        <v>-94230.769230769234</v>
      </c>
      <c r="AI45" s="181">
        <v>-94230.769230769234</v>
      </c>
      <c r="AJ45" s="181">
        <v>-94230.769230769234</v>
      </c>
      <c r="AK45" s="181">
        <v>-94230.769230769234</v>
      </c>
      <c r="AL45" s="181">
        <v>-94230.769230769234</v>
      </c>
      <c r="AM45" s="181">
        <v>-94230.769230769234</v>
      </c>
      <c r="AN45" s="181">
        <v>-94230.769230769234</v>
      </c>
      <c r="AO45" s="175">
        <f>SUM(Data_Dep.12[[#This Row],[KH_2601]:[KH_2612]])</f>
        <v>-1130769.2307692308</v>
      </c>
      <c r="AP45" s="175">
        <f>Data_Dep.12[[#This Row],[Giá trị còn lại 31/12/25]]+Data_Dep.12[[#This Row],[KH LK 2026]]</f>
        <v>7444230.769230769</v>
      </c>
    </row>
    <row r="46" spans="1:42" x14ac:dyDescent="0.3">
      <c r="A46" s="169"/>
      <c r="B46" s="169"/>
      <c r="C46" s="170" t="s">
        <v>337</v>
      </c>
      <c r="D46" s="169" t="str">
        <f>_xlfn.XLOOKUP(Data_Dep.12[[#This Row],[Nhóm tài sản]],MD_Account_Asset_Type[Nhóm tài sản],MD_Account_Asset_Type[Tên Nhóm tài sản])</f>
        <v>Máy móc, thiết bị phụ - SX 627</v>
      </c>
      <c r="E46" s="171" t="s">
        <v>963</v>
      </c>
      <c r="F46" s="170" t="s">
        <v>539</v>
      </c>
      <c r="G46" s="169" t="s">
        <v>830</v>
      </c>
      <c r="H46" s="170" t="s">
        <v>48</v>
      </c>
      <c r="I46" s="170" t="str">
        <f>_xlfn.XLOOKUP(Data_Dep.12[[#This Row],[Cost center]],MD_Cost_Center[Mã Cost Center],MD_Cost_Center[Tên Cost Center])</f>
        <v>Xưởng sản xuất PET</v>
      </c>
      <c r="J46" s="172">
        <f>_xlfn.XLOOKUP(Data_Dep.12[[#This Row],[Cost center]],MD_Cost_Center[Mã Cost Center],MD_Cost_Center[Work center],"Check")</f>
        <v>0</v>
      </c>
      <c r="K46" s="169" t="str">
        <f>_xlfn.XLOOKUP(Data_Dep.12[[#This Row],[Nhóm tài sản]],MD_Account_Asset_Type[Nhóm tài sản],MD_Account_Asset_Type[Tài khoản KH],"Check")</f>
        <v>6274001906</v>
      </c>
      <c r="L46" s="173">
        <v>44438</v>
      </c>
      <c r="M46" s="174">
        <f>EDATE(Data_Dep.12[[#This Row],[Ngày bắt đầu KH]],Data_Dep.12[[#This Row],[T/G Khấu hao]])</f>
        <v>48090</v>
      </c>
      <c r="N46" s="175">
        <v>120</v>
      </c>
      <c r="O46" s="175">
        <v>81000000</v>
      </c>
      <c r="P46" s="176">
        <v>-33750000</v>
      </c>
      <c r="Q46" s="175">
        <f>Data_Dep.12[[#This Row],[Nguyên giá]]+Data_Dep.12[[#This Row],[KH lũy kế]]</f>
        <v>47250000</v>
      </c>
      <c r="R46" s="177">
        <v>-675000</v>
      </c>
      <c r="S46" s="177">
        <v>-675000</v>
      </c>
      <c r="T46" s="177">
        <v>-675000</v>
      </c>
      <c r="U46" s="177">
        <f>SUM(Data_Dep.12[[#This Row],[KH_2510]:[KH_2512]])</f>
        <v>-2025000</v>
      </c>
      <c r="V46" s="175">
        <f>Data_Dep.12[[#This Row],[Nguyên giá]]+Data_Dep.12[[#This Row],[KH lũy kế]]+Data_Dep.12[[#This Row],[KH_Q4.25]]</f>
        <v>45225000</v>
      </c>
      <c r="W46" s="178">
        <f>ROUND(Data_Dep.12[[#This Row],[T/G Khấu hao]]-Data_Dep.12[[#This Row],[Giá trị còn lại 31/12/25]]/Data_Dep.12[[#This Row],[Nguyên giá]]*Data_Dep.12[[#This Row],[T/G Khấu hao]],0)</f>
        <v>53</v>
      </c>
      <c r="X46" s="179">
        <v>24</v>
      </c>
      <c r="Y46" s="175">
        <f>Data_Dep.12[[#This Row],[T/G Khấu hao]]+Data_Dep.12[[#This Row],[Điều chỉnh]]</f>
        <v>144</v>
      </c>
      <c r="Z46" s="180">
        <f>EDATE(Data_Dep.12[[#This Row],[Ngày bắt đầu KH]],Data_Dep.12[[#This Row],[T/G điều chỉnh]])</f>
        <v>48821</v>
      </c>
      <c r="AA46" s="175">
        <f>Data_Dep.12[[#This Row],[T/G điều chỉnh]]-Data_Dep.12[[#This Row],[Số kỳ đã khấu hao]]</f>
        <v>91</v>
      </c>
      <c r="AB46" s="175">
        <f>IFERROR(-Data_Dep.12[[#This Row],[Giá trị còn lại 31/12/25]]/(Data_Dep.12[[#This Row],[T/G điều chỉnh]]-Data_Dep.12[[#This Row],[Số kỳ đã khấu hao]]),0)</f>
        <v>-496978.02197802201</v>
      </c>
      <c r="AC46" s="181">
        <v>-496978.02197802201</v>
      </c>
      <c r="AD46" s="181">
        <v>-496978.02197802201</v>
      </c>
      <c r="AE46" s="181">
        <v>-496978.02197802201</v>
      </c>
      <c r="AF46" s="181">
        <v>-496978.02197802201</v>
      </c>
      <c r="AG46" s="181">
        <v>-496978.02197802201</v>
      </c>
      <c r="AH46" s="181">
        <v>-496978.02197802201</v>
      </c>
      <c r="AI46" s="181">
        <v>-496978.02197802201</v>
      </c>
      <c r="AJ46" s="181">
        <v>-496978.02197802201</v>
      </c>
      <c r="AK46" s="181">
        <v>-496978.02197802201</v>
      </c>
      <c r="AL46" s="181">
        <v>-496978.02197802201</v>
      </c>
      <c r="AM46" s="181">
        <v>-496978.02197802201</v>
      </c>
      <c r="AN46" s="181">
        <v>-496978.02197802201</v>
      </c>
      <c r="AO46" s="175">
        <f>SUM(Data_Dep.12[[#This Row],[KH_2601]:[KH_2612]])</f>
        <v>-5963736.2637362629</v>
      </c>
      <c r="AP46" s="175">
        <f>Data_Dep.12[[#This Row],[Giá trị còn lại 31/12/25]]+Data_Dep.12[[#This Row],[KH LK 2026]]</f>
        <v>39261263.736263737</v>
      </c>
    </row>
    <row r="47" spans="1:42" x14ac:dyDescent="0.3">
      <c r="A47" s="169"/>
      <c r="B47" s="169"/>
      <c r="C47" s="170" t="s">
        <v>337</v>
      </c>
      <c r="D47" s="169" t="str">
        <f>_xlfn.XLOOKUP(Data_Dep.12[[#This Row],[Nhóm tài sản]],MD_Account_Asset_Type[Nhóm tài sản],MD_Account_Asset_Type[Tên Nhóm tài sản])</f>
        <v>Máy móc, thiết bị phụ - SX 627</v>
      </c>
      <c r="E47" s="171" t="s">
        <v>966</v>
      </c>
      <c r="F47" s="170" t="s">
        <v>540</v>
      </c>
      <c r="G47" s="169" t="s">
        <v>830</v>
      </c>
      <c r="H47" s="170" t="s">
        <v>48</v>
      </c>
      <c r="I47" s="170" t="str">
        <f>_xlfn.XLOOKUP(Data_Dep.12[[#This Row],[Cost center]],MD_Cost_Center[Mã Cost Center],MD_Cost_Center[Tên Cost Center])</f>
        <v>Xưởng sản xuất PET</v>
      </c>
      <c r="J47" s="172">
        <f>_xlfn.XLOOKUP(Data_Dep.12[[#This Row],[Cost center]],MD_Cost_Center[Mã Cost Center],MD_Cost_Center[Work center],"Check")</f>
        <v>0</v>
      </c>
      <c r="K47" s="169" t="str">
        <f>_xlfn.XLOOKUP(Data_Dep.12[[#This Row],[Nhóm tài sản]],MD_Account_Asset_Type[Nhóm tài sản],MD_Account_Asset_Type[Tài khoản KH],"Check")</f>
        <v>6274001906</v>
      </c>
      <c r="L47" s="173">
        <v>44519</v>
      </c>
      <c r="M47" s="174">
        <f>EDATE(Data_Dep.12[[#This Row],[Ngày bắt đầu KH]],Data_Dep.12[[#This Row],[T/G Khấu hao]])</f>
        <v>46710</v>
      </c>
      <c r="N47" s="175">
        <v>72</v>
      </c>
      <c r="O47" s="175">
        <v>88000000</v>
      </c>
      <c r="P47" s="176">
        <v>-57444445</v>
      </c>
      <c r="Q47" s="175">
        <f>Data_Dep.12[[#This Row],[Nguyên giá]]+Data_Dep.12[[#This Row],[KH lũy kế]]</f>
        <v>30555555</v>
      </c>
      <c r="R47" s="177">
        <v>-1222222</v>
      </c>
      <c r="S47" s="177">
        <v>-1222222</v>
      </c>
      <c r="T47" s="177">
        <v>-1222222</v>
      </c>
      <c r="U47" s="177">
        <f>SUM(Data_Dep.12[[#This Row],[KH_2510]:[KH_2512]])</f>
        <v>-3666666</v>
      </c>
      <c r="V47" s="175">
        <f>Data_Dep.12[[#This Row],[Nguyên giá]]+Data_Dep.12[[#This Row],[KH lũy kế]]+Data_Dep.12[[#This Row],[KH_Q4.25]]</f>
        <v>26888889</v>
      </c>
      <c r="W47" s="178">
        <f>ROUND(Data_Dep.12[[#This Row],[T/G Khấu hao]]-Data_Dep.12[[#This Row],[Giá trị còn lại 31/12/25]]/Data_Dep.12[[#This Row],[Nguyên giá]]*Data_Dep.12[[#This Row],[T/G Khấu hao]],0)</f>
        <v>50</v>
      </c>
      <c r="X47" s="179">
        <v>72</v>
      </c>
      <c r="Y47" s="175">
        <f>Data_Dep.12[[#This Row],[T/G Khấu hao]]+Data_Dep.12[[#This Row],[Điều chỉnh]]</f>
        <v>144</v>
      </c>
      <c r="Z47" s="180">
        <f>EDATE(Data_Dep.12[[#This Row],[Ngày bắt đầu KH]],Data_Dep.12[[#This Row],[T/G điều chỉnh]])</f>
        <v>48902</v>
      </c>
      <c r="AA47" s="175">
        <f>Data_Dep.12[[#This Row],[T/G điều chỉnh]]-Data_Dep.12[[#This Row],[Số kỳ đã khấu hao]]</f>
        <v>94</v>
      </c>
      <c r="AB47" s="175">
        <f>IFERROR(-Data_Dep.12[[#This Row],[Giá trị còn lại 31/12/25]]/(Data_Dep.12[[#This Row],[T/G điều chỉnh]]-Data_Dep.12[[#This Row],[Số kỳ đã khấu hao]]),0)</f>
        <v>-286052.01063829788</v>
      </c>
      <c r="AC47" s="181">
        <v>-286052.01063829788</v>
      </c>
      <c r="AD47" s="181">
        <v>-286052.01063829788</v>
      </c>
      <c r="AE47" s="181">
        <v>-286052.01063829788</v>
      </c>
      <c r="AF47" s="181">
        <v>-286052.01063829788</v>
      </c>
      <c r="AG47" s="181">
        <v>-286052.01063829788</v>
      </c>
      <c r="AH47" s="181">
        <v>-286052.01063829788</v>
      </c>
      <c r="AI47" s="181">
        <v>-286052.01063829788</v>
      </c>
      <c r="AJ47" s="181">
        <v>-286052.01063829788</v>
      </c>
      <c r="AK47" s="181">
        <v>-286052.01063829788</v>
      </c>
      <c r="AL47" s="181">
        <v>-286052.01063829788</v>
      </c>
      <c r="AM47" s="181">
        <v>-286052.01063829788</v>
      </c>
      <c r="AN47" s="181">
        <v>-286052.01063829788</v>
      </c>
      <c r="AO47" s="175">
        <f>SUM(Data_Dep.12[[#This Row],[KH_2601]:[KH_2612]])</f>
        <v>-3432624.1276595755</v>
      </c>
      <c r="AP47" s="175">
        <f>Data_Dep.12[[#This Row],[Giá trị còn lại 31/12/25]]+Data_Dep.12[[#This Row],[KH LK 2026]]</f>
        <v>23456264.872340426</v>
      </c>
    </row>
    <row r="48" spans="1:42" x14ac:dyDescent="0.3">
      <c r="A48" s="169"/>
      <c r="B48" s="169"/>
      <c r="C48" s="170" t="s">
        <v>337</v>
      </c>
      <c r="D48" s="169" t="str">
        <f>_xlfn.XLOOKUP(Data_Dep.12[[#This Row],[Nhóm tài sản]],MD_Account_Asset_Type[Nhóm tài sản],MD_Account_Asset_Type[Tên Nhóm tài sản])</f>
        <v>Máy móc, thiết bị phụ - SX 627</v>
      </c>
      <c r="E48" s="171" t="s">
        <v>971</v>
      </c>
      <c r="F48" s="170" t="s">
        <v>541</v>
      </c>
      <c r="G48" s="169" t="s">
        <v>830</v>
      </c>
      <c r="H48" s="170" t="s">
        <v>48</v>
      </c>
      <c r="I48" s="170" t="str">
        <f>_xlfn.XLOOKUP(Data_Dep.12[[#This Row],[Cost center]],MD_Cost_Center[Mã Cost Center],MD_Cost_Center[Tên Cost Center])</f>
        <v>Xưởng sản xuất PET</v>
      </c>
      <c r="J48" s="172">
        <f>_xlfn.XLOOKUP(Data_Dep.12[[#This Row],[Cost center]],MD_Cost_Center[Mã Cost Center],MD_Cost_Center[Work center],"Check")</f>
        <v>0</v>
      </c>
      <c r="K48" s="169" t="str">
        <f>_xlfn.XLOOKUP(Data_Dep.12[[#This Row],[Nhóm tài sản]],MD_Account_Asset_Type[Nhóm tài sản],MD_Account_Asset_Type[Tài khoản KH],"Check")</f>
        <v>6274001906</v>
      </c>
      <c r="L48" s="173">
        <v>44589</v>
      </c>
      <c r="M48" s="174">
        <f>EDATE(Data_Dep.12[[#This Row],[Ngày bắt đầu KH]],Data_Dep.12[[#This Row],[T/G Khấu hao]])</f>
        <v>46780</v>
      </c>
      <c r="N48" s="175">
        <v>72</v>
      </c>
      <c r="O48" s="175">
        <v>399701250</v>
      </c>
      <c r="P48" s="176">
        <v>-249813281</v>
      </c>
      <c r="Q48" s="175">
        <f>Data_Dep.12[[#This Row],[Nguyên giá]]+Data_Dep.12[[#This Row],[KH lũy kế]]</f>
        <v>149887969</v>
      </c>
      <c r="R48" s="177">
        <v>-5551407</v>
      </c>
      <c r="S48" s="177">
        <v>-5551406</v>
      </c>
      <c r="T48" s="177">
        <v>-5551406</v>
      </c>
      <c r="U48" s="177">
        <f>SUM(Data_Dep.12[[#This Row],[KH_2510]:[KH_2512]])</f>
        <v>-16654219</v>
      </c>
      <c r="V48" s="175">
        <f>Data_Dep.12[[#This Row],[Nguyên giá]]+Data_Dep.12[[#This Row],[KH lũy kế]]+Data_Dep.12[[#This Row],[KH_Q4.25]]</f>
        <v>133233750</v>
      </c>
      <c r="W48" s="178">
        <f>ROUND(Data_Dep.12[[#This Row],[T/G Khấu hao]]-Data_Dep.12[[#This Row],[Giá trị còn lại 31/12/25]]/Data_Dep.12[[#This Row],[Nguyên giá]]*Data_Dep.12[[#This Row],[T/G Khấu hao]],0)</f>
        <v>48</v>
      </c>
      <c r="X48" s="179">
        <v>72</v>
      </c>
      <c r="Y48" s="175">
        <f>Data_Dep.12[[#This Row],[T/G Khấu hao]]+Data_Dep.12[[#This Row],[Điều chỉnh]]</f>
        <v>144</v>
      </c>
      <c r="Z48" s="180">
        <f>EDATE(Data_Dep.12[[#This Row],[Ngày bắt đầu KH]],Data_Dep.12[[#This Row],[T/G điều chỉnh]])</f>
        <v>48972</v>
      </c>
      <c r="AA48" s="175">
        <f>Data_Dep.12[[#This Row],[T/G điều chỉnh]]-Data_Dep.12[[#This Row],[Số kỳ đã khấu hao]]</f>
        <v>96</v>
      </c>
      <c r="AB48" s="175">
        <f>IFERROR(-Data_Dep.12[[#This Row],[Giá trị còn lại 31/12/25]]/(Data_Dep.12[[#This Row],[T/G điều chỉnh]]-Data_Dep.12[[#This Row],[Số kỳ đã khấu hao]]),0)</f>
        <v>-1387851.5625</v>
      </c>
      <c r="AC48" s="181">
        <v>-1387851.5625</v>
      </c>
      <c r="AD48" s="181">
        <v>-1387851.5625</v>
      </c>
      <c r="AE48" s="181">
        <v>-1387851.5625</v>
      </c>
      <c r="AF48" s="181">
        <v>-1387851.5625</v>
      </c>
      <c r="AG48" s="181">
        <v>-1387851.5625</v>
      </c>
      <c r="AH48" s="181">
        <v>-1387851.5625</v>
      </c>
      <c r="AI48" s="181">
        <v>-1387851.5625</v>
      </c>
      <c r="AJ48" s="181">
        <v>-1387851.5625</v>
      </c>
      <c r="AK48" s="181">
        <v>-1387851.5625</v>
      </c>
      <c r="AL48" s="181">
        <v>-1387851.5625</v>
      </c>
      <c r="AM48" s="181">
        <v>-1387851.5625</v>
      </c>
      <c r="AN48" s="181">
        <v>-1387851.5625</v>
      </c>
      <c r="AO48" s="175">
        <f>SUM(Data_Dep.12[[#This Row],[KH_2601]:[KH_2612]])</f>
        <v>-16654218.75</v>
      </c>
      <c r="AP48" s="175">
        <f>Data_Dep.12[[#This Row],[Giá trị còn lại 31/12/25]]+Data_Dep.12[[#This Row],[KH LK 2026]]</f>
        <v>116579531.25</v>
      </c>
    </row>
    <row r="49" spans="1:42" x14ac:dyDescent="0.3">
      <c r="A49" s="169"/>
      <c r="B49" s="169"/>
      <c r="C49" s="170" t="s">
        <v>337</v>
      </c>
      <c r="D49" s="169" t="str">
        <f>_xlfn.XLOOKUP(Data_Dep.12[[#This Row],[Nhóm tài sản]],MD_Account_Asset_Type[Nhóm tài sản],MD_Account_Asset_Type[Tên Nhóm tài sản])</f>
        <v>Máy móc, thiết bị phụ - SX 627</v>
      </c>
      <c r="E49" s="171" t="s">
        <v>972</v>
      </c>
      <c r="F49" s="170" t="s">
        <v>542</v>
      </c>
      <c r="G49" s="169" t="s">
        <v>830</v>
      </c>
      <c r="H49" s="170" t="s">
        <v>46</v>
      </c>
      <c r="I49" s="170" t="str">
        <f>_xlfn.XLOOKUP(Data_Dep.12[[#This Row],[Cost center]],MD_Cost_Center[Mã Cost Center],MD_Cost_Center[Tên Cost Center])</f>
        <v>Kiểm soát chất lượng</v>
      </c>
      <c r="J49" s="172">
        <f>_xlfn.XLOOKUP(Data_Dep.12[[#This Row],[Cost center]],MD_Cost_Center[Mã Cost Center],MD_Cost_Center[Work center],"Check")</f>
        <v>0</v>
      </c>
      <c r="K49" s="169" t="str">
        <f>_xlfn.XLOOKUP(Data_Dep.12[[#This Row],[Nhóm tài sản]],MD_Account_Asset_Type[Nhóm tài sản],MD_Account_Asset_Type[Tài khoản KH],"Check")</f>
        <v>6274001906</v>
      </c>
      <c r="L49" s="173">
        <v>44614</v>
      </c>
      <c r="M49" s="174">
        <f>EDATE(Data_Dep.12[[#This Row],[Ngày bắt đầu KH]],Data_Dep.12[[#This Row],[T/G Khấu hao]])</f>
        <v>46440</v>
      </c>
      <c r="N49" s="175">
        <v>60</v>
      </c>
      <c r="O49" s="175">
        <v>78409091</v>
      </c>
      <c r="P49" s="176">
        <v>-57500000</v>
      </c>
      <c r="Q49" s="175">
        <f>Data_Dep.12[[#This Row],[Nguyên giá]]+Data_Dep.12[[#This Row],[KH lũy kế]]</f>
        <v>20909091</v>
      </c>
      <c r="R49" s="177">
        <v>-1306818</v>
      </c>
      <c r="S49" s="177">
        <v>-1306818</v>
      </c>
      <c r="T49" s="177">
        <v>-1306818</v>
      </c>
      <c r="U49" s="177">
        <f>SUM(Data_Dep.12[[#This Row],[KH_2510]:[KH_2512]])</f>
        <v>-3920454</v>
      </c>
      <c r="V49" s="175">
        <f>Data_Dep.12[[#This Row],[Nguyên giá]]+Data_Dep.12[[#This Row],[KH lũy kế]]+Data_Dep.12[[#This Row],[KH_Q4.25]]</f>
        <v>16988637</v>
      </c>
      <c r="W49" s="178">
        <f>ROUND(Data_Dep.12[[#This Row],[T/G Khấu hao]]-Data_Dep.12[[#This Row],[Giá trị còn lại 31/12/25]]/Data_Dep.12[[#This Row],[Nguyên giá]]*Data_Dep.12[[#This Row],[T/G Khấu hao]],0)</f>
        <v>47</v>
      </c>
      <c r="X49" s="179">
        <v>84</v>
      </c>
      <c r="Y49" s="175">
        <f>Data_Dep.12[[#This Row],[T/G Khấu hao]]+Data_Dep.12[[#This Row],[Điều chỉnh]]</f>
        <v>144</v>
      </c>
      <c r="Z49" s="180">
        <f>EDATE(Data_Dep.12[[#This Row],[Ngày bắt đầu KH]],Data_Dep.12[[#This Row],[T/G điều chỉnh]])</f>
        <v>48997</v>
      </c>
      <c r="AA49" s="175">
        <f>Data_Dep.12[[#This Row],[T/G điều chỉnh]]-Data_Dep.12[[#This Row],[Số kỳ đã khấu hao]]</f>
        <v>97</v>
      </c>
      <c r="AB49" s="175">
        <f>IFERROR(-Data_Dep.12[[#This Row],[Giá trị còn lại 31/12/25]]/(Data_Dep.12[[#This Row],[T/G điều chỉnh]]-Data_Dep.12[[#This Row],[Số kỳ đã khấu hao]]),0)</f>
        <v>-175140.58762886599</v>
      </c>
      <c r="AC49" s="181">
        <v>-175140.58762886599</v>
      </c>
      <c r="AD49" s="181">
        <v>-175140.58762886599</v>
      </c>
      <c r="AE49" s="181">
        <v>-175140.58762886599</v>
      </c>
      <c r="AF49" s="181">
        <v>-175140.58762886599</v>
      </c>
      <c r="AG49" s="181">
        <v>-175140.58762886599</v>
      </c>
      <c r="AH49" s="181">
        <v>-175140.58762886599</v>
      </c>
      <c r="AI49" s="181">
        <v>-175140.58762886599</v>
      </c>
      <c r="AJ49" s="181">
        <v>-175140.58762886599</v>
      </c>
      <c r="AK49" s="181">
        <v>-175140.58762886599</v>
      </c>
      <c r="AL49" s="181">
        <v>-175140.58762886599</v>
      </c>
      <c r="AM49" s="181">
        <v>-175140.58762886599</v>
      </c>
      <c r="AN49" s="181">
        <v>-175140.58762886599</v>
      </c>
      <c r="AO49" s="175">
        <f>SUM(Data_Dep.12[[#This Row],[KH_2601]:[KH_2612]])</f>
        <v>-2101687.0515463925</v>
      </c>
      <c r="AP49" s="175">
        <f>Data_Dep.12[[#This Row],[Giá trị còn lại 31/12/25]]+Data_Dep.12[[#This Row],[KH LK 2026]]</f>
        <v>14886949.948453607</v>
      </c>
    </row>
    <row r="50" spans="1:42" x14ac:dyDescent="0.3">
      <c r="A50" s="169"/>
      <c r="B50" s="169"/>
      <c r="C50" s="170" t="s">
        <v>337</v>
      </c>
      <c r="D50" s="169" t="str">
        <f>_xlfn.XLOOKUP(Data_Dep.12[[#This Row],[Nhóm tài sản]],MD_Account_Asset_Type[Nhóm tài sản],MD_Account_Asset_Type[Tên Nhóm tài sản])</f>
        <v>Máy móc, thiết bị phụ - SX 627</v>
      </c>
      <c r="E50" s="171" t="s">
        <v>973</v>
      </c>
      <c r="F50" s="170" t="s">
        <v>543</v>
      </c>
      <c r="G50" s="169" t="s">
        <v>830</v>
      </c>
      <c r="H50" s="170" t="s">
        <v>56</v>
      </c>
      <c r="I50" s="170" t="str">
        <f>_xlfn.XLOOKUP(Data_Dep.12[[#This Row],[Cost center]],MD_Cost_Center[Mã Cost Center],MD_Cost_Center[Tên Cost Center])</f>
        <v>Máy tạo vảy - Carno</v>
      </c>
      <c r="J50" s="172" t="str">
        <f>_xlfn.XLOOKUP(Data_Dep.12[[#This Row],[Cost center]],MD_Cost_Center[Mã Cost Center],MD_Cost_Center[Work center],"Check")</f>
        <v>CARN-01 | CARN-02 | CARN-03 | CARN-04</v>
      </c>
      <c r="K50" s="169" t="str">
        <f>_xlfn.XLOOKUP(Data_Dep.12[[#This Row],[Nhóm tài sản]],MD_Account_Asset_Type[Nhóm tài sản],MD_Account_Asset_Type[Tài khoản KH],"Check")</f>
        <v>6274001906</v>
      </c>
      <c r="L50" s="173">
        <v>44713</v>
      </c>
      <c r="M50" s="174">
        <f>EDATE(Data_Dep.12[[#This Row],[Ngày bắt đầu KH]],Data_Dep.12[[#This Row],[T/G Khấu hao]])</f>
        <v>46539</v>
      </c>
      <c r="N50" s="175">
        <v>60</v>
      </c>
      <c r="O50" s="175">
        <v>60000000</v>
      </c>
      <c r="P50" s="176">
        <v>-40000000</v>
      </c>
      <c r="Q50" s="175">
        <f>Data_Dep.12[[#This Row],[Nguyên giá]]+Data_Dep.12[[#This Row],[KH lũy kế]]</f>
        <v>20000000</v>
      </c>
      <c r="R50" s="177">
        <v>-1000000</v>
      </c>
      <c r="S50" s="177">
        <v>-1000000</v>
      </c>
      <c r="T50" s="177">
        <v>-1000000</v>
      </c>
      <c r="U50" s="177">
        <f>SUM(Data_Dep.12[[#This Row],[KH_2510]:[KH_2512]])</f>
        <v>-3000000</v>
      </c>
      <c r="V50" s="175">
        <f>Data_Dep.12[[#This Row],[Nguyên giá]]+Data_Dep.12[[#This Row],[KH lũy kế]]+Data_Dep.12[[#This Row],[KH_Q4.25]]</f>
        <v>17000000</v>
      </c>
      <c r="W50" s="178">
        <f>ROUND(Data_Dep.12[[#This Row],[T/G Khấu hao]]-Data_Dep.12[[#This Row],[Giá trị còn lại 31/12/25]]/Data_Dep.12[[#This Row],[Nguyên giá]]*Data_Dep.12[[#This Row],[T/G Khấu hao]],0)</f>
        <v>43</v>
      </c>
      <c r="X50" s="179">
        <v>84</v>
      </c>
      <c r="Y50" s="175">
        <f>Data_Dep.12[[#This Row],[T/G Khấu hao]]+Data_Dep.12[[#This Row],[Điều chỉnh]]</f>
        <v>144</v>
      </c>
      <c r="Z50" s="180">
        <f>EDATE(Data_Dep.12[[#This Row],[Ngày bắt đầu KH]],Data_Dep.12[[#This Row],[T/G điều chỉnh]])</f>
        <v>49096</v>
      </c>
      <c r="AA50" s="175">
        <f>Data_Dep.12[[#This Row],[T/G điều chỉnh]]-Data_Dep.12[[#This Row],[Số kỳ đã khấu hao]]</f>
        <v>101</v>
      </c>
      <c r="AB50" s="175">
        <f>IFERROR(-Data_Dep.12[[#This Row],[Giá trị còn lại 31/12/25]]/(Data_Dep.12[[#This Row],[T/G điều chỉnh]]-Data_Dep.12[[#This Row],[Số kỳ đã khấu hao]]),0)</f>
        <v>-168316.8316831683</v>
      </c>
      <c r="AC50" s="181">
        <v>-168316.8316831683</v>
      </c>
      <c r="AD50" s="181">
        <v>-168316.8316831683</v>
      </c>
      <c r="AE50" s="181">
        <v>-168316.8316831683</v>
      </c>
      <c r="AF50" s="181">
        <v>-168316.8316831683</v>
      </c>
      <c r="AG50" s="181">
        <v>-168316.8316831683</v>
      </c>
      <c r="AH50" s="181">
        <v>-168316.8316831683</v>
      </c>
      <c r="AI50" s="181">
        <v>-168316.8316831683</v>
      </c>
      <c r="AJ50" s="181">
        <v>-168316.8316831683</v>
      </c>
      <c r="AK50" s="181">
        <v>-168316.8316831683</v>
      </c>
      <c r="AL50" s="181">
        <v>-168316.8316831683</v>
      </c>
      <c r="AM50" s="181">
        <v>-168316.8316831683</v>
      </c>
      <c r="AN50" s="181">
        <v>-168316.8316831683</v>
      </c>
      <c r="AO50" s="175">
        <f>SUM(Data_Dep.12[[#This Row],[KH_2601]:[KH_2612]])</f>
        <v>-2019801.9801980192</v>
      </c>
      <c r="AP50" s="175">
        <f>Data_Dep.12[[#This Row],[Giá trị còn lại 31/12/25]]+Data_Dep.12[[#This Row],[KH LK 2026]]</f>
        <v>14980198.019801982</v>
      </c>
    </row>
    <row r="51" spans="1:42" x14ac:dyDescent="0.3">
      <c r="A51" s="169"/>
      <c r="B51" s="169"/>
      <c r="C51" s="170" t="s">
        <v>337</v>
      </c>
      <c r="D51" s="169" t="str">
        <f>_xlfn.XLOOKUP(Data_Dep.12[[#This Row],[Nhóm tài sản]],MD_Account_Asset_Type[Nhóm tài sản],MD_Account_Asset_Type[Tên Nhóm tài sản])</f>
        <v>Máy móc, thiết bị phụ - SX 627</v>
      </c>
      <c r="E51" s="171" t="s">
        <v>974</v>
      </c>
      <c r="F51" s="170" t="s">
        <v>544</v>
      </c>
      <c r="G51" s="169" t="s">
        <v>502</v>
      </c>
      <c r="H51" s="170" t="s">
        <v>51</v>
      </c>
      <c r="I51" s="170" t="str">
        <f>_xlfn.XLOOKUP(Data_Dep.12[[#This Row],[Cost center]],MD_Cost_Center[Mã Cost Center],MD_Cost_Center[Tên Cost Center])</f>
        <v>Chuyền máy tạo vảy PET CW+Tomra</v>
      </c>
      <c r="J51" s="172" t="str">
        <f>_xlfn.XLOOKUP(Data_Dep.12[[#This Row],[Cost center]],MD_Cost_Center[Mã Cost Center],MD_Cost_Center[Work center],"Check")</f>
        <v>CHWO-R01</v>
      </c>
      <c r="K51" s="169" t="str">
        <f>_xlfn.XLOOKUP(Data_Dep.12[[#This Row],[Nhóm tài sản]],MD_Account_Asset_Type[Nhóm tài sản],MD_Account_Asset_Type[Tài khoản KH],"Check")</f>
        <v>6274001906</v>
      </c>
      <c r="L51" s="173">
        <v>44620</v>
      </c>
      <c r="M51" s="174">
        <f>EDATE(Data_Dep.12[[#This Row],[Ngày bắt đầu KH]],Data_Dep.12[[#This Row],[T/G Khấu hao]])</f>
        <v>46811</v>
      </c>
      <c r="N51" s="175">
        <v>72</v>
      </c>
      <c r="O51" s="175">
        <v>125800000</v>
      </c>
      <c r="P51" s="176">
        <v>-76877778</v>
      </c>
      <c r="Q51" s="175">
        <f>Data_Dep.12[[#This Row],[Nguyên giá]]+Data_Dep.12[[#This Row],[KH lũy kế]]</f>
        <v>48922222</v>
      </c>
      <c r="R51" s="177">
        <v>-1747222</v>
      </c>
      <c r="S51" s="177">
        <v>-1747222</v>
      </c>
      <c r="T51" s="177">
        <v>-1747223</v>
      </c>
      <c r="U51" s="177">
        <f>SUM(Data_Dep.12[[#This Row],[KH_2510]:[KH_2512]])</f>
        <v>-5241667</v>
      </c>
      <c r="V51" s="175">
        <f>Data_Dep.12[[#This Row],[Nguyên giá]]+Data_Dep.12[[#This Row],[KH lũy kế]]+Data_Dep.12[[#This Row],[KH_Q4.25]]</f>
        <v>43680555</v>
      </c>
      <c r="W51" s="178">
        <f>ROUND(Data_Dep.12[[#This Row],[T/G Khấu hao]]-Data_Dep.12[[#This Row],[Giá trị còn lại 31/12/25]]/Data_Dep.12[[#This Row],[Nguyên giá]]*Data_Dep.12[[#This Row],[T/G Khấu hao]],0)</f>
        <v>47</v>
      </c>
      <c r="X51" s="179">
        <v>72</v>
      </c>
      <c r="Y51" s="175">
        <f>Data_Dep.12[[#This Row],[T/G Khấu hao]]+Data_Dep.12[[#This Row],[Điều chỉnh]]</f>
        <v>144</v>
      </c>
      <c r="Z51" s="180">
        <f>EDATE(Data_Dep.12[[#This Row],[Ngày bắt đầu KH]],Data_Dep.12[[#This Row],[T/G điều chỉnh]])</f>
        <v>49003</v>
      </c>
      <c r="AA51" s="175">
        <f>Data_Dep.12[[#This Row],[T/G điều chỉnh]]-Data_Dep.12[[#This Row],[Số kỳ đã khấu hao]]</f>
        <v>97</v>
      </c>
      <c r="AB51" s="175">
        <f>IFERROR(-Data_Dep.12[[#This Row],[Giá trị còn lại 31/12/25]]/(Data_Dep.12[[#This Row],[T/G điều chỉnh]]-Data_Dep.12[[#This Row],[Số kỳ đã khấu hao]]),0)</f>
        <v>-450315</v>
      </c>
      <c r="AC51" s="181">
        <v>-450315</v>
      </c>
      <c r="AD51" s="181">
        <v>-450315</v>
      </c>
      <c r="AE51" s="181">
        <v>-450315</v>
      </c>
      <c r="AF51" s="181">
        <v>-450315</v>
      </c>
      <c r="AG51" s="181">
        <v>-450315</v>
      </c>
      <c r="AH51" s="181">
        <v>-450315</v>
      </c>
      <c r="AI51" s="181">
        <v>-450315</v>
      </c>
      <c r="AJ51" s="181">
        <v>-450315</v>
      </c>
      <c r="AK51" s="181">
        <v>-450315</v>
      </c>
      <c r="AL51" s="181">
        <v>-450315</v>
      </c>
      <c r="AM51" s="181">
        <v>-450315</v>
      </c>
      <c r="AN51" s="181">
        <v>-450315</v>
      </c>
      <c r="AO51" s="175">
        <f>SUM(Data_Dep.12[[#This Row],[KH_2601]:[KH_2612]])</f>
        <v>-5403780</v>
      </c>
      <c r="AP51" s="175">
        <f>Data_Dep.12[[#This Row],[Giá trị còn lại 31/12/25]]+Data_Dep.12[[#This Row],[KH LK 2026]]</f>
        <v>38276775</v>
      </c>
    </row>
    <row r="52" spans="1:42" x14ac:dyDescent="0.3">
      <c r="A52" s="169"/>
      <c r="B52" s="169"/>
      <c r="C52" s="170" t="s">
        <v>337</v>
      </c>
      <c r="D52" s="169" t="str">
        <f>_xlfn.XLOOKUP(Data_Dep.12[[#This Row],[Nhóm tài sản]],MD_Account_Asset_Type[Nhóm tài sản],MD_Account_Asset_Type[Tên Nhóm tài sản])</f>
        <v>Máy móc, thiết bị phụ - SX 627</v>
      </c>
      <c r="E52" s="171" t="s">
        <v>975</v>
      </c>
      <c r="F52" s="170" t="s">
        <v>544</v>
      </c>
      <c r="G52" s="169" t="s">
        <v>830</v>
      </c>
      <c r="H52" s="170" t="s">
        <v>61</v>
      </c>
      <c r="I52" s="170" t="str">
        <f>_xlfn.XLOOKUP(Data_Dep.12[[#This Row],[Cost center]],MD_Cost_Center[Mã Cost Center],MD_Cost_Center[Tên Cost Center])</f>
        <v>Chuyền băm chai PET</v>
      </c>
      <c r="J52" s="172" t="str">
        <f>_xlfn.XLOOKUP(Data_Dep.12[[#This Row],[Cost center]],MD_Cost_Center[Mã Cost Center],MD_Cost_Center[Work center],"Check")</f>
        <v>CHWO-B01</v>
      </c>
      <c r="K52" s="169" t="str">
        <f>_xlfn.XLOOKUP(Data_Dep.12[[#This Row],[Nhóm tài sản]],MD_Account_Asset_Type[Nhóm tài sản],MD_Account_Asset_Type[Tài khoản KH],"Check")</f>
        <v>6274001906</v>
      </c>
      <c r="L52" s="173">
        <v>44620</v>
      </c>
      <c r="M52" s="174">
        <f>EDATE(Data_Dep.12[[#This Row],[Ngày bắt đầu KH]],Data_Dep.12[[#This Row],[T/G Khấu hao]])</f>
        <v>46811</v>
      </c>
      <c r="N52" s="175">
        <v>72</v>
      </c>
      <c r="O52" s="175">
        <v>125800000</v>
      </c>
      <c r="P52" s="176">
        <v>-76877778</v>
      </c>
      <c r="Q52" s="175">
        <f>Data_Dep.12[[#This Row],[Nguyên giá]]+Data_Dep.12[[#This Row],[KH lũy kế]]</f>
        <v>48922222</v>
      </c>
      <c r="R52" s="177">
        <v>-1747222</v>
      </c>
      <c r="S52" s="177">
        <v>-1747222</v>
      </c>
      <c r="T52" s="177">
        <v>-1747223</v>
      </c>
      <c r="U52" s="177">
        <f>SUM(Data_Dep.12[[#This Row],[KH_2510]:[KH_2512]])</f>
        <v>-5241667</v>
      </c>
      <c r="V52" s="175">
        <f>Data_Dep.12[[#This Row],[Nguyên giá]]+Data_Dep.12[[#This Row],[KH lũy kế]]+Data_Dep.12[[#This Row],[KH_Q4.25]]</f>
        <v>43680555</v>
      </c>
      <c r="W52" s="178">
        <f>ROUND(Data_Dep.12[[#This Row],[T/G Khấu hao]]-Data_Dep.12[[#This Row],[Giá trị còn lại 31/12/25]]/Data_Dep.12[[#This Row],[Nguyên giá]]*Data_Dep.12[[#This Row],[T/G Khấu hao]],0)</f>
        <v>47</v>
      </c>
      <c r="X52" s="179">
        <v>72</v>
      </c>
      <c r="Y52" s="175">
        <f>Data_Dep.12[[#This Row],[T/G Khấu hao]]+Data_Dep.12[[#This Row],[Điều chỉnh]]</f>
        <v>144</v>
      </c>
      <c r="Z52" s="180">
        <f>EDATE(Data_Dep.12[[#This Row],[Ngày bắt đầu KH]],Data_Dep.12[[#This Row],[T/G điều chỉnh]])</f>
        <v>49003</v>
      </c>
      <c r="AA52" s="175">
        <f>Data_Dep.12[[#This Row],[T/G điều chỉnh]]-Data_Dep.12[[#This Row],[Số kỳ đã khấu hao]]</f>
        <v>97</v>
      </c>
      <c r="AB52" s="175">
        <f>IFERROR(-Data_Dep.12[[#This Row],[Giá trị còn lại 31/12/25]]/(Data_Dep.12[[#This Row],[T/G điều chỉnh]]-Data_Dep.12[[#This Row],[Số kỳ đã khấu hao]]),0)</f>
        <v>-450315</v>
      </c>
      <c r="AC52" s="181">
        <v>-450315</v>
      </c>
      <c r="AD52" s="181">
        <v>-450315</v>
      </c>
      <c r="AE52" s="181">
        <v>-450315</v>
      </c>
      <c r="AF52" s="181">
        <v>-450315</v>
      </c>
      <c r="AG52" s="181">
        <v>-450315</v>
      </c>
      <c r="AH52" s="181">
        <v>-450315</v>
      </c>
      <c r="AI52" s="181">
        <v>-450315</v>
      </c>
      <c r="AJ52" s="181">
        <v>-450315</v>
      </c>
      <c r="AK52" s="181">
        <v>-450315</v>
      </c>
      <c r="AL52" s="181">
        <v>-450315</v>
      </c>
      <c r="AM52" s="181">
        <v>-450315</v>
      </c>
      <c r="AN52" s="181">
        <v>-450315</v>
      </c>
      <c r="AO52" s="175">
        <f>SUM(Data_Dep.12[[#This Row],[KH_2601]:[KH_2612]])</f>
        <v>-5403780</v>
      </c>
      <c r="AP52" s="175">
        <f>Data_Dep.12[[#This Row],[Giá trị còn lại 31/12/25]]+Data_Dep.12[[#This Row],[KH LK 2026]]</f>
        <v>38276775</v>
      </c>
    </row>
    <row r="53" spans="1:42" x14ac:dyDescent="0.3">
      <c r="A53" s="169"/>
      <c r="B53" s="169"/>
      <c r="C53" s="170" t="s">
        <v>337</v>
      </c>
      <c r="D53" s="169" t="str">
        <f>_xlfn.XLOOKUP(Data_Dep.12[[#This Row],[Nhóm tài sản]],MD_Account_Asset_Type[Nhóm tài sản],MD_Account_Asset_Type[Tên Nhóm tài sản])</f>
        <v>Máy móc, thiết bị phụ - SX 627</v>
      </c>
      <c r="E53" s="171" t="s">
        <v>978</v>
      </c>
      <c r="F53" s="170" t="s">
        <v>545</v>
      </c>
      <c r="G53" s="169" t="s">
        <v>830</v>
      </c>
      <c r="H53" s="170" t="s">
        <v>48</v>
      </c>
      <c r="I53" s="170" t="str">
        <f>_xlfn.XLOOKUP(Data_Dep.12[[#This Row],[Cost center]],MD_Cost_Center[Mã Cost Center],MD_Cost_Center[Tên Cost Center])</f>
        <v>Xưởng sản xuất PET</v>
      </c>
      <c r="J53" s="172">
        <f>_xlfn.XLOOKUP(Data_Dep.12[[#This Row],[Cost center]],MD_Cost_Center[Mã Cost Center],MD_Cost_Center[Work center],"Check")</f>
        <v>0</v>
      </c>
      <c r="K53" s="169" t="str">
        <f>_xlfn.XLOOKUP(Data_Dep.12[[#This Row],[Nhóm tài sản]],MD_Account_Asset_Type[Nhóm tài sản],MD_Account_Asset_Type[Tài khoản KH],"Check")</f>
        <v>6274001906</v>
      </c>
      <c r="L53" s="173">
        <v>44734</v>
      </c>
      <c r="M53" s="174">
        <f>EDATE(Data_Dep.12[[#This Row],[Ngày bắt đầu KH]],Data_Dep.12[[#This Row],[T/G Khấu hao]])</f>
        <v>46560</v>
      </c>
      <c r="N53" s="175">
        <v>60</v>
      </c>
      <c r="O53" s="175">
        <v>142187500</v>
      </c>
      <c r="P53" s="176">
        <v>-94791667</v>
      </c>
      <c r="Q53" s="175">
        <f>Data_Dep.12[[#This Row],[Nguyên giá]]+Data_Dep.12[[#This Row],[KH lũy kế]]</f>
        <v>47395833</v>
      </c>
      <c r="R53" s="177">
        <v>-2369792</v>
      </c>
      <c r="S53" s="177">
        <v>-2369791</v>
      </c>
      <c r="T53" s="177">
        <v>-2369792</v>
      </c>
      <c r="U53" s="177">
        <f>SUM(Data_Dep.12[[#This Row],[KH_2510]:[KH_2512]])</f>
        <v>-7109375</v>
      </c>
      <c r="V53" s="175">
        <f>Data_Dep.12[[#This Row],[Nguyên giá]]+Data_Dep.12[[#This Row],[KH lũy kế]]+Data_Dep.12[[#This Row],[KH_Q4.25]]</f>
        <v>40286458</v>
      </c>
      <c r="W53" s="178">
        <f>ROUND(Data_Dep.12[[#This Row],[T/G Khấu hao]]-Data_Dep.12[[#This Row],[Giá trị còn lại 31/12/25]]/Data_Dep.12[[#This Row],[Nguyên giá]]*Data_Dep.12[[#This Row],[T/G Khấu hao]],0)</f>
        <v>43</v>
      </c>
      <c r="X53" s="179">
        <v>84</v>
      </c>
      <c r="Y53" s="175">
        <f>Data_Dep.12[[#This Row],[T/G Khấu hao]]+Data_Dep.12[[#This Row],[Điều chỉnh]]</f>
        <v>144</v>
      </c>
      <c r="Z53" s="180">
        <f>EDATE(Data_Dep.12[[#This Row],[Ngày bắt đầu KH]],Data_Dep.12[[#This Row],[T/G điều chỉnh]])</f>
        <v>49117</v>
      </c>
      <c r="AA53" s="175">
        <f>Data_Dep.12[[#This Row],[T/G điều chỉnh]]-Data_Dep.12[[#This Row],[Số kỳ đã khấu hao]]</f>
        <v>101</v>
      </c>
      <c r="AB53" s="175">
        <f>IFERROR(-Data_Dep.12[[#This Row],[Giá trị còn lại 31/12/25]]/(Data_Dep.12[[#This Row],[T/G điều chỉnh]]-Data_Dep.12[[#This Row],[Số kỳ đã khấu hao]]),0)</f>
        <v>-398875.82178217825</v>
      </c>
      <c r="AC53" s="181">
        <v>-398875.82178217825</v>
      </c>
      <c r="AD53" s="181">
        <v>-398875.82178217825</v>
      </c>
      <c r="AE53" s="181">
        <v>-398875.82178217825</v>
      </c>
      <c r="AF53" s="181">
        <v>-398875.82178217825</v>
      </c>
      <c r="AG53" s="181">
        <v>-398875.82178217825</v>
      </c>
      <c r="AH53" s="181">
        <v>-398875.82178217825</v>
      </c>
      <c r="AI53" s="181">
        <v>-398875.82178217825</v>
      </c>
      <c r="AJ53" s="181">
        <v>-398875.82178217825</v>
      </c>
      <c r="AK53" s="181">
        <v>-398875.82178217825</v>
      </c>
      <c r="AL53" s="181">
        <v>-398875.82178217825</v>
      </c>
      <c r="AM53" s="181">
        <v>-398875.82178217825</v>
      </c>
      <c r="AN53" s="181">
        <v>-398875.82178217825</v>
      </c>
      <c r="AO53" s="175">
        <f>SUM(Data_Dep.12[[#This Row],[KH_2601]:[KH_2612]])</f>
        <v>-4786509.8613861389</v>
      </c>
      <c r="AP53" s="175">
        <f>Data_Dep.12[[#This Row],[Giá trị còn lại 31/12/25]]+Data_Dep.12[[#This Row],[KH LK 2026]]</f>
        <v>35499948.138613865</v>
      </c>
    </row>
    <row r="54" spans="1:42" x14ac:dyDescent="0.3">
      <c r="A54" s="169"/>
      <c r="B54" s="169"/>
      <c r="C54" s="170" t="s">
        <v>337</v>
      </c>
      <c r="D54" s="169" t="str">
        <f>_xlfn.XLOOKUP(Data_Dep.12[[#This Row],[Nhóm tài sản]],MD_Account_Asset_Type[Nhóm tài sản],MD_Account_Asset_Type[Tên Nhóm tài sản])</f>
        <v>Máy móc, thiết bị phụ - SX 627</v>
      </c>
      <c r="E54" s="171" t="s">
        <v>979</v>
      </c>
      <c r="F54" s="170" t="s">
        <v>546</v>
      </c>
      <c r="G54" s="169" t="s">
        <v>830</v>
      </c>
      <c r="H54" s="170" t="s">
        <v>46</v>
      </c>
      <c r="I54" s="170" t="str">
        <f>_xlfn.XLOOKUP(Data_Dep.12[[#This Row],[Cost center]],MD_Cost_Center[Mã Cost Center],MD_Cost_Center[Tên Cost Center])</f>
        <v>Kiểm soát chất lượng</v>
      </c>
      <c r="J54" s="172">
        <f>_xlfn.XLOOKUP(Data_Dep.12[[#This Row],[Cost center]],MD_Cost_Center[Mã Cost Center],MD_Cost_Center[Work center],"Check")</f>
        <v>0</v>
      </c>
      <c r="K54" s="169" t="str">
        <f>_xlfn.XLOOKUP(Data_Dep.12[[#This Row],[Nhóm tài sản]],MD_Account_Asset_Type[Nhóm tài sản],MD_Account_Asset_Type[Tài khoản KH],"Check")</f>
        <v>6274001906</v>
      </c>
      <c r="L54" s="173">
        <v>44813</v>
      </c>
      <c r="M54" s="174">
        <f>EDATE(Data_Dep.12[[#This Row],[Ngày bắt đầu KH]],Data_Dep.12[[#This Row],[T/G Khấu hao]])</f>
        <v>46639</v>
      </c>
      <c r="N54" s="175">
        <v>60</v>
      </c>
      <c r="O54" s="175">
        <v>60000000</v>
      </c>
      <c r="P54" s="176">
        <v>-37000000</v>
      </c>
      <c r="Q54" s="175">
        <f>Data_Dep.12[[#This Row],[Nguyên giá]]+Data_Dep.12[[#This Row],[KH lũy kế]]</f>
        <v>23000000</v>
      </c>
      <c r="R54" s="177">
        <v>-1000000</v>
      </c>
      <c r="S54" s="177">
        <v>-1000000</v>
      </c>
      <c r="T54" s="177">
        <v>-1000000</v>
      </c>
      <c r="U54" s="177">
        <f>SUM(Data_Dep.12[[#This Row],[KH_2510]:[KH_2512]])</f>
        <v>-3000000</v>
      </c>
      <c r="V54" s="175">
        <f>Data_Dep.12[[#This Row],[Nguyên giá]]+Data_Dep.12[[#This Row],[KH lũy kế]]+Data_Dep.12[[#This Row],[KH_Q4.25]]</f>
        <v>20000000</v>
      </c>
      <c r="W54" s="178">
        <f>ROUND(Data_Dep.12[[#This Row],[T/G Khấu hao]]-Data_Dep.12[[#This Row],[Giá trị còn lại 31/12/25]]/Data_Dep.12[[#This Row],[Nguyên giá]]*Data_Dep.12[[#This Row],[T/G Khấu hao]],0)</f>
        <v>40</v>
      </c>
      <c r="X54" s="179">
        <v>84</v>
      </c>
      <c r="Y54" s="175">
        <f>Data_Dep.12[[#This Row],[T/G Khấu hao]]+Data_Dep.12[[#This Row],[Điều chỉnh]]</f>
        <v>144</v>
      </c>
      <c r="Z54" s="180">
        <f>EDATE(Data_Dep.12[[#This Row],[Ngày bắt đầu KH]],Data_Dep.12[[#This Row],[T/G điều chỉnh]])</f>
        <v>49196</v>
      </c>
      <c r="AA54" s="175">
        <f>Data_Dep.12[[#This Row],[T/G điều chỉnh]]-Data_Dep.12[[#This Row],[Số kỳ đã khấu hao]]</f>
        <v>104</v>
      </c>
      <c r="AB54" s="175">
        <f>IFERROR(-Data_Dep.12[[#This Row],[Giá trị còn lại 31/12/25]]/(Data_Dep.12[[#This Row],[T/G điều chỉnh]]-Data_Dep.12[[#This Row],[Số kỳ đã khấu hao]]),0)</f>
        <v>-192307.69230769231</v>
      </c>
      <c r="AC54" s="181">
        <v>-192307.69230769231</v>
      </c>
      <c r="AD54" s="181">
        <v>-192307.69230769231</v>
      </c>
      <c r="AE54" s="181">
        <v>-192307.69230769231</v>
      </c>
      <c r="AF54" s="181">
        <v>-192307.69230769231</v>
      </c>
      <c r="AG54" s="181">
        <v>-192307.69230769231</v>
      </c>
      <c r="AH54" s="181">
        <v>-192307.69230769231</v>
      </c>
      <c r="AI54" s="181">
        <v>-192307.69230769231</v>
      </c>
      <c r="AJ54" s="181">
        <v>-192307.69230769231</v>
      </c>
      <c r="AK54" s="181">
        <v>-192307.69230769231</v>
      </c>
      <c r="AL54" s="181">
        <v>-192307.69230769231</v>
      </c>
      <c r="AM54" s="181">
        <v>-192307.69230769231</v>
      </c>
      <c r="AN54" s="181">
        <v>-192307.69230769231</v>
      </c>
      <c r="AO54" s="175">
        <f>SUM(Data_Dep.12[[#This Row],[KH_2601]:[KH_2612]])</f>
        <v>-2307692.3076923075</v>
      </c>
      <c r="AP54" s="175">
        <f>Data_Dep.12[[#This Row],[Giá trị còn lại 31/12/25]]+Data_Dep.12[[#This Row],[KH LK 2026]]</f>
        <v>17692307.692307692</v>
      </c>
    </row>
    <row r="55" spans="1:42" x14ac:dyDescent="0.3">
      <c r="A55" s="169"/>
      <c r="B55" s="169"/>
      <c r="C55" s="170" t="s">
        <v>337</v>
      </c>
      <c r="D55" s="169" t="str">
        <f>_xlfn.XLOOKUP(Data_Dep.12[[#This Row],[Nhóm tài sản]],MD_Account_Asset_Type[Nhóm tài sản],MD_Account_Asset_Type[Tên Nhóm tài sản])</f>
        <v>Máy móc, thiết bị phụ - SX 627</v>
      </c>
      <c r="E55" s="171" t="s">
        <v>982</v>
      </c>
      <c r="F55" s="170" t="s">
        <v>547</v>
      </c>
      <c r="G55" s="169" t="s">
        <v>830</v>
      </c>
      <c r="H55" s="170" t="s">
        <v>46</v>
      </c>
      <c r="I55" s="170" t="str">
        <f>_xlfn.XLOOKUP(Data_Dep.12[[#This Row],[Cost center]],MD_Cost_Center[Mã Cost Center],MD_Cost_Center[Tên Cost Center])</f>
        <v>Kiểm soát chất lượng</v>
      </c>
      <c r="J55" s="172">
        <f>_xlfn.XLOOKUP(Data_Dep.12[[#This Row],[Cost center]],MD_Cost_Center[Mã Cost Center],MD_Cost_Center[Work center],"Check")</f>
        <v>0</v>
      </c>
      <c r="K55" s="169" t="str">
        <f>_xlfn.XLOOKUP(Data_Dep.12[[#This Row],[Nhóm tài sản]],MD_Account_Asset_Type[Nhóm tài sản],MD_Account_Asset_Type[Tài khoản KH],"Check")</f>
        <v>6274001906</v>
      </c>
      <c r="L55" s="173">
        <v>44849</v>
      </c>
      <c r="M55" s="174">
        <f>EDATE(Data_Dep.12[[#This Row],[Ngày bắt đầu KH]],Data_Dep.12[[#This Row],[T/G Khấu hao]])</f>
        <v>46675</v>
      </c>
      <c r="N55" s="175">
        <v>60</v>
      </c>
      <c r="O55" s="175">
        <v>208589000</v>
      </c>
      <c r="P55" s="176">
        <v>-125153400</v>
      </c>
      <c r="Q55" s="175">
        <f>Data_Dep.12[[#This Row],[Nguyên giá]]+Data_Dep.12[[#This Row],[KH lũy kế]]</f>
        <v>83435600</v>
      </c>
      <c r="R55" s="177">
        <v>-3476483</v>
      </c>
      <c r="S55" s="177">
        <v>-3476484</v>
      </c>
      <c r="T55" s="177">
        <v>-3476483</v>
      </c>
      <c r="U55" s="177">
        <f>SUM(Data_Dep.12[[#This Row],[KH_2510]:[KH_2512]])</f>
        <v>-10429450</v>
      </c>
      <c r="V55" s="175">
        <f>Data_Dep.12[[#This Row],[Nguyên giá]]+Data_Dep.12[[#This Row],[KH lũy kế]]+Data_Dep.12[[#This Row],[KH_Q4.25]]</f>
        <v>73006150</v>
      </c>
      <c r="W55" s="178">
        <f>ROUND(Data_Dep.12[[#This Row],[T/G Khấu hao]]-Data_Dep.12[[#This Row],[Giá trị còn lại 31/12/25]]/Data_Dep.12[[#This Row],[Nguyên giá]]*Data_Dep.12[[#This Row],[T/G Khấu hao]],0)</f>
        <v>39</v>
      </c>
      <c r="X55" s="179">
        <v>84</v>
      </c>
      <c r="Y55" s="175">
        <f>Data_Dep.12[[#This Row],[T/G Khấu hao]]+Data_Dep.12[[#This Row],[Điều chỉnh]]</f>
        <v>144</v>
      </c>
      <c r="Z55" s="180">
        <f>EDATE(Data_Dep.12[[#This Row],[Ngày bắt đầu KH]],Data_Dep.12[[#This Row],[T/G điều chỉnh]])</f>
        <v>49232</v>
      </c>
      <c r="AA55" s="175">
        <f>Data_Dep.12[[#This Row],[T/G điều chỉnh]]-Data_Dep.12[[#This Row],[Số kỳ đã khấu hao]]</f>
        <v>105</v>
      </c>
      <c r="AB55" s="175">
        <f>IFERROR(-Data_Dep.12[[#This Row],[Giá trị còn lại 31/12/25]]/(Data_Dep.12[[#This Row],[T/G điều chỉnh]]-Data_Dep.12[[#This Row],[Số kỳ đã khấu hao]]),0)</f>
        <v>-695296.66666666663</v>
      </c>
      <c r="AC55" s="181">
        <v>-695296.66666666663</v>
      </c>
      <c r="AD55" s="181">
        <v>-695296.66666666663</v>
      </c>
      <c r="AE55" s="181">
        <v>-695296.66666666663</v>
      </c>
      <c r="AF55" s="181">
        <v>-695296.66666666663</v>
      </c>
      <c r="AG55" s="181">
        <v>-695296.66666666663</v>
      </c>
      <c r="AH55" s="181">
        <v>-695296.66666666663</v>
      </c>
      <c r="AI55" s="181">
        <v>-695296.66666666663</v>
      </c>
      <c r="AJ55" s="181">
        <v>-695296.66666666663</v>
      </c>
      <c r="AK55" s="181">
        <v>-695296.66666666663</v>
      </c>
      <c r="AL55" s="181">
        <v>-695296.66666666663</v>
      </c>
      <c r="AM55" s="181">
        <v>-695296.66666666663</v>
      </c>
      <c r="AN55" s="181">
        <v>-695296.66666666663</v>
      </c>
      <c r="AO55" s="175">
        <f>SUM(Data_Dep.12[[#This Row],[KH_2601]:[KH_2612]])</f>
        <v>-8343560.0000000009</v>
      </c>
      <c r="AP55" s="175">
        <f>Data_Dep.12[[#This Row],[Giá trị còn lại 31/12/25]]+Data_Dep.12[[#This Row],[KH LK 2026]]</f>
        <v>64662590</v>
      </c>
    </row>
    <row r="56" spans="1:42" x14ac:dyDescent="0.3">
      <c r="A56" s="169"/>
      <c r="B56" s="169"/>
      <c r="C56" s="170" t="s">
        <v>337</v>
      </c>
      <c r="D56" s="169" t="str">
        <f>_xlfn.XLOOKUP(Data_Dep.12[[#This Row],[Nhóm tài sản]],MD_Account_Asset_Type[Nhóm tài sản],MD_Account_Asset_Type[Tên Nhóm tài sản])</f>
        <v>Máy móc, thiết bị phụ - SX 627</v>
      </c>
      <c r="E56" s="171" t="s">
        <v>983</v>
      </c>
      <c r="F56" s="170" t="s">
        <v>548</v>
      </c>
      <c r="G56" s="169" t="s">
        <v>830</v>
      </c>
      <c r="H56" s="170" t="s">
        <v>46</v>
      </c>
      <c r="I56" s="170" t="str">
        <f>_xlfn.XLOOKUP(Data_Dep.12[[#This Row],[Cost center]],MD_Cost_Center[Mã Cost Center],MD_Cost_Center[Tên Cost Center])</f>
        <v>Kiểm soát chất lượng</v>
      </c>
      <c r="J56" s="172">
        <f>_xlfn.XLOOKUP(Data_Dep.12[[#This Row],[Cost center]],MD_Cost_Center[Mã Cost Center],MD_Cost_Center[Work center],"Check")</f>
        <v>0</v>
      </c>
      <c r="K56" s="169" t="str">
        <f>_xlfn.XLOOKUP(Data_Dep.12[[#This Row],[Nhóm tài sản]],MD_Account_Asset_Type[Nhóm tài sản],MD_Account_Asset_Type[Tài khoản KH],"Check")</f>
        <v>6274001906</v>
      </c>
      <c r="L56" s="173">
        <v>44835</v>
      </c>
      <c r="M56" s="174">
        <f>EDATE(Data_Dep.12[[#This Row],[Ngày bắt đầu KH]],Data_Dep.12[[#This Row],[T/G Khấu hao]])</f>
        <v>46661</v>
      </c>
      <c r="N56" s="175">
        <v>60</v>
      </c>
      <c r="O56" s="175">
        <v>34500000</v>
      </c>
      <c r="P56" s="176">
        <v>-20700000</v>
      </c>
      <c r="Q56" s="175">
        <f>Data_Dep.12[[#This Row],[Nguyên giá]]+Data_Dep.12[[#This Row],[KH lũy kế]]</f>
        <v>13800000</v>
      </c>
      <c r="R56" s="177">
        <v>-575000</v>
      </c>
      <c r="S56" s="177">
        <v>-575000</v>
      </c>
      <c r="T56" s="177">
        <v>-575000</v>
      </c>
      <c r="U56" s="177">
        <f>SUM(Data_Dep.12[[#This Row],[KH_2510]:[KH_2512]])</f>
        <v>-1725000</v>
      </c>
      <c r="V56" s="175">
        <f>Data_Dep.12[[#This Row],[Nguyên giá]]+Data_Dep.12[[#This Row],[KH lũy kế]]+Data_Dep.12[[#This Row],[KH_Q4.25]]</f>
        <v>12075000</v>
      </c>
      <c r="W56" s="178">
        <f>ROUND(Data_Dep.12[[#This Row],[T/G Khấu hao]]-Data_Dep.12[[#This Row],[Giá trị còn lại 31/12/25]]/Data_Dep.12[[#This Row],[Nguyên giá]]*Data_Dep.12[[#This Row],[T/G Khấu hao]],0)</f>
        <v>39</v>
      </c>
      <c r="X56" s="179">
        <v>84</v>
      </c>
      <c r="Y56" s="175">
        <f>Data_Dep.12[[#This Row],[T/G Khấu hao]]+Data_Dep.12[[#This Row],[Điều chỉnh]]</f>
        <v>144</v>
      </c>
      <c r="Z56" s="180">
        <f>EDATE(Data_Dep.12[[#This Row],[Ngày bắt đầu KH]],Data_Dep.12[[#This Row],[T/G điều chỉnh]])</f>
        <v>49218</v>
      </c>
      <c r="AA56" s="175">
        <f>Data_Dep.12[[#This Row],[T/G điều chỉnh]]-Data_Dep.12[[#This Row],[Số kỳ đã khấu hao]]</f>
        <v>105</v>
      </c>
      <c r="AB56" s="175">
        <f>IFERROR(-Data_Dep.12[[#This Row],[Giá trị còn lại 31/12/25]]/(Data_Dep.12[[#This Row],[T/G điều chỉnh]]-Data_Dep.12[[#This Row],[Số kỳ đã khấu hao]]),0)</f>
        <v>-115000</v>
      </c>
      <c r="AC56" s="181">
        <v>-115000</v>
      </c>
      <c r="AD56" s="181">
        <v>-115000</v>
      </c>
      <c r="AE56" s="181">
        <v>-115000</v>
      </c>
      <c r="AF56" s="181">
        <v>-115000</v>
      </c>
      <c r="AG56" s="181">
        <v>-115000</v>
      </c>
      <c r="AH56" s="181">
        <v>-115000</v>
      </c>
      <c r="AI56" s="181">
        <v>-115000</v>
      </c>
      <c r="AJ56" s="181">
        <v>-115000</v>
      </c>
      <c r="AK56" s="181">
        <v>-115000</v>
      </c>
      <c r="AL56" s="181">
        <v>-115000</v>
      </c>
      <c r="AM56" s="181">
        <v>-115000</v>
      </c>
      <c r="AN56" s="181">
        <v>-115000</v>
      </c>
      <c r="AO56" s="175">
        <f>SUM(Data_Dep.12[[#This Row],[KH_2601]:[KH_2612]])</f>
        <v>-1380000</v>
      </c>
      <c r="AP56" s="175">
        <f>Data_Dep.12[[#This Row],[Giá trị còn lại 31/12/25]]+Data_Dep.12[[#This Row],[KH LK 2026]]</f>
        <v>10695000</v>
      </c>
    </row>
    <row r="57" spans="1:42" x14ac:dyDescent="0.3">
      <c r="A57" s="169"/>
      <c r="B57" s="169"/>
      <c r="C57" s="170" t="s">
        <v>337</v>
      </c>
      <c r="D57" s="169" t="str">
        <f>_xlfn.XLOOKUP(Data_Dep.12[[#This Row],[Nhóm tài sản]],MD_Account_Asset_Type[Nhóm tài sản],MD_Account_Asset_Type[Tên Nhóm tài sản])</f>
        <v>Máy móc, thiết bị phụ - SX 627</v>
      </c>
      <c r="E57" s="171" t="s">
        <v>984</v>
      </c>
      <c r="F57" s="170" t="s">
        <v>549</v>
      </c>
      <c r="G57" s="169" t="s">
        <v>830</v>
      </c>
      <c r="H57" s="170" t="s">
        <v>48</v>
      </c>
      <c r="I57" s="170" t="str">
        <f>_xlfn.XLOOKUP(Data_Dep.12[[#This Row],[Cost center]],MD_Cost_Center[Mã Cost Center],MD_Cost_Center[Tên Cost Center])</f>
        <v>Xưởng sản xuất PET</v>
      </c>
      <c r="J57" s="172">
        <f>_xlfn.XLOOKUP(Data_Dep.12[[#This Row],[Cost center]],MD_Cost_Center[Mã Cost Center],MD_Cost_Center[Work center],"Check")</f>
        <v>0</v>
      </c>
      <c r="K57" s="169" t="str">
        <f>_xlfn.XLOOKUP(Data_Dep.12[[#This Row],[Nhóm tài sản]],MD_Account_Asset_Type[Nhóm tài sản],MD_Account_Asset_Type[Tài khoản KH],"Check")</f>
        <v>6274001906</v>
      </c>
      <c r="L57" s="173">
        <v>44896</v>
      </c>
      <c r="M57" s="174">
        <f>EDATE(Data_Dep.12[[#This Row],[Ngày bắt đầu KH]],Data_Dep.12[[#This Row],[T/G Khấu hao]])</f>
        <v>46722</v>
      </c>
      <c r="N57" s="175">
        <v>60</v>
      </c>
      <c r="O57" s="175">
        <v>1067096720</v>
      </c>
      <c r="P57" s="176">
        <v>-604688141</v>
      </c>
      <c r="Q57" s="175">
        <f>Data_Dep.12[[#This Row],[Nguyên giá]]+Data_Dep.12[[#This Row],[KH lũy kế]]</f>
        <v>462408579</v>
      </c>
      <c r="R57" s="177">
        <v>-17784945</v>
      </c>
      <c r="S57" s="177">
        <v>-17784946</v>
      </c>
      <c r="T57" s="177">
        <v>-17784945</v>
      </c>
      <c r="U57" s="177">
        <f>SUM(Data_Dep.12[[#This Row],[KH_2510]:[KH_2512]])</f>
        <v>-53354836</v>
      </c>
      <c r="V57" s="175">
        <f>Data_Dep.12[[#This Row],[Nguyên giá]]+Data_Dep.12[[#This Row],[KH lũy kế]]+Data_Dep.12[[#This Row],[KH_Q4.25]]</f>
        <v>409053743</v>
      </c>
      <c r="W57" s="178">
        <f>ROUND(Data_Dep.12[[#This Row],[T/G Khấu hao]]-Data_Dep.12[[#This Row],[Giá trị còn lại 31/12/25]]/Data_Dep.12[[#This Row],[Nguyên giá]]*Data_Dep.12[[#This Row],[T/G Khấu hao]],0)</f>
        <v>37</v>
      </c>
      <c r="X57" s="179">
        <v>84</v>
      </c>
      <c r="Y57" s="175">
        <f>Data_Dep.12[[#This Row],[T/G Khấu hao]]+Data_Dep.12[[#This Row],[Điều chỉnh]]</f>
        <v>144</v>
      </c>
      <c r="Z57" s="180">
        <f>EDATE(Data_Dep.12[[#This Row],[Ngày bắt đầu KH]],Data_Dep.12[[#This Row],[T/G điều chỉnh]])</f>
        <v>49279</v>
      </c>
      <c r="AA57" s="175">
        <f>Data_Dep.12[[#This Row],[T/G điều chỉnh]]-Data_Dep.12[[#This Row],[Số kỳ đã khấu hao]]</f>
        <v>107</v>
      </c>
      <c r="AB57" s="175">
        <f>IFERROR(-Data_Dep.12[[#This Row],[Giá trị còn lại 31/12/25]]/(Data_Dep.12[[#This Row],[T/G điều chỉnh]]-Data_Dep.12[[#This Row],[Số kỳ đã khấu hao]]),0)</f>
        <v>-3822932.1775700934</v>
      </c>
      <c r="AC57" s="181">
        <v>-3822932.1775700934</v>
      </c>
      <c r="AD57" s="181">
        <v>-3822932.1775700934</v>
      </c>
      <c r="AE57" s="181">
        <v>-3822932.1775700934</v>
      </c>
      <c r="AF57" s="181">
        <v>-3822932.1775700934</v>
      </c>
      <c r="AG57" s="181">
        <v>-3822932.1775700934</v>
      </c>
      <c r="AH57" s="181">
        <v>-3822932.1775700934</v>
      </c>
      <c r="AI57" s="181">
        <v>-3822932.1775700934</v>
      </c>
      <c r="AJ57" s="181">
        <v>-3822932.1775700934</v>
      </c>
      <c r="AK57" s="181">
        <v>-3822932.1775700934</v>
      </c>
      <c r="AL57" s="181">
        <v>-3822932.1775700934</v>
      </c>
      <c r="AM57" s="181">
        <v>-3822932.1775700934</v>
      </c>
      <c r="AN57" s="181">
        <v>-3822932.1775700934</v>
      </c>
      <c r="AO57" s="175">
        <f>SUM(Data_Dep.12[[#This Row],[KH_2601]:[KH_2612]])</f>
        <v>-45875186.130841106</v>
      </c>
      <c r="AP57" s="175">
        <f>Data_Dep.12[[#This Row],[Giá trị còn lại 31/12/25]]+Data_Dep.12[[#This Row],[KH LK 2026]]</f>
        <v>363178556.86915886</v>
      </c>
    </row>
    <row r="58" spans="1:42" x14ac:dyDescent="0.3">
      <c r="A58" s="169"/>
      <c r="B58" s="169"/>
      <c r="C58" s="170" t="s">
        <v>337</v>
      </c>
      <c r="D58" s="169" t="str">
        <f>_xlfn.XLOOKUP(Data_Dep.12[[#This Row],[Nhóm tài sản]],MD_Account_Asset_Type[Nhóm tài sản],MD_Account_Asset_Type[Tên Nhóm tài sản])</f>
        <v>Máy móc, thiết bị phụ - SX 627</v>
      </c>
      <c r="E58" s="171" t="s">
        <v>985</v>
      </c>
      <c r="F58" s="170" t="s">
        <v>550</v>
      </c>
      <c r="G58" s="169" t="s">
        <v>830</v>
      </c>
      <c r="H58" s="170" t="s">
        <v>46</v>
      </c>
      <c r="I58" s="170" t="str">
        <f>_xlfn.XLOOKUP(Data_Dep.12[[#This Row],[Cost center]],MD_Cost_Center[Mã Cost Center],MD_Cost_Center[Tên Cost Center])</f>
        <v>Kiểm soát chất lượng</v>
      </c>
      <c r="J58" s="172">
        <f>_xlfn.XLOOKUP(Data_Dep.12[[#This Row],[Cost center]],MD_Cost_Center[Mã Cost Center],MD_Cost_Center[Work center],"Check")</f>
        <v>0</v>
      </c>
      <c r="K58" s="169" t="str">
        <f>_xlfn.XLOOKUP(Data_Dep.12[[#This Row],[Nhóm tài sản]],MD_Account_Asset_Type[Nhóm tài sản],MD_Account_Asset_Type[Tài khoản KH],"Check")</f>
        <v>6274001906</v>
      </c>
      <c r="L58" s="173">
        <v>44896</v>
      </c>
      <c r="M58" s="174">
        <f>EDATE(Data_Dep.12[[#This Row],[Ngày bắt đầu KH]],Data_Dep.12[[#This Row],[T/G Khấu hao]])</f>
        <v>45992</v>
      </c>
      <c r="N58" s="175">
        <v>36</v>
      </c>
      <c r="O58" s="175">
        <v>79000000</v>
      </c>
      <c r="P58" s="176">
        <v>-74611111</v>
      </c>
      <c r="Q58" s="175">
        <f>Data_Dep.12[[#This Row],[Nguyên giá]]+Data_Dep.12[[#This Row],[KH lũy kế]]</f>
        <v>4388889</v>
      </c>
      <c r="R58" s="177">
        <v>-2194445</v>
      </c>
      <c r="S58" s="177">
        <v>-2194444</v>
      </c>
      <c r="T58" s="177">
        <v>0</v>
      </c>
      <c r="U58" s="177">
        <f>SUM(Data_Dep.12[[#This Row],[KH_2510]:[KH_2512]])</f>
        <v>-4388889</v>
      </c>
      <c r="V58" s="175">
        <f>Data_Dep.12[[#This Row],[Nguyên giá]]+Data_Dep.12[[#This Row],[KH lũy kế]]+Data_Dep.12[[#This Row],[KH_Q4.25]]</f>
        <v>0</v>
      </c>
      <c r="W58" s="178">
        <f>ROUND(Data_Dep.12[[#This Row],[T/G Khấu hao]]-Data_Dep.12[[#This Row],[Giá trị còn lại 31/12/25]]/Data_Dep.12[[#This Row],[Nguyên giá]]*Data_Dep.12[[#This Row],[T/G Khấu hao]],0)</f>
        <v>36</v>
      </c>
      <c r="X58" s="179">
        <v>108</v>
      </c>
      <c r="Y58" s="175">
        <f>Data_Dep.12[[#This Row],[T/G Khấu hao]]+Data_Dep.12[[#This Row],[Điều chỉnh]]</f>
        <v>144</v>
      </c>
      <c r="Z58" s="180">
        <f>EDATE(Data_Dep.12[[#This Row],[Ngày bắt đầu KH]],Data_Dep.12[[#This Row],[T/G điều chỉnh]])</f>
        <v>49279</v>
      </c>
      <c r="AA58" s="175">
        <f>Data_Dep.12[[#This Row],[T/G điều chỉnh]]-Data_Dep.12[[#This Row],[Số kỳ đã khấu hao]]</f>
        <v>108</v>
      </c>
      <c r="AB58" s="175">
        <f>IFERROR(-Data_Dep.12[[#This Row],[Giá trị còn lại 31/12/25]]/(Data_Dep.12[[#This Row],[T/G điều chỉnh]]-Data_Dep.12[[#This Row],[Số kỳ đã khấu hao]]),0)</f>
        <v>0</v>
      </c>
      <c r="AC58" s="181">
        <v>0</v>
      </c>
      <c r="AD58" s="181"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75">
        <f>SUM(Data_Dep.12[[#This Row],[KH_2601]:[KH_2612]])</f>
        <v>0</v>
      </c>
      <c r="AP58" s="175">
        <f>Data_Dep.12[[#This Row],[Giá trị còn lại 31/12/25]]+Data_Dep.12[[#This Row],[KH LK 2026]]</f>
        <v>0</v>
      </c>
    </row>
    <row r="59" spans="1:42" x14ac:dyDescent="0.3">
      <c r="A59" s="169"/>
      <c r="B59" s="169"/>
      <c r="C59" s="170" t="s">
        <v>337</v>
      </c>
      <c r="D59" s="169" t="str">
        <f>_xlfn.XLOOKUP(Data_Dep.12[[#This Row],[Nhóm tài sản]],MD_Account_Asset_Type[Nhóm tài sản],MD_Account_Asset_Type[Tên Nhóm tài sản])</f>
        <v>Máy móc, thiết bị phụ - SX 627</v>
      </c>
      <c r="E59" s="171" t="s">
        <v>986</v>
      </c>
      <c r="F59" s="170" t="s">
        <v>551</v>
      </c>
      <c r="G59" s="169" t="s">
        <v>830</v>
      </c>
      <c r="H59" s="170" t="s">
        <v>46</v>
      </c>
      <c r="I59" s="170" t="str">
        <f>_xlfn.XLOOKUP(Data_Dep.12[[#This Row],[Cost center]],MD_Cost_Center[Mã Cost Center],MD_Cost_Center[Tên Cost Center])</f>
        <v>Kiểm soát chất lượng</v>
      </c>
      <c r="J59" s="172">
        <f>_xlfn.XLOOKUP(Data_Dep.12[[#This Row],[Cost center]],MD_Cost_Center[Mã Cost Center],MD_Cost_Center[Work center],"Check")</f>
        <v>0</v>
      </c>
      <c r="K59" s="169" t="str">
        <f>_xlfn.XLOOKUP(Data_Dep.12[[#This Row],[Nhóm tài sản]],MD_Account_Asset_Type[Nhóm tài sản],MD_Account_Asset_Type[Tài khoản KH],"Check")</f>
        <v>6274001906</v>
      </c>
      <c r="L59" s="173">
        <v>44896</v>
      </c>
      <c r="M59" s="174">
        <f>EDATE(Data_Dep.12[[#This Row],[Ngày bắt đầu KH]],Data_Dep.12[[#This Row],[T/G Khấu hao]])</f>
        <v>45992</v>
      </c>
      <c r="N59" s="175">
        <v>36</v>
      </c>
      <c r="O59" s="175">
        <v>107800000</v>
      </c>
      <c r="P59" s="176">
        <v>-101811111</v>
      </c>
      <c r="Q59" s="175">
        <f>Data_Dep.12[[#This Row],[Nguyên giá]]+Data_Dep.12[[#This Row],[KH lũy kế]]</f>
        <v>5988889</v>
      </c>
      <c r="R59" s="177">
        <v>-2994445</v>
      </c>
      <c r="S59" s="177">
        <v>-2994444</v>
      </c>
      <c r="T59" s="177">
        <v>0</v>
      </c>
      <c r="U59" s="177">
        <f>SUM(Data_Dep.12[[#This Row],[KH_2510]:[KH_2512]])</f>
        <v>-5988889</v>
      </c>
      <c r="V59" s="175">
        <f>Data_Dep.12[[#This Row],[Nguyên giá]]+Data_Dep.12[[#This Row],[KH lũy kế]]+Data_Dep.12[[#This Row],[KH_Q4.25]]</f>
        <v>0</v>
      </c>
      <c r="W59" s="178">
        <f>ROUND(Data_Dep.12[[#This Row],[T/G Khấu hao]]-Data_Dep.12[[#This Row],[Giá trị còn lại 31/12/25]]/Data_Dep.12[[#This Row],[Nguyên giá]]*Data_Dep.12[[#This Row],[T/G Khấu hao]],0)</f>
        <v>36</v>
      </c>
      <c r="X59" s="179">
        <v>108</v>
      </c>
      <c r="Y59" s="175">
        <f>Data_Dep.12[[#This Row],[T/G Khấu hao]]+Data_Dep.12[[#This Row],[Điều chỉnh]]</f>
        <v>144</v>
      </c>
      <c r="Z59" s="180">
        <f>EDATE(Data_Dep.12[[#This Row],[Ngày bắt đầu KH]],Data_Dep.12[[#This Row],[T/G điều chỉnh]])</f>
        <v>49279</v>
      </c>
      <c r="AA59" s="175">
        <f>Data_Dep.12[[#This Row],[T/G điều chỉnh]]-Data_Dep.12[[#This Row],[Số kỳ đã khấu hao]]</f>
        <v>108</v>
      </c>
      <c r="AB59" s="175">
        <f>IFERROR(-Data_Dep.12[[#This Row],[Giá trị còn lại 31/12/25]]/(Data_Dep.12[[#This Row],[T/G điều chỉnh]]-Data_Dep.12[[#This Row],[Số kỳ đã khấu hao]]),0)</f>
        <v>0</v>
      </c>
      <c r="AC59" s="181">
        <v>0</v>
      </c>
      <c r="AD59" s="181"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75">
        <f>SUM(Data_Dep.12[[#This Row],[KH_2601]:[KH_2612]])</f>
        <v>0</v>
      </c>
      <c r="AP59" s="175">
        <f>Data_Dep.12[[#This Row],[Giá trị còn lại 31/12/25]]+Data_Dep.12[[#This Row],[KH LK 2026]]</f>
        <v>0</v>
      </c>
    </row>
    <row r="60" spans="1:42" x14ac:dyDescent="0.3">
      <c r="A60" s="169"/>
      <c r="B60" s="169"/>
      <c r="C60" s="170" t="s">
        <v>337</v>
      </c>
      <c r="D60" s="169" t="str">
        <f>_xlfn.XLOOKUP(Data_Dep.12[[#This Row],[Nhóm tài sản]],MD_Account_Asset_Type[Nhóm tài sản],MD_Account_Asset_Type[Tên Nhóm tài sản])</f>
        <v>Máy móc, thiết bị phụ - SX 627</v>
      </c>
      <c r="E60" s="171" t="s">
        <v>987</v>
      </c>
      <c r="F60" s="170" t="s">
        <v>552</v>
      </c>
      <c r="G60" s="169" t="s">
        <v>830</v>
      </c>
      <c r="H60" s="170" t="s">
        <v>53</v>
      </c>
      <c r="I60" s="170" t="str">
        <f>_xlfn.XLOOKUP(Data_Dep.12[[#This Row],[Cost center]],MD_Cost_Center[Mã Cost Center],MD_Cost_Center[Tên Cost Center])</f>
        <v>Máy tạo hạt HDPE - YE I + tách màu Taiho</v>
      </c>
      <c r="J60" s="172" t="str">
        <f>_xlfn.XLOOKUP(Data_Dep.12[[#This Row],[Cost center]],MD_Cost_Center[Mã Cost Center],MD_Cost_Center[Work center],"Check")</f>
        <v>YEHD-01</v>
      </c>
      <c r="K60" s="169" t="str">
        <f>_xlfn.XLOOKUP(Data_Dep.12[[#This Row],[Nhóm tài sản]],MD_Account_Asset_Type[Nhóm tài sản],MD_Account_Asset_Type[Tài khoản KH],"Check")</f>
        <v>6274001906</v>
      </c>
      <c r="L60" s="173">
        <v>44896</v>
      </c>
      <c r="M60" s="174">
        <f>EDATE(Data_Dep.12[[#This Row],[Ngày bắt đầu KH]],Data_Dep.12[[#This Row],[T/G Khấu hao]])</f>
        <v>46722</v>
      </c>
      <c r="N60" s="175">
        <v>60</v>
      </c>
      <c r="O60" s="175">
        <v>168057600</v>
      </c>
      <c r="P60" s="176">
        <v>-95232640</v>
      </c>
      <c r="Q60" s="175">
        <f>Data_Dep.12[[#This Row],[Nguyên giá]]+Data_Dep.12[[#This Row],[KH lũy kế]]</f>
        <v>72824960</v>
      </c>
      <c r="R60" s="177">
        <v>-2800960</v>
      </c>
      <c r="S60" s="177">
        <v>-2800960</v>
      </c>
      <c r="T60" s="177">
        <v>-2800960</v>
      </c>
      <c r="U60" s="177">
        <f>SUM(Data_Dep.12[[#This Row],[KH_2510]:[KH_2512]])</f>
        <v>-8402880</v>
      </c>
      <c r="V60" s="175">
        <f>Data_Dep.12[[#This Row],[Nguyên giá]]+Data_Dep.12[[#This Row],[KH lũy kế]]+Data_Dep.12[[#This Row],[KH_Q4.25]]</f>
        <v>64422080</v>
      </c>
      <c r="W60" s="178">
        <f>ROUND(Data_Dep.12[[#This Row],[T/G Khấu hao]]-Data_Dep.12[[#This Row],[Giá trị còn lại 31/12/25]]/Data_Dep.12[[#This Row],[Nguyên giá]]*Data_Dep.12[[#This Row],[T/G Khấu hao]],0)</f>
        <v>37</v>
      </c>
      <c r="X60" s="179">
        <v>84</v>
      </c>
      <c r="Y60" s="175">
        <f>Data_Dep.12[[#This Row],[T/G Khấu hao]]+Data_Dep.12[[#This Row],[Điều chỉnh]]</f>
        <v>144</v>
      </c>
      <c r="Z60" s="180">
        <f>EDATE(Data_Dep.12[[#This Row],[Ngày bắt đầu KH]],Data_Dep.12[[#This Row],[T/G điều chỉnh]])</f>
        <v>49279</v>
      </c>
      <c r="AA60" s="175">
        <f>Data_Dep.12[[#This Row],[T/G điều chỉnh]]-Data_Dep.12[[#This Row],[Số kỳ đã khấu hao]]</f>
        <v>107</v>
      </c>
      <c r="AB60" s="175">
        <f>IFERROR(-Data_Dep.12[[#This Row],[Giá trị còn lại 31/12/25]]/(Data_Dep.12[[#This Row],[T/G điều chỉnh]]-Data_Dep.12[[#This Row],[Số kỳ đã khấu hao]]),0)</f>
        <v>-602075.51401869161</v>
      </c>
      <c r="AC60" s="181">
        <v>-602075.51401869161</v>
      </c>
      <c r="AD60" s="181">
        <v>-602075.51401869161</v>
      </c>
      <c r="AE60" s="181">
        <v>-602075.51401869161</v>
      </c>
      <c r="AF60" s="181">
        <v>-602075.51401869161</v>
      </c>
      <c r="AG60" s="181">
        <v>-602075.51401869161</v>
      </c>
      <c r="AH60" s="181">
        <v>-602075.51401869161</v>
      </c>
      <c r="AI60" s="181">
        <v>-602075.51401869161</v>
      </c>
      <c r="AJ60" s="181">
        <v>-602075.51401869161</v>
      </c>
      <c r="AK60" s="181">
        <v>-602075.51401869161</v>
      </c>
      <c r="AL60" s="181">
        <v>-602075.51401869161</v>
      </c>
      <c r="AM60" s="181">
        <v>-602075.51401869161</v>
      </c>
      <c r="AN60" s="181">
        <v>-602075.51401869161</v>
      </c>
      <c r="AO60" s="175">
        <f>SUM(Data_Dep.12[[#This Row],[KH_2601]:[KH_2612]])</f>
        <v>-7224906.1682243012</v>
      </c>
      <c r="AP60" s="175">
        <f>Data_Dep.12[[#This Row],[Giá trị còn lại 31/12/25]]+Data_Dep.12[[#This Row],[KH LK 2026]]</f>
        <v>57197173.831775695</v>
      </c>
    </row>
    <row r="61" spans="1:42" x14ac:dyDescent="0.3">
      <c r="A61" s="169"/>
      <c r="B61" s="169"/>
      <c r="C61" s="170" t="s">
        <v>337</v>
      </c>
      <c r="D61" s="169" t="str">
        <f>_xlfn.XLOOKUP(Data_Dep.12[[#This Row],[Nhóm tài sản]],MD_Account_Asset_Type[Nhóm tài sản],MD_Account_Asset_Type[Tên Nhóm tài sản])</f>
        <v>Máy móc, thiết bị phụ - SX 627</v>
      </c>
      <c r="E61" s="171" t="s">
        <v>988</v>
      </c>
      <c r="F61" s="170" t="s">
        <v>553</v>
      </c>
      <c r="G61" s="169" t="s">
        <v>830</v>
      </c>
      <c r="H61" s="170" t="s">
        <v>59</v>
      </c>
      <c r="I61" s="170" t="str">
        <f>_xlfn.XLOOKUP(Data_Dep.12[[#This Row],[Cost center]],MD_Cost_Center[Mã Cost Center],MD_Cost_Center[Tên Cost Center])</f>
        <v>Máy NGR - HD02</v>
      </c>
      <c r="J61" s="172" t="str">
        <f>_xlfn.XLOOKUP(Data_Dep.12[[#This Row],[Cost center]],MD_Cost_Center[Mã Cost Center],MD_Cost_Center[Work center],"Check")</f>
        <v>NGR-01</v>
      </c>
      <c r="K61" s="169" t="str">
        <f>_xlfn.XLOOKUP(Data_Dep.12[[#This Row],[Nhóm tài sản]],MD_Account_Asset_Type[Nhóm tài sản],MD_Account_Asset_Type[Tài khoản KH],"Check")</f>
        <v>6274001906</v>
      </c>
      <c r="L61" s="173">
        <v>44896</v>
      </c>
      <c r="M61" s="174">
        <f>EDATE(Data_Dep.12[[#This Row],[Ngày bắt đầu KH]],Data_Dep.12[[#This Row],[T/G Khấu hao]])</f>
        <v>46722</v>
      </c>
      <c r="N61" s="175">
        <v>60</v>
      </c>
      <c r="O61" s="175">
        <v>168057600</v>
      </c>
      <c r="P61" s="176">
        <v>-95232640</v>
      </c>
      <c r="Q61" s="175">
        <f>Data_Dep.12[[#This Row],[Nguyên giá]]+Data_Dep.12[[#This Row],[KH lũy kế]]</f>
        <v>72824960</v>
      </c>
      <c r="R61" s="177">
        <v>-2800960</v>
      </c>
      <c r="S61" s="177">
        <v>-2800960</v>
      </c>
      <c r="T61" s="177">
        <v>-2800960</v>
      </c>
      <c r="U61" s="177">
        <f>SUM(Data_Dep.12[[#This Row],[KH_2510]:[KH_2512]])</f>
        <v>-8402880</v>
      </c>
      <c r="V61" s="175">
        <f>Data_Dep.12[[#This Row],[Nguyên giá]]+Data_Dep.12[[#This Row],[KH lũy kế]]+Data_Dep.12[[#This Row],[KH_Q4.25]]</f>
        <v>64422080</v>
      </c>
      <c r="W61" s="178">
        <f>ROUND(Data_Dep.12[[#This Row],[T/G Khấu hao]]-Data_Dep.12[[#This Row],[Giá trị còn lại 31/12/25]]/Data_Dep.12[[#This Row],[Nguyên giá]]*Data_Dep.12[[#This Row],[T/G Khấu hao]],0)</f>
        <v>37</v>
      </c>
      <c r="X61" s="179">
        <v>84</v>
      </c>
      <c r="Y61" s="175">
        <f>Data_Dep.12[[#This Row],[T/G Khấu hao]]+Data_Dep.12[[#This Row],[Điều chỉnh]]</f>
        <v>144</v>
      </c>
      <c r="Z61" s="180">
        <f>EDATE(Data_Dep.12[[#This Row],[Ngày bắt đầu KH]],Data_Dep.12[[#This Row],[T/G điều chỉnh]])</f>
        <v>49279</v>
      </c>
      <c r="AA61" s="175">
        <f>Data_Dep.12[[#This Row],[T/G điều chỉnh]]-Data_Dep.12[[#This Row],[Số kỳ đã khấu hao]]</f>
        <v>107</v>
      </c>
      <c r="AB61" s="175">
        <f>IFERROR(-Data_Dep.12[[#This Row],[Giá trị còn lại 31/12/25]]/(Data_Dep.12[[#This Row],[T/G điều chỉnh]]-Data_Dep.12[[#This Row],[Số kỳ đã khấu hao]]),0)</f>
        <v>-602075.51401869161</v>
      </c>
      <c r="AC61" s="181">
        <v>-602075.51401869161</v>
      </c>
      <c r="AD61" s="181">
        <v>-602075.51401869161</v>
      </c>
      <c r="AE61" s="181">
        <v>-602075.51401869161</v>
      </c>
      <c r="AF61" s="181">
        <v>-602075.51401869161</v>
      </c>
      <c r="AG61" s="181">
        <v>-602075.51401869161</v>
      </c>
      <c r="AH61" s="181">
        <v>-602075.51401869161</v>
      </c>
      <c r="AI61" s="181">
        <v>-602075.51401869161</v>
      </c>
      <c r="AJ61" s="181">
        <v>-602075.51401869161</v>
      </c>
      <c r="AK61" s="181">
        <v>-602075.51401869161</v>
      </c>
      <c r="AL61" s="181">
        <v>-602075.51401869161</v>
      </c>
      <c r="AM61" s="181">
        <v>-602075.51401869161</v>
      </c>
      <c r="AN61" s="181">
        <v>-602075.51401869161</v>
      </c>
      <c r="AO61" s="175">
        <f>SUM(Data_Dep.12[[#This Row],[KH_2601]:[KH_2612]])</f>
        <v>-7224906.1682243012</v>
      </c>
      <c r="AP61" s="175">
        <f>Data_Dep.12[[#This Row],[Giá trị còn lại 31/12/25]]+Data_Dep.12[[#This Row],[KH LK 2026]]</f>
        <v>57197173.831775695</v>
      </c>
    </row>
    <row r="62" spans="1:42" x14ac:dyDescent="0.3">
      <c r="A62" s="169"/>
      <c r="B62" s="169"/>
      <c r="C62" s="170" t="s">
        <v>337</v>
      </c>
      <c r="D62" s="169" t="str">
        <f>_xlfn.XLOOKUP(Data_Dep.12[[#This Row],[Nhóm tài sản]],MD_Account_Asset_Type[Nhóm tài sản],MD_Account_Asset_Type[Tên Nhóm tài sản])</f>
        <v>Máy móc, thiết bị phụ - SX 627</v>
      </c>
      <c r="E62" s="171" t="s">
        <v>989</v>
      </c>
      <c r="F62" s="170" t="s">
        <v>554</v>
      </c>
      <c r="G62" s="169" t="s">
        <v>830</v>
      </c>
      <c r="H62" s="170" t="s">
        <v>62</v>
      </c>
      <c r="I62" s="170" t="str">
        <f>_xlfn.XLOOKUP(Data_Dep.12[[#This Row],[Cost center]],MD_Cost_Center[Mã Cost Center],MD_Cost_Center[Tên Cost Center])</f>
        <v>Máy tạo hạt PET 03 Starlinger 2</v>
      </c>
      <c r="J62" s="172" t="str">
        <f>_xlfn.XLOOKUP(Data_Dep.12[[#This Row],[Cost center]],MD_Cost_Center[Mã Cost Center],MD_Cost_Center[Work center],"Check")</f>
        <v>STAR-02</v>
      </c>
      <c r="K62" s="169" t="str">
        <f>_xlfn.XLOOKUP(Data_Dep.12[[#This Row],[Nhóm tài sản]],MD_Account_Asset_Type[Nhóm tài sản],MD_Account_Asset_Type[Tài khoản KH],"Check")</f>
        <v>6274001906</v>
      </c>
      <c r="L62" s="173">
        <v>44896</v>
      </c>
      <c r="M62" s="174">
        <f>EDATE(Data_Dep.12[[#This Row],[Ngày bắt đầu KH]],Data_Dep.12[[#This Row],[T/G Khấu hao]])</f>
        <v>46722</v>
      </c>
      <c r="N62" s="175">
        <v>60</v>
      </c>
      <c r="O62" s="175">
        <v>168057600</v>
      </c>
      <c r="P62" s="176">
        <v>-95232640</v>
      </c>
      <c r="Q62" s="175">
        <f>Data_Dep.12[[#This Row],[Nguyên giá]]+Data_Dep.12[[#This Row],[KH lũy kế]]</f>
        <v>72824960</v>
      </c>
      <c r="R62" s="177">
        <v>-2800960</v>
      </c>
      <c r="S62" s="177">
        <v>-2800960</v>
      </c>
      <c r="T62" s="177">
        <v>-2800960</v>
      </c>
      <c r="U62" s="177">
        <f>SUM(Data_Dep.12[[#This Row],[KH_2510]:[KH_2512]])</f>
        <v>-8402880</v>
      </c>
      <c r="V62" s="175">
        <f>Data_Dep.12[[#This Row],[Nguyên giá]]+Data_Dep.12[[#This Row],[KH lũy kế]]+Data_Dep.12[[#This Row],[KH_Q4.25]]</f>
        <v>64422080</v>
      </c>
      <c r="W62" s="178">
        <f>ROUND(Data_Dep.12[[#This Row],[T/G Khấu hao]]-Data_Dep.12[[#This Row],[Giá trị còn lại 31/12/25]]/Data_Dep.12[[#This Row],[Nguyên giá]]*Data_Dep.12[[#This Row],[T/G Khấu hao]],0)</f>
        <v>37</v>
      </c>
      <c r="X62" s="179">
        <v>84</v>
      </c>
      <c r="Y62" s="175">
        <f>Data_Dep.12[[#This Row],[T/G Khấu hao]]+Data_Dep.12[[#This Row],[Điều chỉnh]]</f>
        <v>144</v>
      </c>
      <c r="Z62" s="180">
        <f>EDATE(Data_Dep.12[[#This Row],[Ngày bắt đầu KH]],Data_Dep.12[[#This Row],[T/G điều chỉnh]])</f>
        <v>49279</v>
      </c>
      <c r="AA62" s="175">
        <f>Data_Dep.12[[#This Row],[T/G điều chỉnh]]-Data_Dep.12[[#This Row],[Số kỳ đã khấu hao]]</f>
        <v>107</v>
      </c>
      <c r="AB62" s="175">
        <f>IFERROR(-Data_Dep.12[[#This Row],[Giá trị còn lại 31/12/25]]/(Data_Dep.12[[#This Row],[T/G điều chỉnh]]-Data_Dep.12[[#This Row],[Số kỳ đã khấu hao]]),0)</f>
        <v>-602075.51401869161</v>
      </c>
      <c r="AC62" s="181">
        <v>-602075.51401869161</v>
      </c>
      <c r="AD62" s="181">
        <v>-602075.51401869161</v>
      </c>
      <c r="AE62" s="181">
        <v>-602075.51401869161</v>
      </c>
      <c r="AF62" s="181">
        <v>-602075.51401869161</v>
      </c>
      <c r="AG62" s="181">
        <v>-602075.51401869161</v>
      </c>
      <c r="AH62" s="181">
        <v>-602075.51401869161</v>
      </c>
      <c r="AI62" s="181">
        <v>-602075.51401869161</v>
      </c>
      <c r="AJ62" s="181">
        <v>-602075.51401869161</v>
      </c>
      <c r="AK62" s="181">
        <v>-602075.51401869161</v>
      </c>
      <c r="AL62" s="181">
        <v>-602075.51401869161</v>
      </c>
      <c r="AM62" s="181">
        <v>-602075.51401869161</v>
      </c>
      <c r="AN62" s="181">
        <v>-602075.51401869161</v>
      </c>
      <c r="AO62" s="175">
        <f>SUM(Data_Dep.12[[#This Row],[KH_2601]:[KH_2612]])</f>
        <v>-7224906.1682243012</v>
      </c>
      <c r="AP62" s="175">
        <f>Data_Dep.12[[#This Row],[Giá trị còn lại 31/12/25]]+Data_Dep.12[[#This Row],[KH LK 2026]]</f>
        <v>57197173.831775695</v>
      </c>
    </row>
    <row r="63" spans="1:42" x14ac:dyDescent="0.3">
      <c r="A63" s="169"/>
      <c r="B63" s="169"/>
      <c r="C63" s="170" t="s">
        <v>337</v>
      </c>
      <c r="D63" s="169" t="str">
        <f>_xlfn.XLOOKUP(Data_Dep.12[[#This Row],[Nhóm tài sản]],MD_Account_Asset_Type[Nhóm tài sản],MD_Account_Asset_Type[Tên Nhóm tài sản])</f>
        <v>Máy móc, thiết bị phụ - SX 627</v>
      </c>
      <c r="E63" s="171" t="s">
        <v>990</v>
      </c>
      <c r="F63" s="170" t="s">
        <v>555</v>
      </c>
      <c r="G63" s="169" t="s">
        <v>830</v>
      </c>
      <c r="H63" s="170" t="s">
        <v>51</v>
      </c>
      <c r="I63" s="170" t="str">
        <f>_xlfn.XLOOKUP(Data_Dep.12[[#This Row],[Cost center]],MD_Cost_Center[Mã Cost Center],MD_Cost_Center[Tên Cost Center])</f>
        <v>Chuyền máy tạo vảy PET CW+Tomra</v>
      </c>
      <c r="J63" s="172" t="str">
        <f>_xlfn.XLOOKUP(Data_Dep.12[[#This Row],[Cost center]],MD_Cost_Center[Mã Cost Center],MD_Cost_Center[Work center],"Check")</f>
        <v>CHWO-R01</v>
      </c>
      <c r="K63" s="169" t="str">
        <f>_xlfn.XLOOKUP(Data_Dep.12[[#This Row],[Nhóm tài sản]],MD_Account_Asset_Type[Nhóm tài sản],MD_Account_Asset_Type[Tài khoản KH],"Check")</f>
        <v>6274001906</v>
      </c>
      <c r="L63" s="173">
        <v>44896</v>
      </c>
      <c r="M63" s="174">
        <f>EDATE(Data_Dep.12[[#This Row],[Ngày bắt đầu KH]],Data_Dep.12[[#This Row],[T/G Khấu hao]])</f>
        <v>46722</v>
      </c>
      <c r="N63" s="175">
        <v>60</v>
      </c>
      <c r="O63" s="175">
        <v>1119518319</v>
      </c>
      <c r="P63" s="176">
        <v>-634393715</v>
      </c>
      <c r="Q63" s="175">
        <f>Data_Dep.12[[#This Row],[Nguyên giá]]+Data_Dep.12[[#This Row],[KH lũy kế]]</f>
        <v>485124604</v>
      </c>
      <c r="R63" s="177">
        <v>-18658638</v>
      </c>
      <c r="S63" s="177">
        <v>-18658639</v>
      </c>
      <c r="T63" s="177">
        <v>-18658639</v>
      </c>
      <c r="U63" s="177">
        <f>SUM(Data_Dep.12[[#This Row],[KH_2510]:[KH_2512]])</f>
        <v>-55975916</v>
      </c>
      <c r="V63" s="175">
        <f>Data_Dep.12[[#This Row],[Nguyên giá]]+Data_Dep.12[[#This Row],[KH lũy kế]]+Data_Dep.12[[#This Row],[KH_Q4.25]]</f>
        <v>429148688</v>
      </c>
      <c r="W63" s="178">
        <f>ROUND(Data_Dep.12[[#This Row],[T/G Khấu hao]]-Data_Dep.12[[#This Row],[Giá trị còn lại 31/12/25]]/Data_Dep.12[[#This Row],[Nguyên giá]]*Data_Dep.12[[#This Row],[T/G Khấu hao]],0)</f>
        <v>37</v>
      </c>
      <c r="X63" s="179">
        <v>84</v>
      </c>
      <c r="Y63" s="175">
        <f>Data_Dep.12[[#This Row],[T/G Khấu hao]]+Data_Dep.12[[#This Row],[Điều chỉnh]]</f>
        <v>144</v>
      </c>
      <c r="Z63" s="180">
        <f>EDATE(Data_Dep.12[[#This Row],[Ngày bắt đầu KH]],Data_Dep.12[[#This Row],[T/G điều chỉnh]])</f>
        <v>49279</v>
      </c>
      <c r="AA63" s="175">
        <f>Data_Dep.12[[#This Row],[T/G điều chỉnh]]-Data_Dep.12[[#This Row],[Số kỳ đã khấu hao]]</f>
        <v>107</v>
      </c>
      <c r="AB63" s="175">
        <f>IFERROR(-Data_Dep.12[[#This Row],[Giá trị còn lại 31/12/25]]/(Data_Dep.12[[#This Row],[T/G điều chỉnh]]-Data_Dep.12[[#This Row],[Số kỳ đã khấu hao]]),0)</f>
        <v>-4010735.4018691587</v>
      </c>
      <c r="AC63" s="181">
        <v>-4010735.4018691587</v>
      </c>
      <c r="AD63" s="181">
        <v>-4010735.4018691587</v>
      </c>
      <c r="AE63" s="181">
        <v>-4010735.4018691587</v>
      </c>
      <c r="AF63" s="181">
        <v>-4010735.4018691587</v>
      </c>
      <c r="AG63" s="181">
        <v>-4010735.4018691587</v>
      </c>
      <c r="AH63" s="181">
        <v>-4010735.4018691587</v>
      </c>
      <c r="AI63" s="181">
        <v>-4010735.4018691587</v>
      </c>
      <c r="AJ63" s="181">
        <v>-4010735.4018691587</v>
      </c>
      <c r="AK63" s="181">
        <v>-4010735.4018691587</v>
      </c>
      <c r="AL63" s="181">
        <v>-4010735.4018691587</v>
      </c>
      <c r="AM63" s="181">
        <v>-4010735.4018691587</v>
      </c>
      <c r="AN63" s="181">
        <v>-4010735.4018691587</v>
      </c>
      <c r="AO63" s="175">
        <f>SUM(Data_Dep.12[[#This Row],[KH_2601]:[KH_2612]])</f>
        <v>-48128824.822429895</v>
      </c>
      <c r="AP63" s="175">
        <f>Data_Dep.12[[#This Row],[Giá trị còn lại 31/12/25]]+Data_Dep.12[[#This Row],[KH LK 2026]]</f>
        <v>381019863.1775701</v>
      </c>
    </row>
    <row r="64" spans="1:42" x14ac:dyDescent="0.3">
      <c r="A64" s="169"/>
      <c r="B64" s="169"/>
      <c r="C64" s="170" t="s">
        <v>337</v>
      </c>
      <c r="D64" s="169" t="str">
        <f>_xlfn.XLOOKUP(Data_Dep.12[[#This Row],[Nhóm tài sản]],MD_Account_Asset_Type[Nhóm tài sản],MD_Account_Asset_Type[Tên Nhóm tài sản])</f>
        <v>Máy móc, thiết bị phụ - SX 627</v>
      </c>
      <c r="E64" s="171" t="s">
        <v>991</v>
      </c>
      <c r="F64" s="170" t="s">
        <v>556</v>
      </c>
      <c r="G64" s="169" t="s">
        <v>502</v>
      </c>
      <c r="H64" s="170" t="s">
        <v>46</v>
      </c>
      <c r="I64" s="170" t="str">
        <f>_xlfn.XLOOKUP(Data_Dep.12[[#This Row],[Cost center]],MD_Cost_Center[Mã Cost Center],MD_Cost_Center[Tên Cost Center])</f>
        <v>Kiểm soát chất lượng</v>
      </c>
      <c r="J64" s="172">
        <f>_xlfn.XLOOKUP(Data_Dep.12[[#This Row],[Cost center]],MD_Cost_Center[Mã Cost Center],MD_Cost_Center[Work center],"Check")</f>
        <v>0</v>
      </c>
      <c r="K64" s="169" t="str">
        <f>_xlfn.XLOOKUP(Data_Dep.12[[#This Row],[Nhóm tài sản]],MD_Account_Asset_Type[Nhóm tài sản],MD_Account_Asset_Type[Tài khoản KH],"Check")</f>
        <v>6274001906</v>
      </c>
      <c r="L64" s="173">
        <v>44927</v>
      </c>
      <c r="M64" s="174">
        <f>EDATE(Data_Dep.12[[#This Row],[Ngày bắt đầu KH]],Data_Dep.12[[#This Row],[T/G Khấu hao]])</f>
        <v>46753</v>
      </c>
      <c r="N64" s="175">
        <v>60</v>
      </c>
      <c r="O64" s="175">
        <v>201371940</v>
      </c>
      <c r="P64" s="176">
        <v>-110754567</v>
      </c>
      <c r="Q64" s="175">
        <f>Data_Dep.12[[#This Row],[Nguyên giá]]+Data_Dep.12[[#This Row],[KH lũy kế]]</f>
        <v>90617373</v>
      </c>
      <c r="R64" s="177">
        <v>-3356199</v>
      </c>
      <c r="S64" s="177">
        <v>-3356199</v>
      </c>
      <c r="T64" s="177">
        <v>-3356199</v>
      </c>
      <c r="U64" s="177">
        <f>SUM(Data_Dep.12[[#This Row],[KH_2510]:[KH_2512]])</f>
        <v>-10068597</v>
      </c>
      <c r="V64" s="175">
        <f>Data_Dep.12[[#This Row],[Nguyên giá]]+Data_Dep.12[[#This Row],[KH lũy kế]]+Data_Dep.12[[#This Row],[KH_Q4.25]]</f>
        <v>80548776</v>
      </c>
      <c r="W64" s="178">
        <f>ROUND(Data_Dep.12[[#This Row],[T/G Khấu hao]]-Data_Dep.12[[#This Row],[Giá trị còn lại 31/12/25]]/Data_Dep.12[[#This Row],[Nguyên giá]]*Data_Dep.12[[#This Row],[T/G Khấu hao]],0)</f>
        <v>36</v>
      </c>
      <c r="X64" s="179">
        <v>84</v>
      </c>
      <c r="Y64" s="175">
        <f>Data_Dep.12[[#This Row],[T/G Khấu hao]]+Data_Dep.12[[#This Row],[Điều chỉnh]]</f>
        <v>144</v>
      </c>
      <c r="Z64" s="180">
        <f>EDATE(Data_Dep.12[[#This Row],[Ngày bắt đầu KH]],Data_Dep.12[[#This Row],[T/G điều chỉnh]])</f>
        <v>49310</v>
      </c>
      <c r="AA64" s="175">
        <f>Data_Dep.12[[#This Row],[T/G điều chỉnh]]-Data_Dep.12[[#This Row],[Số kỳ đã khấu hao]]</f>
        <v>108</v>
      </c>
      <c r="AB64" s="175">
        <f>IFERROR(-Data_Dep.12[[#This Row],[Giá trị còn lại 31/12/25]]/(Data_Dep.12[[#This Row],[T/G điều chỉnh]]-Data_Dep.12[[#This Row],[Số kỳ đã khấu hao]]),0)</f>
        <v>-745822</v>
      </c>
      <c r="AC64" s="181">
        <v>-745822</v>
      </c>
      <c r="AD64" s="181">
        <v>-745822</v>
      </c>
      <c r="AE64" s="181">
        <v>-745822</v>
      </c>
      <c r="AF64" s="181">
        <v>-745822</v>
      </c>
      <c r="AG64" s="181">
        <v>-745822</v>
      </c>
      <c r="AH64" s="181">
        <v>-745822</v>
      </c>
      <c r="AI64" s="181">
        <v>-745822</v>
      </c>
      <c r="AJ64" s="181">
        <v>-745822</v>
      </c>
      <c r="AK64" s="181">
        <v>-745822</v>
      </c>
      <c r="AL64" s="181">
        <v>-745822</v>
      </c>
      <c r="AM64" s="181">
        <v>-745822</v>
      </c>
      <c r="AN64" s="181">
        <v>-745822</v>
      </c>
      <c r="AO64" s="175">
        <f>SUM(Data_Dep.12[[#This Row],[KH_2601]:[KH_2612]])</f>
        <v>-8949864</v>
      </c>
      <c r="AP64" s="175">
        <f>Data_Dep.12[[#This Row],[Giá trị còn lại 31/12/25]]+Data_Dep.12[[#This Row],[KH LK 2026]]</f>
        <v>71598912</v>
      </c>
    </row>
    <row r="65" spans="1:42" x14ac:dyDescent="0.3">
      <c r="A65" s="169"/>
      <c r="B65" s="169"/>
      <c r="C65" s="170" t="s">
        <v>337</v>
      </c>
      <c r="D65" s="169" t="str">
        <f>_xlfn.XLOOKUP(Data_Dep.12[[#This Row],[Nhóm tài sản]],MD_Account_Asset_Type[Nhóm tài sản],MD_Account_Asset_Type[Tên Nhóm tài sản])</f>
        <v>Máy móc, thiết bị phụ - SX 627</v>
      </c>
      <c r="E65" s="171" t="s">
        <v>992</v>
      </c>
      <c r="F65" s="170" t="s">
        <v>557</v>
      </c>
      <c r="G65" s="169" t="s">
        <v>830</v>
      </c>
      <c r="H65" s="170" t="s">
        <v>46</v>
      </c>
      <c r="I65" s="170" t="str">
        <f>_xlfn.XLOOKUP(Data_Dep.12[[#This Row],[Cost center]],MD_Cost_Center[Mã Cost Center],MD_Cost_Center[Tên Cost Center])</f>
        <v>Kiểm soát chất lượng</v>
      </c>
      <c r="J65" s="172">
        <f>_xlfn.XLOOKUP(Data_Dep.12[[#This Row],[Cost center]],MD_Cost_Center[Mã Cost Center],MD_Cost_Center[Work center],"Check")</f>
        <v>0</v>
      </c>
      <c r="K65" s="169" t="str">
        <f>_xlfn.XLOOKUP(Data_Dep.12[[#This Row],[Nhóm tài sản]],MD_Account_Asset_Type[Nhóm tài sản],MD_Account_Asset_Type[Tài khoản KH],"Check")</f>
        <v>6274001906</v>
      </c>
      <c r="L65" s="173">
        <v>44927</v>
      </c>
      <c r="M65" s="174">
        <f>EDATE(Data_Dep.12[[#This Row],[Ngày bắt đầu KH]],Data_Dep.12[[#This Row],[T/G Khấu hao]])</f>
        <v>46023</v>
      </c>
      <c r="N65" s="175">
        <v>36</v>
      </c>
      <c r="O65" s="175">
        <v>421764609</v>
      </c>
      <c r="P65" s="176">
        <v>-386617558</v>
      </c>
      <c r="Q65" s="175">
        <f>Data_Dep.12[[#This Row],[Nguyên giá]]+Data_Dep.12[[#This Row],[KH lũy kế]]</f>
        <v>35147051</v>
      </c>
      <c r="R65" s="177">
        <v>-11715684</v>
      </c>
      <c r="S65" s="177">
        <v>-11715683</v>
      </c>
      <c r="T65" s="177">
        <v>-11715684</v>
      </c>
      <c r="U65" s="177">
        <f>SUM(Data_Dep.12[[#This Row],[KH_2510]:[KH_2512]])</f>
        <v>-35147051</v>
      </c>
      <c r="V65" s="175">
        <f>Data_Dep.12[[#This Row],[Nguyên giá]]+Data_Dep.12[[#This Row],[KH lũy kế]]+Data_Dep.12[[#This Row],[KH_Q4.25]]</f>
        <v>0</v>
      </c>
      <c r="W65" s="178">
        <f>ROUND(Data_Dep.12[[#This Row],[T/G Khấu hao]]-Data_Dep.12[[#This Row],[Giá trị còn lại 31/12/25]]/Data_Dep.12[[#This Row],[Nguyên giá]]*Data_Dep.12[[#This Row],[T/G Khấu hao]],0)</f>
        <v>36</v>
      </c>
      <c r="X65" s="179">
        <v>108</v>
      </c>
      <c r="Y65" s="175">
        <f>Data_Dep.12[[#This Row],[T/G Khấu hao]]+Data_Dep.12[[#This Row],[Điều chỉnh]]</f>
        <v>144</v>
      </c>
      <c r="Z65" s="180">
        <f>EDATE(Data_Dep.12[[#This Row],[Ngày bắt đầu KH]],Data_Dep.12[[#This Row],[T/G điều chỉnh]])</f>
        <v>49310</v>
      </c>
      <c r="AA65" s="175">
        <f>Data_Dep.12[[#This Row],[T/G điều chỉnh]]-Data_Dep.12[[#This Row],[Số kỳ đã khấu hao]]</f>
        <v>108</v>
      </c>
      <c r="AB65" s="175">
        <f>IFERROR(-Data_Dep.12[[#This Row],[Giá trị còn lại 31/12/25]]/(Data_Dep.12[[#This Row],[T/G điều chỉnh]]-Data_Dep.12[[#This Row],[Số kỳ đã khấu hao]]),0)</f>
        <v>0</v>
      </c>
      <c r="AC65" s="181">
        <v>0</v>
      </c>
      <c r="AD65" s="181"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75">
        <f>SUM(Data_Dep.12[[#This Row],[KH_2601]:[KH_2612]])</f>
        <v>0</v>
      </c>
      <c r="AP65" s="175">
        <f>Data_Dep.12[[#This Row],[Giá trị còn lại 31/12/25]]+Data_Dep.12[[#This Row],[KH LK 2026]]</f>
        <v>0</v>
      </c>
    </row>
    <row r="66" spans="1:42" x14ac:dyDescent="0.3">
      <c r="A66" s="169"/>
      <c r="B66" s="169"/>
      <c r="C66" s="170" t="s">
        <v>337</v>
      </c>
      <c r="D66" s="169" t="str">
        <f>_xlfn.XLOOKUP(Data_Dep.12[[#This Row],[Nhóm tài sản]],MD_Account_Asset_Type[Nhóm tài sản],MD_Account_Asset_Type[Tên Nhóm tài sản])</f>
        <v>Máy móc, thiết bị phụ - SX 627</v>
      </c>
      <c r="E66" s="171" t="s">
        <v>993</v>
      </c>
      <c r="F66" s="170" t="s">
        <v>558</v>
      </c>
      <c r="G66" s="169" t="s">
        <v>830</v>
      </c>
      <c r="H66" s="170" t="s">
        <v>46</v>
      </c>
      <c r="I66" s="170" t="str">
        <f>_xlfn.XLOOKUP(Data_Dep.12[[#This Row],[Cost center]],MD_Cost_Center[Mã Cost Center],MD_Cost_Center[Tên Cost Center])</f>
        <v>Kiểm soát chất lượng</v>
      </c>
      <c r="J66" s="172">
        <f>_xlfn.XLOOKUP(Data_Dep.12[[#This Row],[Cost center]],MD_Cost_Center[Mã Cost Center],MD_Cost_Center[Work center],"Check")</f>
        <v>0</v>
      </c>
      <c r="K66" s="169" t="str">
        <f>_xlfn.XLOOKUP(Data_Dep.12[[#This Row],[Nhóm tài sản]],MD_Account_Asset_Type[Nhóm tài sản],MD_Account_Asset_Type[Tài khoản KH],"Check")</f>
        <v>6274001906</v>
      </c>
      <c r="L66" s="173">
        <v>44927</v>
      </c>
      <c r="M66" s="174">
        <f>EDATE(Data_Dep.12[[#This Row],[Ngày bắt đầu KH]],Data_Dep.12[[#This Row],[T/G Khấu hao]])</f>
        <v>46023</v>
      </c>
      <c r="N66" s="175">
        <v>36</v>
      </c>
      <c r="O66" s="175">
        <v>256760000</v>
      </c>
      <c r="P66" s="176">
        <v>-235363334</v>
      </c>
      <c r="Q66" s="175">
        <f>Data_Dep.12[[#This Row],[Nguyên giá]]+Data_Dep.12[[#This Row],[KH lũy kế]]</f>
        <v>21396666</v>
      </c>
      <c r="R66" s="177">
        <v>-7132222</v>
      </c>
      <c r="S66" s="177">
        <v>-7132222</v>
      </c>
      <c r="T66" s="177">
        <v>-7132222</v>
      </c>
      <c r="U66" s="177">
        <f>SUM(Data_Dep.12[[#This Row],[KH_2510]:[KH_2512]])</f>
        <v>-21396666</v>
      </c>
      <c r="V66" s="175">
        <f>Data_Dep.12[[#This Row],[Nguyên giá]]+Data_Dep.12[[#This Row],[KH lũy kế]]+Data_Dep.12[[#This Row],[KH_Q4.25]]</f>
        <v>0</v>
      </c>
      <c r="W66" s="178">
        <f>ROUND(Data_Dep.12[[#This Row],[T/G Khấu hao]]-Data_Dep.12[[#This Row],[Giá trị còn lại 31/12/25]]/Data_Dep.12[[#This Row],[Nguyên giá]]*Data_Dep.12[[#This Row],[T/G Khấu hao]],0)</f>
        <v>36</v>
      </c>
      <c r="X66" s="179">
        <v>108</v>
      </c>
      <c r="Y66" s="175">
        <f>Data_Dep.12[[#This Row],[T/G Khấu hao]]+Data_Dep.12[[#This Row],[Điều chỉnh]]</f>
        <v>144</v>
      </c>
      <c r="Z66" s="180">
        <f>EDATE(Data_Dep.12[[#This Row],[Ngày bắt đầu KH]],Data_Dep.12[[#This Row],[T/G điều chỉnh]])</f>
        <v>49310</v>
      </c>
      <c r="AA66" s="175">
        <f>Data_Dep.12[[#This Row],[T/G điều chỉnh]]-Data_Dep.12[[#This Row],[Số kỳ đã khấu hao]]</f>
        <v>108</v>
      </c>
      <c r="AB66" s="175">
        <f>IFERROR(-Data_Dep.12[[#This Row],[Giá trị còn lại 31/12/25]]/(Data_Dep.12[[#This Row],[T/G điều chỉnh]]-Data_Dep.12[[#This Row],[Số kỳ đã khấu hao]]),0)</f>
        <v>0</v>
      </c>
      <c r="AC66" s="181">
        <v>0</v>
      </c>
      <c r="AD66" s="181"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75">
        <f>SUM(Data_Dep.12[[#This Row],[KH_2601]:[KH_2612]])</f>
        <v>0</v>
      </c>
      <c r="AP66" s="175">
        <f>Data_Dep.12[[#This Row],[Giá trị còn lại 31/12/25]]+Data_Dep.12[[#This Row],[KH LK 2026]]</f>
        <v>0</v>
      </c>
    </row>
    <row r="67" spans="1:42" x14ac:dyDescent="0.3">
      <c r="A67" s="169"/>
      <c r="B67" s="169"/>
      <c r="C67" s="170" t="s">
        <v>337</v>
      </c>
      <c r="D67" s="169" t="str">
        <f>_xlfn.XLOOKUP(Data_Dep.12[[#This Row],[Nhóm tài sản]],MD_Account_Asset_Type[Nhóm tài sản],MD_Account_Asset_Type[Tên Nhóm tài sản])</f>
        <v>Máy móc, thiết bị phụ - SX 627</v>
      </c>
      <c r="E67" s="171" t="s">
        <v>994</v>
      </c>
      <c r="F67" s="170" t="s">
        <v>559</v>
      </c>
      <c r="G67" s="169" t="s">
        <v>830</v>
      </c>
      <c r="H67" s="170" t="s">
        <v>46</v>
      </c>
      <c r="I67" s="170" t="str">
        <f>_xlfn.XLOOKUP(Data_Dep.12[[#This Row],[Cost center]],MD_Cost_Center[Mã Cost Center],MD_Cost_Center[Tên Cost Center])</f>
        <v>Kiểm soát chất lượng</v>
      </c>
      <c r="J67" s="172">
        <f>_xlfn.XLOOKUP(Data_Dep.12[[#This Row],[Cost center]],MD_Cost_Center[Mã Cost Center],MD_Cost_Center[Work center],"Check")</f>
        <v>0</v>
      </c>
      <c r="K67" s="169" t="str">
        <f>_xlfn.XLOOKUP(Data_Dep.12[[#This Row],[Nhóm tài sản]],MD_Account_Asset_Type[Nhóm tài sản],MD_Account_Asset_Type[Tài khoản KH],"Check")</f>
        <v>6274001906</v>
      </c>
      <c r="L67" s="173">
        <v>44927</v>
      </c>
      <c r="M67" s="174">
        <f>EDATE(Data_Dep.12[[#This Row],[Ngày bắt đầu KH]],Data_Dep.12[[#This Row],[T/G Khấu hao]])</f>
        <v>46023</v>
      </c>
      <c r="N67" s="175">
        <v>36</v>
      </c>
      <c r="O67" s="175">
        <v>559630200</v>
      </c>
      <c r="P67" s="176">
        <v>-512994350</v>
      </c>
      <c r="Q67" s="175">
        <f>Data_Dep.12[[#This Row],[Nguyên giá]]+Data_Dep.12[[#This Row],[KH lũy kế]]</f>
        <v>46635850</v>
      </c>
      <c r="R67" s="177">
        <v>-15545283</v>
      </c>
      <c r="S67" s="177">
        <v>-15545284</v>
      </c>
      <c r="T67" s="177">
        <v>-15545283</v>
      </c>
      <c r="U67" s="177">
        <f>SUM(Data_Dep.12[[#This Row],[KH_2510]:[KH_2512]])</f>
        <v>-46635850</v>
      </c>
      <c r="V67" s="175">
        <f>Data_Dep.12[[#This Row],[Nguyên giá]]+Data_Dep.12[[#This Row],[KH lũy kế]]+Data_Dep.12[[#This Row],[KH_Q4.25]]</f>
        <v>0</v>
      </c>
      <c r="W67" s="178">
        <f>ROUND(Data_Dep.12[[#This Row],[T/G Khấu hao]]-Data_Dep.12[[#This Row],[Giá trị còn lại 31/12/25]]/Data_Dep.12[[#This Row],[Nguyên giá]]*Data_Dep.12[[#This Row],[T/G Khấu hao]],0)</f>
        <v>36</v>
      </c>
      <c r="X67" s="179">
        <v>108</v>
      </c>
      <c r="Y67" s="175">
        <f>Data_Dep.12[[#This Row],[T/G Khấu hao]]+Data_Dep.12[[#This Row],[Điều chỉnh]]</f>
        <v>144</v>
      </c>
      <c r="Z67" s="180">
        <f>EDATE(Data_Dep.12[[#This Row],[Ngày bắt đầu KH]],Data_Dep.12[[#This Row],[T/G điều chỉnh]])</f>
        <v>49310</v>
      </c>
      <c r="AA67" s="175">
        <f>Data_Dep.12[[#This Row],[T/G điều chỉnh]]-Data_Dep.12[[#This Row],[Số kỳ đã khấu hao]]</f>
        <v>108</v>
      </c>
      <c r="AB67" s="175">
        <f>IFERROR(-Data_Dep.12[[#This Row],[Giá trị còn lại 31/12/25]]/(Data_Dep.12[[#This Row],[T/G điều chỉnh]]-Data_Dep.12[[#This Row],[Số kỳ đã khấu hao]]),0)</f>
        <v>0</v>
      </c>
      <c r="AC67" s="181">
        <v>0</v>
      </c>
      <c r="AD67" s="181"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75">
        <f>SUM(Data_Dep.12[[#This Row],[KH_2601]:[KH_2612]])</f>
        <v>0</v>
      </c>
      <c r="AP67" s="175">
        <f>Data_Dep.12[[#This Row],[Giá trị còn lại 31/12/25]]+Data_Dep.12[[#This Row],[KH LK 2026]]</f>
        <v>0</v>
      </c>
    </row>
    <row r="68" spans="1:42" x14ac:dyDescent="0.3">
      <c r="A68" s="169"/>
      <c r="B68" s="169"/>
      <c r="C68" s="170" t="s">
        <v>337</v>
      </c>
      <c r="D68" s="169" t="str">
        <f>_xlfn.XLOOKUP(Data_Dep.12[[#This Row],[Nhóm tài sản]],MD_Account_Asset_Type[Nhóm tài sản],MD_Account_Asset_Type[Tên Nhóm tài sản])</f>
        <v>Máy móc, thiết bị phụ - SX 627</v>
      </c>
      <c r="E68" s="171" t="s">
        <v>995</v>
      </c>
      <c r="F68" s="170" t="s">
        <v>560</v>
      </c>
      <c r="G68" s="169" t="s">
        <v>830</v>
      </c>
      <c r="H68" s="170" t="s">
        <v>46</v>
      </c>
      <c r="I68" s="170" t="str">
        <f>_xlfn.XLOOKUP(Data_Dep.12[[#This Row],[Cost center]],MD_Cost_Center[Mã Cost Center],MD_Cost_Center[Tên Cost Center])</f>
        <v>Kiểm soát chất lượng</v>
      </c>
      <c r="J68" s="172">
        <f>_xlfn.XLOOKUP(Data_Dep.12[[#This Row],[Cost center]],MD_Cost_Center[Mã Cost Center],MD_Cost_Center[Work center],"Check")</f>
        <v>0</v>
      </c>
      <c r="K68" s="169" t="str">
        <f>_xlfn.XLOOKUP(Data_Dep.12[[#This Row],[Nhóm tài sản]],MD_Account_Asset_Type[Nhóm tài sản],MD_Account_Asset_Type[Tài khoản KH],"Check")</f>
        <v>6274001906</v>
      </c>
      <c r="L68" s="173">
        <v>44958</v>
      </c>
      <c r="M68" s="174">
        <f>EDATE(Data_Dep.12[[#This Row],[Ngày bắt đầu KH]],Data_Dep.12[[#This Row],[T/G Khấu hao]])</f>
        <v>46784</v>
      </c>
      <c r="N68" s="175">
        <v>60</v>
      </c>
      <c r="O68" s="175">
        <v>333889440</v>
      </c>
      <c r="P68" s="176">
        <v>-178074368</v>
      </c>
      <c r="Q68" s="175">
        <f>Data_Dep.12[[#This Row],[Nguyên giá]]+Data_Dep.12[[#This Row],[KH lũy kế]]</f>
        <v>155815072</v>
      </c>
      <c r="R68" s="177">
        <v>-5564824</v>
      </c>
      <c r="S68" s="177">
        <v>-5564824</v>
      </c>
      <c r="T68" s="177">
        <v>-5564824</v>
      </c>
      <c r="U68" s="177">
        <f>SUM(Data_Dep.12[[#This Row],[KH_2510]:[KH_2512]])</f>
        <v>-16694472</v>
      </c>
      <c r="V68" s="175">
        <f>Data_Dep.12[[#This Row],[Nguyên giá]]+Data_Dep.12[[#This Row],[KH lũy kế]]+Data_Dep.12[[#This Row],[KH_Q4.25]]</f>
        <v>139120600</v>
      </c>
      <c r="W68" s="178">
        <f>ROUND(Data_Dep.12[[#This Row],[T/G Khấu hao]]-Data_Dep.12[[#This Row],[Giá trị còn lại 31/12/25]]/Data_Dep.12[[#This Row],[Nguyên giá]]*Data_Dep.12[[#This Row],[T/G Khấu hao]],0)</f>
        <v>35</v>
      </c>
      <c r="X68" s="179">
        <v>84</v>
      </c>
      <c r="Y68" s="175">
        <f>Data_Dep.12[[#This Row],[T/G Khấu hao]]+Data_Dep.12[[#This Row],[Điều chỉnh]]</f>
        <v>144</v>
      </c>
      <c r="Z68" s="180">
        <f>EDATE(Data_Dep.12[[#This Row],[Ngày bắt đầu KH]],Data_Dep.12[[#This Row],[T/G điều chỉnh]])</f>
        <v>49341</v>
      </c>
      <c r="AA68" s="175">
        <f>Data_Dep.12[[#This Row],[T/G điều chỉnh]]-Data_Dep.12[[#This Row],[Số kỳ đã khấu hao]]</f>
        <v>109</v>
      </c>
      <c r="AB68" s="175">
        <f>IFERROR(-Data_Dep.12[[#This Row],[Giá trị còn lại 31/12/25]]/(Data_Dep.12[[#This Row],[T/G điều chỉnh]]-Data_Dep.12[[#This Row],[Số kỳ đã khấu hao]]),0)</f>
        <v>-1276335.7798165136</v>
      </c>
      <c r="AC68" s="181">
        <v>-1276335.7798165136</v>
      </c>
      <c r="AD68" s="181">
        <v>-1276335.7798165136</v>
      </c>
      <c r="AE68" s="181">
        <v>-1276335.7798165136</v>
      </c>
      <c r="AF68" s="181">
        <v>-1276335.7798165136</v>
      </c>
      <c r="AG68" s="181">
        <v>-1276335.7798165136</v>
      </c>
      <c r="AH68" s="181">
        <v>-1276335.7798165136</v>
      </c>
      <c r="AI68" s="181">
        <v>-1276335.7798165136</v>
      </c>
      <c r="AJ68" s="181">
        <v>-1276335.7798165136</v>
      </c>
      <c r="AK68" s="181">
        <v>-1276335.7798165136</v>
      </c>
      <c r="AL68" s="181">
        <v>-1276335.7798165136</v>
      </c>
      <c r="AM68" s="181">
        <v>-1276335.7798165136</v>
      </c>
      <c r="AN68" s="181">
        <v>-1276335.7798165136</v>
      </c>
      <c r="AO68" s="175">
        <f>SUM(Data_Dep.12[[#This Row],[KH_2601]:[KH_2612]])</f>
        <v>-15316029.357798165</v>
      </c>
      <c r="AP68" s="175">
        <f>Data_Dep.12[[#This Row],[Giá trị còn lại 31/12/25]]+Data_Dep.12[[#This Row],[KH LK 2026]]</f>
        <v>123804570.64220184</v>
      </c>
    </row>
    <row r="69" spans="1:42" x14ac:dyDescent="0.3">
      <c r="A69" s="169"/>
      <c r="B69" s="169"/>
      <c r="C69" s="170" t="s">
        <v>337</v>
      </c>
      <c r="D69" s="169" t="str">
        <f>_xlfn.XLOOKUP(Data_Dep.12[[#This Row],[Nhóm tài sản]],MD_Account_Asset_Type[Nhóm tài sản],MD_Account_Asset_Type[Tên Nhóm tài sản])</f>
        <v>Máy móc, thiết bị phụ - SX 627</v>
      </c>
      <c r="E69" s="171" t="s">
        <v>996</v>
      </c>
      <c r="F69" s="170" t="s">
        <v>561</v>
      </c>
      <c r="G69" s="169" t="s">
        <v>502</v>
      </c>
      <c r="H69" s="170" t="s">
        <v>51</v>
      </c>
      <c r="I69" s="170" t="str">
        <f>_xlfn.XLOOKUP(Data_Dep.12[[#This Row],[Cost center]],MD_Cost_Center[Mã Cost Center],MD_Cost_Center[Tên Cost Center])</f>
        <v>Chuyền máy tạo vảy PET CW+Tomra</v>
      </c>
      <c r="J69" s="172" t="str">
        <f>_xlfn.XLOOKUP(Data_Dep.12[[#This Row],[Cost center]],MD_Cost_Center[Mã Cost Center],MD_Cost_Center[Work center],"Check")</f>
        <v>CHWO-R01</v>
      </c>
      <c r="K69" s="169" t="str">
        <f>_xlfn.XLOOKUP(Data_Dep.12[[#This Row],[Nhóm tài sản]],MD_Account_Asset_Type[Nhóm tài sản],MD_Account_Asset_Type[Tài khoản KH],"Check")</f>
        <v>6274001906</v>
      </c>
      <c r="L69" s="173">
        <v>44958</v>
      </c>
      <c r="M69" s="174">
        <f>EDATE(Data_Dep.12[[#This Row],[Ngày bắt đầu KH]],Data_Dep.12[[#This Row],[T/G Khấu hao]])</f>
        <v>46054</v>
      </c>
      <c r="N69" s="175">
        <v>36</v>
      </c>
      <c r="O69" s="175">
        <v>101385900</v>
      </c>
      <c r="P69" s="176">
        <v>-90120800</v>
      </c>
      <c r="Q69" s="175">
        <f>Data_Dep.12[[#This Row],[Nguyên giá]]+Data_Dep.12[[#This Row],[KH lũy kế]]</f>
        <v>11265100</v>
      </c>
      <c r="R69" s="177">
        <v>-2816275</v>
      </c>
      <c r="S69" s="177">
        <v>-2816275</v>
      </c>
      <c r="T69" s="177">
        <v>-2816275</v>
      </c>
      <c r="U69" s="177">
        <f>SUM(Data_Dep.12[[#This Row],[KH_2510]:[KH_2512]])</f>
        <v>-8448825</v>
      </c>
      <c r="V69" s="175">
        <f>Data_Dep.12[[#This Row],[Nguyên giá]]+Data_Dep.12[[#This Row],[KH lũy kế]]+Data_Dep.12[[#This Row],[KH_Q4.25]]</f>
        <v>2816275</v>
      </c>
      <c r="W69" s="178">
        <f>ROUND(Data_Dep.12[[#This Row],[T/G Khấu hao]]-Data_Dep.12[[#This Row],[Giá trị còn lại 31/12/25]]/Data_Dep.12[[#This Row],[Nguyên giá]]*Data_Dep.12[[#This Row],[T/G Khấu hao]],0)</f>
        <v>35</v>
      </c>
      <c r="X69" s="179">
        <v>108</v>
      </c>
      <c r="Y69" s="175">
        <f>Data_Dep.12[[#This Row],[T/G Khấu hao]]+Data_Dep.12[[#This Row],[Điều chỉnh]]</f>
        <v>144</v>
      </c>
      <c r="Z69" s="180">
        <f>EDATE(Data_Dep.12[[#This Row],[Ngày bắt đầu KH]],Data_Dep.12[[#This Row],[T/G điều chỉnh]])</f>
        <v>49341</v>
      </c>
      <c r="AA69" s="175">
        <f>Data_Dep.12[[#This Row],[T/G điều chỉnh]]-Data_Dep.12[[#This Row],[Số kỳ đã khấu hao]]</f>
        <v>109</v>
      </c>
      <c r="AB69" s="175">
        <f>IFERROR(-Data_Dep.12[[#This Row],[Giá trị còn lại 31/12/25]]/(Data_Dep.12[[#This Row],[T/G điều chỉnh]]-Data_Dep.12[[#This Row],[Số kỳ đã khấu hao]]),0)</f>
        <v>-25837.385321100919</v>
      </c>
      <c r="AC69" s="181">
        <v>-25837.385321100919</v>
      </c>
      <c r="AD69" s="181">
        <v>-25837.385321100919</v>
      </c>
      <c r="AE69" s="181">
        <v>-25837.385321100919</v>
      </c>
      <c r="AF69" s="181">
        <v>-25837.385321100919</v>
      </c>
      <c r="AG69" s="181">
        <v>-25837.385321100919</v>
      </c>
      <c r="AH69" s="181">
        <v>-25837.385321100919</v>
      </c>
      <c r="AI69" s="181">
        <v>-25837.385321100919</v>
      </c>
      <c r="AJ69" s="181">
        <v>-25837.385321100919</v>
      </c>
      <c r="AK69" s="181">
        <v>-25837.385321100919</v>
      </c>
      <c r="AL69" s="181">
        <v>-25837.385321100919</v>
      </c>
      <c r="AM69" s="181">
        <v>-25837.385321100919</v>
      </c>
      <c r="AN69" s="181">
        <v>-25837.385321100919</v>
      </c>
      <c r="AO69" s="175">
        <f>SUM(Data_Dep.12[[#This Row],[KH_2601]:[KH_2612]])</f>
        <v>-310048.623853211</v>
      </c>
      <c r="AP69" s="175">
        <f>Data_Dep.12[[#This Row],[Giá trị còn lại 31/12/25]]+Data_Dep.12[[#This Row],[KH LK 2026]]</f>
        <v>2506226.3761467892</v>
      </c>
    </row>
    <row r="70" spans="1:42" x14ac:dyDescent="0.3">
      <c r="A70" s="169"/>
      <c r="B70" s="169"/>
      <c r="C70" s="170" t="s">
        <v>337</v>
      </c>
      <c r="D70" s="169" t="str">
        <f>_xlfn.XLOOKUP(Data_Dep.12[[#This Row],[Nhóm tài sản]],MD_Account_Asset_Type[Nhóm tài sản],MD_Account_Asset_Type[Tên Nhóm tài sản])</f>
        <v>Máy móc, thiết bị phụ - SX 627</v>
      </c>
      <c r="E70" s="171" t="s">
        <v>997</v>
      </c>
      <c r="F70" s="170" t="s">
        <v>562</v>
      </c>
      <c r="G70" s="169" t="s">
        <v>830</v>
      </c>
      <c r="H70" s="170" t="s">
        <v>61</v>
      </c>
      <c r="I70" s="170" t="str">
        <f>_xlfn.XLOOKUP(Data_Dep.12[[#This Row],[Cost center]],MD_Cost_Center[Mã Cost Center],MD_Cost_Center[Tên Cost Center])</f>
        <v>Chuyền băm chai PET</v>
      </c>
      <c r="J70" s="172" t="str">
        <f>_xlfn.XLOOKUP(Data_Dep.12[[#This Row],[Cost center]],MD_Cost_Center[Mã Cost Center],MD_Cost_Center[Work center],"Check")</f>
        <v>CHWO-B01</v>
      </c>
      <c r="K70" s="169" t="str">
        <f>_xlfn.XLOOKUP(Data_Dep.12[[#This Row],[Nhóm tài sản]],MD_Account_Asset_Type[Nhóm tài sản],MD_Account_Asset_Type[Tài khoản KH],"Check")</f>
        <v>6274001906</v>
      </c>
      <c r="L70" s="173">
        <v>44958</v>
      </c>
      <c r="M70" s="174">
        <f>EDATE(Data_Dep.12[[#This Row],[Ngày bắt đầu KH]],Data_Dep.12[[#This Row],[T/G Khấu hao]])</f>
        <v>46054</v>
      </c>
      <c r="N70" s="175">
        <v>36</v>
      </c>
      <c r="O70" s="175">
        <v>80735343</v>
      </c>
      <c r="P70" s="176">
        <v>-71764749</v>
      </c>
      <c r="Q70" s="175">
        <f>Data_Dep.12[[#This Row],[Nguyên giá]]+Data_Dep.12[[#This Row],[KH lũy kế]]</f>
        <v>8970594</v>
      </c>
      <c r="R70" s="177">
        <v>-2242649</v>
      </c>
      <c r="S70" s="177">
        <v>-2242648</v>
      </c>
      <c r="T70" s="177">
        <v>-2242649</v>
      </c>
      <c r="U70" s="177">
        <f>SUM(Data_Dep.12[[#This Row],[KH_2510]:[KH_2512]])</f>
        <v>-6727946</v>
      </c>
      <c r="V70" s="175">
        <f>Data_Dep.12[[#This Row],[Nguyên giá]]+Data_Dep.12[[#This Row],[KH lũy kế]]+Data_Dep.12[[#This Row],[KH_Q4.25]]</f>
        <v>2242648</v>
      </c>
      <c r="W70" s="178">
        <f>ROUND(Data_Dep.12[[#This Row],[T/G Khấu hao]]-Data_Dep.12[[#This Row],[Giá trị còn lại 31/12/25]]/Data_Dep.12[[#This Row],[Nguyên giá]]*Data_Dep.12[[#This Row],[T/G Khấu hao]],0)</f>
        <v>35</v>
      </c>
      <c r="X70" s="179">
        <v>108</v>
      </c>
      <c r="Y70" s="175">
        <f>Data_Dep.12[[#This Row],[T/G Khấu hao]]+Data_Dep.12[[#This Row],[Điều chỉnh]]</f>
        <v>144</v>
      </c>
      <c r="Z70" s="180">
        <f>EDATE(Data_Dep.12[[#This Row],[Ngày bắt đầu KH]],Data_Dep.12[[#This Row],[T/G điều chỉnh]])</f>
        <v>49341</v>
      </c>
      <c r="AA70" s="175">
        <f>Data_Dep.12[[#This Row],[T/G điều chỉnh]]-Data_Dep.12[[#This Row],[Số kỳ đã khấu hao]]</f>
        <v>109</v>
      </c>
      <c r="AB70" s="175">
        <f>IFERROR(-Data_Dep.12[[#This Row],[Giá trị còn lại 31/12/25]]/(Data_Dep.12[[#This Row],[T/G điều chỉnh]]-Data_Dep.12[[#This Row],[Số kỳ đã khấu hao]]),0)</f>
        <v>-20574.752293577982</v>
      </c>
      <c r="AC70" s="181">
        <v>-20574.752293577982</v>
      </c>
      <c r="AD70" s="181">
        <v>-20574.752293577982</v>
      </c>
      <c r="AE70" s="181">
        <v>-20574.752293577982</v>
      </c>
      <c r="AF70" s="181">
        <v>-20574.752293577982</v>
      </c>
      <c r="AG70" s="181">
        <v>-20574.752293577982</v>
      </c>
      <c r="AH70" s="181">
        <v>-20574.752293577982</v>
      </c>
      <c r="AI70" s="181">
        <v>-20574.752293577982</v>
      </c>
      <c r="AJ70" s="181">
        <v>-20574.752293577982</v>
      </c>
      <c r="AK70" s="181">
        <v>-20574.752293577982</v>
      </c>
      <c r="AL70" s="181">
        <v>-20574.752293577982</v>
      </c>
      <c r="AM70" s="181">
        <v>-20574.752293577982</v>
      </c>
      <c r="AN70" s="181">
        <v>-20574.752293577982</v>
      </c>
      <c r="AO70" s="175">
        <f>SUM(Data_Dep.12[[#This Row],[KH_2601]:[KH_2612]])</f>
        <v>-246897.02752293574</v>
      </c>
      <c r="AP70" s="175">
        <f>Data_Dep.12[[#This Row],[Giá trị còn lại 31/12/25]]+Data_Dep.12[[#This Row],[KH LK 2026]]</f>
        <v>1995750.9724770642</v>
      </c>
    </row>
    <row r="71" spans="1:42" x14ac:dyDescent="0.3">
      <c r="A71" s="169"/>
      <c r="B71" s="169"/>
      <c r="C71" s="170" t="s">
        <v>337</v>
      </c>
      <c r="D71" s="169" t="str">
        <f>_xlfn.XLOOKUP(Data_Dep.12[[#This Row],[Nhóm tài sản]],MD_Account_Asset_Type[Nhóm tài sản],MD_Account_Asset_Type[Tên Nhóm tài sản])</f>
        <v>Máy móc, thiết bị phụ - SX 627</v>
      </c>
      <c r="E71" s="171" t="s">
        <v>998</v>
      </c>
      <c r="F71" s="170" t="s">
        <v>563</v>
      </c>
      <c r="G71" s="169" t="s">
        <v>830</v>
      </c>
      <c r="H71" s="170" t="s">
        <v>46</v>
      </c>
      <c r="I71" s="170" t="str">
        <f>_xlfn.XLOOKUP(Data_Dep.12[[#This Row],[Cost center]],MD_Cost_Center[Mã Cost Center],MD_Cost_Center[Tên Cost Center])</f>
        <v>Kiểm soát chất lượng</v>
      </c>
      <c r="J71" s="172">
        <f>_xlfn.XLOOKUP(Data_Dep.12[[#This Row],[Cost center]],MD_Cost_Center[Mã Cost Center],MD_Cost_Center[Work center],"Check")</f>
        <v>0</v>
      </c>
      <c r="K71" s="169" t="str">
        <f>_xlfn.XLOOKUP(Data_Dep.12[[#This Row],[Nhóm tài sản]],MD_Account_Asset_Type[Nhóm tài sản],MD_Account_Asset_Type[Tài khoản KH],"Check")</f>
        <v>6274001906</v>
      </c>
      <c r="L71" s="173">
        <v>44958</v>
      </c>
      <c r="M71" s="174">
        <f>EDATE(Data_Dep.12[[#This Row],[Ngày bắt đầu KH]],Data_Dep.12[[#This Row],[T/G Khấu hao]])</f>
        <v>46784</v>
      </c>
      <c r="N71" s="175">
        <v>60</v>
      </c>
      <c r="O71" s="175">
        <v>481950726</v>
      </c>
      <c r="P71" s="176">
        <v>-257040387</v>
      </c>
      <c r="Q71" s="175">
        <f>Data_Dep.12[[#This Row],[Nguyên giá]]+Data_Dep.12[[#This Row],[KH lũy kế]]</f>
        <v>224910339</v>
      </c>
      <c r="R71" s="177">
        <v>-8032512</v>
      </c>
      <c r="S71" s="177">
        <v>-8032512</v>
      </c>
      <c r="T71" s="177">
        <v>-8032512</v>
      </c>
      <c r="U71" s="177">
        <f>SUM(Data_Dep.12[[#This Row],[KH_2510]:[KH_2512]])</f>
        <v>-24097536</v>
      </c>
      <c r="V71" s="175">
        <f>Data_Dep.12[[#This Row],[Nguyên giá]]+Data_Dep.12[[#This Row],[KH lũy kế]]+Data_Dep.12[[#This Row],[KH_Q4.25]]</f>
        <v>200812803</v>
      </c>
      <c r="W71" s="178">
        <f>ROUND(Data_Dep.12[[#This Row],[T/G Khấu hao]]-Data_Dep.12[[#This Row],[Giá trị còn lại 31/12/25]]/Data_Dep.12[[#This Row],[Nguyên giá]]*Data_Dep.12[[#This Row],[T/G Khấu hao]],0)</f>
        <v>35</v>
      </c>
      <c r="X71" s="179">
        <v>84</v>
      </c>
      <c r="Y71" s="175">
        <f>Data_Dep.12[[#This Row],[T/G Khấu hao]]+Data_Dep.12[[#This Row],[Điều chỉnh]]</f>
        <v>144</v>
      </c>
      <c r="Z71" s="180">
        <f>EDATE(Data_Dep.12[[#This Row],[Ngày bắt đầu KH]],Data_Dep.12[[#This Row],[T/G điều chỉnh]])</f>
        <v>49341</v>
      </c>
      <c r="AA71" s="175">
        <f>Data_Dep.12[[#This Row],[T/G điều chỉnh]]-Data_Dep.12[[#This Row],[Số kỳ đã khấu hao]]</f>
        <v>109</v>
      </c>
      <c r="AB71" s="175">
        <f>IFERROR(-Data_Dep.12[[#This Row],[Giá trị còn lại 31/12/25]]/(Data_Dep.12[[#This Row],[T/G điều chỉnh]]-Data_Dep.12[[#This Row],[Số kỳ đã khấu hao]]),0)</f>
        <v>-1842319.2935779816</v>
      </c>
      <c r="AC71" s="181">
        <v>-1842319.2935779816</v>
      </c>
      <c r="AD71" s="181">
        <v>-1842319.2935779816</v>
      </c>
      <c r="AE71" s="181">
        <v>-1842319.2935779816</v>
      </c>
      <c r="AF71" s="181">
        <v>-1842319.2935779816</v>
      </c>
      <c r="AG71" s="181">
        <v>-1842319.2935779816</v>
      </c>
      <c r="AH71" s="181">
        <v>-1842319.2935779816</v>
      </c>
      <c r="AI71" s="181">
        <v>-1842319.2935779816</v>
      </c>
      <c r="AJ71" s="181">
        <v>-1842319.2935779816</v>
      </c>
      <c r="AK71" s="181">
        <v>-1842319.2935779816</v>
      </c>
      <c r="AL71" s="181">
        <v>-1842319.2935779816</v>
      </c>
      <c r="AM71" s="181">
        <v>-1842319.2935779816</v>
      </c>
      <c r="AN71" s="181">
        <v>-1842319.2935779816</v>
      </c>
      <c r="AO71" s="175">
        <f>SUM(Data_Dep.12[[#This Row],[KH_2601]:[KH_2612]])</f>
        <v>-22107831.522935778</v>
      </c>
      <c r="AP71" s="175">
        <f>Data_Dep.12[[#This Row],[Giá trị còn lại 31/12/25]]+Data_Dep.12[[#This Row],[KH LK 2026]]</f>
        <v>178704971.47706422</v>
      </c>
    </row>
    <row r="72" spans="1:42" x14ac:dyDescent="0.3">
      <c r="A72" s="169"/>
      <c r="B72" s="169"/>
      <c r="C72" s="170" t="s">
        <v>337</v>
      </c>
      <c r="D72" s="169" t="str">
        <f>_xlfn.XLOOKUP(Data_Dep.12[[#This Row],[Nhóm tài sản]],MD_Account_Asset_Type[Nhóm tài sản],MD_Account_Asset_Type[Tên Nhóm tài sản])</f>
        <v>Máy móc, thiết bị phụ - SX 627</v>
      </c>
      <c r="E72" s="171" t="s">
        <v>999</v>
      </c>
      <c r="F72" s="170" t="s">
        <v>564</v>
      </c>
      <c r="G72" s="169" t="s">
        <v>830</v>
      </c>
      <c r="H72" s="170" t="s">
        <v>45</v>
      </c>
      <c r="I72" s="170" t="str">
        <f>_xlfn.XLOOKUP(Data_Dep.12[[#This Row],[Cost center]],MD_Cost_Center[Mã Cost Center],MD_Cost_Center[Tên Cost Center])</f>
        <v>Kỹ thuật</v>
      </c>
      <c r="J72" s="172">
        <f>_xlfn.XLOOKUP(Data_Dep.12[[#This Row],[Cost center]],MD_Cost_Center[Mã Cost Center],MD_Cost_Center[Work center],"Check")</f>
        <v>0</v>
      </c>
      <c r="K72" s="169" t="str">
        <f>_xlfn.XLOOKUP(Data_Dep.12[[#This Row],[Nhóm tài sản]],MD_Account_Asset_Type[Nhóm tài sản],MD_Account_Asset_Type[Tài khoản KH],"Check")</f>
        <v>6274001906</v>
      </c>
      <c r="L72" s="173">
        <v>44986</v>
      </c>
      <c r="M72" s="174">
        <f>EDATE(Data_Dep.12[[#This Row],[Ngày bắt đầu KH]],Data_Dep.12[[#This Row],[T/G Khấu hao]])</f>
        <v>46082</v>
      </c>
      <c r="N72" s="175">
        <v>36</v>
      </c>
      <c r="O72" s="175">
        <v>90310000</v>
      </c>
      <c r="P72" s="176">
        <v>-77766944</v>
      </c>
      <c r="Q72" s="175">
        <f>Data_Dep.12[[#This Row],[Nguyên giá]]+Data_Dep.12[[#This Row],[KH lũy kế]]</f>
        <v>12543056</v>
      </c>
      <c r="R72" s="177">
        <v>-2508611</v>
      </c>
      <c r="S72" s="177">
        <v>-2508612</v>
      </c>
      <c r="T72" s="177">
        <v>-2508611</v>
      </c>
      <c r="U72" s="177">
        <f>SUM(Data_Dep.12[[#This Row],[KH_2510]:[KH_2512]])</f>
        <v>-7525834</v>
      </c>
      <c r="V72" s="175">
        <f>Data_Dep.12[[#This Row],[Nguyên giá]]+Data_Dep.12[[#This Row],[KH lũy kế]]+Data_Dep.12[[#This Row],[KH_Q4.25]]</f>
        <v>5017222</v>
      </c>
      <c r="W72" s="178">
        <f>ROUND(Data_Dep.12[[#This Row],[T/G Khấu hao]]-Data_Dep.12[[#This Row],[Giá trị còn lại 31/12/25]]/Data_Dep.12[[#This Row],[Nguyên giá]]*Data_Dep.12[[#This Row],[T/G Khấu hao]],0)</f>
        <v>34</v>
      </c>
      <c r="X72" s="179">
        <v>108</v>
      </c>
      <c r="Y72" s="175">
        <f>Data_Dep.12[[#This Row],[T/G Khấu hao]]+Data_Dep.12[[#This Row],[Điều chỉnh]]</f>
        <v>144</v>
      </c>
      <c r="Z72" s="180">
        <f>EDATE(Data_Dep.12[[#This Row],[Ngày bắt đầu KH]],Data_Dep.12[[#This Row],[T/G điều chỉnh]])</f>
        <v>49369</v>
      </c>
      <c r="AA72" s="175">
        <f>Data_Dep.12[[#This Row],[T/G điều chỉnh]]-Data_Dep.12[[#This Row],[Số kỳ đã khấu hao]]</f>
        <v>110</v>
      </c>
      <c r="AB72" s="175">
        <f>IFERROR(-Data_Dep.12[[#This Row],[Giá trị còn lại 31/12/25]]/(Data_Dep.12[[#This Row],[T/G điều chỉnh]]-Data_Dep.12[[#This Row],[Số kỳ đã khấu hao]]),0)</f>
        <v>-45611.109090909093</v>
      </c>
      <c r="AC72" s="181">
        <v>-45611.109090909093</v>
      </c>
      <c r="AD72" s="181">
        <v>-45611.109090909093</v>
      </c>
      <c r="AE72" s="181">
        <v>-45611.109090909093</v>
      </c>
      <c r="AF72" s="181">
        <v>-45611.109090909093</v>
      </c>
      <c r="AG72" s="181">
        <v>-45611.109090909093</v>
      </c>
      <c r="AH72" s="181">
        <v>-45611.109090909093</v>
      </c>
      <c r="AI72" s="181">
        <v>-45611.109090909093</v>
      </c>
      <c r="AJ72" s="181">
        <v>-45611.109090909093</v>
      </c>
      <c r="AK72" s="181">
        <v>-45611.109090909093</v>
      </c>
      <c r="AL72" s="181">
        <v>-45611.109090909093</v>
      </c>
      <c r="AM72" s="181">
        <v>-45611.109090909093</v>
      </c>
      <c r="AN72" s="181">
        <v>-45611.109090909093</v>
      </c>
      <c r="AO72" s="175">
        <f>SUM(Data_Dep.12[[#This Row],[KH_2601]:[KH_2612]])</f>
        <v>-547333.30909090897</v>
      </c>
      <c r="AP72" s="175">
        <f>Data_Dep.12[[#This Row],[Giá trị còn lại 31/12/25]]+Data_Dep.12[[#This Row],[KH LK 2026]]</f>
        <v>4469888.6909090914</v>
      </c>
    </row>
    <row r="73" spans="1:42" x14ac:dyDescent="0.3">
      <c r="A73" s="169"/>
      <c r="B73" s="169"/>
      <c r="C73" s="170" t="s">
        <v>337</v>
      </c>
      <c r="D73" s="169" t="str">
        <f>_xlfn.XLOOKUP(Data_Dep.12[[#This Row],[Nhóm tài sản]],MD_Account_Asset_Type[Nhóm tài sản],MD_Account_Asset_Type[Tên Nhóm tài sản])</f>
        <v>Máy móc, thiết bị phụ - SX 627</v>
      </c>
      <c r="E73" s="171" t="s">
        <v>1002</v>
      </c>
      <c r="F73" s="170" t="s">
        <v>565</v>
      </c>
      <c r="G73" s="169" t="s">
        <v>830</v>
      </c>
      <c r="H73" s="170" t="s">
        <v>46</v>
      </c>
      <c r="I73" s="170" t="str">
        <f>_xlfn.XLOOKUP(Data_Dep.12[[#This Row],[Cost center]],MD_Cost_Center[Mã Cost Center],MD_Cost_Center[Tên Cost Center])</f>
        <v>Kiểm soát chất lượng</v>
      </c>
      <c r="J73" s="172">
        <f>_xlfn.XLOOKUP(Data_Dep.12[[#This Row],[Cost center]],MD_Cost_Center[Mã Cost Center],MD_Cost_Center[Work center],"Check")</f>
        <v>0</v>
      </c>
      <c r="K73" s="169" t="str">
        <f>_xlfn.XLOOKUP(Data_Dep.12[[#This Row],[Nhóm tài sản]],MD_Account_Asset_Type[Nhóm tài sản],MD_Account_Asset_Type[Tài khoản KH],"Check")</f>
        <v>6274001906</v>
      </c>
      <c r="L73" s="173">
        <v>44986</v>
      </c>
      <c r="M73" s="174">
        <f>EDATE(Data_Dep.12[[#This Row],[Ngày bắt đầu KH]],Data_Dep.12[[#This Row],[T/G Khấu hao]])</f>
        <v>46082</v>
      </c>
      <c r="N73" s="175">
        <v>36</v>
      </c>
      <c r="O73" s="175">
        <v>107872588</v>
      </c>
      <c r="P73" s="176">
        <v>-92890284</v>
      </c>
      <c r="Q73" s="175">
        <f>Data_Dep.12[[#This Row],[Nguyên giá]]+Data_Dep.12[[#This Row],[KH lũy kế]]</f>
        <v>14982304</v>
      </c>
      <c r="R73" s="177">
        <v>-2996461</v>
      </c>
      <c r="S73" s="177">
        <v>-2996461</v>
      </c>
      <c r="T73" s="177">
        <v>-2996460</v>
      </c>
      <c r="U73" s="177">
        <f>SUM(Data_Dep.12[[#This Row],[KH_2510]:[KH_2512]])</f>
        <v>-8989382</v>
      </c>
      <c r="V73" s="175">
        <f>Data_Dep.12[[#This Row],[Nguyên giá]]+Data_Dep.12[[#This Row],[KH lũy kế]]+Data_Dep.12[[#This Row],[KH_Q4.25]]</f>
        <v>5992922</v>
      </c>
      <c r="W73" s="178">
        <f>ROUND(Data_Dep.12[[#This Row],[T/G Khấu hao]]-Data_Dep.12[[#This Row],[Giá trị còn lại 31/12/25]]/Data_Dep.12[[#This Row],[Nguyên giá]]*Data_Dep.12[[#This Row],[T/G Khấu hao]],0)</f>
        <v>34</v>
      </c>
      <c r="X73" s="179">
        <v>108</v>
      </c>
      <c r="Y73" s="175">
        <f>Data_Dep.12[[#This Row],[T/G Khấu hao]]+Data_Dep.12[[#This Row],[Điều chỉnh]]</f>
        <v>144</v>
      </c>
      <c r="Z73" s="180">
        <f>EDATE(Data_Dep.12[[#This Row],[Ngày bắt đầu KH]],Data_Dep.12[[#This Row],[T/G điều chỉnh]])</f>
        <v>49369</v>
      </c>
      <c r="AA73" s="175">
        <f>Data_Dep.12[[#This Row],[T/G điều chỉnh]]-Data_Dep.12[[#This Row],[Số kỳ đã khấu hao]]</f>
        <v>110</v>
      </c>
      <c r="AB73" s="175">
        <f>IFERROR(-Data_Dep.12[[#This Row],[Giá trị còn lại 31/12/25]]/(Data_Dep.12[[#This Row],[T/G điều chỉnh]]-Data_Dep.12[[#This Row],[Số kỳ đã khấu hao]]),0)</f>
        <v>-54481.109090909093</v>
      </c>
      <c r="AC73" s="181">
        <v>-54481.109090909093</v>
      </c>
      <c r="AD73" s="181">
        <v>-54481.109090909093</v>
      </c>
      <c r="AE73" s="181">
        <v>-54481.109090909093</v>
      </c>
      <c r="AF73" s="181">
        <v>-54481.109090909093</v>
      </c>
      <c r="AG73" s="181">
        <v>-54481.109090909093</v>
      </c>
      <c r="AH73" s="181">
        <v>-54481.109090909093</v>
      </c>
      <c r="AI73" s="181">
        <v>-54481.109090909093</v>
      </c>
      <c r="AJ73" s="181">
        <v>-54481.109090909093</v>
      </c>
      <c r="AK73" s="181">
        <v>-54481.109090909093</v>
      </c>
      <c r="AL73" s="181">
        <v>-54481.109090909093</v>
      </c>
      <c r="AM73" s="181">
        <v>-54481.109090909093</v>
      </c>
      <c r="AN73" s="181">
        <v>-54481.109090909093</v>
      </c>
      <c r="AO73" s="175">
        <f>SUM(Data_Dep.12[[#This Row],[KH_2601]:[KH_2612]])</f>
        <v>-653773.30909090908</v>
      </c>
      <c r="AP73" s="175">
        <f>Data_Dep.12[[#This Row],[Giá trị còn lại 31/12/25]]+Data_Dep.12[[#This Row],[KH LK 2026]]</f>
        <v>5339148.6909090914</v>
      </c>
    </row>
    <row r="74" spans="1:42" x14ac:dyDescent="0.3">
      <c r="A74" s="169"/>
      <c r="B74" s="169"/>
      <c r="C74" s="170" t="s">
        <v>337</v>
      </c>
      <c r="D74" s="169" t="str">
        <f>_xlfn.XLOOKUP(Data_Dep.12[[#This Row],[Nhóm tài sản]],MD_Account_Asset_Type[Nhóm tài sản],MD_Account_Asset_Type[Tên Nhóm tài sản])</f>
        <v>Máy móc, thiết bị phụ - SX 627</v>
      </c>
      <c r="E74" s="171" t="s">
        <v>1003</v>
      </c>
      <c r="F74" s="170" t="s">
        <v>566</v>
      </c>
      <c r="G74" s="169" t="s">
        <v>830</v>
      </c>
      <c r="H74" s="170" t="s">
        <v>48</v>
      </c>
      <c r="I74" s="170" t="str">
        <f>_xlfn.XLOOKUP(Data_Dep.12[[#This Row],[Cost center]],MD_Cost_Center[Mã Cost Center],MD_Cost_Center[Tên Cost Center])</f>
        <v>Xưởng sản xuất PET</v>
      </c>
      <c r="J74" s="172">
        <f>_xlfn.XLOOKUP(Data_Dep.12[[#This Row],[Cost center]],MD_Cost_Center[Mã Cost Center],MD_Cost_Center[Work center],"Check")</f>
        <v>0</v>
      </c>
      <c r="K74" s="169" t="str">
        <f>_xlfn.XLOOKUP(Data_Dep.12[[#This Row],[Nhóm tài sản]],MD_Account_Asset_Type[Nhóm tài sản],MD_Account_Asset_Type[Tài khoản KH],"Check")</f>
        <v>6274001906</v>
      </c>
      <c r="L74" s="173">
        <v>44986</v>
      </c>
      <c r="M74" s="174">
        <f>EDATE(Data_Dep.12[[#This Row],[Ngày bắt đầu KH]],Data_Dep.12[[#This Row],[T/G Khấu hao]])</f>
        <v>46813</v>
      </c>
      <c r="N74" s="175">
        <v>60</v>
      </c>
      <c r="O74" s="175">
        <v>1168004580</v>
      </c>
      <c r="P74" s="176">
        <v>-603469033</v>
      </c>
      <c r="Q74" s="175">
        <f>Data_Dep.12[[#This Row],[Nguyên giá]]+Data_Dep.12[[#This Row],[KH lũy kế]]</f>
        <v>564535547</v>
      </c>
      <c r="R74" s="177">
        <v>-19466743</v>
      </c>
      <c r="S74" s="177">
        <v>-19466743</v>
      </c>
      <c r="T74" s="177">
        <v>-19466743</v>
      </c>
      <c r="U74" s="177">
        <f>SUM(Data_Dep.12[[#This Row],[KH_2510]:[KH_2512]])</f>
        <v>-58400229</v>
      </c>
      <c r="V74" s="175">
        <f>Data_Dep.12[[#This Row],[Nguyên giá]]+Data_Dep.12[[#This Row],[KH lũy kế]]+Data_Dep.12[[#This Row],[KH_Q4.25]]</f>
        <v>506135318</v>
      </c>
      <c r="W74" s="178">
        <f>ROUND(Data_Dep.12[[#This Row],[T/G Khấu hao]]-Data_Dep.12[[#This Row],[Giá trị còn lại 31/12/25]]/Data_Dep.12[[#This Row],[Nguyên giá]]*Data_Dep.12[[#This Row],[T/G Khấu hao]],0)</f>
        <v>34</v>
      </c>
      <c r="X74" s="179">
        <v>84</v>
      </c>
      <c r="Y74" s="175">
        <f>Data_Dep.12[[#This Row],[T/G Khấu hao]]+Data_Dep.12[[#This Row],[Điều chỉnh]]</f>
        <v>144</v>
      </c>
      <c r="Z74" s="180">
        <f>EDATE(Data_Dep.12[[#This Row],[Ngày bắt đầu KH]],Data_Dep.12[[#This Row],[T/G điều chỉnh]])</f>
        <v>49369</v>
      </c>
      <c r="AA74" s="175">
        <f>Data_Dep.12[[#This Row],[T/G điều chỉnh]]-Data_Dep.12[[#This Row],[Số kỳ đã khấu hao]]</f>
        <v>110</v>
      </c>
      <c r="AB74" s="175">
        <f>IFERROR(-Data_Dep.12[[#This Row],[Giá trị còn lại 31/12/25]]/(Data_Dep.12[[#This Row],[T/G điều chỉnh]]-Data_Dep.12[[#This Row],[Số kỳ đã khấu hao]]),0)</f>
        <v>-4601230.163636364</v>
      </c>
      <c r="AC74" s="181">
        <v>-4601230.163636364</v>
      </c>
      <c r="AD74" s="181">
        <v>-4601230.163636364</v>
      </c>
      <c r="AE74" s="181">
        <v>-4601230.163636364</v>
      </c>
      <c r="AF74" s="181">
        <v>-4601230.163636364</v>
      </c>
      <c r="AG74" s="181">
        <v>-4601230.163636364</v>
      </c>
      <c r="AH74" s="181">
        <v>-4601230.163636364</v>
      </c>
      <c r="AI74" s="181">
        <v>-4601230.163636364</v>
      </c>
      <c r="AJ74" s="181">
        <v>-4601230.163636364</v>
      </c>
      <c r="AK74" s="181">
        <v>-4601230.163636364</v>
      </c>
      <c r="AL74" s="181">
        <v>-4601230.163636364</v>
      </c>
      <c r="AM74" s="181">
        <v>-4601230.163636364</v>
      </c>
      <c r="AN74" s="181">
        <v>-4601230.163636364</v>
      </c>
      <c r="AO74" s="175">
        <f>SUM(Data_Dep.12[[#This Row],[KH_2601]:[KH_2612]])</f>
        <v>-55214761.963636369</v>
      </c>
      <c r="AP74" s="175">
        <f>Data_Dep.12[[#This Row],[Giá trị còn lại 31/12/25]]+Data_Dep.12[[#This Row],[KH LK 2026]]</f>
        <v>450920556.0363636</v>
      </c>
    </row>
    <row r="75" spans="1:42" x14ac:dyDescent="0.3">
      <c r="A75" s="169"/>
      <c r="B75" s="169"/>
      <c r="C75" s="170" t="s">
        <v>337</v>
      </c>
      <c r="D75" s="169" t="str">
        <f>_xlfn.XLOOKUP(Data_Dep.12[[#This Row],[Nhóm tài sản]],MD_Account_Asset_Type[Nhóm tài sản],MD_Account_Asset_Type[Tên Nhóm tài sản])</f>
        <v>Máy móc, thiết bị phụ - SX 627</v>
      </c>
      <c r="E75" s="171" t="s">
        <v>1004</v>
      </c>
      <c r="F75" s="170" t="s">
        <v>567</v>
      </c>
      <c r="G75" s="169" t="s">
        <v>830</v>
      </c>
      <c r="H75" s="170" t="s">
        <v>45</v>
      </c>
      <c r="I75" s="170" t="str">
        <f>_xlfn.XLOOKUP(Data_Dep.12[[#This Row],[Cost center]],MD_Cost_Center[Mã Cost Center],MD_Cost_Center[Tên Cost Center])</f>
        <v>Kỹ thuật</v>
      </c>
      <c r="J75" s="172">
        <f>_xlfn.XLOOKUP(Data_Dep.12[[#This Row],[Cost center]],MD_Cost_Center[Mã Cost Center],MD_Cost_Center[Work center],"Check")</f>
        <v>0</v>
      </c>
      <c r="K75" s="169" t="str">
        <f>_xlfn.XLOOKUP(Data_Dep.12[[#This Row],[Nhóm tài sản]],MD_Account_Asset_Type[Nhóm tài sản],MD_Account_Asset_Type[Tài khoản KH],"Check")</f>
        <v>6274001906</v>
      </c>
      <c r="L75" s="173">
        <v>44986</v>
      </c>
      <c r="M75" s="174">
        <f>EDATE(Data_Dep.12[[#This Row],[Ngày bắt đầu KH]],Data_Dep.12[[#This Row],[T/G Khấu hao]])</f>
        <v>46082</v>
      </c>
      <c r="N75" s="175">
        <v>36</v>
      </c>
      <c r="O75" s="175">
        <v>79900000</v>
      </c>
      <c r="P75" s="176">
        <v>-68802778</v>
      </c>
      <c r="Q75" s="175">
        <f>Data_Dep.12[[#This Row],[Nguyên giá]]+Data_Dep.12[[#This Row],[KH lũy kế]]</f>
        <v>11097222</v>
      </c>
      <c r="R75" s="177">
        <v>-2219444</v>
      </c>
      <c r="S75" s="177">
        <v>-2219445</v>
      </c>
      <c r="T75" s="177">
        <v>-2219444</v>
      </c>
      <c r="U75" s="177">
        <f>SUM(Data_Dep.12[[#This Row],[KH_2510]:[KH_2512]])</f>
        <v>-6658333</v>
      </c>
      <c r="V75" s="175">
        <f>Data_Dep.12[[#This Row],[Nguyên giá]]+Data_Dep.12[[#This Row],[KH lũy kế]]+Data_Dep.12[[#This Row],[KH_Q4.25]]</f>
        <v>4438889</v>
      </c>
      <c r="W75" s="178">
        <f>ROUND(Data_Dep.12[[#This Row],[T/G Khấu hao]]-Data_Dep.12[[#This Row],[Giá trị còn lại 31/12/25]]/Data_Dep.12[[#This Row],[Nguyên giá]]*Data_Dep.12[[#This Row],[T/G Khấu hao]],0)</f>
        <v>34</v>
      </c>
      <c r="X75" s="179">
        <v>108</v>
      </c>
      <c r="Y75" s="175">
        <f>Data_Dep.12[[#This Row],[T/G Khấu hao]]+Data_Dep.12[[#This Row],[Điều chỉnh]]</f>
        <v>144</v>
      </c>
      <c r="Z75" s="180">
        <f>EDATE(Data_Dep.12[[#This Row],[Ngày bắt đầu KH]],Data_Dep.12[[#This Row],[T/G điều chỉnh]])</f>
        <v>49369</v>
      </c>
      <c r="AA75" s="175">
        <f>Data_Dep.12[[#This Row],[T/G điều chỉnh]]-Data_Dep.12[[#This Row],[Số kỳ đã khấu hao]]</f>
        <v>110</v>
      </c>
      <c r="AB75" s="175">
        <f>IFERROR(-Data_Dep.12[[#This Row],[Giá trị còn lại 31/12/25]]/(Data_Dep.12[[#This Row],[T/G điều chỉnh]]-Data_Dep.12[[#This Row],[Số kỳ đã khấu hao]]),0)</f>
        <v>-40353.536363636362</v>
      </c>
      <c r="AC75" s="181">
        <v>-40353.536363636362</v>
      </c>
      <c r="AD75" s="181">
        <v>-40353.536363636362</v>
      </c>
      <c r="AE75" s="181">
        <v>-40353.536363636362</v>
      </c>
      <c r="AF75" s="181">
        <v>-40353.536363636362</v>
      </c>
      <c r="AG75" s="181">
        <v>-40353.536363636362</v>
      </c>
      <c r="AH75" s="181">
        <v>-40353.536363636362</v>
      </c>
      <c r="AI75" s="181">
        <v>-40353.536363636362</v>
      </c>
      <c r="AJ75" s="181">
        <v>-40353.536363636362</v>
      </c>
      <c r="AK75" s="181">
        <v>-40353.536363636362</v>
      </c>
      <c r="AL75" s="181">
        <v>-40353.536363636362</v>
      </c>
      <c r="AM75" s="181">
        <v>-40353.536363636362</v>
      </c>
      <c r="AN75" s="181">
        <v>-40353.536363636362</v>
      </c>
      <c r="AO75" s="175">
        <f>SUM(Data_Dep.12[[#This Row],[KH_2601]:[KH_2612]])</f>
        <v>-484242.43636363646</v>
      </c>
      <c r="AP75" s="175">
        <f>Data_Dep.12[[#This Row],[Giá trị còn lại 31/12/25]]+Data_Dep.12[[#This Row],[KH LK 2026]]</f>
        <v>3954646.5636363635</v>
      </c>
    </row>
    <row r="76" spans="1:42" x14ac:dyDescent="0.3">
      <c r="A76" s="169"/>
      <c r="B76" s="169"/>
      <c r="C76" s="170" t="s">
        <v>337</v>
      </c>
      <c r="D76" s="169" t="str">
        <f>_xlfn.XLOOKUP(Data_Dep.12[[#This Row],[Nhóm tài sản]],MD_Account_Asset_Type[Nhóm tài sản],MD_Account_Asset_Type[Tên Nhóm tài sản])</f>
        <v>Máy móc, thiết bị phụ - SX 627</v>
      </c>
      <c r="E76" s="171" t="s">
        <v>1005</v>
      </c>
      <c r="F76" s="170" t="s">
        <v>568</v>
      </c>
      <c r="G76" s="169" t="s">
        <v>830</v>
      </c>
      <c r="H76" s="170" t="s">
        <v>48</v>
      </c>
      <c r="I76" s="170" t="str">
        <f>_xlfn.XLOOKUP(Data_Dep.12[[#This Row],[Cost center]],MD_Cost_Center[Mã Cost Center],MD_Cost_Center[Tên Cost Center])</f>
        <v>Xưởng sản xuất PET</v>
      </c>
      <c r="J76" s="172">
        <f>_xlfn.XLOOKUP(Data_Dep.12[[#This Row],[Cost center]],MD_Cost_Center[Mã Cost Center],MD_Cost_Center[Work center],"Check")</f>
        <v>0</v>
      </c>
      <c r="K76" s="169" t="str">
        <f>_xlfn.XLOOKUP(Data_Dep.12[[#This Row],[Nhóm tài sản]],MD_Account_Asset_Type[Nhóm tài sản],MD_Account_Asset_Type[Tài khoản KH],"Check")</f>
        <v>6274001906</v>
      </c>
      <c r="L76" s="173">
        <v>44986</v>
      </c>
      <c r="M76" s="174">
        <f>EDATE(Data_Dep.12[[#This Row],[Ngày bắt đầu KH]],Data_Dep.12[[#This Row],[T/G Khấu hao]])</f>
        <v>46082</v>
      </c>
      <c r="N76" s="175">
        <v>36</v>
      </c>
      <c r="O76" s="175">
        <v>217500000</v>
      </c>
      <c r="P76" s="176">
        <v>-187291667</v>
      </c>
      <c r="Q76" s="175">
        <f>Data_Dep.12[[#This Row],[Nguyên giá]]+Data_Dep.12[[#This Row],[KH lũy kế]]</f>
        <v>30208333</v>
      </c>
      <c r="R76" s="177">
        <v>-6041666</v>
      </c>
      <c r="S76" s="177">
        <v>-6041667</v>
      </c>
      <c r="T76" s="177">
        <v>-6041667</v>
      </c>
      <c r="U76" s="177">
        <f>SUM(Data_Dep.12[[#This Row],[KH_2510]:[KH_2512]])</f>
        <v>-18125000</v>
      </c>
      <c r="V76" s="175">
        <f>Data_Dep.12[[#This Row],[Nguyên giá]]+Data_Dep.12[[#This Row],[KH lũy kế]]+Data_Dep.12[[#This Row],[KH_Q4.25]]</f>
        <v>12083333</v>
      </c>
      <c r="W76" s="178">
        <f>ROUND(Data_Dep.12[[#This Row],[T/G Khấu hao]]-Data_Dep.12[[#This Row],[Giá trị còn lại 31/12/25]]/Data_Dep.12[[#This Row],[Nguyên giá]]*Data_Dep.12[[#This Row],[T/G Khấu hao]],0)</f>
        <v>34</v>
      </c>
      <c r="X76" s="179">
        <v>108</v>
      </c>
      <c r="Y76" s="175">
        <f>Data_Dep.12[[#This Row],[T/G Khấu hao]]+Data_Dep.12[[#This Row],[Điều chỉnh]]</f>
        <v>144</v>
      </c>
      <c r="Z76" s="180">
        <f>EDATE(Data_Dep.12[[#This Row],[Ngày bắt đầu KH]],Data_Dep.12[[#This Row],[T/G điều chỉnh]])</f>
        <v>49369</v>
      </c>
      <c r="AA76" s="175">
        <f>Data_Dep.12[[#This Row],[T/G điều chỉnh]]-Data_Dep.12[[#This Row],[Số kỳ đã khấu hao]]</f>
        <v>110</v>
      </c>
      <c r="AB76" s="175">
        <f>IFERROR(-Data_Dep.12[[#This Row],[Giá trị còn lại 31/12/25]]/(Data_Dep.12[[#This Row],[T/G điều chỉnh]]-Data_Dep.12[[#This Row],[Số kỳ đã khấu hao]]),0)</f>
        <v>-109848.48181818181</v>
      </c>
      <c r="AC76" s="181">
        <v>-109848.48181818181</v>
      </c>
      <c r="AD76" s="181">
        <v>-109848.48181818181</v>
      </c>
      <c r="AE76" s="181">
        <v>-109848.48181818181</v>
      </c>
      <c r="AF76" s="181">
        <v>-109848.48181818181</v>
      </c>
      <c r="AG76" s="181">
        <v>-109848.48181818181</v>
      </c>
      <c r="AH76" s="181">
        <v>-109848.48181818181</v>
      </c>
      <c r="AI76" s="181">
        <v>-109848.48181818181</v>
      </c>
      <c r="AJ76" s="181">
        <v>-109848.48181818181</v>
      </c>
      <c r="AK76" s="181">
        <v>-109848.48181818181</v>
      </c>
      <c r="AL76" s="181">
        <v>-109848.48181818181</v>
      </c>
      <c r="AM76" s="181">
        <v>-109848.48181818181</v>
      </c>
      <c r="AN76" s="181">
        <v>-109848.48181818181</v>
      </c>
      <c r="AO76" s="175">
        <f>SUM(Data_Dep.12[[#This Row],[KH_2601]:[KH_2612]])</f>
        <v>-1318181.7818181817</v>
      </c>
      <c r="AP76" s="175">
        <f>Data_Dep.12[[#This Row],[Giá trị còn lại 31/12/25]]+Data_Dep.12[[#This Row],[KH LK 2026]]</f>
        <v>10765151.218181819</v>
      </c>
    </row>
    <row r="77" spans="1:42" x14ac:dyDescent="0.3">
      <c r="A77" s="169"/>
      <c r="B77" s="169"/>
      <c r="C77" s="170" t="s">
        <v>337</v>
      </c>
      <c r="D77" s="169" t="str">
        <f>_xlfn.XLOOKUP(Data_Dep.12[[#This Row],[Nhóm tài sản]],MD_Account_Asset_Type[Nhóm tài sản],MD_Account_Asset_Type[Tên Nhóm tài sản])</f>
        <v>Máy móc, thiết bị phụ - SX 627</v>
      </c>
      <c r="E77" s="171" t="s">
        <v>1006</v>
      </c>
      <c r="F77" s="170" t="s">
        <v>569</v>
      </c>
      <c r="G77" s="169" t="s">
        <v>502</v>
      </c>
      <c r="H77" s="170" t="s">
        <v>46</v>
      </c>
      <c r="I77" s="170" t="str">
        <f>_xlfn.XLOOKUP(Data_Dep.12[[#This Row],[Cost center]],MD_Cost_Center[Mã Cost Center],MD_Cost_Center[Tên Cost Center])</f>
        <v>Kiểm soát chất lượng</v>
      </c>
      <c r="J77" s="172">
        <f>_xlfn.XLOOKUP(Data_Dep.12[[#This Row],[Cost center]],MD_Cost_Center[Mã Cost Center],MD_Cost_Center[Work center],"Check")</f>
        <v>0</v>
      </c>
      <c r="K77" s="169" t="str">
        <f>_xlfn.XLOOKUP(Data_Dep.12[[#This Row],[Nhóm tài sản]],MD_Account_Asset_Type[Nhóm tài sản],MD_Account_Asset_Type[Tài khoản KH],"Check")</f>
        <v>6274001906</v>
      </c>
      <c r="L77" s="173">
        <v>45536</v>
      </c>
      <c r="M77" s="174">
        <f>EDATE(Data_Dep.12[[#This Row],[Ngày bắt đầu KH]],Data_Dep.12[[#This Row],[T/G Khấu hao]])</f>
        <v>46631</v>
      </c>
      <c r="N77" s="175">
        <v>36</v>
      </c>
      <c r="O77" s="175">
        <v>54950000</v>
      </c>
      <c r="P77" s="176">
        <v>-19843056</v>
      </c>
      <c r="Q77" s="175">
        <f>Data_Dep.12[[#This Row],[Nguyên giá]]+Data_Dep.12[[#This Row],[KH lũy kế]]</f>
        <v>35106944</v>
      </c>
      <c r="R77" s="177">
        <v>-1526389</v>
      </c>
      <c r="S77" s="177">
        <v>-1526389</v>
      </c>
      <c r="T77" s="177">
        <v>-1526389</v>
      </c>
      <c r="U77" s="177">
        <f>SUM(Data_Dep.12[[#This Row],[KH_2510]:[KH_2512]])</f>
        <v>-4579167</v>
      </c>
      <c r="V77" s="175">
        <f>Data_Dep.12[[#This Row],[Nguyên giá]]+Data_Dep.12[[#This Row],[KH lũy kế]]+Data_Dep.12[[#This Row],[KH_Q4.25]]</f>
        <v>30527777</v>
      </c>
      <c r="W77" s="178">
        <f>ROUND(Data_Dep.12[[#This Row],[T/G Khấu hao]]-Data_Dep.12[[#This Row],[Giá trị còn lại 31/12/25]]/Data_Dep.12[[#This Row],[Nguyên giá]]*Data_Dep.12[[#This Row],[T/G Khấu hao]],0)</f>
        <v>16</v>
      </c>
      <c r="X77" s="179">
        <v>108</v>
      </c>
      <c r="Y77" s="175">
        <f>Data_Dep.12[[#This Row],[T/G Khấu hao]]+Data_Dep.12[[#This Row],[Điều chỉnh]]</f>
        <v>144</v>
      </c>
      <c r="Z77" s="180">
        <f>EDATE(Data_Dep.12[[#This Row],[Ngày bắt đầu KH]],Data_Dep.12[[#This Row],[T/G điều chỉnh]])</f>
        <v>49919</v>
      </c>
      <c r="AA77" s="175">
        <f>Data_Dep.12[[#This Row],[T/G điều chỉnh]]-Data_Dep.12[[#This Row],[Số kỳ đã khấu hao]]</f>
        <v>128</v>
      </c>
      <c r="AB77" s="175">
        <f>IFERROR(-Data_Dep.12[[#This Row],[Giá trị còn lại 31/12/25]]/(Data_Dep.12[[#This Row],[T/G điều chỉnh]]-Data_Dep.12[[#This Row],[Số kỳ đã khấu hao]]),0)</f>
        <v>-238498.2578125</v>
      </c>
      <c r="AC77" s="181">
        <v>-238498.2578125</v>
      </c>
      <c r="AD77" s="181">
        <v>-238498.2578125</v>
      </c>
      <c r="AE77" s="181">
        <v>-238498.2578125</v>
      </c>
      <c r="AF77" s="181">
        <v>-238498.2578125</v>
      </c>
      <c r="AG77" s="181">
        <v>-238498.2578125</v>
      </c>
      <c r="AH77" s="181">
        <v>-238498.2578125</v>
      </c>
      <c r="AI77" s="181">
        <v>-238498.2578125</v>
      </c>
      <c r="AJ77" s="181">
        <v>-238498.2578125</v>
      </c>
      <c r="AK77" s="181">
        <v>-238498.2578125</v>
      </c>
      <c r="AL77" s="181">
        <v>-238498.2578125</v>
      </c>
      <c r="AM77" s="181">
        <v>-238498.2578125</v>
      </c>
      <c r="AN77" s="181">
        <v>-238498.2578125</v>
      </c>
      <c r="AO77" s="175">
        <f>SUM(Data_Dep.12[[#This Row],[KH_2601]:[KH_2612]])</f>
        <v>-2861979.09375</v>
      </c>
      <c r="AP77" s="175">
        <f>Data_Dep.12[[#This Row],[Giá trị còn lại 31/12/25]]+Data_Dep.12[[#This Row],[KH LK 2026]]</f>
        <v>27665797.90625</v>
      </c>
    </row>
    <row r="78" spans="1:42" x14ac:dyDescent="0.3">
      <c r="A78" s="169"/>
      <c r="B78" s="169"/>
      <c r="C78" s="170" t="s">
        <v>337</v>
      </c>
      <c r="D78" s="169" t="str">
        <f>_xlfn.XLOOKUP(Data_Dep.12[[#This Row],[Nhóm tài sản]],MD_Account_Asset_Type[Nhóm tài sản],MD_Account_Asset_Type[Tên Nhóm tài sản])</f>
        <v>Máy móc, thiết bị phụ - SX 627</v>
      </c>
      <c r="E78" s="171" t="s">
        <v>1007</v>
      </c>
      <c r="F78" s="170" t="s">
        <v>570</v>
      </c>
      <c r="G78" s="169" t="s">
        <v>502</v>
      </c>
      <c r="H78" s="170" t="s">
        <v>46</v>
      </c>
      <c r="I78" s="170" t="str">
        <f>_xlfn.XLOOKUP(Data_Dep.12[[#This Row],[Cost center]],MD_Cost_Center[Mã Cost Center],MD_Cost_Center[Tên Cost Center])</f>
        <v>Kiểm soát chất lượng</v>
      </c>
      <c r="J78" s="172">
        <f>_xlfn.XLOOKUP(Data_Dep.12[[#This Row],[Cost center]],MD_Cost_Center[Mã Cost Center],MD_Cost_Center[Work center],"Check")</f>
        <v>0</v>
      </c>
      <c r="K78" s="169" t="str">
        <f>_xlfn.XLOOKUP(Data_Dep.12[[#This Row],[Nhóm tài sản]],MD_Account_Asset_Type[Nhóm tài sản],MD_Account_Asset_Type[Tài khoản KH],"Check")</f>
        <v>6274001906</v>
      </c>
      <c r="L78" s="173">
        <v>45536</v>
      </c>
      <c r="M78" s="174">
        <f>EDATE(Data_Dep.12[[#This Row],[Ngày bắt đầu KH]],Data_Dep.12[[#This Row],[T/G Khấu hao]])</f>
        <v>46631</v>
      </c>
      <c r="N78" s="175">
        <v>36</v>
      </c>
      <c r="O78" s="175">
        <v>50000000</v>
      </c>
      <c r="P78" s="176">
        <v>-18055556</v>
      </c>
      <c r="Q78" s="175">
        <f>Data_Dep.12[[#This Row],[Nguyên giá]]+Data_Dep.12[[#This Row],[KH lũy kế]]</f>
        <v>31944444</v>
      </c>
      <c r="R78" s="177">
        <v>-1388889</v>
      </c>
      <c r="S78" s="177">
        <v>-1388889</v>
      </c>
      <c r="T78" s="177">
        <v>-1388889</v>
      </c>
      <c r="U78" s="177">
        <f>SUM(Data_Dep.12[[#This Row],[KH_2510]:[KH_2512]])</f>
        <v>-4166667</v>
      </c>
      <c r="V78" s="175">
        <f>Data_Dep.12[[#This Row],[Nguyên giá]]+Data_Dep.12[[#This Row],[KH lũy kế]]+Data_Dep.12[[#This Row],[KH_Q4.25]]</f>
        <v>27777777</v>
      </c>
      <c r="W78" s="178">
        <f>ROUND(Data_Dep.12[[#This Row],[T/G Khấu hao]]-Data_Dep.12[[#This Row],[Giá trị còn lại 31/12/25]]/Data_Dep.12[[#This Row],[Nguyên giá]]*Data_Dep.12[[#This Row],[T/G Khấu hao]],0)</f>
        <v>16</v>
      </c>
      <c r="X78" s="179">
        <v>108</v>
      </c>
      <c r="Y78" s="175">
        <f>Data_Dep.12[[#This Row],[T/G Khấu hao]]+Data_Dep.12[[#This Row],[Điều chỉnh]]</f>
        <v>144</v>
      </c>
      <c r="Z78" s="180">
        <f>EDATE(Data_Dep.12[[#This Row],[Ngày bắt đầu KH]],Data_Dep.12[[#This Row],[T/G điều chỉnh]])</f>
        <v>49919</v>
      </c>
      <c r="AA78" s="175">
        <f>Data_Dep.12[[#This Row],[T/G điều chỉnh]]-Data_Dep.12[[#This Row],[Số kỳ đã khấu hao]]</f>
        <v>128</v>
      </c>
      <c r="AB78" s="175">
        <f>IFERROR(-Data_Dep.12[[#This Row],[Giá trị còn lại 31/12/25]]/(Data_Dep.12[[#This Row],[T/G điều chỉnh]]-Data_Dep.12[[#This Row],[Số kỳ đã khấu hao]]),0)</f>
        <v>-217013.8828125</v>
      </c>
      <c r="AC78" s="181">
        <v>-217013.8828125</v>
      </c>
      <c r="AD78" s="181">
        <v>-217013.8828125</v>
      </c>
      <c r="AE78" s="181">
        <v>-217013.8828125</v>
      </c>
      <c r="AF78" s="181">
        <v>-217013.8828125</v>
      </c>
      <c r="AG78" s="181">
        <v>-217013.8828125</v>
      </c>
      <c r="AH78" s="181">
        <v>-217013.8828125</v>
      </c>
      <c r="AI78" s="181">
        <v>-217013.8828125</v>
      </c>
      <c r="AJ78" s="181">
        <v>-217013.8828125</v>
      </c>
      <c r="AK78" s="181">
        <v>-217013.8828125</v>
      </c>
      <c r="AL78" s="181">
        <v>-217013.8828125</v>
      </c>
      <c r="AM78" s="181">
        <v>-217013.8828125</v>
      </c>
      <c r="AN78" s="181">
        <v>-217013.8828125</v>
      </c>
      <c r="AO78" s="175">
        <f>SUM(Data_Dep.12[[#This Row],[KH_2601]:[KH_2612]])</f>
        <v>-2604166.59375</v>
      </c>
      <c r="AP78" s="175">
        <f>Data_Dep.12[[#This Row],[Giá trị còn lại 31/12/25]]+Data_Dep.12[[#This Row],[KH LK 2026]]</f>
        <v>25173610.40625</v>
      </c>
    </row>
    <row r="79" spans="1:42" x14ac:dyDescent="0.3">
      <c r="A79" s="169"/>
      <c r="B79" s="169"/>
      <c r="C79" s="170" t="s">
        <v>337</v>
      </c>
      <c r="D79" s="169" t="str">
        <f>_xlfn.XLOOKUP(Data_Dep.12[[#This Row],[Nhóm tài sản]],MD_Account_Asset_Type[Nhóm tài sản],MD_Account_Asset_Type[Tên Nhóm tài sản])</f>
        <v>Máy móc, thiết bị phụ - SX 627</v>
      </c>
      <c r="E79" s="171" t="s">
        <v>1008</v>
      </c>
      <c r="F79" s="170" t="s">
        <v>571</v>
      </c>
      <c r="G79" s="169" t="s">
        <v>502</v>
      </c>
      <c r="H79" s="170" t="s">
        <v>90</v>
      </c>
      <c r="I79" s="170" t="str">
        <f>_xlfn.XLOOKUP(Data_Dep.12[[#This Row],[Cost center]],MD_Cost_Center[Mã Cost Center],MD_Cost_Center[Tên Cost Center])</f>
        <v>Khối SX - Xưởng 4</v>
      </c>
      <c r="J79" s="172">
        <f>_xlfn.XLOOKUP(Data_Dep.12[[#This Row],[Cost center]],MD_Cost_Center[Mã Cost Center],MD_Cost_Center[Work center],"Check")</f>
        <v>0</v>
      </c>
      <c r="K79" s="169" t="str">
        <f>_xlfn.XLOOKUP(Data_Dep.12[[#This Row],[Nhóm tài sản]],MD_Account_Asset_Type[Nhóm tài sản],MD_Account_Asset_Type[Tài khoản KH],"Check")</f>
        <v>6274001906</v>
      </c>
      <c r="L79" s="173">
        <v>45383</v>
      </c>
      <c r="M79" s="174">
        <f>EDATE(Data_Dep.12[[#This Row],[Ngày bắt đầu KH]],Data_Dep.12[[#This Row],[T/G Khấu hao]])</f>
        <v>47209</v>
      </c>
      <c r="N79" s="175">
        <v>60</v>
      </c>
      <c r="O79" s="175">
        <v>1500556886</v>
      </c>
      <c r="P79" s="176">
        <v>-450167066</v>
      </c>
      <c r="Q79" s="175">
        <f>Data_Dep.12[[#This Row],[Nguyên giá]]+Data_Dep.12[[#This Row],[KH lũy kế]]</f>
        <v>1050389820</v>
      </c>
      <c r="R79" s="177">
        <v>-25009281</v>
      </c>
      <c r="S79" s="177">
        <v>-25009282</v>
      </c>
      <c r="T79" s="177">
        <v>-25009281</v>
      </c>
      <c r="U79" s="177">
        <f>SUM(Data_Dep.12[[#This Row],[KH_2510]:[KH_2512]])</f>
        <v>-75027844</v>
      </c>
      <c r="V79" s="175">
        <f>Data_Dep.12[[#This Row],[Nguyên giá]]+Data_Dep.12[[#This Row],[KH lũy kế]]+Data_Dep.12[[#This Row],[KH_Q4.25]]</f>
        <v>975361976</v>
      </c>
      <c r="W79" s="178">
        <f>ROUND(Data_Dep.12[[#This Row],[T/G Khấu hao]]-Data_Dep.12[[#This Row],[Giá trị còn lại 31/12/25]]/Data_Dep.12[[#This Row],[Nguyên giá]]*Data_Dep.12[[#This Row],[T/G Khấu hao]],0)</f>
        <v>21</v>
      </c>
      <c r="X79" s="179">
        <v>84</v>
      </c>
      <c r="Y79" s="175">
        <f>Data_Dep.12[[#This Row],[T/G Khấu hao]]+Data_Dep.12[[#This Row],[Điều chỉnh]]</f>
        <v>144</v>
      </c>
      <c r="Z79" s="180">
        <f>EDATE(Data_Dep.12[[#This Row],[Ngày bắt đầu KH]],Data_Dep.12[[#This Row],[T/G điều chỉnh]])</f>
        <v>49766</v>
      </c>
      <c r="AA79" s="175">
        <f>Data_Dep.12[[#This Row],[T/G điều chỉnh]]-Data_Dep.12[[#This Row],[Số kỳ đã khấu hao]]</f>
        <v>123</v>
      </c>
      <c r="AB79" s="175">
        <f>IFERROR(-Data_Dep.12[[#This Row],[Giá trị còn lại 31/12/25]]/(Data_Dep.12[[#This Row],[T/G điều chỉnh]]-Data_Dep.12[[#This Row],[Số kỳ đã khấu hao]]),0)</f>
        <v>-7929772.1626016265</v>
      </c>
      <c r="AC79" s="181">
        <v>-7929772.1626016265</v>
      </c>
      <c r="AD79" s="181">
        <v>-7929772.1626016265</v>
      </c>
      <c r="AE79" s="181">
        <v>-7929772.1626016265</v>
      </c>
      <c r="AF79" s="181">
        <v>-7929772.1626016265</v>
      </c>
      <c r="AG79" s="181">
        <v>-7929772.1626016265</v>
      </c>
      <c r="AH79" s="181">
        <v>-7929772.1626016265</v>
      </c>
      <c r="AI79" s="181">
        <v>-7929772.1626016265</v>
      </c>
      <c r="AJ79" s="181">
        <v>-7929772.1626016265</v>
      </c>
      <c r="AK79" s="181">
        <v>-7929772.1626016265</v>
      </c>
      <c r="AL79" s="181">
        <v>-7929772.1626016265</v>
      </c>
      <c r="AM79" s="181">
        <v>-7929772.1626016265</v>
      </c>
      <c r="AN79" s="181">
        <v>-7929772.1626016265</v>
      </c>
      <c r="AO79" s="175">
        <f>SUM(Data_Dep.12[[#This Row],[KH_2601]:[KH_2612]])</f>
        <v>-95157265.951219499</v>
      </c>
      <c r="AP79" s="175">
        <f>Data_Dep.12[[#This Row],[Giá trị còn lại 31/12/25]]+Data_Dep.12[[#This Row],[KH LK 2026]]</f>
        <v>880204710.04878044</v>
      </c>
    </row>
    <row r="80" spans="1:42" x14ac:dyDescent="0.3">
      <c r="A80" s="169"/>
      <c r="B80" s="169"/>
      <c r="C80" s="170" t="s">
        <v>337</v>
      </c>
      <c r="D80" s="169" t="str">
        <f>_xlfn.XLOOKUP(Data_Dep.12[[#This Row],[Nhóm tài sản]],MD_Account_Asset_Type[Nhóm tài sản],MD_Account_Asset_Type[Tên Nhóm tài sản])</f>
        <v>Máy móc, thiết bị phụ - SX 627</v>
      </c>
      <c r="E80" s="171" t="s">
        <v>1009</v>
      </c>
      <c r="F80" s="170" t="s">
        <v>572</v>
      </c>
      <c r="G80" s="169" t="s">
        <v>830</v>
      </c>
      <c r="H80" s="170" t="s">
        <v>54</v>
      </c>
      <c r="I80" s="170" t="str">
        <f>_xlfn.XLOOKUP(Data_Dep.12[[#This Row],[Cost center]],MD_Cost_Center[Mã Cost Center],MD_Cost_Center[Tên Cost Center])</f>
        <v>Máy tạo hạt PET Starlinger</v>
      </c>
      <c r="J80" s="172" t="str">
        <f>_xlfn.XLOOKUP(Data_Dep.12[[#This Row],[Cost center]],MD_Cost_Center[Mã Cost Center],MD_Cost_Center[Work center],"Check")</f>
        <v>STAR-01</v>
      </c>
      <c r="K80" s="169" t="str">
        <f>_xlfn.XLOOKUP(Data_Dep.12[[#This Row],[Nhóm tài sản]],MD_Account_Asset_Type[Nhóm tài sản],MD_Account_Asset_Type[Tài khoản KH],"Check")</f>
        <v>6274001906</v>
      </c>
      <c r="L80" s="173">
        <v>45597</v>
      </c>
      <c r="M80" s="174">
        <f>EDATE(Data_Dep.12[[#This Row],[Ngày bắt đầu KH]],Data_Dep.12[[#This Row],[T/G Khấu hao]])</f>
        <v>47423</v>
      </c>
      <c r="N80" s="175">
        <v>60</v>
      </c>
      <c r="O80" s="175">
        <v>694401330</v>
      </c>
      <c r="P80" s="176">
        <v>-127306911</v>
      </c>
      <c r="Q80" s="175">
        <f>Data_Dep.12[[#This Row],[Nguyên giá]]+Data_Dep.12[[#This Row],[KH lũy kế]]</f>
        <v>567094419</v>
      </c>
      <c r="R80" s="177">
        <v>-11573355</v>
      </c>
      <c r="S80" s="177">
        <v>-11573356</v>
      </c>
      <c r="T80" s="177">
        <v>-11573355</v>
      </c>
      <c r="U80" s="177">
        <f>SUM(Data_Dep.12[[#This Row],[KH_2510]:[KH_2512]])</f>
        <v>-34720066</v>
      </c>
      <c r="V80" s="175">
        <f>Data_Dep.12[[#This Row],[Nguyên giá]]+Data_Dep.12[[#This Row],[KH lũy kế]]+Data_Dep.12[[#This Row],[KH_Q4.25]]</f>
        <v>532374353</v>
      </c>
      <c r="W80" s="178">
        <f>ROUND(Data_Dep.12[[#This Row],[T/G Khấu hao]]-Data_Dep.12[[#This Row],[Giá trị còn lại 31/12/25]]/Data_Dep.12[[#This Row],[Nguyên giá]]*Data_Dep.12[[#This Row],[T/G Khấu hao]],0)</f>
        <v>14</v>
      </c>
      <c r="X80" s="179">
        <v>84</v>
      </c>
      <c r="Y80" s="175">
        <f>Data_Dep.12[[#This Row],[T/G Khấu hao]]+Data_Dep.12[[#This Row],[Điều chỉnh]]</f>
        <v>144</v>
      </c>
      <c r="Z80" s="180">
        <f>EDATE(Data_Dep.12[[#This Row],[Ngày bắt đầu KH]],Data_Dep.12[[#This Row],[T/G điều chỉnh]])</f>
        <v>49980</v>
      </c>
      <c r="AA80" s="175">
        <f>Data_Dep.12[[#This Row],[T/G điều chỉnh]]-Data_Dep.12[[#This Row],[Số kỳ đã khấu hao]]</f>
        <v>130</v>
      </c>
      <c r="AB80" s="175">
        <f>IFERROR(-Data_Dep.12[[#This Row],[Giá trị còn lại 31/12/25]]/(Data_Dep.12[[#This Row],[T/G điều chỉnh]]-Data_Dep.12[[#This Row],[Số kỳ đã khấu hao]]),0)</f>
        <v>-4095187.3307692306</v>
      </c>
      <c r="AC80" s="181">
        <v>-4095187.3307692306</v>
      </c>
      <c r="AD80" s="181">
        <v>-4095187.3307692306</v>
      </c>
      <c r="AE80" s="181">
        <v>-4095187.3307692306</v>
      </c>
      <c r="AF80" s="181">
        <v>-4095187.3307692306</v>
      </c>
      <c r="AG80" s="181">
        <v>-4095187.3307692306</v>
      </c>
      <c r="AH80" s="181">
        <v>-4095187.3307692306</v>
      </c>
      <c r="AI80" s="181">
        <v>-4095187.3307692306</v>
      </c>
      <c r="AJ80" s="181">
        <v>-4095187.3307692306</v>
      </c>
      <c r="AK80" s="181">
        <v>-4095187.3307692306</v>
      </c>
      <c r="AL80" s="181">
        <v>-4095187.3307692306</v>
      </c>
      <c r="AM80" s="181">
        <v>-4095187.3307692306</v>
      </c>
      <c r="AN80" s="181">
        <v>-4095187.3307692306</v>
      </c>
      <c r="AO80" s="175">
        <f>SUM(Data_Dep.12[[#This Row],[KH_2601]:[KH_2612]])</f>
        <v>-49142247.969230771</v>
      </c>
      <c r="AP80" s="175">
        <f>Data_Dep.12[[#This Row],[Giá trị còn lại 31/12/25]]+Data_Dep.12[[#This Row],[KH LK 2026]]</f>
        <v>483232105.03076923</v>
      </c>
    </row>
    <row r="81" spans="1:42" x14ac:dyDescent="0.3">
      <c r="A81" s="169"/>
      <c r="B81" s="169"/>
      <c r="C81" s="170" t="s">
        <v>337</v>
      </c>
      <c r="D81" s="169" t="str">
        <f>_xlfn.XLOOKUP(Data_Dep.12[[#This Row],[Nhóm tài sản]],MD_Account_Asset_Type[Nhóm tài sản],MD_Account_Asset_Type[Tên Nhóm tài sản])</f>
        <v>Máy móc, thiết bị phụ - SX 627</v>
      </c>
      <c r="E81" s="171" t="s">
        <v>1010</v>
      </c>
      <c r="F81" s="170" t="s">
        <v>573</v>
      </c>
      <c r="G81" s="169" t="s">
        <v>502</v>
      </c>
      <c r="H81" s="170" t="s">
        <v>46</v>
      </c>
      <c r="I81" s="170" t="str">
        <f>_xlfn.XLOOKUP(Data_Dep.12[[#This Row],[Cost center]],MD_Cost_Center[Mã Cost Center],MD_Cost_Center[Tên Cost Center])</f>
        <v>Kiểm soát chất lượng</v>
      </c>
      <c r="J81" s="172">
        <f>_xlfn.XLOOKUP(Data_Dep.12[[#This Row],[Cost center]],MD_Cost_Center[Mã Cost Center],MD_Cost_Center[Work center],"Check")</f>
        <v>0</v>
      </c>
      <c r="K81" s="169" t="str">
        <f>_xlfn.XLOOKUP(Data_Dep.12[[#This Row],[Nhóm tài sản]],MD_Account_Asset_Type[Nhóm tài sản],MD_Account_Asset_Type[Tài khoản KH],"Check")</f>
        <v>6274001906</v>
      </c>
      <c r="L81" s="173">
        <v>45474</v>
      </c>
      <c r="M81" s="174">
        <f>EDATE(Data_Dep.12[[#This Row],[Ngày bắt đầu KH]],Data_Dep.12[[#This Row],[T/G Khấu hao]])</f>
        <v>47300</v>
      </c>
      <c r="N81" s="175">
        <v>60</v>
      </c>
      <c r="O81" s="175">
        <v>400000000</v>
      </c>
      <c r="P81" s="176">
        <v>-100000000</v>
      </c>
      <c r="Q81" s="175">
        <f>Data_Dep.12[[#This Row],[Nguyên giá]]+Data_Dep.12[[#This Row],[KH lũy kế]]</f>
        <v>300000000</v>
      </c>
      <c r="R81" s="177">
        <v>-6666667</v>
      </c>
      <c r="S81" s="177">
        <v>-6666666</v>
      </c>
      <c r="T81" s="177">
        <v>-6666667</v>
      </c>
      <c r="U81" s="177">
        <f>SUM(Data_Dep.12[[#This Row],[KH_2510]:[KH_2512]])</f>
        <v>-20000000</v>
      </c>
      <c r="V81" s="175">
        <f>Data_Dep.12[[#This Row],[Nguyên giá]]+Data_Dep.12[[#This Row],[KH lũy kế]]+Data_Dep.12[[#This Row],[KH_Q4.25]]</f>
        <v>280000000</v>
      </c>
      <c r="W81" s="178">
        <f>ROUND(Data_Dep.12[[#This Row],[T/G Khấu hao]]-Data_Dep.12[[#This Row],[Giá trị còn lại 31/12/25]]/Data_Dep.12[[#This Row],[Nguyên giá]]*Data_Dep.12[[#This Row],[T/G Khấu hao]],0)</f>
        <v>18</v>
      </c>
      <c r="X81" s="179">
        <v>84</v>
      </c>
      <c r="Y81" s="175">
        <f>Data_Dep.12[[#This Row],[T/G Khấu hao]]+Data_Dep.12[[#This Row],[Điều chỉnh]]</f>
        <v>144</v>
      </c>
      <c r="Z81" s="180">
        <f>EDATE(Data_Dep.12[[#This Row],[Ngày bắt đầu KH]],Data_Dep.12[[#This Row],[T/G điều chỉnh]])</f>
        <v>49857</v>
      </c>
      <c r="AA81" s="175">
        <f>Data_Dep.12[[#This Row],[T/G điều chỉnh]]-Data_Dep.12[[#This Row],[Số kỳ đã khấu hao]]</f>
        <v>126</v>
      </c>
      <c r="AB81" s="175">
        <f>IFERROR(-Data_Dep.12[[#This Row],[Giá trị còn lại 31/12/25]]/(Data_Dep.12[[#This Row],[T/G điều chỉnh]]-Data_Dep.12[[#This Row],[Số kỳ đã khấu hao]]),0)</f>
        <v>-2222222.222222222</v>
      </c>
      <c r="AC81" s="181">
        <v>-2222222.222222222</v>
      </c>
      <c r="AD81" s="181">
        <v>-2222222.222222222</v>
      </c>
      <c r="AE81" s="181">
        <v>-2222222.222222222</v>
      </c>
      <c r="AF81" s="181">
        <v>-2222222.222222222</v>
      </c>
      <c r="AG81" s="181">
        <v>-2222222.222222222</v>
      </c>
      <c r="AH81" s="181">
        <v>-2222222.222222222</v>
      </c>
      <c r="AI81" s="181">
        <v>-2222222.222222222</v>
      </c>
      <c r="AJ81" s="181">
        <v>-2222222.222222222</v>
      </c>
      <c r="AK81" s="181">
        <v>-2222222.222222222</v>
      </c>
      <c r="AL81" s="181">
        <v>-2222222.222222222</v>
      </c>
      <c r="AM81" s="181">
        <v>-2222222.222222222</v>
      </c>
      <c r="AN81" s="181">
        <v>-2222222.222222222</v>
      </c>
      <c r="AO81" s="175">
        <f>SUM(Data_Dep.12[[#This Row],[KH_2601]:[KH_2612]])</f>
        <v>-26666666.666666672</v>
      </c>
      <c r="AP81" s="175">
        <f>Data_Dep.12[[#This Row],[Giá trị còn lại 31/12/25]]+Data_Dep.12[[#This Row],[KH LK 2026]]</f>
        <v>253333333.33333331</v>
      </c>
    </row>
    <row r="82" spans="1:42" x14ac:dyDescent="0.3">
      <c r="A82" s="169"/>
      <c r="B82" s="169"/>
      <c r="C82" s="170" t="s">
        <v>337</v>
      </c>
      <c r="D82" s="169" t="str">
        <f>_xlfn.XLOOKUP(Data_Dep.12[[#This Row],[Nhóm tài sản]],MD_Account_Asset_Type[Nhóm tài sản],MD_Account_Asset_Type[Tên Nhóm tài sản])</f>
        <v>Máy móc, thiết bị phụ - SX 627</v>
      </c>
      <c r="E82" s="171" t="s">
        <v>1011</v>
      </c>
      <c r="F82" s="170" t="s">
        <v>574</v>
      </c>
      <c r="G82" s="169" t="s">
        <v>502</v>
      </c>
      <c r="H82" s="170" t="s">
        <v>72</v>
      </c>
      <c r="I82" s="170" t="str">
        <f>_xlfn.XLOOKUP(Data_Dep.12[[#This Row],[Cost center]],MD_Cost_Center[Mã Cost Center],MD_Cost_Center[Tên Cost Center])</f>
        <v>Chuyền băm rửa PP Moogetech</v>
      </c>
      <c r="J82" s="172" t="str">
        <f>_xlfn.XLOOKUP(Data_Dep.12[[#This Row],[Cost center]],MD_Cost_Center[Mã Cost Center],MD_Cost_Center[Work center],"Check")</f>
        <v>MOOG-B01 | MOOG-R01</v>
      </c>
      <c r="K82" s="169" t="str">
        <f>_xlfn.XLOOKUP(Data_Dep.12[[#This Row],[Nhóm tài sản]],MD_Account_Asset_Type[Nhóm tài sản],MD_Account_Asset_Type[Tài khoản KH],"Check")</f>
        <v>6274001906</v>
      </c>
      <c r="L82" s="173">
        <v>45658</v>
      </c>
      <c r="M82" s="174">
        <f>EDATE(Data_Dep.12[[#This Row],[Ngày bắt đầu KH]],Data_Dep.12[[#This Row],[T/G Khấu hao]])</f>
        <v>47484</v>
      </c>
      <c r="N82" s="175">
        <v>60</v>
      </c>
      <c r="O82" s="175">
        <v>95060000</v>
      </c>
      <c r="P82" s="176">
        <v>-14259000</v>
      </c>
      <c r="Q82" s="175">
        <f>Data_Dep.12[[#This Row],[Nguyên giá]]+Data_Dep.12[[#This Row],[KH lũy kế]]</f>
        <v>80801000</v>
      </c>
      <c r="R82" s="177">
        <v>-1584333</v>
      </c>
      <c r="S82" s="177">
        <v>-1584334</v>
      </c>
      <c r="T82" s="177">
        <v>-1584333</v>
      </c>
      <c r="U82" s="177">
        <f>SUM(Data_Dep.12[[#This Row],[KH_2510]:[KH_2512]])</f>
        <v>-4753000</v>
      </c>
      <c r="V82" s="175">
        <f>Data_Dep.12[[#This Row],[Nguyên giá]]+Data_Dep.12[[#This Row],[KH lũy kế]]+Data_Dep.12[[#This Row],[KH_Q4.25]]</f>
        <v>76048000</v>
      </c>
      <c r="W82" s="178">
        <f>ROUND(Data_Dep.12[[#This Row],[T/G Khấu hao]]-Data_Dep.12[[#This Row],[Giá trị còn lại 31/12/25]]/Data_Dep.12[[#This Row],[Nguyên giá]]*Data_Dep.12[[#This Row],[T/G Khấu hao]],0)</f>
        <v>12</v>
      </c>
      <c r="X82" s="179">
        <v>84</v>
      </c>
      <c r="Y82" s="175">
        <f>Data_Dep.12[[#This Row],[T/G Khấu hao]]+Data_Dep.12[[#This Row],[Điều chỉnh]]</f>
        <v>144</v>
      </c>
      <c r="Z82" s="180">
        <f>EDATE(Data_Dep.12[[#This Row],[Ngày bắt đầu KH]],Data_Dep.12[[#This Row],[T/G điều chỉnh]])</f>
        <v>50041</v>
      </c>
      <c r="AA82" s="175">
        <f>Data_Dep.12[[#This Row],[T/G điều chỉnh]]-Data_Dep.12[[#This Row],[Số kỳ đã khấu hao]]</f>
        <v>132</v>
      </c>
      <c r="AB82" s="175">
        <f>IFERROR(-Data_Dep.12[[#This Row],[Giá trị còn lại 31/12/25]]/(Data_Dep.12[[#This Row],[T/G điều chỉnh]]-Data_Dep.12[[#This Row],[Số kỳ đã khấu hao]]),0)</f>
        <v>-576121.21212121216</v>
      </c>
      <c r="AC82" s="181">
        <v>-576121.21212121216</v>
      </c>
      <c r="AD82" s="181">
        <v>-576121.21212121216</v>
      </c>
      <c r="AE82" s="181">
        <v>-576121.21212121216</v>
      </c>
      <c r="AF82" s="181">
        <v>-576121.21212121216</v>
      </c>
      <c r="AG82" s="181">
        <v>-576121.21212121216</v>
      </c>
      <c r="AH82" s="181">
        <v>-576121.21212121216</v>
      </c>
      <c r="AI82" s="181">
        <v>-576121.21212121216</v>
      </c>
      <c r="AJ82" s="181">
        <v>-576121.21212121216</v>
      </c>
      <c r="AK82" s="181">
        <v>-576121.21212121216</v>
      </c>
      <c r="AL82" s="181">
        <v>-576121.21212121216</v>
      </c>
      <c r="AM82" s="181">
        <v>-576121.21212121216</v>
      </c>
      <c r="AN82" s="181">
        <v>-576121.21212121216</v>
      </c>
      <c r="AO82" s="175">
        <f>SUM(Data_Dep.12[[#This Row],[KH_2601]:[KH_2612]])</f>
        <v>-6913454.545454544</v>
      </c>
      <c r="AP82" s="175">
        <f>Data_Dep.12[[#This Row],[Giá trị còn lại 31/12/25]]+Data_Dep.12[[#This Row],[KH LK 2026]]</f>
        <v>69134545.454545453</v>
      </c>
    </row>
    <row r="83" spans="1:42" x14ac:dyDescent="0.3">
      <c r="A83" s="169"/>
      <c r="B83" s="169"/>
      <c r="C83" s="170" t="s">
        <v>337</v>
      </c>
      <c r="D83" s="169" t="str">
        <f>_xlfn.XLOOKUP(Data_Dep.12[[#This Row],[Nhóm tài sản]],MD_Account_Asset_Type[Nhóm tài sản],MD_Account_Asset_Type[Tên Nhóm tài sản])</f>
        <v>Máy móc, thiết bị phụ - SX 627</v>
      </c>
      <c r="E83" s="171" t="s">
        <v>1012</v>
      </c>
      <c r="F83" s="170" t="s">
        <v>575</v>
      </c>
      <c r="G83" s="169" t="s">
        <v>502</v>
      </c>
      <c r="H83" s="170" t="s">
        <v>63</v>
      </c>
      <c r="I83" s="170" t="str">
        <f>_xlfn.XLOOKUP(Data_Dep.12[[#This Row],[Cost center]],MD_Cost_Center[Mã Cost Center],MD_Cost_Center[Tên Cost Center])</f>
        <v>Chuyền băm chai PET Active</v>
      </c>
      <c r="J83" s="172" t="str">
        <f>_xlfn.XLOOKUP(Data_Dep.12[[#This Row],[Cost center]],MD_Cost_Center[Mã Cost Center],MD_Cost_Center[Work center],"Check")</f>
        <v>ACTI-B01</v>
      </c>
      <c r="K83" s="169" t="str">
        <f>_xlfn.XLOOKUP(Data_Dep.12[[#This Row],[Nhóm tài sản]],MD_Account_Asset_Type[Nhóm tài sản],MD_Account_Asset_Type[Tài khoản KH],"Check")</f>
        <v>6274001906</v>
      </c>
      <c r="L83" s="173">
        <v>45658</v>
      </c>
      <c r="M83" s="174">
        <f>EDATE(Data_Dep.12[[#This Row],[Ngày bắt đầu KH]],Data_Dep.12[[#This Row],[T/G Khấu hao]])</f>
        <v>47484</v>
      </c>
      <c r="N83" s="175">
        <v>60</v>
      </c>
      <c r="O83" s="175">
        <v>89240000</v>
      </c>
      <c r="P83" s="176">
        <v>-13386000</v>
      </c>
      <c r="Q83" s="175">
        <f>Data_Dep.12[[#This Row],[Nguyên giá]]+Data_Dep.12[[#This Row],[KH lũy kế]]</f>
        <v>75854000</v>
      </c>
      <c r="R83" s="177">
        <v>-1487333</v>
      </c>
      <c r="S83" s="177">
        <v>-1487334</v>
      </c>
      <c r="T83" s="177">
        <v>-1487333</v>
      </c>
      <c r="U83" s="177">
        <f>SUM(Data_Dep.12[[#This Row],[KH_2510]:[KH_2512]])</f>
        <v>-4462000</v>
      </c>
      <c r="V83" s="175">
        <f>Data_Dep.12[[#This Row],[Nguyên giá]]+Data_Dep.12[[#This Row],[KH lũy kế]]+Data_Dep.12[[#This Row],[KH_Q4.25]]</f>
        <v>71392000</v>
      </c>
      <c r="W83" s="178">
        <f>ROUND(Data_Dep.12[[#This Row],[T/G Khấu hao]]-Data_Dep.12[[#This Row],[Giá trị còn lại 31/12/25]]/Data_Dep.12[[#This Row],[Nguyên giá]]*Data_Dep.12[[#This Row],[T/G Khấu hao]],0)</f>
        <v>12</v>
      </c>
      <c r="X83" s="179">
        <v>84</v>
      </c>
      <c r="Y83" s="175">
        <f>Data_Dep.12[[#This Row],[T/G Khấu hao]]+Data_Dep.12[[#This Row],[Điều chỉnh]]</f>
        <v>144</v>
      </c>
      <c r="Z83" s="180">
        <f>EDATE(Data_Dep.12[[#This Row],[Ngày bắt đầu KH]],Data_Dep.12[[#This Row],[T/G điều chỉnh]])</f>
        <v>50041</v>
      </c>
      <c r="AA83" s="175">
        <f>Data_Dep.12[[#This Row],[T/G điều chỉnh]]-Data_Dep.12[[#This Row],[Số kỳ đã khấu hao]]</f>
        <v>132</v>
      </c>
      <c r="AB83" s="175">
        <f>IFERROR(-Data_Dep.12[[#This Row],[Giá trị còn lại 31/12/25]]/(Data_Dep.12[[#This Row],[T/G điều chỉnh]]-Data_Dep.12[[#This Row],[Số kỳ đã khấu hao]]),0)</f>
        <v>-540848.48484848486</v>
      </c>
      <c r="AC83" s="181">
        <v>-540848.48484848486</v>
      </c>
      <c r="AD83" s="181">
        <v>-540848.48484848486</v>
      </c>
      <c r="AE83" s="181">
        <v>-540848.48484848486</v>
      </c>
      <c r="AF83" s="181">
        <v>-540848.48484848486</v>
      </c>
      <c r="AG83" s="181">
        <v>-540848.48484848486</v>
      </c>
      <c r="AH83" s="181">
        <v>-540848.48484848486</v>
      </c>
      <c r="AI83" s="181">
        <v>-540848.48484848486</v>
      </c>
      <c r="AJ83" s="181">
        <v>-540848.48484848486</v>
      </c>
      <c r="AK83" s="181">
        <v>-540848.48484848486</v>
      </c>
      <c r="AL83" s="181">
        <v>-540848.48484848486</v>
      </c>
      <c r="AM83" s="181">
        <v>-540848.48484848486</v>
      </c>
      <c r="AN83" s="181">
        <v>-540848.48484848486</v>
      </c>
      <c r="AO83" s="175">
        <f>SUM(Data_Dep.12[[#This Row],[KH_2601]:[KH_2612]])</f>
        <v>-6490181.8181818165</v>
      </c>
      <c r="AP83" s="175">
        <f>Data_Dep.12[[#This Row],[Giá trị còn lại 31/12/25]]+Data_Dep.12[[#This Row],[KH LK 2026]]</f>
        <v>64901818.181818187</v>
      </c>
    </row>
    <row r="84" spans="1:42" x14ac:dyDescent="0.3">
      <c r="A84" s="169"/>
      <c r="B84" s="169"/>
      <c r="C84" s="170" t="s">
        <v>337</v>
      </c>
      <c r="D84" s="169" t="str">
        <f>_xlfn.XLOOKUP(Data_Dep.12[[#This Row],[Nhóm tài sản]],MD_Account_Asset_Type[Nhóm tài sản],MD_Account_Asset_Type[Tên Nhóm tài sản])</f>
        <v>Máy móc, thiết bị phụ - SX 627</v>
      </c>
      <c r="E84" s="171" t="s">
        <v>1013</v>
      </c>
      <c r="F84" s="170" t="s">
        <v>576</v>
      </c>
      <c r="G84" s="169" t="s">
        <v>502</v>
      </c>
      <c r="H84" s="170" t="s">
        <v>63</v>
      </c>
      <c r="I84" s="170" t="str">
        <f>_xlfn.XLOOKUP(Data_Dep.12[[#This Row],[Cost center]],MD_Cost_Center[Mã Cost Center],MD_Cost_Center[Tên Cost Center])</f>
        <v>Chuyền băm chai PET Active</v>
      </c>
      <c r="J84" s="172" t="str">
        <f>_xlfn.XLOOKUP(Data_Dep.12[[#This Row],[Cost center]],MD_Cost_Center[Mã Cost Center],MD_Cost_Center[Work center],"Check")</f>
        <v>ACTI-B01</v>
      </c>
      <c r="K84" s="169" t="str">
        <f>_xlfn.XLOOKUP(Data_Dep.12[[#This Row],[Nhóm tài sản]],MD_Account_Asset_Type[Nhóm tài sản],MD_Account_Asset_Type[Tài khoản KH],"Check")</f>
        <v>6274001906</v>
      </c>
      <c r="L84" s="173">
        <v>45658</v>
      </c>
      <c r="M84" s="174">
        <f>EDATE(Data_Dep.12[[#This Row],[Ngày bắt đầu KH]],Data_Dep.12[[#This Row],[T/G Khấu hao]])</f>
        <v>47484</v>
      </c>
      <c r="N84" s="175">
        <v>60</v>
      </c>
      <c r="O84" s="175">
        <v>89240000</v>
      </c>
      <c r="P84" s="176">
        <v>-13386000</v>
      </c>
      <c r="Q84" s="175">
        <f>Data_Dep.12[[#This Row],[Nguyên giá]]+Data_Dep.12[[#This Row],[KH lũy kế]]</f>
        <v>75854000</v>
      </c>
      <c r="R84" s="177">
        <v>-1487333</v>
      </c>
      <c r="S84" s="177">
        <v>-1487334</v>
      </c>
      <c r="T84" s="177">
        <v>-1487333</v>
      </c>
      <c r="U84" s="177">
        <f>SUM(Data_Dep.12[[#This Row],[KH_2510]:[KH_2512]])</f>
        <v>-4462000</v>
      </c>
      <c r="V84" s="175">
        <f>Data_Dep.12[[#This Row],[Nguyên giá]]+Data_Dep.12[[#This Row],[KH lũy kế]]+Data_Dep.12[[#This Row],[KH_Q4.25]]</f>
        <v>71392000</v>
      </c>
      <c r="W84" s="178">
        <f>ROUND(Data_Dep.12[[#This Row],[T/G Khấu hao]]-Data_Dep.12[[#This Row],[Giá trị còn lại 31/12/25]]/Data_Dep.12[[#This Row],[Nguyên giá]]*Data_Dep.12[[#This Row],[T/G Khấu hao]],0)</f>
        <v>12</v>
      </c>
      <c r="X84" s="179">
        <v>84</v>
      </c>
      <c r="Y84" s="175">
        <f>Data_Dep.12[[#This Row],[T/G Khấu hao]]+Data_Dep.12[[#This Row],[Điều chỉnh]]</f>
        <v>144</v>
      </c>
      <c r="Z84" s="180">
        <f>EDATE(Data_Dep.12[[#This Row],[Ngày bắt đầu KH]],Data_Dep.12[[#This Row],[T/G điều chỉnh]])</f>
        <v>50041</v>
      </c>
      <c r="AA84" s="175">
        <f>Data_Dep.12[[#This Row],[T/G điều chỉnh]]-Data_Dep.12[[#This Row],[Số kỳ đã khấu hao]]</f>
        <v>132</v>
      </c>
      <c r="AB84" s="175">
        <f>IFERROR(-Data_Dep.12[[#This Row],[Giá trị còn lại 31/12/25]]/(Data_Dep.12[[#This Row],[T/G điều chỉnh]]-Data_Dep.12[[#This Row],[Số kỳ đã khấu hao]]),0)</f>
        <v>-540848.48484848486</v>
      </c>
      <c r="AC84" s="181">
        <v>-540848.48484848486</v>
      </c>
      <c r="AD84" s="181">
        <v>-540848.48484848486</v>
      </c>
      <c r="AE84" s="181">
        <v>-540848.48484848486</v>
      </c>
      <c r="AF84" s="181">
        <v>-540848.48484848486</v>
      </c>
      <c r="AG84" s="181">
        <v>-540848.48484848486</v>
      </c>
      <c r="AH84" s="181">
        <v>-540848.48484848486</v>
      </c>
      <c r="AI84" s="181">
        <v>-540848.48484848486</v>
      </c>
      <c r="AJ84" s="181">
        <v>-540848.48484848486</v>
      </c>
      <c r="AK84" s="181">
        <v>-540848.48484848486</v>
      </c>
      <c r="AL84" s="181">
        <v>-540848.48484848486</v>
      </c>
      <c r="AM84" s="181">
        <v>-540848.48484848486</v>
      </c>
      <c r="AN84" s="181">
        <v>-540848.48484848486</v>
      </c>
      <c r="AO84" s="175">
        <f>SUM(Data_Dep.12[[#This Row],[KH_2601]:[KH_2612]])</f>
        <v>-6490181.8181818165</v>
      </c>
      <c r="AP84" s="175">
        <f>Data_Dep.12[[#This Row],[Giá trị còn lại 31/12/25]]+Data_Dep.12[[#This Row],[KH LK 2026]]</f>
        <v>64901818.181818187</v>
      </c>
    </row>
    <row r="85" spans="1:42" x14ac:dyDescent="0.3">
      <c r="A85" s="169"/>
      <c r="B85" s="169"/>
      <c r="C85" s="170" t="s">
        <v>337</v>
      </c>
      <c r="D85" s="169" t="str">
        <f>_xlfn.XLOOKUP(Data_Dep.12[[#This Row],[Nhóm tài sản]],MD_Account_Asset_Type[Nhóm tài sản],MD_Account_Asset_Type[Tên Nhóm tài sản])</f>
        <v>Máy móc, thiết bị phụ - SX 627</v>
      </c>
      <c r="E85" s="171" t="s">
        <v>1014</v>
      </c>
      <c r="F85" s="170" t="s">
        <v>577</v>
      </c>
      <c r="G85" s="169" t="s">
        <v>502</v>
      </c>
      <c r="H85" s="170" t="s">
        <v>72</v>
      </c>
      <c r="I85" s="170" t="str">
        <f>_xlfn.XLOOKUP(Data_Dep.12[[#This Row],[Cost center]],MD_Cost_Center[Mã Cost Center],MD_Cost_Center[Tên Cost Center])</f>
        <v>Chuyền băm rửa PP Moogetech</v>
      </c>
      <c r="J85" s="172" t="str">
        <f>_xlfn.XLOOKUP(Data_Dep.12[[#This Row],[Cost center]],MD_Cost_Center[Mã Cost Center],MD_Cost_Center[Work center],"Check")</f>
        <v>MOOG-B01 | MOOG-R01</v>
      </c>
      <c r="K85" s="169" t="str">
        <f>_xlfn.XLOOKUP(Data_Dep.12[[#This Row],[Nhóm tài sản]],MD_Account_Asset_Type[Nhóm tài sản],MD_Account_Asset_Type[Tài khoản KH],"Check")</f>
        <v>6274001906</v>
      </c>
      <c r="L85" s="173">
        <v>45658</v>
      </c>
      <c r="M85" s="174">
        <f>EDATE(Data_Dep.12[[#This Row],[Ngày bắt đầu KH]],Data_Dep.12[[#This Row],[T/G Khấu hao]])</f>
        <v>47484</v>
      </c>
      <c r="N85" s="175">
        <v>60</v>
      </c>
      <c r="O85" s="175">
        <v>89240000</v>
      </c>
      <c r="P85" s="176">
        <v>-13386000</v>
      </c>
      <c r="Q85" s="175">
        <f>Data_Dep.12[[#This Row],[Nguyên giá]]+Data_Dep.12[[#This Row],[KH lũy kế]]</f>
        <v>75854000</v>
      </c>
      <c r="R85" s="177">
        <v>-1487333</v>
      </c>
      <c r="S85" s="177">
        <v>-1487334</v>
      </c>
      <c r="T85" s="177">
        <v>-1487333</v>
      </c>
      <c r="U85" s="177">
        <f>SUM(Data_Dep.12[[#This Row],[KH_2510]:[KH_2512]])</f>
        <v>-4462000</v>
      </c>
      <c r="V85" s="175">
        <f>Data_Dep.12[[#This Row],[Nguyên giá]]+Data_Dep.12[[#This Row],[KH lũy kế]]+Data_Dep.12[[#This Row],[KH_Q4.25]]</f>
        <v>71392000</v>
      </c>
      <c r="W85" s="178">
        <f>ROUND(Data_Dep.12[[#This Row],[T/G Khấu hao]]-Data_Dep.12[[#This Row],[Giá trị còn lại 31/12/25]]/Data_Dep.12[[#This Row],[Nguyên giá]]*Data_Dep.12[[#This Row],[T/G Khấu hao]],0)</f>
        <v>12</v>
      </c>
      <c r="X85" s="179">
        <v>84</v>
      </c>
      <c r="Y85" s="175">
        <f>Data_Dep.12[[#This Row],[T/G Khấu hao]]+Data_Dep.12[[#This Row],[Điều chỉnh]]</f>
        <v>144</v>
      </c>
      <c r="Z85" s="180">
        <f>EDATE(Data_Dep.12[[#This Row],[Ngày bắt đầu KH]],Data_Dep.12[[#This Row],[T/G điều chỉnh]])</f>
        <v>50041</v>
      </c>
      <c r="AA85" s="175">
        <f>Data_Dep.12[[#This Row],[T/G điều chỉnh]]-Data_Dep.12[[#This Row],[Số kỳ đã khấu hao]]</f>
        <v>132</v>
      </c>
      <c r="AB85" s="175">
        <f>IFERROR(-Data_Dep.12[[#This Row],[Giá trị còn lại 31/12/25]]/(Data_Dep.12[[#This Row],[T/G điều chỉnh]]-Data_Dep.12[[#This Row],[Số kỳ đã khấu hao]]),0)</f>
        <v>-540848.48484848486</v>
      </c>
      <c r="AC85" s="181">
        <v>-540848.48484848486</v>
      </c>
      <c r="AD85" s="181">
        <v>-540848.48484848486</v>
      </c>
      <c r="AE85" s="181">
        <v>-540848.48484848486</v>
      </c>
      <c r="AF85" s="181">
        <v>-540848.48484848486</v>
      </c>
      <c r="AG85" s="181">
        <v>-540848.48484848486</v>
      </c>
      <c r="AH85" s="181">
        <v>-540848.48484848486</v>
      </c>
      <c r="AI85" s="181">
        <v>-540848.48484848486</v>
      </c>
      <c r="AJ85" s="181">
        <v>-540848.48484848486</v>
      </c>
      <c r="AK85" s="181">
        <v>-540848.48484848486</v>
      </c>
      <c r="AL85" s="181">
        <v>-540848.48484848486</v>
      </c>
      <c r="AM85" s="181">
        <v>-540848.48484848486</v>
      </c>
      <c r="AN85" s="181">
        <v>-540848.48484848486</v>
      </c>
      <c r="AO85" s="175">
        <f>SUM(Data_Dep.12[[#This Row],[KH_2601]:[KH_2612]])</f>
        <v>-6490181.8181818165</v>
      </c>
      <c r="AP85" s="175">
        <f>Data_Dep.12[[#This Row],[Giá trị còn lại 31/12/25]]+Data_Dep.12[[#This Row],[KH LK 2026]]</f>
        <v>64901818.181818187</v>
      </c>
    </row>
    <row r="86" spans="1:42" x14ac:dyDescent="0.3">
      <c r="A86" s="169"/>
      <c r="B86" s="169"/>
      <c r="C86" s="170" t="s">
        <v>337</v>
      </c>
      <c r="D86" s="169" t="str">
        <f>_xlfn.XLOOKUP(Data_Dep.12[[#This Row],[Nhóm tài sản]],MD_Account_Asset_Type[Nhóm tài sản],MD_Account_Asset_Type[Tên Nhóm tài sản])</f>
        <v>Máy móc, thiết bị phụ - SX 627</v>
      </c>
      <c r="E86" s="171" t="s">
        <v>1015</v>
      </c>
      <c r="F86" s="170" t="s">
        <v>578</v>
      </c>
      <c r="G86" s="169" t="s">
        <v>502</v>
      </c>
      <c r="H86" s="170" t="s">
        <v>56</v>
      </c>
      <c r="I86" s="170" t="str">
        <f>_xlfn.XLOOKUP(Data_Dep.12[[#This Row],[Cost center]],MD_Cost_Center[Mã Cost Center],MD_Cost_Center[Tên Cost Center])</f>
        <v>Máy tạo vảy - Carno</v>
      </c>
      <c r="J86" s="172" t="str">
        <f>_xlfn.XLOOKUP(Data_Dep.12[[#This Row],[Cost center]],MD_Cost_Center[Mã Cost Center],MD_Cost_Center[Work center],"Check")</f>
        <v>CARN-01 | CARN-02 | CARN-03 | CARN-04</v>
      </c>
      <c r="K86" s="169" t="str">
        <f>_xlfn.XLOOKUP(Data_Dep.12[[#This Row],[Nhóm tài sản]],MD_Account_Asset_Type[Nhóm tài sản],MD_Account_Asset_Type[Tài khoản KH],"Check")</f>
        <v>6274001906</v>
      </c>
      <c r="L86" s="173">
        <v>45658</v>
      </c>
      <c r="M86" s="174">
        <f>EDATE(Data_Dep.12[[#This Row],[Ngày bắt đầu KH]],Data_Dep.12[[#This Row],[T/G Khấu hao]])</f>
        <v>47484</v>
      </c>
      <c r="N86" s="175">
        <v>60</v>
      </c>
      <c r="O86" s="175">
        <v>87300000</v>
      </c>
      <c r="P86" s="176">
        <v>-13095000</v>
      </c>
      <c r="Q86" s="175">
        <f>Data_Dep.12[[#This Row],[Nguyên giá]]+Data_Dep.12[[#This Row],[KH lũy kế]]</f>
        <v>74205000</v>
      </c>
      <c r="R86" s="177">
        <v>-1455000</v>
      </c>
      <c r="S86" s="177">
        <v>-1455000</v>
      </c>
      <c r="T86" s="177">
        <v>-1455000</v>
      </c>
      <c r="U86" s="177">
        <f>SUM(Data_Dep.12[[#This Row],[KH_2510]:[KH_2512]])</f>
        <v>-4365000</v>
      </c>
      <c r="V86" s="175">
        <f>Data_Dep.12[[#This Row],[Nguyên giá]]+Data_Dep.12[[#This Row],[KH lũy kế]]+Data_Dep.12[[#This Row],[KH_Q4.25]]</f>
        <v>69840000</v>
      </c>
      <c r="W86" s="178">
        <f>ROUND(Data_Dep.12[[#This Row],[T/G Khấu hao]]-Data_Dep.12[[#This Row],[Giá trị còn lại 31/12/25]]/Data_Dep.12[[#This Row],[Nguyên giá]]*Data_Dep.12[[#This Row],[T/G Khấu hao]],0)</f>
        <v>12</v>
      </c>
      <c r="X86" s="179">
        <v>84</v>
      </c>
      <c r="Y86" s="175">
        <f>Data_Dep.12[[#This Row],[T/G Khấu hao]]+Data_Dep.12[[#This Row],[Điều chỉnh]]</f>
        <v>144</v>
      </c>
      <c r="Z86" s="180">
        <f>EDATE(Data_Dep.12[[#This Row],[Ngày bắt đầu KH]],Data_Dep.12[[#This Row],[T/G điều chỉnh]])</f>
        <v>50041</v>
      </c>
      <c r="AA86" s="175">
        <f>Data_Dep.12[[#This Row],[T/G điều chỉnh]]-Data_Dep.12[[#This Row],[Số kỳ đã khấu hao]]</f>
        <v>132</v>
      </c>
      <c r="AB86" s="175">
        <f>IFERROR(-Data_Dep.12[[#This Row],[Giá trị còn lại 31/12/25]]/(Data_Dep.12[[#This Row],[T/G điều chỉnh]]-Data_Dep.12[[#This Row],[Số kỳ đã khấu hao]]),0)</f>
        <v>-529090.90909090906</v>
      </c>
      <c r="AC86" s="181">
        <v>-529090.90909090906</v>
      </c>
      <c r="AD86" s="181">
        <v>-529090.90909090906</v>
      </c>
      <c r="AE86" s="181">
        <v>-529090.90909090906</v>
      </c>
      <c r="AF86" s="181">
        <v>-529090.90909090906</v>
      </c>
      <c r="AG86" s="181">
        <v>-529090.90909090906</v>
      </c>
      <c r="AH86" s="181">
        <v>-529090.90909090906</v>
      </c>
      <c r="AI86" s="181">
        <v>-529090.90909090906</v>
      </c>
      <c r="AJ86" s="181">
        <v>-529090.90909090906</v>
      </c>
      <c r="AK86" s="181">
        <v>-529090.90909090906</v>
      </c>
      <c r="AL86" s="181">
        <v>-529090.90909090906</v>
      </c>
      <c r="AM86" s="181">
        <v>-529090.90909090906</v>
      </c>
      <c r="AN86" s="181">
        <v>-529090.90909090906</v>
      </c>
      <c r="AO86" s="175">
        <f>SUM(Data_Dep.12[[#This Row],[KH_2601]:[KH_2612]])</f>
        <v>-6349090.9090909092</v>
      </c>
      <c r="AP86" s="175">
        <f>Data_Dep.12[[#This Row],[Giá trị còn lại 31/12/25]]+Data_Dep.12[[#This Row],[KH LK 2026]]</f>
        <v>63490909.090909094</v>
      </c>
    </row>
    <row r="87" spans="1:42" x14ac:dyDescent="0.3">
      <c r="A87" s="169"/>
      <c r="B87" s="169"/>
      <c r="C87" s="170" t="s">
        <v>337</v>
      </c>
      <c r="D87" s="169" t="str">
        <f>_xlfn.XLOOKUP(Data_Dep.12[[#This Row],[Nhóm tài sản]],MD_Account_Asset_Type[Nhóm tài sản],MD_Account_Asset_Type[Tên Nhóm tài sản])</f>
        <v>Máy móc, thiết bị phụ - SX 627</v>
      </c>
      <c r="E87" s="171" t="s">
        <v>1016</v>
      </c>
      <c r="F87" s="170" t="s">
        <v>579</v>
      </c>
      <c r="G87" s="169" t="s">
        <v>502</v>
      </c>
      <c r="H87" s="170" t="s">
        <v>48</v>
      </c>
      <c r="I87" s="170" t="str">
        <f>_xlfn.XLOOKUP(Data_Dep.12[[#This Row],[Cost center]],MD_Cost_Center[Mã Cost Center],MD_Cost_Center[Tên Cost Center])</f>
        <v>Xưởng sản xuất PET</v>
      </c>
      <c r="J87" s="172">
        <f>_xlfn.XLOOKUP(Data_Dep.12[[#This Row],[Cost center]],MD_Cost_Center[Mã Cost Center],MD_Cost_Center[Work center],"Check")</f>
        <v>0</v>
      </c>
      <c r="K87" s="169" t="str">
        <f>_xlfn.XLOOKUP(Data_Dep.12[[#This Row],[Nhóm tài sản]],MD_Account_Asset_Type[Nhóm tài sản],MD_Account_Asset_Type[Tài khoản KH],"Check")</f>
        <v>6274001906</v>
      </c>
      <c r="L87" s="173">
        <v>45505</v>
      </c>
      <c r="M87" s="174">
        <f>EDATE(Data_Dep.12[[#This Row],[Ngày bắt đầu KH]],Data_Dep.12[[#This Row],[T/G Khấu hao]])</f>
        <v>47331</v>
      </c>
      <c r="N87" s="175">
        <v>60</v>
      </c>
      <c r="O87" s="175">
        <v>1256000000</v>
      </c>
      <c r="P87" s="176">
        <v>-293066667</v>
      </c>
      <c r="Q87" s="175">
        <f>Data_Dep.12[[#This Row],[Nguyên giá]]+Data_Dep.12[[#This Row],[KH lũy kế]]</f>
        <v>962933333</v>
      </c>
      <c r="R87" s="177">
        <v>-20933333</v>
      </c>
      <c r="S87" s="177">
        <v>-20933334</v>
      </c>
      <c r="T87" s="177">
        <v>-20933333</v>
      </c>
      <c r="U87" s="177">
        <f>SUM(Data_Dep.12[[#This Row],[KH_2510]:[KH_2512]])</f>
        <v>-62800000</v>
      </c>
      <c r="V87" s="175">
        <f>Data_Dep.12[[#This Row],[Nguyên giá]]+Data_Dep.12[[#This Row],[KH lũy kế]]+Data_Dep.12[[#This Row],[KH_Q4.25]]</f>
        <v>900133333</v>
      </c>
      <c r="W87" s="178">
        <f>ROUND(Data_Dep.12[[#This Row],[T/G Khấu hao]]-Data_Dep.12[[#This Row],[Giá trị còn lại 31/12/25]]/Data_Dep.12[[#This Row],[Nguyên giá]]*Data_Dep.12[[#This Row],[T/G Khấu hao]],0)</f>
        <v>17</v>
      </c>
      <c r="X87" s="179">
        <v>84</v>
      </c>
      <c r="Y87" s="175">
        <f>Data_Dep.12[[#This Row],[T/G Khấu hao]]+Data_Dep.12[[#This Row],[Điều chỉnh]]</f>
        <v>144</v>
      </c>
      <c r="Z87" s="180">
        <f>EDATE(Data_Dep.12[[#This Row],[Ngày bắt đầu KH]],Data_Dep.12[[#This Row],[T/G điều chỉnh]])</f>
        <v>49888</v>
      </c>
      <c r="AA87" s="175">
        <f>Data_Dep.12[[#This Row],[T/G điều chỉnh]]-Data_Dep.12[[#This Row],[Số kỳ đã khấu hao]]</f>
        <v>127</v>
      </c>
      <c r="AB87" s="175">
        <f>IFERROR(-Data_Dep.12[[#This Row],[Giá trị còn lại 31/12/25]]/(Data_Dep.12[[#This Row],[T/G điều chỉnh]]-Data_Dep.12[[#This Row],[Số kỳ đã khấu hao]]),0)</f>
        <v>-7087664.0393700786</v>
      </c>
      <c r="AC87" s="181">
        <v>-7087664.0393700786</v>
      </c>
      <c r="AD87" s="181">
        <v>-7087664.0393700786</v>
      </c>
      <c r="AE87" s="181">
        <v>-7087664.0393700786</v>
      </c>
      <c r="AF87" s="181">
        <v>-7087664.0393700786</v>
      </c>
      <c r="AG87" s="181">
        <v>-7087664.0393700786</v>
      </c>
      <c r="AH87" s="181">
        <v>-7087664.0393700786</v>
      </c>
      <c r="AI87" s="181">
        <v>-7087664.0393700786</v>
      </c>
      <c r="AJ87" s="181">
        <v>-7087664.0393700786</v>
      </c>
      <c r="AK87" s="181">
        <v>-7087664.0393700786</v>
      </c>
      <c r="AL87" s="181">
        <v>-7087664.0393700786</v>
      </c>
      <c r="AM87" s="181">
        <v>-7087664.0393700786</v>
      </c>
      <c r="AN87" s="181">
        <v>-7087664.0393700786</v>
      </c>
      <c r="AO87" s="175">
        <f>SUM(Data_Dep.12[[#This Row],[KH_2601]:[KH_2612]])</f>
        <v>-85051968.472440913</v>
      </c>
      <c r="AP87" s="175">
        <f>Data_Dep.12[[#This Row],[Giá trị còn lại 31/12/25]]+Data_Dep.12[[#This Row],[KH LK 2026]]</f>
        <v>815081364.52755904</v>
      </c>
    </row>
    <row r="88" spans="1:42" x14ac:dyDescent="0.3">
      <c r="A88" s="169"/>
      <c r="B88" s="169"/>
      <c r="C88" s="170" t="s">
        <v>337</v>
      </c>
      <c r="D88" s="169" t="str">
        <f>_xlfn.XLOOKUP(Data_Dep.12[[#This Row],[Nhóm tài sản]],MD_Account_Asset_Type[Nhóm tài sản],MD_Account_Asset_Type[Tên Nhóm tài sản])</f>
        <v>Máy móc, thiết bị phụ - SX 627</v>
      </c>
      <c r="E88" s="171" t="s">
        <v>1017</v>
      </c>
      <c r="F88" s="170" t="s">
        <v>580</v>
      </c>
      <c r="G88" s="169" t="s">
        <v>830</v>
      </c>
      <c r="H88" s="170" t="s">
        <v>45</v>
      </c>
      <c r="I88" s="170" t="str">
        <f>_xlfn.XLOOKUP(Data_Dep.12[[#This Row],[Cost center]],MD_Cost_Center[Mã Cost Center],MD_Cost_Center[Tên Cost Center])</f>
        <v>Kỹ thuật</v>
      </c>
      <c r="J88" s="172">
        <f>_xlfn.XLOOKUP(Data_Dep.12[[#This Row],[Cost center]],MD_Cost_Center[Mã Cost Center],MD_Cost_Center[Work center],"Check")</f>
        <v>0</v>
      </c>
      <c r="K88" s="169" t="str">
        <f>_xlfn.XLOOKUP(Data_Dep.12[[#This Row],[Nhóm tài sản]],MD_Account_Asset_Type[Nhóm tài sản],MD_Account_Asset_Type[Tài khoản KH],"Check")</f>
        <v>6274001906</v>
      </c>
      <c r="L88" s="173">
        <v>45627</v>
      </c>
      <c r="M88" s="174">
        <f>EDATE(Data_Dep.12[[#This Row],[Ngày bắt đầu KH]],Data_Dep.12[[#This Row],[T/G Khấu hao]])</f>
        <v>46722</v>
      </c>
      <c r="N88" s="175">
        <v>36</v>
      </c>
      <c r="O88" s="175">
        <v>170000000</v>
      </c>
      <c r="P88" s="176">
        <v>-47222222</v>
      </c>
      <c r="Q88" s="175">
        <f>Data_Dep.12[[#This Row],[Nguyên giá]]+Data_Dep.12[[#This Row],[KH lũy kế]]</f>
        <v>122777778</v>
      </c>
      <c r="R88" s="177">
        <v>-4722222</v>
      </c>
      <c r="S88" s="177">
        <v>-4722223</v>
      </c>
      <c r="T88" s="177">
        <v>-4722222</v>
      </c>
      <c r="U88" s="177">
        <f>SUM(Data_Dep.12[[#This Row],[KH_2510]:[KH_2512]])</f>
        <v>-14166667</v>
      </c>
      <c r="V88" s="175">
        <f>Data_Dep.12[[#This Row],[Nguyên giá]]+Data_Dep.12[[#This Row],[KH lũy kế]]+Data_Dep.12[[#This Row],[KH_Q4.25]]</f>
        <v>108611111</v>
      </c>
      <c r="W88" s="178">
        <f>ROUND(Data_Dep.12[[#This Row],[T/G Khấu hao]]-Data_Dep.12[[#This Row],[Giá trị còn lại 31/12/25]]/Data_Dep.12[[#This Row],[Nguyên giá]]*Data_Dep.12[[#This Row],[T/G Khấu hao]],0)</f>
        <v>13</v>
      </c>
      <c r="X88" s="179">
        <v>108</v>
      </c>
      <c r="Y88" s="175">
        <f>Data_Dep.12[[#This Row],[T/G Khấu hao]]+Data_Dep.12[[#This Row],[Điều chỉnh]]</f>
        <v>144</v>
      </c>
      <c r="Z88" s="180">
        <f>EDATE(Data_Dep.12[[#This Row],[Ngày bắt đầu KH]],Data_Dep.12[[#This Row],[T/G điều chỉnh]])</f>
        <v>50010</v>
      </c>
      <c r="AA88" s="175">
        <f>Data_Dep.12[[#This Row],[T/G điều chỉnh]]-Data_Dep.12[[#This Row],[Số kỳ đã khấu hao]]</f>
        <v>131</v>
      </c>
      <c r="AB88" s="175">
        <f>IFERROR(-Data_Dep.12[[#This Row],[Giá trị còn lại 31/12/25]]/(Data_Dep.12[[#This Row],[T/G điều chỉnh]]-Data_Dep.12[[#This Row],[Số kỳ đã khấu hao]]),0)</f>
        <v>-829092.45038167934</v>
      </c>
      <c r="AC88" s="181">
        <v>-829092.45038167934</v>
      </c>
      <c r="AD88" s="181">
        <v>-829092.45038167934</v>
      </c>
      <c r="AE88" s="181">
        <v>-829092.45038167934</v>
      </c>
      <c r="AF88" s="181">
        <v>-829092.45038167934</v>
      </c>
      <c r="AG88" s="181">
        <v>-829092.45038167934</v>
      </c>
      <c r="AH88" s="181">
        <v>-829092.45038167934</v>
      </c>
      <c r="AI88" s="181">
        <v>-829092.45038167934</v>
      </c>
      <c r="AJ88" s="181">
        <v>-829092.45038167934</v>
      </c>
      <c r="AK88" s="181">
        <v>-829092.45038167934</v>
      </c>
      <c r="AL88" s="181">
        <v>-829092.45038167934</v>
      </c>
      <c r="AM88" s="181">
        <v>-829092.45038167934</v>
      </c>
      <c r="AN88" s="181">
        <v>-829092.45038167934</v>
      </c>
      <c r="AO88" s="175">
        <f>SUM(Data_Dep.12[[#This Row],[KH_2601]:[KH_2612]])</f>
        <v>-9949109.4045801517</v>
      </c>
      <c r="AP88" s="175">
        <f>Data_Dep.12[[#This Row],[Giá trị còn lại 31/12/25]]+Data_Dep.12[[#This Row],[KH LK 2026]]</f>
        <v>98662001.595419854</v>
      </c>
    </row>
    <row r="89" spans="1:42" x14ac:dyDescent="0.3">
      <c r="A89" s="169"/>
      <c r="B89" s="169"/>
      <c r="C89" s="170" t="s">
        <v>337</v>
      </c>
      <c r="D89" s="169" t="str">
        <f>_xlfn.XLOOKUP(Data_Dep.12[[#This Row],[Nhóm tài sản]],MD_Account_Asset_Type[Nhóm tài sản],MD_Account_Asset_Type[Tên Nhóm tài sản])</f>
        <v>Máy móc, thiết bị phụ - SX 627</v>
      </c>
      <c r="E89" s="171" t="s">
        <v>1018</v>
      </c>
      <c r="F89" s="170" t="s">
        <v>581</v>
      </c>
      <c r="G89" s="169" t="s">
        <v>830</v>
      </c>
      <c r="H89" s="170" t="s">
        <v>46</v>
      </c>
      <c r="I89" s="170" t="str">
        <f>_xlfn.XLOOKUP(Data_Dep.12[[#This Row],[Cost center]],MD_Cost_Center[Mã Cost Center],MD_Cost_Center[Tên Cost Center])</f>
        <v>Kiểm soát chất lượng</v>
      </c>
      <c r="J89" s="172">
        <f>_xlfn.XLOOKUP(Data_Dep.12[[#This Row],[Cost center]],MD_Cost_Center[Mã Cost Center],MD_Cost_Center[Work center],"Check")</f>
        <v>0</v>
      </c>
      <c r="K89" s="169" t="str">
        <f>_xlfn.XLOOKUP(Data_Dep.12[[#This Row],[Nhóm tài sản]],MD_Account_Asset_Type[Nhóm tài sản],MD_Account_Asset_Type[Tài khoản KH],"Check")</f>
        <v>6274001906</v>
      </c>
      <c r="L89" s="173">
        <v>45658</v>
      </c>
      <c r="M89" s="174">
        <f>EDATE(Data_Dep.12[[#This Row],[Ngày bắt đầu KH]],Data_Dep.12[[#This Row],[T/G Khấu hao]])</f>
        <v>46753</v>
      </c>
      <c r="N89" s="175">
        <v>36</v>
      </c>
      <c r="O89" s="175">
        <v>765000000</v>
      </c>
      <c r="P89" s="176">
        <v>-191250000</v>
      </c>
      <c r="Q89" s="175">
        <f>Data_Dep.12[[#This Row],[Nguyên giá]]+Data_Dep.12[[#This Row],[KH lũy kế]]</f>
        <v>573750000</v>
      </c>
      <c r="R89" s="177">
        <v>-21250000</v>
      </c>
      <c r="S89" s="177">
        <v>-21250000</v>
      </c>
      <c r="T89" s="177">
        <v>-21250000</v>
      </c>
      <c r="U89" s="177">
        <f>SUM(Data_Dep.12[[#This Row],[KH_2510]:[KH_2512]])</f>
        <v>-63750000</v>
      </c>
      <c r="V89" s="175">
        <f>Data_Dep.12[[#This Row],[Nguyên giá]]+Data_Dep.12[[#This Row],[KH lũy kế]]+Data_Dep.12[[#This Row],[KH_Q4.25]]</f>
        <v>510000000</v>
      </c>
      <c r="W89" s="178">
        <f>ROUND(Data_Dep.12[[#This Row],[T/G Khấu hao]]-Data_Dep.12[[#This Row],[Giá trị còn lại 31/12/25]]/Data_Dep.12[[#This Row],[Nguyên giá]]*Data_Dep.12[[#This Row],[T/G Khấu hao]],0)</f>
        <v>12</v>
      </c>
      <c r="X89" s="179">
        <v>108</v>
      </c>
      <c r="Y89" s="175">
        <f>Data_Dep.12[[#This Row],[T/G Khấu hao]]+Data_Dep.12[[#This Row],[Điều chỉnh]]</f>
        <v>144</v>
      </c>
      <c r="Z89" s="180">
        <f>EDATE(Data_Dep.12[[#This Row],[Ngày bắt đầu KH]],Data_Dep.12[[#This Row],[T/G điều chỉnh]])</f>
        <v>50041</v>
      </c>
      <c r="AA89" s="175">
        <f>Data_Dep.12[[#This Row],[T/G điều chỉnh]]-Data_Dep.12[[#This Row],[Số kỳ đã khấu hao]]</f>
        <v>132</v>
      </c>
      <c r="AB89" s="175">
        <f>IFERROR(-Data_Dep.12[[#This Row],[Giá trị còn lại 31/12/25]]/(Data_Dep.12[[#This Row],[T/G điều chỉnh]]-Data_Dep.12[[#This Row],[Số kỳ đã khấu hao]]),0)</f>
        <v>-3863636.3636363638</v>
      </c>
      <c r="AC89" s="181">
        <v>-3863636.3636363638</v>
      </c>
      <c r="AD89" s="181">
        <v>-3863636.3636363638</v>
      </c>
      <c r="AE89" s="181">
        <v>-3863636.3636363638</v>
      </c>
      <c r="AF89" s="181">
        <v>-3863636.3636363638</v>
      </c>
      <c r="AG89" s="181">
        <v>-3863636.3636363638</v>
      </c>
      <c r="AH89" s="181">
        <v>-3863636.3636363638</v>
      </c>
      <c r="AI89" s="181">
        <v>-3863636.3636363638</v>
      </c>
      <c r="AJ89" s="181">
        <v>-3863636.3636363638</v>
      </c>
      <c r="AK89" s="181">
        <v>-3863636.3636363638</v>
      </c>
      <c r="AL89" s="181">
        <v>-3863636.3636363638</v>
      </c>
      <c r="AM89" s="181">
        <v>-3863636.3636363638</v>
      </c>
      <c r="AN89" s="181">
        <v>-3863636.3636363638</v>
      </c>
      <c r="AO89" s="175">
        <f>SUM(Data_Dep.12[[#This Row],[KH_2601]:[KH_2612]])</f>
        <v>-46363636.363636374</v>
      </c>
      <c r="AP89" s="175">
        <f>Data_Dep.12[[#This Row],[Giá trị còn lại 31/12/25]]+Data_Dep.12[[#This Row],[KH LK 2026]]</f>
        <v>463636363.63636363</v>
      </c>
    </row>
    <row r="90" spans="1:42" x14ac:dyDescent="0.3">
      <c r="A90" s="169"/>
      <c r="B90" s="169"/>
      <c r="C90" s="170" t="s">
        <v>337</v>
      </c>
      <c r="D90" s="169" t="str">
        <f>_xlfn.XLOOKUP(Data_Dep.12[[#This Row],[Nhóm tài sản]],MD_Account_Asset_Type[Nhóm tài sản],MD_Account_Asset_Type[Tên Nhóm tài sản])</f>
        <v>Máy móc, thiết bị phụ - SX 627</v>
      </c>
      <c r="E90" s="171" t="s">
        <v>1019</v>
      </c>
      <c r="F90" s="170" t="s">
        <v>582</v>
      </c>
      <c r="G90" s="169" t="s">
        <v>830</v>
      </c>
      <c r="H90" s="170" t="s">
        <v>45</v>
      </c>
      <c r="I90" s="170" t="str">
        <f>_xlfn.XLOOKUP(Data_Dep.12[[#This Row],[Cost center]],MD_Cost_Center[Mã Cost Center],MD_Cost_Center[Tên Cost Center])</f>
        <v>Kỹ thuật</v>
      </c>
      <c r="J90" s="172">
        <f>_xlfn.XLOOKUP(Data_Dep.12[[#This Row],[Cost center]],MD_Cost_Center[Mã Cost Center],MD_Cost_Center[Work center],"Check")</f>
        <v>0</v>
      </c>
      <c r="K90" s="169" t="str">
        <f>_xlfn.XLOOKUP(Data_Dep.12[[#This Row],[Nhóm tài sản]],MD_Account_Asset_Type[Nhóm tài sản],MD_Account_Asset_Type[Tài khoản KH],"Check")</f>
        <v>6274001906</v>
      </c>
      <c r="L90" s="173">
        <v>45748</v>
      </c>
      <c r="M90" s="174">
        <f>EDATE(Data_Dep.12[[#This Row],[Ngày bắt đầu KH]],Data_Dep.12[[#This Row],[T/G Khấu hao]])</f>
        <v>46844</v>
      </c>
      <c r="N90" s="175">
        <v>36</v>
      </c>
      <c r="O90" s="175">
        <v>118000000</v>
      </c>
      <c r="P90" s="176">
        <v>-19666667</v>
      </c>
      <c r="Q90" s="175">
        <f>Data_Dep.12[[#This Row],[Nguyên giá]]+Data_Dep.12[[#This Row],[KH lũy kế]]</f>
        <v>98333333</v>
      </c>
      <c r="R90" s="177">
        <v>-3277777</v>
      </c>
      <c r="S90" s="177">
        <v>-3277778</v>
      </c>
      <c r="T90" s="177">
        <v>-3277778</v>
      </c>
      <c r="U90" s="177">
        <f>SUM(Data_Dep.12[[#This Row],[KH_2510]:[KH_2512]])</f>
        <v>-9833333</v>
      </c>
      <c r="V90" s="175">
        <f>Data_Dep.12[[#This Row],[Nguyên giá]]+Data_Dep.12[[#This Row],[KH lũy kế]]+Data_Dep.12[[#This Row],[KH_Q4.25]]</f>
        <v>88500000</v>
      </c>
      <c r="W90" s="178">
        <f>ROUND(Data_Dep.12[[#This Row],[T/G Khấu hao]]-Data_Dep.12[[#This Row],[Giá trị còn lại 31/12/25]]/Data_Dep.12[[#This Row],[Nguyên giá]]*Data_Dep.12[[#This Row],[T/G Khấu hao]],0)</f>
        <v>9</v>
      </c>
      <c r="X90" s="179">
        <v>108</v>
      </c>
      <c r="Y90" s="175">
        <f>Data_Dep.12[[#This Row],[T/G Khấu hao]]+Data_Dep.12[[#This Row],[Điều chỉnh]]</f>
        <v>144</v>
      </c>
      <c r="Z90" s="180">
        <f>EDATE(Data_Dep.12[[#This Row],[Ngày bắt đầu KH]],Data_Dep.12[[#This Row],[T/G điều chỉnh]])</f>
        <v>50131</v>
      </c>
      <c r="AA90" s="175">
        <f>Data_Dep.12[[#This Row],[T/G điều chỉnh]]-Data_Dep.12[[#This Row],[Số kỳ đã khấu hao]]</f>
        <v>135</v>
      </c>
      <c r="AB90" s="175">
        <f>IFERROR(-Data_Dep.12[[#This Row],[Giá trị còn lại 31/12/25]]/(Data_Dep.12[[#This Row],[T/G điều chỉnh]]-Data_Dep.12[[#This Row],[Số kỳ đã khấu hao]]),0)</f>
        <v>-655555.5555555555</v>
      </c>
      <c r="AC90" s="181">
        <v>-655555.5555555555</v>
      </c>
      <c r="AD90" s="181">
        <v>-655555.5555555555</v>
      </c>
      <c r="AE90" s="181">
        <v>-655555.5555555555</v>
      </c>
      <c r="AF90" s="181">
        <v>-655555.5555555555</v>
      </c>
      <c r="AG90" s="181">
        <v>-655555.5555555555</v>
      </c>
      <c r="AH90" s="181">
        <v>-655555.5555555555</v>
      </c>
      <c r="AI90" s="181">
        <v>-655555.5555555555</v>
      </c>
      <c r="AJ90" s="181">
        <v>-655555.5555555555</v>
      </c>
      <c r="AK90" s="181">
        <v>-655555.5555555555</v>
      </c>
      <c r="AL90" s="181">
        <v>-655555.5555555555</v>
      </c>
      <c r="AM90" s="181">
        <v>-655555.5555555555</v>
      </c>
      <c r="AN90" s="181">
        <v>-655555.5555555555</v>
      </c>
      <c r="AO90" s="175">
        <f>SUM(Data_Dep.12[[#This Row],[KH_2601]:[KH_2612]])</f>
        <v>-7866666.6666666679</v>
      </c>
      <c r="AP90" s="175">
        <f>Data_Dep.12[[#This Row],[Giá trị còn lại 31/12/25]]+Data_Dep.12[[#This Row],[KH LK 2026]]</f>
        <v>80633333.333333328</v>
      </c>
    </row>
    <row r="91" spans="1:42" x14ac:dyDescent="0.3">
      <c r="A91" s="169"/>
      <c r="B91" s="169"/>
      <c r="C91" s="170" t="s">
        <v>337</v>
      </c>
      <c r="D91" s="169" t="str">
        <f>_xlfn.XLOOKUP(Data_Dep.12[[#This Row],[Nhóm tài sản]],MD_Account_Asset_Type[Nhóm tài sản],MD_Account_Asset_Type[Tên Nhóm tài sản])</f>
        <v>Máy móc, thiết bị phụ - SX 627</v>
      </c>
      <c r="E91" s="171" t="s">
        <v>1020</v>
      </c>
      <c r="F91" s="170" t="s">
        <v>583</v>
      </c>
      <c r="G91" s="169" t="s">
        <v>830</v>
      </c>
      <c r="H91" s="170" t="s">
        <v>45</v>
      </c>
      <c r="I91" s="170" t="str">
        <f>_xlfn.XLOOKUP(Data_Dep.12[[#This Row],[Cost center]],MD_Cost_Center[Mã Cost Center],MD_Cost_Center[Tên Cost Center])</f>
        <v>Kỹ thuật</v>
      </c>
      <c r="J91" s="172">
        <f>_xlfn.XLOOKUP(Data_Dep.12[[#This Row],[Cost center]],MD_Cost_Center[Mã Cost Center],MD_Cost_Center[Work center],"Check")</f>
        <v>0</v>
      </c>
      <c r="K91" s="169" t="str">
        <f>_xlfn.XLOOKUP(Data_Dep.12[[#This Row],[Nhóm tài sản]],MD_Account_Asset_Type[Nhóm tài sản],MD_Account_Asset_Type[Tài khoản KH],"Check")</f>
        <v>6274001906</v>
      </c>
      <c r="L91" s="173">
        <v>45748</v>
      </c>
      <c r="M91" s="174">
        <f>EDATE(Data_Dep.12[[#This Row],[Ngày bắt đầu KH]],Data_Dep.12[[#This Row],[T/G Khấu hao]])</f>
        <v>46844</v>
      </c>
      <c r="N91" s="175">
        <v>36</v>
      </c>
      <c r="O91" s="175">
        <v>118000000</v>
      </c>
      <c r="P91" s="176">
        <v>-19666667</v>
      </c>
      <c r="Q91" s="175">
        <f>Data_Dep.12[[#This Row],[Nguyên giá]]+Data_Dep.12[[#This Row],[KH lũy kế]]</f>
        <v>98333333</v>
      </c>
      <c r="R91" s="177">
        <v>-3277777</v>
      </c>
      <c r="S91" s="177">
        <v>-3277778</v>
      </c>
      <c r="T91" s="177">
        <v>-3277778</v>
      </c>
      <c r="U91" s="177">
        <f>SUM(Data_Dep.12[[#This Row],[KH_2510]:[KH_2512]])</f>
        <v>-9833333</v>
      </c>
      <c r="V91" s="175">
        <f>Data_Dep.12[[#This Row],[Nguyên giá]]+Data_Dep.12[[#This Row],[KH lũy kế]]+Data_Dep.12[[#This Row],[KH_Q4.25]]</f>
        <v>88500000</v>
      </c>
      <c r="W91" s="178">
        <f>ROUND(Data_Dep.12[[#This Row],[T/G Khấu hao]]-Data_Dep.12[[#This Row],[Giá trị còn lại 31/12/25]]/Data_Dep.12[[#This Row],[Nguyên giá]]*Data_Dep.12[[#This Row],[T/G Khấu hao]],0)</f>
        <v>9</v>
      </c>
      <c r="X91" s="179">
        <v>108</v>
      </c>
      <c r="Y91" s="175">
        <f>Data_Dep.12[[#This Row],[T/G Khấu hao]]+Data_Dep.12[[#This Row],[Điều chỉnh]]</f>
        <v>144</v>
      </c>
      <c r="Z91" s="180">
        <f>EDATE(Data_Dep.12[[#This Row],[Ngày bắt đầu KH]],Data_Dep.12[[#This Row],[T/G điều chỉnh]])</f>
        <v>50131</v>
      </c>
      <c r="AA91" s="175">
        <f>Data_Dep.12[[#This Row],[T/G điều chỉnh]]-Data_Dep.12[[#This Row],[Số kỳ đã khấu hao]]</f>
        <v>135</v>
      </c>
      <c r="AB91" s="175">
        <f>IFERROR(-Data_Dep.12[[#This Row],[Giá trị còn lại 31/12/25]]/(Data_Dep.12[[#This Row],[T/G điều chỉnh]]-Data_Dep.12[[#This Row],[Số kỳ đã khấu hao]]),0)</f>
        <v>-655555.5555555555</v>
      </c>
      <c r="AC91" s="181">
        <v>-655555.5555555555</v>
      </c>
      <c r="AD91" s="181">
        <v>-655555.5555555555</v>
      </c>
      <c r="AE91" s="181">
        <v>-655555.5555555555</v>
      </c>
      <c r="AF91" s="181">
        <v>-655555.5555555555</v>
      </c>
      <c r="AG91" s="181">
        <v>-655555.5555555555</v>
      </c>
      <c r="AH91" s="181">
        <v>-655555.5555555555</v>
      </c>
      <c r="AI91" s="181">
        <v>-655555.5555555555</v>
      </c>
      <c r="AJ91" s="181">
        <v>-655555.5555555555</v>
      </c>
      <c r="AK91" s="181">
        <v>-655555.5555555555</v>
      </c>
      <c r="AL91" s="181">
        <v>-655555.5555555555</v>
      </c>
      <c r="AM91" s="181">
        <v>-655555.5555555555</v>
      </c>
      <c r="AN91" s="181">
        <v>-655555.5555555555</v>
      </c>
      <c r="AO91" s="175">
        <f>SUM(Data_Dep.12[[#This Row],[KH_2601]:[KH_2612]])</f>
        <v>-7866666.6666666679</v>
      </c>
      <c r="AP91" s="175">
        <f>Data_Dep.12[[#This Row],[Giá trị còn lại 31/12/25]]+Data_Dep.12[[#This Row],[KH LK 2026]]</f>
        <v>80633333.333333328</v>
      </c>
    </row>
    <row r="92" spans="1:42" x14ac:dyDescent="0.3">
      <c r="A92" s="169"/>
      <c r="B92" s="169"/>
      <c r="C92" s="170" t="s">
        <v>337</v>
      </c>
      <c r="D92" s="169" t="str">
        <f>_xlfn.XLOOKUP(Data_Dep.12[[#This Row],[Nhóm tài sản]],MD_Account_Asset_Type[Nhóm tài sản],MD_Account_Asset_Type[Tên Nhóm tài sản])</f>
        <v>Máy móc, thiết bị phụ - SX 627</v>
      </c>
      <c r="E92" s="171" t="s">
        <v>1021</v>
      </c>
      <c r="F92" s="170" t="s">
        <v>584</v>
      </c>
      <c r="G92" s="169" t="s">
        <v>830</v>
      </c>
      <c r="H92" s="170" t="s">
        <v>46</v>
      </c>
      <c r="I92" s="170" t="str">
        <f>_xlfn.XLOOKUP(Data_Dep.12[[#This Row],[Cost center]],MD_Cost_Center[Mã Cost Center],MD_Cost_Center[Tên Cost Center])</f>
        <v>Kiểm soát chất lượng</v>
      </c>
      <c r="J92" s="172">
        <f>_xlfn.XLOOKUP(Data_Dep.12[[#This Row],[Cost center]],MD_Cost_Center[Mã Cost Center],MD_Cost_Center[Work center],"Check")</f>
        <v>0</v>
      </c>
      <c r="K92" s="169" t="str">
        <f>_xlfn.XLOOKUP(Data_Dep.12[[#This Row],[Nhóm tài sản]],MD_Account_Asset_Type[Nhóm tài sản],MD_Account_Asset_Type[Tài khoản KH],"Check")</f>
        <v>6274001906</v>
      </c>
      <c r="L92" s="173">
        <v>45689</v>
      </c>
      <c r="M92" s="174">
        <f>EDATE(Data_Dep.12[[#This Row],[Ngày bắt đầu KH]],Data_Dep.12[[#This Row],[T/G Khấu hao]])</f>
        <v>46569</v>
      </c>
      <c r="N92" s="175">
        <v>29</v>
      </c>
      <c r="O92" s="175">
        <v>98100000</v>
      </c>
      <c r="P92" s="176">
        <v>-21270139</v>
      </c>
      <c r="Q92" s="175">
        <f>Data_Dep.12[[#This Row],[Nguyên giá]]+Data_Dep.12[[#This Row],[KH lũy kế]]</f>
        <v>76829861</v>
      </c>
      <c r="R92" s="177">
        <v>-2725000</v>
      </c>
      <c r="S92" s="177">
        <v>-2725000</v>
      </c>
      <c r="T92" s="177">
        <v>-2725000</v>
      </c>
      <c r="U92" s="177">
        <f>SUM(Data_Dep.12[[#This Row],[KH_2510]:[KH_2512]])</f>
        <v>-8175000</v>
      </c>
      <c r="V92" s="175">
        <f>Data_Dep.12[[#This Row],[Nguyên giá]]+Data_Dep.12[[#This Row],[KH lũy kế]]+Data_Dep.12[[#This Row],[KH_Q4.25]]</f>
        <v>68654861</v>
      </c>
      <c r="W92" s="178">
        <f>ROUND(Data_Dep.12[[#This Row],[T/G Khấu hao]]-Data_Dep.12[[#This Row],[Giá trị còn lại 31/12/25]]/Data_Dep.12[[#This Row],[Nguyên giá]]*Data_Dep.12[[#This Row],[T/G Khấu hao]],0)</f>
        <v>9</v>
      </c>
      <c r="X92" s="179">
        <v>115</v>
      </c>
      <c r="Y92" s="175">
        <f>Data_Dep.12[[#This Row],[T/G Khấu hao]]+Data_Dep.12[[#This Row],[Điều chỉnh]]</f>
        <v>144</v>
      </c>
      <c r="Z92" s="180">
        <f>EDATE(Data_Dep.12[[#This Row],[Ngày bắt đầu KH]],Data_Dep.12[[#This Row],[T/G điều chỉnh]])</f>
        <v>50072</v>
      </c>
      <c r="AA92" s="175">
        <f>Data_Dep.12[[#This Row],[T/G điều chỉnh]]-Data_Dep.12[[#This Row],[Số kỳ đã khấu hao]]</f>
        <v>135</v>
      </c>
      <c r="AB92" s="175">
        <f>IFERROR(-Data_Dep.12[[#This Row],[Giá trị còn lại 31/12/25]]/(Data_Dep.12[[#This Row],[T/G điều chỉnh]]-Data_Dep.12[[#This Row],[Số kỳ đã khấu hao]]),0)</f>
        <v>-508554.52592592593</v>
      </c>
      <c r="AC92" s="181">
        <v>-508554.52592592593</v>
      </c>
      <c r="AD92" s="181">
        <v>-508554.52592592593</v>
      </c>
      <c r="AE92" s="181">
        <v>-508554.52592592593</v>
      </c>
      <c r="AF92" s="181">
        <v>-508554.52592592593</v>
      </c>
      <c r="AG92" s="181">
        <v>-508554.52592592593</v>
      </c>
      <c r="AH92" s="181">
        <v>-508554.52592592593</v>
      </c>
      <c r="AI92" s="181">
        <v>-508554.52592592593</v>
      </c>
      <c r="AJ92" s="181">
        <v>-508554.52592592593</v>
      </c>
      <c r="AK92" s="181">
        <v>-508554.52592592593</v>
      </c>
      <c r="AL92" s="181">
        <v>-508554.52592592593</v>
      </c>
      <c r="AM92" s="181">
        <v>-508554.52592592593</v>
      </c>
      <c r="AN92" s="181">
        <v>-508554.52592592593</v>
      </c>
      <c r="AO92" s="175">
        <f>SUM(Data_Dep.12[[#This Row],[KH_2601]:[KH_2612]])</f>
        <v>-6102654.3111111112</v>
      </c>
      <c r="AP92" s="175">
        <f>Data_Dep.12[[#This Row],[Giá trị còn lại 31/12/25]]+Data_Dep.12[[#This Row],[KH LK 2026]]</f>
        <v>62552206.688888893</v>
      </c>
    </row>
    <row r="93" spans="1:42" x14ac:dyDescent="0.3">
      <c r="A93" s="169"/>
      <c r="B93" s="169"/>
      <c r="C93" s="170" t="s">
        <v>337</v>
      </c>
      <c r="D93" s="169" t="str">
        <f>_xlfn.XLOOKUP(Data_Dep.12[[#This Row],[Nhóm tài sản]],MD_Account_Asset_Type[Nhóm tài sản],MD_Account_Asset_Type[Tên Nhóm tài sản])</f>
        <v>Máy móc, thiết bị phụ - SX 627</v>
      </c>
      <c r="E93" s="171" t="s">
        <v>1022</v>
      </c>
      <c r="F93" s="170" t="s">
        <v>585</v>
      </c>
      <c r="G93" s="169" t="s">
        <v>830</v>
      </c>
      <c r="H93" s="170" t="s">
        <v>48</v>
      </c>
      <c r="I93" s="170" t="str">
        <f>_xlfn.XLOOKUP(Data_Dep.12[[#This Row],[Cost center]],MD_Cost_Center[Mã Cost Center],MD_Cost_Center[Tên Cost Center])</f>
        <v>Xưởng sản xuất PET</v>
      </c>
      <c r="J93" s="172">
        <f>_xlfn.XLOOKUP(Data_Dep.12[[#This Row],[Cost center]],MD_Cost_Center[Mã Cost Center],MD_Cost_Center[Work center],"Check")</f>
        <v>0</v>
      </c>
      <c r="K93" s="169" t="str">
        <f>_xlfn.XLOOKUP(Data_Dep.12[[#This Row],[Nhóm tài sản]],MD_Account_Asset_Type[Nhóm tài sản],MD_Account_Asset_Type[Tài khoản KH],"Check")</f>
        <v>6274001906</v>
      </c>
      <c r="L93" s="173">
        <v>45689</v>
      </c>
      <c r="M93" s="174">
        <f>EDATE(Data_Dep.12[[#This Row],[Ngày bắt đầu KH]],Data_Dep.12[[#This Row],[T/G Khấu hao]])</f>
        <v>46569</v>
      </c>
      <c r="N93" s="175">
        <v>29</v>
      </c>
      <c r="O93" s="175">
        <v>350000000</v>
      </c>
      <c r="P93" s="176">
        <v>-75887346</v>
      </c>
      <c r="Q93" s="175">
        <f>Data_Dep.12[[#This Row],[Nguyên giá]]+Data_Dep.12[[#This Row],[KH lũy kế]]</f>
        <v>274112654</v>
      </c>
      <c r="R93" s="177">
        <v>-9722222</v>
      </c>
      <c r="S93" s="177">
        <v>-9722222</v>
      </c>
      <c r="T93" s="177">
        <v>-9722223</v>
      </c>
      <c r="U93" s="177">
        <f>SUM(Data_Dep.12[[#This Row],[KH_2510]:[KH_2512]])</f>
        <v>-29166667</v>
      </c>
      <c r="V93" s="175">
        <f>Data_Dep.12[[#This Row],[Nguyên giá]]+Data_Dep.12[[#This Row],[KH lũy kế]]+Data_Dep.12[[#This Row],[KH_Q4.25]]</f>
        <v>244945987</v>
      </c>
      <c r="W93" s="178">
        <f>ROUND(Data_Dep.12[[#This Row],[T/G Khấu hao]]-Data_Dep.12[[#This Row],[Giá trị còn lại 31/12/25]]/Data_Dep.12[[#This Row],[Nguyên giá]]*Data_Dep.12[[#This Row],[T/G Khấu hao]],0)</f>
        <v>9</v>
      </c>
      <c r="X93" s="179">
        <v>115</v>
      </c>
      <c r="Y93" s="175">
        <f>Data_Dep.12[[#This Row],[T/G Khấu hao]]+Data_Dep.12[[#This Row],[Điều chỉnh]]</f>
        <v>144</v>
      </c>
      <c r="Z93" s="180">
        <f>EDATE(Data_Dep.12[[#This Row],[Ngày bắt đầu KH]],Data_Dep.12[[#This Row],[T/G điều chỉnh]])</f>
        <v>50072</v>
      </c>
      <c r="AA93" s="175">
        <f>Data_Dep.12[[#This Row],[T/G điều chỉnh]]-Data_Dep.12[[#This Row],[Số kỳ đã khấu hao]]</f>
        <v>135</v>
      </c>
      <c r="AB93" s="175">
        <f>IFERROR(-Data_Dep.12[[#This Row],[Giá trị còn lại 31/12/25]]/(Data_Dep.12[[#This Row],[T/G điều chỉnh]]-Data_Dep.12[[#This Row],[Số kỳ đã khấu hao]]),0)</f>
        <v>-1814414.7185185186</v>
      </c>
      <c r="AC93" s="181">
        <v>-1814414.7185185186</v>
      </c>
      <c r="AD93" s="181">
        <v>-1814414.7185185186</v>
      </c>
      <c r="AE93" s="181">
        <v>-1814414.7185185186</v>
      </c>
      <c r="AF93" s="181">
        <v>-1814414.7185185186</v>
      </c>
      <c r="AG93" s="181">
        <v>-1814414.7185185186</v>
      </c>
      <c r="AH93" s="181">
        <v>-1814414.7185185186</v>
      </c>
      <c r="AI93" s="181">
        <v>-1814414.7185185186</v>
      </c>
      <c r="AJ93" s="181">
        <v>-1814414.7185185186</v>
      </c>
      <c r="AK93" s="181">
        <v>-1814414.7185185186</v>
      </c>
      <c r="AL93" s="181">
        <v>-1814414.7185185186</v>
      </c>
      <c r="AM93" s="181">
        <v>-1814414.7185185186</v>
      </c>
      <c r="AN93" s="181">
        <v>-1814414.7185185186</v>
      </c>
      <c r="AO93" s="175">
        <f>SUM(Data_Dep.12[[#This Row],[KH_2601]:[KH_2612]])</f>
        <v>-21772976.622222219</v>
      </c>
      <c r="AP93" s="175">
        <f>Data_Dep.12[[#This Row],[Giá trị còn lại 31/12/25]]+Data_Dep.12[[#This Row],[KH LK 2026]]</f>
        <v>223173010.37777779</v>
      </c>
    </row>
    <row r="94" spans="1:42" x14ac:dyDescent="0.3">
      <c r="A94" s="169"/>
      <c r="B94" s="169"/>
      <c r="C94" s="170" t="s">
        <v>337</v>
      </c>
      <c r="D94" s="169" t="str">
        <f>_xlfn.XLOOKUP(Data_Dep.12[[#This Row],[Nhóm tài sản]],MD_Account_Asset_Type[Nhóm tài sản],MD_Account_Asset_Type[Tên Nhóm tài sản])</f>
        <v>Máy móc, thiết bị phụ - SX 627</v>
      </c>
      <c r="E94" s="171" t="s">
        <v>1023</v>
      </c>
      <c r="F94" s="170" t="s">
        <v>586</v>
      </c>
      <c r="G94" s="169" t="s">
        <v>830</v>
      </c>
      <c r="H94" s="170" t="s">
        <v>51</v>
      </c>
      <c r="I94" s="170" t="str">
        <f>_xlfn.XLOOKUP(Data_Dep.12[[#This Row],[Cost center]],MD_Cost_Center[Mã Cost Center],MD_Cost_Center[Tên Cost Center])</f>
        <v>Chuyền máy tạo vảy PET CW+Tomra</v>
      </c>
      <c r="J94" s="172" t="str">
        <f>_xlfn.XLOOKUP(Data_Dep.12[[#This Row],[Cost center]],MD_Cost_Center[Mã Cost Center],MD_Cost_Center[Work center],"Check")</f>
        <v>CHWO-R01</v>
      </c>
      <c r="K94" s="169" t="str">
        <f>_xlfn.XLOOKUP(Data_Dep.12[[#This Row],[Nhóm tài sản]],MD_Account_Asset_Type[Nhóm tài sản],MD_Account_Asset_Type[Tài khoản KH],"Check")</f>
        <v>6274001906</v>
      </c>
      <c r="L94" s="173">
        <v>45717</v>
      </c>
      <c r="M94" s="174">
        <f>EDATE(Data_Dep.12[[#This Row],[Ngày bắt đầu KH]],Data_Dep.12[[#This Row],[T/G Khấu hao]])</f>
        <v>47543</v>
      </c>
      <c r="N94" s="175">
        <v>60</v>
      </c>
      <c r="O94" s="175">
        <v>1590298692</v>
      </c>
      <c r="P94" s="176">
        <v>-185534847</v>
      </c>
      <c r="Q94" s="175">
        <f>Data_Dep.12[[#This Row],[Nguyên giá]]+Data_Dep.12[[#This Row],[KH lũy kế]]</f>
        <v>1404763845</v>
      </c>
      <c r="R94" s="177">
        <v>-26504979</v>
      </c>
      <c r="S94" s="177">
        <v>-26504978</v>
      </c>
      <c r="T94" s="177">
        <v>-26504978</v>
      </c>
      <c r="U94" s="177">
        <f>SUM(Data_Dep.12[[#This Row],[KH_2510]:[KH_2512]])</f>
        <v>-79514935</v>
      </c>
      <c r="V94" s="175">
        <f>Data_Dep.12[[#This Row],[Nguyên giá]]+Data_Dep.12[[#This Row],[KH lũy kế]]+Data_Dep.12[[#This Row],[KH_Q4.25]]</f>
        <v>1325248910</v>
      </c>
      <c r="W94" s="178">
        <f>ROUND(Data_Dep.12[[#This Row],[T/G Khấu hao]]-Data_Dep.12[[#This Row],[Giá trị còn lại 31/12/25]]/Data_Dep.12[[#This Row],[Nguyên giá]]*Data_Dep.12[[#This Row],[T/G Khấu hao]],0)</f>
        <v>10</v>
      </c>
      <c r="X94" s="179">
        <v>84</v>
      </c>
      <c r="Y94" s="175">
        <f>Data_Dep.12[[#This Row],[T/G Khấu hao]]+Data_Dep.12[[#This Row],[Điều chỉnh]]</f>
        <v>144</v>
      </c>
      <c r="Z94" s="180">
        <f>EDATE(Data_Dep.12[[#This Row],[Ngày bắt đầu KH]],Data_Dep.12[[#This Row],[T/G điều chỉnh]])</f>
        <v>50100</v>
      </c>
      <c r="AA94" s="175">
        <f>Data_Dep.12[[#This Row],[T/G điều chỉnh]]-Data_Dep.12[[#This Row],[Số kỳ đã khấu hao]]</f>
        <v>134</v>
      </c>
      <c r="AB94" s="175">
        <f>IFERROR(-Data_Dep.12[[#This Row],[Giá trị còn lại 31/12/25]]/(Data_Dep.12[[#This Row],[T/G điều chỉnh]]-Data_Dep.12[[#This Row],[Số kỳ đã khấu hao]]),0)</f>
        <v>-9889917.2388059702</v>
      </c>
      <c r="AC94" s="181">
        <v>-9889917.2388059702</v>
      </c>
      <c r="AD94" s="181">
        <v>-9889917.2388059702</v>
      </c>
      <c r="AE94" s="181">
        <v>-9889917.2388059702</v>
      </c>
      <c r="AF94" s="181">
        <v>-9889917.2388059702</v>
      </c>
      <c r="AG94" s="181">
        <v>-9889917.2388059702</v>
      </c>
      <c r="AH94" s="181">
        <v>-9889917.2388059702</v>
      </c>
      <c r="AI94" s="181">
        <v>-9889917.2388059702</v>
      </c>
      <c r="AJ94" s="181">
        <v>-9889917.2388059702</v>
      </c>
      <c r="AK94" s="181">
        <v>-9889917.2388059702</v>
      </c>
      <c r="AL94" s="181">
        <v>-9889917.2388059702</v>
      </c>
      <c r="AM94" s="181">
        <v>-9889917.2388059702</v>
      </c>
      <c r="AN94" s="181">
        <v>-9889917.2388059702</v>
      </c>
      <c r="AO94" s="175">
        <f>SUM(Data_Dep.12[[#This Row],[KH_2601]:[KH_2612]])</f>
        <v>-118679006.86567162</v>
      </c>
      <c r="AP94" s="175">
        <f>Data_Dep.12[[#This Row],[Giá trị còn lại 31/12/25]]+Data_Dep.12[[#This Row],[KH LK 2026]]</f>
        <v>1206569903.1343284</v>
      </c>
    </row>
    <row r="95" spans="1:42" x14ac:dyDescent="0.3">
      <c r="A95" s="169"/>
      <c r="B95" s="169"/>
      <c r="C95" s="170" t="s">
        <v>337</v>
      </c>
      <c r="D95" s="169" t="str">
        <f>_xlfn.XLOOKUP(Data_Dep.12[[#This Row],[Nhóm tài sản]],MD_Account_Asset_Type[Nhóm tài sản],MD_Account_Asset_Type[Tên Nhóm tài sản])</f>
        <v>Máy móc, thiết bị phụ - SX 627</v>
      </c>
      <c r="E95" s="171" t="s">
        <v>1024</v>
      </c>
      <c r="F95" s="170" t="s">
        <v>587</v>
      </c>
      <c r="G95" s="169" t="s">
        <v>830</v>
      </c>
      <c r="H95" s="170" t="s">
        <v>71</v>
      </c>
      <c r="I95" s="170" t="str">
        <f>_xlfn.XLOOKUP(Data_Dep.12[[#This Row],[Cost center]],MD_Cost_Center[Mã Cost Center],MD_Cost_Center[Tên Cost Center])</f>
        <v>Chuyền rửa vảy PET số 3 ( Boretech)</v>
      </c>
      <c r="J95" s="172" t="str">
        <f>_xlfn.XLOOKUP(Data_Dep.12[[#This Row],[Cost center]],MD_Cost_Center[Mã Cost Center],MD_Cost_Center[Work center],"Check")</f>
        <v>BORE-R01</v>
      </c>
      <c r="K95" s="169" t="str">
        <f>_xlfn.XLOOKUP(Data_Dep.12[[#This Row],[Nhóm tài sản]],MD_Account_Asset_Type[Nhóm tài sản],MD_Account_Asset_Type[Tài khoản KH],"Check")</f>
        <v>6274001906</v>
      </c>
      <c r="L95" s="173">
        <v>45717</v>
      </c>
      <c r="M95" s="174">
        <f>EDATE(Data_Dep.12[[#This Row],[Ngày bắt đầu KH]],Data_Dep.12[[#This Row],[T/G Khấu hao]])</f>
        <v>46813</v>
      </c>
      <c r="N95" s="175">
        <v>36</v>
      </c>
      <c r="O95" s="175">
        <v>504861258</v>
      </c>
      <c r="P95" s="176">
        <v>-98167467</v>
      </c>
      <c r="Q95" s="175">
        <f>Data_Dep.12[[#This Row],[Nguyên giá]]+Data_Dep.12[[#This Row],[KH lũy kế]]</f>
        <v>406693791</v>
      </c>
      <c r="R95" s="177">
        <v>-14023924</v>
      </c>
      <c r="S95" s="177">
        <v>-14023924</v>
      </c>
      <c r="T95" s="177">
        <v>-14023923</v>
      </c>
      <c r="U95" s="177">
        <f>SUM(Data_Dep.12[[#This Row],[KH_2510]:[KH_2512]])</f>
        <v>-42071771</v>
      </c>
      <c r="V95" s="175">
        <f>Data_Dep.12[[#This Row],[Nguyên giá]]+Data_Dep.12[[#This Row],[KH lũy kế]]+Data_Dep.12[[#This Row],[KH_Q4.25]]</f>
        <v>364622020</v>
      </c>
      <c r="W95" s="178">
        <f>ROUND(Data_Dep.12[[#This Row],[T/G Khấu hao]]-Data_Dep.12[[#This Row],[Giá trị còn lại 31/12/25]]/Data_Dep.12[[#This Row],[Nguyên giá]]*Data_Dep.12[[#This Row],[T/G Khấu hao]],0)</f>
        <v>10</v>
      </c>
      <c r="X95" s="179">
        <v>108</v>
      </c>
      <c r="Y95" s="175">
        <f>Data_Dep.12[[#This Row],[T/G Khấu hao]]+Data_Dep.12[[#This Row],[Điều chỉnh]]</f>
        <v>144</v>
      </c>
      <c r="Z95" s="180">
        <f>EDATE(Data_Dep.12[[#This Row],[Ngày bắt đầu KH]],Data_Dep.12[[#This Row],[T/G điều chỉnh]])</f>
        <v>50100</v>
      </c>
      <c r="AA95" s="175">
        <f>Data_Dep.12[[#This Row],[T/G điều chỉnh]]-Data_Dep.12[[#This Row],[Số kỳ đã khấu hao]]</f>
        <v>134</v>
      </c>
      <c r="AB95" s="175">
        <f>IFERROR(-Data_Dep.12[[#This Row],[Giá trị còn lại 31/12/25]]/(Data_Dep.12[[#This Row],[T/G điều chỉnh]]-Data_Dep.12[[#This Row],[Số kỳ đã khấu hao]]),0)</f>
        <v>-2721059.8507462689</v>
      </c>
      <c r="AC95" s="181">
        <v>-2721059.8507462689</v>
      </c>
      <c r="AD95" s="181">
        <v>-2721059.8507462689</v>
      </c>
      <c r="AE95" s="181">
        <v>-2721059.8507462689</v>
      </c>
      <c r="AF95" s="181">
        <v>-2721059.8507462689</v>
      </c>
      <c r="AG95" s="181">
        <v>-2721059.8507462689</v>
      </c>
      <c r="AH95" s="181">
        <v>-2721059.8507462689</v>
      </c>
      <c r="AI95" s="181">
        <v>-2721059.8507462689</v>
      </c>
      <c r="AJ95" s="181">
        <v>-2721059.8507462689</v>
      </c>
      <c r="AK95" s="181">
        <v>-2721059.8507462689</v>
      </c>
      <c r="AL95" s="181">
        <v>-2721059.8507462689</v>
      </c>
      <c r="AM95" s="181">
        <v>-2721059.8507462689</v>
      </c>
      <c r="AN95" s="181">
        <v>-2721059.8507462689</v>
      </c>
      <c r="AO95" s="175">
        <f>SUM(Data_Dep.12[[#This Row],[KH_2601]:[KH_2612]])</f>
        <v>-32652718.208955232</v>
      </c>
      <c r="AP95" s="175">
        <f>Data_Dep.12[[#This Row],[Giá trị còn lại 31/12/25]]+Data_Dep.12[[#This Row],[KH LK 2026]]</f>
        <v>331969301.79104477</v>
      </c>
    </row>
    <row r="96" spans="1:42" x14ac:dyDescent="0.3">
      <c r="A96" s="169"/>
      <c r="B96" s="169"/>
      <c r="C96" s="170" t="s">
        <v>337</v>
      </c>
      <c r="D96" s="169" t="str">
        <f>_xlfn.XLOOKUP(Data_Dep.12[[#This Row],[Nhóm tài sản]],MD_Account_Asset_Type[Nhóm tài sản],MD_Account_Asset_Type[Tên Nhóm tài sản])</f>
        <v>Máy móc, thiết bị phụ - SX 627</v>
      </c>
      <c r="E96" s="171" t="s">
        <v>1025</v>
      </c>
      <c r="F96" s="170" t="s">
        <v>588</v>
      </c>
      <c r="G96" s="169" t="s">
        <v>830</v>
      </c>
      <c r="H96" s="170" t="s">
        <v>71</v>
      </c>
      <c r="I96" s="170" t="str">
        <f>_xlfn.XLOOKUP(Data_Dep.12[[#This Row],[Cost center]],MD_Cost_Center[Mã Cost Center],MD_Cost_Center[Tên Cost Center])</f>
        <v>Chuyền rửa vảy PET số 3 ( Boretech)</v>
      </c>
      <c r="J96" s="172" t="str">
        <f>_xlfn.XLOOKUP(Data_Dep.12[[#This Row],[Cost center]],MD_Cost_Center[Mã Cost Center],MD_Cost_Center[Work center],"Check")</f>
        <v>BORE-R01</v>
      </c>
      <c r="K96" s="169" t="str">
        <f>_xlfn.XLOOKUP(Data_Dep.12[[#This Row],[Nhóm tài sản]],MD_Account_Asset_Type[Nhóm tài sản],MD_Account_Asset_Type[Tài khoản KH],"Check")</f>
        <v>6274001906</v>
      </c>
      <c r="L96" s="173">
        <v>45717</v>
      </c>
      <c r="M96" s="174">
        <f>EDATE(Data_Dep.12[[#This Row],[Ngày bắt đầu KH]],Data_Dep.12[[#This Row],[T/G Khấu hao]])</f>
        <v>46813</v>
      </c>
      <c r="N96" s="175">
        <v>36</v>
      </c>
      <c r="O96" s="175">
        <v>500738186</v>
      </c>
      <c r="P96" s="176">
        <v>-97365758</v>
      </c>
      <c r="Q96" s="175">
        <f>Data_Dep.12[[#This Row],[Nguyên giá]]+Data_Dep.12[[#This Row],[KH lũy kế]]</f>
        <v>403372428</v>
      </c>
      <c r="R96" s="177">
        <v>-13909394</v>
      </c>
      <c r="S96" s="177">
        <v>-13909395</v>
      </c>
      <c r="T96" s="177">
        <v>-13909394</v>
      </c>
      <c r="U96" s="177">
        <f>SUM(Data_Dep.12[[#This Row],[KH_2510]:[KH_2512]])</f>
        <v>-41728183</v>
      </c>
      <c r="V96" s="175">
        <f>Data_Dep.12[[#This Row],[Nguyên giá]]+Data_Dep.12[[#This Row],[KH lũy kế]]+Data_Dep.12[[#This Row],[KH_Q4.25]]</f>
        <v>361644245</v>
      </c>
      <c r="W96" s="178">
        <f>ROUND(Data_Dep.12[[#This Row],[T/G Khấu hao]]-Data_Dep.12[[#This Row],[Giá trị còn lại 31/12/25]]/Data_Dep.12[[#This Row],[Nguyên giá]]*Data_Dep.12[[#This Row],[T/G Khấu hao]],0)</f>
        <v>10</v>
      </c>
      <c r="X96" s="179">
        <v>108</v>
      </c>
      <c r="Y96" s="175">
        <f>Data_Dep.12[[#This Row],[T/G Khấu hao]]+Data_Dep.12[[#This Row],[Điều chỉnh]]</f>
        <v>144</v>
      </c>
      <c r="Z96" s="180">
        <f>EDATE(Data_Dep.12[[#This Row],[Ngày bắt đầu KH]],Data_Dep.12[[#This Row],[T/G điều chỉnh]])</f>
        <v>50100</v>
      </c>
      <c r="AA96" s="175">
        <f>Data_Dep.12[[#This Row],[T/G điều chỉnh]]-Data_Dep.12[[#This Row],[Số kỳ đã khấu hao]]</f>
        <v>134</v>
      </c>
      <c r="AB96" s="175">
        <f>IFERROR(-Data_Dep.12[[#This Row],[Giá trị còn lại 31/12/25]]/(Data_Dep.12[[#This Row],[T/G điều chỉnh]]-Data_Dep.12[[#This Row],[Số kỳ đã khấu hao]]),0)</f>
        <v>-2698837.6492537311</v>
      </c>
      <c r="AC96" s="181">
        <v>-2698837.6492537311</v>
      </c>
      <c r="AD96" s="181">
        <v>-2698837.6492537311</v>
      </c>
      <c r="AE96" s="181">
        <v>-2698837.6492537311</v>
      </c>
      <c r="AF96" s="181">
        <v>-2698837.6492537311</v>
      </c>
      <c r="AG96" s="181">
        <v>-2698837.6492537311</v>
      </c>
      <c r="AH96" s="181">
        <v>-2698837.6492537311</v>
      </c>
      <c r="AI96" s="181">
        <v>-2698837.6492537311</v>
      </c>
      <c r="AJ96" s="181">
        <v>-2698837.6492537311</v>
      </c>
      <c r="AK96" s="181">
        <v>-2698837.6492537311</v>
      </c>
      <c r="AL96" s="181">
        <v>-2698837.6492537311</v>
      </c>
      <c r="AM96" s="181">
        <v>-2698837.6492537311</v>
      </c>
      <c r="AN96" s="181">
        <v>-2698837.6492537311</v>
      </c>
      <c r="AO96" s="175">
        <f>SUM(Data_Dep.12[[#This Row],[KH_2601]:[KH_2612]])</f>
        <v>-32386051.791044768</v>
      </c>
      <c r="AP96" s="175">
        <f>Data_Dep.12[[#This Row],[Giá trị còn lại 31/12/25]]+Data_Dep.12[[#This Row],[KH LK 2026]]</f>
        <v>329258193.20895523</v>
      </c>
    </row>
    <row r="97" spans="1:42" x14ac:dyDescent="0.3">
      <c r="A97" s="169"/>
      <c r="B97" s="169"/>
      <c r="C97" s="170" t="s">
        <v>337</v>
      </c>
      <c r="D97" s="169" t="str">
        <f>_xlfn.XLOOKUP(Data_Dep.12[[#This Row],[Nhóm tài sản]],MD_Account_Asset_Type[Nhóm tài sản],MD_Account_Asset_Type[Tên Nhóm tài sản])</f>
        <v>Máy móc, thiết bị phụ - SX 627</v>
      </c>
      <c r="E97" s="171" t="s">
        <v>1026</v>
      </c>
      <c r="F97" s="170" t="s">
        <v>589</v>
      </c>
      <c r="G97" s="169" t="s">
        <v>830</v>
      </c>
      <c r="H97" s="170" t="s">
        <v>61</v>
      </c>
      <c r="I97" s="170" t="str">
        <f>_xlfn.XLOOKUP(Data_Dep.12[[#This Row],[Cost center]],MD_Cost_Center[Mã Cost Center],MD_Cost_Center[Tên Cost Center])</f>
        <v>Chuyền băm chai PET</v>
      </c>
      <c r="J97" s="172" t="str">
        <f>_xlfn.XLOOKUP(Data_Dep.12[[#This Row],[Cost center]],MD_Cost_Center[Mã Cost Center],MD_Cost_Center[Work center],"Check")</f>
        <v>CHWO-B01</v>
      </c>
      <c r="K97" s="169" t="str">
        <f>_xlfn.XLOOKUP(Data_Dep.12[[#This Row],[Nhóm tài sản]],MD_Account_Asset_Type[Nhóm tài sản],MD_Account_Asset_Type[Tài khoản KH],"Check")</f>
        <v>6274001906</v>
      </c>
      <c r="L97" s="173">
        <v>45717</v>
      </c>
      <c r="M97" s="174">
        <f>EDATE(Data_Dep.12[[#This Row],[Ngày bắt đầu KH]],Data_Dep.12[[#This Row],[T/G Khấu hao]])</f>
        <v>46813</v>
      </c>
      <c r="N97" s="175">
        <v>36</v>
      </c>
      <c r="O97" s="175">
        <v>465893129</v>
      </c>
      <c r="P97" s="176">
        <v>-90590331</v>
      </c>
      <c r="Q97" s="175">
        <f>Data_Dep.12[[#This Row],[Nguyên giá]]+Data_Dep.12[[#This Row],[KH lũy kế]]</f>
        <v>375302798</v>
      </c>
      <c r="R97" s="177">
        <v>-12941475</v>
      </c>
      <c r="S97" s="177">
        <v>-12941476</v>
      </c>
      <c r="T97" s="177">
        <v>-12941476</v>
      </c>
      <c r="U97" s="177">
        <f>SUM(Data_Dep.12[[#This Row],[KH_2510]:[KH_2512]])</f>
        <v>-38824427</v>
      </c>
      <c r="V97" s="175">
        <f>Data_Dep.12[[#This Row],[Nguyên giá]]+Data_Dep.12[[#This Row],[KH lũy kế]]+Data_Dep.12[[#This Row],[KH_Q4.25]]</f>
        <v>336478371</v>
      </c>
      <c r="W97" s="178">
        <f>ROUND(Data_Dep.12[[#This Row],[T/G Khấu hao]]-Data_Dep.12[[#This Row],[Giá trị còn lại 31/12/25]]/Data_Dep.12[[#This Row],[Nguyên giá]]*Data_Dep.12[[#This Row],[T/G Khấu hao]],0)</f>
        <v>10</v>
      </c>
      <c r="X97" s="179">
        <v>108</v>
      </c>
      <c r="Y97" s="175">
        <f>Data_Dep.12[[#This Row],[T/G Khấu hao]]+Data_Dep.12[[#This Row],[Điều chỉnh]]</f>
        <v>144</v>
      </c>
      <c r="Z97" s="180">
        <f>EDATE(Data_Dep.12[[#This Row],[Ngày bắt đầu KH]],Data_Dep.12[[#This Row],[T/G điều chỉnh]])</f>
        <v>50100</v>
      </c>
      <c r="AA97" s="175">
        <f>Data_Dep.12[[#This Row],[T/G điều chỉnh]]-Data_Dep.12[[#This Row],[Số kỳ đã khấu hao]]</f>
        <v>134</v>
      </c>
      <c r="AB97" s="175">
        <f>IFERROR(-Data_Dep.12[[#This Row],[Giá trị còn lại 31/12/25]]/(Data_Dep.12[[#This Row],[T/G điều chỉnh]]-Data_Dep.12[[#This Row],[Số kỳ đã khấu hao]]),0)</f>
        <v>-2511032.6194029851</v>
      </c>
      <c r="AC97" s="181">
        <v>-2511032.6194029851</v>
      </c>
      <c r="AD97" s="181">
        <v>-2511032.6194029851</v>
      </c>
      <c r="AE97" s="181">
        <v>-2511032.6194029851</v>
      </c>
      <c r="AF97" s="181">
        <v>-2511032.6194029851</v>
      </c>
      <c r="AG97" s="181">
        <v>-2511032.6194029851</v>
      </c>
      <c r="AH97" s="181">
        <v>-2511032.6194029851</v>
      </c>
      <c r="AI97" s="181">
        <v>-2511032.6194029851</v>
      </c>
      <c r="AJ97" s="181">
        <v>-2511032.6194029851</v>
      </c>
      <c r="AK97" s="181">
        <v>-2511032.6194029851</v>
      </c>
      <c r="AL97" s="181">
        <v>-2511032.6194029851</v>
      </c>
      <c r="AM97" s="181">
        <v>-2511032.6194029851</v>
      </c>
      <c r="AN97" s="181">
        <v>-2511032.6194029851</v>
      </c>
      <c r="AO97" s="175">
        <f>SUM(Data_Dep.12[[#This Row],[KH_2601]:[KH_2612]])</f>
        <v>-30132391.432835829</v>
      </c>
      <c r="AP97" s="175">
        <f>Data_Dep.12[[#This Row],[Giá trị còn lại 31/12/25]]+Data_Dep.12[[#This Row],[KH LK 2026]]</f>
        <v>306345979.56716418</v>
      </c>
    </row>
    <row r="98" spans="1:42" x14ac:dyDescent="0.3">
      <c r="A98" s="169"/>
      <c r="B98" s="169"/>
      <c r="C98" s="170" t="s">
        <v>337</v>
      </c>
      <c r="D98" s="169" t="str">
        <f>_xlfn.XLOOKUP(Data_Dep.12[[#This Row],[Nhóm tài sản]],MD_Account_Asset_Type[Nhóm tài sản],MD_Account_Asset_Type[Tên Nhóm tài sản])</f>
        <v>Máy móc, thiết bị phụ - SX 627</v>
      </c>
      <c r="E98" s="171" t="s">
        <v>1027</v>
      </c>
      <c r="F98" s="170" t="s">
        <v>590</v>
      </c>
      <c r="G98" s="169" t="s">
        <v>830</v>
      </c>
      <c r="H98" s="170" t="s">
        <v>65</v>
      </c>
      <c r="I98" s="170" t="str">
        <f>_xlfn.XLOOKUP(Data_Dep.12[[#This Row],[Cost center]],MD_Cost_Center[Mã Cost Center],MD_Cost_Center[Tên Cost Center])</f>
        <v>Chuyền băm chai PET số 2</v>
      </c>
      <c r="J98" s="172" t="str">
        <f>_xlfn.XLOOKUP(Data_Dep.12[[#This Row],[Cost center]],MD_Cost_Center[Mã Cost Center],MD_Cost_Center[Work center],"Check")</f>
        <v>CHWO-B02</v>
      </c>
      <c r="K98" s="169" t="str">
        <f>_xlfn.XLOOKUP(Data_Dep.12[[#This Row],[Nhóm tài sản]],MD_Account_Asset_Type[Nhóm tài sản],MD_Account_Asset_Type[Tài khoản KH],"Check")</f>
        <v>6274001906</v>
      </c>
      <c r="L98" s="173">
        <v>45717</v>
      </c>
      <c r="M98" s="174">
        <f>EDATE(Data_Dep.12[[#This Row],[Ngày bắt đầu KH]],Data_Dep.12[[#This Row],[T/G Khấu hao]])</f>
        <v>46813</v>
      </c>
      <c r="N98" s="175">
        <v>36</v>
      </c>
      <c r="O98" s="175">
        <v>449488186</v>
      </c>
      <c r="P98" s="176">
        <v>-87400481</v>
      </c>
      <c r="Q98" s="175">
        <f>Data_Dep.12[[#This Row],[Nguyên giá]]+Data_Dep.12[[#This Row],[KH lũy kế]]</f>
        <v>362087705</v>
      </c>
      <c r="R98" s="177">
        <v>-12485783</v>
      </c>
      <c r="S98" s="177">
        <v>-12485783</v>
      </c>
      <c r="T98" s="177">
        <v>-12485782</v>
      </c>
      <c r="U98" s="177">
        <f>SUM(Data_Dep.12[[#This Row],[KH_2510]:[KH_2512]])</f>
        <v>-37457348</v>
      </c>
      <c r="V98" s="175">
        <f>Data_Dep.12[[#This Row],[Nguyên giá]]+Data_Dep.12[[#This Row],[KH lũy kế]]+Data_Dep.12[[#This Row],[KH_Q4.25]]</f>
        <v>324630357</v>
      </c>
      <c r="W98" s="178">
        <f>ROUND(Data_Dep.12[[#This Row],[T/G Khấu hao]]-Data_Dep.12[[#This Row],[Giá trị còn lại 31/12/25]]/Data_Dep.12[[#This Row],[Nguyên giá]]*Data_Dep.12[[#This Row],[T/G Khấu hao]],0)</f>
        <v>10</v>
      </c>
      <c r="X98" s="179">
        <v>108</v>
      </c>
      <c r="Y98" s="175">
        <f>Data_Dep.12[[#This Row],[T/G Khấu hao]]+Data_Dep.12[[#This Row],[Điều chỉnh]]</f>
        <v>144</v>
      </c>
      <c r="Z98" s="180">
        <f>EDATE(Data_Dep.12[[#This Row],[Ngày bắt đầu KH]],Data_Dep.12[[#This Row],[T/G điều chỉnh]])</f>
        <v>50100</v>
      </c>
      <c r="AA98" s="175">
        <f>Data_Dep.12[[#This Row],[T/G điều chỉnh]]-Data_Dep.12[[#This Row],[Số kỳ đã khấu hao]]</f>
        <v>134</v>
      </c>
      <c r="AB98" s="175">
        <f>IFERROR(-Data_Dep.12[[#This Row],[Giá trị còn lại 31/12/25]]/(Data_Dep.12[[#This Row],[T/G điều chỉnh]]-Data_Dep.12[[#This Row],[Số kỳ đã khấu hao]]),0)</f>
        <v>-2422614.6044776118</v>
      </c>
      <c r="AC98" s="181">
        <v>-2422614.6044776118</v>
      </c>
      <c r="AD98" s="181">
        <v>-2422614.6044776118</v>
      </c>
      <c r="AE98" s="181">
        <v>-2422614.6044776118</v>
      </c>
      <c r="AF98" s="181">
        <v>-2422614.6044776118</v>
      </c>
      <c r="AG98" s="181">
        <v>-2422614.6044776118</v>
      </c>
      <c r="AH98" s="181">
        <v>-2422614.6044776118</v>
      </c>
      <c r="AI98" s="181">
        <v>-2422614.6044776118</v>
      </c>
      <c r="AJ98" s="181">
        <v>-2422614.6044776118</v>
      </c>
      <c r="AK98" s="181">
        <v>-2422614.6044776118</v>
      </c>
      <c r="AL98" s="181">
        <v>-2422614.6044776118</v>
      </c>
      <c r="AM98" s="181">
        <v>-2422614.6044776118</v>
      </c>
      <c r="AN98" s="181">
        <v>-2422614.6044776118</v>
      </c>
      <c r="AO98" s="175">
        <f>SUM(Data_Dep.12[[#This Row],[KH_2601]:[KH_2612]])</f>
        <v>-29071375.253731336</v>
      </c>
      <c r="AP98" s="175">
        <f>Data_Dep.12[[#This Row],[Giá trị còn lại 31/12/25]]+Data_Dep.12[[#This Row],[KH LK 2026]]</f>
        <v>295558981.74626869</v>
      </c>
    </row>
    <row r="99" spans="1:42" x14ac:dyDescent="0.3">
      <c r="A99" s="169"/>
      <c r="B99" s="169"/>
      <c r="C99" s="170" t="s">
        <v>337</v>
      </c>
      <c r="D99" s="169" t="str">
        <f>_xlfn.XLOOKUP(Data_Dep.12[[#This Row],[Nhóm tài sản]],MD_Account_Asset_Type[Nhóm tài sản],MD_Account_Asset_Type[Tên Nhóm tài sản])</f>
        <v>Máy móc, thiết bị phụ - SX 627</v>
      </c>
      <c r="E99" s="171" t="s">
        <v>1028</v>
      </c>
      <c r="F99" s="170" t="s">
        <v>591</v>
      </c>
      <c r="G99" s="169" t="s">
        <v>830</v>
      </c>
      <c r="H99" s="170" t="s">
        <v>100</v>
      </c>
      <c r="I99" s="170" t="str">
        <f>_xlfn.XLOOKUP(Data_Dep.12[[#This Row],[Cost center]],MD_Cost_Center[Mã Cost Center],MD_Cost_Center[Tên Cost Center])</f>
        <v>Chuyền Rửa Vảy PET BORE-R02</v>
      </c>
      <c r="J99" s="172" t="str">
        <f>_xlfn.XLOOKUP(Data_Dep.12[[#This Row],[Cost center]],MD_Cost_Center[Mã Cost Center],MD_Cost_Center[Work center],"Check")</f>
        <v>BORE-R02</v>
      </c>
      <c r="K99" s="169" t="str">
        <f>_xlfn.XLOOKUP(Data_Dep.12[[#This Row],[Nhóm tài sản]],MD_Account_Asset_Type[Nhóm tài sản],MD_Account_Asset_Type[Tài khoản KH],"Check")</f>
        <v>6274001906</v>
      </c>
      <c r="L99" s="173">
        <v>45717</v>
      </c>
      <c r="M99" s="174">
        <f>EDATE(Data_Dep.12[[#This Row],[Ngày bắt đầu KH]],Data_Dep.12[[#This Row],[T/G Khấu hao]])</f>
        <v>47543</v>
      </c>
      <c r="N99" s="175">
        <v>60</v>
      </c>
      <c r="O99" s="175">
        <v>1060199128</v>
      </c>
      <c r="P99" s="176">
        <v>-123689898</v>
      </c>
      <c r="Q99" s="175">
        <f>Data_Dep.12[[#This Row],[Nguyên giá]]+Data_Dep.12[[#This Row],[KH lũy kế]]</f>
        <v>936509230</v>
      </c>
      <c r="R99" s="177">
        <v>-17669986</v>
      </c>
      <c r="S99" s="177">
        <v>-17669985</v>
      </c>
      <c r="T99" s="177">
        <v>-17669986</v>
      </c>
      <c r="U99" s="177">
        <f>SUM(Data_Dep.12[[#This Row],[KH_2510]:[KH_2512]])</f>
        <v>-53009957</v>
      </c>
      <c r="V99" s="175">
        <f>Data_Dep.12[[#This Row],[Nguyên giá]]+Data_Dep.12[[#This Row],[KH lũy kế]]+Data_Dep.12[[#This Row],[KH_Q4.25]]</f>
        <v>883499273</v>
      </c>
      <c r="W99" s="178">
        <f>ROUND(Data_Dep.12[[#This Row],[T/G Khấu hao]]-Data_Dep.12[[#This Row],[Giá trị còn lại 31/12/25]]/Data_Dep.12[[#This Row],[Nguyên giá]]*Data_Dep.12[[#This Row],[T/G Khấu hao]],0)</f>
        <v>10</v>
      </c>
      <c r="X99" s="179">
        <v>84</v>
      </c>
      <c r="Y99" s="175">
        <f>Data_Dep.12[[#This Row],[T/G Khấu hao]]+Data_Dep.12[[#This Row],[Điều chỉnh]]</f>
        <v>144</v>
      </c>
      <c r="Z99" s="180">
        <f>EDATE(Data_Dep.12[[#This Row],[Ngày bắt đầu KH]],Data_Dep.12[[#This Row],[T/G điều chỉnh]])</f>
        <v>50100</v>
      </c>
      <c r="AA99" s="175">
        <f>Data_Dep.12[[#This Row],[T/G điều chỉnh]]-Data_Dep.12[[#This Row],[Số kỳ đã khấu hao]]</f>
        <v>134</v>
      </c>
      <c r="AB99" s="175">
        <f>IFERROR(-Data_Dep.12[[#This Row],[Giá trị còn lại 31/12/25]]/(Data_Dep.12[[#This Row],[T/G điều chỉnh]]-Data_Dep.12[[#This Row],[Số kỳ đã khấu hao]]),0)</f>
        <v>-6593278.1567164175</v>
      </c>
      <c r="AC99" s="181">
        <v>-6593278.1567164175</v>
      </c>
      <c r="AD99" s="181">
        <v>-6593278.1567164175</v>
      </c>
      <c r="AE99" s="181">
        <v>-6593278.1567164175</v>
      </c>
      <c r="AF99" s="181">
        <v>-6593278.1567164175</v>
      </c>
      <c r="AG99" s="181">
        <v>-6593278.1567164175</v>
      </c>
      <c r="AH99" s="181">
        <v>-6593278.1567164175</v>
      </c>
      <c r="AI99" s="181">
        <v>-6593278.1567164175</v>
      </c>
      <c r="AJ99" s="181">
        <v>-6593278.1567164175</v>
      </c>
      <c r="AK99" s="181">
        <v>-6593278.1567164175</v>
      </c>
      <c r="AL99" s="181">
        <v>-6593278.1567164175</v>
      </c>
      <c r="AM99" s="181">
        <v>-6593278.1567164175</v>
      </c>
      <c r="AN99" s="181">
        <v>-6593278.1567164175</v>
      </c>
      <c r="AO99" s="175">
        <f>SUM(Data_Dep.12[[#This Row],[KH_2601]:[KH_2612]])</f>
        <v>-79119337.880597025</v>
      </c>
      <c r="AP99" s="175">
        <f>Data_Dep.12[[#This Row],[Giá trị còn lại 31/12/25]]+Data_Dep.12[[#This Row],[KH LK 2026]]</f>
        <v>804379935.119403</v>
      </c>
    </row>
    <row r="100" spans="1:42" x14ac:dyDescent="0.3">
      <c r="A100" s="169"/>
      <c r="B100" s="169"/>
      <c r="C100" s="170" t="s">
        <v>337</v>
      </c>
      <c r="D100" s="169" t="str">
        <f>_xlfn.XLOOKUP(Data_Dep.12[[#This Row],[Nhóm tài sản]],MD_Account_Asset_Type[Nhóm tài sản],MD_Account_Asset_Type[Tên Nhóm tài sản])</f>
        <v>Máy móc, thiết bị phụ - SX 627</v>
      </c>
      <c r="E100" s="171" t="s">
        <v>1029</v>
      </c>
      <c r="F100" s="170" t="s">
        <v>592</v>
      </c>
      <c r="G100" s="169" t="s">
        <v>830</v>
      </c>
      <c r="H100" s="170" t="s">
        <v>70</v>
      </c>
      <c r="I100" s="170" t="str">
        <f>_xlfn.XLOOKUP(Data_Dep.12[[#This Row],[Cost center]],MD_Cost_Center[Mã Cost Center],MD_Cost_Center[Tên Cost Center])</f>
        <v>Chuyền băm chai PET số 3 (Boretech)</v>
      </c>
      <c r="J100" s="172" t="str">
        <f>_xlfn.XLOOKUP(Data_Dep.12[[#This Row],[Cost center]],MD_Cost_Center[Mã Cost Center],MD_Cost_Center[Work center],"Check")</f>
        <v>BORE-B01</v>
      </c>
      <c r="K100" s="169" t="str">
        <f>_xlfn.XLOOKUP(Data_Dep.12[[#This Row],[Nhóm tài sản]],MD_Account_Asset_Type[Nhóm tài sản],MD_Account_Asset_Type[Tài khoản KH],"Check")</f>
        <v>6274001906</v>
      </c>
      <c r="L100" s="173">
        <v>45717</v>
      </c>
      <c r="M100" s="174">
        <f>EDATE(Data_Dep.12[[#This Row],[Ngày bắt đầu KH]],Data_Dep.12[[#This Row],[T/G Khấu hao]])</f>
        <v>46813</v>
      </c>
      <c r="N100" s="175">
        <v>36</v>
      </c>
      <c r="O100" s="175">
        <v>448738186</v>
      </c>
      <c r="P100" s="176">
        <v>-87254647</v>
      </c>
      <c r="Q100" s="175">
        <f>Data_Dep.12[[#This Row],[Nguyên giá]]+Data_Dep.12[[#This Row],[KH lũy kế]]</f>
        <v>361483539</v>
      </c>
      <c r="R100" s="177">
        <v>-12464950</v>
      </c>
      <c r="S100" s="177">
        <v>-12464950</v>
      </c>
      <c r="T100" s="177">
        <v>-12464949</v>
      </c>
      <c r="U100" s="177">
        <f>SUM(Data_Dep.12[[#This Row],[KH_2510]:[KH_2512]])</f>
        <v>-37394849</v>
      </c>
      <c r="V100" s="175">
        <f>Data_Dep.12[[#This Row],[Nguyên giá]]+Data_Dep.12[[#This Row],[KH lũy kế]]+Data_Dep.12[[#This Row],[KH_Q4.25]]</f>
        <v>324088690</v>
      </c>
      <c r="W100" s="178">
        <f>ROUND(Data_Dep.12[[#This Row],[T/G Khấu hao]]-Data_Dep.12[[#This Row],[Giá trị còn lại 31/12/25]]/Data_Dep.12[[#This Row],[Nguyên giá]]*Data_Dep.12[[#This Row],[T/G Khấu hao]],0)</f>
        <v>10</v>
      </c>
      <c r="X100" s="179">
        <v>108</v>
      </c>
      <c r="Y100" s="175">
        <f>Data_Dep.12[[#This Row],[T/G Khấu hao]]+Data_Dep.12[[#This Row],[Điều chỉnh]]</f>
        <v>144</v>
      </c>
      <c r="Z100" s="180">
        <f>EDATE(Data_Dep.12[[#This Row],[Ngày bắt đầu KH]],Data_Dep.12[[#This Row],[T/G điều chỉnh]])</f>
        <v>50100</v>
      </c>
      <c r="AA100" s="175">
        <f>Data_Dep.12[[#This Row],[T/G điều chỉnh]]-Data_Dep.12[[#This Row],[Số kỳ đã khấu hao]]</f>
        <v>134</v>
      </c>
      <c r="AB100" s="175">
        <f>IFERROR(-Data_Dep.12[[#This Row],[Giá trị còn lại 31/12/25]]/(Data_Dep.12[[#This Row],[T/G điều chỉnh]]-Data_Dep.12[[#This Row],[Số kỳ đã khấu hao]]),0)</f>
        <v>-2418572.313432836</v>
      </c>
      <c r="AC100" s="181">
        <v>-2418572.313432836</v>
      </c>
      <c r="AD100" s="181">
        <v>-2418572.313432836</v>
      </c>
      <c r="AE100" s="181">
        <v>-2418572.313432836</v>
      </c>
      <c r="AF100" s="181">
        <v>-2418572.313432836</v>
      </c>
      <c r="AG100" s="181">
        <v>-2418572.313432836</v>
      </c>
      <c r="AH100" s="181">
        <v>-2418572.313432836</v>
      </c>
      <c r="AI100" s="181">
        <v>-2418572.313432836</v>
      </c>
      <c r="AJ100" s="181">
        <v>-2418572.313432836</v>
      </c>
      <c r="AK100" s="181">
        <v>-2418572.313432836</v>
      </c>
      <c r="AL100" s="181">
        <v>-2418572.313432836</v>
      </c>
      <c r="AM100" s="181">
        <v>-2418572.313432836</v>
      </c>
      <c r="AN100" s="181">
        <v>-2418572.313432836</v>
      </c>
      <c r="AO100" s="175">
        <f>SUM(Data_Dep.12[[#This Row],[KH_2601]:[KH_2612]])</f>
        <v>-29022867.761194024</v>
      </c>
      <c r="AP100" s="175">
        <f>Data_Dep.12[[#This Row],[Giá trị còn lại 31/12/25]]+Data_Dep.12[[#This Row],[KH LK 2026]]</f>
        <v>295065822.23880595</v>
      </c>
    </row>
    <row r="101" spans="1:42" x14ac:dyDescent="0.3">
      <c r="A101" s="169"/>
      <c r="B101" s="169"/>
      <c r="C101" s="170" t="s">
        <v>337</v>
      </c>
      <c r="D101" s="169" t="str">
        <f>_xlfn.XLOOKUP(Data_Dep.12[[#This Row],[Nhóm tài sản]],MD_Account_Asset_Type[Nhóm tài sản],MD_Account_Asset_Type[Tên Nhóm tài sản])</f>
        <v>Máy móc, thiết bị phụ - SX 627</v>
      </c>
      <c r="E101" s="171" t="s">
        <v>1030</v>
      </c>
      <c r="F101" s="170" t="s">
        <v>593</v>
      </c>
      <c r="G101" s="169" t="s">
        <v>830</v>
      </c>
      <c r="H101" s="170" t="s">
        <v>87</v>
      </c>
      <c r="I101" s="170" t="str">
        <f>_xlfn.XLOOKUP(Data_Dep.12[[#This Row],[Cost center]],MD_Cost_Center[Mã Cost Center],MD_Cost_Center[Tên Cost Center])</f>
        <v>Máy tách hạt Meyer - MEYE-01</v>
      </c>
      <c r="J101" s="172" t="str">
        <f>_xlfn.XLOOKUP(Data_Dep.12[[#This Row],[Cost center]],MD_Cost_Center[Mã Cost Center],MD_Cost_Center[Work center],"Check")</f>
        <v>MEYE-01</v>
      </c>
      <c r="K101" s="169" t="str">
        <f>_xlfn.XLOOKUP(Data_Dep.12[[#This Row],[Nhóm tài sản]],MD_Account_Asset_Type[Nhóm tài sản],MD_Account_Asset_Type[Tài khoản KH],"Check")</f>
        <v>6274001906</v>
      </c>
      <c r="L101" s="173">
        <v>45717</v>
      </c>
      <c r="M101" s="174">
        <f>EDATE(Data_Dep.12[[#This Row],[Ngày bắt đầu KH]],Data_Dep.12[[#This Row],[T/G Khấu hao]])</f>
        <v>46813</v>
      </c>
      <c r="N101" s="175">
        <v>36</v>
      </c>
      <c r="O101" s="175">
        <v>127088350</v>
      </c>
      <c r="P101" s="176">
        <v>-24711624</v>
      </c>
      <c r="Q101" s="175">
        <f>Data_Dep.12[[#This Row],[Nguyên giá]]+Data_Dep.12[[#This Row],[KH lũy kế]]</f>
        <v>102376726</v>
      </c>
      <c r="R101" s="177">
        <v>-3530232</v>
      </c>
      <c r="S101" s="177">
        <v>-3530232</v>
      </c>
      <c r="T101" s="177">
        <v>-3530231</v>
      </c>
      <c r="U101" s="177">
        <f>SUM(Data_Dep.12[[#This Row],[KH_2510]:[KH_2512]])</f>
        <v>-10590695</v>
      </c>
      <c r="V101" s="175">
        <f>Data_Dep.12[[#This Row],[Nguyên giá]]+Data_Dep.12[[#This Row],[KH lũy kế]]+Data_Dep.12[[#This Row],[KH_Q4.25]]</f>
        <v>91786031</v>
      </c>
      <c r="W101" s="178">
        <f>ROUND(Data_Dep.12[[#This Row],[T/G Khấu hao]]-Data_Dep.12[[#This Row],[Giá trị còn lại 31/12/25]]/Data_Dep.12[[#This Row],[Nguyên giá]]*Data_Dep.12[[#This Row],[T/G Khấu hao]],0)</f>
        <v>10</v>
      </c>
      <c r="X101" s="179">
        <v>108</v>
      </c>
      <c r="Y101" s="175">
        <f>Data_Dep.12[[#This Row],[T/G Khấu hao]]+Data_Dep.12[[#This Row],[Điều chỉnh]]</f>
        <v>144</v>
      </c>
      <c r="Z101" s="180">
        <f>EDATE(Data_Dep.12[[#This Row],[Ngày bắt đầu KH]],Data_Dep.12[[#This Row],[T/G điều chỉnh]])</f>
        <v>50100</v>
      </c>
      <c r="AA101" s="175">
        <f>Data_Dep.12[[#This Row],[T/G điều chỉnh]]-Data_Dep.12[[#This Row],[Số kỳ đã khấu hao]]</f>
        <v>134</v>
      </c>
      <c r="AB101" s="175">
        <f>IFERROR(-Data_Dep.12[[#This Row],[Giá trị còn lại 31/12/25]]/(Data_Dep.12[[#This Row],[T/G điều chỉnh]]-Data_Dep.12[[#This Row],[Số kỳ đã khấu hao]]),0)</f>
        <v>-684970.38059701491</v>
      </c>
      <c r="AC101" s="181">
        <v>-684970.38059701491</v>
      </c>
      <c r="AD101" s="181">
        <v>-684970.38059701491</v>
      </c>
      <c r="AE101" s="181">
        <v>-684970.38059701491</v>
      </c>
      <c r="AF101" s="181">
        <v>-684970.38059701491</v>
      </c>
      <c r="AG101" s="181">
        <v>-684970.38059701491</v>
      </c>
      <c r="AH101" s="181">
        <v>-684970.38059701491</v>
      </c>
      <c r="AI101" s="181">
        <v>-684970.38059701491</v>
      </c>
      <c r="AJ101" s="181">
        <v>-684970.38059701491</v>
      </c>
      <c r="AK101" s="181">
        <v>-684970.38059701491</v>
      </c>
      <c r="AL101" s="181">
        <v>-684970.38059701491</v>
      </c>
      <c r="AM101" s="181">
        <v>-684970.38059701491</v>
      </c>
      <c r="AN101" s="181">
        <v>-684970.38059701491</v>
      </c>
      <c r="AO101" s="175">
        <f>SUM(Data_Dep.12[[#This Row],[KH_2601]:[KH_2612]])</f>
        <v>-8219644.5671641789</v>
      </c>
      <c r="AP101" s="175">
        <f>Data_Dep.12[[#This Row],[Giá trị còn lại 31/12/25]]+Data_Dep.12[[#This Row],[KH LK 2026]]</f>
        <v>83566386.432835817</v>
      </c>
    </row>
    <row r="102" spans="1:42" x14ac:dyDescent="0.3">
      <c r="A102" s="169"/>
      <c r="B102" s="169"/>
      <c r="C102" s="170" t="s">
        <v>337</v>
      </c>
      <c r="D102" s="169" t="str">
        <f>_xlfn.XLOOKUP(Data_Dep.12[[#This Row],[Nhóm tài sản]],MD_Account_Asset_Type[Nhóm tài sản],MD_Account_Asset_Type[Tên Nhóm tài sản])</f>
        <v>Máy móc, thiết bị phụ - SX 627</v>
      </c>
      <c r="E102" s="171" t="s">
        <v>1031</v>
      </c>
      <c r="F102" s="170" t="s">
        <v>594</v>
      </c>
      <c r="G102" s="169" t="s">
        <v>830</v>
      </c>
      <c r="H102" s="170" t="s">
        <v>100</v>
      </c>
      <c r="I102" s="170" t="str">
        <f>_xlfn.XLOOKUP(Data_Dep.12[[#This Row],[Cost center]],MD_Cost_Center[Mã Cost Center],MD_Cost_Center[Tên Cost Center])</f>
        <v>Chuyền Rửa Vảy PET BORE-R02</v>
      </c>
      <c r="J102" s="172" t="str">
        <f>_xlfn.XLOOKUP(Data_Dep.12[[#This Row],[Cost center]],MD_Cost_Center[Mã Cost Center],MD_Cost_Center[Work center],"Check")</f>
        <v>BORE-R02</v>
      </c>
      <c r="K102" s="169" t="str">
        <f>_xlfn.XLOOKUP(Data_Dep.12[[#This Row],[Nhóm tài sản]],MD_Account_Asset_Type[Nhóm tài sản],MD_Account_Asset_Type[Tài khoản KH],"Check")</f>
        <v>6274001906</v>
      </c>
      <c r="L102" s="173">
        <v>45748</v>
      </c>
      <c r="M102" s="174">
        <f>EDATE(Data_Dep.12[[#This Row],[Ngày bắt đầu KH]],Data_Dep.12[[#This Row],[T/G Khấu hao]])</f>
        <v>46844</v>
      </c>
      <c r="N102" s="175">
        <v>36</v>
      </c>
      <c r="O102" s="175">
        <v>280305107</v>
      </c>
      <c r="P102" s="176">
        <v>-46717518</v>
      </c>
      <c r="Q102" s="175">
        <f>Data_Dep.12[[#This Row],[Nguyên giá]]+Data_Dep.12[[#This Row],[KH lũy kế]]</f>
        <v>233587589</v>
      </c>
      <c r="R102" s="177">
        <v>-7786253</v>
      </c>
      <c r="S102" s="177">
        <v>-7786253</v>
      </c>
      <c r="T102" s="177">
        <v>-7786253</v>
      </c>
      <c r="U102" s="177">
        <f>SUM(Data_Dep.12[[#This Row],[KH_2510]:[KH_2512]])</f>
        <v>-23358759</v>
      </c>
      <c r="V102" s="175">
        <f>Data_Dep.12[[#This Row],[Nguyên giá]]+Data_Dep.12[[#This Row],[KH lũy kế]]+Data_Dep.12[[#This Row],[KH_Q4.25]]</f>
        <v>210228830</v>
      </c>
      <c r="W102" s="178">
        <f>ROUND(Data_Dep.12[[#This Row],[T/G Khấu hao]]-Data_Dep.12[[#This Row],[Giá trị còn lại 31/12/25]]/Data_Dep.12[[#This Row],[Nguyên giá]]*Data_Dep.12[[#This Row],[T/G Khấu hao]],0)</f>
        <v>9</v>
      </c>
      <c r="X102" s="179">
        <v>108</v>
      </c>
      <c r="Y102" s="175">
        <f>Data_Dep.12[[#This Row],[T/G Khấu hao]]+Data_Dep.12[[#This Row],[Điều chỉnh]]</f>
        <v>144</v>
      </c>
      <c r="Z102" s="180">
        <f>EDATE(Data_Dep.12[[#This Row],[Ngày bắt đầu KH]],Data_Dep.12[[#This Row],[T/G điều chỉnh]])</f>
        <v>50131</v>
      </c>
      <c r="AA102" s="175">
        <f>Data_Dep.12[[#This Row],[T/G điều chỉnh]]-Data_Dep.12[[#This Row],[Số kỳ đã khấu hao]]</f>
        <v>135</v>
      </c>
      <c r="AB102" s="175">
        <f>IFERROR(-Data_Dep.12[[#This Row],[Giá trị còn lại 31/12/25]]/(Data_Dep.12[[#This Row],[T/G điều chỉnh]]-Data_Dep.12[[#This Row],[Số kỳ đã khấu hao]]),0)</f>
        <v>-1557250.5925925926</v>
      </c>
      <c r="AC102" s="181">
        <v>-1557250.5925925926</v>
      </c>
      <c r="AD102" s="181">
        <v>-1557250.5925925926</v>
      </c>
      <c r="AE102" s="181">
        <v>-1557250.5925925926</v>
      </c>
      <c r="AF102" s="181">
        <v>-1557250.5925925926</v>
      </c>
      <c r="AG102" s="181">
        <v>-1557250.5925925926</v>
      </c>
      <c r="AH102" s="181">
        <v>-1557250.5925925926</v>
      </c>
      <c r="AI102" s="181">
        <v>-1557250.5925925926</v>
      </c>
      <c r="AJ102" s="181">
        <v>-1557250.5925925926</v>
      </c>
      <c r="AK102" s="181">
        <v>-1557250.5925925926</v>
      </c>
      <c r="AL102" s="181">
        <v>-1557250.5925925926</v>
      </c>
      <c r="AM102" s="181">
        <v>-1557250.5925925926</v>
      </c>
      <c r="AN102" s="181">
        <v>-1557250.5925925926</v>
      </c>
      <c r="AO102" s="175">
        <f>SUM(Data_Dep.12[[#This Row],[KH_2601]:[KH_2612]])</f>
        <v>-18687007.111111116</v>
      </c>
      <c r="AP102" s="175">
        <f>Data_Dep.12[[#This Row],[Giá trị còn lại 31/12/25]]+Data_Dep.12[[#This Row],[KH LK 2026]]</f>
        <v>191541822.8888889</v>
      </c>
    </row>
    <row r="103" spans="1:42" x14ac:dyDescent="0.3">
      <c r="A103" s="169"/>
      <c r="B103" s="169"/>
      <c r="C103" s="170" t="s">
        <v>337</v>
      </c>
      <c r="D103" s="169" t="str">
        <f>_xlfn.XLOOKUP(Data_Dep.12[[#This Row],[Nhóm tài sản]],MD_Account_Asset_Type[Nhóm tài sản],MD_Account_Asset_Type[Tên Nhóm tài sản])</f>
        <v>Máy móc, thiết bị phụ - SX 627</v>
      </c>
      <c r="E103" s="171" t="s">
        <v>1032</v>
      </c>
      <c r="F103" s="170" t="s">
        <v>595</v>
      </c>
      <c r="G103" s="169" t="s">
        <v>830</v>
      </c>
      <c r="H103" s="170" t="s">
        <v>96</v>
      </c>
      <c r="I103" s="170" t="str">
        <f>_xlfn.XLOOKUP(Data_Dep.12[[#This Row],[Cost center]],MD_Cost_Center[Mã Cost Center],MD_Cost_Center[Tên Cost Center])</f>
        <v>Máy Trộn PET 10 Tấn MIX-07</v>
      </c>
      <c r="J103" s="172" t="str">
        <f>_xlfn.XLOOKUP(Data_Dep.12[[#This Row],[Cost center]],MD_Cost_Center[Mã Cost Center],MD_Cost_Center[Work center],"Check")</f>
        <v>MIX-07</v>
      </c>
      <c r="K103" s="169" t="str">
        <f>_xlfn.XLOOKUP(Data_Dep.12[[#This Row],[Nhóm tài sản]],MD_Account_Asset_Type[Nhóm tài sản],MD_Account_Asset_Type[Tài khoản KH],"Check")</f>
        <v>6274001906</v>
      </c>
      <c r="L103" s="173">
        <v>45748</v>
      </c>
      <c r="M103" s="174">
        <f>EDATE(Data_Dep.12[[#This Row],[Ngày bắt đầu KH]],Data_Dep.12[[#This Row],[T/G Khấu hao]])</f>
        <v>46844</v>
      </c>
      <c r="N103" s="175">
        <v>36</v>
      </c>
      <c r="O103" s="175">
        <v>258604309</v>
      </c>
      <c r="P103" s="176">
        <v>-43100718</v>
      </c>
      <c r="Q103" s="175">
        <f>Data_Dep.12[[#This Row],[Nguyên giá]]+Data_Dep.12[[#This Row],[KH lũy kế]]</f>
        <v>215503591</v>
      </c>
      <c r="R103" s="177">
        <v>-7183453</v>
      </c>
      <c r="S103" s="177">
        <v>-7183453</v>
      </c>
      <c r="T103" s="177">
        <v>-7183453</v>
      </c>
      <c r="U103" s="177">
        <f>SUM(Data_Dep.12[[#This Row],[KH_2510]:[KH_2512]])</f>
        <v>-21550359</v>
      </c>
      <c r="V103" s="175">
        <f>Data_Dep.12[[#This Row],[Nguyên giá]]+Data_Dep.12[[#This Row],[KH lũy kế]]+Data_Dep.12[[#This Row],[KH_Q4.25]]</f>
        <v>193953232</v>
      </c>
      <c r="W103" s="178">
        <f>ROUND(Data_Dep.12[[#This Row],[T/G Khấu hao]]-Data_Dep.12[[#This Row],[Giá trị còn lại 31/12/25]]/Data_Dep.12[[#This Row],[Nguyên giá]]*Data_Dep.12[[#This Row],[T/G Khấu hao]],0)</f>
        <v>9</v>
      </c>
      <c r="X103" s="179">
        <v>108</v>
      </c>
      <c r="Y103" s="175">
        <f>Data_Dep.12[[#This Row],[T/G Khấu hao]]+Data_Dep.12[[#This Row],[Điều chỉnh]]</f>
        <v>144</v>
      </c>
      <c r="Z103" s="180">
        <f>EDATE(Data_Dep.12[[#This Row],[Ngày bắt đầu KH]],Data_Dep.12[[#This Row],[T/G điều chỉnh]])</f>
        <v>50131</v>
      </c>
      <c r="AA103" s="175">
        <f>Data_Dep.12[[#This Row],[T/G điều chỉnh]]-Data_Dep.12[[#This Row],[Số kỳ đã khấu hao]]</f>
        <v>135</v>
      </c>
      <c r="AB103" s="175">
        <f>IFERROR(-Data_Dep.12[[#This Row],[Giá trị còn lại 31/12/25]]/(Data_Dep.12[[#This Row],[T/G điều chỉnh]]-Data_Dep.12[[#This Row],[Số kỳ đã khấu hao]]),0)</f>
        <v>-1436690.6074074074</v>
      </c>
      <c r="AC103" s="181">
        <v>-1436690.6074074074</v>
      </c>
      <c r="AD103" s="181">
        <v>-1436690.6074074074</v>
      </c>
      <c r="AE103" s="181">
        <v>-1436690.6074074074</v>
      </c>
      <c r="AF103" s="181">
        <v>-1436690.6074074074</v>
      </c>
      <c r="AG103" s="181">
        <v>-1436690.6074074074</v>
      </c>
      <c r="AH103" s="181">
        <v>-1436690.6074074074</v>
      </c>
      <c r="AI103" s="181">
        <v>-1436690.6074074074</v>
      </c>
      <c r="AJ103" s="181">
        <v>-1436690.6074074074</v>
      </c>
      <c r="AK103" s="181">
        <v>-1436690.6074074074</v>
      </c>
      <c r="AL103" s="181">
        <v>-1436690.6074074074</v>
      </c>
      <c r="AM103" s="181">
        <v>-1436690.6074074074</v>
      </c>
      <c r="AN103" s="181">
        <v>-1436690.6074074074</v>
      </c>
      <c r="AO103" s="175">
        <f>SUM(Data_Dep.12[[#This Row],[KH_2601]:[KH_2612]])</f>
        <v>-17240287.28888889</v>
      </c>
      <c r="AP103" s="175">
        <f>Data_Dep.12[[#This Row],[Giá trị còn lại 31/12/25]]+Data_Dep.12[[#This Row],[KH LK 2026]]</f>
        <v>176712944.7111111</v>
      </c>
    </row>
    <row r="104" spans="1:42" x14ac:dyDescent="0.3">
      <c r="A104" s="169"/>
      <c r="B104" s="169"/>
      <c r="C104" s="170" t="s">
        <v>337</v>
      </c>
      <c r="D104" s="169" t="str">
        <f>_xlfn.XLOOKUP(Data_Dep.12[[#This Row],[Nhóm tài sản]],MD_Account_Asset_Type[Nhóm tài sản],MD_Account_Asset_Type[Tên Nhóm tài sản])</f>
        <v>Máy móc, thiết bị phụ - SX 627</v>
      </c>
      <c r="E104" s="171" t="s">
        <v>1033</v>
      </c>
      <c r="F104" s="170" t="s">
        <v>596</v>
      </c>
      <c r="G104" s="169" t="s">
        <v>830</v>
      </c>
      <c r="H104" s="170" t="s">
        <v>99</v>
      </c>
      <c r="I104" s="170" t="str">
        <f>_xlfn.XLOOKUP(Data_Dep.12[[#This Row],[Cost center]],MD_Cost_Center[Mã Cost Center],MD_Cost_Center[Tên Cost Center])</f>
        <v>Máy Trộn PP/HD 15 Tấn MIX-08</v>
      </c>
      <c r="J104" s="172" t="str">
        <f>_xlfn.XLOOKUP(Data_Dep.12[[#This Row],[Cost center]],MD_Cost_Center[Mã Cost Center],MD_Cost_Center[Work center],"Check")</f>
        <v>MIX-08</v>
      </c>
      <c r="K104" s="169" t="str">
        <f>_xlfn.XLOOKUP(Data_Dep.12[[#This Row],[Nhóm tài sản]],MD_Account_Asset_Type[Nhóm tài sản],MD_Account_Asset_Type[Tài khoản KH],"Check")</f>
        <v>6274001906</v>
      </c>
      <c r="L104" s="173">
        <v>45748</v>
      </c>
      <c r="M104" s="174">
        <f>EDATE(Data_Dep.12[[#This Row],[Ngày bắt đầu KH]],Data_Dep.12[[#This Row],[T/G Khấu hao]])</f>
        <v>46844</v>
      </c>
      <c r="N104" s="175">
        <v>36</v>
      </c>
      <c r="O104" s="175">
        <v>258604309</v>
      </c>
      <c r="P104" s="176">
        <v>-43100718</v>
      </c>
      <c r="Q104" s="175">
        <f>Data_Dep.12[[#This Row],[Nguyên giá]]+Data_Dep.12[[#This Row],[KH lũy kế]]</f>
        <v>215503591</v>
      </c>
      <c r="R104" s="177">
        <v>-7183453</v>
      </c>
      <c r="S104" s="177">
        <v>-7183453</v>
      </c>
      <c r="T104" s="177">
        <v>-7183453</v>
      </c>
      <c r="U104" s="177">
        <f>SUM(Data_Dep.12[[#This Row],[KH_2510]:[KH_2512]])</f>
        <v>-21550359</v>
      </c>
      <c r="V104" s="175">
        <f>Data_Dep.12[[#This Row],[Nguyên giá]]+Data_Dep.12[[#This Row],[KH lũy kế]]+Data_Dep.12[[#This Row],[KH_Q4.25]]</f>
        <v>193953232</v>
      </c>
      <c r="W104" s="178">
        <f>ROUND(Data_Dep.12[[#This Row],[T/G Khấu hao]]-Data_Dep.12[[#This Row],[Giá trị còn lại 31/12/25]]/Data_Dep.12[[#This Row],[Nguyên giá]]*Data_Dep.12[[#This Row],[T/G Khấu hao]],0)</f>
        <v>9</v>
      </c>
      <c r="X104" s="179">
        <v>108</v>
      </c>
      <c r="Y104" s="175">
        <f>Data_Dep.12[[#This Row],[T/G Khấu hao]]+Data_Dep.12[[#This Row],[Điều chỉnh]]</f>
        <v>144</v>
      </c>
      <c r="Z104" s="180">
        <f>EDATE(Data_Dep.12[[#This Row],[Ngày bắt đầu KH]],Data_Dep.12[[#This Row],[T/G điều chỉnh]])</f>
        <v>50131</v>
      </c>
      <c r="AA104" s="175">
        <f>Data_Dep.12[[#This Row],[T/G điều chỉnh]]-Data_Dep.12[[#This Row],[Số kỳ đã khấu hao]]</f>
        <v>135</v>
      </c>
      <c r="AB104" s="175">
        <f>IFERROR(-Data_Dep.12[[#This Row],[Giá trị còn lại 31/12/25]]/(Data_Dep.12[[#This Row],[T/G điều chỉnh]]-Data_Dep.12[[#This Row],[Số kỳ đã khấu hao]]),0)</f>
        <v>-1436690.6074074074</v>
      </c>
      <c r="AC104" s="181">
        <v>-1436690.6074074074</v>
      </c>
      <c r="AD104" s="181">
        <v>-1436690.6074074074</v>
      </c>
      <c r="AE104" s="181">
        <v>-1436690.6074074074</v>
      </c>
      <c r="AF104" s="181">
        <v>-1436690.6074074074</v>
      </c>
      <c r="AG104" s="181">
        <v>-1436690.6074074074</v>
      </c>
      <c r="AH104" s="181">
        <v>-1436690.6074074074</v>
      </c>
      <c r="AI104" s="181">
        <v>-1436690.6074074074</v>
      </c>
      <c r="AJ104" s="181">
        <v>-1436690.6074074074</v>
      </c>
      <c r="AK104" s="181">
        <v>-1436690.6074074074</v>
      </c>
      <c r="AL104" s="181">
        <v>-1436690.6074074074</v>
      </c>
      <c r="AM104" s="181">
        <v>-1436690.6074074074</v>
      </c>
      <c r="AN104" s="181">
        <v>-1436690.6074074074</v>
      </c>
      <c r="AO104" s="175">
        <f>SUM(Data_Dep.12[[#This Row],[KH_2601]:[KH_2612]])</f>
        <v>-17240287.28888889</v>
      </c>
      <c r="AP104" s="175">
        <f>Data_Dep.12[[#This Row],[Giá trị còn lại 31/12/25]]+Data_Dep.12[[#This Row],[KH LK 2026]]</f>
        <v>176712944.7111111</v>
      </c>
    </row>
    <row r="105" spans="1:42" x14ac:dyDescent="0.3">
      <c r="A105" s="169"/>
      <c r="B105" s="169"/>
      <c r="C105" s="170" t="s">
        <v>337</v>
      </c>
      <c r="D105" s="169" t="str">
        <f>_xlfn.XLOOKUP(Data_Dep.12[[#This Row],[Nhóm tài sản]],MD_Account_Asset_Type[Nhóm tài sản],MD_Account_Asset_Type[Tên Nhóm tài sản])</f>
        <v>Máy móc, thiết bị phụ - SX 627</v>
      </c>
      <c r="E105" s="171" t="s">
        <v>1034</v>
      </c>
      <c r="F105" s="170" t="s">
        <v>597</v>
      </c>
      <c r="G105" s="169" t="s">
        <v>830</v>
      </c>
      <c r="H105" s="170" t="s">
        <v>74</v>
      </c>
      <c r="I105" s="170" t="str">
        <f>_xlfn.XLOOKUP(Data_Dep.12[[#This Row],[Cost center]],MD_Cost_Center[Mã Cost Center],MD_Cost_Center[Tên Cost Center])</f>
        <v>Chuyền tạo sơ sợi rPET YE I</v>
      </c>
      <c r="J105" s="172" t="str">
        <f>_xlfn.XLOOKUP(Data_Dep.12[[#This Row],[Cost center]],MD_Cost_Center[Mã Cost Center],MD_Cost_Center[Work center],"Check")</f>
        <v>YPET-01</v>
      </c>
      <c r="K105" s="169" t="str">
        <f>_xlfn.XLOOKUP(Data_Dep.12[[#This Row],[Nhóm tài sản]],MD_Account_Asset_Type[Nhóm tài sản],MD_Account_Asset_Type[Tài khoản KH],"Check")</f>
        <v>6274001906</v>
      </c>
      <c r="L105" s="173">
        <v>45748</v>
      </c>
      <c r="M105" s="174">
        <f>EDATE(Data_Dep.12[[#This Row],[Ngày bắt đầu KH]],Data_Dep.12[[#This Row],[T/G Khấu hao]])</f>
        <v>46844</v>
      </c>
      <c r="N105" s="175">
        <v>36</v>
      </c>
      <c r="O105" s="175">
        <v>258604309</v>
      </c>
      <c r="P105" s="176">
        <v>-43100718</v>
      </c>
      <c r="Q105" s="175">
        <f>Data_Dep.12[[#This Row],[Nguyên giá]]+Data_Dep.12[[#This Row],[KH lũy kế]]</f>
        <v>215503591</v>
      </c>
      <c r="R105" s="177">
        <v>-7183453</v>
      </c>
      <c r="S105" s="177">
        <v>-7183453</v>
      </c>
      <c r="T105" s="177">
        <v>-7183453</v>
      </c>
      <c r="U105" s="177">
        <f>SUM(Data_Dep.12[[#This Row],[KH_2510]:[KH_2512]])</f>
        <v>-21550359</v>
      </c>
      <c r="V105" s="175">
        <f>Data_Dep.12[[#This Row],[Nguyên giá]]+Data_Dep.12[[#This Row],[KH lũy kế]]+Data_Dep.12[[#This Row],[KH_Q4.25]]</f>
        <v>193953232</v>
      </c>
      <c r="W105" s="178">
        <f>ROUND(Data_Dep.12[[#This Row],[T/G Khấu hao]]-Data_Dep.12[[#This Row],[Giá trị còn lại 31/12/25]]/Data_Dep.12[[#This Row],[Nguyên giá]]*Data_Dep.12[[#This Row],[T/G Khấu hao]],0)</f>
        <v>9</v>
      </c>
      <c r="X105" s="179">
        <v>108</v>
      </c>
      <c r="Y105" s="175">
        <f>Data_Dep.12[[#This Row],[T/G Khấu hao]]+Data_Dep.12[[#This Row],[Điều chỉnh]]</f>
        <v>144</v>
      </c>
      <c r="Z105" s="180">
        <f>EDATE(Data_Dep.12[[#This Row],[Ngày bắt đầu KH]],Data_Dep.12[[#This Row],[T/G điều chỉnh]])</f>
        <v>50131</v>
      </c>
      <c r="AA105" s="175">
        <f>Data_Dep.12[[#This Row],[T/G điều chỉnh]]-Data_Dep.12[[#This Row],[Số kỳ đã khấu hao]]</f>
        <v>135</v>
      </c>
      <c r="AB105" s="175">
        <f>IFERROR(-Data_Dep.12[[#This Row],[Giá trị còn lại 31/12/25]]/(Data_Dep.12[[#This Row],[T/G điều chỉnh]]-Data_Dep.12[[#This Row],[Số kỳ đã khấu hao]]),0)</f>
        <v>-1436690.6074074074</v>
      </c>
      <c r="AC105" s="181">
        <v>-1436690.6074074074</v>
      </c>
      <c r="AD105" s="181">
        <v>-1436690.6074074074</v>
      </c>
      <c r="AE105" s="181">
        <v>-1436690.6074074074</v>
      </c>
      <c r="AF105" s="181">
        <v>-1436690.6074074074</v>
      </c>
      <c r="AG105" s="181">
        <v>-1436690.6074074074</v>
      </c>
      <c r="AH105" s="181">
        <v>-1436690.6074074074</v>
      </c>
      <c r="AI105" s="181">
        <v>-1436690.6074074074</v>
      </c>
      <c r="AJ105" s="181">
        <v>-1436690.6074074074</v>
      </c>
      <c r="AK105" s="181">
        <v>-1436690.6074074074</v>
      </c>
      <c r="AL105" s="181">
        <v>-1436690.6074074074</v>
      </c>
      <c r="AM105" s="181">
        <v>-1436690.6074074074</v>
      </c>
      <c r="AN105" s="181">
        <v>-1436690.6074074074</v>
      </c>
      <c r="AO105" s="175">
        <f>SUM(Data_Dep.12[[#This Row],[KH_2601]:[KH_2612]])</f>
        <v>-17240287.28888889</v>
      </c>
      <c r="AP105" s="175">
        <f>Data_Dep.12[[#This Row],[Giá trị còn lại 31/12/25]]+Data_Dep.12[[#This Row],[KH LK 2026]]</f>
        <v>176712944.7111111</v>
      </c>
    </row>
    <row r="106" spans="1:42" x14ac:dyDescent="0.3">
      <c r="A106" s="169"/>
      <c r="B106" s="169"/>
      <c r="C106" s="170" t="s">
        <v>337</v>
      </c>
      <c r="D106" s="169" t="str">
        <f>_xlfn.XLOOKUP(Data_Dep.12[[#This Row],[Nhóm tài sản]],MD_Account_Asset_Type[Nhóm tài sản],MD_Account_Asset_Type[Tên Nhóm tài sản])</f>
        <v>Máy móc, thiết bị phụ - SX 627</v>
      </c>
      <c r="E106" s="171" t="s">
        <v>1035</v>
      </c>
      <c r="F106" s="170" t="s">
        <v>598</v>
      </c>
      <c r="G106" s="169" t="s">
        <v>830</v>
      </c>
      <c r="H106" s="170" t="s">
        <v>59</v>
      </c>
      <c r="I106" s="170" t="str">
        <f>_xlfn.XLOOKUP(Data_Dep.12[[#This Row],[Cost center]],MD_Cost_Center[Mã Cost Center],MD_Cost_Center[Tên Cost Center])</f>
        <v>Máy NGR - HD02</v>
      </c>
      <c r="J106" s="172" t="str">
        <f>_xlfn.XLOOKUP(Data_Dep.12[[#This Row],[Cost center]],MD_Cost_Center[Mã Cost Center],MD_Cost_Center[Work center],"Check")</f>
        <v>NGR-01</v>
      </c>
      <c r="K106" s="169" t="str">
        <f>_xlfn.XLOOKUP(Data_Dep.12[[#This Row],[Nhóm tài sản]],MD_Account_Asset_Type[Nhóm tài sản],MD_Account_Asset_Type[Tài khoản KH],"Check")</f>
        <v>6274001906</v>
      </c>
      <c r="L106" s="173">
        <v>45748</v>
      </c>
      <c r="M106" s="174">
        <f>EDATE(Data_Dep.12[[#This Row],[Ngày bắt đầu KH]],Data_Dep.12[[#This Row],[T/G Khấu hao]])</f>
        <v>46844</v>
      </c>
      <c r="N106" s="175">
        <v>36</v>
      </c>
      <c r="O106" s="175">
        <v>258604309</v>
      </c>
      <c r="P106" s="176">
        <v>-43100718</v>
      </c>
      <c r="Q106" s="175">
        <f>Data_Dep.12[[#This Row],[Nguyên giá]]+Data_Dep.12[[#This Row],[KH lũy kế]]</f>
        <v>215503591</v>
      </c>
      <c r="R106" s="177">
        <v>-7183453</v>
      </c>
      <c r="S106" s="177">
        <v>-7183453</v>
      </c>
      <c r="T106" s="177">
        <v>-7183453</v>
      </c>
      <c r="U106" s="177">
        <f>SUM(Data_Dep.12[[#This Row],[KH_2510]:[KH_2512]])</f>
        <v>-21550359</v>
      </c>
      <c r="V106" s="175">
        <f>Data_Dep.12[[#This Row],[Nguyên giá]]+Data_Dep.12[[#This Row],[KH lũy kế]]+Data_Dep.12[[#This Row],[KH_Q4.25]]</f>
        <v>193953232</v>
      </c>
      <c r="W106" s="178">
        <f>ROUND(Data_Dep.12[[#This Row],[T/G Khấu hao]]-Data_Dep.12[[#This Row],[Giá trị còn lại 31/12/25]]/Data_Dep.12[[#This Row],[Nguyên giá]]*Data_Dep.12[[#This Row],[T/G Khấu hao]],0)</f>
        <v>9</v>
      </c>
      <c r="X106" s="179">
        <v>108</v>
      </c>
      <c r="Y106" s="175">
        <f>Data_Dep.12[[#This Row],[T/G Khấu hao]]+Data_Dep.12[[#This Row],[Điều chỉnh]]</f>
        <v>144</v>
      </c>
      <c r="Z106" s="180">
        <f>EDATE(Data_Dep.12[[#This Row],[Ngày bắt đầu KH]],Data_Dep.12[[#This Row],[T/G điều chỉnh]])</f>
        <v>50131</v>
      </c>
      <c r="AA106" s="175">
        <f>Data_Dep.12[[#This Row],[T/G điều chỉnh]]-Data_Dep.12[[#This Row],[Số kỳ đã khấu hao]]</f>
        <v>135</v>
      </c>
      <c r="AB106" s="175">
        <f>IFERROR(-Data_Dep.12[[#This Row],[Giá trị còn lại 31/12/25]]/(Data_Dep.12[[#This Row],[T/G điều chỉnh]]-Data_Dep.12[[#This Row],[Số kỳ đã khấu hao]]),0)</f>
        <v>-1436690.6074074074</v>
      </c>
      <c r="AC106" s="181">
        <v>-1436690.6074074074</v>
      </c>
      <c r="AD106" s="181">
        <v>-1436690.6074074074</v>
      </c>
      <c r="AE106" s="181">
        <v>-1436690.6074074074</v>
      </c>
      <c r="AF106" s="181">
        <v>-1436690.6074074074</v>
      </c>
      <c r="AG106" s="181">
        <v>-1436690.6074074074</v>
      </c>
      <c r="AH106" s="181">
        <v>-1436690.6074074074</v>
      </c>
      <c r="AI106" s="181">
        <v>-1436690.6074074074</v>
      </c>
      <c r="AJ106" s="181">
        <v>-1436690.6074074074</v>
      </c>
      <c r="AK106" s="181">
        <v>-1436690.6074074074</v>
      </c>
      <c r="AL106" s="181">
        <v>-1436690.6074074074</v>
      </c>
      <c r="AM106" s="181">
        <v>-1436690.6074074074</v>
      </c>
      <c r="AN106" s="181">
        <v>-1436690.6074074074</v>
      </c>
      <c r="AO106" s="175">
        <f>SUM(Data_Dep.12[[#This Row],[KH_2601]:[KH_2612]])</f>
        <v>-17240287.28888889</v>
      </c>
      <c r="AP106" s="175">
        <f>Data_Dep.12[[#This Row],[Giá trị còn lại 31/12/25]]+Data_Dep.12[[#This Row],[KH LK 2026]]</f>
        <v>176712944.7111111</v>
      </c>
    </row>
    <row r="107" spans="1:42" x14ac:dyDescent="0.3">
      <c r="A107" s="169"/>
      <c r="B107" s="169"/>
      <c r="C107" s="170" t="s">
        <v>337</v>
      </c>
      <c r="D107" s="169" t="str">
        <f>_xlfn.XLOOKUP(Data_Dep.12[[#This Row],[Nhóm tài sản]],MD_Account_Asset_Type[Nhóm tài sản],MD_Account_Asset_Type[Tên Nhóm tài sản])</f>
        <v>Máy móc, thiết bị phụ - SX 627</v>
      </c>
      <c r="E107" s="171" t="s">
        <v>1036</v>
      </c>
      <c r="F107" s="170" t="s">
        <v>599</v>
      </c>
      <c r="G107" s="169" t="s">
        <v>830</v>
      </c>
      <c r="H107" s="170" t="s">
        <v>46</v>
      </c>
      <c r="I107" s="170" t="str">
        <f>_xlfn.XLOOKUP(Data_Dep.12[[#This Row],[Cost center]],MD_Cost_Center[Mã Cost Center],MD_Cost_Center[Tên Cost Center])</f>
        <v>Kiểm soát chất lượng</v>
      </c>
      <c r="J107" s="172">
        <f>_xlfn.XLOOKUP(Data_Dep.12[[#This Row],[Cost center]],MD_Cost_Center[Mã Cost Center],MD_Cost_Center[Work center],"Check")</f>
        <v>0</v>
      </c>
      <c r="K107" s="169" t="str">
        <f>_xlfn.XLOOKUP(Data_Dep.12[[#This Row],[Nhóm tài sản]],MD_Account_Asset_Type[Nhóm tài sản],MD_Account_Asset_Type[Tài khoản KH],"Check")</f>
        <v>6274001906</v>
      </c>
      <c r="L107" s="173">
        <v>45748</v>
      </c>
      <c r="M107" s="174">
        <f>EDATE(Data_Dep.12[[#This Row],[Ngày bắt đầu KH]],Data_Dep.12[[#This Row],[T/G Khấu hao]])</f>
        <v>46813</v>
      </c>
      <c r="N107" s="175">
        <v>35</v>
      </c>
      <c r="O107" s="175">
        <v>185000000</v>
      </c>
      <c r="P107" s="176">
        <v>-30833333</v>
      </c>
      <c r="Q107" s="175">
        <f>Data_Dep.12[[#This Row],[Nguyên giá]]+Data_Dep.12[[#This Row],[KH lũy kế]]</f>
        <v>154166667</v>
      </c>
      <c r="R107" s="177">
        <v>-5138889</v>
      </c>
      <c r="S107" s="177">
        <v>-5138889</v>
      </c>
      <c r="T107" s="177">
        <v>-5138889</v>
      </c>
      <c r="U107" s="177">
        <f>SUM(Data_Dep.12[[#This Row],[KH_2510]:[KH_2512]])</f>
        <v>-15416667</v>
      </c>
      <c r="V107" s="175">
        <f>Data_Dep.12[[#This Row],[Nguyên giá]]+Data_Dep.12[[#This Row],[KH lũy kế]]+Data_Dep.12[[#This Row],[KH_Q4.25]]</f>
        <v>138750000</v>
      </c>
      <c r="W107" s="178">
        <f>ROUND(Data_Dep.12[[#This Row],[T/G Khấu hao]]-Data_Dep.12[[#This Row],[Giá trị còn lại 31/12/25]]/Data_Dep.12[[#This Row],[Nguyên giá]]*Data_Dep.12[[#This Row],[T/G Khấu hao]],0)</f>
        <v>9</v>
      </c>
      <c r="X107" s="179">
        <v>109</v>
      </c>
      <c r="Y107" s="175">
        <f>Data_Dep.12[[#This Row],[T/G Khấu hao]]+Data_Dep.12[[#This Row],[Điều chỉnh]]</f>
        <v>144</v>
      </c>
      <c r="Z107" s="180">
        <f>EDATE(Data_Dep.12[[#This Row],[Ngày bắt đầu KH]],Data_Dep.12[[#This Row],[T/G điều chỉnh]])</f>
        <v>50131</v>
      </c>
      <c r="AA107" s="175">
        <f>Data_Dep.12[[#This Row],[T/G điều chỉnh]]-Data_Dep.12[[#This Row],[Số kỳ đã khấu hao]]</f>
        <v>135</v>
      </c>
      <c r="AB107" s="175">
        <f>IFERROR(-Data_Dep.12[[#This Row],[Giá trị còn lại 31/12/25]]/(Data_Dep.12[[#This Row],[T/G điều chỉnh]]-Data_Dep.12[[#This Row],[Số kỳ đã khấu hao]]),0)</f>
        <v>-1027777.7777777778</v>
      </c>
      <c r="AC107" s="181">
        <v>-1027777.7777777778</v>
      </c>
      <c r="AD107" s="181">
        <v>-1027777.7777777778</v>
      </c>
      <c r="AE107" s="181">
        <v>-1027777.7777777778</v>
      </c>
      <c r="AF107" s="181">
        <v>-1027777.7777777778</v>
      </c>
      <c r="AG107" s="181">
        <v>-1027777.7777777778</v>
      </c>
      <c r="AH107" s="181">
        <v>-1027777.7777777778</v>
      </c>
      <c r="AI107" s="181">
        <v>-1027777.7777777778</v>
      </c>
      <c r="AJ107" s="181">
        <v>-1027777.7777777778</v>
      </c>
      <c r="AK107" s="181">
        <v>-1027777.7777777778</v>
      </c>
      <c r="AL107" s="181">
        <v>-1027777.7777777778</v>
      </c>
      <c r="AM107" s="181">
        <v>-1027777.7777777778</v>
      </c>
      <c r="AN107" s="181">
        <v>-1027777.7777777778</v>
      </c>
      <c r="AO107" s="175">
        <f>SUM(Data_Dep.12[[#This Row],[KH_2601]:[KH_2612]])</f>
        <v>-12333333.333333334</v>
      </c>
      <c r="AP107" s="175">
        <f>Data_Dep.12[[#This Row],[Giá trị còn lại 31/12/25]]+Data_Dep.12[[#This Row],[KH LK 2026]]</f>
        <v>126416666.66666667</v>
      </c>
    </row>
    <row r="108" spans="1:42" x14ac:dyDescent="0.3">
      <c r="A108" s="169"/>
      <c r="B108" s="169"/>
      <c r="C108" s="170" t="s">
        <v>337</v>
      </c>
      <c r="D108" s="169" t="str">
        <f>_xlfn.XLOOKUP(Data_Dep.12[[#This Row],[Nhóm tài sản]],MD_Account_Asset_Type[Nhóm tài sản],MD_Account_Asset_Type[Tên Nhóm tài sản])</f>
        <v>Máy móc, thiết bị phụ - SX 627</v>
      </c>
      <c r="E108" s="171" t="s">
        <v>1037</v>
      </c>
      <c r="F108" s="170" t="s">
        <v>600</v>
      </c>
      <c r="G108" s="169" t="s">
        <v>830</v>
      </c>
      <c r="H108" s="170" t="s">
        <v>95</v>
      </c>
      <c r="I108" s="170" t="str">
        <f>_xlfn.XLOOKUP(Data_Dep.12[[#This Row],[Cost center]],MD_Cost_Center[Mã Cost Center],MD_Cost_Center[Tên Cost Center])</f>
        <v>Máy Trộn PET 10 Tấn MIX-06</v>
      </c>
      <c r="J108" s="172" t="str">
        <f>_xlfn.XLOOKUP(Data_Dep.12[[#This Row],[Cost center]],MD_Cost_Center[Mã Cost Center],MD_Cost_Center[Work center],"Check")</f>
        <v>MIX-06</v>
      </c>
      <c r="K108" s="169" t="str">
        <f>_xlfn.XLOOKUP(Data_Dep.12[[#This Row],[Nhóm tài sản]],MD_Account_Asset_Type[Nhóm tài sản],MD_Account_Asset_Type[Tài khoản KH],"Check")</f>
        <v>6274001906</v>
      </c>
      <c r="L108" s="173">
        <v>45778</v>
      </c>
      <c r="M108" s="174">
        <f>EDATE(Data_Dep.12[[#This Row],[Ngày bắt đầu KH]],Data_Dep.12[[#This Row],[T/G Khấu hao]])</f>
        <v>47604</v>
      </c>
      <c r="N108" s="175">
        <v>60</v>
      </c>
      <c r="O108" s="175">
        <v>258957539</v>
      </c>
      <c r="P108" s="176">
        <v>-21579795</v>
      </c>
      <c r="Q108" s="175">
        <f>Data_Dep.12[[#This Row],[Nguyên giá]]+Data_Dep.12[[#This Row],[KH lũy kế]]</f>
        <v>237377744</v>
      </c>
      <c r="R108" s="177">
        <v>-4315959</v>
      </c>
      <c r="S108" s="177">
        <v>-4315959</v>
      </c>
      <c r="T108" s="177">
        <v>-4315959</v>
      </c>
      <c r="U108" s="177">
        <f>SUM(Data_Dep.12[[#This Row],[KH_2510]:[KH_2512]])</f>
        <v>-12947877</v>
      </c>
      <c r="V108" s="175">
        <f>Data_Dep.12[[#This Row],[Nguyên giá]]+Data_Dep.12[[#This Row],[KH lũy kế]]+Data_Dep.12[[#This Row],[KH_Q4.25]]</f>
        <v>224429867</v>
      </c>
      <c r="W108" s="178">
        <f>ROUND(Data_Dep.12[[#This Row],[T/G Khấu hao]]-Data_Dep.12[[#This Row],[Giá trị còn lại 31/12/25]]/Data_Dep.12[[#This Row],[Nguyên giá]]*Data_Dep.12[[#This Row],[T/G Khấu hao]],0)</f>
        <v>8</v>
      </c>
      <c r="X108" s="179">
        <v>84</v>
      </c>
      <c r="Y108" s="175">
        <f>Data_Dep.12[[#This Row],[T/G Khấu hao]]+Data_Dep.12[[#This Row],[Điều chỉnh]]</f>
        <v>144</v>
      </c>
      <c r="Z108" s="180">
        <f>EDATE(Data_Dep.12[[#This Row],[Ngày bắt đầu KH]],Data_Dep.12[[#This Row],[T/G điều chỉnh]])</f>
        <v>50161</v>
      </c>
      <c r="AA108" s="175">
        <f>Data_Dep.12[[#This Row],[T/G điều chỉnh]]-Data_Dep.12[[#This Row],[Số kỳ đã khấu hao]]</f>
        <v>136</v>
      </c>
      <c r="AB108" s="175">
        <f>IFERROR(-Data_Dep.12[[#This Row],[Giá trị còn lại 31/12/25]]/(Data_Dep.12[[#This Row],[T/G điều chỉnh]]-Data_Dep.12[[#This Row],[Số kỳ đã khấu hao]]),0)</f>
        <v>-1650219.6102941176</v>
      </c>
      <c r="AC108" s="181">
        <v>-1650219.6102941176</v>
      </c>
      <c r="AD108" s="181">
        <v>-1650219.6102941176</v>
      </c>
      <c r="AE108" s="181">
        <v>-1650219.6102941176</v>
      </c>
      <c r="AF108" s="181">
        <v>-1650219.6102941176</v>
      </c>
      <c r="AG108" s="181">
        <v>-1650219.6102941176</v>
      </c>
      <c r="AH108" s="181">
        <v>-1650219.6102941176</v>
      </c>
      <c r="AI108" s="181">
        <v>-1650219.6102941176</v>
      </c>
      <c r="AJ108" s="181">
        <v>-1650219.6102941176</v>
      </c>
      <c r="AK108" s="181">
        <v>-1650219.6102941176</v>
      </c>
      <c r="AL108" s="181">
        <v>-1650219.6102941176</v>
      </c>
      <c r="AM108" s="181">
        <v>-1650219.6102941176</v>
      </c>
      <c r="AN108" s="181">
        <v>-1650219.6102941176</v>
      </c>
      <c r="AO108" s="175">
        <f>SUM(Data_Dep.12[[#This Row],[KH_2601]:[KH_2612]])</f>
        <v>-19802635.323529415</v>
      </c>
      <c r="AP108" s="175">
        <f>Data_Dep.12[[#This Row],[Giá trị còn lại 31/12/25]]+Data_Dep.12[[#This Row],[KH LK 2026]]</f>
        <v>204627231.67647058</v>
      </c>
    </row>
    <row r="109" spans="1:42" x14ac:dyDescent="0.3">
      <c r="A109" s="169"/>
      <c r="B109" s="169"/>
      <c r="C109" s="170" t="s">
        <v>337</v>
      </c>
      <c r="D109" s="169" t="str">
        <f>_xlfn.XLOOKUP(Data_Dep.12[[#This Row],[Nhóm tài sản]],MD_Account_Asset_Type[Nhóm tài sản],MD_Account_Asset_Type[Tên Nhóm tài sản])</f>
        <v>Máy móc, thiết bị phụ - SX 627</v>
      </c>
      <c r="E109" s="171" t="s">
        <v>1038</v>
      </c>
      <c r="F109" s="170" t="s">
        <v>601</v>
      </c>
      <c r="G109" s="169" t="s">
        <v>830</v>
      </c>
      <c r="H109" s="170" t="s">
        <v>63</v>
      </c>
      <c r="I109" s="170" t="str">
        <f>_xlfn.XLOOKUP(Data_Dep.12[[#This Row],[Cost center]],MD_Cost_Center[Mã Cost Center],MD_Cost_Center[Tên Cost Center])</f>
        <v>Chuyền băm chai PET Active</v>
      </c>
      <c r="J109" s="172" t="str">
        <f>_xlfn.XLOOKUP(Data_Dep.12[[#This Row],[Cost center]],MD_Cost_Center[Mã Cost Center],MD_Cost_Center[Work center],"Check")</f>
        <v>ACTI-B01</v>
      </c>
      <c r="K109" s="169" t="str">
        <f>_xlfn.XLOOKUP(Data_Dep.12[[#This Row],[Nhóm tài sản]],MD_Account_Asset_Type[Nhóm tài sản],MD_Account_Asset_Type[Tài khoản KH],"Check")</f>
        <v>6274001906</v>
      </c>
      <c r="L109" s="173">
        <v>45778</v>
      </c>
      <c r="M109" s="174">
        <f>EDATE(Data_Dep.12[[#This Row],[Ngày bắt đầu KH]],Data_Dep.12[[#This Row],[T/G Khấu hao]])</f>
        <v>47604</v>
      </c>
      <c r="N109" s="175">
        <v>60</v>
      </c>
      <c r="O109" s="175">
        <v>129302154</v>
      </c>
      <c r="P109" s="176">
        <v>-10775180</v>
      </c>
      <c r="Q109" s="175">
        <f>Data_Dep.12[[#This Row],[Nguyên giá]]+Data_Dep.12[[#This Row],[KH lũy kế]]</f>
        <v>118526974</v>
      </c>
      <c r="R109" s="177">
        <v>-2155035</v>
      </c>
      <c r="S109" s="177">
        <v>-2155036</v>
      </c>
      <c r="T109" s="177">
        <v>-2155036</v>
      </c>
      <c r="U109" s="177">
        <f>SUM(Data_Dep.12[[#This Row],[KH_2510]:[KH_2512]])</f>
        <v>-6465107</v>
      </c>
      <c r="V109" s="175">
        <f>Data_Dep.12[[#This Row],[Nguyên giá]]+Data_Dep.12[[#This Row],[KH lũy kế]]+Data_Dep.12[[#This Row],[KH_Q4.25]]</f>
        <v>112061867</v>
      </c>
      <c r="W109" s="178">
        <f>ROUND(Data_Dep.12[[#This Row],[T/G Khấu hao]]-Data_Dep.12[[#This Row],[Giá trị còn lại 31/12/25]]/Data_Dep.12[[#This Row],[Nguyên giá]]*Data_Dep.12[[#This Row],[T/G Khấu hao]],0)</f>
        <v>8</v>
      </c>
      <c r="X109" s="179">
        <v>84</v>
      </c>
      <c r="Y109" s="175">
        <f>Data_Dep.12[[#This Row],[T/G Khấu hao]]+Data_Dep.12[[#This Row],[Điều chỉnh]]</f>
        <v>144</v>
      </c>
      <c r="Z109" s="180">
        <f>EDATE(Data_Dep.12[[#This Row],[Ngày bắt đầu KH]],Data_Dep.12[[#This Row],[T/G điều chỉnh]])</f>
        <v>50161</v>
      </c>
      <c r="AA109" s="175">
        <f>Data_Dep.12[[#This Row],[T/G điều chỉnh]]-Data_Dep.12[[#This Row],[Số kỳ đã khấu hao]]</f>
        <v>136</v>
      </c>
      <c r="AB109" s="175">
        <f>IFERROR(-Data_Dep.12[[#This Row],[Giá trị còn lại 31/12/25]]/(Data_Dep.12[[#This Row],[T/G điều chỉnh]]-Data_Dep.12[[#This Row],[Số kỳ đã khấu hao]]),0)</f>
        <v>-823984.3161764706</v>
      </c>
      <c r="AC109" s="181">
        <v>-823984.3161764706</v>
      </c>
      <c r="AD109" s="181">
        <v>-823984.3161764706</v>
      </c>
      <c r="AE109" s="181">
        <v>-823984.3161764706</v>
      </c>
      <c r="AF109" s="181">
        <v>-823984.3161764706</v>
      </c>
      <c r="AG109" s="181">
        <v>-823984.3161764706</v>
      </c>
      <c r="AH109" s="181">
        <v>-823984.3161764706</v>
      </c>
      <c r="AI109" s="181">
        <v>-823984.3161764706</v>
      </c>
      <c r="AJ109" s="181">
        <v>-823984.3161764706</v>
      </c>
      <c r="AK109" s="181">
        <v>-823984.3161764706</v>
      </c>
      <c r="AL109" s="181">
        <v>-823984.3161764706</v>
      </c>
      <c r="AM109" s="181">
        <v>-823984.3161764706</v>
      </c>
      <c r="AN109" s="181">
        <v>-823984.3161764706</v>
      </c>
      <c r="AO109" s="175">
        <f>SUM(Data_Dep.12[[#This Row],[KH_2601]:[KH_2612]])</f>
        <v>-9887811.7941176463</v>
      </c>
      <c r="AP109" s="175">
        <f>Data_Dep.12[[#This Row],[Giá trị còn lại 31/12/25]]+Data_Dep.12[[#This Row],[KH LK 2026]]</f>
        <v>102174055.20588236</v>
      </c>
    </row>
    <row r="110" spans="1:42" x14ac:dyDescent="0.3">
      <c r="A110" s="169"/>
      <c r="B110" s="169"/>
      <c r="C110" s="170" t="s">
        <v>337</v>
      </c>
      <c r="D110" s="169" t="str">
        <f>_xlfn.XLOOKUP(Data_Dep.12[[#This Row],[Nhóm tài sản]],MD_Account_Asset_Type[Nhóm tài sản],MD_Account_Asset_Type[Tên Nhóm tài sản])</f>
        <v>Máy móc, thiết bị phụ - SX 627</v>
      </c>
      <c r="E110" s="171" t="s">
        <v>1039</v>
      </c>
      <c r="F110" s="170" t="s">
        <v>602</v>
      </c>
      <c r="G110" s="169" t="s">
        <v>830</v>
      </c>
      <c r="H110" s="170" t="s">
        <v>67</v>
      </c>
      <c r="I110" s="170" t="str">
        <f>_xlfn.XLOOKUP(Data_Dep.12[[#This Row],[Cost center]],MD_Cost_Center[Mã Cost Center],MD_Cost_Center[Tên Cost Center])</f>
        <v>Máy Tách màu Taiho + chuyền rửa lạnh F4</v>
      </c>
      <c r="J110" s="172" t="str">
        <f>_xlfn.XLOOKUP(Data_Dep.12[[#This Row],[Cost center]],MD_Cost_Center[Mã Cost Center],MD_Cost_Center[Work center],"Check")</f>
        <v>ACTI-R01</v>
      </c>
      <c r="K110" s="169" t="str">
        <f>_xlfn.XLOOKUP(Data_Dep.12[[#This Row],[Nhóm tài sản]],MD_Account_Asset_Type[Nhóm tài sản],MD_Account_Asset_Type[Tài khoản KH],"Check")</f>
        <v>6274001906</v>
      </c>
      <c r="L110" s="173">
        <v>45778</v>
      </c>
      <c r="M110" s="174">
        <f>EDATE(Data_Dep.12[[#This Row],[Ngày bắt đầu KH]],Data_Dep.12[[#This Row],[T/G Khấu hao]])</f>
        <v>47604</v>
      </c>
      <c r="N110" s="175">
        <v>60</v>
      </c>
      <c r="O110" s="175">
        <v>129302155</v>
      </c>
      <c r="P110" s="176">
        <v>-10775180</v>
      </c>
      <c r="Q110" s="175">
        <f>Data_Dep.12[[#This Row],[Nguyên giá]]+Data_Dep.12[[#This Row],[KH lũy kế]]</f>
        <v>118526975</v>
      </c>
      <c r="R110" s="177">
        <v>-2155036</v>
      </c>
      <c r="S110" s="177">
        <v>-2155035</v>
      </c>
      <c r="T110" s="177">
        <v>-2155036</v>
      </c>
      <c r="U110" s="177">
        <f>SUM(Data_Dep.12[[#This Row],[KH_2510]:[KH_2512]])</f>
        <v>-6465107</v>
      </c>
      <c r="V110" s="175">
        <f>Data_Dep.12[[#This Row],[Nguyên giá]]+Data_Dep.12[[#This Row],[KH lũy kế]]+Data_Dep.12[[#This Row],[KH_Q4.25]]</f>
        <v>112061868</v>
      </c>
      <c r="W110" s="178">
        <f>ROUND(Data_Dep.12[[#This Row],[T/G Khấu hao]]-Data_Dep.12[[#This Row],[Giá trị còn lại 31/12/25]]/Data_Dep.12[[#This Row],[Nguyên giá]]*Data_Dep.12[[#This Row],[T/G Khấu hao]],0)</f>
        <v>8</v>
      </c>
      <c r="X110" s="179">
        <v>84</v>
      </c>
      <c r="Y110" s="175">
        <f>Data_Dep.12[[#This Row],[T/G Khấu hao]]+Data_Dep.12[[#This Row],[Điều chỉnh]]</f>
        <v>144</v>
      </c>
      <c r="Z110" s="180">
        <f>EDATE(Data_Dep.12[[#This Row],[Ngày bắt đầu KH]],Data_Dep.12[[#This Row],[T/G điều chỉnh]])</f>
        <v>50161</v>
      </c>
      <c r="AA110" s="175">
        <f>Data_Dep.12[[#This Row],[T/G điều chỉnh]]-Data_Dep.12[[#This Row],[Số kỳ đã khấu hao]]</f>
        <v>136</v>
      </c>
      <c r="AB110" s="175">
        <f>IFERROR(-Data_Dep.12[[#This Row],[Giá trị còn lại 31/12/25]]/(Data_Dep.12[[#This Row],[T/G điều chỉnh]]-Data_Dep.12[[#This Row],[Số kỳ đã khấu hao]]),0)</f>
        <v>-823984.32352941181</v>
      </c>
      <c r="AC110" s="181">
        <v>-823984.32352941181</v>
      </c>
      <c r="AD110" s="181">
        <v>-823984.32352941181</v>
      </c>
      <c r="AE110" s="181">
        <v>-823984.32352941181</v>
      </c>
      <c r="AF110" s="181">
        <v>-823984.32352941181</v>
      </c>
      <c r="AG110" s="181">
        <v>-823984.32352941181</v>
      </c>
      <c r="AH110" s="181">
        <v>-823984.32352941181</v>
      </c>
      <c r="AI110" s="181">
        <v>-823984.32352941181</v>
      </c>
      <c r="AJ110" s="181">
        <v>-823984.32352941181</v>
      </c>
      <c r="AK110" s="181">
        <v>-823984.32352941181</v>
      </c>
      <c r="AL110" s="181">
        <v>-823984.32352941181</v>
      </c>
      <c r="AM110" s="181">
        <v>-823984.32352941181</v>
      </c>
      <c r="AN110" s="181">
        <v>-823984.32352941181</v>
      </c>
      <c r="AO110" s="175">
        <f>SUM(Data_Dep.12[[#This Row],[KH_2601]:[KH_2612]])</f>
        <v>-9887811.8823529426</v>
      </c>
      <c r="AP110" s="175">
        <f>Data_Dep.12[[#This Row],[Giá trị còn lại 31/12/25]]+Data_Dep.12[[#This Row],[KH LK 2026]]</f>
        <v>102174056.11764705</v>
      </c>
    </row>
    <row r="111" spans="1:42" x14ac:dyDescent="0.3">
      <c r="A111" s="169"/>
      <c r="B111" s="169"/>
      <c r="C111" s="170" t="s">
        <v>337</v>
      </c>
      <c r="D111" s="169" t="str">
        <f>_xlfn.XLOOKUP(Data_Dep.12[[#This Row],[Nhóm tài sản]],MD_Account_Asset_Type[Nhóm tài sản],MD_Account_Asset_Type[Tên Nhóm tài sản])</f>
        <v>Máy móc, thiết bị phụ - SX 627</v>
      </c>
      <c r="E111" s="171" t="s">
        <v>1040</v>
      </c>
      <c r="F111" s="170" t="s">
        <v>603</v>
      </c>
      <c r="G111" s="169" t="s">
        <v>830</v>
      </c>
      <c r="H111" s="170" t="s">
        <v>64</v>
      </c>
      <c r="I111" s="170" t="str">
        <f>_xlfn.XLOOKUP(Data_Dep.12[[#This Row],[Cost center]],MD_Cost_Center[Mã Cost Center],MD_Cost_Center[Tên Cost Center])</f>
        <v>Chuyền rửa vảy PET  số 2</v>
      </c>
      <c r="J111" s="172" t="str">
        <f>_xlfn.XLOOKUP(Data_Dep.12[[#This Row],[Cost center]],MD_Cost_Center[Mã Cost Center],MD_Cost_Center[Work center],"Check")</f>
        <v>CHWO-R02</v>
      </c>
      <c r="K111" s="169" t="str">
        <f>_xlfn.XLOOKUP(Data_Dep.12[[#This Row],[Nhóm tài sản]],MD_Account_Asset_Type[Nhóm tài sản],MD_Account_Asset_Type[Tài khoản KH],"Check")</f>
        <v>6274001906</v>
      </c>
      <c r="L111" s="173">
        <v>45778</v>
      </c>
      <c r="M111" s="174">
        <f>EDATE(Data_Dep.12[[#This Row],[Ngày bắt đầu KH]],Data_Dep.12[[#This Row],[T/G Khấu hao]])</f>
        <v>47604</v>
      </c>
      <c r="N111" s="175">
        <v>60</v>
      </c>
      <c r="O111" s="175">
        <v>258502218</v>
      </c>
      <c r="P111" s="176">
        <v>-21541852</v>
      </c>
      <c r="Q111" s="175">
        <f>Data_Dep.12[[#This Row],[Nguyên giá]]+Data_Dep.12[[#This Row],[KH lũy kế]]</f>
        <v>236960366</v>
      </c>
      <c r="R111" s="177">
        <v>-4308370</v>
      </c>
      <c r="S111" s="177">
        <v>-4308370</v>
      </c>
      <c r="T111" s="177">
        <v>-4308370</v>
      </c>
      <c r="U111" s="177">
        <f>SUM(Data_Dep.12[[#This Row],[KH_2510]:[KH_2512]])</f>
        <v>-12925110</v>
      </c>
      <c r="V111" s="175">
        <f>Data_Dep.12[[#This Row],[Nguyên giá]]+Data_Dep.12[[#This Row],[KH lũy kế]]+Data_Dep.12[[#This Row],[KH_Q4.25]]</f>
        <v>224035256</v>
      </c>
      <c r="W111" s="178">
        <f>ROUND(Data_Dep.12[[#This Row],[T/G Khấu hao]]-Data_Dep.12[[#This Row],[Giá trị còn lại 31/12/25]]/Data_Dep.12[[#This Row],[Nguyên giá]]*Data_Dep.12[[#This Row],[T/G Khấu hao]],0)</f>
        <v>8</v>
      </c>
      <c r="X111" s="179">
        <v>84</v>
      </c>
      <c r="Y111" s="175">
        <f>Data_Dep.12[[#This Row],[T/G Khấu hao]]+Data_Dep.12[[#This Row],[Điều chỉnh]]</f>
        <v>144</v>
      </c>
      <c r="Z111" s="180">
        <f>EDATE(Data_Dep.12[[#This Row],[Ngày bắt đầu KH]],Data_Dep.12[[#This Row],[T/G điều chỉnh]])</f>
        <v>50161</v>
      </c>
      <c r="AA111" s="175">
        <f>Data_Dep.12[[#This Row],[T/G điều chỉnh]]-Data_Dep.12[[#This Row],[Số kỳ đã khấu hao]]</f>
        <v>136</v>
      </c>
      <c r="AB111" s="175">
        <f>IFERROR(-Data_Dep.12[[#This Row],[Giá trị còn lại 31/12/25]]/(Data_Dep.12[[#This Row],[T/G điều chỉnh]]-Data_Dep.12[[#This Row],[Số kỳ đã khấu hao]]),0)</f>
        <v>-1647318.0588235294</v>
      </c>
      <c r="AC111" s="181">
        <v>-1647318.0588235294</v>
      </c>
      <c r="AD111" s="181">
        <v>-1647318.0588235294</v>
      </c>
      <c r="AE111" s="181">
        <v>-1647318.0588235294</v>
      </c>
      <c r="AF111" s="181">
        <v>-1647318.0588235294</v>
      </c>
      <c r="AG111" s="181">
        <v>-1647318.0588235294</v>
      </c>
      <c r="AH111" s="181">
        <v>-1647318.0588235294</v>
      </c>
      <c r="AI111" s="181">
        <v>-1647318.0588235294</v>
      </c>
      <c r="AJ111" s="181">
        <v>-1647318.0588235294</v>
      </c>
      <c r="AK111" s="181">
        <v>-1647318.0588235294</v>
      </c>
      <c r="AL111" s="181">
        <v>-1647318.0588235294</v>
      </c>
      <c r="AM111" s="181">
        <v>-1647318.0588235294</v>
      </c>
      <c r="AN111" s="181">
        <v>-1647318.0588235294</v>
      </c>
      <c r="AO111" s="175">
        <f>SUM(Data_Dep.12[[#This Row],[KH_2601]:[KH_2612]])</f>
        <v>-19767816.705882352</v>
      </c>
      <c r="AP111" s="175">
        <f>Data_Dep.12[[#This Row],[Giá trị còn lại 31/12/25]]+Data_Dep.12[[#This Row],[KH LK 2026]]</f>
        <v>204267439.29411766</v>
      </c>
    </row>
    <row r="112" spans="1:42" x14ac:dyDescent="0.3">
      <c r="A112" s="169"/>
      <c r="B112" s="169"/>
      <c r="C112" s="170" t="s">
        <v>337</v>
      </c>
      <c r="D112" s="169" t="str">
        <f>_xlfn.XLOOKUP(Data_Dep.12[[#This Row],[Nhóm tài sản]],MD_Account_Asset_Type[Nhóm tài sản],MD_Account_Asset_Type[Tên Nhóm tài sản])</f>
        <v>Máy móc, thiết bị phụ - SX 627</v>
      </c>
      <c r="E112" s="171" t="s">
        <v>1041</v>
      </c>
      <c r="F112" s="170" t="s">
        <v>604</v>
      </c>
      <c r="G112" s="169" t="s">
        <v>830</v>
      </c>
      <c r="H112" s="170" t="s">
        <v>71</v>
      </c>
      <c r="I112" s="170" t="str">
        <f>_xlfn.XLOOKUP(Data_Dep.12[[#This Row],[Cost center]],MD_Cost_Center[Mã Cost Center],MD_Cost_Center[Tên Cost Center])</f>
        <v>Chuyền rửa vảy PET số 3 ( Boretech)</v>
      </c>
      <c r="J112" s="172" t="str">
        <f>_xlfn.XLOOKUP(Data_Dep.12[[#This Row],[Cost center]],MD_Cost_Center[Mã Cost Center],MD_Cost_Center[Work center],"Check")</f>
        <v>BORE-R01</v>
      </c>
      <c r="K112" s="169" t="str">
        <f>_xlfn.XLOOKUP(Data_Dep.12[[#This Row],[Nhóm tài sản]],MD_Account_Asset_Type[Nhóm tài sản],MD_Account_Asset_Type[Tài khoản KH],"Check")</f>
        <v>6274001906</v>
      </c>
      <c r="L112" s="173">
        <v>45839</v>
      </c>
      <c r="M112" s="174">
        <f>EDATE(Data_Dep.12[[#This Row],[Ngày bắt đầu KH]],Data_Dep.12[[#This Row],[T/G Khấu hao]])</f>
        <v>47665</v>
      </c>
      <c r="N112" s="175">
        <v>60</v>
      </c>
      <c r="O112" s="175">
        <v>293784258</v>
      </c>
      <c r="P112" s="176">
        <v>-13484213</v>
      </c>
      <c r="Q112" s="175">
        <f>Data_Dep.12[[#This Row],[Nguyên giá]]+Data_Dep.12[[#This Row],[KH lũy kế]]</f>
        <v>280300045</v>
      </c>
      <c r="R112" s="177">
        <v>-6101404</v>
      </c>
      <c r="S112" s="177">
        <v>-4896405</v>
      </c>
      <c r="T112" s="177">
        <v>-4896404</v>
      </c>
      <c r="U112" s="177">
        <f>SUM(Data_Dep.12[[#This Row],[KH_2510]:[KH_2512]])</f>
        <v>-15894213</v>
      </c>
      <c r="V112" s="175">
        <f>Data_Dep.12[[#This Row],[Nguyên giá]]+Data_Dep.12[[#This Row],[KH lũy kế]]+Data_Dep.12[[#This Row],[KH_Q4.25]]</f>
        <v>264405832</v>
      </c>
      <c r="W112" s="178">
        <f>ROUND(Data_Dep.12[[#This Row],[T/G Khấu hao]]-Data_Dep.12[[#This Row],[Giá trị còn lại 31/12/25]]/Data_Dep.12[[#This Row],[Nguyên giá]]*Data_Dep.12[[#This Row],[T/G Khấu hao]],0)</f>
        <v>6</v>
      </c>
      <c r="X112" s="179">
        <v>84</v>
      </c>
      <c r="Y112" s="175">
        <f>Data_Dep.12[[#This Row],[T/G Khấu hao]]+Data_Dep.12[[#This Row],[Điều chỉnh]]</f>
        <v>144</v>
      </c>
      <c r="Z112" s="180">
        <f>EDATE(Data_Dep.12[[#This Row],[Ngày bắt đầu KH]],Data_Dep.12[[#This Row],[T/G điều chỉnh]])</f>
        <v>50222</v>
      </c>
      <c r="AA112" s="175">
        <f>Data_Dep.12[[#This Row],[T/G điều chỉnh]]-Data_Dep.12[[#This Row],[Số kỳ đã khấu hao]]</f>
        <v>138</v>
      </c>
      <c r="AB112" s="175">
        <f>IFERROR(-Data_Dep.12[[#This Row],[Giá trị còn lại 31/12/25]]/(Data_Dep.12[[#This Row],[T/G điều chỉnh]]-Data_Dep.12[[#This Row],[Số kỳ đã khấu hao]]),0)</f>
        <v>-1915984.2898550725</v>
      </c>
      <c r="AC112" s="181">
        <v>-1915984.2898550725</v>
      </c>
      <c r="AD112" s="181">
        <v>-1915984.2898550725</v>
      </c>
      <c r="AE112" s="181">
        <v>-1915984.2898550725</v>
      </c>
      <c r="AF112" s="181">
        <v>-1915984.2898550725</v>
      </c>
      <c r="AG112" s="181">
        <v>-1915984.2898550725</v>
      </c>
      <c r="AH112" s="181">
        <v>-1915984.2898550725</v>
      </c>
      <c r="AI112" s="181">
        <v>-1915984.2898550725</v>
      </c>
      <c r="AJ112" s="181">
        <v>-1915984.2898550725</v>
      </c>
      <c r="AK112" s="181">
        <v>-1915984.2898550725</v>
      </c>
      <c r="AL112" s="181">
        <v>-1915984.2898550725</v>
      </c>
      <c r="AM112" s="181">
        <v>-1915984.2898550725</v>
      </c>
      <c r="AN112" s="181">
        <v>-1915984.2898550725</v>
      </c>
      <c r="AO112" s="175">
        <f>SUM(Data_Dep.12[[#This Row],[KH_2601]:[KH_2612]])</f>
        <v>-22991811.478260875</v>
      </c>
      <c r="AP112" s="175">
        <f>Data_Dep.12[[#This Row],[Giá trị còn lại 31/12/25]]+Data_Dep.12[[#This Row],[KH LK 2026]]</f>
        <v>241414020.52173913</v>
      </c>
    </row>
    <row r="113" spans="1:42" x14ac:dyDescent="0.3">
      <c r="A113" s="169"/>
      <c r="B113" s="169"/>
      <c r="C113" s="170" t="s">
        <v>337</v>
      </c>
      <c r="D113" s="169" t="str">
        <f>_xlfn.XLOOKUP(Data_Dep.12[[#This Row],[Nhóm tài sản]],MD_Account_Asset_Type[Nhóm tài sản],MD_Account_Asset_Type[Tên Nhóm tài sản])</f>
        <v>Máy móc, thiết bị phụ - SX 627</v>
      </c>
      <c r="E113" s="171" t="s">
        <v>1042</v>
      </c>
      <c r="F113" s="170" t="s">
        <v>605</v>
      </c>
      <c r="G113" s="169" t="s">
        <v>830</v>
      </c>
      <c r="H113" s="170" t="s">
        <v>65</v>
      </c>
      <c r="I113" s="170" t="str">
        <f>_xlfn.XLOOKUP(Data_Dep.12[[#This Row],[Cost center]],MD_Cost_Center[Mã Cost Center],MD_Cost_Center[Tên Cost Center])</f>
        <v>Chuyền băm chai PET số 2</v>
      </c>
      <c r="J113" s="172" t="str">
        <f>_xlfn.XLOOKUP(Data_Dep.12[[#This Row],[Cost center]],MD_Cost_Center[Mã Cost Center],MD_Cost_Center[Work center],"Check")</f>
        <v>CHWO-B02</v>
      </c>
      <c r="K113" s="169" t="str">
        <f>_xlfn.XLOOKUP(Data_Dep.12[[#This Row],[Nhóm tài sản]],MD_Account_Asset_Type[Nhóm tài sản],MD_Account_Asset_Type[Tài khoản KH],"Check")</f>
        <v>6274001906</v>
      </c>
      <c r="L113" s="173">
        <v>45870</v>
      </c>
      <c r="M113" s="174">
        <f>EDATE(Data_Dep.12[[#This Row],[Ngày bắt đầu KH]],Data_Dep.12[[#This Row],[T/G Khấu hao]])</f>
        <v>47696</v>
      </c>
      <c r="N113" s="175">
        <v>60</v>
      </c>
      <c r="O113" s="175">
        <v>204685486</v>
      </c>
      <c r="P113" s="176">
        <v>-6822850</v>
      </c>
      <c r="Q113" s="175">
        <f>Data_Dep.12[[#This Row],[Nguyên giá]]+Data_Dep.12[[#This Row],[KH lũy kế]]</f>
        <v>197862636</v>
      </c>
      <c r="R113" s="177">
        <v>-3411424</v>
      </c>
      <c r="S113" s="177">
        <v>-3411425</v>
      </c>
      <c r="T113" s="177">
        <v>-3411425</v>
      </c>
      <c r="U113" s="177">
        <f>SUM(Data_Dep.12[[#This Row],[KH_2510]:[KH_2512]])</f>
        <v>-10234274</v>
      </c>
      <c r="V113" s="175">
        <f>Data_Dep.12[[#This Row],[Nguyên giá]]+Data_Dep.12[[#This Row],[KH lũy kế]]+Data_Dep.12[[#This Row],[KH_Q4.25]]</f>
        <v>187628362</v>
      </c>
      <c r="W113" s="178">
        <f>ROUND(Data_Dep.12[[#This Row],[T/G Khấu hao]]-Data_Dep.12[[#This Row],[Giá trị còn lại 31/12/25]]/Data_Dep.12[[#This Row],[Nguyên giá]]*Data_Dep.12[[#This Row],[T/G Khấu hao]],0)</f>
        <v>5</v>
      </c>
      <c r="X113" s="179">
        <v>84</v>
      </c>
      <c r="Y113" s="175">
        <f>Data_Dep.12[[#This Row],[T/G Khấu hao]]+Data_Dep.12[[#This Row],[Điều chỉnh]]</f>
        <v>144</v>
      </c>
      <c r="Z113" s="180">
        <f>EDATE(Data_Dep.12[[#This Row],[Ngày bắt đầu KH]],Data_Dep.12[[#This Row],[T/G điều chỉnh]])</f>
        <v>50253</v>
      </c>
      <c r="AA113" s="175">
        <f>Data_Dep.12[[#This Row],[T/G điều chỉnh]]-Data_Dep.12[[#This Row],[Số kỳ đã khấu hao]]</f>
        <v>139</v>
      </c>
      <c r="AB113" s="175">
        <f>IFERROR(-Data_Dep.12[[#This Row],[Giá trị còn lại 31/12/25]]/(Data_Dep.12[[#This Row],[T/G điều chỉnh]]-Data_Dep.12[[#This Row],[Số kỳ đã khấu hao]]),0)</f>
        <v>-1349844.3309352519</v>
      </c>
      <c r="AC113" s="181">
        <v>-1349844.3309352519</v>
      </c>
      <c r="AD113" s="181">
        <v>-1349844.3309352519</v>
      </c>
      <c r="AE113" s="181">
        <v>-1349844.3309352519</v>
      </c>
      <c r="AF113" s="181">
        <v>-1349844.3309352519</v>
      </c>
      <c r="AG113" s="181">
        <v>-1349844.3309352519</v>
      </c>
      <c r="AH113" s="181">
        <v>-1349844.3309352519</v>
      </c>
      <c r="AI113" s="181">
        <v>-1349844.3309352519</v>
      </c>
      <c r="AJ113" s="181">
        <v>-1349844.3309352519</v>
      </c>
      <c r="AK113" s="181">
        <v>-1349844.3309352519</v>
      </c>
      <c r="AL113" s="181">
        <v>-1349844.3309352519</v>
      </c>
      <c r="AM113" s="181">
        <v>-1349844.3309352519</v>
      </c>
      <c r="AN113" s="181">
        <v>-1349844.3309352519</v>
      </c>
      <c r="AO113" s="175">
        <f>SUM(Data_Dep.12[[#This Row],[KH_2601]:[KH_2612]])</f>
        <v>-16198131.971223019</v>
      </c>
      <c r="AP113" s="175">
        <f>Data_Dep.12[[#This Row],[Giá trị còn lại 31/12/25]]+Data_Dep.12[[#This Row],[KH LK 2026]]</f>
        <v>171430230.02877697</v>
      </c>
    </row>
    <row r="114" spans="1:42" x14ac:dyDescent="0.3">
      <c r="A114" s="169"/>
      <c r="B114" s="169"/>
      <c r="C114" s="170" t="s">
        <v>337</v>
      </c>
      <c r="D114" s="169" t="str">
        <f>_xlfn.XLOOKUP(Data_Dep.12[[#This Row],[Nhóm tài sản]],MD_Account_Asset_Type[Nhóm tài sản],MD_Account_Asset_Type[Tên Nhóm tài sản])</f>
        <v>Máy móc, thiết bị phụ - SX 627</v>
      </c>
      <c r="E114" s="171" t="s">
        <v>1043</v>
      </c>
      <c r="F114" s="170" t="s">
        <v>606</v>
      </c>
      <c r="G114" s="169" t="s">
        <v>830</v>
      </c>
      <c r="H114" s="170" t="s">
        <v>61</v>
      </c>
      <c r="I114" s="170" t="str">
        <f>_xlfn.XLOOKUP(Data_Dep.12[[#This Row],[Cost center]],MD_Cost_Center[Mã Cost Center],MD_Cost_Center[Tên Cost Center])</f>
        <v>Chuyền băm chai PET</v>
      </c>
      <c r="J114" s="172" t="str">
        <f>_xlfn.XLOOKUP(Data_Dep.12[[#This Row],[Cost center]],MD_Cost_Center[Mã Cost Center],MD_Cost_Center[Work center],"Check")</f>
        <v>CHWO-B01</v>
      </c>
      <c r="K114" s="169" t="str">
        <f>_xlfn.XLOOKUP(Data_Dep.12[[#This Row],[Nhóm tài sản]],MD_Account_Asset_Type[Nhóm tài sản],MD_Account_Asset_Type[Tài khoản KH],"Check")</f>
        <v>6274001906</v>
      </c>
      <c r="L114" s="173">
        <v>45870</v>
      </c>
      <c r="M114" s="174">
        <f>EDATE(Data_Dep.12[[#This Row],[Ngày bắt đầu KH]],Data_Dep.12[[#This Row],[T/G Khấu hao]])</f>
        <v>47696</v>
      </c>
      <c r="N114" s="175">
        <v>60</v>
      </c>
      <c r="O114" s="175">
        <v>204685486</v>
      </c>
      <c r="P114" s="176">
        <v>-6822850</v>
      </c>
      <c r="Q114" s="175">
        <f>Data_Dep.12[[#This Row],[Nguyên giá]]+Data_Dep.12[[#This Row],[KH lũy kế]]</f>
        <v>197862636</v>
      </c>
      <c r="R114" s="177">
        <v>-3411424</v>
      </c>
      <c r="S114" s="177">
        <v>-3411425</v>
      </c>
      <c r="T114" s="177">
        <v>-3411425</v>
      </c>
      <c r="U114" s="177">
        <f>SUM(Data_Dep.12[[#This Row],[KH_2510]:[KH_2512]])</f>
        <v>-10234274</v>
      </c>
      <c r="V114" s="175">
        <f>Data_Dep.12[[#This Row],[Nguyên giá]]+Data_Dep.12[[#This Row],[KH lũy kế]]+Data_Dep.12[[#This Row],[KH_Q4.25]]</f>
        <v>187628362</v>
      </c>
      <c r="W114" s="178">
        <f>ROUND(Data_Dep.12[[#This Row],[T/G Khấu hao]]-Data_Dep.12[[#This Row],[Giá trị còn lại 31/12/25]]/Data_Dep.12[[#This Row],[Nguyên giá]]*Data_Dep.12[[#This Row],[T/G Khấu hao]],0)</f>
        <v>5</v>
      </c>
      <c r="X114" s="179">
        <v>84</v>
      </c>
      <c r="Y114" s="175">
        <f>Data_Dep.12[[#This Row],[T/G Khấu hao]]+Data_Dep.12[[#This Row],[Điều chỉnh]]</f>
        <v>144</v>
      </c>
      <c r="Z114" s="180">
        <f>EDATE(Data_Dep.12[[#This Row],[Ngày bắt đầu KH]],Data_Dep.12[[#This Row],[T/G điều chỉnh]])</f>
        <v>50253</v>
      </c>
      <c r="AA114" s="175">
        <f>Data_Dep.12[[#This Row],[T/G điều chỉnh]]-Data_Dep.12[[#This Row],[Số kỳ đã khấu hao]]</f>
        <v>139</v>
      </c>
      <c r="AB114" s="175">
        <f>IFERROR(-Data_Dep.12[[#This Row],[Giá trị còn lại 31/12/25]]/(Data_Dep.12[[#This Row],[T/G điều chỉnh]]-Data_Dep.12[[#This Row],[Số kỳ đã khấu hao]]),0)</f>
        <v>-1349844.3309352519</v>
      </c>
      <c r="AC114" s="181">
        <v>-1349844.3309352519</v>
      </c>
      <c r="AD114" s="181">
        <v>-1349844.3309352519</v>
      </c>
      <c r="AE114" s="181">
        <v>-1349844.3309352519</v>
      </c>
      <c r="AF114" s="181">
        <v>-1349844.3309352519</v>
      </c>
      <c r="AG114" s="181">
        <v>-1349844.3309352519</v>
      </c>
      <c r="AH114" s="181">
        <v>-1349844.3309352519</v>
      </c>
      <c r="AI114" s="181">
        <v>-1349844.3309352519</v>
      </c>
      <c r="AJ114" s="181">
        <v>-1349844.3309352519</v>
      </c>
      <c r="AK114" s="181">
        <v>-1349844.3309352519</v>
      </c>
      <c r="AL114" s="181">
        <v>-1349844.3309352519</v>
      </c>
      <c r="AM114" s="181">
        <v>-1349844.3309352519</v>
      </c>
      <c r="AN114" s="181">
        <v>-1349844.3309352519</v>
      </c>
      <c r="AO114" s="175">
        <f>SUM(Data_Dep.12[[#This Row],[KH_2601]:[KH_2612]])</f>
        <v>-16198131.971223019</v>
      </c>
      <c r="AP114" s="175">
        <f>Data_Dep.12[[#This Row],[Giá trị còn lại 31/12/25]]+Data_Dep.12[[#This Row],[KH LK 2026]]</f>
        <v>171430230.02877697</v>
      </c>
    </row>
    <row r="115" spans="1:42" x14ac:dyDescent="0.3">
      <c r="A115" s="169"/>
      <c r="B115" s="169"/>
      <c r="C115" s="170" t="s">
        <v>337</v>
      </c>
      <c r="D115" s="169" t="str">
        <f>_xlfn.XLOOKUP(Data_Dep.12[[#This Row],[Nhóm tài sản]],MD_Account_Asset_Type[Nhóm tài sản],MD_Account_Asset_Type[Tên Nhóm tài sản])</f>
        <v>Máy móc, thiết bị phụ - SX 627</v>
      </c>
      <c r="E115" s="171" t="s">
        <v>1046</v>
      </c>
      <c r="F115" s="170" t="s">
        <v>607</v>
      </c>
      <c r="G115" s="169" t="s">
        <v>830</v>
      </c>
      <c r="H115" s="170" t="s">
        <v>47</v>
      </c>
      <c r="I115" s="170" t="str">
        <f>_xlfn.XLOOKUP(Data_Dep.12[[#This Row],[Cost center]],MD_Cost_Center[Mã Cost Center],MD_Cost_Center[Tên Cost Center])</f>
        <v>Nghiên Cứu &amp; Phát Triển</v>
      </c>
      <c r="J115" s="172">
        <f>_xlfn.XLOOKUP(Data_Dep.12[[#This Row],[Cost center]],MD_Cost_Center[Mã Cost Center],MD_Cost_Center[Work center],"Check")</f>
        <v>0</v>
      </c>
      <c r="K115" s="169" t="str">
        <f>_xlfn.XLOOKUP(Data_Dep.12[[#This Row],[Nhóm tài sản]],MD_Account_Asset_Type[Nhóm tài sản],MD_Account_Asset_Type[Tài khoản KH],"Check")</f>
        <v>6274001906</v>
      </c>
      <c r="L115" s="173">
        <v>45901</v>
      </c>
      <c r="M115" s="174">
        <f>EDATE(Data_Dep.12[[#This Row],[Ngày bắt đầu KH]],Data_Dep.12[[#This Row],[T/G Khấu hao]])</f>
        <v>47727</v>
      </c>
      <c r="N115" s="175">
        <v>60</v>
      </c>
      <c r="O115" s="175">
        <v>995280138</v>
      </c>
      <c r="P115" s="176">
        <v>-16588002</v>
      </c>
      <c r="Q115" s="175">
        <f>Data_Dep.12[[#This Row],[Nguyên giá]]+Data_Dep.12[[#This Row],[KH lũy kế]]</f>
        <v>978692136</v>
      </c>
      <c r="R115" s="177">
        <v>-16588003</v>
      </c>
      <c r="S115" s="177">
        <v>-16588002</v>
      </c>
      <c r="T115" s="177">
        <v>-16588002</v>
      </c>
      <c r="U115" s="177">
        <f>SUM(Data_Dep.12[[#This Row],[KH_2510]:[KH_2512]])</f>
        <v>-49764007</v>
      </c>
      <c r="V115" s="175">
        <f>Data_Dep.12[[#This Row],[Nguyên giá]]+Data_Dep.12[[#This Row],[KH lũy kế]]+Data_Dep.12[[#This Row],[KH_Q4.25]]</f>
        <v>928928129</v>
      </c>
      <c r="W115" s="178">
        <f>ROUND(Data_Dep.12[[#This Row],[T/G Khấu hao]]-Data_Dep.12[[#This Row],[Giá trị còn lại 31/12/25]]/Data_Dep.12[[#This Row],[Nguyên giá]]*Data_Dep.12[[#This Row],[T/G Khấu hao]],0)</f>
        <v>4</v>
      </c>
      <c r="X115" s="179">
        <v>84</v>
      </c>
      <c r="Y115" s="175">
        <f>Data_Dep.12[[#This Row],[T/G Khấu hao]]+Data_Dep.12[[#This Row],[Điều chỉnh]]</f>
        <v>144</v>
      </c>
      <c r="Z115" s="180">
        <f>EDATE(Data_Dep.12[[#This Row],[Ngày bắt đầu KH]],Data_Dep.12[[#This Row],[T/G điều chỉnh]])</f>
        <v>50284</v>
      </c>
      <c r="AA115" s="175">
        <f>Data_Dep.12[[#This Row],[T/G điều chỉnh]]-Data_Dep.12[[#This Row],[Số kỳ đã khấu hao]]</f>
        <v>140</v>
      </c>
      <c r="AB115" s="175">
        <f>IFERROR(-Data_Dep.12[[#This Row],[Giá trị còn lại 31/12/25]]/(Data_Dep.12[[#This Row],[T/G điều chỉnh]]-Data_Dep.12[[#This Row],[Số kỳ đã khấu hao]]),0)</f>
        <v>-6635200.9214285715</v>
      </c>
      <c r="AC115" s="181">
        <v>-6635200.9214285715</v>
      </c>
      <c r="AD115" s="181">
        <v>-6635200.9214285715</v>
      </c>
      <c r="AE115" s="181">
        <v>-6635200.9214285715</v>
      </c>
      <c r="AF115" s="181">
        <v>-6635200.9214285715</v>
      </c>
      <c r="AG115" s="181">
        <v>-6635200.9214285715</v>
      </c>
      <c r="AH115" s="181">
        <v>-6635200.9214285715</v>
      </c>
      <c r="AI115" s="181">
        <v>-6635200.9214285715</v>
      </c>
      <c r="AJ115" s="181">
        <v>-6635200.9214285715</v>
      </c>
      <c r="AK115" s="181">
        <v>-6635200.9214285715</v>
      </c>
      <c r="AL115" s="181">
        <v>-6635200.9214285715</v>
      </c>
      <c r="AM115" s="181">
        <v>-6635200.9214285715</v>
      </c>
      <c r="AN115" s="181">
        <v>-6635200.9214285715</v>
      </c>
      <c r="AO115" s="175">
        <f>SUM(Data_Dep.12[[#This Row],[KH_2601]:[KH_2612]])</f>
        <v>-79622411.057142854</v>
      </c>
      <c r="AP115" s="175">
        <f>Data_Dep.12[[#This Row],[Giá trị còn lại 31/12/25]]+Data_Dep.12[[#This Row],[KH LK 2026]]</f>
        <v>849305717.94285715</v>
      </c>
    </row>
    <row r="116" spans="1:42" x14ac:dyDescent="0.3">
      <c r="A116" s="169"/>
      <c r="B116" s="169"/>
      <c r="C116" s="170" t="s">
        <v>337</v>
      </c>
      <c r="D116" s="169" t="str">
        <f>_xlfn.XLOOKUP(Data_Dep.12[[#This Row],[Nhóm tài sản]],MD_Account_Asset_Type[Nhóm tài sản],MD_Account_Asset_Type[Tên Nhóm tài sản])</f>
        <v>Máy móc, thiết bị phụ - SX 627</v>
      </c>
      <c r="E116" s="171" t="s">
        <v>1049</v>
      </c>
      <c r="F116" s="170" t="s">
        <v>608</v>
      </c>
      <c r="G116" s="169" t="s">
        <v>830</v>
      </c>
      <c r="H116" s="170" t="s">
        <v>79</v>
      </c>
      <c r="I116" s="170" t="str">
        <f>_xlfn.XLOOKUP(Data_Dep.12[[#This Row],[Cost center]],MD_Cost_Center[Mã Cost Center],MD_Cost_Center[Tên Cost Center])</f>
        <v>Chuyền tạo hạt rPET starlinger 330</v>
      </c>
      <c r="J116" s="172" t="str">
        <f>_xlfn.XLOOKUP(Data_Dep.12[[#This Row],[Cost center]],MD_Cost_Center[Mã Cost Center],MD_Cost_Center[Work center],"Check")</f>
        <v>STAR-03</v>
      </c>
      <c r="K116" s="169" t="str">
        <f>_xlfn.XLOOKUP(Data_Dep.12[[#This Row],[Nhóm tài sản]],MD_Account_Asset_Type[Nhóm tài sản],MD_Account_Asset_Type[Tài khoản KH],"Check")</f>
        <v>6274001906</v>
      </c>
      <c r="L116" s="173">
        <v>45901</v>
      </c>
      <c r="M116" s="174">
        <f>EDATE(Data_Dep.12[[#This Row],[Ngày bắt đầu KH]],Data_Dep.12[[#This Row],[T/G Khấu hao]])</f>
        <v>48823</v>
      </c>
      <c r="N116" s="175">
        <v>96</v>
      </c>
      <c r="O116" s="175">
        <v>9194024100</v>
      </c>
      <c r="P116" s="176">
        <v>-153233735</v>
      </c>
      <c r="Q116" s="175">
        <f>Data_Dep.12[[#This Row],[Nguyên giá]]+Data_Dep.12[[#This Row],[KH lũy kế]]</f>
        <v>9040790365</v>
      </c>
      <c r="R116" s="177">
        <v>-38308434</v>
      </c>
      <c r="S116" s="177">
        <v>-95771084</v>
      </c>
      <c r="T116" s="177">
        <v>-95771085</v>
      </c>
      <c r="U116" s="177">
        <f>SUM(Data_Dep.12[[#This Row],[KH_2510]:[KH_2512]])</f>
        <v>-229850603</v>
      </c>
      <c r="V116" s="175">
        <f>Data_Dep.12[[#This Row],[Nguyên giá]]+Data_Dep.12[[#This Row],[KH lũy kế]]+Data_Dep.12[[#This Row],[KH_Q4.25]]</f>
        <v>8810939762</v>
      </c>
      <c r="W116" s="178">
        <f>ROUND(Data_Dep.12[[#This Row],[T/G Khấu hao]]-Data_Dep.12[[#This Row],[Giá trị còn lại 31/12/25]]/Data_Dep.12[[#This Row],[Nguyên giá]]*Data_Dep.12[[#This Row],[T/G Khấu hao]],0)</f>
        <v>4</v>
      </c>
      <c r="X116" s="179">
        <v>48</v>
      </c>
      <c r="Y116" s="175">
        <f>Data_Dep.12[[#This Row],[T/G Khấu hao]]+Data_Dep.12[[#This Row],[Điều chỉnh]]</f>
        <v>144</v>
      </c>
      <c r="Z116" s="180">
        <f>EDATE(Data_Dep.12[[#This Row],[Ngày bắt đầu KH]],Data_Dep.12[[#This Row],[T/G điều chỉnh]])</f>
        <v>50284</v>
      </c>
      <c r="AA116" s="175">
        <f>Data_Dep.12[[#This Row],[T/G điều chỉnh]]-Data_Dep.12[[#This Row],[Số kỳ đã khấu hao]]</f>
        <v>140</v>
      </c>
      <c r="AB116" s="175">
        <f>IFERROR(-Data_Dep.12[[#This Row],[Giá trị còn lại 31/12/25]]/(Data_Dep.12[[#This Row],[T/G điều chỉnh]]-Data_Dep.12[[#This Row],[Số kỳ đã khấu hao]]),0)</f>
        <v>-62935284.014285713</v>
      </c>
      <c r="AC116" s="181">
        <v>-62935284.014285713</v>
      </c>
      <c r="AD116" s="181">
        <v>-62935284.014285713</v>
      </c>
      <c r="AE116" s="181">
        <v>-62935284.014285713</v>
      </c>
      <c r="AF116" s="181">
        <v>-62935284.014285713</v>
      </c>
      <c r="AG116" s="181">
        <v>-62935284.014285713</v>
      </c>
      <c r="AH116" s="181">
        <v>-62935284.014285713</v>
      </c>
      <c r="AI116" s="181">
        <v>-62935284.014285713</v>
      </c>
      <c r="AJ116" s="181">
        <v>-62935284.014285713</v>
      </c>
      <c r="AK116" s="181">
        <v>-62935284.014285713</v>
      </c>
      <c r="AL116" s="181">
        <v>-62935284.014285713</v>
      </c>
      <c r="AM116" s="181">
        <v>-62935284.014285713</v>
      </c>
      <c r="AN116" s="181">
        <v>-62935284.014285713</v>
      </c>
      <c r="AO116" s="175">
        <f>SUM(Data_Dep.12[[#This Row],[KH_2601]:[KH_2612]])</f>
        <v>-755223408.17142832</v>
      </c>
      <c r="AP116" s="175">
        <f>Data_Dep.12[[#This Row],[Giá trị còn lại 31/12/25]]+Data_Dep.12[[#This Row],[KH LK 2026]]</f>
        <v>8055716353.8285713</v>
      </c>
    </row>
    <row r="117" spans="1:42" x14ac:dyDescent="0.3">
      <c r="A117" s="169"/>
      <c r="B117" s="169"/>
      <c r="C117" s="170" t="s">
        <v>337</v>
      </c>
      <c r="D117" s="169" t="str">
        <f>_xlfn.XLOOKUP(Data_Dep.12[[#This Row],[Nhóm tài sản]],MD_Account_Asset_Type[Nhóm tài sản],MD_Account_Asset_Type[Tên Nhóm tài sản])</f>
        <v>Máy móc, thiết bị phụ - SX 627</v>
      </c>
      <c r="E117" s="171" t="s">
        <v>1050</v>
      </c>
      <c r="F117" s="170" t="s">
        <v>609</v>
      </c>
      <c r="G117" s="169" t="s">
        <v>830</v>
      </c>
      <c r="H117" s="170" t="s">
        <v>80</v>
      </c>
      <c r="I117" s="170" t="str">
        <f>_xlfn.XLOOKUP(Data_Dep.12[[#This Row],[Cost center]],MD_Cost_Center[Mã Cost Center],MD_Cost_Center[Tên Cost Center])</f>
        <v>Chuyền nâng IV hạt rPET -SSP02</v>
      </c>
      <c r="J117" s="172" t="str">
        <f>_xlfn.XLOOKUP(Data_Dep.12[[#This Row],[Cost center]],MD_Cost_Center[Mã Cost Center],MD_Cost_Center[Work center],"Check")</f>
        <v>SSP-02</v>
      </c>
      <c r="K117" s="169" t="str">
        <f>_xlfn.XLOOKUP(Data_Dep.12[[#This Row],[Nhóm tài sản]],MD_Account_Asset_Type[Nhóm tài sản],MD_Account_Asset_Type[Tài khoản KH],"Check")</f>
        <v>6274001906</v>
      </c>
      <c r="L117" s="173">
        <v>45901</v>
      </c>
      <c r="M117" s="174">
        <f>EDATE(Data_Dep.12[[#This Row],[Ngày bắt đầu KH]],Data_Dep.12[[#This Row],[T/G Khấu hao]])</f>
        <v>48823</v>
      </c>
      <c r="N117" s="175">
        <v>96</v>
      </c>
      <c r="O117" s="175">
        <v>9194024100</v>
      </c>
      <c r="P117" s="176">
        <v>-153233735</v>
      </c>
      <c r="Q117" s="175">
        <f>Data_Dep.12[[#This Row],[Nguyên giá]]+Data_Dep.12[[#This Row],[KH lũy kế]]</f>
        <v>9040790365</v>
      </c>
      <c r="R117" s="177">
        <v>-38308434</v>
      </c>
      <c r="S117" s="177">
        <v>-95771084</v>
      </c>
      <c r="T117" s="177">
        <v>-95771085</v>
      </c>
      <c r="U117" s="177">
        <f>SUM(Data_Dep.12[[#This Row],[KH_2510]:[KH_2512]])</f>
        <v>-229850603</v>
      </c>
      <c r="V117" s="175">
        <f>Data_Dep.12[[#This Row],[Nguyên giá]]+Data_Dep.12[[#This Row],[KH lũy kế]]+Data_Dep.12[[#This Row],[KH_Q4.25]]</f>
        <v>8810939762</v>
      </c>
      <c r="W117" s="178">
        <f>ROUND(Data_Dep.12[[#This Row],[T/G Khấu hao]]-Data_Dep.12[[#This Row],[Giá trị còn lại 31/12/25]]/Data_Dep.12[[#This Row],[Nguyên giá]]*Data_Dep.12[[#This Row],[T/G Khấu hao]],0)</f>
        <v>4</v>
      </c>
      <c r="X117" s="179">
        <v>48</v>
      </c>
      <c r="Y117" s="175">
        <f>Data_Dep.12[[#This Row],[T/G Khấu hao]]+Data_Dep.12[[#This Row],[Điều chỉnh]]</f>
        <v>144</v>
      </c>
      <c r="Z117" s="180">
        <f>EDATE(Data_Dep.12[[#This Row],[Ngày bắt đầu KH]],Data_Dep.12[[#This Row],[T/G điều chỉnh]])</f>
        <v>50284</v>
      </c>
      <c r="AA117" s="175">
        <f>Data_Dep.12[[#This Row],[T/G điều chỉnh]]-Data_Dep.12[[#This Row],[Số kỳ đã khấu hao]]</f>
        <v>140</v>
      </c>
      <c r="AB117" s="175">
        <f>IFERROR(-Data_Dep.12[[#This Row],[Giá trị còn lại 31/12/25]]/(Data_Dep.12[[#This Row],[T/G điều chỉnh]]-Data_Dep.12[[#This Row],[Số kỳ đã khấu hao]]),0)</f>
        <v>-62935284.014285713</v>
      </c>
      <c r="AC117" s="181">
        <v>-62935284.014285713</v>
      </c>
      <c r="AD117" s="181">
        <v>-62935284.014285713</v>
      </c>
      <c r="AE117" s="181">
        <v>-62935284.014285713</v>
      </c>
      <c r="AF117" s="181">
        <v>-62935284.014285713</v>
      </c>
      <c r="AG117" s="181">
        <v>-62935284.014285713</v>
      </c>
      <c r="AH117" s="181">
        <v>-62935284.014285713</v>
      </c>
      <c r="AI117" s="181">
        <v>-62935284.014285713</v>
      </c>
      <c r="AJ117" s="181">
        <v>-62935284.014285713</v>
      </c>
      <c r="AK117" s="181">
        <v>-62935284.014285713</v>
      </c>
      <c r="AL117" s="181">
        <v>-62935284.014285713</v>
      </c>
      <c r="AM117" s="181">
        <v>-62935284.014285713</v>
      </c>
      <c r="AN117" s="181">
        <v>-62935284.014285713</v>
      </c>
      <c r="AO117" s="175">
        <f>SUM(Data_Dep.12[[#This Row],[KH_2601]:[KH_2612]])</f>
        <v>-755223408.17142832</v>
      </c>
      <c r="AP117" s="175">
        <f>Data_Dep.12[[#This Row],[Giá trị còn lại 31/12/25]]+Data_Dep.12[[#This Row],[KH LK 2026]]</f>
        <v>8055716353.8285713</v>
      </c>
    </row>
    <row r="118" spans="1:42" x14ac:dyDescent="0.3">
      <c r="A118" s="169"/>
      <c r="B118" s="169"/>
      <c r="C118" s="170" t="s">
        <v>337</v>
      </c>
      <c r="D118" s="169" t="str">
        <f>_xlfn.XLOOKUP(Data_Dep.12[[#This Row],[Nhóm tài sản]],MD_Account_Asset_Type[Nhóm tài sản],MD_Account_Asset_Type[Tên Nhóm tài sản])</f>
        <v>Máy móc, thiết bị phụ - SX 627</v>
      </c>
      <c r="E118" s="171" t="s">
        <v>1051</v>
      </c>
      <c r="F118" s="170" t="s">
        <v>610</v>
      </c>
      <c r="G118" s="169" t="s">
        <v>830</v>
      </c>
      <c r="H118" s="170" t="s">
        <v>45</v>
      </c>
      <c r="I118" s="170" t="str">
        <f>_xlfn.XLOOKUP(Data_Dep.12[[#This Row],[Cost center]],MD_Cost_Center[Mã Cost Center],MD_Cost_Center[Tên Cost Center])</f>
        <v>Kỹ thuật</v>
      </c>
      <c r="J118" s="172">
        <f>_xlfn.XLOOKUP(Data_Dep.12[[#This Row],[Cost center]],MD_Cost_Center[Mã Cost Center],MD_Cost_Center[Work center],"Check")</f>
        <v>0</v>
      </c>
      <c r="K118" s="169" t="str">
        <f>_xlfn.XLOOKUP(Data_Dep.12[[#This Row],[Nhóm tài sản]],MD_Account_Asset_Type[Nhóm tài sản],MD_Account_Asset_Type[Tài khoản KH],"Check")</f>
        <v>6274001906</v>
      </c>
      <c r="L118" s="173">
        <v>45901</v>
      </c>
      <c r="M118" s="174">
        <f>EDATE(Data_Dep.12[[#This Row],[Ngày bắt đầu KH]],Data_Dep.12[[#This Row],[T/G Khấu hao]])</f>
        <v>47727</v>
      </c>
      <c r="N118" s="175">
        <v>60</v>
      </c>
      <c r="O118" s="175">
        <v>530000000</v>
      </c>
      <c r="P118" s="176">
        <v>-8833333</v>
      </c>
      <c r="Q118" s="175">
        <f>Data_Dep.12[[#This Row],[Nguyên giá]]+Data_Dep.12[[#This Row],[KH lũy kế]]</f>
        <v>521166667</v>
      </c>
      <c r="R118" s="177">
        <v>-8833334</v>
      </c>
      <c r="S118" s="177">
        <v>-8833333</v>
      </c>
      <c r="T118" s="177">
        <v>-8833333</v>
      </c>
      <c r="U118" s="177">
        <f>SUM(Data_Dep.12[[#This Row],[KH_2510]:[KH_2512]])</f>
        <v>-26500000</v>
      </c>
      <c r="V118" s="175">
        <f>Data_Dep.12[[#This Row],[Nguyên giá]]+Data_Dep.12[[#This Row],[KH lũy kế]]+Data_Dep.12[[#This Row],[KH_Q4.25]]</f>
        <v>494666667</v>
      </c>
      <c r="W118" s="178">
        <f>ROUND(Data_Dep.12[[#This Row],[T/G Khấu hao]]-Data_Dep.12[[#This Row],[Giá trị còn lại 31/12/25]]/Data_Dep.12[[#This Row],[Nguyên giá]]*Data_Dep.12[[#This Row],[T/G Khấu hao]],0)</f>
        <v>4</v>
      </c>
      <c r="X118" s="179">
        <v>84</v>
      </c>
      <c r="Y118" s="175">
        <f>Data_Dep.12[[#This Row],[T/G Khấu hao]]+Data_Dep.12[[#This Row],[Điều chỉnh]]</f>
        <v>144</v>
      </c>
      <c r="Z118" s="180">
        <f>EDATE(Data_Dep.12[[#This Row],[Ngày bắt đầu KH]],Data_Dep.12[[#This Row],[T/G điều chỉnh]])</f>
        <v>50284</v>
      </c>
      <c r="AA118" s="175">
        <f>Data_Dep.12[[#This Row],[T/G điều chỉnh]]-Data_Dep.12[[#This Row],[Số kỳ đã khấu hao]]</f>
        <v>140</v>
      </c>
      <c r="AB118" s="175">
        <f>IFERROR(-Data_Dep.12[[#This Row],[Giá trị còn lại 31/12/25]]/(Data_Dep.12[[#This Row],[T/G điều chỉnh]]-Data_Dep.12[[#This Row],[Số kỳ đã khấu hao]]),0)</f>
        <v>-3533333.3357142857</v>
      </c>
      <c r="AC118" s="181">
        <v>-3533333.3357142857</v>
      </c>
      <c r="AD118" s="181">
        <v>-3533333.3357142857</v>
      </c>
      <c r="AE118" s="181">
        <v>-3533333.3357142857</v>
      </c>
      <c r="AF118" s="181">
        <v>-3533333.3357142857</v>
      </c>
      <c r="AG118" s="181">
        <v>-3533333.3357142857</v>
      </c>
      <c r="AH118" s="181">
        <v>-3533333.3357142857</v>
      </c>
      <c r="AI118" s="181">
        <v>-3533333.3357142857</v>
      </c>
      <c r="AJ118" s="181">
        <v>-3533333.3357142857</v>
      </c>
      <c r="AK118" s="181">
        <v>-3533333.3357142857</v>
      </c>
      <c r="AL118" s="181">
        <v>-3533333.3357142857</v>
      </c>
      <c r="AM118" s="181">
        <v>-3533333.3357142857</v>
      </c>
      <c r="AN118" s="181">
        <v>-3533333.3357142857</v>
      </c>
      <c r="AO118" s="175">
        <f>SUM(Data_Dep.12[[#This Row],[KH_2601]:[KH_2612]])</f>
        <v>-42400000.028571427</v>
      </c>
      <c r="AP118" s="175">
        <f>Data_Dep.12[[#This Row],[Giá trị còn lại 31/12/25]]+Data_Dep.12[[#This Row],[KH LK 2026]]</f>
        <v>452266666.97142857</v>
      </c>
    </row>
    <row r="119" spans="1:42" x14ac:dyDescent="0.3">
      <c r="A119" s="169"/>
      <c r="B119" s="169"/>
      <c r="C119" s="170" t="s">
        <v>337</v>
      </c>
      <c r="D119" s="169" t="str">
        <f>_xlfn.XLOOKUP(Data_Dep.12[[#This Row],[Nhóm tài sản]],MD_Account_Asset_Type[Nhóm tài sản],MD_Account_Asset_Type[Tên Nhóm tài sản])</f>
        <v>Máy móc, thiết bị phụ - SX 627</v>
      </c>
      <c r="E119" s="171" t="s">
        <v>1052</v>
      </c>
      <c r="F119" s="170" t="s">
        <v>611</v>
      </c>
      <c r="G119" s="169" t="s">
        <v>830</v>
      </c>
      <c r="H119" s="170" t="s">
        <v>79</v>
      </c>
      <c r="I119" s="170" t="str">
        <f>_xlfn.XLOOKUP(Data_Dep.12[[#This Row],[Cost center]],MD_Cost_Center[Mã Cost Center],MD_Cost_Center[Tên Cost Center])</f>
        <v>Chuyền tạo hạt rPET starlinger 330</v>
      </c>
      <c r="J119" s="172" t="str">
        <f>_xlfn.XLOOKUP(Data_Dep.12[[#This Row],[Cost center]],MD_Cost_Center[Mã Cost Center],MD_Cost_Center[Work center],"Check")</f>
        <v>STAR-03</v>
      </c>
      <c r="K119" s="169" t="str">
        <f>_xlfn.XLOOKUP(Data_Dep.12[[#This Row],[Nhóm tài sản]],MD_Account_Asset_Type[Nhóm tài sản],MD_Account_Asset_Type[Tài khoản KH],"Check")</f>
        <v>6274001906</v>
      </c>
      <c r="L119" s="173">
        <v>45901</v>
      </c>
      <c r="M119" s="174">
        <f>EDATE(Data_Dep.12[[#This Row],[Ngày bắt đầu KH]],Data_Dep.12[[#This Row],[T/G Khấu hao]])</f>
        <v>47727</v>
      </c>
      <c r="N119" s="175">
        <v>60</v>
      </c>
      <c r="O119" s="175">
        <v>536180944</v>
      </c>
      <c r="P119" s="176">
        <v>-8936349</v>
      </c>
      <c r="Q119" s="175">
        <f>Data_Dep.12[[#This Row],[Nguyên giá]]+Data_Dep.12[[#This Row],[KH lũy kế]]</f>
        <v>527244595</v>
      </c>
      <c r="R119" s="177">
        <v>-8936349</v>
      </c>
      <c r="S119" s="177">
        <v>-8936349</v>
      </c>
      <c r="T119" s="177">
        <v>-8936349</v>
      </c>
      <c r="U119" s="177">
        <f>SUM(Data_Dep.12[[#This Row],[KH_2510]:[KH_2512]])</f>
        <v>-26809047</v>
      </c>
      <c r="V119" s="175">
        <f>Data_Dep.12[[#This Row],[Nguyên giá]]+Data_Dep.12[[#This Row],[KH lũy kế]]+Data_Dep.12[[#This Row],[KH_Q4.25]]</f>
        <v>500435548</v>
      </c>
      <c r="W119" s="178">
        <f>ROUND(Data_Dep.12[[#This Row],[T/G Khấu hao]]-Data_Dep.12[[#This Row],[Giá trị còn lại 31/12/25]]/Data_Dep.12[[#This Row],[Nguyên giá]]*Data_Dep.12[[#This Row],[T/G Khấu hao]],0)</f>
        <v>4</v>
      </c>
      <c r="X119" s="179">
        <v>84</v>
      </c>
      <c r="Y119" s="175">
        <f>Data_Dep.12[[#This Row],[T/G Khấu hao]]+Data_Dep.12[[#This Row],[Điều chỉnh]]</f>
        <v>144</v>
      </c>
      <c r="Z119" s="180">
        <f>EDATE(Data_Dep.12[[#This Row],[Ngày bắt đầu KH]],Data_Dep.12[[#This Row],[T/G điều chỉnh]])</f>
        <v>50284</v>
      </c>
      <c r="AA119" s="175">
        <f>Data_Dep.12[[#This Row],[T/G điều chỉnh]]-Data_Dep.12[[#This Row],[Số kỳ đã khấu hao]]</f>
        <v>140</v>
      </c>
      <c r="AB119" s="175">
        <f>IFERROR(-Data_Dep.12[[#This Row],[Giá trị còn lại 31/12/25]]/(Data_Dep.12[[#This Row],[T/G điều chỉnh]]-Data_Dep.12[[#This Row],[Số kỳ đã khấu hao]]),0)</f>
        <v>-3574539.6285714284</v>
      </c>
      <c r="AC119" s="181">
        <v>-3574539.6285714284</v>
      </c>
      <c r="AD119" s="181">
        <v>-3574539.6285714284</v>
      </c>
      <c r="AE119" s="181">
        <v>-3574539.6285714284</v>
      </c>
      <c r="AF119" s="181">
        <v>-3574539.6285714284</v>
      </c>
      <c r="AG119" s="181">
        <v>-3574539.6285714284</v>
      </c>
      <c r="AH119" s="181">
        <v>-3574539.6285714284</v>
      </c>
      <c r="AI119" s="181">
        <v>-3574539.6285714284</v>
      </c>
      <c r="AJ119" s="181">
        <v>-3574539.6285714284</v>
      </c>
      <c r="AK119" s="181">
        <v>-3574539.6285714284</v>
      </c>
      <c r="AL119" s="181">
        <v>-3574539.6285714284</v>
      </c>
      <c r="AM119" s="181">
        <v>-3574539.6285714284</v>
      </c>
      <c r="AN119" s="181">
        <v>-3574539.6285714284</v>
      </c>
      <c r="AO119" s="175">
        <f>SUM(Data_Dep.12[[#This Row],[KH_2601]:[KH_2612]])</f>
        <v>-42894475.54285714</v>
      </c>
      <c r="AP119" s="175">
        <f>Data_Dep.12[[#This Row],[Giá trị còn lại 31/12/25]]+Data_Dep.12[[#This Row],[KH LK 2026]]</f>
        <v>457541072.45714283</v>
      </c>
    </row>
    <row r="120" spans="1:42" x14ac:dyDescent="0.3">
      <c r="A120" s="169"/>
      <c r="B120" s="169"/>
      <c r="C120" s="170" t="s">
        <v>337</v>
      </c>
      <c r="D120" s="169" t="str">
        <f>_xlfn.XLOOKUP(Data_Dep.12[[#This Row],[Nhóm tài sản]],MD_Account_Asset_Type[Nhóm tài sản],MD_Account_Asset_Type[Tên Nhóm tài sản])</f>
        <v>Máy móc, thiết bị phụ - SX 627</v>
      </c>
      <c r="E120" s="171" t="s">
        <v>1053</v>
      </c>
      <c r="F120" s="170" t="s">
        <v>612</v>
      </c>
      <c r="G120" s="169" t="s">
        <v>830</v>
      </c>
      <c r="H120" s="170" t="s">
        <v>54</v>
      </c>
      <c r="I120" s="170" t="str">
        <f>_xlfn.XLOOKUP(Data_Dep.12[[#This Row],[Cost center]],MD_Cost_Center[Mã Cost Center],MD_Cost_Center[Tên Cost Center])</f>
        <v>Máy tạo hạt PET Starlinger</v>
      </c>
      <c r="J120" s="172" t="str">
        <f>_xlfn.XLOOKUP(Data_Dep.12[[#This Row],[Cost center]],MD_Cost_Center[Mã Cost Center],MD_Cost_Center[Work center],"Check")</f>
        <v>STAR-01</v>
      </c>
      <c r="K120" s="169" t="str">
        <f>_xlfn.XLOOKUP(Data_Dep.12[[#This Row],[Nhóm tài sản]],MD_Account_Asset_Type[Nhóm tài sản],MD_Account_Asset_Type[Tài khoản KH],"Check")</f>
        <v>6274001906</v>
      </c>
      <c r="L120" s="173">
        <v>45901</v>
      </c>
      <c r="M120" s="174">
        <f>EDATE(Data_Dep.12[[#This Row],[Ngày bắt đầu KH]],Data_Dep.12[[#This Row],[T/G Khấu hao]])</f>
        <v>47727</v>
      </c>
      <c r="N120" s="175">
        <v>60</v>
      </c>
      <c r="O120" s="175">
        <v>268085606</v>
      </c>
      <c r="P120" s="176">
        <v>-4468093</v>
      </c>
      <c r="Q120" s="175">
        <f>Data_Dep.12[[#This Row],[Nguyên giá]]+Data_Dep.12[[#This Row],[KH lũy kế]]</f>
        <v>263617513</v>
      </c>
      <c r="R120" s="177">
        <v>-4468094</v>
      </c>
      <c r="S120" s="177">
        <v>-4468093</v>
      </c>
      <c r="T120" s="177">
        <v>-4468094</v>
      </c>
      <c r="U120" s="177">
        <f>SUM(Data_Dep.12[[#This Row],[KH_2510]:[KH_2512]])</f>
        <v>-13404281</v>
      </c>
      <c r="V120" s="175">
        <f>Data_Dep.12[[#This Row],[Nguyên giá]]+Data_Dep.12[[#This Row],[KH lũy kế]]+Data_Dep.12[[#This Row],[KH_Q4.25]]</f>
        <v>250213232</v>
      </c>
      <c r="W120" s="178">
        <f>ROUND(Data_Dep.12[[#This Row],[T/G Khấu hao]]-Data_Dep.12[[#This Row],[Giá trị còn lại 31/12/25]]/Data_Dep.12[[#This Row],[Nguyên giá]]*Data_Dep.12[[#This Row],[T/G Khấu hao]],0)</f>
        <v>4</v>
      </c>
      <c r="X120" s="179">
        <v>84</v>
      </c>
      <c r="Y120" s="175">
        <f>Data_Dep.12[[#This Row],[T/G Khấu hao]]+Data_Dep.12[[#This Row],[Điều chỉnh]]</f>
        <v>144</v>
      </c>
      <c r="Z120" s="180">
        <f>EDATE(Data_Dep.12[[#This Row],[Ngày bắt đầu KH]],Data_Dep.12[[#This Row],[T/G điều chỉnh]])</f>
        <v>50284</v>
      </c>
      <c r="AA120" s="175">
        <f>Data_Dep.12[[#This Row],[T/G điều chỉnh]]-Data_Dep.12[[#This Row],[Số kỳ đã khấu hao]]</f>
        <v>140</v>
      </c>
      <c r="AB120" s="175">
        <f>IFERROR(-Data_Dep.12[[#This Row],[Giá trị còn lại 31/12/25]]/(Data_Dep.12[[#This Row],[T/G điều chỉnh]]-Data_Dep.12[[#This Row],[Số kỳ đã khấu hao]]),0)</f>
        <v>-1787237.3714285714</v>
      </c>
      <c r="AC120" s="181">
        <v>-1787237.3714285714</v>
      </c>
      <c r="AD120" s="181">
        <v>-1787237.3714285714</v>
      </c>
      <c r="AE120" s="181">
        <v>-1787237.3714285714</v>
      </c>
      <c r="AF120" s="181">
        <v>-1787237.3714285714</v>
      </c>
      <c r="AG120" s="181">
        <v>-1787237.3714285714</v>
      </c>
      <c r="AH120" s="181">
        <v>-1787237.3714285714</v>
      </c>
      <c r="AI120" s="181">
        <v>-1787237.3714285714</v>
      </c>
      <c r="AJ120" s="181">
        <v>-1787237.3714285714</v>
      </c>
      <c r="AK120" s="181">
        <v>-1787237.3714285714</v>
      </c>
      <c r="AL120" s="181">
        <v>-1787237.3714285714</v>
      </c>
      <c r="AM120" s="181">
        <v>-1787237.3714285714</v>
      </c>
      <c r="AN120" s="181">
        <v>-1787237.3714285714</v>
      </c>
      <c r="AO120" s="175">
        <f>SUM(Data_Dep.12[[#This Row],[KH_2601]:[KH_2612]])</f>
        <v>-21446848.457142856</v>
      </c>
      <c r="AP120" s="175">
        <f>Data_Dep.12[[#This Row],[Giá trị còn lại 31/12/25]]+Data_Dep.12[[#This Row],[KH LK 2026]]</f>
        <v>228766383.54285714</v>
      </c>
    </row>
    <row r="121" spans="1:42" x14ac:dyDescent="0.3">
      <c r="A121" s="169"/>
      <c r="B121" s="169"/>
      <c r="C121" s="170" t="s">
        <v>337</v>
      </c>
      <c r="D121" s="169" t="str">
        <f>_xlfn.XLOOKUP(Data_Dep.12[[#This Row],[Nhóm tài sản]],MD_Account_Asset_Type[Nhóm tài sản],MD_Account_Asset_Type[Tên Nhóm tài sản])</f>
        <v>Máy móc, thiết bị phụ - SX 627</v>
      </c>
      <c r="E121" s="171" t="s">
        <v>1054</v>
      </c>
      <c r="F121" s="170" t="s">
        <v>613</v>
      </c>
      <c r="G121" s="169" t="s">
        <v>830</v>
      </c>
      <c r="H121" s="170" t="s">
        <v>62</v>
      </c>
      <c r="I121" s="170" t="str">
        <f>_xlfn.XLOOKUP(Data_Dep.12[[#This Row],[Cost center]],MD_Cost_Center[Mã Cost Center],MD_Cost_Center[Tên Cost Center])</f>
        <v>Máy tạo hạt PET 03 Starlinger 2</v>
      </c>
      <c r="J121" s="172" t="str">
        <f>_xlfn.XLOOKUP(Data_Dep.12[[#This Row],[Cost center]],MD_Cost_Center[Mã Cost Center],MD_Cost_Center[Work center],"Check")</f>
        <v>STAR-02</v>
      </c>
      <c r="K121" s="169" t="str">
        <f>_xlfn.XLOOKUP(Data_Dep.12[[#This Row],[Nhóm tài sản]],MD_Account_Asset_Type[Nhóm tài sản],MD_Account_Asset_Type[Tài khoản KH],"Check")</f>
        <v>6274001906</v>
      </c>
      <c r="L121" s="173">
        <v>45901</v>
      </c>
      <c r="M121" s="174">
        <f>EDATE(Data_Dep.12[[#This Row],[Ngày bắt đầu KH]],Data_Dep.12[[#This Row],[T/G Khấu hao]])</f>
        <v>47727</v>
      </c>
      <c r="N121" s="175">
        <v>60</v>
      </c>
      <c r="O121" s="175">
        <v>268085606</v>
      </c>
      <c r="P121" s="176">
        <v>-4468093</v>
      </c>
      <c r="Q121" s="175">
        <f>Data_Dep.12[[#This Row],[Nguyên giá]]+Data_Dep.12[[#This Row],[KH lũy kế]]</f>
        <v>263617513</v>
      </c>
      <c r="R121" s="177">
        <v>-4468094</v>
      </c>
      <c r="S121" s="177">
        <v>-4468093</v>
      </c>
      <c r="T121" s="177">
        <v>-4468094</v>
      </c>
      <c r="U121" s="177">
        <f>SUM(Data_Dep.12[[#This Row],[KH_2510]:[KH_2512]])</f>
        <v>-13404281</v>
      </c>
      <c r="V121" s="175">
        <f>Data_Dep.12[[#This Row],[Nguyên giá]]+Data_Dep.12[[#This Row],[KH lũy kế]]+Data_Dep.12[[#This Row],[KH_Q4.25]]</f>
        <v>250213232</v>
      </c>
      <c r="W121" s="178">
        <f>ROUND(Data_Dep.12[[#This Row],[T/G Khấu hao]]-Data_Dep.12[[#This Row],[Giá trị còn lại 31/12/25]]/Data_Dep.12[[#This Row],[Nguyên giá]]*Data_Dep.12[[#This Row],[T/G Khấu hao]],0)</f>
        <v>4</v>
      </c>
      <c r="X121" s="179">
        <v>84</v>
      </c>
      <c r="Y121" s="175">
        <f>Data_Dep.12[[#This Row],[T/G Khấu hao]]+Data_Dep.12[[#This Row],[Điều chỉnh]]</f>
        <v>144</v>
      </c>
      <c r="Z121" s="180">
        <f>EDATE(Data_Dep.12[[#This Row],[Ngày bắt đầu KH]],Data_Dep.12[[#This Row],[T/G điều chỉnh]])</f>
        <v>50284</v>
      </c>
      <c r="AA121" s="175">
        <f>Data_Dep.12[[#This Row],[T/G điều chỉnh]]-Data_Dep.12[[#This Row],[Số kỳ đã khấu hao]]</f>
        <v>140</v>
      </c>
      <c r="AB121" s="175">
        <f>IFERROR(-Data_Dep.12[[#This Row],[Giá trị còn lại 31/12/25]]/(Data_Dep.12[[#This Row],[T/G điều chỉnh]]-Data_Dep.12[[#This Row],[Số kỳ đã khấu hao]]),0)</f>
        <v>-1787237.3714285714</v>
      </c>
      <c r="AC121" s="181">
        <v>-1787237.3714285714</v>
      </c>
      <c r="AD121" s="181">
        <v>-1787237.3714285714</v>
      </c>
      <c r="AE121" s="181">
        <v>-1787237.3714285714</v>
      </c>
      <c r="AF121" s="181">
        <v>-1787237.3714285714</v>
      </c>
      <c r="AG121" s="181">
        <v>-1787237.3714285714</v>
      </c>
      <c r="AH121" s="181">
        <v>-1787237.3714285714</v>
      </c>
      <c r="AI121" s="181">
        <v>-1787237.3714285714</v>
      </c>
      <c r="AJ121" s="181">
        <v>-1787237.3714285714</v>
      </c>
      <c r="AK121" s="181">
        <v>-1787237.3714285714</v>
      </c>
      <c r="AL121" s="181">
        <v>-1787237.3714285714</v>
      </c>
      <c r="AM121" s="181">
        <v>-1787237.3714285714</v>
      </c>
      <c r="AN121" s="181">
        <v>-1787237.3714285714</v>
      </c>
      <c r="AO121" s="175">
        <f>SUM(Data_Dep.12[[#This Row],[KH_2601]:[KH_2612]])</f>
        <v>-21446848.457142856</v>
      </c>
      <c r="AP121" s="175">
        <f>Data_Dep.12[[#This Row],[Giá trị còn lại 31/12/25]]+Data_Dep.12[[#This Row],[KH LK 2026]]</f>
        <v>228766383.54285714</v>
      </c>
    </row>
    <row r="122" spans="1:42" x14ac:dyDescent="0.3">
      <c r="A122" s="169"/>
      <c r="B122" s="169"/>
      <c r="C122" s="170" t="s">
        <v>337</v>
      </c>
      <c r="D122" s="169" t="str">
        <f>_xlfn.XLOOKUP(Data_Dep.12[[#This Row],[Nhóm tài sản]],MD_Account_Asset_Type[Nhóm tài sản],MD_Account_Asset_Type[Tên Nhóm tài sản])</f>
        <v>Máy móc, thiết bị phụ - SX 627</v>
      </c>
      <c r="E122" s="171" t="s">
        <v>1055</v>
      </c>
      <c r="F122" s="170" t="s">
        <v>614</v>
      </c>
      <c r="G122" s="169" t="s">
        <v>830</v>
      </c>
      <c r="H122" s="170" t="s">
        <v>48</v>
      </c>
      <c r="I122" s="170" t="str">
        <f>_xlfn.XLOOKUP(Data_Dep.12[[#This Row],[Cost center]],MD_Cost_Center[Mã Cost Center],MD_Cost_Center[Tên Cost Center])</f>
        <v>Xưởng sản xuất PET</v>
      </c>
      <c r="J122" s="172">
        <f>_xlfn.XLOOKUP(Data_Dep.12[[#This Row],[Cost center]],MD_Cost_Center[Mã Cost Center],MD_Cost_Center[Work center],"Check")</f>
        <v>0</v>
      </c>
      <c r="K122" s="169" t="str">
        <f>_xlfn.XLOOKUP(Data_Dep.12[[#This Row],[Nhóm tài sản]],MD_Account_Asset_Type[Nhóm tài sản],MD_Account_Asset_Type[Tài khoản KH],"Check")</f>
        <v>6274001906</v>
      </c>
      <c r="L122" s="173">
        <v>45901</v>
      </c>
      <c r="M122" s="174">
        <f>EDATE(Data_Dep.12[[#This Row],[Ngày bắt đầu KH]],Data_Dep.12[[#This Row],[T/G Khấu hao]])</f>
        <v>47727</v>
      </c>
      <c r="N122" s="175">
        <v>60</v>
      </c>
      <c r="O122" s="175">
        <v>1030408748</v>
      </c>
      <c r="P122" s="176">
        <v>-17173479</v>
      </c>
      <c r="Q122" s="175">
        <f>Data_Dep.12[[#This Row],[Nguyên giá]]+Data_Dep.12[[#This Row],[KH lũy kế]]</f>
        <v>1013235269</v>
      </c>
      <c r="R122" s="177">
        <v>-17173479</v>
      </c>
      <c r="S122" s="177">
        <v>-17173479</v>
      </c>
      <c r="T122" s="177">
        <v>-17173480</v>
      </c>
      <c r="U122" s="177">
        <f>SUM(Data_Dep.12[[#This Row],[KH_2510]:[KH_2512]])</f>
        <v>-51520438</v>
      </c>
      <c r="V122" s="175">
        <f>Data_Dep.12[[#This Row],[Nguyên giá]]+Data_Dep.12[[#This Row],[KH lũy kế]]+Data_Dep.12[[#This Row],[KH_Q4.25]]</f>
        <v>961714831</v>
      </c>
      <c r="W122" s="178">
        <f>ROUND(Data_Dep.12[[#This Row],[T/G Khấu hao]]-Data_Dep.12[[#This Row],[Giá trị còn lại 31/12/25]]/Data_Dep.12[[#This Row],[Nguyên giá]]*Data_Dep.12[[#This Row],[T/G Khấu hao]],0)</f>
        <v>4</v>
      </c>
      <c r="X122" s="179">
        <v>84</v>
      </c>
      <c r="Y122" s="175">
        <f>Data_Dep.12[[#This Row],[T/G Khấu hao]]+Data_Dep.12[[#This Row],[Điều chỉnh]]</f>
        <v>144</v>
      </c>
      <c r="Z122" s="180">
        <f>EDATE(Data_Dep.12[[#This Row],[Ngày bắt đầu KH]],Data_Dep.12[[#This Row],[T/G điều chỉnh]])</f>
        <v>50284</v>
      </c>
      <c r="AA122" s="175">
        <f>Data_Dep.12[[#This Row],[T/G điều chỉnh]]-Data_Dep.12[[#This Row],[Số kỳ đã khấu hao]]</f>
        <v>140</v>
      </c>
      <c r="AB122" s="175">
        <f>IFERROR(-Data_Dep.12[[#This Row],[Giá trị còn lại 31/12/25]]/(Data_Dep.12[[#This Row],[T/G điều chỉnh]]-Data_Dep.12[[#This Row],[Số kỳ đã khấu hao]]),0)</f>
        <v>-6869391.6500000004</v>
      </c>
      <c r="AC122" s="181">
        <v>-6869391.6500000004</v>
      </c>
      <c r="AD122" s="181">
        <v>-6869391.6500000004</v>
      </c>
      <c r="AE122" s="181">
        <v>-6869391.6500000004</v>
      </c>
      <c r="AF122" s="181">
        <v>-6869391.6500000004</v>
      </c>
      <c r="AG122" s="181">
        <v>-6869391.6500000004</v>
      </c>
      <c r="AH122" s="181">
        <v>-6869391.6500000004</v>
      </c>
      <c r="AI122" s="181">
        <v>-6869391.6500000004</v>
      </c>
      <c r="AJ122" s="181">
        <v>-6869391.6500000004</v>
      </c>
      <c r="AK122" s="181">
        <v>-6869391.6500000004</v>
      </c>
      <c r="AL122" s="181">
        <v>-6869391.6500000004</v>
      </c>
      <c r="AM122" s="181">
        <v>-6869391.6500000004</v>
      </c>
      <c r="AN122" s="181">
        <v>-6869391.6500000004</v>
      </c>
      <c r="AO122" s="175">
        <f>SUM(Data_Dep.12[[#This Row],[KH_2601]:[KH_2612]])</f>
        <v>-82432699.800000012</v>
      </c>
      <c r="AP122" s="175">
        <f>Data_Dep.12[[#This Row],[Giá trị còn lại 31/12/25]]+Data_Dep.12[[#This Row],[KH LK 2026]]</f>
        <v>879282131.20000005</v>
      </c>
    </row>
    <row r="123" spans="1:42" x14ac:dyDescent="0.3">
      <c r="A123" s="169"/>
      <c r="B123" s="169"/>
      <c r="C123" s="170" t="s">
        <v>341</v>
      </c>
      <c r="D123" s="169" t="str">
        <f>_xlfn.XLOOKUP(Data_Dep.12[[#This Row],[Nhóm tài sản]],MD_Account_Asset_Type[Nhóm tài sản],MD_Account_Asset_Type[Tên Nhóm tài sản])</f>
        <v>Máy móc, thiết bị - QL 642</v>
      </c>
      <c r="E123" s="171" t="s">
        <v>1060</v>
      </c>
      <c r="F123" s="170" t="s">
        <v>615</v>
      </c>
      <c r="G123" s="169" t="s">
        <v>830</v>
      </c>
      <c r="H123" s="170" t="s">
        <v>36</v>
      </c>
      <c r="I123" s="170" t="str">
        <f>_xlfn.XLOOKUP(Data_Dep.12[[#This Row],[Cost center]],MD_Cost_Center[Mã Cost Center],MD_Cost_Center[Tên Cost Center])</f>
        <v>Hành chánh nhân sự</v>
      </c>
      <c r="J123" s="172">
        <f>_xlfn.XLOOKUP(Data_Dep.12[[#This Row],[Cost center]],MD_Cost_Center[Mã Cost Center],MD_Cost_Center[Work center],"Check")</f>
        <v>0</v>
      </c>
      <c r="K123" s="169" t="str">
        <f>_xlfn.XLOOKUP(Data_Dep.12[[#This Row],[Nhóm tài sản]],MD_Account_Asset_Type[Nhóm tài sản],MD_Account_Asset_Type[Tài khoản KH],"Check")</f>
        <v>6424001903</v>
      </c>
      <c r="L123" s="173">
        <v>44438</v>
      </c>
      <c r="M123" s="174">
        <f>EDATE(Data_Dep.12[[#This Row],[Ngày bắt đầu KH]],Data_Dep.12[[#This Row],[T/G Khấu hao]])</f>
        <v>48090</v>
      </c>
      <c r="N123" s="175">
        <v>120</v>
      </c>
      <c r="O123" s="175">
        <v>1971544318</v>
      </c>
      <c r="P123" s="176">
        <v>-821476800</v>
      </c>
      <c r="Q123" s="175">
        <f>Data_Dep.12[[#This Row],[Nguyên giá]]+Data_Dep.12[[#This Row],[KH lũy kế]]</f>
        <v>1150067518</v>
      </c>
      <c r="R123" s="177">
        <v>-16429536</v>
      </c>
      <c r="S123" s="177">
        <v>-16429536</v>
      </c>
      <c r="T123" s="177">
        <v>-16429536</v>
      </c>
      <c r="U123" s="177">
        <f>SUM(Data_Dep.12[[#This Row],[KH_2510]:[KH_2512]])</f>
        <v>-49288608</v>
      </c>
      <c r="V123" s="175">
        <f>Data_Dep.12[[#This Row],[Nguyên giá]]+Data_Dep.12[[#This Row],[KH lũy kế]]+Data_Dep.12[[#This Row],[KH_Q4.25]]</f>
        <v>1100778910</v>
      </c>
      <c r="W123" s="178">
        <f>ROUND(Data_Dep.12[[#This Row],[T/G Khấu hao]]-Data_Dep.12[[#This Row],[Giá trị còn lại 31/12/25]]/Data_Dep.12[[#This Row],[Nguyên giá]]*Data_Dep.12[[#This Row],[T/G Khấu hao]],0)</f>
        <v>53</v>
      </c>
      <c r="X123" s="179">
        <v>24</v>
      </c>
      <c r="Y123" s="175">
        <f>Data_Dep.12[[#This Row],[T/G Khấu hao]]+Data_Dep.12[[#This Row],[Điều chỉnh]]</f>
        <v>144</v>
      </c>
      <c r="Z123" s="180">
        <f>EDATE(Data_Dep.12[[#This Row],[Ngày bắt đầu KH]],Data_Dep.12[[#This Row],[T/G điều chỉnh]])</f>
        <v>48821</v>
      </c>
      <c r="AA123" s="175">
        <f>Data_Dep.12[[#This Row],[T/G điều chỉnh]]-Data_Dep.12[[#This Row],[Số kỳ đã khấu hao]]</f>
        <v>91</v>
      </c>
      <c r="AB123" s="175">
        <f>IFERROR(-Data_Dep.12[[#This Row],[Giá trị còn lại 31/12/25]]/(Data_Dep.12[[#This Row],[T/G điều chỉnh]]-Data_Dep.12[[#This Row],[Số kỳ đã khấu hao]]),0)</f>
        <v>-12096471.538461538</v>
      </c>
      <c r="AC123" s="181">
        <v>-12096471.538461538</v>
      </c>
      <c r="AD123" s="181">
        <v>-12096471.538461538</v>
      </c>
      <c r="AE123" s="181">
        <v>-12096471.538461538</v>
      </c>
      <c r="AF123" s="181">
        <v>-12096471.538461538</v>
      </c>
      <c r="AG123" s="181">
        <v>-12096471.538461538</v>
      </c>
      <c r="AH123" s="181">
        <v>-12096471.538461538</v>
      </c>
      <c r="AI123" s="181">
        <v>-12096471.538461538</v>
      </c>
      <c r="AJ123" s="181">
        <v>-12096471.538461538</v>
      </c>
      <c r="AK123" s="181">
        <v>-12096471.538461538</v>
      </c>
      <c r="AL123" s="181">
        <v>-12096471.538461538</v>
      </c>
      <c r="AM123" s="181">
        <v>-12096471.538461538</v>
      </c>
      <c r="AN123" s="181">
        <v>-12096471.538461538</v>
      </c>
      <c r="AO123" s="175">
        <f>SUM(Data_Dep.12[[#This Row],[KH_2601]:[KH_2612]])</f>
        <v>-145157658.46153846</v>
      </c>
      <c r="AP123" s="175">
        <f>Data_Dep.12[[#This Row],[Giá trị còn lại 31/12/25]]+Data_Dep.12[[#This Row],[KH LK 2026]]</f>
        <v>955621251.53846157</v>
      </c>
    </row>
    <row r="124" spans="1:42" x14ac:dyDescent="0.3">
      <c r="A124" s="169"/>
      <c r="B124" s="169"/>
      <c r="C124" s="170" t="s">
        <v>341</v>
      </c>
      <c r="D124" s="169" t="str">
        <f>_xlfn.XLOOKUP(Data_Dep.12[[#This Row],[Nhóm tài sản]],MD_Account_Asset_Type[Nhóm tài sản],MD_Account_Asset_Type[Tên Nhóm tài sản])</f>
        <v>Máy móc, thiết bị - QL 642</v>
      </c>
      <c r="E124" s="171" t="s">
        <v>1061</v>
      </c>
      <c r="F124" s="170" t="s">
        <v>616</v>
      </c>
      <c r="G124" s="169" t="s">
        <v>830</v>
      </c>
      <c r="H124" s="170" t="s">
        <v>34</v>
      </c>
      <c r="I124" s="170" t="str">
        <f>_xlfn.XLOOKUP(Data_Dep.12[[#This Row],[Cost center]],MD_Cost_Center[Mã Cost Center],MD_Cost_Center[Tên Cost Center])</f>
        <v>Ban dự án XDCB</v>
      </c>
      <c r="J124" s="172">
        <f>_xlfn.XLOOKUP(Data_Dep.12[[#This Row],[Cost center]],MD_Cost_Center[Mã Cost Center],MD_Cost_Center[Work center],"Check")</f>
        <v>0</v>
      </c>
      <c r="K124" s="169" t="str">
        <f>_xlfn.XLOOKUP(Data_Dep.12[[#This Row],[Nhóm tài sản]],MD_Account_Asset_Type[Nhóm tài sản],MD_Account_Asset_Type[Tài khoản KH],"Check")</f>
        <v>6424001903</v>
      </c>
      <c r="L124" s="173">
        <v>44835</v>
      </c>
      <c r="M124" s="174">
        <f>EDATE(Data_Dep.12[[#This Row],[Ngày bắt đầu KH]],Data_Dep.12[[#This Row],[T/G Khấu hao]])</f>
        <v>46661</v>
      </c>
      <c r="N124" s="175">
        <v>60</v>
      </c>
      <c r="O124" s="175">
        <v>205226319</v>
      </c>
      <c r="P124" s="176">
        <v>-123135792</v>
      </c>
      <c r="Q124" s="175">
        <f>Data_Dep.12[[#This Row],[Nguyên giá]]+Data_Dep.12[[#This Row],[KH lũy kế]]</f>
        <v>82090527</v>
      </c>
      <c r="R124" s="177">
        <v>-3420438</v>
      </c>
      <c r="S124" s="177">
        <v>-3420439</v>
      </c>
      <c r="T124" s="177">
        <v>-3420439</v>
      </c>
      <c r="U124" s="177">
        <f>SUM(Data_Dep.12[[#This Row],[KH_2510]:[KH_2512]])</f>
        <v>-10261316</v>
      </c>
      <c r="V124" s="175">
        <f>Data_Dep.12[[#This Row],[Nguyên giá]]+Data_Dep.12[[#This Row],[KH lũy kế]]+Data_Dep.12[[#This Row],[KH_Q4.25]]</f>
        <v>71829211</v>
      </c>
      <c r="W124" s="178">
        <f>ROUND(Data_Dep.12[[#This Row],[T/G Khấu hao]]-Data_Dep.12[[#This Row],[Giá trị còn lại 31/12/25]]/Data_Dep.12[[#This Row],[Nguyên giá]]*Data_Dep.12[[#This Row],[T/G Khấu hao]],0)</f>
        <v>39</v>
      </c>
      <c r="X124" s="179">
        <v>84</v>
      </c>
      <c r="Y124" s="175">
        <f>Data_Dep.12[[#This Row],[T/G Khấu hao]]+Data_Dep.12[[#This Row],[Điều chỉnh]]</f>
        <v>144</v>
      </c>
      <c r="Z124" s="180">
        <f>EDATE(Data_Dep.12[[#This Row],[Ngày bắt đầu KH]],Data_Dep.12[[#This Row],[T/G điều chỉnh]])</f>
        <v>49218</v>
      </c>
      <c r="AA124" s="175">
        <f>Data_Dep.12[[#This Row],[T/G điều chỉnh]]-Data_Dep.12[[#This Row],[Số kỳ đã khấu hao]]</f>
        <v>105</v>
      </c>
      <c r="AB124" s="175">
        <f>IFERROR(-Data_Dep.12[[#This Row],[Giá trị còn lại 31/12/25]]/(Data_Dep.12[[#This Row],[T/G điều chỉnh]]-Data_Dep.12[[#This Row],[Số kỳ đã khấu hao]]),0)</f>
        <v>-684087.72380952386</v>
      </c>
      <c r="AC124" s="181">
        <v>-684087.72380952386</v>
      </c>
      <c r="AD124" s="181">
        <v>-684087.72380952386</v>
      </c>
      <c r="AE124" s="181">
        <v>-684087.72380952386</v>
      </c>
      <c r="AF124" s="181">
        <v>-684087.72380952386</v>
      </c>
      <c r="AG124" s="181">
        <v>-684087.72380952386</v>
      </c>
      <c r="AH124" s="181">
        <v>-684087.72380952386</v>
      </c>
      <c r="AI124" s="181">
        <v>-684087.72380952386</v>
      </c>
      <c r="AJ124" s="181">
        <v>-684087.72380952386</v>
      </c>
      <c r="AK124" s="181">
        <v>-684087.72380952386</v>
      </c>
      <c r="AL124" s="181">
        <v>-684087.72380952386</v>
      </c>
      <c r="AM124" s="181">
        <v>-684087.72380952386</v>
      </c>
      <c r="AN124" s="181">
        <v>-684087.72380952386</v>
      </c>
      <c r="AO124" s="175">
        <f>SUM(Data_Dep.12[[#This Row],[KH_2601]:[KH_2612]])</f>
        <v>-8209052.6857142849</v>
      </c>
      <c r="AP124" s="175">
        <f>Data_Dep.12[[#This Row],[Giá trị còn lại 31/12/25]]+Data_Dep.12[[#This Row],[KH LK 2026]]</f>
        <v>63620158.314285718</v>
      </c>
    </row>
    <row r="125" spans="1:42" x14ac:dyDescent="0.3">
      <c r="A125" s="169"/>
      <c r="B125" s="169"/>
      <c r="C125" s="170" t="s">
        <v>341</v>
      </c>
      <c r="D125" s="169" t="str">
        <f>_xlfn.XLOOKUP(Data_Dep.12[[#This Row],[Nhóm tài sản]],MD_Account_Asset_Type[Nhóm tài sản],MD_Account_Asset_Type[Tên Nhóm tài sản])</f>
        <v>Máy móc, thiết bị - QL 642</v>
      </c>
      <c r="E125" s="171" t="s">
        <v>1062</v>
      </c>
      <c r="F125" s="170" t="s">
        <v>617</v>
      </c>
      <c r="G125" s="169" t="s">
        <v>830</v>
      </c>
      <c r="H125" s="170" t="s">
        <v>36</v>
      </c>
      <c r="I125" s="170" t="str">
        <f>_xlfn.XLOOKUP(Data_Dep.12[[#This Row],[Cost center]],MD_Cost_Center[Mã Cost Center],MD_Cost_Center[Tên Cost Center])</f>
        <v>Hành chánh nhân sự</v>
      </c>
      <c r="J125" s="172">
        <f>_xlfn.XLOOKUP(Data_Dep.12[[#This Row],[Cost center]],MD_Cost_Center[Mã Cost Center],MD_Cost_Center[Work center],"Check")</f>
        <v>0</v>
      </c>
      <c r="K125" s="169" t="str">
        <f>_xlfn.XLOOKUP(Data_Dep.12[[#This Row],[Nhóm tài sản]],MD_Account_Asset_Type[Nhóm tài sản],MD_Account_Asset_Type[Tài khoản KH],"Check")</f>
        <v>6424001903</v>
      </c>
      <c r="L125" s="173">
        <v>44986</v>
      </c>
      <c r="M125" s="174">
        <f>EDATE(Data_Dep.12[[#This Row],[Ngày bắt đầu KH]],Data_Dep.12[[#This Row],[T/G Khấu hao]])</f>
        <v>46082</v>
      </c>
      <c r="N125" s="175">
        <v>36</v>
      </c>
      <c r="O125" s="175">
        <v>296505989</v>
      </c>
      <c r="P125" s="176">
        <v>-255324602</v>
      </c>
      <c r="Q125" s="175">
        <f>Data_Dep.12[[#This Row],[Nguyên giá]]+Data_Dep.12[[#This Row],[KH lũy kế]]</f>
        <v>41181387</v>
      </c>
      <c r="R125" s="177">
        <v>-8236277</v>
      </c>
      <c r="S125" s="177">
        <v>-8236278</v>
      </c>
      <c r="T125" s="177">
        <v>-8236277</v>
      </c>
      <c r="U125" s="177">
        <f>SUM(Data_Dep.12[[#This Row],[KH_2510]:[KH_2512]])</f>
        <v>-24708832</v>
      </c>
      <c r="V125" s="175">
        <f>Data_Dep.12[[#This Row],[Nguyên giá]]+Data_Dep.12[[#This Row],[KH lũy kế]]+Data_Dep.12[[#This Row],[KH_Q4.25]]</f>
        <v>16472555</v>
      </c>
      <c r="W125" s="178">
        <f>ROUND(Data_Dep.12[[#This Row],[T/G Khấu hao]]-Data_Dep.12[[#This Row],[Giá trị còn lại 31/12/25]]/Data_Dep.12[[#This Row],[Nguyên giá]]*Data_Dep.12[[#This Row],[T/G Khấu hao]],0)</f>
        <v>34</v>
      </c>
      <c r="X125" s="179">
        <v>108</v>
      </c>
      <c r="Y125" s="175">
        <f>Data_Dep.12[[#This Row],[T/G Khấu hao]]+Data_Dep.12[[#This Row],[Điều chỉnh]]</f>
        <v>144</v>
      </c>
      <c r="Z125" s="180">
        <f>EDATE(Data_Dep.12[[#This Row],[Ngày bắt đầu KH]],Data_Dep.12[[#This Row],[T/G điều chỉnh]])</f>
        <v>49369</v>
      </c>
      <c r="AA125" s="175">
        <f>Data_Dep.12[[#This Row],[T/G điều chỉnh]]-Data_Dep.12[[#This Row],[Số kỳ đã khấu hao]]</f>
        <v>110</v>
      </c>
      <c r="AB125" s="175">
        <f>IFERROR(-Data_Dep.12[[#This Row],[Giá trị còn lại 31/12/25]]/(Data_Dep.12[[#This Row],[T/G điều chỉnh]]-Data_Dep.12[[#This Row],[Số kỳ đã khấu hao]]),0)</f>
        <v>-149750.5</v>
      </c>
      <c r="AC125" s="181">
        <v>-149750.5</v>
      </c>
      <c r="AD125" s="181">
        <v>-149750.5</v>
      </c>
      <c r="AE125" s="181">
        <v>-149750.5</v>
      </c>
      <c r="AF125" s="181">
        <v>-149750.5</v>
      </c>
      <c r="AG125" s="181">
        <v>-149750.5</v>
      </c>
      <c r="AH125" s="181">
        <v>-149750.5</v>
      </c>
      <c r="AI125" s="181">
        <v>-149750.5</v>
      </c>
      <c r="AJ125" s="181">
        <v>-149750.5</v>
      </c>
      <c r="AK125" s="181">
        <v>-149750.5</v>
      </c>
      <c r="AL125" s="181">
        <v>-149750.5</v>
      </c>
      <c r="AM125" s="181">
        <v>-149750.5</v>
      </c>
      <c r="AN125" s="181">
        <v>-149750.5</v>
      </c>
      <c r="AO125" s="175">
        <f>SUM(Data_Dep.12[[#This Row],[KH_2601]:[KH_2612]])</f>
        <v>-1797006</v>
      </c>
      <c r="AP125" s="175">
        <f>Data_Dep.12[[#This Row],[Giá trị còn lại 31/12/25]]+Data_Dep.12[[#This Row],[KH LK 2026]]</f>
        <v>14675549</v>
      </c>
    </row>
    <row r="126" spans="1:42" x14ac:dyDescent="0.3">
      <c r="A126" s="169"/>
      <c r="B126" s="169"/>
      <c r="C126" s="170" t="s">
        <v>341</v>
      </c>
      <c r="D126" s="169" t="str">
        <f>_xlfn.XLOOKUP(Data_Dep.12[[#This Row],[Nhóm tài sản]],MD_Account_Asset_Type[Nhóm tài sản],MD_Account_Asset_Type[Tên Nhóm tài sản])</f>
        <v>Máy móc, thiết bị - QL 642</v>
      </c>
      <c r="E126" s="171" t="s">
        <v>1063</v>
      </c>
      <c r="F126" s="170" t="s">
        <v>618</v>
      </c>
      <c r="G126" s="169" t="s">
        <v>830</v>
      </c>
      <c r="H126" s="170" t="s">
        <v>36</v>
      </c>
      <c r="I126" s="170" t="str">
        <f>_xlfn.XLOOKUP(Data_Dep.12[[#This Row],[Cost center]],MD_Cost_Center[Mã Cost Center],MD_Cost_Center[Tên Cost Center])</f>
        <v>Hành chánh nhân sự</v>
      </c>
      <c r="J126" s="172">
        <f>_xlfn.XLOOKUP(Data_Dep.12[[#This Row],[Cost center]],MD_Cost_Center[Mã Cost Center],MD_Cost_Center[Work center],"Check")</f>
        <v>0</v>
      </c>
      <c r="K126" s="169" t="str">
        <f>_xlfn.XLOOKUP(Data_Dep.12[[#This Row],[Nhóm tài sản]],MD_Account_Asset_Type[Nhóm tài sản],MD_Account_Asset_Type[Tài khoản KH],"Check")</f>
        <v>6424001903</v>
      </c>
      <c r="L126" s="173">
        <v>45078</v>
      </c>
      <c r="M126" s="174">
        <f>EDATE(Data_Dep.12[[#This Row],[Ngày bắt đầu KH]],Data_Dep.12[[#This Row],[T/G Khấu hao]])</f>
        <v>46539</v>
      </c>
      <c r="N126" s="175">
        <v>48</v>
      </c>
      <c r="O126" s="175">
        <v>85559000</v>
      </c>
      <c r="P126" s="176">
        <v>-49909417</v>
      </c>
      <c r="Q126" s="175">
        <f>Data_Dep.12[[#This Row],[Nguyên giá]]+Data_Dep.12[[#This Row],[KH lũy kế]]</f>
        <v>35649583</v>
      </c>
      <c r="R126" s="177">
        <v>-1782479</v>
      </c>
      <c r="S126" s="177">
        <v>-1782479</v>
      </c>
      <c r="T126" s="177">
        <v>-1782479</v>
      </c>
      <c r="U126" s="177">
        <f>SUM(Data_Dep.12[[#This Row],[KH_2510]:[KH_2512]])</f>
        <v>-5347437</v>
      </c>
      <c r="V126" s="175">
        <f>Data_Dep.12[[#This Row],[Nguyên giá]]+Data_Dep.12[[#This Row],[KH lũy kế]]+Data_Dep.12[[#This Row],[KH_Q4.25]]</f>
        <v>30302146</v>
      </c>
      <c r="W126" s="178">
        <f>ROUND(Data_Dep.12[[#This Row],[T/G Khấu hao]]-Data_Dep.12[[#This Row],[Giá trị còn lại 31/12/25]]/Data_Dep.12[[#This Row],[Nguyên giá]]*Data_Dep.12[[#This Row],[T/G Khấu hao]],0)</f>
        <v>31</v>
      </c>
      <c r="X126" s="179">
        <v>96</v>
      </c>
      <c r="Y126" s="175">
        <f>Data_Dep.12[[#This Row],[T/G Khấu hao]]+Data_Dep.12[[#This Row],[Điều chỉnh]]</f>
        <v>144</v>
      </c>
      <c r="Z126" s="180">
        <f>EDATE(Data_Dep.12[[#This Row],[Ngày bắt đầu KH]],Data_Dep.12[[#This Row],[T/G điều chỉnh]])</f>
        <v>49461</v>
      </c>
      <c r="AA126" s="175">
        <f>Data_Dep.12[[#This Row],[T/G điều chỉnh]]-Data_Dep.12[[#This Row],[Số kỳ đã khấu hao]]</f>
        <v>113</v>
      </c>
      <c r="AB126" s="175">
        <f>IFERROR(-Data_Dep.12[[#This Row],[Giá trị còn lại 31/12/25]]/(Data_Dep.12[[#This Row],[T/G điều chỉnh]]-Data_Dep.12[[#This Row],[Số kỳ đã khấu hao]]),0)</f>
        <v>-268160.58407079644</v>
      </c>
      <c r="AC126" s="181">
        <v>-268160.58407079644</v>
      </c>
      <c r="AD126" s="181">
        <v>-268160.58407079644</v>
      </c>
      <c r="AE126" s="181">
        <v>-268160.58407079644</v>
      </c>
      <c r="AF126" s="181">
        <v>-268160.58407079644</v>
      </c>
      <c r="AG126" s="181">
        <v>-268160.58407079644</v>
      </c>
      <c r="AH126" s="181">
        <v>-268160.58407079644</v>
      </c>
      <c r="AI126" s="181">
        <v>-268160.58407079644</v>
      </c>
      <c r="AJ126" s="181">
        <v>-268160.58407079644</v>
      </c>
      <c r="AK126" s="181">
        <v>-268160.58407079644</v>
      </c>
      <c r="AL126" s="181">
        <v>-268160.58407079644</v>
      </c>
      <c r="AM126" s="181">
        <v>-268160.58407079644</v>
      </c>
      <c r="AN126" s="181">
        <v>-268160.58407079644</v>
      </c>
      <c r="AO126" s="175">
        <f>SUM(Data_Dep.12[[#This Row],[KH_2601]:[KH_2612]])</f>
        <v>-3217927.008849558</v>
      </c>
      <c r="AP126" s="175">
        <f>Data_Dep.12[[#This Row],[Giá trị còn lại 31/12/25]]+Data_Dep.12[[#This Row],[KH LK 2026]]</f>
        <v>27084218.991150443</v>
      </c>
    </row>
    <row r="127" spans="1:42" x14ac:dyDescent="0.3">
      <c r="A127" s="169"/>
      <c r="B127" s="169"/>
      <c r="C127" s="170" t="s">
        <v>341</v>
      </c>
      <c r="D127" s="169" t="str">
        <f>_xlfn.XLOOKUP(Data_Dep.12[[#This Row],[Nhóm tài sản]],MD_Account_Asset_Type[Nhóm tài sản],MD_Account_Asset_Type[Tên Nhóm tài sản])</f>
        <v>Máy móc, thiết bị - QL 642</v>
      </c>
      <c r="E127" s="171" t="s">
        <v>1064</v>
      </c>
      <c r="F127" s="170" t="s">
        <v>619</v>
      </c>
      <c r="G127" s="169" t="s">
        <v>830</v>
      </c>
      <c r="H127" s="170" t="s">
        <v>36</v>
      </c>
      <c r="I127" s="170" t="str">
        <f>_xlfn.XLOOKUP(Data_Dep.12[[#This Row],[Cost center]],MD_Cost_Center[Mã Cost Center],MD_Cost_Center[Tên Cost Center])</f>
        <v>Hành chánh nhân sự</v>
      </c>
      <c r="J127" s="172">
        <f>_xlfn.XLOOKUP(Data_Dep.12[[#This Row],[Cost center]],MD_Cost_Center[Mã Cost Center],MD_Cost_Center[Work center],"Check")</f>
        <v>0</v>
      </c>
      <c r="K127" s="169" t="str">
        <f>_xlfn.XLOOKUP(Data_Dep.12[[#This Row],[Nhóm tài sản]],MD_Account_Asset_Type[Nhóm tài sản],MD_Account_Asset_Type[Tài khoản KH],"Check")</f>
        <v>6424001903</v>
      </c>
      <c r="L127" s="173">
        <v>45078</v>
      </c>
      <c r="M127" s="174">
        <f>EDATE(Data_Dep.12[[#This Row],[Ngày bắt đầu KH]],Data_Dep.12[[#This Row],[T/G Khấu hao]])</f>
        <v>46539</v>
      </c>
      <c r="N127" s="175">
        <v>48</v>
      </c>
      <c r="O127" s="175">
        <v>85559000</v>
      </c>
      <c r="P127" s="176">
        <v>-49909417</v>
      </c>
      <c r="Q127" s="175">
        <f>Data_Dep.12[[#This Row],[Nguyên giá]]+Data_Dep.12[[#This Row],[KH lũy kế]]</f>
        <v>35649583</v>
      </c>
      <c r="R127" s="177">
        <v>-1782479</v>
      </c>
      <c r="S127" s="177">
        <v>-1782479</v>
      </c>
      <c r="T127" s="177">
        <v>-1782479</v>
      </c>
      <c r="U127" s="177">
        <f>SUM(Data_Dep.12[[#This Row],[KH_2510]:[KH_2512]])</f>
        <v>-5347437</v>
      </c>
      <c r="V127" s="175">
        <f>Data_Dep.12[[#This Row],[Nguyên giá]]+Data_Dep.12[[#This Row],[KH lũy kế]]+Data_Dep.12[[#This Row],[KH_Q4.25]]</f>
        <v>30302146</v>
      </c>
      <c r="W127" s="178">
        <f>ROUND(Data_Dep.12[[#This Row],[T/G Khấu hao]]-Data_Dep.12[[#This Row],[Giá trị còn lại 31/12/25]]/Data_Dep.12[[#This Row],[Nguyên giá]]*Data_Dep.12[[#This Row],[T/G Khấu hao]],0)</f>
        <v>31</v>
      </c>
      <c r="X127" s="179">
        <v>96</v>
      </c>
      <c r="Y127" s="175">
        <f>Data_Dep.12[[#This Row],[T/G Khấu hao]]+Data_Dep.12[[#This Row],[Điều chỉnh]]</f>
        <v>144</v>
      </c>
      <c r="Z127" s="180">
        <f>EDATE(Data_Dep.12[[#This Row],[Ngày bắt đầu KH]],Data_Dep.12[[#This Row],[T/G điều chỉnh]])</f>
        <v>49461</v>
      </c>
      <c r="AA127" s="175">
        <f>Data_Dep.12[[#This Row],[T/G điều chỉnh]]-Data_Dep.12[[#This Row],[Số kỳ đã khấu hao]]</f>
        <v>113</v>
      </c>
      <c r="AB127" s="175">
        <f>IFERROR(-Data_Dep.12[[#This Row],[Giá trị còn lại 31/12/25]]/(Data_Dep.12[[#This Row],[T/G điều chỉnh]]-Data_Dep.12[[#This Row],[Số kỳ đã khấu hao]]),0)</f>
        <v>-268160.58407079644</v>
      </c>
      <c r="AC127" s="181">
        <v>-268160.58407079644</v>
      </c>
      <c r="AD127" s="181">
        <v>-268160.58407079644</v>
      </c>
      <c r="AE127" s="181">
        <v>-268160.58407079644</v>
      </c>
      <c r="AF127" s="181">
        <v>-268160.58407079644</v>
      </c>
      <c r="AG127" s="181">
        <v>-268160.58407079644</v>
      </c>
      <c r="AH127" s="181">
        <v>-268160.58407079644</v>
      </c>
      <c r="AI127" s="181">
        <v>-268160.58407079644</v>
      </c>
      <c r="AJ127" s="181">
        <v>-268160.58407079644</v>
      </c>
      <c r="AK127" s="181">
        <v>-268160.58407079644</v>
      </c>
      <c r="AL127" s="181">
        <v>-268160.58407079644</v>
      </c>
      <c r="AM127" s="181">
        <v>-268160.58407079644</v>
      </c>
      <c r="AN127" s="181">
        <v>-268160.58407079644</v>
      </c>
      <c r="AO127" s="175">
        <f>SUM(Data_Dep.12[[#This Row],[KH_2601]:[KH_2612]])</f>
        <v>-3217927.008849558</v>
      </c>
      <c r="AP127" s="175">
        <f>Data_Dep.12[[#This Row],[Giá trị còn lại 31/12/25]]+Data_Dep.12[[#This Row],[KH LK 2026]]</f>
        <v>27084218.991150443</v>
      </c>
    </row>
    <row r="128" spans="1:42" x14ac:dyDescent="0.3">
      <c r="A128" s="169"/>
      <c r="B128" s="169"/>
      <c r="C128" s="170" t="s">
        <v>341</v>
      </c>
      <c r="D128" s="169" t="str">
        <f>_xlfn.XLOOKUP(Data_Dep.12[[#This Row],[Nhóm tài sản]],MD_Account_Asset_Type[Nhóm tài sản],MD_Account_Asset_Type[Tên Nhóm tài sản])</f>
        <v>Máy móc, thiết bị - QL 642</v>
      </c>
      <c r="E128" s="171" t="s">
        <v>1065</v>
      </c>
      <c r="F128" s="170" t="s">
        <v>620</v>
      </c>
      <c r="G128" s="169" t="s">
        <v>502</v>
      </c>
      <c r="H128" s="170" t="s">
        <v>36</v>
      </c>
      <c r="I128" s="170" t="str">
        <f>_xlfn.XLOOKUP(Data_Dep.12[[#This Row],[Cost center]],MD_Cost_Center[Mã Cost Center],MD_Cost_Center[Tên Cost Center])</f>
        <v>Hành chánh nhân sự</v>
      </c>
      <c r="J128" s="172">
        <f>_xlfn.XLOOKUP(Data_Dep.12[[#This Row],[Cost center]],MD_Cost_Center[Mã Cost Center],MD_Cost_Center[Work center],"Check")</f>
        <v>0</v>
      </c>
      <c r="K128" s="169" t="str">
        <f>_xlfn.XLOOKUP(Data_Dep.12[[#This Row],[Nhóm tài sản]],MD_Account_Asset_Type[Nhóm tài sản],MD_Account_Asset_Type[Tài khoản KH],"Check")</f>
        <v>6424001903</v>
      </c>
      <c r="L128" s="173">
        <v>45170</v>
      </c>
      <c r="M128" s="174">
        <f>EDATE(Data_Dep.12[[#This Row],[Ngày bắt đầu KH]],Data_Dep.12[[#This Row],[T/G Khấu hao]])</f>
        <v>46997</v>
      </c>
      <c r="N128" s="175">
        <v>60</v>
      </c>
      <c r="O128" s="175">
        <v>267417833</v>
      </c>
      <c r="P128" s="176">
        <v>-111424098</v>
      </c>
      <c r="Q128" s="175">
        <f>Data_Dep.12[[#This Row],[Nguyên giá]]+Data_Dep.12[[#This Row],[KH lũy kế]]</f>
        <v>155993735</v>
      </c>
      <c r="R128" s="177">
        <v>-4456964</v>
      </c>
      <c r="S128" s="177">
        <v>-4456964</v>
      </c>
      <c r="T128" s="177">
        <v>-4456963</v>
      </c>
      <c r="U128" s="177">
        <f>SUM(Data_Dep.12[[#This Row],[KH_2510]:[KH_2512]])</f>
        <v>-13370891</v>
      </c>
      <c r="V128" s="175">
        <f>Data_Dep.12[[#This Row],[Nguyên giá]]+Data_Dep.12[[#This Row],[KH lũy kế]]+Data_Dep.12[[#This Row],[KH_Q4.25]]</f>
        <v>142622844</v>
      </c>
      <c r="W128" s="178">
        <f>ROUND(Data_Dep.12[[#This Row],[T/G Khấu hao]]-Data_Dep.12[[#This Row],[Giá trị còn lại 31/12/25]]/Data_Dep.12[[#This Row],[Nguyên giá]]*Data_Dep.12[[#This Row],[T/G Khấu hao]],0)</f>
        <v>28</v>
      </c>
      <c r="X128" s="179">
        <v>84</v>
      </c>
      <c r="Y128" s="175">
        <f>Data_Dep.12[[#This Row],[T/G Khấu hao]]+Data_Dep.12[[#This Row],[Điều chỉnh]]</f>
        <v>144</v>
      </c>
      <c r="Z128" s="180">
        <f>EDATE(Data_Dep.12[[#This Row],[Ngày bắt đầu KH]],Data_Dep.12[[#This Row],[T/G điều chỉnh]])</f>
        <v>49553</v>
      </c>
      <c r="AA128" s="175">
        <f>Data_Dep.12[[#This Row],[T/G điều chỉnh]]-Data_Dep.12[[#This Row],[Số kỳ đã khấu hao]]</f>
        <v>116</v>
      </c>
      <c r="AB128" s="175">
        <f>IFERROR(-Data_Dep.12[[#This Row],[Giá trị còn lại 31/12/25]]/(Data_Dep.12[[#This Row],[T/G điều chỉnh]]-Data_Dep.12[[#This Row],[Số kỳ đã khấu hao]]),0)</f>
        <v>-1229507.2758620689</v>
      </c>
      <c r="AC128" s="181">
        <v>-1229507.2758620689</v>
      </c>
      <c r="AD128" s="181">
        <v>-1229507.2758620689</v>
      </c>
      <c r="AE128" s="181">
        <v>-1229507.2758620689</v>
      </c>
      <c r="AF128" s="181">
        <v>-1229507.2758620689</v>
      </c>
      <c r="AG128" s="181">
        <v>-1229507.2758620689</v>
      </c>
      <c r="AH128" s="181">
        <v>-1229507.2758620689</v>
      </c>
      <c r="AI128" s="181">
        <v>-1229507.2758620689</v>
      </c>
      <c r="AJ128" s="181">
        <v>-1229507.2758620689</v>
      </c>
      <c r="AK128" s="181">
        <v>-1229507.2758620689</v>
      </c>
      <c r="AL128" s="181">
        <v>-1229507.2758620689</v>
      </c>
      <c r="AM128" s="181">
        <v>-1229507.2758620689</v>
      </c>
      <c r="AN128" s="181">
        <v>-1229507.2758620689</v>
      </c>
      <c r="AO128" s="175">
        <f>SUM(Data_Dep.12[[#This Row],[KH_2601]:[KH_2612]])</f>
        <v>-14754087.310344823</v>
      </c>
      <c r="AP128" s="175">
        <f>Data_Dep.12[[#This Row],[Giá trị còn lại 31/12/25]]+Data_Dep.12[[#This Row],[KH LK 2026]]</f>
        <v>127868756.68965518</v>
      </c>
    </row>
    <row r="129" spans="1:42" x14ac:dyDescent="0.3">
      <c r="A129" s="169"/>
      <c r="B129" s="169"/>
      <c r="C129" s="170" t="s">
        <v>338</v>
      </c>
      <c r="D129" s="169" t="str">
        <f>_xlfn.XLOOKUP(Data_Dep.12[[#This Row],[Nhóm tài sản]],MD_Account_Asset_Type[Nhóm tài sản],MD_Account_Asset_Type[Tên Nhóm tài sản])</f>
        <v>Máy móc, thiết bị - SX 627</v>
      </c>
      <c r="E129" s="171" t="s">
        <v>847</v>
      </c>
      <c r="F129" s="170" t="s">
        <v>621</v>
      </c>
      <c r="G129" s="169" t="s">
        <v>830</v>
      </c>
      <c r="H129" s="170" t="s">
        <v>56</v>
      </c>
      <c r="I129" s="170" t="str">
        <f>_xlfn.XLOOKUP(Data_Dep.12[[#This Row],[Cost center]],MD_Cost_Center[Mã Cost Center],MD_Cost_Center[Tên Cost Center])</f>
        <v>Máy tạo vảy - Carno</v>
      </c>
      <c r="J129" s="172" t="str">
        <f>_xlfn.XLOOKUP(Data_Dep.12[[#This Row],[Cost center]],MD_Cost_Center[Mã Cost Center],MD_Cost_Center[Work center],"Check")</f>
        <v>CARN-01 | CARN-02 | CARN-03 | CARN-04</v>
      </c>
      <c r="K129" s="169" t="str">
        <f>_xlfn.XLOOKUP(Data_Dep.12[[#This Row],[Nhóm tài sản]],MD_Account_Asset_Type[Nhóm tài sản],MD_Account_Asset_Type[Tài khoản KH],"Check")</f>
        <v>6274001903</v>
      </c>
      <c r="L129" s="173">
        <v>44166</v>
      </c>
      <c r="M129" s="174">
        <f>EDATE(Data_Dep.12[[#This Row],[Ngày bắt đầu KH]],Data_Dep.12[[#This Row],[T/G Khấu hao]])</f>
        <v>46905</v>
      </c>
      <c r="N129" s="175">
        <v>90</v>
      </c>
      <c r="O129" s="175">
        <v>171900000</v>
      </c>
      <c r="P129" s="176">
        <v>-109687317</v>
      </c>
      <c r="Q129" s="175">
        <f>Data_Dep.12[[#This Row],[Nguyên giá]]+Data_Dep.12[[#This Row],[KH lũy kế]]</f>
        <v>62212683</v>
      </c>
      <c r="R129" s="177">
        <v>-1944146</v>
      </c>
      <c r="S129" s="177">
        <v>-1944147</v>
      </c>
      <c r="T129" s="177">
        <v>-1944146</v>
      </c>
      <c r="U129" s="177">
        <f>SUM(Data_Dep.12[[#This Row],[KH_2510]:[KH_2512]])</f>
        <v>-5832439</v>
      </c>
      <c r="V129" s="175">
        <f>Data_Dep.12[[#This Row],[Nguyên giá]]+Data_Dep.12[[#This Row],[KH lũy kế]]+Data_Dep.12[[#This Row],[KH_Q4.25]]</f>
        <v>56380244</v>
      </c>
      <c r="W129" s="178">
        <f>ROUND(Data_Dep.12[[#This Row],[T/G Khấu hao]]-Data_Dep.12[[#This Row],[Giá trị còn lại 31/12/25]]/Data_Dep.12[[#This Row],[Nguyên giá]]*Data_Dep.12[[#This Row],[T/G Khấu hao]],0)</f>
        <v>60</v>
      </c>
      <c r="X129" s="179">
        <v>54</v>
      </c>
      <c r="Y129" s="175">
        <f>Data_Dep.12[[#This Row],[T/G Khấu hao]]+Data_Dep.12[[#This Row],[Điều chỉnh]]</f>
        <v>144</v>
      </c>
      <c r="Z129" s="180">
        <f>EDATE(Data_Dep.12[[#This Row],[Ngày bắt đầu KH]],Data_Dep.12[[#This Row],[T/G điều chỉnh]])</f>
        <v>48549</v>
      </c>
      <c r="AA129" s="175">
        <f>Data_Dep.12[[#This Row],[T/G điều chỉnh]]-Data_Dep.12[[#This Row],[Số kỳ đã khấu hao]]</f>
        <v>84</v>
      </c>
      <c r="AB129" s="175">
        <f>IFERROR(-Data_Dep.12[[#This Row],[Giá trị còn lại 31/12/25]]/(Data_Dep.12[[#This Row],[T/G điều chỉnh]]-Data_Dep.12[[#This Row],[Số kỳ đã khấu hao]]),0)</f>
        <v>-671193.38095238095</v>
      </c>
      <c r="AC129" s="181">
        <v>-671193.38095238095</v>
      </c>
      <c r="AD129" s="181">
        <v>-671193.38095238095</v>
      </c>
      <c r="AE129" s="181">
        <v>-671193.38095238095</v>
      </c>
      <c r="AF129" s="181">
        <v>-671193.38095238095</v>
      </c>
      <c r="AG129" s="181">
        <v>-671193.38095238095</v>
      </c>
      <c r="AH129" s="181">
        <v>-671193.38095238095</v>
      </c>
      <c r="AI129" s="181">
        <v>-671193.38095238095</v>
      </c>
      <c r="AJ129" s="181">
        <v>-671193.38095238095</v>
      </c>
      <c r="AK129" s="181">
        <v>-671193.38095238095</v>
      </c>
      <c r="AL129" s="181">
        <v>-671193.38095238095</v>
      </c>
      <c r="AM129" s="181">
        <v>-671193.38095238095</v>
      </c>
      <c r="AN129" s="181">
        <v>-671193.38095238095</v>
      </c>
      <c r="AO129" s="175">
        <f>SUM(Data_Dep.12[[#This Row],[KH_2601]:[KH_2612]])</f>
        <v>-8054320.57142857</v>
      </c>
      <c r="AP129" s="175">
        <f>Data_Dep.12[[#This Row],[Giá trị còn lại 31/12/25]]+Data_Dep.12[[#This Row],[KH LK 2026]]</f>
        <v>48325923.428571433</v>
      </c>
    </row>
    <row r="130" spans="1:42" x14ac:dyDescent="0.3">
      <c r="A130" s="169"/>
      <c r="B130" s="169"/>
      <c r="C130" s="170" t="s">
        <v>338</v>
      </c>
      <c r="D130" s="169" t="str">
        <f>_xlfn.XLOOKUP(Data_Dep.12[[#This Row],[Nhóm tài sản]],MD_Account_Asset_Type[Nhóm tài sản],MD_Account_Asset_Type[Tên Nhóm tài sản])</f>
        <v>Máy móc, thiết bị - SX 627</v>
      </c>
      <c r="E130" s="171" t="s">
        <v>848</v>
      </c>
      <c r="F130" s="170" t="s">
        <v>622</v>
      </c>
      <c r="G130" s="169" t="s">
        <v>830</v>
      </c>
      <c r="H130" s="170" t="s">
        <v>66</v>
      </c>
      <c r="I130" s="170" t="str">
        <f>_xlfn.XLOOKUP(Data_Dep.12[[#This Row],[Cost center]],MD_Cost_Center[Mã Cost Center],MD_Cost_Center[Tên Cost Center])</f>
        <v>Máy trộn hạt nhựa rHDPE</v>
      </c>
      <c r="J130" s="172" t="str">
        <f>_xlfn.XLOOKUP(Data_Dep.12[[#This Row],[Cost center]],MD_Cost_Center[Mã Cost Center],MD_Cost_Center[Work center],"Check")</f>
        <v>MIX-02</v>
      </c>
      <c r="K130" s="169" t="str">
        <f>_xlfn.XLOOKUP(Data_Dep.12[[#This Row],[Nhóm tài sản]],MD_Account_Asset_Type[Nhóm tài sản],MD_Account_Asset_Type[Tài khoản KH],"Check")</f>
        <v>6274001903</v>
      </c>
      <c r="L130" s="173">
        <v>44389</v>
      </c>
      <c r="M130" s="174">
        <f>EDATE(Data_Dep.12[[#This Row],[Ngày bắt đầu KH]],Data_Dep.12[[#This Row],[T/G Khấu hao]])</f>
        <v>47130</v>
      </c>
      <c r="N130" s="175">
        <v>90</v>
      </c>
      <c r="O130" s="175">
        <v>150000000</v>
      </c>
      <c r="P130" s="176">
        <v>-85000000</v>
      </c>
      <c r="Q130" s="175">
        <f>Data_Dep.12[[#This Row],[Nguyên giá]]+Data_Dep.12[[#This Row],[KH lũy kế]]</f>
        <v>65000000</v>
      </c>
      <c r="R130" s="177">
        <v>-1666667</v>
      </c>
      <c r="S130" s="177">
        <v>-1666666</v>
      </c>
      <c r="T130" s="177">
        <v>-1666667</v>
      </c>
      <c r="U130" s="177">
        <f>SUM(Data_Dep.12[[#This Row],[KH_2510]:[KH_2512]])</f>
        <v>-5000000</v>
      </c>
      <c r="V130" s="175">
        <f>Data_Dep.12[[#This Row],[Nguyên giá]]+Data_Dep.12[[#This Row],[KH lũy kế]]+Data_Dep.12[[#This Row],[KH_Q4.25]]</f>
        <v>60000000</v>
      </c>
      <c r="W130" s="178">
        <f>ROUND(Data_Dep.12[[#This Row],[T/G Khấu hao]]-Data_Dep.12[[#This Row],[Giá trị còn lại 31/12/25]]/Data_Dep.12[[#This Row],[Nguyên giá]]*Data_Dep.12[[#This Row],[T/G Khấu hao]],0)</f>
        <v>54</v>
      </c>
      <c r="X130" s="179">
        <v>54</v>
      </c>
      <c r="Y130" s="175">
        <f>Data_Dep.12[[#This Row],[T/G Khấu hao]]+Data_Dep.12[[#This Row],[Điều chỉnh]]</f>
        <v>144</v>
      </c>
      <c r="Z130" s="180">
        <f>EDATE(Data_Dep.12[[#This Row],[Ngày bắt đầu KH]],Data_Dep.12[[#This Row],[T/G điều chỉnh]])</f>
        <v>48772</v>
      </c>
      <c r="AA130" s="175">
        <f>Data_Dep.12[[#This Row],[T/G điều chỉnh]]-Data_Dep.12[[#This Row],[Số kỳ đã khấu hao]]</f>
        <v>90</v>
      </c>
      <c r="AB130" s="175">
        <f>IFERROR(-Data_Dep.12[[#This Row],[Giá trị còn lại 31/12/25]]/(Data_Dep.12[[#This Row],[T/G điều chỉnh]]-Data_Dep.12[[#This Row],[Số kỳ đã khấu hao]]),0)</f>
        <v>-666666.66666666663</v>
      </c>
      <c r="AC130" s="181">
        <v>-666666.66666666663</v>
      </c>
      <c r="AD130" s="181">
        <v>-666666.66666666663</v>
      </c>
      <c r="AE130" s="181">
        <v>-666666.66666666663</v>
      </c>
      <c r="AF130" s="181">
        <v>-666666.66666666663</v>
      </c>
      <c r="AG130" s="181">
        <v>-666666.66666666663</v>
      </c>
      <c r="AH130" s="181">
        <v>-666666.66666666663</v>
      </c>
      <c r="AI130" s="181">
        <v>-666666.66666666663</v>
      </c>
      <c r="AJ130" s="181">
        <v>-666666.66666666663</v>
      </c>
      <c r="AK130" s="181">
        <v>-666666.66666666663</v>
      </c>
      <c r="AL130" s="181">
        <v>-666666.66666666663</v>
      </c>
      <c r="AM130" s="181">
        <v>-666666.66666666663</v>
      </c>
      <c r="AN130" s="181">
        <v>-666666.66666666663</v>
      </c>
      <c r="AO130" s="175">
        <f>SUM(Data_Dep.12[[#This Row],[KH_2601]:[KH_2612]])</f>
        <v>-8000000.0000000009</v>
      </c>
      <c r="AP130" s="175">
        <f>Data_Dep.12[[#This Row],[Giá trị còn lại 31/12/25]]+Data_Dep.12[[#This Row],[KH LK 2026]]</f>
        <v>52000000</v>
      </c>
    </row>
    <row r="131" spans="1:42" x14ac:dyDescent="0.3">
      <c r="A131" s="169"/>
      <c r="B131" s="169"/>
      <c r="C131" s="170" t="s">
        <v>338</v>
      </c>
      <c r="D131" s="169" t="str">
        <f>_xlfn.XLOOKUP(Data_Dep.12[[#This Row],[Nhóm tài sản]],MD_Account_Asset_Type[Nhóm tài sản],MD_Account_Asset_Type[Tên Nhóm tài sản])</f>
        <v>Máy móc, thiết bị - SX 627</v>
      </c>
      <c r="E131" s="171" t="s">
        <v>849</v>
      </c>
      <c r="F131" s="170" t="s">
        <v>623</v>
      </c>
      <c r="G131" s="169" t="s">
        <v>850</v>
      </c>
      <c r="H131" s="170" t="s">
        <v>51</v>
      </c>
      <c r="I131" s="170" t="str">
        <f>_xlfn.XLOOKUP(Data_Dep.12[[#This Row],[Cost center]],MD_Cost_Center[Mã Cost Center],MD_Cost_Center[Tên Cost Center])</f>
        <v>Chuyền máy tạo vảy PET CW+Tomra</v>
      </c>
      <c r="J131" s="172" t="str">
        <f>_xlfn.XLOOKUP(Data_Dep.12[[#This Row],[Cost center]],MD_Cost_Center[Mã Cost Center],MD_Cost_Center[Work center],"Check")</f>
        <v>CHWO-R01</v>
      </c>
      <c r="K131" s="169" t="str">
        <f>_xlfn.XLOOKUP(Data_Dep.12[[#This Row],[Nhóm tài sản]],MD_Account_Asset_Type[Nhóm tài sản],MD_Account_Asset_Type[Tài khoản KH],"Check")</f>
        <v>6274001903</v>
      </c>
      <c r="L131" s="173">
        <v>44417</v>
      </c>
      <c r="M131" s="174">
        <f>EDATE(Data_Dep.12[[#This Row],[Ngày bắt đầu KH]],Data_Dep.12[[#This Row],[T/G Khấu hao]])</f>
        <v>48069</v>
      </c>
      <c r="N131" s="175">
        <v>120</v>
      </c>
      <c r="O131" s="175">
        <v>37079055498</v>
      </c>
      <c r="P131" s="176">
        <v>-15449606458</v>
      </c>
      <c r="Q131" s="175">
        <f>Data_Dep.12[[#This Row],[Nguyên giá]]+Data_Dep.12[[#This Row],[KH lũy kế]]</f>
        <v>21629449040</v>
      </c>
      <c r="R131" s="177">
        <v>-308992129</v>
      </c>
      <c r="S131" s="177">
        <v>-308992130</v>
      </c>
      <c r="T131" s="177">
        <v>-308992129</v>
      </c>
      <c r="U131" s="177">
        <f>SUM(Data_Dep.12[[#This Row],[KH_2510]:[KH_2512]])</f>
        <v>-926976388</v>
      </c>
      <c r="V131" s="175">
        <f>Data_Dep.12[[#This Row],[Nguyên giá]]+Data_Dep.12[[#This Row],[KH lũy kế]]+Data_Dep.12[[#This Row],[KH_Q4.25]]</f>
        <v>20702472652</v>
      </c>
      <c r="W131" s="178">
        <f>ROUND(Data_Dep.12[[#This Row],[T/G Khấu hao]]-Data_Dep.12[[#This Row],[Giá trị còn lại 31/12/25]]/Data_Dep.12[[#This Row],[Nguyên giá]]*Data_Dep.12[[#This Row],[T/G Khấu hao]],0)</f>
        <v>53</v>
      </c>
      <c r="X131" s="179">
        <v>24</v>
      </c>
      <c r="Y131" s="175">
        <f>Data_Dep.12[[#This Row],[T/G Khấu hao]]+Data_Dep.12[[#This Row],[Điều chỉnh]]</f>
        <v>144</v>
      </c>
      <c r="Z131" s="180">
        <f>EDATE(Data_Dep.12[[#This Row],[Ngày bắt đầu KH]],Data_Dep.12[[#This Row],[T/G điều chỉnh]])</f>
        <v>48800</v>
      </c>
      <c r="AA131" s="175">
        <f>Data_Dep.12[[#This Row],[T/G điều chỉnh]]-Data_Dep.12[[#This Row],[Số kỳ đã khấu hao]]</f>
        <v>91</v>
      </c>
      <c r="AB131" s="175">
        <f>IFERROR(-Data_Dep.12[[#This Row],[Giá trị còn lại 31/12/25]]/(Data_Dep.12[[#This Row],[T/G điều chỉnh]]-Data_Dep.12[[#This Row],[Số kỳ đã khấu hao]]),0)</f>
        <v>-227499699.47252747</v>
      </c>
      <c r="AC131" s="181">
        <v>-227499699.47252747</v>
      </c>
      <c r="AD131" s="181">
        <v>-227499699.47252747</v>
      </c>
      <c r="AE131" s="181">
        <v>-227499699.47252747</v>
      </c>
      <c r="AF131" s="181">
        <v>-227499699.47252747</v>
      </c>
      <c r="AG131" s="181">
        <v>-227499699.47252747</v>
      </c>
      <c r="AH131" s="181">
        <v>-227499699.47252747</v>
      </c>
      <c r="AI131" s="181">
        <v>-227499699.47252747</v>
      </c>
      <c r="AJ131" s="181">
        <v>-227499699.47252747</v>
      </c>
      <c r="AK131" s="181">
        <v>-227499699.47252747</v>
      </c>
      <c r="AL131" s="181">
        <v>-227499699.47252747</v>
      </c>
      <c r="AM131" s="181">
        <v>-227499699.47252747</v>
      </c>
      <c r="AN131" s="181">
        <v>-227499699.47252747</v>
      </c>
      <c r="AO131" s="175">
        <f>SUM(Data_Dep.12[[#This Row],[KH_2601]:[KH_2612]])</f>
        <v>-2729996393.6703296</v>
      </c>
      <c r="AP131" s="175">
        <f>Data_Dep.12[[#This Row],[Giá trị còn lại 31/12/25]]+Data_Dep.12[[#This Row],[KH LK 2026]]</f>
        <v>17972476258.32967</v>
      </c>
    </row>
    <row r="132" spans="1:42" x14ac:dyDescent="0.3">
      <c r="A132" s="169"/>
      <c r="B132" s="169"/>
      <c r="C132" s="170" t="s">
        <v>338</v>
      </c>
      <c r="D132" s="169" t="str">
        <f>_xlfn.XLOOKUP(Data_Dep.12[[#This Row],[Nhóm tài sản]],MD_Account_Asset_Type[Nhóm tài sản],MD_Account_Asset_Type[Tên Nhóm tài sản])</f>
        <v>Máy móc, thiết bị - SX 627</v>
      </c>
      <c r="E132" s="171" t="s">
        <v>851</v>
      </c>
      <c r="F132" s="170" t="s">
        <v>624</v>
      </c>
      <c r="G132" s="169" t="s">
        <v>850</v>
      </c>
      <c r="H132" s="170" t="s">
        <v>54</v>
      </c>
      <c r="I132" s="170" t="str">
        <f>_xlfn.XLOOKUP(Data_Dep.12[[#This Row],[Cost center]],MD_Cost_Center[Mã Cost Center],MD_Cost_Center[Tên Cost Center])</f>
        <v>Máy tạo hạt PET Starlinger</v>
      </c>
      <c r="J132" s="172" t="str">
        <f>_xlfn.XLOOKUP(Data_Dep.12[[#This Row],[Cost center]],MD_Cost_Center[Mã Cost Center],MD_Cost_Center[Work center],"Check")</f>
        <v>STAR-01</v>
      </c>
      <c r="K132" s="169" t="str">
        <f>_xlfn.XLOOKUP(Data_Dep.12[[#This Row],[Nhóm tài sản]],MD_Account_Asset_Type[Nhóm tài sản],MD_Account_Asset_Type[Tài khoản KH],"Check")</f>
        <v>6274001903</v>
      </c>
      <c r="L132" s="173">
        <v>44417</v>
      </c>
      <c r="M132" s="174">
        <f>EDATE(Data_Dep.12[[#This Row],[Ngày bắt đầu KH]],Data_Dep.12[[#This Row],[T/G Khấu hao]])</f>
        <v>48069</v>
      </c>
      <c r="N132" s="175">
        <v>120</v>
      </c>
      <c r="O132" s="175">
        <v>40241134847</v>
      </c>
      <c r="P132" s="176">
        <v>-16766892316</v>
      </c>
      <c r="Q132" s="175">
        <f>Data_Dep.12[[#This Row],[Nguyên giá]]+Data_Dep.12[[#This Row],[KH lũy kế]]</f>
        <v>23474242531</v>
      </c>
      <c r="R132" s="177">
        <v>-335346322</v>
      </c>
      <c r="S132" s="177">
        <v>-335346322</v>
      </c>
      <c r="T132" s="177">
        <v>-335346321</v>
      </c>
      <c r="U132" s="177">
        <f>SUM(Data_Dep.12[[#This Row],[KH_2510]:[KH_2512]])</f>
        <v>-1006038965</v>
      </c>
      <c r="V132" s="175">
        <f>Data_Dep.12[[#This Row],[Nguyên giá]]+Data_Dep.12[[#This Row],[KH lũy kế]]+Data_Dep.12[[#This Row],[KH_Q4.25]]</f>
        <v>22468203566</v>
      </c>
      <c r="W132" s="178">
        <f>ROUND(Data_Dep.12[[#This Row],[T/G Khấu hao]]-Data_Dep.12[[#This Row],[Giá trị còn lại 31/12/25]]/Data_Dep.12[[#This Row],[Nguyên giá]]*Data_Dep.12[[#This Row],[T/G Khấu hao]],0)</f>
        <v>53</v>
      </c>
      <c r="X132" s="179">
        <v>24</v>
      </c>
      <c r="Y132" s="175">
        <f>Data_Dep.12[[#This Row],[T/G Khấu hao]]+Data_Dep.12[[#This Row],[Điều chỉnh]]</f>
        <v>144</v>
      </c>
      <c r="Z132" s="180">
        <f>EDATE(Data_Dep.12[[#This Row],[Ngày bắt đầu KH]],Data_Dep.12[[#This Row],[T/G điều chỉnh]])</f>
        <v>48800</v>
      </c>
      <c r="AA132" s="175">
        <f>Data_Dep.12[[#This Row],[T/G điều chỉnh]]-Data_Dep.12[[#This Row],[Số kỳ đã khấu hao]]</f>
        <v>91</v>
      </c>
      <c r="AB132" s="175">
        <f>IFERROR(-Data_Dep.12[[#This Row],[Giá trị còn lại 31/12/25]]/(Data_Dep.12[[#This Row],[T/G điều chỉnh]]-Data_Dep.12[[#This Row],[Số kỳ đã khấu hao]]),0)</f>
        <v>-246903335.8901099</v>
      </c>
      <c r="AC132" s="181">
        <v>-246903335.8901099</v>
      </c>
      <c r="AD132" s="181">
        <v>-246903335.8901099</v>
      </c>
      <c r="AE132" s="181">
        <v>-246903335.8901099</v>
      </c>
      <c r="AF132" s="181">
        <v>-246903335.8901099</v>
      </c>
      <c r="AG132" s="181">
        <v>-246903335.8901099</v>
      </c>
      <c r="AH132" s="181">
        <v>-246903335.8901099</v>
      </c>
      <c r="AI132" s="181">
        <v>-246903335.8901099</v>
      </c>
      <c r="AJ132" s="181">
        <v>-246903335.8901099</v>
      </c>
      <c r="AK132" s="181">
        <v>-246903335.8901099</v>
      </c>
      <c r="AL132" s="181">
        <v>-246903335.8901099</v>
      </c>
      <c r="AM132" s="181">
        <v>-246903335.8901099</v>
      </c>
      <c r="AN132" s="181">
        <v>-246903335.8901099</v>
      </c>
      <c r="AO132" s="175">
        <f>SUM(Data_Dep.12[[#This Row],[KH_2601]:[KH_2612]])</f>
        <v>-2962840030.6813197</v>
      </c>
      <c r="AP132" s="175">
        <f>Data_Dep.12[[#This Row],[Giá trị còn lại 31/12/25]]+Data_Dep.12[[#This Row],[KH LK 2026]]</f>
        <v>19505363535.31868</v>
      </c>
    </row>
    <row r="133" spans="1:42" x14ac:dyDescent="0.3">
      <c r="A133" s="169"/>
      <c r="B133" s="169"/>
      <c r="C133" s="170" t="s">
        <v>338</v>
      </c>
      <c r="D133" s="169" t="str">
        <f>_xlfn.XLOOKUP(Data_Dep.12[[#This Row],[Nhóm tài sản]],MD_Account_Asset_Type[Nhóm tài sản],MD_Account_Asset_Type[Tên Nhóm tài sản])</f>
        <v>Máy móc, thiết bị - SX 627</v>
      </c>
      <c r="E133" s="171" t="s">
        <v>852</v>
      </c>
      <c r="F133" s="170" t="s">
        <v>625</v>
      </c>
      <c r="G133" s="169" t="s">
        <v>850</v>
      </c>
      <c r="H133" s="170" t="s">
        <v>55</v>
      </c>
      <c r="I133" s="170" t="str">
        <f>_xlfn.XLOOKUP(Data_Dep.12[[#This Row],[Cost center]],MD_Cost_Center[Mã Cost Center],MD_Cost_Center[Tên Cost Center])</f>
        <v>Chuyền nâng IV hạt rPET -SSP01</v>
      </c>
      <c r="J133" s="172" t="str">
        <f>_xlfn.XLOOKUP(Data_Dep.12[[#This Row],[Cost center]],MD_Cost_Center[Mã Cost Center],MD_Cost_Center[Work center],"Check")</f>
        <v>SSP-01</v>
      </c>
      <c r="K133" s="169" t="str">
        <f>_xlfn.XLOOKUP(Data_Dep.12[[#This Row],[Nhóm tài sản]],MD_Account_Asset_Type[Nhóm tài sản],MD_Account_Asset_Type[Tài khoản KH],"Check")</f>
        <v>6274001903</v>
      </c>
      <c r="L133" s="173">
        <v>44417</v>
      </c>
      <c r="M133" s="174">
        <f>EDATE(Data_Dep.12[[#This Row],[Ngày bắt đầu KH]],Data_Dep.12[[#This Row],[T/G Khấu hao]])</f>
        <v>48069</v>
      </c>
      <c r="N133" s="175">
        <v>120</v>
      </c>
      <c r="O133" s="175">
        <v>42627620306</v>
      </c>
      <c r="P133" s="176">
        <v>-17760127110</v>
      </c>
      <c r="Q133" s="175">
        <f>Data_Dep.12[[#This Row],[Nguyên giá]]+Data_Dep.12[[#This Row],[KH lũy kế]]</f>
        <v>24867493196</v>
      </c>
      <c r="R133" s="177">
        <v>-355249903</v>
      </c>
      <c r="S133" s="177">
        <v>-355249903</v>
      </c>
      <c r="T133" s="177">
        <v>-355249903</v>
      </c>
      <c r="U133" s="177">
        <f>SUM(Data_Dep.12[[#This Row],[KH_2510]:[KH_2512]])</f>
        <v>-1065749709</v>
      </c>
      <c r="V133" s="175">
        <f>Data_Dep.12[[#This Row],[Nguyên giá]]+Data_Dep.12[[#This Row],[KH lũy kế]]+Data_Dep.12[[#This Row],[KH_Q4.25]]</f>
        <v>23801743487</v>
      </c>
      <c r="W133" s="178">
        <f>ROUND(Data_Dep.12[[#This Row],[T/G Khấu hao]]-Data_Dep.12[[#This Row],[Giá trị còn lại 31/12/25]]/Data_Dep.12[[#This Row],[Nguyên giá]]*Data_Dep.12[[#This Row],[T/G Khấu hao]],0)</f>
        <v>53</v>
      </c>
      <c r="X133" s="179">
        <v>24</v>
      </c>
      <c r="Y133" s="175">
        <f>Data_Dep.12[[#This Row],[T/G Khấu hao]]+Data_Dep.12[[#This Row],[Điều chỉnh]]</f>
        <v>144</v>
      </c>
      <c r="Z133" s="180">
        <f>EDATE(Data_Dep.12[[#This Row],[Ngày bắt đầu KH]],Data_Dep.12[[#This Row],[T/G điều chỉnh]])</f>
        <v>48800</v>
      </c>
      <c r="AA133" s="175">
        <f>Data_Dep.12[[#This Row],[T/G điều chỉnh]]-Data_Dep.12[[#This Row],[Số kỳ đã khấu hao]]</f>
        <v>91</v>
      </c>
      <c r="AB133" s="175">
        <f>IFERROR(-Data_Dep.12[[#This Row],[Giá trị còn lại 31/12/25]]/(Data_Dep.12[[#This Row],[T/G điều chỉnh]]-Data_Dep.12[[#This Row],[Số kỳ đã khấu hao]]),0)</f>
        <v>-261557620.73626372</v>
      </c>
      <c r="AC133" s="181">
        <v>-261557620.73626372</v>
      </c>
      <c r="AD133" s="181">
        <v>-261557620.73626372</v>
      </c>
      <c r="AE133" s="181">
        <v>-261557620.73626372</v>
      </c>
      <c r="AF133" s="181">
        <v>-261557620.73626372</v>
      </c>
      <c r="AG133" s="181">
        <v>-261557620.73626372</v>
      </c>
      <c r="AH133" s="181">
        <v>-261557620.73626372</v>
      </c>
      <c r="AI133" s="181">
        <v>-261557620.73626372</v>
      </c>
      <c r="AJ133" s="181">
        <v>-261557620.73626372</v>
      </c>
      <c r="AK133" s="181">
        <v>-261557620.73626372</v>
      </c>
      <c r="AL133" s="181">
        <v>-261557620.73626372</v>
      </c>
      <c r="AM133" s="181">
        <v>-261557620.73626372</v>
      </c>
      <c r="AN133" s="181">
        <v>-261557620.73626372</v>
      </c>
      <c r="AO133" s="175">
        <f>SUM(Data_Dep.12[[#This Row],[KH_2601]:[KH_2612]])</f>
        <v>-3138691448.8351645</v>
      </c>
      <c r="AP133" s="175">
        <f>Data_Dep.12[[#This Row],[Giá trị còn lại 31/12/25]]+Data_Dep.12[[#This Row],[KH LK 2026]]</f>
        <v>20663052038.164837</v>
      </c>
    </row>
    <row r="134" spans="1:42" x14ac:dyDescent="0.3">
      <c r="A134" s="169"/>
      <c r="B134" s="169"/>
      <c r="C134" s="170" t="s">
        <v>338</v>
      </c>
      <c r="D134" s="169" t="str">
        <f>_xlfn.XLOOKUP(Data_Dep.12[[#This Row],[Nhóm tài sản]],MD_Account_Asset_Type[Nhóm tài sản],MD_Account_Asset_Type[Tên Nhóm tài sản])</f>
        <v>Máy móc, thiết bị - SX 627</v>
      </c>
      <c r="E134" s="171" t="s">
        <v>853</v>
      </c>
      <c r="F134" s="170" t="s">
        <v>626</v>
      </c>
      <c r="G134" s="169" t="s">
        <v>850</v>
      </c>
      <c r="H134" s="170" t="s">
        <v>53</v>
      </c>
      <c r="I134" s="170" t="str">
        <f>_xlfn.XLOOKUP(Data_Dep.12[[#This Row],[Cost center]],MD_Cost_Center[Mã Cost Center],MD_Cost_Center[Tên Cost Center])</f>
        <v>Máy tạo hạt HDPE - YE I + tách màu Taiho</v>
      </c>
      <c r="J134" s="172" t="str">
        <f>_xlfn.XLOOKUP(Data_Dep.12[[#This Row],[Cost center]],MD_Cost_Center[Mã Cost Center],MD_Cost_Center[Work center],"Check")</f>
        <v>YEHD-01</v>
      </c>
      <c r="K134" s="169" t="str">
        <f>_xlfn.XLOOKUP(Data_Dep.12[[#This Row],[Nhóm tài sản]],MD_Account_Asset_Type[Nhóm tài sản],MD_Account_Asset_Type[Tài khoản KH],"Check")</f>
        <v>6274001903</v>
      </c>
      <c r="L134" s="173">
        <v>44417</v>
      </c>
      <c r="M134" s="174">
        <f>EDATE(Data_Dep.12[[#This Row],[Ngày bắt đầu KH]],Data_Dep.12[[#This Row],[T/G Khấu hao]])</f>
        <v>48069</v>
      </c>
      <c r="N134" s="175">
        <v>120</v>
      </c>
      <c r="O134" s="175">
        <v>8257058918</v>
      </c>
      <c r="P134" s="176">
        <v>-3440441217</v>
      </c>
      <c r="Q134" s="175">
        <f>Data_Dep.12[[#This Row],[Nguyên giá]]+Data_Dep.12[[#This Row],[KH lũy kế]]</f>
        <v>4816617701</v>
      </c>
      <c r="R134" s="177">
        <v>-68808824</v>
      </c>
      <c r="S134" s="177">
        <v>-68808824</v>
      </c>
      <c r="T134" s="177">
        <v>-68808825</v>
      </c>
      <c r="U134" s="177">
        <f>SUM(Data_Dep.12[[#This Row],[KH_2510]:[KH_2512]])</f>
        <v>-206426473</v>
      </c>
      <c r="V134" s="175">
        <f>Data_Dep.12[[#This Row],[Nguyên giá]]+Data_Dep.12[[#This Row],[KH lũy kế]]+Data_Dep.12[[#This Row],[KH_Q4.25]]</f>
        <v>4610191228</v>
      </c>
      <c r="W134" s="178">
        <f>ROUND(Data_Dep.12[[#This Row],[T/G Khấu hao]]-Data_Dep.12[[#This Row],[Giá trị còn lại 31/12/25]]/Data_Dep.12[[#This Row],[Nguyên giá]]*Data_Dep.12[[#This Row],[T/G Khấu hao]],0)</f>
        <v>53</v>
      </c>
      <c r="X134" s="179">
        <v>24</v>
      </c>
      <c r="Y134" s="175">
        <f>Data_Dep.12[[#This Row],[T/G Khấu hao]]+Data_Dep.12[[#This Row],[Điều chỉnh]]</f>
        <v>144</v>
      </c>
      <c r="Z134" s="180">
        <f>EDATE(Data_Dep.12[[#This Row],[Ngày bắt đầu KH]],Data_Dep.12[[#This Row],[T/G điều chỉnh]])</f>
        <v>48800</v>
      </c>
      <c r="AA134" s="175">
        <f>Data_Dep.12[[#This Row],[T/G điều chỉnh]]-Data_Dep.12[[#This Row],[Số kỳ đã khấu hao]]</f>
        <v>91</v>
      </c>
      <c r="AB134" s="175">
        <f>IFERROR(-Data_Dep.12[[#This Row],[Giá trị còn lại 31/12/25]]/(Data_Dep.12[[#This Row],[T/G điều chỉnh]]-Data_Dep.12[[#This Row],[Số kỳ đã khấu hao]]),0)</f>
        <v>-50661442.065934069</v>
      </c>
      <c r="AC134" s="181">
        <v>-50661442.065934069</v>
      </c>
      <c r="AD134" s="181">
        <v>-50661442.065934069</v>
      </c>
      <c r="AE134" s="181">
        <v>-50661442.065934069</v>
      </c>
      <c r="AF134" s="181">
        <v>-50661442.065934069</v>
      </c>
      <c r="AG134" s="181">
        <v>-50661442.065934069</v>
      </c>
      <c r="AH134" s="181">
        <v>-50661442.065934069</v>
      </c>
      <c r="AI134" s="181">
        <v>-50661442.065934069</v>
      </c>
      <c r="AJ134" s="181">
        <v>-50661442.065934069</v>
      </c>
      <c r="AK134" s="181">
        <v>-50661442.065934069</v>
      </c>
      <c r="AL134" s="181">
        <v>-50661442.065934069</v>
      </c>
      <c r="AM134" s="181">
        <v>-50661442.065934069</v>
      </c>
      <c r="AN134" s="181">
        <v>-50661442.065934069</v>
      </c>
      <c r="AO134" s="175">
        <f>SUM(Data_Dep.12[[#This Row],[KH_2601]:[KH_2612]])</f>
        <v>-607937304.79120886</v>
      </c>
      <c r="AP134" s="175">
        <f>Data_Dep.12[[#This Row],[Giá trị còn lại 31/12/25]]+Data_Dep.12[[#This Row],[KH LK 2026]]</f>
        <v>4002253923.2087913</v>
      </c>
    </row>
    <row r="135" spans="1:42" x14ac:dyDescent="0.3">
      <c r="A135" s="169"/>
      <c r="B135" s="169"/>
      <c r="C135" s="170" t="s">
        <v>338</v>
      </c>
      <c r="D135" s="169" t="str">
        <f>_xlfn.XLOOKUP(Data_Dep.12[[#This Row],[Nhóm tài sản]],MD_Account_Asset_Type[Nhóm tài sản],MD_Account_Asset_Type[Tên Nhóm tài sản])</f>
        <v>Máy móc, thiết bị - SX 627</v>
      </c>
      <c r="E135" s="171" t="s">
        <v>854</v>
      </c>
      <c r="F135" s="170" t="s">
        <v>627</v>
      </c>
      <c r="G135" s="169" t="s">
        <v>830</v>
      </c>
      <c r="H135" s="170" t="s">
        <v>48</v>
      </c>
      <c r="I135" s="170" t="str">
        <f>_xlfn.XLOOKUP(Data_Dep.12[[#This Row],[Cost center]],MD_Cost_Center[Mã Cost Center],MD_Cost_Center[Tên Cost Center])</f>
        <v>Xưởng sản xuất PET</v>
      </c>
      <c r="J135" s="172">
        <f>_xlfn.XLOOKUP(Data_Dep.12[[#This Row],[Cost center]],MD_Cost_Center[Mã Cost Center],MD_Cost_Center[Work center],"Check")</f>
        <v>0</v>
      </c>
      <c r="K135" s="169" t="str">
        <f>_xlfn.XLOOKUP(Data_Dep.12[[#This Row],[Nhóm tài sản]],MD_Account_Asset_Type[Nhóm tài sản],MD_Account_Asset_Type[Tài khoản KH],"Check")</f>
        <v>6274001903</v>
      </c>
      <c r="L135" s="173">
        <v>44651</v>
      </c>
      <c r="M135" s="174">
        <f>EDATE(Data_Dep.12[[#This Row],[Ngày bắt đầu KH]],Data_Dep.12[[#This Row],[T/G Khấu hao]])</f>
        <v>46843</v>
      </c>
      <c r="N135" s="175">
        <v>72</v>
      </c>
      <c r="O135" s="175">
        <v>265000000</v>
      </c>
      <c r="P135" s="176">
        <v>-158263889</v>
      </c>
      <c r="Q135" s="175">
        <f>Data_Dep.12[[#This Row],[Nguyên giá]]+Data_Dep.12[[#This Row],[KH lũy kế]]</f>
        <v>106736111</v>
      </c>
      <c r="R135" s="177">
        <v>-3680556</v>
      </c>
      <c r="S135" s="177">
        <v>-3680555</v>
      </c>
      <c r="T135" s="177">
        <v>-3680556</v>
      </c>
      <c r="U135" s="177">
        <f>SUM(Data_Dep.12[[#This Row],[KH_2510]:[KH_2512]])</f>
        <v>-11041667</v>
      </c>
      <c r="V135" s="175">
        <f>Data_Dep.12[[#This Row],[Nguyên giá]]+Data_Dep.12[[#This Row],[KH lũy kế]]+Data_Dep.12[[#This Row],[KH_Q4.25]]</f>
        <v>95694444</v>
      </c>
      <c r="W135" s="178">
        <f>ROUND(Data_Dep.12[[#This Row],[T/G Khấu hao]]-Data_Dep.12[[#This Row],[Giá trị còn lại 31/12/25]]/Data_Dep.12[[#This Row],[Nguyên giá]]*Data_Dep.12[[#This Row],[T/G Khấu hao]],0)</f>
        <v>46</v>
      </c>
      <c r="X135" s="179">
        <v>72</v>
      </c>
      <c r="Y135" s="175">
        <f>Data_Dep.12[[#This Row],[T/G Khấu hao]]+Data_Dep.12[[#This Row],[Điều chỉnh]]</f>
        <v>144</v>
      </c>
      <c r="Z135" s="180">
        <f>EDATE(Data_Dep.12[[#This Row],[Ngày bắt đầu KH]],Data_Dep.12[[#This Row],[T/G điều chỉnh]])</f>
        <v>49034</v>
      </c>
      <c r="AA135" s="175">
        <f>Data_Dep.12[[#This Row],[T/G điều chỉnh]]-Data_Dep.12[[#This Row],[Số kỳ đã khấu hao]]</f>
        <v>98</v>
      </c>
      <c r="AB135" s="175">
        <f>IFERROR(-Data_Dep.12[[#This Row],[Giá trị còn lại 31/12/25]]/(Data_Dep.12[[#This Row],[T/G điều chỉnh]]-Data_Dep.12[[#This Row],[Số kỳ đã khấu hao]]),0)</f>
        <v>-976473.91836734698</v>
      </c>
      <c r="AC135" s="181">
        <v>-976473.91836734698</v>
      </c>
      <c r="AD135" s="181">
        <v>-976473.91836734698</v>
      </c>
      <c r="AE135" s="181">
        <v>-976473.91836734698</v>
      </c>
      <c r="AF135" s="181">
        <v>-976473.91836734698</v>
      </c>
      <c r="AG135" s="181">
        <v>-976473.91836734698</v>
      </c>
      <c r="AH135" s="181">
        <v>-976473.91836734698</v>
      </c>
      <c r="AI135" s="181">
        <v>-976473.91836734698</v>
      </c>
      <c r="AJ135" s="181">
        <v>-976473.91836734698</v>
      </c>
      <c r="AK135" s="181">
        <v>-976473.91836734698</v>
      </c>
      <c r="AL135" s="181">
        <v>-976473.91836734698</v>
      </c>
      <c r="AM135" s="181">
        <v>-976473.91836734698</v>
      </c>
      <c r="AN135" s="181">
        <v>-976473.91836734698</v>
      </c>
      <c r="AO135" s="175">
        <f>SUM(Data_Dep.12[[#This Row],[KH_2601]:[KH_2612]])</f>
        <v>-11717687.020408163</v>
      </c>
      <c r="AP135" s="175">
        <f>Data_Dep.12[[#This Row],[Giá trị còn lại 31/12/25]]+Data_Dep.12[[#This Row],[KH LK 2026]]</f>
        <v>83976756.979591832</v>
      </c>
    </row>
    <row r="136" spans="1:42" x14ac:dyDescent="0.3">
      <c r="A136" s="169"/>
      <c r="B136" s="169"/>
      <c r="C136" s="170" t="s">
        <v>338</v>
      </c>
      <c r="D136" s="169" t="str">
        <f>_xlfn.XLOOKUP(Data_Dep.12[[#This Row],[Nhóm tài sản]],MD_Account_Asset_Type[Nhóm tài sản],MD_Account_Asset_Type[Tên Nhóm tài sản])</f>
        <v>Máy móc, thiết bị - SX 627</v>
      </c>
      <c r="E136" s="171" t="s">
        <v>857</v>
      </c>
      <c r="F136" s="170" t="s">
        <v>628</v>
      </c>
      <c r="G136" s="169" t="s">
        <v>830</v>
      </c>
      <c r="H136" s="170" t="s">
        <v>46</v>
      </c>
      <c r="I136" s="170" t="str">
        <f>_xlfn.XLOOKUP(Data_Dep.12[[#This Row],[Cost center]],MD_Cost_Center[Mã Cost Center],MD_Cost_Center[Tên Cost Center])</f>
        <v>Kiểm soát chất lượng</v>
      </c>
      <c r="J136" s="172">
        <f>_xlfn.XLOOKUP(Data_Dep.12[[#This Row],[Cost center]],MD_Cost_Center[Mã Cost Center],MD_Cost_Center[Work center],"Check")</f>
        <v>0</v>
      </c>
      <c r="K136" s="169" t="str">
        <f>_xlfn.XLOOKUP(Data_Dep.12[[#This Row],[Nhóm tài sản]],MD_Account_Asset_Type[Nhóm tài sản],MD_Account_Asset_Type[Tài khoản KH],"Check")</f>
        <v>6274001903</v>
      </c>
      <c r="L136" s="173">
        <v>44683</v>
      </c>
      <c r="M136" s="174">
        <f>EDATE(Data_Dep.12[[#This Row],[Ngày bắt đầu KH]],Data_Dep.12[[#This Row],[T/G Khấu hao]])</f>
        <v>46509</v>
      </c>
      <c r="N136" s="175">
        <v>60</v>
      </c>
      <c r="O136" s="175">
        <v>169034165</v>
      </c>
      <c r="P136" s="176">
        <v>-115243899</v>
      </c>
      <c r="Q136" s="175">
        <f>Data_Dep.12[[#This Row],[Nguyên giá]]+Data_Dep.12[[#This Row],[KH lũy kế]]</f>
        <v>53790266</v>
      </c>
      <c r="R136" s="177">
        <v>-2831067</v>
      </c>
      <c r="S136" s="177">
        <v>-2831067</v>
      </c>
      <c r="T136" s="177">
        <v>-2831066</v>
      </c>
      <c r="U136" s="177">
        <f>SUM(Data_Dep.12[[#This Row],[KH_2510]:[KH_2512]])</f>
        <v>-8493200</v>
      </c>
      <c r="V136" s="175">
        <f>Data_Dep.12[[#This Row],[Nguyên giá]]+Data_Dep.12[[#This Row],[KH lũy kế]]+Data_Dep.12[[#This Row],[KH_Q4.25]]</f>
        <v>45297066</v>
      </c>
      <c r="W136" s="178">
        <f>ROUND(Data_Dep.12[[#This Row],[T/G Khấu hao]]-Data_Dep.12[[#This Row],[Giá trị còn lại 31/12/25]]/Data_Dep.12[[#This Row],[Nguyên giá]]*Data_Dep.12[[#This Row],[T/G Khấu hao]],0)</f>
        <v>44</v>
      </c>
      <c r="X136" s="179">
        <v>84</v>
      </c>
      <c r="Y136" s="175">
        <f>Data_Dep.12[[#This Row],[T/G Khấu hao]]+Data_Dep.12[[#This Row],[Điều chỉnh]]</f>
        <v>144</v>
      </c>
      <c r="Z136" s="180">
        <f>EDATE(Data_Dep.12[[#This Row],[Ngày bắt đầu KH]],Data_Dep.12[[#This Row],[T/G điều chỉnh]])</f>
        <v>49066</v>
      </c>
      <c r="AA136" s="175">
        <f>Data_Dep.12[[#This Row],[T/G điều chỉnh]]-Data_Dep.12[[#This Row],[Số kỳ đã khấu hao]]</f>
        <v>100</v>
      </c>
      <c r="AB136" s="175">
        <f>IFERROR(-Data_Dep.12[[#This Row],[Giá trị còn lại 31/12/25]]/(Data_Dep.12[[#This Row],[T/G điều chỉnh]]-Data_Dep.12[[#This Row],[Số kỳ đã khấu hao]]),0)</f>
        <v>-452970.66</v>
      </c>
      <c r="AC136" s="181">
        <v>-452970.66</v>
      </c>
      <c r="AD136" s="181">
        <v>-452970.66</v>
      </c>
      <c r="AE136" s="181">
        <v>-452970.66</v>
      </c>
      <c r="AF136" s="181">
        <v>-452970.66</v>
      </c>
      <c r="AG136" s="181">
        <v>-452970.66</v>
      </c>
      <c r="AH136" s="181">
        <v>-452970.66</v>
      </c>
      <c r="AI136" s="181">
        <v>-452970.66</v>
      </c>
      <c r="AJ136" s="181">
        <v>-452970.66</v>
      </c>
      <c r="AK136" s="181">
        <v>-452970.66</v>
      </c>
      <c r="AL136" s="181">
        <v>-452970.66</v>
      </c>
      <c r="AM136" s="181">
        <v>-452970.66</v>
      </c>
      <c r="AN136" s="181">
        <v>-452970.66</v>
      </c>
      <c r="AO136" s="175">
        <f>SUM(Data_Dep.12[[#This Row],[KH_2601]:[KH_2612]])</f>
        <v>-5435647.9200000009</v>
      </c>
      <c r="AP136" s="175">
        <f>Data_Dep.12[[#This Row],[Giá trị còn lại 31/12/25]]+Data_Dep.12[[#This Row],[KH LK 2026]]</f>
        <v>39861418.079999998</v>
      </c>
    </row>
    <row r="137" spans="1:42" x14ac:dyDescent="0.3">
      <c r="A137" s="169"/>
      <c r="B137" s="169"/>
      <c r="C137" s="170" t="s">
        <v>338</v>
      </c>
      <c r="D137" s="169" t="str">
        <f>_xlfn.XLOOKUP(Data_Dep.12[[#This Row],[Nhóm tài sản]],MD_Account_Asset_Type[Nhóm tài sản],MD_Account_Asset_Type[Tên Nhóm tài sản])</f>
        <v>Máy móc, thiết bị - SX 627</v>
      </c>
      <c r="E137" s="171" t="s">
        <v>858</v>
      </c>
      <c r="F137" s="170" t="s">
        <v>629</v>
      </c>
      <c r="G137" s="169" t="s">
        <v>830</v>
      </c>
      <c r="H137" s="170" t="s">
        <v>48</v>
      </c>
      <c r="I137" s="170" t="str">
        <f>_xlfn.XLOOKUP(Data_Dep.12[[#This Row],[Cost center]],MD_Cost_Center[Mã Cost Center],MD_Cost_Center[Tên Cost Center])</f>
        <v>Xưởng sản xuất PET</v>
      </c>
      <c r="J137" s="172">
        <f>_xlfn.XLOOKUP(Data_Dep.12[[#This Row],[Cost center]],MD_Cost_Center[Mã Cost Center],MD_Cost_Center[Work center],"Check")</f>
        <v>0</v>
      </c>
      <c r="K137" s="169" t="str">
        <f>_xlfn.XLOOKUP(Data_Dep.12[[#This Row],[Nhóm tài sản]],MD_Account_Asset_Type[Nhóm tài sản],MD_Account_Asset_Type[Tài khoản KH],"Check")</f>
        <v>6274001903</v>
      </c>
      <c r="L137" s="173">
        <v>44694</v>
      </c>
      <c r="M137" s="174">
        <f>EDATE(Data_Dep.12[[#This Row],[Ngày bắt đầu KH]],Data_Dep.12[[#This Row],[T/G Khấu hao]])</f>
        <v>46520</v>
      </c>
      <c r="N137" s="175">
        <v>60</v>
      </c>
      <c r="O137" s="175">
        <v>172165000</v>
      </c>
      <c r="P137" s="176">
        <v>-117646083</v>
      </c>
      <c r="Q137" s="175">
        <f>Data_Dep.12[[#This Row],[Nguyên giá]]+Data_Dep.12[[#This Row],[KH lũy kế]]</f>
        <v>54518917</v>
      </c>
      <c r="R137" s="177">
        <v>-2869417</v>
      </c>
      <c r="S137" s="177">
        <v>-2869416</v>
      </c>
      <c r="T137" s="177">
        <v>-2869417</v>
      </c>
      <c r="U137" s="177">
        <f>SUM(Data_Dep.12[[#This Row],[KH_2510]:[KH_2512]])</f>
        <v>-8608250</v>
      </c>
      <c r="V137" s="175">
        <f>Data_Dep.12[[#This Row],[Nguyên giá]]+Data_Dep.12[[#This Row],[KH lũy kế]]+Data_Dep.12[[#This Row],[KH_Q4.25]]</f>
        <v>45910667</v>
      </c>
      <c r="W137" s="178">
        <f>ROUND(Data_Dep.12[[#This Row],[T/G Khấu hao]]-Data_Dep.12[[#This Row],[Giá trị còn lại 31/12/25]]/Data_Dep.12[[#This Row],[Nguyên giá]]*Data_Dep.12[[#This Row],[T/G Khấu hao]],0)</f>
        <v>44</v>
      </c>
      <c r="X137" s="179">
        <v>84</v>
      </c>
      <c r="Y137" s="175">
        <f>Data_Dep.12[[#This Row],[T/G Khấu hao]]+Data_Dep.12[[#This Row],[Điều chỉnh]]</f>
        <v>144</v>
      </c>
      <c r="Z137" s="180">
        <f>EDATE(Data_Dep.12[[#This Row],[Ngày bắt đầu KH]],Data_Dep.12[[#This Row],[T/G điều chỉnh]])</f>
        <v>49077</v>
      </c>
      <c r="AA137" s="175">
        <f>Data_Dep.12[[#This Row],[T/G điều chỉnh]]-Data_Dep.12[[#This Row],[Số kỳ đã khấu hao]]</f>
        <v>100</v>
      </c>
      <c r="AB137" s="175">
        <f>IFERROR(-Data_Dep.12[[#This Row],[Giá trị còn lại 31/12/25]]/(Data_Dep.12[[#This Row],[T/G điều chỉnh]]-Data_Dep.12[[#This Row],[Số kỳ đã khấu hao]]),0)</f>
        <v>-459106.67</v>
      </c>
      <c r="AC137" s="181">
        <v>-459106.67</v>
      </c>
      <c r="AD137" s="181">
        <v>-459106.67</v>
      </c>
      <c r="AE137" s="181">
        <v>-459106.67</v>
      </c>
      <c r="AF137" s="181">
        <v>-459106.67</v>
      </c>
      <c r="AG137" s="181">
        <v>-459106.67</v>
      </c>
      <c r="AH137" s="181">
        <v>-459106.67</v>
      </c>
      <c r="AI137" s="181">
        <v>-459106.67</v>
      </c>
      <c r="AJ137" s="181">
        <v>-459106.67</v>
      </c>
      <c r="AK137" s="181">
        <v>-459106.67</v>
      </c>
      <c r="AL137" s="181">
        <v>-459106.67</v>
      </c>
      <c r="AM137" s="181">
        <v>-459106.67</v>
      </c>
      <c r="AN137" s="181">
        <v>-459106.67</v>
      </c>
      <c r="AO137" s="175">
        <f>SUM(Data_Dep.12[[#This Row],[KH_2601]:[KH_2612]])</f>
        <v>-5509280.04</v>
      </c>
      <c r="AP137" s="175">
        <f>Data_Dep.12[[#This Row],[Giá trị còn lại 31/12/25]]+Data_Dep.12[[#This Row],[KH LK 2026]]</f>
        <v>40401386.960000001</v>
      </c>
    </row>
    <row r="138" spans="1:42" x14ac:dyDescent="0.3">
      <c r="A138" s="169"/>
      <c r="B138" s="169"/>
      <c r="C138" s="170" t="s">
        <v>338</v>
      </c>
      <c r="D138" s="169" t="str">
        <f>_xlfn.XLOOKUP(Data_Dep.12[[#This Row],[Nhóm tài sản]],MD_Account_Asset_Type[Nhóm tài sản],MD_Account_Asset_Type[Tên Nhóm tài sản])</f>
        <v>Máy móc, thiết bị - SX 627</v>
      </c>
      <c r="E138" s="171" t="s">
        <v>861</v>
      </c>
      <c r="F138" s="170" t="s">
        <v>630</v>
      </c>
      <c r="G138" s="169" t="s">
        <v>830</v>
      </c>
      <c r="H138" s="170" t="s">
        <v>61</v>
      </c>
      <c r="I138" s="170" t="str">
        <f>_xlfn.XLOOKUP(Data_Dep.12[[#This Row],[Cost center]],MD_Cost_Center[Mã Cost Center],MD_Cost_Center[Tên Cost Center])</f>
        <v>Chuyền băm chai PET</v>
      </c>
      <c r="J138" s="172" t="str">
        <f>_xlfn.XLOOKUP(Data_Dep.12[[#This Row],[Cost center]],MD_Cost_Center[Mã Cost Center],MD_Cost_Center[Work center],"Check")</f>
        <v>CHWO-B01</v>
      </c>
      <c r="K138" s="169" t="str">
        <f>_xlfn.XLOOKUP(Data_Dep.12[[#This Row],[Nhóm tài sản]],MD_Account_Asset_Type[Nhóm tài sản],MD_Account_Asset_Type[Tài khoản KH],"Check")</f>
        <v>6274001903</v>
      </c>
      <c r="L138" s="173">
        <v>44736</v>
      </c>
      <c r="M138" s="174">
        <f>EDATE(Data_Dep.12[[#This Row],[Ngày bắt đầu KH]],Data_Dep.12[[#This Row],[T/G Khấu hao]])</f>
        <v>46562</v>
      </c>
      <c r="N138" s="175">
        <v>60</v>
      </c>
      <c r="O138" s="175">
        <v>551292212</v>
      </c>
      <c r="P138" s="176">
        <v>-367528141</v>
      </c>
      <c r="Q138" s="175">
        <f>Data_Dep.12[[#This Row],[Nguyên giá]]+Data_Dep.12[[#This Row],[KH lũy kế]]</f>
        <v>183764071</v>
      </c>
      <c r="R138" s="177">
        <v>-9188204</v>
      </c>
      <c r="S138" s="177">
        <v>-9188203</v>
      </c>
      <c r="T138" s="177">
        <v>-9188204</v>
      </c>
      <c r="U138" s="177">
        <f>SUM(Data_Dep.12[[#This Row],[KH_2510]:[KH_2512]])</f>
        <v>-27564611</v>
      </c>
      <c r="V138" s="175">
        <f>Data_Dep.12[[#This Row],[Nguyên giá]]+Data_Dep.12[[#This Row],[KH lũy kế]]+Data_Dep.12[[#This Row],[KH_Q4.25]]</f>
        <v>156199460</v>
      </c>
      <c r="W138" s="178">
        <f>ROUND(Data_Dep.12[[#This Row],[T/G Khấu hao]]-Data_Dep.12[[#This Row],[Giá trị còn lại 31/12/25]]/Data_Dep.12[[#This Row],[Nguyên giá]]*Data_Dep.12[[#This Row],[T/G Khấu hao]],0)</f>
        <v>43</v>
      </c>
      <c r="X138" s="179">
        <v>84</v>
      </c>
      <c r="Y138" s="175">
        <f>Data_Dep.12[[#This Row],[T/G Khấu hao]]+Data_Dep.12[[#This Row],[Điều chỉnh]]</f>
        <v>144</v>
      </c>
      <c r="Z138" s="180">
        <f>EDATE(Data_Dep.12[[#This Row],[Ngày bắt đầu KH]],Data_Dep.12[[#This Row],[T/G điều chỉnh]])</f>
        <v>49119</v>
      </c>
      <c r="AA138" s="175">
        <f>Data_Dep.12[[#This Row],[T/G điều chỉnh]]-Data_Dep.12[[#This Row],[Số kỳ đã khấu hao]]</f>
        <v>101</v>
      </c>
      <c r="AB138" s="175">
        <f>IFERROR(-Data_Dep.12[[#This Row],[Giá trị còn lại 31/12/25]]/(Data_Dep.12[[#This Row],[T/G điều chỉnh]]-Data_Dep.12[[#This Row],[Số kỳ đã khấu hao]]),0)</f>
        <v>-1546529.3069306931</v>
      </c>
      <c r="AC138" s="181">
        <v>-1546529.3069306931</v>
      </c>
      <c r="AD138" s="181">
        <v>-1546529.3069306931</v>
      </c>
      <c r="AE138" s="181">
        <v>-1546529.3069306931</v>
      </c>
      <c r="AF138" s="181">
        <v>-1546529.3069306931</v>
      </c>
      <c r="AG138" s="181">
        <v>-1546529.3069306931</v>
      </c>
      <c r="AH138" s="181">
        <v>-1546529.3069306931</v>
      </c>
      <c r="AI138" s="181">
        <v>-1546529.3069306931</v>
      </c>
      <c r="AJ138" s="181">
        <v>-1546529.3069306931</v>
      </c>
      <c r="AK138" s="181">
        <v>-1546529.3069306931</v>
      </c>
      <c r="AL138" s="181">
        <v>-1546529.3069306931</v>
      </c>
      <c r="AM138" s="181">
        <v>-1546529.3069306931</v>
      </c>
      <c r="AN138" s="181">
        <v>-1546529.3069306931</v>
      </c>
      <c r="AO138" s="175">
        <f>SUM(Data_Dep.12[[#This Row],[KH_2601]:[KH_2612]])</f>
        <v>-18558351.683168318</v>
      </c>
      <c r="AP138" s="175">
        <f>Data_Dep.12[[#This Row],[Giá trị còn lại 31/12/25]]+Data_Dep.12[[#This Row],[KH LK 2026]]</f>
        <v>137641108.31683168</v>
      </c>
    </row>
    <row r="139" spans="1:42" x14ac:dyDescent="0.3">
      <c r="A139" s="169"/>
      <c r="B139" s="169"/>
      <c r="C139" s="170" t="s">
        <v>338</v>
      </c>
      <c r="D139" s="169" t="str">
        <f>_xlfn.XLOOKUP(Data_Dep.12[[#This Row],[Nhóm tài sản]],MD_Account_Asset_Type[Nhóm tài sản],MD_Account_Asset_Type[Tên Nhóm tài sản])</f>
        <v>Máy móc, thiết bị - SX 627</v>
      </c>
      <c r="E139" s="171" t="s">
        <v>864</v>
      </c>
      <c r="F139" s="170" t="s">
        <v>631</v>
      </c>
      <c r="G139" s="169" t="s">
        <v>830</v>
      </c>
      <c r="H139" s="170" t="s">
        <v>51</v>
      </c>
      <c r="I139" s="170" t="str">
        <f>_xlfn.XLOOKUP(Data_Dep.12[[#This Row],[Cost center]],MD_Cost_Center[Mã Cost Center],MD_Cost_Center[Tên Cost Center])</f>
        <v>Chuyền máy tạo vảy PET CW+Tomra</v>
      </c>
      <c r="J139" s="172" t="str">
        <f>_xlfn.XLOOKUP(Data_Dep.12[[#This Row],[Cost center]],MD_Cost_Center[Mã Cost Center],MD_Cost_Center[Work center],"Check")</f>
        <v>CHWO-R01</v>
      </c>
      <c r="K139" s="169" t="str">
        <f>_xlfn.XLOOKUP(Data_Dep.12[[#This Row],[Nhóm tài sản]],MD_Account_Asset_Type[Nhóm tài sản],MD_Account_Asset_Type[Tài khoản KH],"Check")</f>
        <v>6274001903</v>
      </c>
      <c r="L139" s="173">
        <v>44757</v>
      </c>
      <c r="M139" s="174">
        <f>EDATE(Data_Dep.12[[#This Row],[Ngày bắt đầu KH]],Data_Dep.12[[#This Row],[T/G Khấu hao]])</f>
        <v>47679</v>
      </c>
      <c r="N139" s="175">
        <v>96</v>
      </c>
      <c r="O139" s="175">
        <v>123198632</v>
      </c>
      <c r="P139" s="176">
        <v>-50049445</v>
      </c>
      <c r="Q139" s="175">
        <f>Data_Dep.12[[#This Row],[Nguyên giá]]+Data_Dep.12[[#This Row],[KH lũy kế]]</f>
        <v>73149187</v>
      </c>
      <c r="R139" s="177">
        <v>-1283319</v>
      </c>
      <c r="S139" s="177">
        <v>-1283319</v>
      </c>
      <c r="T139" s="177">
        <v>-1283319</v>
      </c>
      <c r="U139" s="177">
        <f>SUM(Data_Dep.12[[#This Row],[KH_2510]:[KH_2512]])</f>
        <v>-3849957</v>
      </c>
      <c r="V139" s="175">
        <f>Data_Dep.12[[#This Row],[Nguyên giá]]+Data_Dep.12[[#This Row],[KH lũy kế]]+Data_Dep.12[[#This Row],[KH_Q4.25]]</f>
        <v>69299230</v>
      </c>
      <c r="W139" s="178">
        <f>ROUND(Data_Dep.12[[#This Row],[T/G Khấu hao]]-Data_Dep.12[[#This Row],[Giá trị còn lại 31/12/25]]/Data_Dep.12[[#This Row],[Nguyên giá]]*Data_Dep.12[[#This Row],[T/G Khấu hao]],0)</f>
        <v>42</v>
      </c>
      <c r="X139" s="179">
        <v>48</v>
      </c>
      <c r="Y139" s="175">
        <f>Data_Dep.12[[#This Row],[T/G Khấu hao]]+Data_Dep.12[[#This Row],[Điều chỉnh]]</f>
        <v>144</v>
      </c>
      <c r="Z139" s="180">
        <f>EDATE(Data_Dep.12[[#This Row],[Ngày bắt đầu KH]],Data_Dep.12[[#This Row],[T/G điều chỉnh]])</f>
        <v>49140</v>
      </c>
      <c r="AA139" s="175">
        <f>Data_Dep.12[[#This Row],[T/G điều chỉnh]]-Data_Dep.12[[#This Row],[Số kỳ đã khấu hao]]</f>
        <v>102</v>
      </c>
      <c r="AB139" s="175">
        <f>IFERROR(-Data_Dep.12[[#This Row],[Giá trị còn lại 31/12/25]]/(Data_Dep.12[[#This Row],[T/G điều chỉnh]]-Data_Dep.12[[#This Row],[Số kỳ đã khấu hao]]),0)</f>
        <v>-679404.21568627446</v>
      </c>
      <c r="AC139" s="181">
        <v>-679404.21568627446</v>
      </c>
      <c r="AD139" s="181">
        <v>-679404.21568627446</v>
      </c>
      <c r="AE139" s="181">
        <v>-679404.21568627446</v>
      </c>
      <c r="AF139" s="181">
        <v>-679404.21568627446</v>
      </c>
      <c r="AG139" s="181">
        <v>-679404.21568627446</v>
      </c>
      <c r="AH139" s="181">
        <v>-679404.21568627446</v>
      </c>
      <c r="AI139" s="181">
        <v>-679404.21568627446</v>
      </c>
      <c r="AJ139" s="181">
        <v>-679404.21568627446</v>
      </c>
      <c r="AK139" s="181">
        <v>-679404.21568627446</v>
      </c>
      <c r="AL139" s="181">
        <v>-679404.21568627446</v>
      </c>
      <c r="AM139" s="181">
        <v>-679404.21568627446</v>
      </c>
      <c r="AN139" s="181">
        <v>-679404.21568627446</v>
      </c>
      <c r="AO139" s="175">
        <f>SUM(Data_Dep.12[[#This Row],[KH_2601]:[KH_2612]])</f>
        <v>-8152850.5882352954</v>
      </c>
      <c r="AP139" s="175">
        <f>Data_Dep.12[[#This Row],[Giá trị còn lại 31/12/25]]+Data_Dep.12[[#This Row],[KH LK 2026]]</f>
        <v>61146379.411764704</v>
      </c>
    </row>
    <row r="140" spans="1:42" x14ac:dyDescent="0.3">
      <c r="A140" s="169"/>
      <c r="B140" s="169"/>
      <c r="C140" s="170" t="s">
        <v>338</v>
      </c>
      <c r="D140" s="169" t="str">
        <f>_xlfn.XLOOKUP(Data_Dep.12[[#This Row],[Nhóm tài sản]],MD_Account_Asset_Type[Nhóm tài sản],MD_Account_Asset_Type[Tên Nhóm tài sản])</f>
        <v>Máy móc, thiết bị - SX 627</v>
      </c>
      <c r="E140" s="171" t="s">
        <v>865</v>
      </c>
      <c r="F140" s="170" t="s">
        <v>632</v>
      </c>
      <c r="G140" s="169" t="s">
        <v>830</v>
      </c>
      <c r="H140" s="170" t="s">
        <v>46</v>
      </c>
      <c r="I140" s="170" t="str">
        <f>_xlfn.XLOOKUP(Data_Dep.12[[#This Row],[Cost center]],MD_Cost_Center[Mã Cost Center],MD_Cost_Center[Tên Cost Center])</f>
        <v>Kiểm soát chất lượng</v>
      </c>
      <c r="J140" s="172">
        <f>_xlfn.XLOOKUP(Data_Dep.12[[#This Row],[Cost center]],MD_Cost_Center[Mã Cost Center],MD_Cost_Center[Work center],"Check")</f>
        <v>0</v>
      </c>
      <c r="K140" s="169" t="str">
        <f>_xlfn.XLOOKUP(Data_Dep.12[[#This Row],[Nhóm tài sản]],MD_Account_Asset_Type[Nhóm tài sản],MD_Account_Asset_Type[Tài khoản KH],"Check")</f>
        <v>6274001903</v>
      </c>
      <c r="L140" s="173">
        <v>44835</v>
      </c>
      <c r="M140" s="174">
        <f>EDATE(Data_Dep.12[[#This Row],[Ngày bắt đầu KH]],Data_Dep.12[[#This Row],[T/G Khấu hao]])</f>
        <v>46661</v>
      </c>
      <c r="N140" s="175">
        <v>60</v>
      </c>
      <c r="O140" s="175">
        <v>34920000</v>
      </c>
      <c r="P140" s="176">
        <v>-20952000</v>
      </c>
      <c r="Q140" s="175">
        <f>Data_Dep.12[[#This Row],[Nguyên giá]]+Data_Dep.12[[#This Row],[KH lũy kế]]</f>
        <v>13968000</v>
      </c>
      <c r="R140" s="177">
        <v>-582000</v>
      </c>
      <c r="S140" s="177">
        <v>-582000</v>
      </c>
      <c r="T140" s="177">
        <v>-582000</v>
      </c>
      <c r="U140" s="177">
        <f>SUM(Data_Dep.12[[#This Row],[KH_2510]:[KH_2512]])</f>
        <v>-1746000</v>
      </c>
      <c r="V140" s="175">
        <f>Data_Dep.12[[#This Row],[Nguyên giá]]+Data_Dep.12[[#This Row],[KH lũy kế]]+Data_Dep.12[[#This Row],[KH_Q4.25]]</f>
        <v>12222000</v>
      </c>
      <c r="W140" s="178">
        <f>ROUND(Data_Dep.12[[#This Row],[T/G Khấu hao]]-Data_Dep.12[[#This Row],[Giá trị còn lại 31/12/25]]/Data_Dep.12[[#This Row],[Nguyên giá]]*Data_Dep.12[[#This Row],[T/G Khấu hao]],0)</f>
        <v>39</v>
      </c>
      <c r="X140" s="179">
        <v>84</v>
      </c>
      <c r="Y140" s="175">
        <f>Data_Dep.12[[#This Row],[T/G Khấu hao]]+Data_Dep.12[[#This Row],[Điều chỉnh]]</f>
        <v>144</v>
      </c>
      <c r="Z140" s="180">
        <f>EDATE(Data_Dep.12[[#This Row],[Ngày bắt đầu KH]],Data_Dep.12[[#This Row],[T/G điều chỉnh]])</f>
        <v>49218</v>
      </c>
      <c r="AA140" s="175">
        <f>Data_Dep.12[[#This Row],[T/G điều chỉnh]]-Data_Dep.12[[#This Row],[Số kỳ đã khấu hao]]</f>
        <v>105</v>
      </c>
      <c r="AB140" s="175">
        <f>IFERROR(-Data_Dep.12[[#This Row],[Giá trị còn lại 31/12/25]]/(Data_Dep.12[[#This Row],[T/G điều chỉnh]]-Data_Dep.12[[#This Row],[Số kỳ đã khấu hao]]),0)</f>
        <v>-116400</v>
      </c>
      <c r="AC140" s="181">
        <v>-116400</v>
      </c>
      <c r="AD140" s="181">
        <v>-116400</v>
      </c>
      <c r="AE140" s="181">
        <v>-116400</v>
      </c>
      <c r="AF140" s="181">
        <v>-116400</v>
      </c>
      <c r="AG140" s="181">
        <v>-116400</v>
      </c>
      <c r="AH140" s="181">
        <v>-116400</v>
      </c>
      <c r="AI140" s="181">
        <v>-116400</v>
      </c>
      <c r="AJ140" s="181">
        <v>-116400</v>
      </c>
      <c r="AK140" s="181">
        <v>-116400</v>
      </c>
      <c r="AL140" s="181">
        <v>-116400</v>
      </c>
      <c r="AM140" s="181">
        <v>-116400</v>
      </c>
      <c r="AN140" s="181">
        <v>-116400</v>
      </c>
      <c r="AO140" s="175">
        <f>SUM(Data_Dep.12[[#This Row],[KH_2601]:[KH_2612]])</f>
        <v>-1396800</v>
      </c>
      <c r="AP140" s="175">
        <f>Data_Dep.12[[#This Row],[Giá trị còn lại 31/12/25]]+Data_Dep.12[[#This Row],[KH LK 2026]]</f>
        <v>10825200</v>
      </c>
    </row>
    <row r="141" spans="1:42" x14ac:dyDescent="0.3">
      <c r="A141" s="169"/>
      <c r="B141" s="169"/>
      <c r="C141" s="170" t="s">
        <v>338</v>
      </c>
      <c r="D141" s="169" t="str">
        <f>_xlfn.XLOOKUP(Data_Dep.12[[#This Row],[Nhóm tài sản]],MD_Account_Asset_Type[Nhóm tài sản],MD_Account_Asset_Type[Tên Nhóm tài sản])</f>
        <v>Máy móc, thiết bị - SX 627</v>
      </c>
      <c r="E141" s="171" t="s">
        <v>866</v>
      </c>
      <c r="F141" s="170" t="s">
        <v>633</v>
      </c>
      <c r="G141" s="169" t="s">
        <v>830</v>
      </c>
      <c r="H141" s="170" t="s">
        <v>46</v>
      </c>
      <c r="I141" s="170" t="str">
        <f>_xlfn.XLOOKUP(Data_Dep.12[[#This Row],[Cost center]],MD_Cost_Center[Mã Cost Center],MD_Cost_Center[Tên Cost Center])</f>
        <v>Kiểm soát chất lượng</v>
      </c>
      <c r="J141" s="172">
        <f>_xlfn.XLOOKUP(Data_Dep.12[[#This Row],[Cost center]],MD_Cost_Center[Mã Cost Center],MD_Cost_Center[Work center],"Check")</f>
        <v>0</v>
      </c>
      <c r="K141" s="169" t="str">
        <f>_xlfn.XLOOKUP(Data_Dep.12[[#This Row],[Nhóm tài sản]],MD_Account_Asset_Type[Nhóm tài sản],MD_Account_Asset_Type[Tài khoản KH],"Check")</f>
        <v>6274001903</v>
      </c>
      <c r="L141" s="173">
        <v>44835</v>
      </c>
      <c r="M141" s="174">
        <f>EDATE(Data_Dep.12[[#This Row],[Ngày bắt đầu KH]],Data_Dep.12[[#This Row],[T/G Khấu hao]])</f>
        <v>46661</v>
      </c>
      <c r="N141" s="175">
        <v>60</v>
      </c>
      <c r="O141" s="175">
        <v>255000000</v>
      </c>
      <c r="P141" s="176">
        <v>-143727273</v>
      </c>
      <c r="Q141" s="175">
        <f>Data_Dep.12[[#This Row],[Nguyên giá]]+Data_Dep.12[[#This Row],[KH lũy kế]]</f>
        <v>111272727</v>
      </c>
      <c r="R141" s="177">
        <v>-4636363</v>
      </c>
      <c r="S141" s="177">
        <v>-4636364</v>
      </c>
      <c r="T141" s="177">
        <v>-4636364</v>
      </c>
      <c r="U141" s="177">
        <f>SUM(Data_Dep.12[[#This Row],[KH_2510]:[KH_2512]])</f>
        <v>-13909091</v>
      </c>
      <c r="V141" s="175">
        <f>Data_Dep.12[[#This Row],[Nguyên giá]]+Data_Dep.12[[#This Row],[KH lũy kế]]+Data_Dep.12[[#This Row],[KH_Q4.25]]</f>
        <v>97363636</v>
      </c>
      <c r="W141" s="178">
        <f>ROUND(Data_Dep.12[[#This Row],[T/G Khấu hao]]-Data_Dep.12[[#This Row],[Giá trị còn lại 31/12/25]]/Data_Dep.12[[#This Row],[Nguyên giá]]*Data_Dep.12[[#This Row],[T/G Khấu hao]],0)</f>
        <v>37</v>
      </c>
      <c r="X141" s="179">
        <v>84</v>
      </c>
      <c r="Y141" s="175">
        <f>Data_Dep.12[[#This Row],[T/G Khấu hao]]+Data_Dep.12[[#This Row],[Điều chỉnh]]</f>
        <v>144</v>
      </c>
      <c r="Z141" s="180">
        <f>EDATE(Data_Dep.12[[#This Row],[Ngày bắt đầu KH]],Data_Dep.12[[#This Row],[T/G điều chỉnh]])</f>
        <v>49218</v>
      </c>
      <c r="AA141" s="175">
        <f>Data_Dep.12[[#This Row],[T/G điều chỉnh]]-Data_Dep.12[[#This Row],[Số kỳ đã khấu hao]]</f>
        <v>107</v>
      </c>
      <c r="AB141" s="175">
        <f>IFERROR(-Data_Dep.12[[#This Row],[Giá trị còn lại 31/12/25]]/(Data_Dep.12[[#This Row],[T/G điều chỉnh]]-Data_Dep.12[[#This Row],[Số kỳ đã khấu hao]]),0)</f>
        <v>-909940.52336448594</v>
      </c>
      <c r="AC141" s="181">
        <v>-909940.52336448594</v>
      </c>
      <c r="AD141" s="181">
        <v>-909940.52336448594</v>
      </c>
      <c r="AE141" s="181">
        <v>-909940.52336448594</v>
      </c>
      <c r="AF141" s="181">
        <v>-909940.52336448594</v>
      </c>
      <c r="AG141" s="181">
        <v>-909940.52336448594</v>
      </c>
      <c r="AH141" s="181">
        <v>-909940.52336448594</v>
      </c>
      <c r="AI141" s="181">
        <v>-909940.52336448594</v>
      </c>
      <c r="AJ141" s="181">
        <v>-909940.52336448594</v>
      </c>
      <c r="AK141" s="181">
        <v>-909940.52336448594</v>
      </c>
      <c r="AL141" s="181">
        <v>-909940.52336448594</v>
      </c>
      <c r="AM141" s="181">
        <v>-909940.52336448594</v>
      </c>
      <c r="AN141" s="181">
        <v>-909940.52336448594</v>
      </c>
      <c r="AO141" s="175">
        <f>SUM(Data_Dep.12[[#This Row],[KH_2601]:[KH_2612]])</f>
        <v>-10919286.280373832</v>
      </c>
      <c r="AP141" s="175">
        <f>Data_Dep.12[[#This Row],[Giá trị còn lại 31/12/25]]+Data_Dep.12[[#This Row],[KH LK 2026]]</f>
        <v>86444349.719626173</v>
      </c>
    </row>
    <row r="142" spans="1:42" x14ac:dyDescent="0.3">
      <c r="A142" s="169"/>
      <c r="B142" s="169"/>
      <c r="C142" s="170" t="s">
        <v>338</v>
      </c>
      <c r="D142" s="169" t="str">
        <f>_xlfn.XLOOKUP(Data_Dep.12[[#This Row],[Nhóm tài sản]],MD_Account_Asset_Type[Nhóm tài sản],MD_Account_Asset_Type[Tên Nhóm tài sản])</f>
        <v>Máy móc, thiết bị - SX 627</v>
      </c>
      <c r="E142" s="171" t="s">
        <v>867</v>
      </c>
      <c r="F142" s="170" t="s">
        <v>634</v>
      </c>
      <c r="G142" s="169" t="s">
        <v>830</v>
      </c>
      <c r="H142" s="170" t="s">
        <v>46</v>
      </c>
      <c r="I142" s="170" t="str">
        <f>_xlfn.XLOOKUP(Data_Dep.12[[#This Row],[Cost center]],MD_Cost_Center[Mã Cost Center],MD_Cost_Center[Tên Cost Center])</f>
        <v>Kiểm soát chất lượng</v>
      </c>
      <c r="J142" s="172">
        <f>_xlfn.XLOOKUP(Data_Dep.12[[#This Row],[Cost center]],MD_Cost_Center[Mã Cost Center],MD_Cost_Center[Work center],"Check")</f>
        <v>0</v>
      </c>
      <c r="K142" s="169" t="str">
        <f>_xlfn.XLOOKUP(Data_Dep.12[[#This Row],[Nhóm tài sản]],MD_Account_Asset_Type[Nhóm tài sản],MD_Account_Asset_Type[Tài khoản KH],"Check")</f>
        <v>6274001903</v>
      </c>
      <c r="L142" s="173">
        <v>44835</v>
      </c>
      <c r="M142" s="174">
        <f>EDATE(Data_Dep.12[[#This Row],[Ngày bắt đầu KH]],Data_Dep.12[[#This Row],[T/G Khấu hao]])</f>
        <v>46661</v>
      </c>
      <c r="N142" s="175">
        <v>60</v>
      </c>
      <c r="O142" s="175">
        <v>34600000</v>
      </c>
      <c r="P142" s="176">
        <v>-17653061</v>
      </c>
      <c r="Q142" s="175">
        <f>Data_Dep.12[[#This Row],[Nguyên giá]]+Data_Dep.12[[#This Row],[KH lũy kế]]</f>
        <v>16946939</v>
      </c>
      <c r="R142" s="177">
        <v>-706123</v>
      </c>
      <c r="S142" s="177">
        <v>-706122</v>
      </c>
      <c r="T142" s="177">
        <v>-706122</v>
      </c>
      <c r="U142" s="177">
        <f>SUM(Data_Dep.12[[#This Row],[KH_2510]:[KH_2512]])</f>
        <v>-2118367</v>
      </c>
      <c r="V142" s="175">
        <f>Data_Dep.12[[#This Row],[Nguyên giá]]+Data_Dep.12[[#This Row],[KH lũy kế]]+Data_Dep.12[[#This Row],[KH_Q4.25]]</f>
        <v>14828572</v>
      </c>
      <c r="W142" s="178">
        <f>ROUND(Data_Dep.12[[#This Row],[T/G Khấu hao]]-Data_Dep.12[[#This Row],[Giá trị còn lại 31/12/25]]/Data_Dep.12[[#This Row],[Nguyên giá]]*Data_Dep.12[[#This Row],[T/G Khấu hao]],0)</f>
        <v>34</v>
      </c>
      <c r="X142" s="179">
        <v>84</v>
      </c>
      <c r="Y142" s="175">
        <f>Data_Dep.12[[#This Row],[T/G Khấu hao]]+Data_Dep.12[[#This Row],[Điều chỉnh]]</f>
        <v>144</v>
      </c>
      <c r="Z142" s="180">
        <f>EDATE(Data_Dep.12[[#This Row],[Ngày bắt đầu KH]],Data_Dep.12[[#This Row],[T/G điều chỉnh]])</f>
        <v>49218</v>
      </c>
      <c r="AA142" s="175">
        <f>Data_Dep.12[[#This Row],[T/G điều chỉnh]]-Data_Dep.12[[#This Row],[Số kỳ đã khấu hao]]</f>
        <v>110</v>
      </c>
      <c r="AB142" s="175">
        <f>IFERROR(-Data_Dep.12[[#This Row],[Giá trị còn lại 31/12/25]]/(Data_Dep.12[[#This Row],[T/G điều chỉnh]]-Data_Dep.12[[#This Row],[Số kỳ đã khấu hao]]),0)</f>
        <v>-134805.20000000001</v>
      </c>
      <c r="AC142" s="181">
        <v>-134805.20000000001</v>
      </c>
      <c r="AD142" s="181">
        <v>-134805.20000000001</v>
      </c>
      <c r="AE142" s="181">
        <v>-134805.20000000001</v>
      </c>
      <c r="AF142" s="181">
        <v>-134805.20000000001</v>
      </c>
      <c r="AG142" s="181">
        <v>-134805.20000000001</v>
      </c>
      <c r="AH142" s="181">
        <v>-134805.20000000001</v>
      </c>
      <c r="AI142" s="181">
        <v>-134805.20000000001</v>
      </c>
      <c r="AJ142" s="181">
        <v>-134805.20000000001</v>
      </c>
      <c r="AK142" s="181">
        <v>-134805.20000000001</v>
      </c>
      <c r="AL142" s="181">
        <v>-134805.20000000001</v>
      </c>
      <c r="AM142" s="181">
        <v>-134805.20000000001</v>
      </c>
      <c r="AN142" s="181">
        <v>-134805.20000000001</v>
      </c>
      <c r="AO142" s="175">
        <f>SUM(Data_Dep.12[[#This Row],[KH_2601]:[KH_2612]])</f>
        <v>-1617662.3999999997</v>
      </c>
      <c r="AP142" s="175">
        <f>Data_Dep.12[[#This Row],[Giá trị còn lại 31/12/25]]+Data_Dep.12[[#This Row],[KH LK 2026]]</f>
        <v>13210909.6</v>
      </c>
    </row>
    <row r="143" spans="1:42" x14ac:dyDescent="0.3">
      <c r="A143" s="169"/>
      <c r="B143" s="169"/>
      <c r="C143" s="170" t="s">
        <v>338</v>
      </c>
      <c r="D143" s="169" t="str">
        <f>_xlfn.XLOOKUP(Data_Dep.12[[#This Row],[Nhóm tài sản]],MD_Account_Asset_Type[Nhóm tài sản],MD_Account_Asset_Type[Tên Nhóm tài sản])</f>
        <v>Máy móc, thiết bị - SX 627</v>
      </c>
      <c r="E143" s="171" t="s">
        <v>868</v>
      </c>
      <c r="F143" s="170" t="s">
        <v>635</v>
      </c>
      <c r="G143" s="169" t="s">
        <v>830</v>
      </c>
      <c r="H143" s="170" t="s">
        <v>51</v>
      </c>
      <c r="I143" s="170" t="str">
        <f>_xlfn.XLOOKUP(Data_Dep.12[[#This Row],[Cost center]],MD_Cost_Center[Mã Cost Center],MD_Cost_Center[Tên Cost Center])</f>
        <v>Chuyền máy tạo vảy PET CW+Tomra</v>
      </c>
      <c r="J143" s="172" t="str">
        <f>_xlfn.XLOOKUP(Data_Dep.12[[#This Row],[Cost center]],MD_Cost_Center[Mã Cost Center],MD_Cost_Center[Work center],"Check")</f>
        <v>CHWO-R01</v>
      </c>
      <c r="K143" s="169" t="str">
        <f>_xlfn.XLOOKUP(Data_Dep.12[[#This Row],[Nhóm tài sản]],MD_Account_Asset_Type[Nhóm tài sản],MD_Account_Asset_Type[Tài khoản KH],"Check")</f>
        <v>6274001903</v>
      </c>
      <c r="L143" s="173">
        <v>44927</v>
      </c>
      <c r="M143" s="174">
        <f>EDATE(Data_Dep.12[[#This Row],[Ngày bắt đầu KH]],Data_Dep.12[[#This Row],[T/G Khấu hao]])</f>
        <v>46753</v>
      </c>
      <c r="N143" s="175">
        <v>60</v>
      </c>
      <c r="O143" s="175">
        <v>261760895</v>
      </c>
      <c r="P143" s="176">
        <v>-143968492</v>
      </c>
      <c r="Q143" s="175">
        <f>Data_Dep.12[[#This Row],[Nguyên giá]]+Data_Dep.12[[#This Row],[KH lũy kế]]</f>
        <v>117792403</v>
      </c>
      <c r="R143" s="177">
        <v>-4362682</v>
      </c>
      <c r="S143" s="177">
        <v>-4362681</v>
      </c>
      <c r="T143" s="177">
        <v>-4362682</v>
      </c>
      <c r="U143" s="177">
        <f>SUM(Data_Dep.12[[#This Row],[KH_2510]:[KH_2512]])</f>
        <v>-13088045</v>
      </c>
      <c r="V143" s="175">
        <f>Data_Dep.12[[#This Row],[Nguyên giá]]+Data_Dep.12[[#This Row],[KH lũy kế]]+Data_Dep.12[[#This Row],[KH_Q4.25]]</f>
        <v>104704358</v>
      </c>
      <c r="W143" s="178">
        <f>ROUND(Data_Dep.12[[#This Row],[T/G Khấu hao]]-Data_Dep.12[[#This Row],[Giá trị còn lại 31/12/25]]/Data_Dep.12[[#This Row],[Nguyên giá]]*Data_Dep.12[[#This Row],[T/G Khấu hao]],0)</f>
        <v>36</v>
      </c>
      <c r="X143" s="179">
        <v>84</v>
      </c>
      <c r="Y143" s="175">
        <f>Data_Dep.12[[#This Row],[T/G Khấu hao]]+Data_Dep.12[[#This Row],[Điều chỉnh]]</f>
        <v>144</v>
      </c>
      <c r="Z143" s="180">
        <f>EDATE(Data_Dep.12[[#This Row],[Ngày bắt đầu KH]],Data_Dep.12[[#This Row],[T/G điều chỉnh]])</f>
        <v>49310</v>
      </c>
      <c r="AA143" s="175">
        <f>Data_Dep.12[[#This Row],[T/G điều chỉnh]]-Data_Dep.12[[#This Row],[Số kỳ đã khấu hao]]</f>
        <v>108</v>
      </c>
      <c r="AB143" s="175">
        <f>IFERROR(-Data_Dep.12[[#This Row],[Giá trị còn lại 31/12/25]]/(Data_Dep.12[[#This Row],[T/G điều chỉnh]]-Data_Dep.12[[#This Row],[Số kỳ đã khấu hao]]),0)</f>
        <v>-969484.79629629629</v>
      </c>
      <c r="AC143" s="181">
        <v>-969484.79629629629</v>
      </c>
      <c r="AD143" s="181">
        <v>-969484.79629629629</v>
      </c>
      <c r="AE143" s="181">
        <v>-969484.79629629629</v>
      </c>
      <c r="AF143" s="181">
        <v>-969484.79629629629</v>
      </c>
      <c r="AG143" s="181">
        <v>-969484.79629629629</v>
      </c>
      <c r="AH143" s="181">
        <v>-969484.79629629629</v>
      </c>
      <c r="AI143" s="181">
        <v>-969484.79629629629</v>
      </c>
      <c r="AJ143" s="181">
        <v>-969484.79629629629</v>
      </c>
      <c r="AK143" s="181">
        <v>-969484.79629629629</v>
      </c>
      <c r="AL143" s="181">
        <v>-969484.79629629629</v>
      </c>
      <c r="AM143" s="181">
        <v>-969484.79629629629</v>
      </c>
      <c r="AN143" s="181">
        <v>-969484.79629629629</v>
      </c>
      <c r="AO143" s="175">
        <f>SUM(Data_Dep.12[[#This Row],[KH_2601]:[KH_2612]])</f>
        <v>-11633817.555555558</v>
      </c>
      <c r="AP143" s="175">
        <f>Data_Dep.12[[#This Row],[Giá trị còn lại 31/12/25]]+Data_Dep.12[[#This Row],[KH LK 2026]]</f>
        <v>93070540.444444448</v>
      </c>
    </row>
    <row r="144" spans="1:42" x14ac:dyDescent="0.3">
      <c r="A144" s="169"/>
      <c r="B144" s="169"/>
      <c r="C144" s="170" t="s">
        <v>338</v>
      </c>
      <c r="D144" s="169" t="str">
        <f>_xlfn.XLOOKUP(Data_Dep.12[[#This Row],[Nhóm tài sản]],MD_Account_Asset_Type[Nhóm tài sản],MD_Account_Asset_Type[Tên Nhóm tài sản])</f>
        <v>Máy móc, thiết bị - SX 627</v>
      </c>
      <c r="E144" s="171" t="s">
        <v>869</v>
      </c>
      <c r="F144" s="170" t="s">
        <v>636</v>
      </c>
      <c r="G144" s="169" t="s">
        <v>830</v>
      </c>
      <c r="H144" s="170" t="s">
        <v>57</v>
      </c>
      <c r="I144" s="170" t="str">
        <f>_xlfn.XLOOKUP(Data_Dep.12[[#This Row],[Cost center]],MD_Cost_Center[Mã Cost Center],MD_Cost_Center[Tên Cost Center])</f>
        <v>Máy Tách màu Taiho + máy trộn MI</v>
      </c>
      <c r="J144" s="172" t="str">
        <f>_xlfn.XLOOKUP(Data_Dep.12[[#This Row],[Cost center]],MD_Cost_Center[Mã Cost Center],MD_Cost_Center[Work center],"Check")</f>
        <v>TAIH-01</v>
      </c>
      <c r="K144" s="169" t="str">
        <f>_xlfn.XLOOKUP(Data_Dep.12[[#This Row],[Nhóm tài sản]],MD_Account_Asset_Type[Nhóm tài sản],MD_Account_Asset_Type[Tài khoản KH],"Check")</f>
        <v>6274001903</v>
      </c>
      <c r="L144" s="173">
        <v>44927</v>
      </c>
      <c r="M144" s="174">
        <f>EDATE(Data_Dep.12[[#This Row],[Ngày bắt đầu KH]],Data_Dep.12[[#This Row],[T/G Khấu hao]])</f>
        <v>46753</v>
      </c>
      <c r="N144" s="175">
        <v>60</v>
      </c>
      <c r="O144" s="175">
        <v>261760893</v>
      </c>
      <c r="P144" s="176">
        <v>-143968492</v>
      </c>
      <c r="Q144" s="175">
        <f>Data_Dep.12[[#This Row],[Nguyên giá]]+Data_Dep.12[[#This Row],[KH lũy kế]]</f>
        <v>117792401</v>
      </c>
      <c r="R144" s="177">
        <v>-4362681</v>
      </c>
      <c r="S144" s="177">
        <v>-4362682</v>
      </c>
      <c r="T144" s="177">
        <v>-4362681</v>
      </c>
      <c r="U144" s="177">
        <f>SUM(Data_Dep.12[[#This Row],[KH_2510]:[KH_2512]])</f>
        <v>-13088044</v>
      </c>
      <c r="V144" s="175">
        <f>Data_Dep.12[[#This Row],[Nguyên giá]]+Data_Dep.12[[#This Row],[KH lũy kế]]+Data_Dep.12[[#This Row],[KH_Q4.25]]</f>
        <v>104704357</v>
      </c>
      <c r="W144" s="178">
        <f>ROUND(Data_Dep.12[[#This Row],[T/G Khấu hao]]-Data_Dep.12[[#This Row],[Giá trị còn lại 31/12/25]]/Data_Dep.12[[#This Row],[Nguyên giá]]*Data_Dep.12[[#This Row],[T/G Khấu hao]],0)</f>
        <v>36</v>
      </c>
      <c r="X144" s="179">
        <v>84</v>
      </c>
      <c r="Y144" s="175">
        <f>Data_Dep.12[[#This Row],[T/G Khấu hao]]+Data_Dep.12[[#This Row],[Điều chỉnh]]</f>
        <v>144</v>
      </c>
      <c r="Z144" s="180">
        <f>EDATE(Data_Dep.12[[#This Row],[Ngày bắt đầu KH]],Data_Dep.12[[#This Row],[T/G điều chỉnh]])</f>
        <v>49310</v>
      </c>
      <c r="AA144" s="175">
        <f>Data_Dep.12[[#This Row],[T/G điều chỉnh]]-Data_Dep.12[[#This Row],[Số kỳ đã khấu hao]]</f>
        <v>108</v>
      </c>
      <c r="AB144" s="175">
        <f>IFERROR(-Data_Dep.12[[#This Row],[Giá trị còn lại 31/12/25]]/(Data_Dep.12[[#This Row],[T/G điều chỉnh]]-Data_Dep.12[[#This Row],[Số kỳ đã khấu hao]]),0)</f>
        <v>-969484.78703703708</v>
      </c>
      <c r="AC144" s="181">
        <v>-969484.78703703708</v>
      </c>
      <c r="AD144" s="181">
        <v>-969484.78703703708</v>
      </c>
      <c r="AE144" s="181">
        <v>-969484.78703703708</v>
      </c>
      <c r="AF144" s="181">
        <v>-969484.78703703708</v>
      </c>
      <c r="AG144" s="181">
        <v>-969484.78703703708</v>
      </c>
      <c r="AH144" s="181">
        <v>-969484.78703703708</v>
      </c>
      <c r="AI144" s="181">
        <v>-969484.78703703708</v>
      </c>
      <c r="AJ144" s="181">
        <v>-969484.78703703708</v>
      </c>
      <c r="AK144" s="181">
        <v>-969484.78703703708</v>
      </c>
      <c r="AL144" s="181">
        <v>-969484.78703703708</v>
      </c>
      <c r="AM144" s="181">
        <v>-969484.78703703708</v>
      </c>
      <c r="AN144" s="181">
        <v>-969484.78703703708</v>
      </c>
      <c r="AO144" s="175">
        <f>SUM(Data_Dep.12[[#This Row],[KH_2601]:[KH_2612]])</f>
        <v>-11633817.444444446</v>
      </c>
      <c r="AP144" s="175">
        <f>Data_Dep.12[[#This Row],[Giá trị còn lại 31/12/25]]+Data_Dep.12[[#This Row],[KH LK 2026]]</f>
        <v>93070539.555555552</v>
      </c>
    </row>
    <row r="145" spans="1:42" x14ac:dyDescent="0.3">
      <c r="A145" s="169"/>
      <c r="B145" s="169"/>
      <c r="C145" s="170" t="s">
        <v>338</v>
      </c>
      <c r="D145" s="169" t="str">
        <f>_xlfn.XLOOKUP(Data_Dep.12[[#This Row],[Nhóm tài sản]],MD_Account_Asset_Type[Nhóm tài sản],MD_Account_Asset_Type[Tên Nhóm tài sản])</f>
        <v>Máy móc, thiết bị - SX 627</v>
      </c>
      <c r="E145" s="171" t="s">
        <v>870</v>
      </c>
      <c r="F145" s="170" t="s">
        <v>637</v>
      </c>
      <c r="G145" s="169" t="s">
        <v>830</v>
      </c>
      <c r="H145" s="170" t="s">
        <v>62</v>
      </c>
      <c r="I145" s="170" t="str">
        <f>_xlfn.XLOOKUP(Data_Dep.12[[#This Row],[Cost center]],MD_Cost_Center[Mã Cost Center],MD_Cost_Center[Tên Cost Center])</f>
        <v>Máy tạo hạt PET 03 Starlinger 2</v>
      </c>
      <c r="J145" s="172" t="str">
        <f>_xlfn.XLOOKUP(Data_Dep.12[[#This Row],[Cost center]],MD_Cost_Center[Mã Cost Center],MD_Cost_Center[Work center],"Check")</f>
        <v>STAR-02</v>
      </c>
      <c r="K145" s="169" t="str">
        <f>_xlfn.XLOOKUP(Data_Dep.12[[#This Row],[Nhóm tài sản]],MD_Account_Asset_Type[Nhóm tài sản],MD_Account_Asset_Type[Tài khoản KH],"Check")</f>
        <v>6274001903</v>
      </c>
      <c r="L145" s="173">
        <v>44958</v>
      </c>
      <c r="M145" s="174">
        <f>EDATE(Data_Dep.12[[#This Row],[Ngày bắt đầu KH]],Data_Dep.12[[#This Row],[T/G Khấu hao]])</f>
        <v>46784</v>
      </c>
      <c r="N145" s="175">
        <v>60</v>
      </c>
      <c r="O145" s="175">
        <v>4460334770</v>
      </c>
      <c r="P145" s="176">
        <v>-2378845211</v>
      </c>
      <c r="Q145" s="175">
        <f>Data_Dep.12[[#This Row],[Nguyên giá]]+Data_Dep.12[[#This Row],[KH lũy kế]]</f>
        <v>2081489559</v>
      </c>
      <c r="R145" s="177">
        <v>-74338912</v>
      </c>
      <c r="S145" s="177">
        <v>-74338913</v>
      </c>
      <c r="T145" s="177">
        <v>-74338913</v>
      </c>
      <c r="U145" s="177">
        <f>SUM(Data_Dep.12[[#This Row],[KH_2510]:[KH_2512]])</f>
        <v>-223016738</v>
      </c>
      <c r="V145" s="175">
        <f>Data_Dep.12[[#This Row],[Nguyên giá]]+Data_Dep.12[[#This Row],[KH lũy kế]]+Data_Dep.12[[#This Row],[KH_Q4.25]]</f>
        <v>1858472821</v>
      </c>
      <c r="W145" s="178">
        <f>ROUND(Data_Dep.12[[#This Row],[T/G Khấu hao]]-Data_Dep.12[[#This Row],[Giá trị còn lại 31/12/25]]/Data_Dep.12[[#This Row],[Nguyên giá]]*Data_Dep.12[[#This Row],[T/G Khấu hao]],0)</f>
        <v>35</v>
      </c>
      <c r="X145" s="179">
        <v>84</v>
      </c>
      <c r="Y145" s="175">
        <f>Data_Dep.12[[#This Row],[T/G Khấu hao]]+Data_Dep.12[[#This Row],[Điều chỉnh]]</f>
        <v>144</v>
      </c>
      <c r="Z145" s="180">
        <f>EDATE(Data_Dep.12[[#This Row],[Ngày bắt đầu KH]],Data_Dep.12[[#This Row],[T/G điều chỉnh]])</f>
        <v>49341</v>
      </c>
      <c r="AA145" s="175">
        <f>Data_Dep.12[[#This Row],[T/G điều chỉnh]]-Data_Dep.12[[#This Row],[Số kỳ đã khấu hao]]</f>
        <v>109</v>
      </c>
      <c r="AB145" s="175">
        <f>IFERROR(-Data_Dep.12[[#This Row],[Giá trị còn lại 31/12/25]]/(Data_Dep.12[[#This Row],[T/G điều chỉnh]]-Data_Dep.12[[#This Row],[Số kỳ đã khấu hao]]),0)</f>
        <v>-17050209.366972476</v>
      </c>
      <c r="AC145" s="181">
        <v>-17050209.366972476</v>
      </c>
      <c r="AD145" s="181">
        <v>-17050209.366972476</v>
      </c>
      <c r="AE145" s="181">
        <v>-17050209.366972476</v>
      </c>
      <c r="AF145" s="181">
        <v>-17050209.366972476</v>
      </c>
      <c r="AG145" s="181">
        <v>-17050209.366972476</v>
      </c>
      <c r="AH145" s="181">
        <v>-17050209.366972476</v>
      </c>
      <c r="AI145" s="181">
        <v>-17050209.366972476</v>
      </c>
      <c r="AJ145" s="181">
        <v>-17050209.366972476</v>
      </c>
      <c r="AK145" s="181">
        <v>-17050209.366972476</v>
      </c>
      <c r="AL145" s="181">
        <v>-17050209.366972476</v>
      </c>
      <c r="AM145" s="181">
        <v>-17050209.366972476</v>
      </c>
      <c r="AN145" s="181">
        <v>-17050209.366972476</v>
      </c>
      <c r="AO145" s="175">
        <f>SUM(Data_Dep.12[[#This Row],[KH_2601]:[KH_2612]])</f>
        <v>-204602512.40366971</v>
      </c>
      <c r="AP145" s="175">
        <f>Data_Dep.12[[#This Row],[Giá trị còn lại 31/12/25]]+Data_Dep.12[[#This Row],[KH LK 2026]]</f>
        <v>1653870308.5963302</v>
      </c>
    </row>
    <row r="146" spans="1:42" x14ac:dyDescent="0.3">
      <c r="A146" s="169"/>
      <c r="B146" s="169"/>
      <c r="C146" s="170" t="s">
        <v>338</v>
      </c>
      <c r="D146" s="169" t="str">
        <f>_xlfn.XLOOKUP(Data_Dep.12[[#This Row],[Nhóm tài sản]],MD_Account_Asset_Type[Nhóm tài sản],MD_Account_Asset_Type[Tên Nhóm tài sản])</f>
        <v>Máy móc, thiết bị - SX 627</v>
      </c>
      <c r="E146" s="171" t="s">
        <v>871</v>
      </c>
      <c r="F146" s="170" t="s">
        <v>638</v>
      </c>
      <c r="G146" s="169" t="s">
        <v>830</v>
      </c>
      <c r="H146" s="170" t="s">
        <v>57</v>
      </c>
      <c r="I146" s="170" t="str">
        <f>_xlfn.XLOOKUP(Data_Dep.12[[#This Row],[Cost center]],MD_Cost_Center[Mã Cost Center],MD_Cost_Center[Tên Cost Center])</f>
        <v>Máy Tách màu Taiho + máy trộn MI</v>
      </c>
      <c r="J146" s="172" t="str">
        <f>_xlfn.XLOOKUP(Data_Dep.12[[#This Row],[Cost center]],MD_Cost_Center[Mã Cost Center],MD_Cost_Center[Work center],"Check")</f>
        <v>TAIH-01</v>
      </c>
      <c r="K146" s="169" t="str">
        <f>_xlfn.XLOOKUP(Data_Dep.12[[#This Row],[Nhóm tài sản]],MD_Account_Asset_Type[Nhóm tài sản],MD_Account_Asset_Type[Tài khoản KH],"Check")</f>
        <v>6274001903</v>
      </c>
      <c r="L146" s="173">
        <v>44986</v>
      </c>
      <c r="M146" s="174">
        <f>EDATE(Data_Dep.12[[#This Row],[Ngày bắt đầu KH]],Data_Dep.12[[#This Row],[T/G Khấu hao]])</f>
        <v>46813</v>
      </c>
      <c r="N146" s="175">
        <v>60</v>
      </c>
      <c r="O146" s="175">
        <v>1856733952</v>
      </c>
      <c r="P146" s="176">
        <v>-959312542</v>
      </c>
      <c r="Q146" s="175">
        <f>Data_Dep.12[[#This Row],[Nguyên giá]]+Data_Dep.12[[#This Row],[KH lũy kế]]</f>
        <v>897421410</v>
      </c>
      <c r="R146" s="177">
        <v>-30945566</v>
      </c>
      <c r="S146" s="177">
        <v>-30945566</v>
      </c>
      <c r="T146" s="177">
        <v>-30945565</v>
      </c>
      <c r="U146" s="177">
        <f>SUM(Data_Dep.12[[#This Row],[KH_2510]:[KH_2512]])</f>
        <v>-92836697</v>
      </c>
      <c r="V146" s="175">
        <f>Data_Dep.12[[#This Row],[Nguyên giá]]+Data_Dep.12[[#This Row],[KH lũy kế]]+Data_Dep.12[[#This Row],[KH_Q4.25]]</f>
        <v>804584713</v>
      </c>
      <c r="W146" s="178">
        <f>ROUND(Data_Dep.12[[#This Row],[T/G Khấu hao]]-Data_Dep.12[[#This Row],[Giá trị còn lại 31/12/25]]/Data_Dep.12[[#This Row],[Nguyên giá]]*Data_Dep.12[[#This Row],[T/G Khấu hao]],0)</f>
        <v>34</v>
      </c>
      <c r="X146" s="179">
        <v>84</v>
      </c>
      <c r="Y146" s="175">
        <f>Data_Dep.12[[#This Row],[T/G Khấu hao]]+Data_Dep.12[[#This Row],[Điều chỉnh]]</f>
        <v>144</v>
      </c>
      <c r="Z146" s="180">
        <f>EDATE(Data_Dep.12[[#This Row],[Ngày bắt đầu KH]],Data_Dep.12[[#This Row],[T/G điều chỉnh]])</f>
        <v>49369</v>
      </c>
      <c r="AA146" s="175">
        <f>Data_Dep.12[[#This Row],[T/G điều chỉnh]]-Data_Dep.12[[#This Row],[Số kỳ đã khấu hao]]</f>
        <v>110</v>
      </c>
      <c r="AB146" s="175">
        <f>IFERROR(-Data_Dep.12[[#This Row],[Giá trị còn lại 31/12/25]]/(Data_Dep.12[[#This Row],[T/G điều chỉnh]]-Data_Dep.12[[#This Row],[Số kỳ đã khấu hao]]),0)</f>
        <v>-7314406.4818181815</v>
      </c>
      <c r="AC146" s="181">
        <v>-7314406.4818181815</v>
      </c>
      <c r="AD146" s="181">
        <v>-7314406.4818181815</v>
      </c>
      <c r="AE146" s="181">
        <v>-7314406.4818181815</v>
      </c>
      <c r="AF146" s="181">
        <v>-7314406.4818181815</v>
      </c>
      <c r="AG146" s="181">
        <v>-7314406.4818181815</v>
      </c>
      <c r="AH146" s="181">
        <v>-7314406.4818181815</v>
      </c>
      <c r="AI146" s="181">
        <v>-7314406.4818181815</v>
      </c>
      <c r="AJ146" s="181">
        <v>-7314406.4818181815</v>
      </c>
      <c r="AK146" s="181">
        <v>-7314406.4818181815</v>
      </c>
      <c r="AL146" s="181">
        <v>-7314406.4818181815</v>
      </c>
      <c r="AM146" s="181">
        <v>-7314406.4818181815</v>
      </c>
      <c r="AN146" s="181">
        <v>-7314406.4818181815</v>
      </c>
      <c r="AO146" s="175">
        <f>SUM(Data_Dep.12[[#This Row],[KH_2601]:[KH_2612]])</f>
        <v>-87772877.781818196</v>
      </c>
      <c r="AP146" s="175">
        <f>Data_Dep.12[[#This Row],[Giá trị còn lại 31/12/25]]+Data_Dep.12[[#This Row],[KH LK 2026]]</f>
        <v>716811835.21818185</v>
      </c>
    </row>
    <row r="147" spans="1:42" x14ac:dyDescent="0.3">
      <c r="A147" s="169"/>
      <c r="B147" s="169"/>
      <c r="C147" s="170" t="s">
        <v>338</v>
      </c>
      <c r="D147" s="169" t="str">
        <f>_xlfn.XLOOKUP(Data_Dep.12[[#This Row],[Nhóm tài sản]],MD_Account_Asset_Type[Nhóm tài sản],MD_Account_Asset_Type[Tên Nhóm tài sản])</f>
        <v>Máy móc, thiết bị - SX 627</v>
      </c>
      <c r="E147" s="171" t="s">
        <v>874</v>
      </c>
      <c r="F147" s="170" t="s">
        <v>639</v>
      </c>
      <c r="G147" s="169" t="s">
        <v>830</v>
      </c>
      <c r="H147" s="170" t="s">
        <v>51</v>
      </c>
      <c r="I147" s="170" t="str">
        <f>_xlfn.XLOOKUP(Data_Dep.12[[#This Row],[Cost center]],MD_Cost_Center[Mã Cost Center],MD_Cost_Center[Tên Cost Center])</f>
        <v>Chuyền máy tạo vảy PET CW+Tomra</v>
      </c>
      <c r="J147" s="172" t="str">
        <f>_xlfn.XLOOKUP(Data_Dep.12[[#This Row],[Cost center]],MD_Cost_Center[Mã Cost Center],MD_Cost_Center[Work center],"Check")</f>
        <v>CHWO-R01</v>
      </c>
      <c r="K147" s="169" t="str">
        <f>_xlfn.XLOOKUP(Data_Dep.12[[#This Row],[Nhóm tài sản]],MD_Account_Asset_Type[Nhóm tài sản],MD_Account_Asset_Type[Tài khoản KH],"Check")</f>
        <v>6274001903</v>
      </c>
      <c r="L147" s="173">
        <v>45017</v>
      </c>
      <c r="M147" s="174">
        <f>EDATE(Data_Dep.12[[#This Row],[Ngày bắt đầu KH]],Data_Dep.12[[#This Row],[T/G Khấu hao]])</f>
        <v>46844</v>
      </c>
      <c r="N147" s="175">
        <v>60</v>
      </c>
      <c r="O147" s="175">
        <v>99797292</v>
      </c>
      <c r="P147" s="176">
        <v>-49898646</v>
      </c>
      <c r="Q147" s="175">
        <f>Data_Dep.12[[#This Row],[Nguyên giá]]+Data_Dep.12[[#This Row],[KH lũy kế]]</f>
        <v>49898646</v>
      </c>
      <c r="R147" s="177">
        <v>-1663288</v>
      </c>
      <c r="S147" s="177">
        <v>-1663288</v>
      </c>
      <c r="T147" s="177">
        <v>-1663288</v>
      </c>
      <c r="U147" s="177">
        <f>SUM(Data_Dep.12[[#This Row],[KH_2510]:[KH_2512]])</f>
        <v>-4989864</v>
      </c>
      <c r="V147" s="175">
        <f>Data_Dep.12[[#This Row],[Nguyên giá]]+Data_Dep.12[[#This Row],[KH lũy kế]]+Data_Dep.12[[#This Row],[KH_Q4.25]]</f>
        <v>44908782</v>
      </c>
      <c r="W147" s="178">
        <f>ROUND(Data_Dep.12[[#This Row],[T/G Khấu hao]]-Data_Dep.12[[#This Row],[Giá trị còn lại 31/12/25]]/Data_Dep.12[[#This Row],[Nguyên giá]]*Data_Dep.12[[#This Row],[T/G Khấu hao]],0)</f>
        <v>33</v>
      </c>
      <c r="X147" s="179">
        <v>84</v>
      </c>
      <c r="Y147" s="175">
        <f>Data_Dep.12[[#This Row],[T/G Khấu hao]]+Data_Dep.12[[#This Row],[Điều chỉnh]]</f>
        <v>144</v>
      </c>
      <c r="Z147" s="180">
        <f>EDATE(Data_Dep.12[[#This Row],[Ngày bắt đầu KH]],Data_Dep.12[[#This Row],[T/G điều chỉnh]])</f>
        <v>49400</v>
      </c>
      <c r="AA147" s="175">
        <f>Data_Dep.12[[#This Row],[T/G điều chỉnh]]-Data_Dep.12[[#This Row],[Số kỳ đã khấu hao]]</f>
        <v>111</v>
      </c>
      <c r="AB147" s="175">
        <f>IFERROR(-Data_Dep.12[[#This Row],[Giá trị còn lại 31/12/25]]/(Data_Dep.12[[#This Row],[T/G điều chỉnh]]-Data_Dep.12[[#This Row],[Số kỳ đã khấu hao]]),0)</f>
        <v>-404583.6216216216</v>
      </c>
      <c r="AC147" s="181">
        <v>-404583.6216216216</v>
      </c>
      <c r="AD147" s="181">
        <v>-404583.6216216216</v>
      </c>
      <c r="AE147" s="181">
        <v>-404583.6216216216</v>
      </c>
      <c r="AF147" s="181">
        <v>-404583.6216216216</v>
      </c>
      <c r="AG147" s="181">
        <v>-404583.6216216216</v>
      </c>
      <c r="AH147" s="181">
        <v>-404583.6216216216</v>
      </c>
      <c r="AI147" s="181">
        <v>-404583.6216216216</v>
      </c>
      <c r="AJ147" s="181">
        <v>-404583.6216216216</v>
      </c>
      <c r="AK147" s="181">
        <v>-404583.6216216216</v>
      </c>
      <c r="AL147" s="181">
        <v>-404583.6216216216</v>
      </c>
      <c r="AM147" s="181">
        <v>-404583.6216216216</v>
      </c>
      <c r="AN147" s="181">
        <v>-404583.6216216216</v>
      </c>
      <c r="AO147" s="175">
        <f>SUM(Data_Dep.12[[#This Row],[KH_2601]:[KH_2612]])</f>
        <v>-4855003.4594594603</v>
      </c>
      <c r="AP147" s="175">
        <f>Data_Dep.12[[#This Row],[Giá trị còn lại 31/12/25]]+Data_Dep.12[[#This Row],[KH LK 2026]]</f>
        <v>40053778.540540539</v>
      </c>
    </row>
    <row r="148" spans="1:42" x14ac:dyDescent="0.3">
      <c r="A148" s="169"/>
      <c r="B148" s="169"/>
      <c r="C148" s="170" t="s">
        <v>338</v>
      </c>
      <c r="D148" s="169" t="str">
        <f>_xlfn.XLOOKUP(Data_Dep.12[[#This Row],[Nhóm tài sản]],MD_Account_Asset_Type[Nhóm tài sản],MD_Account_Asset_Type[Tên Nhóm tài sản])</f>
        <v>Máy móc, thiết bị - SX 627</v>
      </c>
      <c r="E148" s="171" t="s">
        <v>875</v>
      </c>
      <c r="F148" s="170" t="s">
        <v>640</v>
      </c>
      <c r="G148" s="169" t="s">
        <v>830</v>
      </c>
      <c r="H148" s="170" t="s">
        <v>57</v>
      </c>
      <c r="I148" s="170" t="str">
        <f>_xlfn.XLOOKUP(Data_Dep.12[[#This Row],[Cost center]],MD_Cost_Center[Mã Cost Center],MD_Cost_Center[Tên Cost Center])</f>
        <v>Máy Tách màu Taiho + máy trộn MI</v>
      </c>
      <c r="J148" s="172" t="str">
        <f>_xlfn.XLOOKUP(Data_Dep.12[[#This Row],[Cost center]],MD_Cost_Center[Mã Cost Center],MD_Cost_Center[Work center],"Check")</f>
        <v>TAIH-01</v>
      </c>
      <c r="K148" s="169" t="str">
        <f>_xlfn.XLOOKUP(Data_Dep.12[[#This Row],[Nhóm tài sản]],MD_Account_Asset_Type[Nhóm tài sản],MD_Account_Asset_Type[Tài khoản KH],"Check")</f>
        <v>6274001903</v>
      </c>
      <c r="L148" s="173">
        <v>45026</v>
      </c>
      <c r="M148" s="174">
        <f>EDATE(Data_Dep.12[[#This Row],[Ngày bắt đầu KH]],Data_Dep.12[[#This Row],[T/G Khấu hao]])</f>
        <v>47948</v>
      </c>
      <c r="N148" s="175">
        <v>96</v>
      </c>
      <c r="O148" s="175">
        <v>1885681729</v>
      </c>
      <c r="P148" s="176">
        <v>-589275540</v>
      </c>
      <c r="Q148" s="175">
        <f>Data_Dep.12[[#This Row],[Nguyên giá]]+Data_Dep.12[[#This Row],[KH lũy kế]]</f>
        <v>1296406189</v>
      </c>
      <c r="R148" s="177">
        <v>-19642518</v>
      </c>
      <c r="S148" s="177">
        <v>-19642518</v>
      </c>
      <c r="T148" s="177">
        <v>-19642518</v>
      </c>
      <c r="U148" s="177">
        <f>SUM(Data_Dep.12[[#This Row],[KH_2510]:[KH_2512]])</f>
        <v>-58927554</v>
      </c>
      <c r="V148" s="175">
        <f>Data_Dep.12[[#This Row],[Nguyên giá]]+Data_Dep.12[[#This Row],[KH lũy kế]]+Data_Dep.12[[#This Row],[KH_Q4.25]]</f>
        <v>1237478635</v>
      </c>
      <c r="W148" s="178">
        <f>ROUND(Data_Dep.12[[#This Row],[T/G Khấu hao]]-Data_Dep.12[[#This Row],[Giá trị còn lại 31/12/25]]/Data_Dep.12[[#This Row],[Nguyên giá]]*Data_Dep.12[[#This Row],[T/G Khấu hao]],0)</f>
        <v>33</v>
      </c>
      <c r="X148" s="179">
        <v>48</v>
      </c>
      <c r="Y148" s="175">
        <f>Data_Dep.12[[#This Row],[T/G Khấu hao]]+Data_Dep.12[[#This Row],[Điều chỉnh]]</f>
        <v>144</v>
      </c>
      <c r="Z148" s="180">
        <f>EDATE(Data_Dep.12[[#This Row],[Ngày bắt đầu KH]],Data_Dep.12[[#This Row],[T/G điều chỉnh]])</f>
        <v>49409</v>
      </c>
      <c r="AA148" s="175">
        <f>Data_Dep.12[[#This Row],[T/G điều chỉnh]]-Data_Dep.12[[#This Row],[Số kỳ đã khấu hao]]</f>
        <v>111</v>
      </c>
      <c r="AB148" s="175">
        <f>IFERROR(-Data_Dep.12[[#This Row],[Giá trị còn lại 31/12/25]]/(Data_Dep.12[[#This Row],[T/G điều chỉnh]]-Data_Dep.12[[#This Row],[Số kỳ đã khấu hao]]),0)</f>
        <v>-11148456.171171172</v>
      </c>
      <c r="AC148" s="181">
        <v>-11148456.171171172</v>
      </c>
      <c r="AD148" s="181">
        <v>-11148456.171171172</v>
      </c>
      <c r="AE148" s="181">
        <v>-11148456.171171172</v>
      </c>
      <c r="AF148" s="181">
        <v>-11148456.171171172</v>
      </c>
      <c r="AG148" s="181">
        <v>-11148456.171171172</v>
      </c>
      <c r="AH148" s="181">
        <v>-11148456.171171172</v>
      </c>
      <c r="AI148" s="181">
        <v>-11148456.171171172</v>
      </c>
      <c r="AJ148" s="181">
        <v>-11148456.171171172</v>
      </c>
      <c r="AK148" s="181">
        <v>-11148456.171171172</v>
      </c>
      <c r="AL148" s="181">
        <v>-11148456.171171172</v>
      </c>
      <c r="AM148" s="181">
        <v>-11148456.171171172</v>
      </c>
      <c r="AN148" s="181">
        <v>-11148456.171171172</v>
      </c>
      <c r="AO148" s="175">
        <f>SUM(Data_Dep.12[[#This Row],[KH_2601]:[KH_2612]])</f>
        <v>-133781474.05405407</v>
      </c>
      <c r="AP148" s="175">
        <f>Data_Dep.12[[#This Row],[Giá trị còn lại 31/12/25]]+Data_Dep.12[[#This Row],[KH LK 2026]]</f>
        <v>1103697160.945946</v>
      </c>
    </row>
    <row r="149" spans="1:42" x14ac:dyDescent="0.3">
      <c r="A149" s="169"/>
      <c r="B149" s="169"/>
      <c r="C149" s="170" t="s">
        <v>338</v>
      </c>
      <c r="D149" s="169" t="str">
        <f>_xlfn.XLOOKUP(Data_Dep.12[[#This Row],[Nhóm tài sản]],MD_Account_Asset_Type[Nhóm tài sản],MD_Account_Asset_Type[Tên Nhóm tài sản])</f>
        <v>Máy móc, thiết bị - SX 627</v>
      </c>
      <c r="E149" s="171" t="s">
        <v>876</v>
      </c>
      <c r="F149" s="170" t="s">
        <v>641</v>
      </c>
      <c r="G149" s="169" t="s">
        <v>830</v>
      </c>
      <c r="H149" s="170" t="s">
        <v>46</v>
      </c>
      <c r="I149" s="170" t="str">
        <f>_xlfn.XLOOKUP(Data_Dep.12[[#This Row],[Cost center]],MD_Cost_Center[Mã Cost Center],MD_Cost_Center[Tên Cost Center])</f>
        <v>Kiểm soát chất lượng</v>
      </c>
      <c r="J149" s="172">
        <f>_xlfn.XLOOKUP(Data_Dep.12[[#This Row],[Cost center]],MD_Cost_Center[Mã Cost Center],MD_Cost_Center[Work center],"Check")</f>
        <v>0</v>
      </c>
      <c r="K149" s="169" t="str">
        <f>_xlfn.XLOOKUP(Data_Dep.12[[#This Row],[Nhóm tài sản]],MD_Account_Asset_Type[Nhóm tài sản],MD_Account_Asset_Type[Tài khoản KH],"Check")</f>
        <v>6274001903</v>
      </c>
      <c r="L149" s="173">
        <v>45139</v>
      </c>
      <c r="M149" s="174">
        <f>EDATE(Data_Dep.12[[#This Row],[Ngày bắt đầu KH]],Data_Dep.12[[#This Row],[T/G Khấu hao]])</f>
        <v>46966</v>
      </c>
      <c r="N149" s="175">
        <v>60</v>
      </c>
      <c r="O149" s="175">
        <v>76300000</v>
      </c>
      <c r="P149" s="176">
        <v>-33063333</v>
      </c>
      <c r="Q149" s="175">
        <f>Data_Dep.12[[#This Row],[Nguyên giá]]+Data_Dep.12[[#This Row],[KH lũy kế]]</f>
        <v>43236667</v>
      </c>
      <c r="R149" s="177">
        <v>-1271667</v>
      </c>
      <c r="S149" s="177">
        <v>-1271666</v>
      </c>
      <c r="T149" s="177">
        <v>-1271667</v>
      </c>
      <c r="U149" s="177">
        <f>SUM(Data_Dep.12[[#This Row],[KH_2510]:[KH_2512]])</f>
        <v>-3815000</v>
      </c>
      <c r="V149" s="175">
        <f>Data_Dep.12[[#This Row],[Nguyên giá]]+Data_Dep.12[[#This Row],[KH lũy kế]]+Data_Dep.12[[#This Row],[KH_Q4.25]]</f>
        <v>39421667</v>
      </c>
      <c r="W149" s="178">
        <f>ROUND(Data_Dep.12[[#This Row],[T/G Khấu hao]]-Data_Dep.12[[#This Row],[Giá trị còn lại 31/12/25]]/Data_Dep.12[[#This Row],[Nguyên giá]]*Data_Dep.12[[#This Row],[T/G Khấu hao]],0)</f>
        <v>29</v>
      </c>
      <c r="X149" s="179">
        <v>84</v>
      </c>
      <c r="Y149" s="175">
        <f>Data_Dep.12[[#This Row],[T/G Khấu hao]]+Data_Dep.12[[#This Row],[Điều chỉnh]]</f>
        <v>144</v>
      </c>
      <c r="Z149" s="180">
        <f>EDATE(Data_Dep.12[[#This Row],[Ngày bắt đầu KH]],Data_Dep.12[[#This Row],[T/G điều chỉnh]])</f>
        <v>49522</v>
      </c>
      <c r="AA149" s="175">
        <f>Data_Dep.12[[#This Row],[T/G điều chỉnh]]-Data_Dep.12[[#This Row],[Số kỳ đã khấu hao]]</f>
        <v>115</v>
      </c>
      <c r="AB149" s="175">
        <f>IFERROR(-Data_Dep.12[[#This Row],[Giá trị còn lại 31/12/25]]/(Data_Dep.12[[#This Row],[T/G điều chỉnh]]-Data_Dep.12[[#This Row],[Số kỳ đã khấu hao]]),0)</f>
        <v>-342797.1043478261</v>
      </c>
      <c r="AC149" s="181">
        <v>-342797.1043478261</v>
      </c>
      <c r="AD149" s="181">
        <v>-342797.1043478261</v>
      </c>
      <c r="AE149" s="181">
        <v>-342797.1043478261</v>
      </c>
      <c r="AF149" s="181">
        <v>-342797.1043478261</v>
      </c>
      <c r="AG149" s="181">
        <v>-342797.1043478261</v>
      </c>
      <c r="AH149" s="181">
        <v>-342797.1043478261</v>
      </c>
      <c r="AI149" s="181">
        <v>-342797.1043478261</v>
      </c>
      <c r="AJ149" s="181">
        <v>-342797.1043478261</v>
      </c>
      <c r="AK149" s="181">
        <v>-342797.1043478261</v>
      </c>
      <c r="AL149" s="181">
        <v>-342797.1043478261</v>
      </c>
      <c r="AM149" s="181">
        <v>-342797.1043478261</v>
      </c>
      <c r="AN149" s="181">
        <v>-342797.1043478261</v>
      </c>
      <c r="AO149" s="175">
        <f>SUM(Data_Dep.12[[#This Row],[KH_2601]:[KH_2612]])</f>
        <v>-4113565.2521739122</v>
      </c>
      <c r="AP149" s="175">
        <f>Data_Dep.12[[#This Row],[Giá trị còn lại 31/12/25]]+Data_Dep.12[[#This Row],[KH LK 2026]]</f>
        <v>35308101.747826084</v>
      </c>
    </row>
    <row r="150" spans="1:42" x14ac:dyDescent="0.3">
      <c r="A150" s="169"/>
      <c r="B150" s="169"/>
      <c r="C150" s="170" t="s">
        <v>338</v>
      </c>
      <c r="D150" s="169" t="str">
        <f>_xlfn.XLOOKUP(Data_Dep.12[[#This Row],[Nhóm tài sản]],MD_Account_Asset_Type[Nhóm tài sản],MD_Account_Asset_Type[Tên Nhóm tài sản])</f>
        <v>Máy móc, thiết bị - SX 627</v>
      </c>
      <c r="E150" s="171" t="s">
        <v>877</v>
      </c>
      <c r="F150" s="170" t="s">
        <v>633</v>
      </c>
      <c r="G150" s="169" t="s">
        <v>830</v>
      </c>
      <c r="H150" s="170" t="s">
        <v>46</v>
      </c>
      <c r="I150" s="170" t="str">
        <f>_xlfn.XLOOKUP(Data_Dep.12[[#This Row],[Cost center]],MD_Cost_Center[Mã Cost Center],MD_Cost_Center[Tên Cost Center])</f>
        <v>Kiểm soát chất lượng</v>
      </c>
      <c r="J150" s="172">
        <f>_xlfn.XLOOKUP(Data_Dep.12[[#This Row],[Cost center]],MD_Cost_Center[Mã Cost Center],MD_Cost_Center[Work center],"Check")</f>
        <v>0</v>
      </c>
      <c r="K150" s="169" t="str">
        <f>_xlfn.XLOOKUP(Data_Dep.12[[#This Row],[Nhóm tài sản]],MD_Account_Asset_Type[Nhóm tài sản],MD_Account_Asset_Type[Tài khoản KH],"Check")</f>
        <v>6274001903</v>
      </c>
      <c r="L150" s="173">
        <v>45170</v>
      </c>
      <c r="M150" s="174">
        <f>EDATE(Data_Dep.12[[#This Row],[Ngày bắt đầu KH]],Data_Dep.12[[#This Row],[T/G Khấu hao]])</f>
        <v>46997</v>
      </c>
      <c r="N150" s="175">
        <v>60</v>
      </c>
      <c r="O150" s="175">
        <v>107919600</v>
      </c>
      <c r="P150" s="176">
        <v>-44966500</v>
      </c>
      <c r="Q150" s="175">
        <f>Data_Dep.12[[#This Row],[Nguyên giá]]+Data_Dep.12[[#This Row],[KH lũy kế]]</f>
        <v>62953100</v>
      </c>
      <c r="R150" s="177">
        <v>-1798660</v>
      </c>
      <c r="S150" s="177">
        <v>-1798660</v>
      </c>
      <c r="T150" s="177">
        <v>-1798660</v>
      </c>
      <c r="U150" s="177">
        <f>SUM(Data_Dep.12[[#This Row],[KH_2510]:[KH_2512]])</f>
        <v>-5395980</v>
      </c>
      <c r="V150" s="175">
        <f>Data_Dep.12[[#This Row],[Nguyên giá]]+Data_Dep.12[[#This Row],[KH lũy kế]]+Data_Dep.12[[#This Row],[KH_Q4.25]]</f>
        <v>57557120</v>
      </c>
      <c r="W150" s="178">
        <f>ROUND(Data_Dep.12[[#This Row],[T/G Khấu hao]]-Data_Dep.12[[#This Row],[Giá trị còn lại 31/12/25]]/Data_Dep.12[[#This Row],[Nguyên giá]]*Data_Dep.12[[#This Row],[T/G Khấu hao]],0)</f>
        <v>28</v>
      </c>
      <c r="X150" s="179">
        <v>84</v>
      </c>
      <c r="Y150" s="175">
        <f>Data_Dep.12[[#This Row],[T/G Khấu hao]]+Data_Dep.12[[#This Row],[Điều chỉnh]]</f>
        <v>144</v>
      </c>
      <c r="Z150" s="180">
        <f>EDATE(Data_Dep.12[[#This Row],[Ngày bắt đầu KH]],Data_Dep.12[[#This Row],[T/G điều chỉnh]])</f>
        <v>49553</v>
      </c>
      <c r="AA150" s="175">
        <f>Data_Dep.12[[#This Row],[T/G điều chỉnh]]-Data_Dep.12[[#This Row],[Số kỳ đã khấu hao]]</f>
        <v>116</v>
      </c>
      <c r="AB150" s="175">
        <f>IFERROR(-Data_Dep.12[[#This Row],[Giá trị còn lại 31/12/25]]/(Data_Dep.12[[#This Row],[T/G điều chỉnh]]-Data_Dep.12[[#This Row],[Số kỳ đã khấu hao]]),0)</f>
        <v>-496182.06896551722</v>
      </c>
      <c r="AC150" s="181">
        <v>-496182.06896551722</v>
      </c>
      <c r="AD150" s="181">
        <v>-496182.06896551722</v>
      </c>
      <c r="AE150" s="181">
        <v>-496182.06896551722</v>
      </c>
      <c r="AF150" s="181">
        <v>-496182.06896551722</v>
      </c>
      <c r="AG150" s="181">
        <v>-496182.06896551722</v>
      </c>
      <c r="AH150" s="181">
        <v>-496182.06896551722</v>
      </c>
      <c r="AI150" s="181">
        <v>-496182.06896551722</v>
      </c>
      <c r="AJ150" s="181">
        <v>-496182.06896551722</v>
      </c>
      <c r="AK150" s="181">
        <v>-496182.06896551722</v>
      </c>
      <c r="AL150" s="181">
        <v>-496182.06896551722</v>
      </c>
      <c r="AM150" s="181">
        <v>-496182.06896551722</v>
      </c>
      <c r="AN150" s="181">
        <v>-496182.06896551722</v>
      </c>
      <c r="AO150" s="175">
        <f>SUM(Data_Dep.12[[#This Row],[KH_2601]:[KH_2612]])</f>
        <v>-5954184.8275862047</v>
      </c>
      <c r="AP150" s="175">
        <f>Data_Dep.12[[#This Row],[Giá trị còn lại 31/12/25]]+Data_Dep.12[[#This Row],[KH LK 2026]]</f>
        <v>51602935.172413796</v>
      </c>
    </row>
    <row r="151" spans="1:42" x14ac:dyDescent="0.3">
      <c r="A151" s="169"/>
      <c r="B151" s="169"/>
      <c r="C151" s="170" t="s">
        <v>338</v>
      </c>
      <c r="D151" s="169" t="str">
        <f>_xlfn.XLOOKUP(Data_Dep.12[[#This Row],[Nhóm tài sản]],MD_Account_Asset_Type[Nhóm tài sản],MD_Account_Asset_Type[Tên Nhóm tài sản])</f>
        <v>Máy móc, thiết bị - SX 627</v>
      </c>
      <c r="E151" s="171" t="s">
        <v>880</v>
      </c>
      <c r="F151" s="170" t="s">
        <v>642</v>
      </c>
      <c r="G151" s="169" t="s">
        <v>830</v>
      </c>
      <c r="H151" s="170" t="s">
        <v>45</v>
      </c>
      <c r="I151" s="170" t="str">
        <f>_xlfn.XLOOKUP(Data_Dep.12[[#This Row],[Cost center]],MD_Cost_Center[Mã Cost Center],MD_Cost_Center[Tên Cost Center])</f>
        <v>Kỹ thuật</v>
      </c>
      <c r="J151" s="172">
        <f>_xlfn.XLOOKUP(Data_Dep.12[[#This Row],[Cost center]],MD_Cost_Center[Mã Cost Center],MD_Cost_Center[Work center],"Check")</f>
        <v>0</v>
      </c>
      <c r="K151" s="169" t="str">
        <f>_xlfn.XLOOKUP(Data_Dep.12[[#This Row],[Nhóm tài sản]],MD_Account_Asset_Type[Nhóm tài sản],MD_Account_Asset_Type[Tài khoản KH],"Check")</f>
        <v>6274001903</v>
      </c>
      <c r="L151" s="173">
        <v>45017</v>
      </c>
      <c r="M151" s="174">
        <f>EDATE(Data_Dep.12[[#This Row],[Ngày bắt đầu KH]],Data_Dep.12[[#This Row],[T/G Khấu hao]])</f>
        <v>46844</v>
      </c>
      <c r="N151" s="175">
        <v>60</v>
      </c>
      <c r="O151" s="175">
        <v>219500000</v>
      </c>
      <c r="P151" s="176">
        <v>-109750000</v>
      </c>
      <c r="Q151" s="175">
        <f>Data_Dep.12[[#This Row],[Nguyên giá]]+Data_Dep.12[[#This Row],[KH lũy kế]]</f>
        <v>109750000</v>
      </c>
      <c r="R151" s="177">
        <v>-3658333</v>
      </c>
      <c r="S151" s="177">
        <v>-3658334</v>
      </c>
      <c r="T151" s="177">
        <v>-3658333</v>
      </c>
      <c r="U151" s="177">
        <f>SUM(Data_Dep.12[[#This Row],[KH_2510]:[KH_2512]])</f>
        <v>-10975000</v>
      </c>
      <c r="V151" s="175">
        <f>Data_Dep.12[[#This Row],[Nguyên giá]]+Data_Dep.12[[#This Row],[KH lũy kế]]+Data_Dep.12[[#This Row],[KH_Q4.25]]</f>
        <v>98775000</v>
      </c>
      <c r="W151" s="178">
        <f>ROUND(Data_Dep.12[[#This Row],[T/G Khấu hao]]-Data_Dep.12[[#This Row],[Giá trị còn lại 31/12/25]]/Data_Dep.12[[#This Row],[Nguyên giá]]*Data_Dep.12[[#This Row],[T/G Khấu hao]],0)</f>
        <v>33</v>
      </c>
      <c r="X151" s="179">
        <v>84</v>
      </c>
      <c r="Y151" s="175">
        <f>Data_Dep.12[[#This Row],[T/G Khấu hao]]+Data_Dep.12[[#This Row],[Điều chỉnh]]</f>
        <v>144</v>
      </c>
      <c r="Z151" s="180">
        <f>EDATE(Data_Dep.12[[#This Row],[Ngày bắt đầu KH]],Data_Dep.12[[#This Row],[T/G điều chỉnh]])</f>
        <v>49400</v>
      </c>
      <c r="AA151" s="175">
        <f>Data_Dep.12[[#This Row],[T/G điều chỉnh]]-Data_Dep.12[[#This Row],[Số kỳ đã khấu hao]]</f>
        <v>111</v>
      </c>
      <c r="AB151" s="175">
        <f>IFERROR(-Data_Dep.12[[#This Row],[Giá trị còn lại 31/12/25]]/(Data_Dep.12[[#This Row],[T/G điều chỉnh]]-Data_Dep.12[[#This Row],[Số kỳ đã khấu hao]]),0)</f>
        <v>-889864.86486486485</v>
      </c>
      <c r="AC151" s="181">
        <v>-889864.86486486485</v>
      </c>
      <c r="AD151" s="181">
        <v>-889864.86486486485</v>
      </c>
      <c r="AE151" s="181">
        <v>-889864.86486486485</v>
      </c>
      <c r="AF151" s="181">
        <v>-889864.86486486485</v>
      </c>
      <c r="AG151" s="181">
        <v>-889864.86486486485</v>
      </c>
      <c r="AH151" s="181">
        <v>-889864.86486486485</v>
      </c>
      <c r="AI151" s="181">
        <v>-889864.86486486485</v>
      </c>
      <c r="AJ151" s="181">
        <v>-889864.86486486485</v>
      </c>
      <c r="AK151" s="181">
        <v>-889864.86486486485</v>
      </c>
      <c r="AL151" s="181">
        <v>-889864.86486486485</v>
      </c>
      <c r="AM151" s="181">
        <v>-889864.86486486485</v>
      </c>
      <c r="AN151" s="181">
        <v>-889864.86486486485</v>
      </c>
      <c r="AO151" s="175">
        <f>SUM(Data_Dep.12[[#This Row],[KH_2601]:[KH_2612]])</f>
        <v>-10678378.378378382</v>
      </c>
      <c r="AP151" s="175">
        <f>Data_Dep.12[[#This Row],[Giá trị còn lại 31/12/25]]+Data_Dep.12[[#This Row],[KH LK 2026]]</f>
        <v>88096621.621621624</v>
      </c>
    </row>
    <row r="152" spans="1:42" x14ac:dyDescent="0.3">
      <c r="A152" s="169"/>
      <c r="B152" s="169"/>
      <c r="C152" s="170" t="s">
        <v>338</v>
      </c>
      <c r="D152" s="169" t="str">
        <f>_xlfn.XLOOKUP(Data_Dep.12[[#This Row],[Nhóm tài sản]],MD_Account_Asset_Type[Nhóm tài sản],MD_Account_Asset_Type[Tên Nhóm tài sản])</f>
        <v>Máy móc, thiết bị - SX 627</v>
      </c>
      <c r="E152" s="171" t="s">
        <v>881</v>
      </c>
      <c r="F152" s="170" t="s">
        <v>643</v>
      </c>
      <c r="G152" s="169" t="s">
        <v>830</v>
      </c>
      <c r="H152" s="170" t="s">
        <v>45</v>
      </c>
      <c r="I152" s="170" t="str">
        <f>_xlfn.XLOOKUP(Data_Dep.12[[#This Row],[Cost center]],MD_Cost_Center[Mã Cost Center],MD_Cost_Center[Tên Cost Center])</f>
        <v>Kỹ thuật</v>
      </c>
      <c r="J152" s="172">
        <f>_xlfn.XLOOKUP(Data_Dep.12[[#This Row],[Cost center]],MD_Cost_Center[Mã Cost Center],MD_Cost_Center[Work center],"Check")</f>
        <v>0</v>
      </c>
      <c r="K152" s="169" t="str">
        <f>_xlfn.XLOOKUP(Data_Dep.12[[#This Row],[Nhóm tài sản]],MD_Account_Asset_Type[Nhóm tài sản],MD_Account_Asset_Type[Tài khoản KH],"Check")</f>
        <v>6274001903</v>
      </c>
      <c r="L152" s="173">
        <v>45047</v>
      </c>
      <c r="M152" s="174">
        <f>EDATE(Data_Dep.12[[#This Row],[Ngày bắt đầu KH]],Data_Dep.12[[#This Row],[T/G Khấu hao]])</f>
        <v>46874</v>
      </c>
      <c r="N152" s="175">
        <v>60</v>
      </c>
      <c r="O152" s="175">
        <v>140000000</v>
      </c>
      <c r="P152" s="176">
        <v>-67666667</v>
      </c>
      <c r="Q152" s="175">
        <f>Data_Dep.12[[#This Row],[Nguyên giá]]+Data_Dep.12[[#This Row],[KH lũy kế]]</f>
        <v>72333333</v>
      </c>
      <c r="R152" s="177">
        <v>-2333333</v>
      </c>
      <c r="S152" s="177">
        <v>-2333334</v>
      </c>
      <c r="T152" s="177">
        <v>-2333333</v>
      </c>
      <c r="U152" s="177">
        <f>SUM(Data_Dep.12[[#This Row],[KH_2510]:[KH_2512]])</f>
        <v>-7000000</v>
      </c>
      <c r="V152" s="175">
        <f>Data_Dep.12[[#This Row],[Nguyên giá]]+Data_Dep.12[[#This Row],[KH lũy kế]]+Data_Dep.12[[#This Row],[KH_Q4.25]]</f>
        <v>65333333</v>
      </c>
      <c r="W152" s="178">
        <f>ROUND(Data_Dep.12[[#This Row],[T/G Khấu hao]]-Data_Dep.12[[#This Row],[Giá trị còn lại 31/12/25]]/Data_Dep.12[[#This Row],[Nguyên giá]]*Data_Dep.12[[#This Row],[T/G Khấu hao]],0)</f>
        <v>32</v>
      </c>
      <c r="X152" s="179">
        <v>84</v>
      </c>
      <c r="Y152" s="175">
        <f>Data_Dep.12[[#This Row],[T/G Khấu hao]]+Data_Dep.12[[#This Row],[Điều chỉnh]]</f>
        <v>144</v>
      </c>
      <c r="Z152" s="180">
        <f>EDATE(Data_Dep.12[[#This Row],[Ngày bắt đầu KH]],Data_Dep.12[[#This Row],[T/G điều chỉnh]])</f>
        <v>49430</v>
      </c>
      <c r="AA152" s="175">
        <f>Data_Dep.12[[#This Row],[T/G điều chỉnh]]-Data_Dep.12[[#This Row],[Số kỳ đã khấu hao]]</f>
        <v>112</v>
      </c>
      <c r="AB152" s="175">
        <f>IFERROR(-Data_Dep.12[[#This Row],[Giá trị còn lại 31/12/25]]/(Data_Dep.12[[#This Row],[T/G điều chỉnh]]-Data_Dep.12[[#This Row],[Số kỳ đã khấu hao]]),0)</f>
        <v>-583333.33035714284</v>
      </c>
      <c r="AC152" s="181">
        <v>-583333.33035714284</v>
      </c>
      <c r="AD152" s="181">
        <v>-583333.33035714284</v>
      </c>
      <c r="AE152" s="181">
        <v>-583333.33035714284</v>
      </c>
      <c r="AF152" s="181">
        <v>-583333.33035714284</v>
      </c>
      <c r="AG152" s="181">
        <v>-583333.33035714284</v>
      </c>
      <c r="AH152" s="181">
        <v>-583333.33035714284</v>
      </c>
      <c r="AI152" s="181">
        <v>-583333.33035714284</v>
      </c>
      <c r="AJ152" s="181">
        <v>-583333.33035714284</v>
      </c>
      <c r="AK152" s="181">
        <v>-583333.33035714284</v>
      </c>
      <c r="AL152" s="181">
        <v>-583333.33035714284</v>
      </c>
      <c r="AM152" s="181">
        <v>-583333.33035714284</v>
      </c>
      <c r="AN152" s="181">
        <v>-583333.33035714284</v>
      </c>
      <c r="AO152" s="175">
        <f>SUM(Data_Dep.12[[#This Row],[KH_2601]:[KH_2612]])</f>
        <v>-6999999.9642857136</v>
      </c>
      <c r="AP152" s="175">
        <f>Data_Dep.12[[#This Row],[Giá trị còn lại 31/12/25]]+Data_Dep.12[[#This Row],[KH LK 2026]]</f>
        <v>58333333.035714284</v>
      </c>
    </row>
    <row r="153" spans="1:42" x14ac:dyDescent="0.3">
      <c r="A153" s="169"/>
      <c r="B153" s="169"/>
      <c r="C153" s="170" t="s">
        <v>338</v>
      </c>
      <c r="D153" s="169" t="str">
        <f>_xlfn.XLOOKUP(Data_Dep.12[[#This Row],[Nhóm tài sản]],MD_Account_Asset_Type[Nhóm tài sản],MD_Account_Asset_Type[Tên Nhóm tài sản])</f>
        <v>Máy móc, thiết bị - SX 627</v>
      </c>
      <c r="E153" s="171" t="s">
        <v>882</v>
      </c>
      <c r="F153" s="170" t="s">
        <v>644</v>
      </c>
      <c r="G153" s="169" t="s">
        <v>502</v>
      </c>
      <c r="H153" s="170" t="s">
        <v>77</v>
      </c>
      <c r="I153" s="170" t="str">
        <f>_xlfn.XLOOKUP(Data_Dep.12[[#This Row],[Cost center]],MD_Cost_Center[Mã Cost Center],MD_Cost_Center[Tên Cost Center])</f>
        <v>Máy Tách màu Taiho 3</v>
      </c>
      <c r="J153" s="172" t="str">
        <f>_xlfn.XLOOKUP(Data_Dep.12[[#This Row],[Cost center]],MD_Cost_Center[Mã Cost Center],MD_Cost_Center[Work center],"Check")</f>
        <v>TAIH-03</v>
      </c>
      <c r="K153" s="169" t="str">
        <f>_xlfn.XLOOKUP(Data_Dep.12[[#This Row],[Nhóm tài sản]],MD_Account_Asset_Type[Nhóm tài sản],MD_Account_Asset_Type[Tài khoản KH],"Check")</f>
        <v>6274001903</v>
      </c>
      <c r="L153" s="173">
        <v>45110</v>
      </c>
      <c r="M153" s="174">
        <f>EDATE(Data_Dep.12[[#This Row],[Ngày bắt đầu KH]],Data_Dep.12[[#This Row],[T/G Khấu hao]])</f>
        <v>46937</v>
      </c>
      <c r="N153" s="175">
        <v>60</v>
      </c>
      <c r="O153" s="175">
        <v>1849055197</v>
      </c>
      <c r="P153" s="176">
        <v>-832074839</v>
      </c>
      <c r="Q153" s="175">
        <f>Data_Dep.12[[#This Row],[Nguyên giá]]+Data_Dep.12[[#This Row],[KH lũy kế]]</f>
        <v>1016980358</v>
      </c>
      <c r="R153" s="177">
        <v>-30817586</v>
      </c>
      <c r="S153" s="177">
        <v>-30817587</v>
      </c>
      <c r="T153" s="177">
        <v>-30817586</v>
      </c>
      <c r="U153" s="177">
        <f>SUM(Data_Dep.12[[#This Row],[KH_2510]:[KH_2512]])</f>
        <v>-92452759</v>
      </c>
      <c r="V153" s="175">
        <f>Data_Dep.12[[#This Row],[Nguyên giá]]+Data_Dep.12[[#This Row],[KH lũy kế]]+Data_Dep.12[[#This Row],[KH_Q4.25]]</f>
        <v>924527599</v>
      </c>
      <c r="W153" s="178">
        <f>ROUND(Data_Dep.12[[#This Row],[T/G Khấu hao]]-Data_Dep.12[[#This Row],[Giá trị còn lại 31/12/25]]/Data_Dep.12[[#This Row],[Nguyên giá]]*Data_Dep.12[[#This Row],[T/G Khấu hao]],0)</f>
        <v>30</v>
      </c>
      <c r="X153" s="179">
        <v>84</v>
      </c>
      <c r="Y153" s="175">
        <f>Data_Dep.12[[#This Row],[T/G Khấu hao]]+Data_Dep.12[[#This Row],[Điều chỉnh]]</f>
        <v>144</v>
      </c>
      <c r="Z153" s="180">
        <f>EDATE(Data_Dep.12[[#This Row],[Ngày bắt đầu KH]],Data_Dep.12[[#This Row],[T/G điều chỉnh]])</f>
        <v>49493</v>
      </c>
      <c r="AA153" s="175">
        <f>Data_Dep.12[[#This Row],[T/G điều chỉnh]]-Data_Dep.12[[#This Row],[Số kỳ đã khấu hao]]</f>
        <v>114</v>
      </c>
      <c r="AB153" s="175">
        <f>IFERROR(-Data_Dep.12[[#This Row],[Giá trị còn lại 31/12/25]]/(Data_Dep.12[[#This Row],[T/G điều chỉnh]]-Data_Dep.12[[#This Row],[Số kỳ đã khấu hao]]),0)</f>
        <v>-8109891.2192982454</v>
      </c>
      <c r="AC153" s="181">
        <v>-8109891.2192982454</v>
      </c>
      <c r="AD153" s="181">
        <v>-8109891.2192982454</v>
      </c>
      <c r="AE153" s="181">
        <v>-8109891.2192982454</v>
      </c>
      <c r="AF153" s="181">
        <v>-8109891.2192982454</v>
      </c>
      <c r="AG153" s="181">
        <v>-8109891.2192982454</v>
      </c>
      <c r="AH153" s="181">
        <v>-8109891.2192982454</v>
      </c>
      <c r="AI153" s="181">
        <v>-8109891.2192982454</v>
      </c>
      <c r="AJ153" s="181">
        <v>-8109891.2192982454</v>
      </c>
      <c r="AK153" s="181">
        <v>-8109891.2192982454</v>
      </c>
      <c r="AL153" s="181">
        <v>-8109891.2192982454</v>
      </c>
      <c r="AM153" s="181">
        <v>-8109891.2192982454</v>
      </c>
      <c r="AN153" s="181">
        <v>-8109891.2192982454</v>
      </c>
      <c r="AO153" s="175">
        <f>SUM(Data_Dep.12[[#This Row],[KH_2601]:[KH_2612]])</f>
        <v>-97318694.631578937</v>
      </c>
      <c r="AP153" s="175">
        <f>Data_Dep.12[[#This Row],[Giá trị còn lại 31/12/25]]+Data_Dep.12[[#This Row],[KH LK 2026]]</f>
        <v>827208904.36842108</v>
      </c>
    </row>
    <row r="154" spans="1:42" x14ac:dyDescent="0.3">
      <c r="A154" s="169"/>
      <c r="B154" s="169"/>
      <c r="C154" s="170" t="s">
        <v>338</v>
      </c>
      <c r="D154" s="169" t="str">
        <f>_xlfn.XLOOKUP(Data_Dep.12[[#This Row],[Nhóm tài sản]],MD_Account_Asset_Type[Nhóm tài sản],MD_Account_Asset_Type[Tên Nhóm tài sản])</f>
        <v>Máy móc, thiết bị - SX 627</v>
      </c>
      <c r="E154" s="171" t="s">
        <v>883</v>
      </c>
      <c r="F154" s="170" t="s">
        <v>645</v>
      </c>
      <c r="G154" s="169" t="s">
        <v>502</v>
      </c>
      <c r="H154" s="170" t="s">
        <v>48</v>
      </c>
      <c r="I154" s="170" t="str">
        <f>_xlfn.XLOOKUP(Data_Dep.12[[#This Row],[Cost center]],MD_Cost_Center[Mã Cost Center],MD_Cost_Center[Tên Cost Center])</f>
        <v>Xưởng sản xuất PET</v>
      </c>
      <c r="J154" s="172">
        <f>_xlfn.XLOOKUP(Data_Dep.12[[#This Row],[Cost center]],MD_Cost_Center[Mã Cost Center],MD_Cost_Center[Work center],"Check")</f>
        <v>0</v>
      </c>
      <c r="K154" s="169" t="str">
        <f>_xlfn.XLOOKUP(Data_Dep.12[[#This Row],[Nhóm tài sản]],MD_Account_Asset_Type[Nhóm tài sản],MD_Account_Asset_Type[Tài khoản KH],"Check")</f>
        <v>6274001903</v>
      </c>
      <c r="L154" s="173">
        <v>45110</v>
      </c>
      <c r="M154" s="174">
        <f>EDATE(Data_Dep.12[[#This Row],[Ngày bắt đầu KH]],Data_Dep.12[[#This Row],[T/G Khấu hao]])</f>
        <v>46206</v>
      </c>
      <c r="N154" s="175">
        <v>36</v>
      </c>
      <c r="O154" s="175">
        <v>175949315</v>
      </c>
      <c r="P154" s="176">
        <v>-131961987</v>
      </c>
      <c r="Q154" s="175">
        <f>Data_Dep.12[[#This Row],[Nguyên giá]]+Data_Dep.12[[#This Row],[KH lũy kế]]</f>
        <v>43987328</v>
      </c>
      <c r="R154" s="177">
        <v>-4887480</v>
      </c>
      <c r="S154" s="177">
        <v>-4887481</v>
      </c>
      <c r="T154" s="177">
        <v>-4887481</v>
      </c>
      <c r="U154" s="177">
        <f>SUM(Data_Dep.12[[#This Row],[KH_2510]:[KH_2512]])</f>
        <v>-14662442</v>
      </c>
      <c r="V154" s="175">
        <f>Data_Dep.12[[#This Row],[Nguyên giá]]+Data_Dep.12[[#This Row],[KH lũy kế]]+Data_Dep.12[[#This Row],[KH_Q4.25]]</f>
        <v>29324886</v>
      </c>
      <c r="W154" s="178">
        <f>ROUND(Data_Dep.12[[#This Row],[T/G Khấu hao]]-Data_Dep.12[[#This Row],[Giá trị còn lại 31/12/25]]/Data_Dep.12[[#This Row],[Nguyên giá]]*Data_Dep.12[[#This Row],[T/G Khấu hao]],0)</f>
        <v>30</v>
      </c>
      <c r="X154" s="179">
        <v>108</v>
      </c>
      <c r="Y154" s="175">
        <f>Data_Dep.12[[#This Row],[T/G Khấu hao]]+Data_Dep.12[[#This Row],[Điều chỉnh]]</f>
        <v>144</v>
      </c>
      <c r="Z154" s="180">
        <f>EDATE(Data_Dep.12[[#This Row],[Ngày bắt đầu KH]],Data_Dep.12[[#This Row],[T/G điều chỉnh]])</f>
        <v>49493</v>
      </c>
      <c r="AA154" s="175">
        <f>Data_Dep.12[[#This Row],[T/G điều chỉnh]]-Data_Dep.12[[#This Row],[Số kỳ đã khấu hao]]</f>
        <v>114</v>
      </c>
      <c r="AB154" s="175">
        <f>IFERROR(-Data_Dep.12[[#This Row],[Giá trị còn lại 31/12/25]]/(Data_Dep.12[[#This Row],[T/G điều chỉnh]]-Data_Dep.12[[#This Row],[Số kỳ đã khấu hao]]),0)</f>
        <v>-257235.84210526315</v>
      </c>
      <c r="AC154" s="181">
        <v>-257235.84210526315</v>
      </c>
      <c r="AD154" s="181">
        <v>-257235.84210526315</v>
      </c>
      <c r="AE154" s="181">
        <v>-257235.84210526315</v>
      </c>
      <c r="AF154" s="181">
        <v>-257235.84210526315</v>
      </c>
      <c r="AG154" s="181">
        <v>-257235.84210526315</v>
      </c>
      <c r="AH154" s="181">
        <v>-257235.84210526315</v>
      </c>
      <c r="AI154" s="181">
        <v>-257235.84210526315</v>
      </c>
      <c r="AJ154" s="181">
        <v>-257235.84210526315</v>
      </c>
      <c r="AK154" s="181">
        <v>-257235.84210526315</v>
      </c>
      <c r="AL154" s="181">
        <v>-257235.84210526315</v>
      </c>
      <c r="AM154" s="181">
        <v>-257235.84210526315</v>
      </c>
      <c r="AN154" s="181">
        <v>-257235.84210526315</v>
      </c>
      <c r="AO154" s="175">
        <f>SUM(Data_Dep.12[[#This Row],[KH_2601]:[KH_2612]])</f>
        <v>-3086830.1052631568</v>
      </c>
      <c r="AP154" s="175">
        <f>Data_Dep.12[[#This Row],[Giá trị còn lại 31/12/25]]+Data_Dep.12[[#This Row],[KH LK 2026]]</f>
        <v>26238055.894736841</v>
      </c>
    </row>
    <row r="155" spans="1:42" x14ac:dyDescent="0.3">
      <c r="A155" s="169"/>
      <c r="B155" s="169"/>
      <c r="C155" s="170" t="s">
        <v>338</v>
      </c>
      <c r="D155" s="169" t="str">
        <f>_xlfn.XLOOKUP(Data_Dep.12[[#This Row],[Nhóm tài sản]],MD_Account_Asset_Type[Nhóm tài sản],MD_Account_Asset_Type[Tên Nhóm tài sản])</f>
        <v>Máy móc, thiết bị - SX 627</v>
      </c>
      <c r="E155" s="171" t="s">
        <v>884</v>
      </c>
      <c r="F155" s="170" t="s">
        <v>646</v>
      </c>
      <c r="G155" s="169" t="s">
        <v>502</v>
      </c>
      <c r="H155" s="170" t="s">
        <v>48</v>
      </c>
      <c r="I155" s="170" t="str">
        <f>_xlfn.XLOOKUP(Data_Dep.12[[#This Row],[Cost center]],MD_Cost_Center[Mã Cost Center],MD_Cost_Center[Tên Cost Center])</f>
        <v>Xưởng sản xuất PET</v>
      </c>
      <c r="J155" s="172">
        <f>_xlfn.XLOOKUP(Data_Dep.12[[#This Row],[Cost center]],MD_Cost_Center[Mã Cost Center],MD_Cost_Center[Work center],"Check")</f>
        <v>0</v>
      </c>
      <c r="K155" s="169" t="str">
        <f>_xlfn.XLOOKUP(Data_Dep.12[[#This Row],[Nhóm tài sản]],MD_Account_Asset_Type[Nhóm tài sản],MD_Account_Asset_Type[Tài khoản KH],"Check")</f>
        <v>6274001903</v>
      </c>
      <c r="L155" s="173">
        <v>45110</v>
      </c>
      <c r="M155" s="174">
        <f>EDATE(Data_Dep.12[[#This Row],[Ngày bắt đầu KH]],Data_Dep.12[[#This Row],[T/G Khấu hao]])</f>
        <v>46206</v>
      </c>
      <c r="N155" s="175">
        <v>36</v>
      </c>
      <c r="O155" s="175">
        <v>203784525</v>
      </c>
      <c r="P155" s="176">
        <v>-152838394</v>
      </c>
      <c r="Q155" s="175">
        <f>Data_Dep.12[[#This Row],[Nguyên giá]]+Data_Dep.12[[#This Row],[KH lũy kế]]</f>
        <v>50946131</v>
      </c>
      <c r="R155" s="177">
        <v>-5660681</v>
      </c>
      <c r="S155" s="177">
        <v>-5660681</v>
      </c>
      <c r="T155" s="177">
        <v>-5660682</v>
      </c>
      <c r="U155" s="177">
        <f>SUM(Data_Dep.12[[#This Row],[KH_2510]:[KH_2512]])</f>
        <v>-16982044</v>
      </c>
      <c r="V155" s="175">
        <f>Data_Dep.12[[#This Row],[Nguyên giá]]+Data_Dep.12[[#This Row],[KH lũy kế]]+Data_Dep.12[[#This Row],[KH_Q4.25]]</f>
        <v>33964087</v>
      </c>
      <c r="W155" s="178">
        <f>ROUND(Data_Dep.12[[#This Row],[T/G Khấu hao]]-Data_Dep.12[[#This Row],[Giá trị còn lại 31/12/25]]/Data_Dep.12[[#This Row],[Nguyên giá]]*Data_Dep.12[[#This Row],[T/G Khấu hao]],0)</f>
        <v>30</v>
      </c>
      <c r="X155" s="179">
        <v>108</v>
      </c>
      <c r="Y155" s="175">
        <f>Data_Dep.12[[#This Row],[T/G Khấu hao]]+Data_Dep.12[[#This Row],[Điều chỉnh]]</f>
        <v>144</v>
      </c>
      <c r="Z155" s="180">
        <f>EDATE(Data_Dep.12[[#This Row],[Ngày bắt đầu KH]],Data_Dep.12[[#This Row],[T/G điều chỉnh]])</f>
        <v>49493</v>
      </c>
      <c r="AA155" s="175">
        <f>Data_Dep.12[[#This Row],[T/G điều chỉnh]]-Data_Dep.12[[#This Row],[Số kỳ đã khấu hao]]</f>
        <v>114</v>
      </c>
      <c r="AB155" s="175">
        <f>IFERROR(-Data_Dep.12[[#This Row],[Giá trị còn lại 31/12/25]]/(Data_Dep.12[[#This Row],[T/G điều chỉnh]]-Data_Dep.12[[#This Row],[Số kỳ đã khấu hao]]),0)</f>
        <v>-297930.58771929826</v>
      </c>
      <c r="AC155" s="181">
        <v>-297930.58771929826</v>
      </c>
      <c r="AD155" s="181">
        <v>-297930.58771929826</v>
      </c>
      <c r="AE155" s="181">
        <v>-297930.58771929826</v>
      </c>
      <c r="AF155" s="181">
        <v>-297930.58771929826</v>
      </c>
      <c r="AG155" s="181">
        <v>-297930.58771929826</v>
      </c>
      <c r="AH155" s="181">
        <v>-297930.58771929826</v>
      </c>
      <c r="AI155" s="181">
        <v>-297930.58771929826</v>
      </c>
      <c r="AJ155" s="181">
        <v>-297930.58771929826</v>
      </c>
      <c r="AK155" s="181">
        <v>-297930.58771929826</v>
      </c>
      <c r="AL155" s="181">
        <v>-297930.58771929826</v>
      </c>
      <c r="AM155" s="181">
        <v>-297930.58771929826</v>
      </c>
      <c r="AN155" s="181">
        <v>-297930.58771929826</v>
      </c>
      <c r="AO155" s="175">
        <f>SUM(Data_Dep.12[[#This Row],[KH_2601]:[KH_2612]])</f>
        <v>-3575167.0526315798</v>
      </c>
      <c r="AP155" s="175">
        <f>Data_Dep.12[[#This Row],[Giá trị còn lại 31/12/25]]+Data_Dep.12[[#This Row],[KH LK 2026]]</f>
        <v>30388919.947368421</v>
      </c>
    </row>
    <row r="156" spans="1:42" x14ac:dyDescent="0.3">
      <c r="A156" s="169"/>
      <c r="B156" s="169"/>
      <c r="C156" s="170" t="s">
        <v>338</v>
      </c>
      <c r="D156" s="169" t="str">
        <f>_xlfn.XLOOKUP(Data_Dep.12[[#This Row],[Nhóm tài sản]],MD_Account_Asset_Type[Nhóm tài sản],MD_Account_Asset_Type[Tên Nhóm tài sản])</f>
        <v>Máy móc, thiết bị - SX 627</v>
      </c>
      <c r="E156" s="171" t="s">
        <v>885</v>
      </c>
      <c r="F156" s="170" t="s">
        <v>647</v>
      </c>
      <c r="G156" s="169" t="s">
        <v>502</v>
      </c>
      <c r="H156" s="170" t="s">
        <v>48</v>
      </c>
      <c r="I156" s="170" t="str">
        <f>_xlfn.XLOOKUP(Data_Dep.12[[#This Row],[Cost center]],MD_Cost_Center[Mã Cost Center],MD_Cost_Center[Tên Cost Center])</f>
        <v>Xưởng sản xuất PET</v>
      </c>
      <c r="J156" s="172">
        <f>_xlfn.XLOOKUP(Data_Dep.12[[#This Row],[Cost center]],MD_Cost_Center[Mã Cost Center],MD_Cost_Center[Work center],"Check")</f>
        <v>0</v>
      </c>
      <c r="K156" s="169" t="str">
        <f>_xlfn.XLOOKUP(Data_Dep.12[[#This Row],[Nhóm tài sản]],MD_Account_Asset_Type[Nhóm tài sản],MD_Account_Asset_Type[Tài khoản KH],"Check")</f>
        <v>6274001903</v>
      </c>
      <c r="L156" s="173">
        <v>45078</v>
      </c>
      <c r="M156" s="174">
        <f>EDATE(Data_Dep.12[[#This Row],[Ngày bắt đầu KH]],Data_Dep.12[[#This Row],[T/G Khấu hao]])</f>
        <v>46174</v>
      </c>
      <c r="N156" s="175">
        <v>36</v>
      </c>
      <c r="O156" s="175">
        <v>380542065</v>
      </c>
      <c r="P156" s="176">
        <v>-295977161</v>
      </c>
      <c r="Q156" s="175">
        <f>Data_Dep.12[[#This Row],[Nguyên giá]]+Data_Dep.12[[#This Row],[KH lũy kế]]</f>
        <v>84564904</v>
      </c>
      <c r="R156" s="177">
        <v>-10570613</v>
      </c>
      <c r="S156" s="177">
        <v>-10570613</v>
      </c>
      <c r="T156" s="177">
        <v>-10570613</v>
      </c>
      <c r="U156" s="177">
        <f>SUM(Data_Dep.12[[#This Row],[KH_2510]:[KH_2512]])</f>
        <v>-31711839</v>
      </c>
      <c r="V156" s="175">
        <f>Data_Dep.12[[#This Row],[Nguyên giá]]+Data_Dep.12[[#This Row],[KH lũy kế]]+Data_Dep.12[[#This Row],[KH_Q4.25]]</f>
        <v>52853065</v>
      </c>
      <c r="W156" s="178">
        <f>ROUND(Data_Dep.12[[#This Row],[T/G Khấu hao]]-Data_Dep.12[[#This Row],[Giá trị còn lại 31/12/25]]/Data_Dep.12[[#This Row],[Nguyên giá]]*Data_Dep.12[[#This Row],[T/G Khấu hao]],0)</f>
        <v>31</v>
      </c>
      <c r="X156" s="179">
        <v>108</v>
      </c>
      <c r="Y156" s="175">
        <f>Data_Dep.12[[#This Row],[T/G Khấu hao]]+Data_Dep.12[[#This Row],[Điều chỉnh]]</f>
        <v>144</v>
      </c>
      <c r="Z156" s="180">
        <f>EDATE(Data_Dep.12[[#This Row],[Ngày bắt đầu KH]],Data_Dep.12[[#This Row],[T/G điều chỉnh]])</f>
        <v>49461</v>
      </c>
      <c r="AA156" s="175">
        <f>Data_Dep.12[[#This Row],[T/G điều chỉnh]]-Data_Dep.12[[#This Row],[Số kỳ đã khấu hao]]</f>
        <v>113</v>
      </c>
      <c r="AB156" s="175">
        <f>IFERROR(-Data_Dep.12[[#This Row],[Giá trị còn lại 31/12/25]]/(Data_Dep.12[[#This Row],[T/G điều chỉnh]]-Data_Dep.12[[#This Row],[Số kỳ đã khấu hao]]),0)</f>
        <v>-467726.23893805308</v>
      </c>
      <c r="AC156" s="181">
        <v>-467726.23893805308</v>
      </c>
      <c r="AD156" s="181">
        <v>-467726.23893805308</v>
      </c>
      <c r="AE156" s="181">
        <v>-467726.23893805308</v>
      </c>
      <c r="AF156" s="181">
        <v>-467726.23893805308</v>
      </c>
      <c r="AG156" s="181">
        <v>-467726.23893805308</v>
      </c>
      <c r="AH156" s="181">
        <v>-467726.23893805308</v>
      </c>
      <c r="AI156" s="181">
        <v>-467726.23893805308</v>
      </c>
      <c r="AJ156" s="181">
        <v>-467726.23893805308</v>
      </c>
      <c r="AK156" s="181">
        <v>-467726.23893805308</v>
      </c>
      <c r="AL156" s="181">
        <v>-467726.23893805308</v>
      </c>
      <c r="AM156" s="181">
        <v>-467726.23893805308</v>
      </c>
      <c r="AN156" s="181">
        <v>-467726.23893805308</v>
      </c>
      <c r="AO156" s="175">
        <f>SUM(Data_Dep.12[[#This Row],[KH_2601]:[KH_2612]])</f>
        <v>-5612714.8672566367</v>
      </c>
      <c r="AP156" s="175">
        <f>Data_Dep.12[[#This Row],[Giá trị còn lại 31/12/25]]+Data_Dep.12[[#This Row],[KH LK 2026]]</f>
        <v>47240350.132743366</v>
      </c>
    </row>
    <row r="157" spans="1:42" x14ac:dyDescent="0.3">
      <c r="A157" s="169"/>
      <c r="B157" s="169"/>
      <c r="C157" s="170" t="s">
        <v>338</v>
      </c>
      <c r="D157" s="169" t="str">
        <f>_xlfn.XLOOKUP(Data_Dep.12[[#This Row],[Nhóm tài sản]],MD_Account_Asset_Type[Nhóm tài sản],MD_Account_Asset_Type[Tên Nhóm tài sản])</f>
        <v>Máy móc, thiết bị - SX 627</v>
      </c>
      <c r="E157" s="171" t="s">
        <v>886</v>
      </c>
      <c r="F157" s="170" t="s">
        <v>648</v>
      </c>
      <c r="G157" s="169" t="s">
        <v>502</v>
      </c>
      <c r="H157" s="170" t="s">
        <v>48</v>
      </c>
      <c r="I157" s="170" t="str">
        <f>_xlfn.XLOOKUP(Data_Dep.12[[#This Row],[Cost center]],MD_Cost_Center[Mã Cost Center],MD_Cost_Center[Tên Cost Center])</f>
        <v>Xưởng sản xuất PET</v>
      </c>
      <c r="J157" s="172">
        <f>_xlfn.XLOOKUP(Data_Dep.12[[#This Row],[Cost center]],MD_Cost_Center[Mã Cost Center],MD_Cost_Center[Work center],"Check")</f>
        <v>0</v>
      </c>
      <c r="K157" s="169" t="str">
        <f>_xlfn.XLOOKUP(Data_Dep.12[[#This Row],[Nhóm tài sản]],MD_Account_Asset_Type[Nhóm tài sản],MD_Account_Asset_Type[Tài khoản KH],"Check")</f>
        <v>6274001903</v>
      </c>
      <c r="L157" s="173">
        <v>45110</v>
      </c>
      <c r="M157" s="174">
        <f>EDATE(Data_Dep.12[[#This Row],[Ngày bắt đầu KH]],Data_Dep.12[[#This Row],[T/G Khấu hao]])</f>
        <v>46937</v>
      </c>
      <c r="N157" s="175">
        <v>60</v>
      </c>
      <c r="O157" s="175">
        <v>2135314321</v>
      </c>
      <c r="P157" s="176">
        <v>-960891444</v>
      </c>
      <c r="Q157" s="175">
        <f>Data_Dep.12[[#This Row],[Nguyên giá]]+Data_Dep.12[[#This Row],[KH lũy kế]]</f>
        <v>1174422877</v>
      </c>
      <c r="R157" s="177">
        <v>-35588572</v>
      </c>
      <c r="S157" s="177">
        <v>-35588572</v>
      </c>
      <c r="T157" s="177">
        <v>-35588572</v>
      </c>
      <c r="U157" s="177">
        <f>SUM(Data_Dep.12[[#This Row],[KH_2510]:[KH_2512]])</f>
        <v>-106765716</v>
      </c>
      <c r="V157" s="175">
        <f>Data_Dep.12[[#This Row],[Nguyên giá]]+Data_Dep.12[[#This Row],[KH lũy kế]]+Data_Dep.12[[#This Row],[KH_Q4.25]]</f>
        <v>1067657161</v>
      </c>
      <c r="W157" s="178">
        <f>ROUND(Data_Dep.12[[#This Row],[T/G Khấu hao]]-Data_Dep.12[[#This Row],[Giá trị còn lại 31/12/25]]/Data_Dep.12[[#This Row],[Nguyên giá]]*Data_Dep.12[[#This Row],[T/G Khấu hao]],0)</f>
        <v>30</v>
      </c>
      <c r="X157" s="179">
        <v>84</v>
      </c>
      <c r="Y157" s="175">
        <f>Data_Dep.12[[#This Row],[T/G Khấu hao]]+Data_Dep.12[[#This Row],[Điều chỉnh]]</f>
        <v>144</v>
      </c>
      <c r="Z157" s="180">
        <f>EDATE(Data_Dep.12[[#This Row],[Ngày bắt đầu KH]],Data_Dep.12[[#This Row],[T/G điều chỉnh]])</f>
        <v>49493</v>
      </c>
      <c r="AA157" s="175">
        <f>Data_Dep.12[[#This Row],[T/G điều chỉnh]]-Data_Dep.12[[#This Row],[Số kỳ đã khấu hao]]</f>
        <v>114</v>
      </c>
      <c r="AB157" s="175">
        <f>IFERROR(-Data_Dep.12[[#This Row],[Giá trị còn lại 31/12/25]]/(Data_Dep.12[[#This Row],[T/G điều chỉnh]]-Data_Dep.12[[#This Row],[Số kỳ đã khấu hao]]),0)</f>
        <v>-9365413.6929824557</v>
      </c>
      <c r="AC157" s="181">
        <v>-9365413.6929824557</v>
      </c>
      <c r="AD157" s="181">
        <v>-9365413.6929824557</v>
      </c>
      <c r="AE157" s="181">
        <v>-9365413.6929824557</v>
      </c>
      <c r="AF157" s="181">
        <v>-9365413.6929824557</v>
      </c>
      <c r="AG157" s="181">
        <v>-9365413.6929824557</v>
      </c>
      <c r="AH157" s="181">
        <v>-9365413.6929824557</v>
      </c>
      <c r="AI157" s="181">
        <v>-9365413.6929824557</v>
      </c>
      <c r="AJ157" s="181">
        <v>-9365413.6929824557</v>
      </c>
      <c r="AK157" s="181">
        <v>-9365413.6929824557</v>
      </c>
      <c r="AL157" s="181">
        <v>-9365413.6929824557</v>
      </c>
      <c r="AM157" s="181">
        <v>-9365413.6929824557</v>
      </c>
      <c r="AN157" s="181">
        <v>-9365413.6929824557</v>
      </c>
      <c r="AO157" s="175">
        <f>SUM(Data_Dep.12[[#This Row],[KH_2601]:[KH_2612]])</f>
        <v>-112384964.31578945</v>
      </c>
      <c r="AP157" s="175">
        <f>Data_Dep.12[[#This Row],[Giá trị còn lại 31/12/25]]+Data_Dep.12[[#This Row],[KH LK 2026]]</f>
        <v>955272196.68421054</v>
      </c>
    </row>
    <row r="158" spans="1:42" x14ac:dyDescent="0.3">
      <c r="A158" s="169"/>
      <c r="B158" s="169"/>
      <c r="C158" s="170" t="s">
        <v>338</v>
      </c>
      <c r="D158" s="169" t="str">
        <f>_xlfn.XLOOKUP(Data_Dep.12[[#This Row],[Nhóm tài sản]],MD_Account_Asset_Type[Nhóm tài sản],MD_Account_Asset_Type[Tên Nhóm tài sản])</f>
        <v>Máy móc, thiết bị - SX 627</v>
      </c>
      <c r="E158" s="171" t="s">
        <v>887</v>
      </c>
      <c r="F158" s="170" t="s">
        <v>649</v>
      </c>
      <c r="G158" s="169" t="s">
        <v>502</v>
      </c>
      <c r="H158" s="170" t="s">
        <v>90</v>
      </c>
      <c r="I158" s="170" t="str">
        <f>_xlfn.XLOOKUP(Data_Dep.12[[#This Row],[Cost center]],MD_Cost_Center[Mã Cost Center],MD_Cost_Center[Tên Cost Center])</f>
        <v>Khối SX - Xưởng 4</v>
      </c>
      <c r="J158" s="172">
        <f>_xlfn.XLOOKUP(Data_Dep.12[[#This Row],[Cost center]],MD_Cost_Center[Mã Cost Center],MD_Cost_Center[Work center],"Check")</f>
        <v>0</v>
      </c>
      <c r="K158" s="169" t="str">
        <f>_xlfn.XLOOKUP(Data_Dep.12[[#This Row],[Nhóm tài sản]],MD_Account_Asset_Type[Nhóm tài sản],MD_Account_Asset_Type[Tài khoản KH],"Check")</f>
        <v>6274001903</v>
      </c>
      <c r="L158" s="173">
        <v>45110</v>
      </c>
      <c r="M158" s="174">
        <f>EDATE(Data_Dep.12[[#This Row],[Ngày bắt đầu KH]],Data_Dep.12[[#This Row],[T/G Khấu hao]])</f>
        <v>46206</v>
      </c>
      <c r="N158" s="175">
        <v>36</v>
      </c>
      <c r="O158" s="175">
        <v>321444214</v>
      </c>
      <c r="P158" s="176">
        <v>-241083161</v>
      </c>
      <c r="Q158" s="175">
        <f>Data_Dep.12[[#This Row],[Nguyên giá]]+Data_Dep.12[[#This Row],[KH lũy kế]]</f>
        <v>80361053</v>
      </c>
      <c r="R158" s="177">
        <v>-8929005</v>
      </c>
      <c r="S158" s="177">
        <v>-8929006</v>
      </c>
      <c r="T158" s="177">
        <v>-8929006</v>
      </c>
      <c r="U158" s="177">
        <f>SUM(Data_Dep.12[[#This Row],[KH_2510]:[KH_2512]])</f>
        <v>-26787017</v>
      </c>
      <c r="V158" s="175">
        <f>Data_Dep.12[[#This Row],[Nguyên giá]]+Data_Dep.12[[#This Row],[KH lũy kế]]+Data_Dep.12[[#This Row],[KH_Q4.25]]</f>
        <v>53574036</v>
      </c>
      <c r="W158" s="178">
        <f>ROUND(Data_Dep.12[[#This Row],[T/G Khấu hao]]-Data_Dep.12[[#This Row],[Giá trị còn lại 31/12/25]]/Data_Dep.12[[#This Row],[Nguyên giá]]*Data_Dep.12[[#This Row],[T/G Khấu hao]],0)</f>
        <v>30</v>
      </c>
      <c r="X158" s="179">
        <v>108</v>
      </c>
      <c r="Y158" s="175">
        <f>Data_Dep.12[[#This Row],[T/G Khấu hao]]+Data_Dep.12[[#This Row],[Điều chỉnh]]</f>
        <v>144</v>
      </c>
      <c r="Z158" s="180">
        <f>EDATE(Data_Dep.12[[#This Row],[Ngày bắt đầu KH]],Data_Dep.12[[#This Row],[T/G điều chỉnh]])</f>
        <v>49493</v>
      </c>
      <c r="AA158" s="175">
        <f>Data_Dep.12[[#This Row],[T/G điều chỉnh]]-Data_Dep.12[[#This Row],[Số kỳ đã khấu hao]]</f>
        <v>114</v>
      </c>
      <c r="AB158" s="175">
        <f>IFERROR(-Data_Dep.12[[#This Row],[Giá trị còn lại 31/12/25]]/(Data_Dep.12[[#This Row],[T/G điều chỉnh]]-Data_Dep.12[[#This Row],[Số kỳ đã khấu hao]]),0)</f>
        <v>-469947.68421052629</v>
      </c>
      <c r="AC158" s="181">
        <v>-469947.68421052629</v>
      </c>
      <c r="AD158" s="181">
        <v>-469947.68421052629</v>
      </c>
      <c r="AE158" s="181">
        <v>-469947.68421052629</v>
      </c>
      <c r="AF158" s="181">
        <v>-469947.68421052629</v>
      </c>
      <c r="AG158" s="181">
        <v>-469947.68421052629</v>
      </c>
      <c r="AH158" s="181">
        <v>-469947.68421052629</v>
      </c>
      <c r="AI158" s="181">
        <v>-469947.68421052629</v>
      </c>
      <c r="AJ158" s="181">
        <v>-469947.68421052629</v>
      </c>
      <c r="AK158" s="181">
        <v>-469947.68421052629</v>
      </c>
      <c r="AL158" s="181">
        <v>-469947.68421052629</v>
      </c>
      <c r="AM158" s="181">
        <v>-469947.68421052629</v>
      </c>
      <c r="AN158" s="181">
        <v>-469947.68421052629</v>
      </c>
      <c r="AO158" s="175">
        <f>SUM(Data_Dep.12[[#This Row],[KH_2601]:[KH_2612]])</f>
        <v>-5639372.2105263136</v>
      </c>
      <c r="AP158" s="175">
        <f>Data_Dep.12[[#This Row],[Giá trị còn lại 31/12/25]]+Data_Dep.12[[#This Row],[KH LK 2026]]</f>
        <v>47934663.789473683</v>
      </c>
    </row>
    <row r="159" spans="1:42" x14ac:dyDescent="0.3">
      <c r="A159" s="169"/>
      <c r="B159" s="169"/>
      <c r="C159" s="170" t="s">
        <v>338</v>
      </c>
      <c r="D159" s="169" t="str">
        <f>_xlfn.XLOOKUP(Data_Dep.12[[#This Row],[Nhóm tài sản]],MD_Account_Asset_Type[Nhóm tài sản],MD_Account_Asset_Type[Tên Nhóm tài sản])</f>
        <v>Máy móc, thiết bị - SX 627</v>
      </c>
      <c r="E159" s="171" t="s">
        <v>888</v>
      </c>
      <c r="F159" s="170" t="s">
        <v>650</v>
      </c>
      <c r="G159" s="169" t="s">
        <v>502</v>
      </c>
      <c r="H159" s="170" t="s">
        <v>48</v>
      </c>
      <c r="I159" s="170" t="str">
        <f>_xlfn.XLOOKUP(Data_Dep.12[[#This Row],[Cost center]],MD_Cost_Center[Mã Cost Center],MD_Cost_Center[Tên Cost Center])</f>
        <v>Xưởng sản xuất PET</v>
      </c>
      <c r="J159" s="172">
        <f>_xlfn.XLOOKUP(Data_Dep.12[[#This Row],[Cost center]],MD_Cost_Center[Mã Cost Center],MD_Cost_Center[Work center],"Check")</f>
        <v>0</v>
      </c>
      <c r="K159" s="169" t="str">
        <f>_xlfn.XLOOKUP(Data_Dep.12[[#This Row],[Nhóm tài sản]],MD_Account_Asset_Type[Nhóm tài sản],MD_Account_Asset_Type[Tài khoản KH],"Check")</f>
        <v>6274001903</v>
      </c>
      <c r="L159" s="173">
        <v>45108</v>
      </c>
      <c r="M159" s="174">
        <f>EDATE(Data_Dep.12[[#This Row],[Ngày bắt đầu KH]],Data_Dep.12[[#This Row],[T/G Khấu hao]])</f>
        <v>46204</v>
      </c>
      <c r="N159" s="175">
        <v>36</v>
      </c>
      <c r="O159" s="175">
        <v>365416370</v>
      </c>
      <c r="P159" s="176">
        <v>-274062278</v>
      </c>
      <c r="Q159" s="175">
        <f>Data_Dep.12[[#This Row],[Nguyên giá]]+Data_Dep.12[[#This Row],[KH lũy kế]]</f>
        <v>91354092</v>
      </c>
      <c r="R159" s="177">
        <v>-10150454</v>
      </c>
      <c r="S159" s="177">
        <v>-10150455</v>
      </c>
      <c r="T159" s="177">
        <v>-10150455</v>
      </c>
      <c r="U159" s="177">
        <f>SUM(Data_Dep.12[[#This Row],[KH_2510]:[KH_2512]])</f>
        <v>-30451364</v>
      </c>
      <c r="V159" s="175">
        <f>Data_Dep.12[[#This Row],[Nguyên giá]]+Data_Dep.12[[#This Row],[KH lũy kế]]+Data_Dep.12[[#This Row],[KH_Q4.25]]</f>
        <v>60902728</v>
      </c>
      <c r="W159" s="178">
        <f>ROUND(Data_Dep.12[[#This Row],[T/G Khấu hao]]-Data_Dep.12[[#This Row],[Giá trị còn lại 31/12/25]]/Data_Dep.12[[#This Row],[Nguyên giá]]*Data_Dep.12[[#This Row],[T/G Khấu hao]],0)</f>
        <v>30</v>
      </c>
      <c r="X159" s="179">
        <v>108</v>
      </c>
      <c r="Y159" s="175">
        <f>Data_Dep.12[[#This Row],[T/G Khấu hao]]+Data_Dep.12[[#This Row],[Điều chỉnh]]</f>
        <v>144</v>
      </c>
      <c r="Z159" s="180">
        <f>EDATE(Data_Dep.12[[#This Row],[Ngày bắt đầu KH]],Data_Dep.12[[#This Row],[T/G điều chỉnh]])</f>
        <v>49491</v>
      </c>
      <c r="AA159" s="175">
        <f>Data_Dep.12[[#This Row],[T/G điều chỉnh]]-Data_Dep.12[[#This Row],[Số kỳ đã khấu hao]]</f>
        <v>114</v>
      </c>
      <c r="AB159" s="175">
        <f>IFERROR(-Data_Dep.12[[#This Row],[Giá trị còn lại 31/12/25]]/(Data_Dep.12[[#This Row],[T/G điều chỉnh]]-Data_Dep.12[[#This Row],[Số kỳ đã khấu hao]]),0)</f>
        <v>-534234.4561403509</v>
      </c>
      <c r="AC159" s="181">
        <v>-534234.4561403509</v>
      </c>
      <c r="AD159" s="181">
        <v>-534234.4561403509</v>
      </c>
      <c r="AE159" s="181">
        <v>-534234.4561403509</v>
      </c>
      <c r="AF159" s="181">
        <v>-534234.4561403509</v>
      </c>
      <c r="AG159" s="181">
        <v>-534234.4561403509</v>
      </c>
      <c r="AH159" s="181">
        <v>-534234.4561403509</v>
      </c>
      <c r="AI159" s="181">
        <v>-534234.4561403509</v>
      </c>
      <c r="AJ159" s="181">
        <v>-534234.4561403509</v>
      </c>
      <c r="AK159" s="181">
        <v>-534234.4561403509</v>
      </c>
      <c r="AL159" s="181">
        <v>-534234.4561403509</v>
      </c>
      <c r="AM159" s="181">
        <v>-534234.4561403509</v>
      </c>
      <c r="AN159" s="181">
        <v>-534234.4561403509</v>
      </c>
      <c r="AO159" s="175">
        <f>SUM(Data_Dep.12[[#This Row],[KH_2601]:[KH_2612]])</f>
        <v>-6410813.4736842094</v>
      </c>
      <c r="AP159" s="175">
        <f>Data_Dep.12[[#This Row],[Giá trị còn lại 31/12/25]]+Data_Dep.12[[#This Row],[KH LK 2026]]</f>
        <v>54491914.526315793</v>
      </c>
    </row>
    <row r="160" spans="1:42" x14ac:dyDescent="0.3">
      <c r="A160" s="169"/>
      <c r="B160" s="169"/>
      <c r="C160" s="170" t="s">
        <v>338</v>
      </c>
      <c r="D160" s="169" t="str">
        <f>_xlfn.XLOOKUP(Data_Dep.12[[#This Row],[Nhóm tài sản]],MD_Account_Asset_Type[Nhóm tài sản],MD_Account_Asset_Type[Tên Nhóm tài sản])</f>
        <v>Máy móc, thiết bị - SX 627</v>
      </c>
      <c r="E160" s="171" t="s">
        <v>889</v>
      </c>
      <c r="F160" s="170" t="s">
        <v>651</v>
      </c>
      <c r="G160" s="169" t="s">
        <v>502</v>
      </c>
      <c r="H160" s="170" t="s">
        <v>48</v>
      </c>
      <c r="I160" s="170" t="str">
        <f>_xlfn.XLOOKUP(Data_Dep.12[[#This Row],[Cost center]],MD_Cost_Center[Mã Cost Center],MD_Cost_Center[Tên Cost Center])</f>
        <v>Xưởng sản xuất PET</v>
      </c>
      <c r="J160" s="172">
        <f>_xlfn.XLOOKUP(Data_Dep.12[[#This Row],[Cost center]],MD_Cost_Center[Mã Cost Center],MD_Cost_Center[Work center],"Check")</f>
        <v>0</v>
      </c>
      <c r="K160" s="169" t="str">
        <f>_xlfn.XLOOKUP(Data_Dep.12[[#This Row],[Nhóm tài sản]],MD_Account_Asset_Type[Nhóm tài sản],MD_Account_Asset_Type[Tài khoản KH],"Check")</f>
        <v>6274001903</v>
      </c>
      <c r="L160" s="173">
        <v>45108</v>
      </c>
      <c r="M160" s="174">
        <f>EDATE(Data_Dep.12[[#This Row],[Ngày bắt đầu KH]],Data_Dep.12[[#This Row],[T/G Khấu hao]])</f>
        <v>46204</v>
      </c>
      <c r="N160" s="175">
        <v>36</v>
      </c>
      <c r="O160" s="175">
        <v>190093298</v>
      </c>
      <c r="P160" s="176">
        <v>-142569974</v>
      </c>
      <c r="Q160" s="175">
        <f>Data_Dep.12[[#This Row],[Nguyên giá]]+Data_Dep.12[[#This Row],[KH lũy kế]]</f>
        <v>47523324</v>
      </c>
      <c r="R160" s="177">
        <v>-5280369</v>
      </c>
      <c r="S160" s="177">
        <v>-5280369</v>
      </c>
      <c r="T160" s="177">
        <v>-5280370</v>
      </c>
      <c r="U160" s="177">
        <f>SUM(Data_Dep.12[[#This Row],[KH_2510]:[KH_2512]])</f>
        <v>-15841108</v>
      </c>
      <c r="V160" s="175">
        <f>Data_Dep.12[[#This Row],[Nguyên giá]]+Data_Dep.12[[#This Row],[KH lũy kế]]+Data_Dep.12[[#This Row],[KH_Q4.25]]</f>
        <v>31682216</v>
      </c>
      <c r="W160" s="178">
        <f>ROUND(Data_Dep.12[[#This Row],[T/G Khấu hao]]-Data_Dep.12[[#This Row],[Giá trị còn lại 31/12/25]]/Data_Dep.12[[#This Row],[Nguyên giá]]*Data_Dep.12[[#This Row],[T/G Khấu hao]],0)</f>
        <v>30</v>
      </c>
      <c r="X160" s="179">
        <v>108</v>
      </c>
      <c r="Y160" s="175">
        <f>Data_Dep.12[[#This Row],[T/G Khấu hao]]+Data_Dep.12[[#This Row],[Điều chỉnh]]</f>
        <v>144</v>
      </c>
      <c r="Z160" s="180">
        <f>EDATE(Data_Dep.12[[#This Row],[Ngày bắt đầu KH]],Data_Dep.12[[#This Row],[T/G điều chỉnh]])</f>
        <v>49491</v>
      </c>
      <c r="AA160" s="175">
        <f>Data_Dep.12[[#This Row],[T/G điều chỉnh]]-Data_Dep.12[[#This Row],[Số kỳ đã khấu hao]]</f>
        <v>114</v>
      </c>
      <c r="AB160" s="175">
        <f>IFERROR(-Data_Dep.12[[#This Row],[Giá trị còn lại 31/12/25]]/(Data_Dep.12[[#This Row],[T/G điều chỉnh]]-Data_Dep.12[[#This Row],[Số kỳ đã khấu hao]]),0)</f>
        <v>-277914.17543859652</v>
      </c>
      <c r="AC160" s="181">
        <v>-277914.17543859652</v>
      </c>
      <c r="AD160" s="181">
        <v>-277914.17543859652</v>
      </c>
      <c r="AE160" s="181">
        <v>-277914.17543859652</v>
      </c>
      <c r="AF160" s="181">
        <v>-277914.17543859652</v>
      </c>
      <c r="AG160" s="181">
        <v>-277914.17543859652</v>
      </c>
      <c r="AH160" s="181">
        <v>-277914.17543859652</v>
      </c>
      <c r="AI160" s="181">
        <v>-277914.17543859652</v>
      </c>
      <c r="AJ160" s="181">
        <v>-277914.17543859652</v>
      </c>
      <c r="AK160" s="181">
        <v>-277914.17543859652</v>
      </c>
      <c r="AL160" s="181">
        <v>-277914.17543859652</v>
      </c>
      <c r="AM160" s="181">
        <v>-277914.17543859652</v>
      </c>
      <c r="AN160" s="181">
        <v>-277914.17543859652</v>
      </c>
      <c r="AO160" s="175">
        <f>SUM(Data_Dep.12[[#This Row],[KH_2601]:[KH_2612]])</f>
        <v>-3334970.1052631573</v>
      </c>
      <c r="AP160" s="175">
        <f>Data_Dep.12[[#This Row],[Giá trị còn lại 31/12/25]]+Data_Dep.12[[#This Row],[KH LK 2026]]</f>
        <v>28347245.894736841</v>
      </c>
    </row>
    <row r="161" spans="1:42" x14ac:dyDescent="0.3">
      <c r="A161" s="169"/>
      <c r="B161" s="169"/>
      <c r="C161" s="170" t="s">
        <v>338</v>
      </c>
      <c r="D161" s="169" t="str">
        <f>_xlfn.XLOOKUP(Data_Dep.12[[#This Row],[Nhóm tài sản]],MD_Account_Asset_Type[Nhóm tài sản],MD_Account_Asset_Type[Tên Nhóm tài sản])</f>
        <v>Máy móc, thiết bị - SX 627</v>
      </c>
      <c r="E161" s="171" t="s">
        <v>890</v>
      </c>
      <c r="F161" s="170" t="s">
        <v>652</v>
      </c>
      <c r="G161" s="169" t="s">
        <v>502</v>
      </c>
      <c r="H161" s="170" t="s">
        <v>48</v>
      </c>
      <c r="I161" s="170" t="str">
        <f>_xlfn.XLOOKUP(Data_Dep.12[[#This Row],[Cost center]],MD_Cost_Center[Mã Cost Center],MD_Cost_Center[Tên Cost Center])</f>
        <v>Xưởng sản xuất PET</v>
      </c>
      <c r="J161" s="172">
        <f>_xlfn.XLOOKUP(Data_Dep.12[[#This Row],[Cost center]],MD_Cost_Center[Mã Cost Center],MD_Cost_Center[Work center],"Check")</f>
        <v>0</v>
      </c>
      <c r="K161" s="169" t="str">
        <f>_xlfn.XLOOKUP(Data_Dep.12[[#This Row],[Nhóm tài sản]],MD_Account_Asset_Type[Nhóm tài sản],MD_Account_Asset_Type[Tài khoản KH],"Check")</f>
        <v>6274001903</v>
      </c>
      <c r="L161" s="173">
        <v>45108</v>
      </c>
      <c r="M161" s="174">
        <f>EDATE(Data_Dep.12[[#This Row],[Ngày bắt đầu KH]],Data_Dep.12[[#This Row],[T/G Khấu hao]])</f>
        <v>46204</v>
      </c>
      <c r="N161" s="175">
        <v>36</v>
      </c>
      <c r="O161" s="175">
        <v>196041828</v>
      </c>
      <c r="P161" s="176">
        <v>-147031371</v>
      </c>
      <c r="Q161" s="175">
        <f>Data_Dep.12[[#This Row],[Nguyên giá]]+Data_Dep.12[[#This Row],[KH lũy kế]]</f>
        <v>49010457</v>
      </c>
      <c r="R161" s="177">
        <v>-5445606</v>
      </c>
      <c r="S161" s="177">
        <v>-5445607</v>
      </c>
      <c r="T161" s="177">
        <v>-5445606</v>
      </c>
      <c r="U161" s="177">
        <f>SUM(Data_Dep.12[[#This Row],[KH_2510]:[KH_2512]])</f>
        <v>-16336819</v>
      </c>
      <c r="V161" s="175">
        <f>Data_Dep.12[[#This Row],[Nguyên giá]]+Data_Dep.12[[#This Row],[KH lũy kế]]+Data_Dep.12[[#This Row],[KH_Q4.25]]</f>
        <v>32673638</v>
      </c>
      <c r="W161" s="178">
        <f>ROUND(Data_Dep.12[[#This Row],[T/G Khấu hao]]-Data_Dep.12[[#This Row],[Giá trị còn lại 31/12/25]]/Data_Dep.12[[#This Row],[Nguyên giá]]*Data_Dep.12[[#This Row],[T/G Khấu hao]],0)</f>
        <v>30</v>
      </c>
      <c r="X161" s="179">
        <v>108</v>
      </c>
      <c r="Y161" s="175">
        <f>Data_Dep.12[[#This Row],[T/G Khấu hao]]+Data_Dep.12[[#This Row],[Điều chỉnh]]</f>
        <v>144</v>
      </c>
      <c r="Z161" s="180">
        <f>EDATE(Data_Dep.12[[#This Row],[Ngày bắt đầu KH]],Data_Dep.12[[#This Row],[T/G điều chỉnh]])</f>
        <v>49491</v>
      </c>
      <c r="AA161" s="175">
        <f>Data_Dep.12[[#This Row],[T/G điều chỉnh]]-Data_Dep.12[[#This Row],[Số kỳ đã khấu hao]]</f>
        <v>114</v>
      </c>
      <c r="AB161" s="175">
        <f>IFERROR(-Data_Dep.12[[#This Row],[Giá trị còn lại 31/12/25]]/(Data_Dep.12[[#This Row],[T/G điều chỉnh]]-Data_Dep.12[[#This Row],[Số kỳ đã khấu hao]]),0)</f>
        <v>-286610.85964912281</v>
      </c>
      <c r="AC161" s="181">
        <v>-286610.85964912281</v>
      </c>
      <c r="AD161" s="181">
        <v>-286610.85964912281</v>
      </c>
      <c r="AE161" s="181">
        <v>-286610.85964912281</v>
      </c>
      <c r="AF161" s="181">
        <v>-286610.85964912281</v>
      </c>
      <c r="AG161" s="181">
        <v>-286610.85964912281</v>
      </c>
      <c r="AH161" s="181">
        <v>-286610.85964912281</v>
      </c>
      <c r="AI161" s="181">
        <v>-286610.85964912281</v>
      </c>
      <c r="AJ161" s="181">
        <v>-286610.85964912281</v>
      </c>
      <c r="AK161" s="181">
        <v>-286610.85964912281</v>
      </c>
      <c r="AL161" s="181">
        <v>-286610.85964912281</v>
      </c>
      <c r="AM161" s="181">
        <v>-286610.85964912281</v>
      </c>
      <c r="AN161" s="181">
        <v>-286610.85964912281</v>
      </c>
      <c r="AO161" s="175">
        <f>SUM(Data_Dep.12[[#This Row],[KH_2601]:[KH_2612]])</f>
        <v>-3439330.3157894728</v>
      </c>
      <c r="AP161" s="175">
        <f>Data_Dep.12[[#This Row],[Giá trị còn lại 31/12/25]]+Data_Dep.12[[#This Row],[KH LK 2026]]</f>
        <v>29234307.684210528</v>
      </c>
    </row>
    <row r="162" spans="1:42" x14ac:dyDescent="0.3">
      <c r="A162" s="169"/>
      <c r="B162" s="169"/>
      <c r="C162" s="170" t="s">
        <v>338</v>
      </c>
      <c r="D162" s="169" t="str">
        <f>_xlfn.XLOOKUP(Data_Dep.12[[#This Row],[Nhóm tài sản]],MD_Account_Asset_Type[Nhóm tài sản],MD_Account_Asset_Type[Tên Nhóm tài sản])</f>
        <v>Máy móc, thiết bị - SX 627</v>
      </c>
      <c r="E162" s="171" t="s">
        <v>891</v>
      </c>
      <c r="F162" s="170" t="s">
        <v>653</v>
      </c>
      <c r="G162" s="169" t="s">
        <v>502</v>
      </c>
      <c r="H162" s="170" t="s">
        <v>48</v>
      </c>
      <c r="I162" s="170" t="str">
        <f>_xlfn.XLOOKUP(Data_Dep.12[[#This Row],[Cost center]],MD_Cost_Center[Mã Cost Center],MD_Cost_Center[Tên Cost Center])</f>
        <v>Xưởng sản xuất PET</v>
      </c>
      <c r="J162" s="172">
        <f>_xlfn.XLOOKUP(Data_Dep.12[[#This Row],[Cost center]],MD_Cost_Center[Mã Cost Center],MD_Cost_Center[Work center],"Check")</f>
        <v>0</v>
      </c>
      <c r="K162" s="169" t="str">
        <f>_xlfn.XLOOKUP(Data_Dep.12[[#This Row],[Nhóm tài sản]],MD_Account_Asset_Type[Nhóm tài sản],MD_Account_Asset_Type[Tài khoản KH],"Check")</f>
        <v>6274001903</v>
      </c>
      <c r="L162" s="173">
        <v>45139</v>
      </c>
      <c r="M162" s="174">
        <f>EDATE(Data_Dep.12[[#This Row],[Ngày bắt đầu KH]],Data_Dep.12[[#This Row],[T/G Khấu hao]])</f>
        <v>46235</v>
      </c>
      <c r="N162" s="175">
        <v>36</v>
      </c>
      <c r="O162" s="175">
        <v>63755169</v>
      </c>
      <c r="P162" s="176">
        <v>-46045400</v>
      </c>
      <c r="Q162" s="175">
        <f>Data_Dep.12[[#This Row],[Nguyên giá]]+Data_Dep.12[[#This Row],[KH lũy kế]]</f>
        <v>17709769</v>
      </c>
      <c r="R162" s="177">
        <v>-1770977</v>
      </c>
      <c r="S162" s="177">
        <v>-1770977</v>
      </c>
      <c r="T162" s="177">
        <v>-1770977</v>
      </c>
      <c r="U162" s="177">
        <f>SUM(Data_Dep.12[[#This Row],[KH_2510]:[KH_2512]])</f>
        <v>-5312931</v>
      </c>
      <c r="V162" s="175">
        <f>Data_Dep.12[[#This Row],[Nguyên giá]]+Data_Dep.12[[#This Row],[KH lũy kế]]+Data_Dep.12[[#This Row],[KH_Q4.25]]</f>
        <v>12396838</v>
      </c>
      <c r="W162" s="178">
        <f>ROUND(Data_Dep.12[[#This Row],[T/G Khấu hao]]-Data_Dep.12[[#This Row],[Giá trị còn lại 31/12/25]]/Data_Dep.12[[#This Row],[Nguyên giá]]*Data_Dep.12[[#This Row],[T/G Khấu hao]],0)</f>
        <v>29</v>
      </c>
      <c r="X162" s="179">
        <v>108</v>
      </c>
      <c r="Y162" s="175">
        <f>Data_Dep.12[[#This Row],[T/G Khấu hao]]+Data_Dep.12[[#This Row],[Điều chỉnh]]</f>
        <v>144</v>
      </c>
      <c r="Z162" s="180">
        <f>EDATE(Data_Dep.12[[#This Row],[Ngày bắt đầu KH]],Data_Dep.12[[#This Row],[T/G điều chỉnh]])</f>
        <v>49522</v>
      </c>
      <c r="AA162" s="175">
        <f>Data_Dep.12[[#This Row],[T/G điều chỉnh]]-Data_Dep.12[[#This Row],[Số kỳ đã khấu hao]]</f>
        <v>115</v>
      </c>
      <c r="AB162" s="175">
        <f>IFERROR(-Data_Dep.12[[#This Row],[Giá trị còn lại 31/12/25]]/(Data_Dep.12[[#This Row],[T/G điều chỉnh]]-Data_Dep.12[[#This Row],[Số kỳ đã khấu hao]]),0)</f>
        <v>-107798.59130434782</v>
      </c>
      <c r="AC162" s="181">
        <v>-107798.59130434782</v>
      </c>
      <c r="AD162" s="181">
        <v>-107798.59130434782</v>
      </c>
      <c r="AE162" s="181">
        <v>-107798.59130434782</v>
      </c>
      <c r="AF162" s="181">
        <v>-107798.59130434782</v>
      </c>
      <c r="AG162" s="181">
        <v>-107798.59130434782</v>
      </c>
      <c r="AH162" s="181">
        <v>-107798.59130434782</v>
      </c>
      <c r="AI162" s="181">
        <v>-107798.59130434782</v>
      </c>
      <c r="AJ162" s="181">
        <v>-107798.59130434782</v>
      </c>
      <c r="AK162" s="181">
        <v>-107798.59130434782</v>
      </c>
      <c r="AL162" s="181">
        <v>-107798.59130434782</v>
      </c>
      <c r="AM162" s="181">
        <v>-107798.59130434782</v>
      </c>
      <c r="AN162" s="181">
        <v>-107798.59130434782</v>
      </c>
      <c r="AO162" s="175">
        <f>SUM(Data_Dep.12[[#This Row],[KH_2601]:[KH_2612]])</f>
        <v>-1293583.095652174</v>
      </c>
      <c r="AP162" s="175">
        <f>Data_Dep.12[[#This Row],[Giá trị còn lại 31/12/25]]+Data_Dep.12[[#This Row],[KH LK 2026]]</f>
        <v>11103254.904347826</v>
      </c>
    </row>
    <row r="163" spans="1:42" x14ac:dyDescent="0.3">
      <c r="A163" s="169"/>
      <c r="B163" s="169"/>
      <c r="C163" s="170" t="s">
        <v>338</v>
      </c>
      <c r="D163" s="169" t="str">
        <f>_xlfn.XLOOKUP(Data_Dep.12[[#This Row],[Nhóm tài sản]],MD_Account_Asset_Type[Nhóm tài sản],MD_Account_Asset_Type[Tên Nhóm tài sản])</f>
        <v>Máy móc, thiết bị - SX 627</v>
      </c>
      <c r="E163" s="171" t="s">
        <v>892</v>
      </c>
      <c r="F163" s="170" t="s">
        <v>654</v>
      </c>
      <c r="G163" s="169" t="s">
        <v>502</v>
      </c>
      <c r="H163" s="170" t="s">
        <v>48</v>
      </c>
      <c r="I163" s="170" t="str">
        <f>_xlfn.XLOOKUP(Data_Dep.12[[#This Row],[Cost center]],MD_Cost_Center[Mã Cost Center],MD_Cost_Center[Tên Cost Center])</f>
        <v>Xưởng sản xuất PET</v>
      </c>
      <c r="J163" s="172">
        <f>_xlfn.XLOOKUP(Data_Dep.12[[#This Row],[Cost center]],MD_Cost_Center[Mã Cost Center],MD_Cost_Center[Work center],"Check")</f>
        <v>0</v>
      </c>
      <c r="K163" s="169" t="str">
        <f>_xlfn.XLOOKUP(Data_Dep.12[[#This Row],[Nhóm tài sản]],MD_Account_Asset_Type[Nhóm tài sản],MD_Account_Asset_Type[Tài khoản KH],"Check")</f>
        <v>6274001903</v>
      </c>
      <c r="L163" s="173">
        <v>45146</v>
      </c>
      <c r="M163" s="174">
        <f>EDATE(Data_Dep.12[[#This Row],[Ngày bắt đầu KH]],Data_Dep.12[[#This Row],[T/G Khấu hao]])</f>
        <v>46242</v>
      </c>
      <c r="N163" s="175">
        <v>36</v>
      </c>
      <c r="O163" s="175">
        <v>360577908</v>
      </c>
      <c r="P163" s="176">
        <v>-260417378</v>
      </c>
      <c r="Q163" s="175">
        <f>Data_Dep.12[[#This Row],[Nguyên giá]]+Data_Dep.12[[#This Row],[KH lũy kế]]</f>
        <v>100160530</v>
      </c>
      <c r="R163" s="177">
        <v>-10016053</v>
      </c>
      <c r="S163" s="177">
        <v>-10016053</v>
      </c>
      <c r="T163" s="177">
        <v>-10016053</v>
      </c>
      <c r="U163" s="177">
        <f>SUM(Data_Dep.12[[#This Row],[KH_2510]:[KH_2512]])</f>
        <v>-30048159</v>
      </c>
      <c r="V163" s="175">
        <f>Data_Dep.12[[#This Row],[Nguyên giá]]+Data_Dep.12[[#This Row],[KH lũy kế]]+Data_Dep.12[[#This Row],[KH_Q4.25]]</f>
        <v>70112371</v>
      </c>
      <c r="W163" s="178">
        <f>ROUND(Data_Dep.12[[#This Row],[T/G Khấu hao]]-Data_Dep.12[[#This Row],[Giá trị còn lại 31/12/25]]/Data_Dep.12[[#This Row],[Nguyên giá]]*Data_Dep.12[[#This Row],[T/G Khấu hao]],0)</f>
        <v>29</v>
      </c>
      <c r="X163" s="179">
        <v>108</v>
      </c>
      <c r="Y163" s="175">
        <f>Data_Dep.12[[#This Row],[T/G Khấu hao]]+Data_Dep.12[[#This Row],[Điều chỉnh]]</f>
        <v>144</v>
      </c>
      <c r="Z163" s="180">
        <f>EDATE(Data_Dep.12[[#This Row],[Ngày bắt đầu KH]],Data_Dep.12[[#This Row],[T/G điều chỉnh]])</f>
        <v>49529</v>
      </c>
      <c r="AA163" s="175">
        <f>Data_Dep.12[[#This Row],[T/G điều chỉnh]]-Data_Dep.12[[#This Row],[Số kỳ đã khấu hao]]</f>
        <v>115</v>
      </c>
      <c r="AB163" s="175">
        <f>IFERROR(-Data_Dep.12[[#This Row],[Giá trị còn lại 31/12/25]]/(Data_Dep.12[[#This Row],[T/G điều chỉnh]]-Data_Dep.12[[#This Row],[Số kỳ đã khấu hao]]),0)</f>
        <v>-609672.7913043478</v>
      </c>
      <c r="AC163" s="181">
        <v>-609672.7913043478</v>
      </c>
      <c r="AD163" s="181">
        <v>-609672.7913043478</v>
      </c>
      <c r="AE163" s="181">
        <v>-609672.7913043478</v>
      </c>
      <c r="AF163" s="181">
        <v>-609672.7913043478</v>
      </c>
      <c r="AG163" s="181">
        <v>-609672.7913043478</v>
      </c>
      <c r="AH163" s="181">
        <v>-609672.7913043478</v>
      </c>
      <c r="AI163" s="181">
        <v>-609672.7913043478</v>
      </c>
      <c r="AJ163" s="181">
        <v>-609672.7913043478</v>
      </c>
      <c r="AK163" s="181">
        <v>-609672.7913043478</v>
      </c>
      <c r="AL163" s="181">
        <v>-609672.7913043478</v>
      </c>
      <c r="AM163" s="181">
        <v>-609672.7913043478</v>
      </c>
      <c r="AN163" s="181">
        <v>-609672.7913043478</v>
      </c>
      <c r="AO163" s="175">
        <f>SUM(Data_Dep.12[[#This Row],[KH_2601]:[KH_2612]])</f>
        <v>-7316073.4956521755</v>
      </c>
      <c r="AP163" s="175">
        <f>Data_Dep.12[[#This Row],[Giá trị còn lại 31/12/25]]+Data_Dep.12[[#This Row],[KH LK 2026]]</f>
        <v>62796297.504347824</v>
      </c>
    </row>
    <row r="164" spans="1:42" x14ac:dyDescent="0.3">
      <c r="A164" s="169"/>
      <c r="B164" s="169"/>
      <c r="C164" s="170" t="s">
        <v>338</v>
      </c>
      <c r="D164" s="169" t="str">
        <f>_xlfn.XLOOKUP(Data_Dep.12[[#This Row],[Nhóm tài sản]],MD_Account_Asset_Type[Nhóm tài sản],MD_Account_Asset_Type[Tên Nhóm tài sản])</f>
        <v>Máy móc, thiết bị - SX 627</v>
      </c>
      <c r="E164" s="171" t="s">
        <v>893</v>
      </c>
      <c r="F164" s="170" t="s">
        <v>655</v>
      </c>
      <c r="G164" s="169" t="s">
        <v>502</v>
      </c>
      <c r="H164" s="170" t="s">
        <v>48</v>
      </c>
      <c r="I164" s="170" t="str">
        <f>_xlfn.XLOOKUP(Data_Dep.12[[#This Row],[Cost center]],MD_Cost_Center[Mã Cost Center],MD_Cost_Center[Tên Cost Center])</f>
        <v>Xưởng sản xuất PET</v>
      </c>
      <c r="J164" s="172">
        <f>_xlfn.XLOOKUP(Data_Dep.12[[#This Row],[Cost center]],MD_Cost_Center[Mã Cost Center],MD_Cost_Center[Work center],"Check")</f>
        <v>0</v>
      </c>
      <c r="K164" s="169" t="str">
        <f>_xlfn.XLOOKUP(Data_Dep.12[[#This Row],[Nhóm tài sản]],MD_Account_Asset_Type[Nhóm tài sản],MD_Account_Asset_Type[Tài khoản KH],"Check")</f>
        <v>6274001903</v>
      </c>
      <c r="L164" s="173">
        <v>45139</v>
      </c>
      <c r="M164" s="174">
        <f>EDATE(Data_Dep.12[[#This Row],[Ngày bắt đầu KH]],Data_Dep.12[[#This Row],[T/G Khấu hao]])</f>
        <v>46235</v>
      </c>
      <c r="N164" s="175">
        <v>36</v>
      </c>
      <c r="O164" s="175">
        <v>729100000</v>
      </c>
      <c r="P164" s="176">
        <v>-526572222</v>
      </c>
      <c r="Q164" s="175">
        <f>Data_Dep.12[[#This Row],[Nguyên giá]]+Data_Dep.12[[#This Row],[KH lũy kế]]</f>
        <v>202527778</v>
      </c>
      <c r="R164" s="177">
        <v>-20252778</v>
      </c>
      <c r="S164" s="177">
        <v>-20252778</v>
      </c>
      <c r="T164" s="177">
        <v>-20252777</v>
      </c>
      <c r="U164" s="177">
        <f>SUM(Data_Dep.12[[#This Row],[KH_2510]:[KH_2512]])</f>
        <v>-60758333</v>
      </c>
      <c r="V164" s="175">
        <f>Data_Dep.12[[#This Row],[Nguyên giá]]+Data_Dep.12[[#This Row],[KH lũy kế]]+Data_Dep.12[[#This Row],[KH_Q4.25]]</f>
        <v>141769445</v>
      </c>
      <c r="W164" s="178">
        <f>ROUND(Data_Dep.12[[#This Row],[T/G Khấu hao]]-Data_Dep.12[[#This Row],[Giá trị còn lại 31/12/25]]/Data_Dep.12[[#This Row],[Nguyên giá]]*Data_Dep.12[[#This Row],[T/G Khấu hao]],0)</f>
        <v>29</v>
      </c>
      <c r="X164" s="179">
        <v>108</v>
      </c>
      <c r="Y164" s="175">
        <f>Data_Dep.12[[#This Row],[T/G Khấu hao]]+Data_Dep.12[[#This Row],[Điều chỉnh]]</f>
        <v>144</v>
      </c>
      <c r="Z164" s="180">
        <f>EDATE(Data_Dep.12[[#This Row],[Ngày bắt đầu KH]],Data_Dep.12[[#This Row],[T/G điều chỉnh]])</f>
        <v>49522</v>
      </c>
      <c r="AA164" s="175">
        <f>Data_Dep.12[[#This Row],[T/G điều chỉnh]]-Data_Dep.12[[#This Row],[Số kỳ đã khấu hao]]</f>
        <v>115</v>
      </c>
      <c r="AB164" s="175">
        <f>IFERROR(-Data_Dep.12[[#This Row],[Giá trị còn lại 31/12/25]]/(Data_Dep.12[[#This Row],[T/G điều chỉnh]]-Data_Dep.12[[#This Row],[Số kỳ đã khấu hao]]),0)</f>
        <v>-1232777.7826086956</v>
      </c>
      <c r="AC164" s="181">
        <v>-1232777.7826086956</v>
      </c>
      <c r="AD164" s="181">
        <v>-1232777.7826086956</v>
      </c>
      <c r="AE164" s="181">
        <v>-1232777.7826086956</v>
      </c>
      <c r="AF164" s="181">
        <v>-1232777.7826086956</v>
      </c>
      <c r="AG164" s="181">
        <v>-1232777.7826086956</v>
      </c>
      <c r="AH164" s="181">
        <v>-1232777.7826086956</v>
      </c>
      <c r="AI164" s="181">
        <v>-1232777.7826086956</v>
      </c>
      <c r="AJ164" s="181">
        <v>-1232777.7826086956</v>
      </c>
      <c r="AK164" s="181">
        <v>-1232777.7826086956</v>
      </c>
      <c r="AL164" s="181">
        <v>-1232777.7826086956</v>
      </c>
      <c r="AM164" s="181">
        <v>-1232777.7826086956</v>
      </c>
      <c r="AN164" s="181">
        <v>-1232777.7826086956</v>
      </c>
      <c r="AO164" s="175">
        <f>SUM(Data_Dep.12[[#This Row],[KH_2601]:[KH_2612]])</f>
        <v>-14793333.391304346</v>
      </c>
      <c r="AP164" s="175">
        <f>Data_Dep.12[[#This Row],[Giá trị còn lại 31/12/25]]+Data_Dep.12[[#This Row],[KH LK 2026]]</f>
        <v>126976111.60869566</v>
      </c>
    </row>
    <row r="165" spans="1:42" x14ac:dyDescent="0.3">
      <c r="A165" s="169"/>
      <c r="B165" s="169"/>
      <c r="C165" s="170" t="s">
        <v>338</v>
      </c>
      <c r="D165" s="169" t="str">
        <f>_xlfn.XLOOKUP(Data_Dep.12[[#This Row],[Nhóm tài sản]],MD_Account_Asset_Type[Nhóm tài sản],MD_Account_Asset_Type[Tên Nhóm tài sản])</f>
        <v>Máy móc, thiết bị - SX 627</v>
      </c>
      <c r="E165" s="171" t="s">
        <v>894</v>
      </c>
      <c r="F165" s="170" t="s">
        <v>656</v>
      </c>
      <c r="G165" s="169" t="s">
        <v>502</v>
      </c>
      <c r="H165" s="170" t="s">
        <v>48</v>
      </c>
      <c r="I165" s="170" t="str">
        <f>_xlfn.XLOOKUP(Data_Dep.12[[#This Row],[Cost center]],MD_Cost_Center[Mã Cost Center],MD_Cost_Center[Tên Cost Center])</f>
        <v>Xưởng sản xuất PET</v>
      </c>
      <c r="J165" s="172">
        <f>_xlfn.XLOOKUP(Data_Dep.12[[#This Row],[Cost center]],MD_Cost_Center[Mã Cost Center],MD_Cost_Center[Work center],"Check")</f>
        <v>0</v>
      </c>
      <c r="K165" s="169" t="str">
        <f>_xlfn.XLOOKUP(Data_Dep.12[[#This Row],[Nhóm tài sản]],MD_Account_Asset_Type[Nhóm tài sản],MD_Account_Asset_Type[Tài khoản KH],"Check")</f>
        <v>6274001903</v>
      </c>
      <c r="L165" s="173">
        <v>45139</v>
      </c>
      <c r="M165" s="174">
        <f>EDATE(Data_Dep.12[[#This Row],[Ngày bắt đầu KH]],Data_Dep.12[[#This Row],[T/G Khấu hao]])</f>
        <v>46235</v>
      </c>
      <c r="N165" s="175">
        <v>36</v>
      </c>
      <c r="O165" s="175">
        <v>460772000</v>
      </c>
      <c r="P165" s="176">
        <v>-332779778</v>
      </c>
      <c r="Q165" s="175">
        <f>Data_Dep.12[[#This Row],[Nguyên giá]]+Data_Dep.12[[#This Row],[KH lũy kế]]</f>
        <v>127992222</v>
      </c>
      <c r="R165" s="177">
        <v>-12799222</v>
      </c>
      <c r="S165" s="177">
        <v>-12799222</v>
      </c>
      <c r="T165" s="177">
        <v>-12799223</v>
      </c>
      <c r="U165" s="177">
        <f>SUM(Data_Dep.12[[#This Row],[KH_2510]:[KH_2512]])</f>
        <v>-38397667</v>
      </c>
      <c r="V165" s="175">
        <f>Data_Dep.12[[#This Row],[Nguyên giá]]+Data_Dep.12[[#This Row],[KH lũy kế]]+Data_Dep.12[[#This Row],[KH_Q4.25]]</f>
        <v>89594555</v>
      </c>
      <c r="W165" s="178">
        <f>ROUND(Data_Dep.12[[#This Row],[T/G Khấu hao]]-Data_Dep.12[[#This Row],[Giá trị còn lại 31/12/25]]/Data_Dep.12[[#This Row],[Nguyên giá]]*Data_Dep.12[[#This Row],[T/G Khấu hao]],0)</f>
        <v>29</v>
      </c>
      <c r="X165" s="179">
        <v>108</v>
      </c>
      <c r="Y165" s="175">
        <f>Data_Dep.12[[#This Row],[T/G Khấu hao]]+Data_Dep.12[[#This Row],[Điều chỉnh]]</f>
        <v>144</v>
      </c>
      <c r="Z165" s="180">
        <f>EDATE(Data_Dep.12[[#This Row],[Ngày bắt đầu KH]],Data_Dep.12[[#This Row],[T/G điều chỉnh]])</f>
        <v>49522</v>
      </c>
      <c r="AA165" s="175">
        <f>Data_Dep.12[[#This Row],[T/G điều chỉnh]]-Data_Dep.12[[#This Row],[Số kỳ đã khấu hao]]</f>
        <v>115</v>
      </c>
      <c r="AB165" s="175">
        <f>IFERROR(-Data_Dep.12[[#This Row],[Giá trị còn lại 31/12/25]]/(Data_Dep.12[[#This Row],[T/G điều chỉnh]]-Data_Dep.12[[#This Row],[Số kỳ đã khấu hao]]),0)</f>
        <v>-779083.08695652173</v>
      </c>
      <c r="AC165" s="181">
        <v>-779083.08695652173</v>
      </c>
      <c r="AD165" s="181">
        <v>-779083.08695652173</v>
      </c>
      <c r="AE165" s="181">
        <v>-779083.08695652173</v>
      </c>
      <c r="AF165" s="181">
        <v>-779083.08695652173</v>
      </c>
      <c r="AG165" s="181">
        <v>-779083.08695652173</v>
      </c>
      <c r="AH165" s="181">
        <v>-779083.08695652173</v>
      </c>
      <c r="AI165" s="181">
        <v>-779083.08695652173</v>
      </c>
      <c r="AJ165" s="181">
        <v>-779083.08695652173</v>
      </c>
      <c r="AK165" s="181">
        <v>-779083.08695652173</v>
      </c>
      <c r="AL165" s="181">
        <v>-779083.08695652173</v>
      </c>
      <c r="AM165" s="181">
        <v>-779083.08695652173</v>
      </c>
      <c r="AN165" s="181">
        <v>-779083.08695652173</v>
      </c>
      <c r="AO165" s="175">
        <f>SUM(Data_Dep.12[[#This Row],[KH_2601]:[KH_2612]])</f>
        <v>-9348997.0434782598</v>
      </c>
      <c r="AP165" s="175">
        <f>Data_Dep.12[[#This Row],[Giá trị còn lại 31/12/25]]+Data_Dep.12[[#This Row],[KH LK 2026]]</f>
        <v>80245557.956521735</v>
      </c>
    </row>
    <row r="166" spans="1:42" x14ac:dyDescent="0.3">
      <c r="A166" s="169"/>
      <c r="B166" s="169"/>
      <c r="C166" s="170" t="s">
        <v>338</v>
      </c>
      <c r="D166" s="169" t="str">
        <f>_xlfn.XLOOKUP(Data_Dep.12[[#This Row],[Nhóm tài sản]],MD_Account_Asset_Type[Nhóm tài sản],MD_Account_Asset_Type[Tên Nhóm tài sản])</f>
        <v>Máy móc, thiết bị - SX 627</v>
      </c>
      <c r="E166" s="171" t="s">
        <v>895</v>
      </c>
      <c r="F166" s="170" t="s">
        <v>657</v>
      </c>
      <c r="G166" s="169" t="s">
        <v>502</v>
      </c>
      <c r="H166" s="170" t="s">
        <v>56</v>
      </c>
      <c r="I166" s="170" t="str">
        <f>_xlfn.XLOOKUP(Data_Dep.12[[#This Row],[Cost center]],MD_Cost_Center[Mã Cost Center],MD_Cost_Center[Tên Cost Center])</f>
        <v>Máy tạo vảy - Carno</v>
      </c>
      <c r="J166" s="172" t="str">
        <f>_xlfn.XLOOKUP(Data_Dep.12[[#This Row],[Cost center]],MD_Cost_Center[Mã Cost Center],MD_Cost_Center[Work center],"Check")</f>
        <v>CARN-01 | CARN-02 | CARN-03 | CARN-04</v>
      </c>
      <c r="K166" s="169" t="str">
        <f>_xlfn.XLOOKUP(Data_Dep.12[[#This Row],[Nhóm tài sản]],MD_Account_Asset_Type[Nhóm tài sản],MD_Account_Asset_Type[Tài khoản KH],"Check")</f>
        <v>6274001903</v>
      </c>
      <c r="L166" s="173">
        <v>45170</v>
      </c>
      <c r="M166" s="174">
        <f>EDATE(Data_Dep.12[[#This Row],[Ngày bắt đầu KH]],Data_Dep.12[[#This Row],[T/G Khấu hao]])</f>
        <v>46997</v>
      </c>
      <c r="N166" s="175">
        <v>60</v>
      </c>
      <c r="O166" s="175">
        <v>98000000</v>
      </c>
      <c r="P166" s="176">
        <v>-40833333</v>
      </c>
      <c r="Q166" s="175">
        <f>Data_Dep.12[[#This Row],[Nguyên giá]]+Data_Dep.12[[#This Row],[KH lũy kế]]</f>
        <v>57166667</v>
      </c>
      <c r="R166" s="177">
        <v>-1633333</v>
      </c>
      <c r="S166" s="177">
        <v>-1633334</v>
      </c>
      <c r="T166" s="177">
        <v>-1633333</v>
      </c>
      <c r="U166" s="177">
        <f>SUM(Data_Dep.12[[#This Row],[KH_2510]:[KH_2512]])</f>
        <v>-4900000</v>
      </c>
      <c r="V166" s="175">
        <f>Data_Dep.12[[#This Row],[Nguyên giá]]+Data_Dep.12[[#This Row],[KH lũy kế]]+Data_Dep.12[[#This Row],[KH_Q4.25]]</f>
        <v>52266667</v>
      </c>
      <c r="W166" s="178">
        <f>ROUND(Data_Dep.12[[#This Row],[T/G Khấu hao]]-Data_Dep.12[[#This Row],[Giá trị còn lại 31/12/25]]/Data_Dep.12[[#This Row],[Nguyên giá]]*Data_Dep.12[[#This Row],[T/G Khấu hao]],0)</f>
        <v>28</v>
      </c>
      <c r="X166" s="179">
        <v>84</v>
      </c>
      <c r="Y166" s="175">
        <f>Data_Dep.12[[#This Row],[T/G Khấu hao]]+Data_Dep.12[[#This Row],[Điều chỉnh]]</f>
        <v>144</v>
      </c>
      <c r="Z166" s="180">
        <f>EDATE(Data_Dep.12[[#This Row],[Ngày bắt đầu KH]],Data_Dep.12[[#This Row],[T/G điều chỉnh]])</f>
        <v>49553</v>
      </c>
      <c r="AA166" s="175">
        <f>Data_Dep.12[[#This Row],[T/G điều chỉnh]]-Data_Dep.12[[#This Row],[Số kỳ đã khấu hao]]</f>
        <v>116</v>
      </c>
      <c r="AB166" s="175">
        <f>IFERROR(-Data_Dep.12[[#This Row],[Giá trị còn lại 31/12/25]]/(Data_Dep.12[[#This Row],[T/G điều chỉnh]]-Data_Dep.12[[#This Row],[Số kỳ đã khấu hao]]),0)</f>
        <v>-450574.71551724139</v>
      </c>
      <c r="AC166" s="181">
        <v>-450574.71551724139</v>
      </c>
      <c r="AD166" s="181">
        <v>-450574.71551724139</v>
      </c>
      <c r="AE166" s="181">
        <v>-450574.71551724139</v>
      </c>
      <c r="AF166" s="181">
        <v>-450574.71551724139</v>
      </c>
      <c r="AG166" s="181">
        <v>-450574.71551724139</v>
      </c>
      <c r="AH166" s="181">
        <v>-450574.71551724139</v>
      </c>
      <c r="AI166" s="181">
        <v>-450574.71551724139</v>
      </c>
      <c r="AJ166" s="181">
        <v>-450574.71551724139</v>
      </c>
      <c r="AK166" s="181">
        <v>-450574.71551724139</v>
      </c>
      <c r="AL166" s="181">
        <v>-450574.71551724139</v>
      </c>
      <c r="AM166" s="181">
        <v>-450574.71551724139</v>
      </c>
      <c r="AN166" s="181">
        <v>-450574.71551724139</v>
      </c>
      <c r="AO166" s="175">
        <f>SUM(Data_Dep.12[[#This Row],[KH_2601]:[KH_2612]])</f>
        <v>-5406896.5862068972</v>
      </c>
      <c r="AP166" s="175">
        <f>Data_Dep.12[[#This Row],[Giá trị còn lại 31/12/25]]+Data_Dep.12[[#This Row],[KH LK 2026]]</f>
        <v>46859770.413793102</v>
      </c>
    </row>
    <row r="167" spans="1:42" x14ac:dyDescent="0.3">
      <c r="A167" s="169"/>
      <c r="B167" s="169"/>
      <c r="C167" s="170" t="s">
        <v>338</v>
      </c>
      <c r="D167" s="169" t="str">
        <f>_xlfn.XLOOKUP(Data_Dep.12[[#This Row],[Nhóm tài sản]],MD_Account_Asset_Type[Nhóm tài sản],MD_Account_Asset_Type[Tên Nhóm tài sản])</f>
        <v>Máy móc, thiết bị - SX 627</v>
      </c>
      <c r="E167" s="171" t="s">
        <v>896</v>
      </c>
      <c r="F167" s="170" t="s">
        <v>658</v>
      </c>
      <c r="G167" s="169" t="s">
        <v>502</v>
      </c>
      <c r="H167" s="170" t="s">
        <v>56</v>
      </c>
      <c r="I167" s="170" t="str">
        <f>_xlfn.XLOOKUP(Data_Dep.12[[#This Row],[Cost center]],MD_Cost_Center[Mã Cost Center],MD_Cost_Center[Tên Cost Center])</f>
        <v>Máy tạo vảy - Carno</v>
      </c>
      <c r="J167" s="172" t="str">
        <f>_xlfn.XLOOKUP(Data_Dep.12[[#This Row],[Cost center]],MD_Cost_Center[Mã Cost Center],MD_Cost_Center[Work center],"Check")</f>
        <v>CARN-01 | CARN-02 | CARN-03 | CARN-04</v>
      </c>
      <c r="K167" s="169" t="str">
        <f>_xlfn.XLOOKUP(Data_Dep.12[[#This Row],[Nhóm tài sản]],MD_Account_Asset_Type[Nhóm tài sản],MD_Account_Asset_Type[Tài khoản KH],"Check")</f>
        <v>6274001903</v>
      </c>
      <c r="L167" s="173">
        <v>45170</v>
      </c>
      <c r="M167" s="174">
        <f>EDATE(Data_Dep.12[[#This Row],[Ngày bắt đầu KH]],Data_Dep.12[[#This Row],[T/G Khấu hao]])</f>
        <v>46997</v>
      </c>
      <c r="N167" s="175">
        <v>60</v>
      </c>
      <c r="O167" s="175">
        <v>91000000</v>
      </c>
      <c r="P167" s="176">
        <v>-37916667</v>
      </c>
      <c r="Q167" s="175">
        <f>Data_Dep.12[[#This Row],[Nguyên giá]]+Data_Dep.12[[#This Row],[KH lũy kế]]</f>
        <v>53083333</v>
      </c>
      <c r="R167" s="177">
        <v>-1516667</v>
      </c>
      <c r="S167" s="177">
        <v>-1516666</v>
      </c>
      <c r="T167" s="177">
        <v>-1516667</v>
      </c>
      <c r="U167" s="177">
        <f>SUM(Data_Dep.12[[#This Row],[KH_2510]:[KH_2512]])</f>
        <v>-4550000</v>
      </c>
      <c r="V167" s="175">
        <f>Data_Dep.12[[#This Row],[Nguyên giá]]+Data_Dep.12[[#This Row],[KH lũy kế]]+Data_Dep.12[[#This Row],[KH_Q4.25]]</f>
        <v>48533333</v>
      </c>
      <c r="W167" s="178">
        <f>ROUND(Data_Dep.12[[#This Row],[T/G Khấu hao]]-Data_Dep.12[[#This Row],[Giá trị còn lại 31/12/25]]/Data_Dep.12[[#This Row],[Nguyên giá]]*Data_Dep.12[[#This Row],[T/G Khấu hao]],0)</f>
        <v>28</v>
      </c>
      <c r="X167" s="179">
        <v>84</v>
      </c>
      <c r="Y167" s="175">
        <f>Data_Dep.12[[#This Row],[T/G Khấu hao]]+Data_Dep.12[[#This Row],[Điều chỉnh]]</f>
        <v>144</v>
      </c>
      <c r="Z167" s="180">
        <f>EDATE(Data_Dep.12[[#This Row],[Ngày bắt đầu KH]],Data_Dep.12[[#This Row],[T/G điều chỉnh]])</f>
        <v>49553</v>
      </c>
      <c r="AA167" s="175">
        <f>Data_Dep.12[[#This Row],[T/G điều chỉnh]]-Data_Dep.12[[#This Row],[Số kỳ đã khấu hao]]</f>
        <v>116</v>
      </c>
      <c r="AB167" s="175">
        <f>IFERROR(-Data_Dep.12[[#This Row],[Giá trị còn lại 31/12/25]]/(Data_Dep.12[[#This Row],[T/G điều chỉnh]]-Data_Dep.12[[#This Row],[Số kỳ đã khấu hao]]),0)</f>
        <v>-418390.80172413791</v>
      </c>
      <c r="AC167" s="181">
        <v>-418390.80172413791</v>
      </c>
      <c r="AD167" s="181">
        <v>-418390.80172413791</v>
      </c>
      <c r="AE167" s="181">
        <v>-418390.80172413791</v>
      </c>
      <c r="AF167" s="181">
        <v>-418390.80172413791</v>
      </c>
      <c r="AG167" s="181">
        <v>-418390.80172413791</v>
      </c>
      <c r="AH167" s="181">
        <v>-418390.80172413791</v>
      </c>
      <c r="AI167" s="181">
        <v>-418390.80172413791</v>
      </c>
      <c r="AJ167" s="181">
        <v>-418390.80172413791</v>
      </c>
      <c r="AK167" s="181">
        <v>-418390.80172413791</v>
      </c>
      <c r="AL167" s="181">
        <v>-418390.80172413791</v>
      </c>
      <c r="AM167" s="181">
        <v>-418390.80172413791</v>
      </c>
      <c r="AN167" s="181">
        <v>-418390.80172413791</v>
      </c>
      <c r="AO167" s="175">
        <f>SUM(Data_Dep.12[[#This Row],[KH_2601]:[KH_2612]])</f>
        <v>-5020689.6206896538</v>
      </c>
      <c r="AP167" s="175">
        <f>Data_Dep.12[[#This Row],[Giá trị còn lại 31/12/25]]+Data_Dep.12[[#This Row],[KH LK 2026]]</f>
        <v>43512643.379310347</v>
      </c>
    </row>
    <row r="168" spans="1:42" x14ac:dyDescent="0.3">
      <c r="A168" s="169"/>
      <c r="B168" s="169"/>
      <c r="C168" s="170" t="s">
        <v>338</v>
      </c>
      <c r="D168" s="169" t="str">
        <f>_xlfn.XLOOKUP(Data_Dep.12[[#This Row],[Nhóm tài sản]],MD_Account_Asset_Type[Nhóm tài sản],MD_Account_Asset_Type[Tên Nhóm tài sản])</f>
        <v>Máy móc, thiết bị - SX 627</v>
      </c>
      <c r="E168" s="171" t="s">
        <v>897</v>
      </c>
      <c r="F168" s="170" t="s">
        <v>659</v>
      </c>
      <c r="G168" s="169" t="s">
        <v>502</v>
      </c>
      <c r="H168" s="170" t="s">
        <v>48</v>
      </c>
      <c r="I168" s="170" t="str">
        <f>_xlfn.XLOOKUP(Data_Dep.12[[#This Row],[Cost center]],MD_Cost_Center[Mã Cost Center],MD_Cost_Center[Tên Cost Center])</f>
        <v>Xưởng sản xuất PET</v>
      </c>
      <c r="J168" s="172">
        <f>_xlfn.XLOOKUP(Data_Dep.12[[#This Row],[Cost center]],MD_Cost_Center[Mã Cost Center],MD_Cost_Center[Work center],"Check")</f>
        <v>0</v>
      </c>
      <c r="K168" s="169" t="str">
        <f>_xlfn.XLOOKUP(Data_Dep.12[[#This Row],[Nhóm tài sản]],MD_Account_Asset_Type[Nhóm tài sản],MD_Account_Asset_Type[Tài khoản KH],"Check")</f>
        <v>6274001903</v>
      </c>
      <c r="L168" s="173">
        <v>45170</v>
      </c>
      <c r="M168" s="174">
        <f>EDATE(Data_Dep.12[[#This Row],[Ngày bắt đầu KH]],Data_Dep.12[[#This Row],[T/G Khấu hao]])</f>
        <v>46997</v>
      </c>
      <c r="N168" s="175">
        <v>60</v>
      </c>
      <c r="O168" s="175">
        <v>2396767041</v>
      </c>
      <c r="P168" s="176">
        <v>-998652933</v>
      </c>
      <c r="Q168" s="175">
        <f>Data_Dep.12[[#This Row],[Nguyên giá]]+Data_Dep.12[[#This Row],[KH lũy kế]]</f>
        <v>1398114108</v>
      </c>
      <c r="R168" s="177">
        <v>-39946118</v>
      </c>
      <c r="S168" s="177">
        <v>-39946117</v>
      </c>
      <c r="T168" s="177">
        <v>-39946117</v>
      </c>
      <c r="U168" s="177">
        <f>SUM(Data_Dep.12[[#This Row],[KH_2510]:[KH_2512]])</f>
        <v>-119838352</v>
      </c>
      <c r="V168" s="175">
        <f>Data_Dep.12[[#This Row],[Nguyên giá]]+Data_Dep.12[[#This Row],[KH lũy kế]]+Data_Dep.12[[#This Row],[KH_Q4.25]]</f>
        <v>1278275756</v>
      </c>
      <c r="W168" s="178">
        <f>ROUND(Data_Dep.12[[#This Row],[T/G Khấu hao]]-Data_Dep.12[[#This Row],[Giá trị còn lại 31/12/25]]/Data_Dep.12[[#This Row],[Nguyên giá]]*Data_Dep.12[[#This Row],[T/G Khấu hao]],0)</f>
        <v>28</v>
      </c>
      <c r="X168" s="179">
        <v>84</v>
      </c>
      <c r="Y168" s="175">
        <f>Data_Dep.12[[#This Row],[T/G Khấu hao]]+Data_Dep.12[[#This Row],[Điều chỉnh]]</f>
        <v>144</v>
      </c>
      <c r="Z168" s="180">
        <f>EDATE(Data_Dep.12[[#This Row],[Ngày bắt đầu KH]],Data_Dep.12[[#This Row],[T/G điều chỉnh]])</f>
        <v>49553</v>
      </c>
      <c r="AA168" s="175">
        <f>Data_Dep.12[[#This Row],[T/G điều chỉnh]]-Data_Dep.12[[#This Row],[Số kỳ đã khấu hao]]</f>
        <v>116</v>
      </c>
      <c r="AB168" s="175">
        <f>IFERROR(-Data_Dep.12[[#This Row],[Giá trị còn lại 31/12/25]]/(Data_Dep.12[[#This Row],[T/G điều chỉnh]]-Data_Dep.12[[#This Row],[Số kỳ đã khấu hao]]),0)</f>
        <v>-11019618.586206896</v>
      </c>
      <c r="AC168" s="181">
        <v>-11019618.586206896</v>
      </c>
      <c r="AD168" s="181">
        <v>-11019618.586206896</v>
      </c>
      <c r="AE168" s="181">
        <v>-11019618.586206896</v>
      </c>
      <c r="AF168" s="181">
        <v>-11019618.586206896</v>
      </c>
      <c r="AG168" s="181">
        <v>-11019618.586206896</v>
      </c>
      <c r="AH168" s="181">
        <v>-11019618.586206896</v>
      </c>
      <c r="AI168" s="181">
        <v>-11019618.586206896</v>
      </c>
      <c r="AJ168" s="181">
        <v>-11019618.586206896</v>
      </c>
      <c r="AK168" s="181">
        <v>-11019618.586206896</v>
      </c>
      <c r="AL168" s="181">
        <v>-11019618.586206896</v>
      </c>
      <c r="AM168" s="181">
        <v>-11019618.586206896</v>
      </c>
      <c r="AN168" s="181">
        <v>-11019618.586206896</v>
      </c>
      <c r="AO168" s="175">
        <f>SUM(Data_Dep.12[[#This Row],[KH_2601]:[KH_2612]])</f>
        <v>-132235423.03448276</v>
      </c>
      <c r="AP168" s="175">
        <f>Data_Dep.12[[#This Row],[Giá trị còn lại 31/12/25]]+Data_Dep.12[[#This Row],[KH LK 2026]]</f>
        <v>1146040332.9655173</v>
      </c>
    </row>
    <row r="169" spans="1:42" x14ac:dyDescent="0.3">
      <c r="A169" s="169"/>
      <c r="B169" s="169"/>
      <c r="C169" s="170" t="s">
        <v>338</v>
      </c>
      <c r="D169" s="169" t="str">
        <f>_xlfn.XLOOKUP(Data_Dep.12[[#This Row],[Nhóm tài sản]],MD_Account_Asset_Type[Nhóm tài sản],MD_Account_Asset_Type[Tên Nhóm tài sản])</f>
        <v>Máy móc, thiết bị - SX 627</v>
      </c>
      <c r="E169" s="171" t="s">
        <v>898</v>
      </c>
      <c r="F169" s="170" t="s">
        <v>660</v>
      </c>
      <c r="G169" s="169" t="s">
        <v>502</v>
      </c>
      <c r="H169" s="170" t="s">
        <v>48</v>
      </c>
      <c r="I169" s="170" t="str">
        <f>_xlfn.XLOOKUP(Data_Dep.12[[#This Row],[Cost center]],MD_Cost_Center[Mã Cost Center],MD_Cost_Center[Tên Cost Center])</f>
        <v>Xưởng sản xuất PET</v>
      </c>
      <c r="J169" s="172">
        <f>_xlfn.XLOOKUP(Data_Dep.12[[#This Row],[Cost center]],MD_Cost_Center[Mã Cost Center],MD_Cost_Center[Work center],"Check")</f>
        <v>0</v>
      </c>
      <c r="K169" s="169" t="str">
        <f>_xlfn.XLOOKUP(Data_Dep.12[[#This Row],[Nhóm tài sản]],MD_Account_Asset_Type[Nhóm tài sản],MD_Account_Asset_Type[Tài khoản KH],"Check")</f>
        <v>6274001903</v>
      </c>
      <c r="L169" s="173">
        <v>45170</v>
      </c>
      <c r="M169" s="174">
        <f>EDATE(Data_Dep.12[[#This Row],[Ngày bắt đầu KH]],Data_Dep.12[[#This Row],[T/G Khấu hao]])</f>
        <v>46997</v>
      </c>
      <c r="N169" s="175">
        <v>60</v>
      </c>
      <c r="O169" s="175">
        <v>3033103521</v>
      </c>
      <c r="P169" s="176">
        <v>-1263738228</v>
      </c>
      <c r="Q169" s="175">
        <f>Data_Dep.12[[#This Row],[Nguyên giá]]+Data_Dep.12[[#This Row],[KH lũy kế]]</f>
        <v>1769365293</v>
      </c>
      <c r="R169" s="177">
        <v>-50553294</v>
      </c>
      <c r="S169" s="177">
        <v>-50553294</v>
      </c>
      <c r="T169" s="177">
        <v>-50553294</v>
      </c>
      <c r="U169" s="177">
        <f>SUM(Data_Dep.12[[#This Row],[KH_2510]:[KH_2512]])</f>
        <v>-151659882</v>
      </c>
      <c r="V169" s="175">
        <f>Data_Dep.12[[#This Row],[Nguyên giá]]+Data_Dep.12[[#This Row],[KH lũy kế]]+Data_Dep.12[[#This Row],[KH_Q4.25]]</f>
        <v>1617705411</v>
      </c>
      <c r="W169" s="178">
        <f>ROUND(Data_Dep.12[[#This Row],[T/G Khấu hao]]-Data_Dep.12[[#This Row],[Giá trị còn lại 31/12/25]]/Data_Dep.12[[#This Row],[Nguyên giá]]*Data_Dep.12[[#This Row],[T/G Khấu hao]],0)</f>
        <v>28</v>
      </c>
      <c r="X169" s="179">
        <v>84</v>
      </c>
      <c r="Y169" s="175">
        <f>Data_Dep.12[[#This Row],[T/G Khấu hao]]+Data_Dep.12[[#This Row],[Điều chỉnh]]</f>
        <v>144</v>
      </c>
      <c r="Z169" s="180">
        <f>EDATE(Data_Dep.12[[#This Row],[Ngày bắt đầu KH]],Data_Dep.12[[#This Row],[T/G điều chỉnh]])</f>
        <v>49553</v>
      </c>
      <c r="AA169" s="175">
        <f>Data_Dep.12[[#This Row],[T/G điều chỉnh]]-Data_Dep.12[[#This Row],[Số kỳ đã khấu hao]]</f>
        <v>116</v>
      </c>
      <c r="AB169" s="175">
        <f>IFERROR(-Data_Dep.12[[#This Row],[Giá trị còn lại 31/12/25]]/(Data_Dep.12[[#This Row],[T/G điều chỉnh]]-Data_Dep.12[[#This Row],[Số kỳ đã khấu hao]]),0)</f>
        <v>-13945736.301724138</v>
      </c>
      <c r="AC169" s="181">
        <v>-13945736.301724138</v>
      </c>
      <c r="AD169" s="181">
        <v>-13945736.301724138</v>
      </c>
      <c r="AE169" s="181">
        <v>-13945736.301724138</v>
      </c>
      <c r="AF169" s="181">
        <v>-13945736.301724138</v>
      </c>
      <c r="AG169" s="181">
        <v>-13945736.301724138</v>
      </c>
      <c r="AH169" s="181">
        <v>-13945736.301724138</v>
      </c>
      <c r="AI169" s="181">
        <v>-13945736.301724138</v>
      </c>
      <c r="AJ169" s="181">
        <v>-13945736.301724138</v>
      </c>
      <c r="AK169" s="181">
        <v>-13945736.301724138</v>
      </c>
      <c r="AL169" s="181">
        <v>-13945736.301724138</v>
      </c>
      <c r="AM169" s="181">
        <v>-13945736.301724138</v>
      </c>
      <c r="AN169" s="181">
        <v>-13945736.301724138</v>
      </c>
      <c r="AO169" s="175">
        <f>SUM(Data_Dep.12[[#This Row],[KH_2601]:[KH_2612]])</f>
        <v>-167348835.62068966</v>
      </c>
      <c r="AP169" s="175">
        <f>Data_Dep.12[[#This Row],[Giá trị còn lại 31/12/25]]+Data_Dep.12[[#This Row],[KH LK 2026]]</f>
        <v>1450356575.3793104</v>
      </c>
    </row>
    <row r="170" spans="1:42" x14ac:dyDescent="0.3">
      <c r="A170" s="169"/>
      <c r="B170" s="169"/>
      <c r="C170" s="170" t="s">
        <v>338</v>
      </c>
      <c r="D170" s="169" t="str">
        <f>_xlfn.XLOOKUP(Data_Dep.12[[#This Row],[Nhóm tài sản]],MD_Account_Asset_Type[Nhóm tài sản],MD_Account_Asset_Type[Tên Nhóm tài sản])</f>
        <v>Máy móc, thiết bị - SX 627</v>
      </c>
      <c r="E170" s="171" t="s">
        <v>899</v>
      </c>
      <c r="F170" s="170" t="s">
        <v>661</v>
      </c>
      <c r="G170" s="169" t="s">
        <v>502</v>
      </c>
      <c r="H170" s="170" t="s">
        <v>48</v>
      </c>
      <c r="I170" s="170" t="str">
        <f>_xlfn.XLOOKUP(Data_Dep.12[[#This Row],[Cost center]],MD_Cost_Center[Mã Cost Center],MD_Cost_Center[Tên Cost Center])</f>
        <v>Xưởng sản xuất PET</v>
      </c>
      <c r="J170" s="172">
        <f>_xlfn.XLOOKUP(Data_Dep.12[[#This Row],[Cost center]],MD_Cost_Center[Mã Cost Center],MD_Cost_Center[Work center],"Check")</f>
        <v>0</v>
      </c>
      <c r="K170" s="169" t="str">
        <f>_xlfn.XLOOKUP(Data_Dep.12[[#This Row],[Nhóm tài sản]],MD_Account_Asset_Type[Nhóm tài sản],MD_Account_Asset_Type[Tài khoản KH],"Check")</f>
        <v>6274001903</v>
      </c>
      <c r="L170" s="173">
        <v>45170</v>
      </c>
      <c r="M170" s="174">
        <f>EDATE(Data_Dep.12[[#This Row],[Ngày bắt đầu KH]],Data_Dep.12[[#This Row],[T/G Khấu hao]])</f>
        <v>46997</v>
      </c>
      <c r="N170" s="175">
        <v>60</v>
      </c>
      <c r="O170" s="175">
        <v>2381394958</v>
      </c>
      <c r="P170" s="176">
        <v>-992247900</v>
      </c>
      <c r="Q170" s="175">
        <f>Data_Dep.12[[#This Row],[Nguyên giá]]+Data_Dep.12[[#This Row],[KH lũy kế]]</f>
        <v>1389147058</v>
      </c>
      <c r="R170" s="177">
        <v>-39689916</v>
      </c>
      <c r="S170" s="177">
        <v>-39689916</v>
      </c>
      <c r="T170" s="177">
        <v>-39689915</v>
      </c>
      <c r="U170" s="177">
        <f>SUM(Data_Dep.12[[#This Row],[KH_2510]:[KH_2512]])</f>
        <v>-119069747</v>
      </c>
      <c r="V170" s="175">
        <f>Data_Dep.12[[#This Row],[Nguyên giá]]+Data_Dep.12[[#This Row],[KH lũy kế]]+Data_Dep.12[[#This Row],[KH_Q4.25]]</f>
        <v>1270077311</v>
      </c>
      <c r="W170" s="178">
        <f>ROUND(Data_Dep.12[[#This Row],[T/G Khấu hao]]-Data_Dep.12[[#This Row],[Giá trị còn lại 31/12/25]]/Data_Dep.12[[#This Row],[Nguyên giá]]*Data_Dep.12[[#This Row],[T/G Khấu hao]],0)</f>
        <v>28</v>
      </c>
      <c r="X170" s="179">
        <v>84</v>
      </c>
      <c r="Y170" s="175">
        <f>Data_Dep.12[[#This Row],[T/G Khấu hao]]+Data_Dep.12[[#This Row],[Điều chỉnh]]</f>
        <v>144</v>
      </c>
      <c r="Z170" s="180">
        <f>EDATE(Data_Dep.12[[#This Row],[Ngày bắt đầu KH]],Data_Dep.12[[#This Row],[T/G điều chỉnh]])</f>
        <v>49553</v>
      </c>
      <c r="AA170" s="175">
        <f>Data_Dep.12[[#This Row],[T/G điều chỉnh]]-Data_Dep.12[[#This Row],[Số kỳ đã khấu hao]]</f>
        <v>116</v>
      </c>
      <c r="AB170" s="175">
        <f>IFERROR(-Data_Dep.12[[#This Row],[Giá trị còn lại 31/12/25]]/(Data_Dep.12[[#This Row],[T/G điều chỉnh]]-Data_Dep.12[[#This Row],[Số kỳ đã khấu hao]]),0)</f>
        <v>-10948942.336206896</v>
      </c>
      <c r="AC170" s="181">
        <v>-10948942.336206896</v>
      </c>
      <c r="AD170" s="181">
        <v>-10948942.336206896</v>
      </c>
      <c r="AE170" s="181">
        <v>-10948942.336206896</v>
      </c>
      <c r="AF170" s="181">
        <v>-10948942.336206896</v>
      </c>
      <c r="AG170" s="181">
        <v>-10948942.336206896</v>
      </c>
      <c r="AH170" s="181">
        <v>-10948942.336206896</v>
      </c>
      <c r="AI170" s="181">
        <v>-10948942.336206896</v>
      </c>
      <c r="AJ170" s="181">
        <v>-10948942.336206896</v>
      </c>
      <c r="AK170" s="181">
        <v>-10948942.336206896</v>
      </c>
      <c r="AL170" s="181">
        <v>-10948942.336206896</v>
      </c>
      <c r="AM170" s="181">
        <v>-10948942.336206896</v>
      </c>
      <c r="AN170" s="181">
        <v>-10948942.336206896</v>
      </c>
      <c r="AO170" s="175">
        <f>SUM(Data_Dep.12[[#This Row],[KH_2601]:[KH_2612]])</f>
        <v>-131387308.03448276</v>
      </c>
      <c r="AP170" s="175">
        <f>Data_Dep.12[[#This Row],[Giá trị còn lại 31/12/25]]+Data_Dep.12[[#This Row],[KH LK 2026]]</f>
        <v>1138690002.9655173</v>
      </c>
    </row>
    <row r="171" spans="1:42" x14ac:dyDescent="0.3">
      <c r="A171" s="169"/>
      <c r="B171" s="169"/>
      <c r="C171" s="170" t="s">
        <v>338</v>
      </c>
      <c r="D171" s="169" t="str">
        <f>_xlfn.XLOOKUP(Data_Dep.12[[#This Row],[Nhóm tài sản]],MD_Account_Asset_Type[Nhóm tài sản],MD_Account_Asset_Type[Tên Nhóm tài sản])</f>
        <v>Máy móc, thiết bị - SX 627</v>
      </c>
      <c r="E171" s="171" t="s">
        <v>900</v>
      </c>
      <c r="F171" s="170" t="s">
        <v>662</v>
      </c>
      <c r="G171" s="169" t="s">
        <v>502</v>
      </c>
      <c r="H171" s="170" t="s">
        <v>48</v>
      </c>
      <c r="I171" s="170" t="str">
        <f>_xlfn.XLOOKUP(Data_Dep.12[[#This Row],[Cost center]],MD_Cost_Center[Mã Cost Center],MD_Cost_Center[Tên Cost Center])</f>
        <v>Xưởng sản xuất PET</v>
      </c>
      <c r="J171" s="172">
        <f>_xlfn.XLOOKUP(Data_Dep.12[[#This Row],[Cost center]],MD_Cost_Center[Mã Cost Center],MD_Cost_Center[Work center],"Check")</f>
        <v>0</v>
      </c>
      <c r="K171" s="169" t="str">
        <f>_xlfn.XLOOKUP(Data_Dep.12[[#This Row],[Nhóm tài sản]],MD_Account_Asset_Type[Nhóm tài sản],MD_Account_Asset_Type[Tài khoản KH],"Check")</f>
        <v>6274001903</v>
      </c>
      <c r="L171" s="173">
        <v>45170</v>
      </c>
      <c r="M171" s="174">
        <f>EDATE(Data_Dep.12[[#This Row],[Ngày bắt đầu KH]],Data_Dep.12[[#This Row],[T/G Khấu hao]])</f>
        <v>46997</v>
      </c>
      <c r="N171" s="175">
        <v>60</v>
      </c>
      <c r="O171" s="175">
        <v>1272618024</v>
      </c>
      <c r="P171" s="176">
        <v>-530257510</v>
      </c>
      <c r="Q171" s="175">
        <f>Data_Dep.12[[#This Row],[Nguyên giá]]+Data_Dep.12[[#This Row],[KH lũy kế]]</f>
        <v>742360514</v>
      </c>
      <c r="R171" s="177">
        <v>-21210301</v>
      </c>
      <c r="S171" s="177">
        <v>-21210300</v>
      </c>
      <c r="T171" s="177">
        <v>-21210301</v>
      </c>
      <c r="U171" s="177">
        <f>SUM(Data_Dep.12[[#This Row],[KH_2510]:[KH_2512]])</f>
        <v>-63630902</v>
      </c>
      <c r="V171" s="175">
        <f>Data_Dep.12[[#This Row],[Nguyên giá]]+Data_Dep.12[[#This Row],[KH lũy kế]]+Data_Dep.12[[#This Row],[KH_Q4.25]]</f>
        <v>678729612</v>
      </c>
      <c r="W171" s="178">
        <f>ROUND(Data_Dep.12[[#This Row],[T/G Khấu hao]]-Data_Dep.12[[#This Row],[Giá trị còn lại 31/12/25]]/Data_Dep.12[[#This Row],[Nguyên giá]]*Data_Dep.12[[#This Row],[T/G Khấu hao]],0)</f>
        <v>28</v>
      </c>
      <c r="X171" s="179">
        <v>84</v>
      </c>
      <c r="Y171" s="175">
        <f>Data_Dep.12[[#This Row],[T/G Khấu hao]]+Data_Dep.12[[#This Row],[Điều chỉnh]]</f>
        <v>144</v>
      </c>
      <c r="Z171" s="180">
        <f>EDATE(Data_Dep.12[[#This Row],[Ngày bắt đầu KH]],Data_Dep.12[[#This Row],[T/G điều chỉnh]])</f>
        <v>49553</v>
      </c>
      <c r="AA171" s="175">
        <f>Data_Dep.12[[#This Row],[T/G điều chỉnh]]-Data_Dep.12[[#This Row],[Số kỳ đã khấu hao]]</f>
        <v>116</v>
      </c>
      <c r="AB171" s="175">
        <f>IFERROR(-Data_Dep.12[[#This Row],[Giá trị còn lại 31/12/25]]/(Data_Dep.12[[#This Row],[T/G điều chỉnh]]-Data_Dep.12[[#This Row],[Số kỳ đã khấu hao]]),0)</f>
        <v>-5851117.3448275859</v>
      </c>
      <c r="AC171" s="181">
        <v>-5851117.3448275859</v>
      </c>
      <c r="AD171" s="181">
        <v>-5851117.3448275859</v>
      </c>
      <c r="AE171" s="181">
        <v>-5851117.3448275859</v>
      </c>
      <c r="AF171" s="181">
        <v>-5851117.3448275859</v>
      </c>
      <c r="AG171" s="181">
        <v>-5851117.3448275859</v>
      </c>
      <c r="AH171" s="181">
        <v>-5851117.3448275859</v>
      </c>
      <c r="AI171" s="181">
        <v>-5851117.3448275859</v>
      </c>
      <c r="AJ171" s="181">
        <v>-5851117.3448275859</v>
      </c>
      <c r="AK171" s="181">
        <v>-5851117.3448275859</v>
      </c>
      <c r="AL171" s="181">
        <v>-5851117.3448275859</v>
      </c>
      <c r="AM171" s="181">
        <v>-5851117.3448275859</v>
      </c>
      <c r="AN171" s="181">
        <v>-5851117.3448275859</v>
      </c>
      <c r="AO171" s="175">
        <f>SUM(Data_Dep.12[[#This Row],[KH_2601]:[KH_2612]])</f>
        <v>-70213408.137931034</v>
      </c>
      <c r="AP171" s="175">
        <f>Data_Dep.12[[#This Row],[Giá trị còn lại 31/12/25]]+Data_Dep.12[[#This Row],[KH LK 2026]]</f>
        <v>608516203.86206901</v>
      </c>
    </row>
    <row r="172" spans="1:42" x14ac:dyDescent="0.3">
      <c r="A172" s="169"/>
      <c r="B172" s="169"/>
      <c r="C172" s="170" t="s">
        <v>338</v>
      </c>
      <c r="D172" s="169" t="str">
        <f>_xlfn.XLOOKUP(Data_Dep.12[[#This Row],[Nhóm tài sản]],MD_Account_Asset_Type[Nhóm tài sản],MD_Account_Asset_Type[Tên Nhóm tài sản])</f>
        <v>Máy móc, thiết bị - SX 627</v>
      </c>
      <c r="E172" s="171" t="s">
        <v>901</v>
      </c>
      <c r="F172" s="170" t="s">
        <v>663</v>
      </c>
      <c r="G172" s="169" t="s">
        <v>830</v>
      </c>
      <c r="H172" s="170" t="s">
        <v>48</v>
      </c>
      <c r="I172" s="170" t="str">
        <f>_xlfn.XLOOKUP(Data_Dep.12[[#This Row],[Cost center]],MD_Cost_Center[Mã Cost Center],MD_Cost_Center[Tên Cost Center])</f>
        <v>Xưởng sản xuất PET</v>
      </c>
      <c r="J172" s="172">
        <f>_xlfn.XLOOKUP(Data_Dep.12[[#This Row],[Cost center]],MD_Cost_Center[Mã Cost Center],MD_Cost_Center[Work center],"Check")</f>
        <v>0</v>
      </c>
      <c r="K172" s="169" t="str">
        <f>_xlfn.XLOOKUP(Data_Dep.12[[#This Row],[Nhóm tài sản]],MD_Account_Asset_Type[Nhóm tài sản],MD_Account_Asset_Type[Tài khoản KH],"Check")</f>
        <v>6274001903</v>
      </c>
      <c r="L172" s="173">
        <v>45200</v>
      </c>
      <c r="M172" s="174">
        <f>EDATE(Data_Dep.12[[#This Row],[Ngày bắt đầu KH]],Data_Dep.12[[#This Row],[T/G Khấu hao]])</f>
        <v>47027</v>
      </c>
      <c r="N172" s="175">
        <v>60</v>
      </c>
      <c r="O172" s="175">
        <v>343273414</v>
      </c>
      <c r="P172" s="176">
        <v>-137309366</v>
      </c>
      <c r="Q172" s="175">
        <f>Data_Dep.12[[#This Row],[Nguyên giá]]+Data_Dep.12[[#This Row],[KH lũy kế]]</f>
        <v>205964048</v>
      </c>
      <c r="R172" s="177">
        <v>-5721224</v>
      </c>
      <c r="S172" s="177">
        <v>-5721223</v>
      </c>
      <c r="T172" s="177">
        <v>-5721224</v>
      </c>
      <c r="U172" s="177">
        <f>SUM(Data_Dep.12[[#This Row],[KH_2510]:[KH_2512]])</f>
        <v>-17163671</v>
      </c>
      <c r="V172" s="175">
        <f>Data_Dep.12[[#This Row],[Nguyên giá]]+Data_Dep.12[[#This Row],[KH lũy kế]]+Data_Dep.12[[#This Row],[KH_Q4.25]]</f>
        <v>188800377</v>
      </c>
      <c r="W172" s="178">
        <f>ROUND(Data_Dep.12[[#This Row],[T/G Khấu hao]]-Data_Dep.12[[#This Row],[Giá trị còn lại 31/12/25]]/Data_Dep.12[[#This Row],[Nguyên giá]]*Data_Dep.12[[#This Row],[T/G Khấu hao]],0)</f>
        <v>27</v>
      </c>
      <c r="X172" s="179">
        <v>84</v>
      </c>
      <c r="Y172" s="175">
        <f>Data_Dep.12[[#This Row],[T/G Khấu hao]]+Data_Dep.12[[#This Row],[Điều chỉnh]]</f>
        <v>144</v>
      </c>
      <c r="Z172" s="180">
        <f>EDATE(Data_Dep.12[[#This Row],[Ngày bắt đầu KH]],Data_Dep.12[[#This Row],[T/G điều chỉnh]])</f>
        <v>49583</v>
      </c>
      <c r="AA172" s="175">
        <f>Data_Dep.12[[#This Row],[T/G điều chỉnh]]-Data_Dep.12[[#This Row],[Số kỳ đã khấu hao]]</f>
        <v>117</v>
      </c>
      <c r="AB172" s="175">
        <f>IFERROR(-Data_Dep.12[[#This Row],[Giá trị còn lại 31/12/25]]/(Data_Dep.12[[#This Row],[T/G điều chỉnh]]-Data_Dep.12[[#This Row],[Số kỳ đã khấu hao]]),0)</f>
        <v>-1613678.435897436</v>
      </c>
      <c r="AC172" s="181">
        <v>-1613678.435897436</v>
      </c>
      <c r="AD172" s="181">
        <v>-1613678.435897436</v>
      </c>
      <c r="AE172" s="181">
        <v>-1613678.435897436</v>
      </c>
      <c r="AF172" s="181">
        <v>-1613678.435897436</v>
      </c>
      <c r="AG172" s="181">
        <v>-1613678.435897436</v>
      </c>
      <c r="AH172" s="181">
        <v>-1613678.435897436</v>
      </c>
      <c r="AI172" s="181">
        <v>-1613678.435897436</v>
      </c>
      <c r="AJ172" s="181">
        <v>-1613678.435897436</v>
      </c>
      <c r="AK172" s="181">
        <v>-1613678.435897436</v>
      </c>
      <c r="AL172" s="181">
        <v>-1613678.435897436</v>
      </c>
      <c r="AM172" s="181">
        <v>-1613678.435897436</v>
      </c>
      <c r="AN172" s="181">
        <v>-1613678.435897436</v>
      </c>
      <c r="AO172" s="175">
        <f>SUM(Data_Dep.12[[#This Row],[KH_2601]:[KH_2612]])</f>
        <v>-19364141.230769232</v>
      </c>
      <c r="AP172" s="175">
        <f>Data_Dep.12[[#This Row],[Giá trị còn lại 31/12/25]]+Data_Dep.12[[#This Row],[KH LK 2026]]</f>
        <v>169436235.76923078</v>
      </c>
    </row>
    <row r="173" spans="1:42" x14ac:dyDescent="0.3">
      <c r="A173" s="169"/>
      <c r="B173" s="169"/>
      <c r="C173" s="170" t="s">
        <v>338</v>
      </c>
      <c r="D173" s="169" t="str">
        <f>_xlfn.XLOOKUP(Data_Dep.12[[#This Row],[Nhóm tài sản]],MD_Account_Asset_Type[Nhóm tài sản],MD_Account_Asset_Type[Tên Nhóm tài sản])</f>
        <v>Máy móc, thiết bị - SX 627</v>
      </c>
      <c r="E173" s="171" t="s">
        <v>902</v>
      </c>
      <c r="F173" s="170" t="s">
        <v>664</v>
      </c>
      <c r="G173" s="169" t="s">
        <v>830</v>
      </c>
      <c r="H173" s="170" t="s">
        <v>48</v>
      </c>
      <c r="I173" s="170" t="str">
        <f>_xlfn.XLOOKUP(Data_Dep.12[[#This Row],[Cost center]],MD_Cost_Center[Mã Cost Center],MD_Cost_Center[Tên Cost Center])</f>
        <v>Xưởng sản xuất PET</v>
      </c>
      <c r="J173" s="172">
        <f>_xlfn.XLOOKUP(Data_Dep.12[[#This Row],[Cost center]],MD_Cost_Center[Mã Cost Center],MD_Cost_Center[Work center],"Check")</f>
        <v>0</v>
      </c>
      <c r="K173" s="169" t="str">
        <f>_xlfn.XLOOKUP(Data_Dep.12[[#This Row],[Nhóm tài sản]],MD_Account_Asset_Type[Nhóm tài sản],MD_Account_Asset_Type[Tài khoản KH],"Check")</f>
        <v>6274001903</v>
      </c>
      <c r="L173" s="173">
        <v>45200</v>
      </c>
      <c r="M173" s="174">
        <f>EDATE(Data_Dep.12[[#This Row],[Ngày bắt đầu KH]],Data_Dep.12[[#This Row],[T/G Khấu hao]])</f>
        <v>47027</v>
      </c>
      <c r="N173" s="175">
        <v>60</v>
      </c>
      <c r="O173" s="175">
        <v>46757482</v>
      </c>
      <c r="P173" s="176">
        <v>-18702992</v>
      </c>
      <c r="Q173" s="175">
        <f>Data_Dep.12[[#This Row],[Nguyên giá]]+Data_Dep.12[[#This Row],[KH lũy kế]]</f>
        <v>28054490</v>
      </c>
      <c r="R173" s="177">
        <v>-779292</v>
      </c>
      <c r="S173" s="177">
        <v>-779291</v>
      </c>
      <c r="T173" s="177">
        <v>-779292</v>
      </c>
      <c r="U173" s="177">
        <f>SUM(Data_Dep.12[[#This Row],[KH_2510]:[KH_2512]])</f>
        <v>-2337875</v>
      </c>
      <c r="V173" s="175">
        <f>Data_Dep.12[[#This Row],[Nguyên giá]]+Data_Dep.12[[#This Row],[KH lũy kế]]+Data_Dep.12[[#This Row],[KH_Q4.25]]</f>
        <v>25716615</v>
      </c>
      <c r="W173" s="178">
        <f>ROUND(Data_Dep.12[[#This Row],[T/G Khấu hao]]-Data_Dep.12[[#This Row],[Giá trị còn lại 31/12/25]]/Data_Dep.12[[#This Row],[Nguyên giá]]*Data_Dep.12[[#This Row],[T/G Khấu hao]],0)</f>
        <v>27</v>
      </c>
      <c r="X173" s="179">
        <v>84</v>
      </c>
      <c r="Y173" s="175">
        <f>Data_Dep.12[[#This Row],[T/G Khấu hao]]+Data_Dep.12[[#This Row],[Điều chỉnh]]</f>
        <v>144</v>
      </c>
      <c r="Z173" s="180">
        <f>EDATE(Data_Dep.12[[#This Row],[Ngày bắt đầu KH]],Data_Dep.12[[#This Row],[T/G điều chỉnh]])</f>
        <v>49583</v>
      </c>
      <c r="AA173" s="175">
        <f>Data_Dep.12[[#This Row],[T/G điều chỉnh]]-Data_Dep.12[[#This Row],[Số kỳ đã khấu hao]]</f>
        <v>117</v>
      </c>
      <c r="AB173" s="175">
        <f>IFERROR(-Data_Dep.12[[#This Row],[Giá trị còn lại 31/12/25]]/(Data_Dep.12[[#This Row],[T/G điều chỉnh]]-Data_Dep.12[[#This Row],[Số kỳ đã khấu hao]]),0)</f>
        <v>-219800.12820512822</v>
      </c>
      <c r="AC173" s="181">
        <v>-219800.12820512822</v>
      </c>
      <c r="AD173" s="181">
        <v>-219800.12820512822</v>
      </c>
      <c r="AE173" s="181">
        <v>-219800.12820512822</v>
      </c>
      <c r="AF173" s="181">
        <v>-219800.12820512822</v>
      </c>
      <c r="AG173" s="181">
        <v>-219800.12820512822</v>
      </c>
      <c r="AH173" s="181">
        <v>-219800.12820512822</v>
      </c>
      <c r="AI173" s="181">
        <v>-219800.12820512822</v>
      </c>
      <c r="AJ173" s="181">
        <v>-219800.12820512822</v>
      </c>
      <c r="AK173" s="181">
        <v>-219800.12820512822</v>
      </c>
      <c r="AL173" s="181">
        <v>-219800.12820512822</v>
      </c>
      <c r="AM173" s="181">
        <v>-219800.12820512822</v>
      </c>
      <c r="AN173" s="181">
        <v>-219800.12820512822</v>
      </c>
      <c r="AO173" s="175">
        <f>SUM(Data_Dep.12[[#This Row],[KH_2601]:[KH_2612]])</f>
        <v>-2637601.538461538</v>
      </c>
      <c r="AP173" s="175">
        <f>Data_Dep.12[[#This Row],[Giá trị còn lại 31/12/25]]+Data_Dep.12[[#This Row],[KH LK 2026]]</f>
        <v>23079013.461538464</v>
      </c>
    </row>
    <row r="174" spans="1:42" x14ac:dyDescent="0.3">
      <c r="A174" s="169"/>
      <c r="B174" s="169"/>
      <c r="C174" s="170" t="s">
        <v>338</v>
      </c>
      <c r="D174" s="169" t="str">
        <f>_xlfn.XLOOKUP(Data_Dep.12[[#This Row],[Nhóm tài sản]],MD_Account_Asset_Type[Nhóm tài sản],MD_Account_Asset_Type[Tên Nhóm tài sản])</f>
        <v>Máy móc, thiết bị - SX 627</v>
      </c>
      <c r="E174" s="171" t="s">
        <v>903</v>
      </c>
      <c r="F174" s="170" t="s">
        <v>665</v>
      </c>
      <c r="G174" s="169" t="s">
        <v>830</v>
      </c>
      <c r="H174" s="170" t="s">
        <v>48</v>
      </c>
      <c r="I174" s="170" t="str">
        <f>_xlfn.XLOOKUP(Data_Dep.12[[#This Row],[Cost center]],MD_Cost_Center[Mã Cost Center],MD_Cost_Center[Tên Cost Center])</f>
        <v>Xưởng sản xuất PET</v>
      </c>
      <c r="J174" s="172">
        <f>_xlfn.XLOOKUP(Data_Dep.12[[#This Row],[Cost center]],MD_Cost_Center[Mã Cost Center],MD_Cost_Center[Work center],"Check")</f>
        <v>0</v>
      </c>
      <c r="K174" s="169" t="str">
        <f>_xlfn.XLOOKUP(Data_Dep.12[[#This Row],[Nhóm tài sản]],MD_Account_Asset_Type[Nhóm tài sản],MD_Account_Asset_Type[Tài khoản KH],"Check")</f>
        <v>6274001903</v>
      </c>
      <c r="L174" s="173">
        <v>45200</v>
      </c>
      <c r="M174" s="174">
        <f>EDATE(Data_Dep.12[[#This Row],[Ngày bắt đầu KH]],Data_Dep.12[[#This Row],[T/G Khấu hao]])</f>
        <v>47027</v>
      </c>
      <c r="N174" s="175">
        <v>60</v>
      </c>
      <c r="O174" s="175">
        <v>409250000</v>
      </c>
      <c r="P174" s="176">
        <v>-163700000</v>
      </c>
      <c r="Q174" s="175">
        <f>Data_Dep.12[[#This Row],[Nguyên giá]]+Data_Dep.12[[#This Row],[KH lũy kế]]</f>
        <v>245550000</v>
      </c>
      <c r="R174" s="177">
        <v>-6820833</v>
      </c>
      <c r="S174" s="177">
        <v>-6820834</v>
      </c>
      <c r="T174" s="177">
        <v>-6820833</v>
      </c>
      <c r="U174" s="177">
        <f>SUM(Data_Dep.12[[#This Row],[KH_2510]:[KH_2512]])</f>
        <v>-20462500</v>
      </c>
      <c r="V174" s="175">
        <f>Data_Dep.12[[#This Row],[Nguyên giá]]+Data_Dep.12[[#This Row],[KH lũy kế]]+Data_Dep.12[[#This Row],[KH_Q4.25]]</f>
        <v>225087500</v>
      </c>
      <c r="W174" s="178">
        <f>ROUND(Data_Dep.12[[#This Row],[T/G Khấu hao]]-Data_Dep.12[[#This Row],[Giá trị còn lại 31/12/25]]/Data_Dep.12[[#This Row],[Nguyên giá]]*Data_Dep.12[[#This Row],[T/G Khấu hao]],0)</f>
        <v>27</v>
      </c>
      <c r="X174" s="179">
        <v>84</v>
      </c>
      <c r="Y174" s="175">
        <f>Data_Dep.12[[#This Row],[T/G Khấu hao]]+Data_Dep.12[[#This Row],[Điều chỉnh]]</f>
        <v>144</v>
      </c>
      <c r="Z174" s="180">
        <f>EDATE(Data_Dep.12[[#This Row],[Ngày bắt đầu KH]],Data_Dep.12[[#This Row],[T/G điều chỉnh]])</f>
        <v>49583</v>
      </c>
      <c r="AA174" s="175">
        <f>Data_Dep.12[[#This Row],[T/G điều chỉnh]]-Data_Dep.12[[#This Row],[Số kỳ đã khấu hao]]</f>
        <v>117</v>
      </c>
      <c r="AB174" s="175">
        <f>IFERROR(-Data_Dep.12[[#This Row],[Giá trị còn lại 31/12/25]]/(Data_Dep.12[[#This Row],[T/G điều chỉnh]]-Data_Dep.12[[#This Row],[Số kỳ đã khấu hao]]),0)</f>
        <v>-1923824.7863247863</v>
      </c>
      <c r="AC174" s="181">
        <v>-1923824.7863247863</v>
      </c>
      <c r="AD174" s="181">
        <v>-1923824.7863247863</v>
      </c>
      <c r="AE174" s="181">
        <v>-1923824.7863247863</v>
      </c>
      <c r="AF174" s="181">
        <v>-1923824.7863247863</v>
      </c>
      <c r="AG174" s="181">
        <v>-1923824.7863247863</v>
      </c>
      <c r="AH174" s="181">
        <v>-1923824.7863247863</v>
      </c>
      <c r="AI174" s="181">
        <v>-1923824.7863247863</v>
      </c>
      <c r="AJ174" s="181">
        <v>-1923824.7863247863</v>
      </c>
      <c r="AK174" s="181">
        <v>-1923824.7863247863</v>
      </c>
      <c r="AL174" s="181">
        <v>-1923824.7863247863</v>
      </c>
      <c r="AM174" s="181">
        <v>-1923824.7863247863</v>
      </c>
      <c r="AN174" s="181">
        <v>-1923824.7863247863</v>
      </c>
      <c r="AO174" s="175">
        <f>SUM(Data_Dep.12[[#This Row],[KH_2601]:[KH_2612]])</f>
        <v>-23085897.43589744</v>
      </c>
      <c r="AP174" s="175">
        <f>Data_Dep.12[[#This Row],[Giá trị còn lại 31/12/25]]+Data_Dep.12[[#This Row],[KH LK 2026]]</f>
        <v>202001602.56410256</v>
      </c>
    </row>
    <row r="175" spans="1:42" x14ac:dyDescent="0.3">
      <c r="A175" s="169"/>
      <c r="B175" s="169"/>
      <c r="C175" s="170" t="s">
        <v>338</v>
      </c>
      <c r="D175" s="169" t="str">
        <f>_xlfn.XLOOKUP(Data_Dep.12[[#This Row],[Nhóm tài sản]],MD_Account_Asset_Type[Nhóm tài sản],MD_Account_Asset_Type[Tên Nhóm tài sản])</f>
        <v>Máy móc, thiết bị - SX 627</v>
      </c>
      <c r="E175" s="171" t="s">
        <v>904</v>
      </c>
      <c r="F175" s="170" t="s">
        <v>666</v>
      </c>
      <c r="G175" s="169" t="s">
        <v>830</v>
      </c>
      <c r="H175" s="170" t="s">
        <v>46</v>
      </c>
      <c r="I175" s="170" t="str">
        <f>_xlfn.XLOOKUP(Data_Dep.12[[#This Row],[Cost center]],MD_Cost_Center[Mã Cost Center],MD_Cost_Center[Tên Cost Center])</f>
        <v>Kiểm soát chất lượng</v>
      </c>
      <c r="J175" s="172">
        <f>_xlfn.XLOOKUP(Data_Dep.12[[#This Row],[Cost center]],MD_Cost_Center[Mã Cost Center],MD_Cost_Center[Work center],"Check")</f>
        <v>0</v>
      </c>
      <c r="K175" s="169" t="str">
        <f>_xlfn.XLOOKUP(Data_Dep.12[[#This Row],[Nhóm tài sản]],MD_Account_Asset_Type[Nhóm tài sản],MD_Account_Asset_Type[Tài khoản KH],"Check")</f>
        <v>6274001903</v>
      </c>
      <c r="L175" s="173">
        <v>45200</v>
      </c>
      <c r="M175" s="174">
        <f>EDATE(Data_Dep.12[[#This Row],[Ngày bắt đầu KH]],Data_Dep.12[[#This Row],[T/G Khấu hao]])</f>
        <v>47027</v>
      </c>
      <c r="N175" s="175">
        <v>60</v>
      </c>
      <c r="O175" s="175">
        <v>366850000</v>
      </c>
      <c r="P175" s="176">
        <v>-146740000</v>
      </c>
      <c r="Q175" s="175">
        <f>Data_Dep.12[[#This Row],[Nguyên giá]]+Data_Dep.12[[#This Row],[KH lũy kế]]</f>
        <v>220110000</v>
      </c>
      <c r="R175" s="177">
        <v>-6114167</v>
      </c>
      <c r="S175" s="177">
        <v>-6114166</v>
      </c>
      <c r="T175" s="177">
        <v>-6114167</v>
      </c>
      <c r="U175" s="177">
        <f>SUM(Data_Dep.12[[#This Row],[KH_2510]:[KH_2512]])</f>
        <v>-18342500</v>
      </c>
      <c r="V175" s="175">
        <f>Data_Dep.12[[#This Row],[Nguyên giá]]+Data_Dep.12[[#This Row],[KH lũy kế]]+Data_Dep.12[[#This Row],[KH_Q4.25]]</f>
        <v>201767500</v>
      </c>
      <c r="W175" s="178">
        <f>ROUND(Data_Dep.12[[#This Row],[T/G Khấu hao]]-Data_Dep.12[[#This Row],[Giá trị còn lại 31/12/25]]/Data_Dep.12[[#This Row],[Nguyên giá]]*Data_Dep.12[[#This Row],[T/G Khấu hao]],0)</f>
        <v>27</v>
      </c>
      <c r="X175" s="179">
        <v>84</v>
      </c>
      <c r="Y175" s="175">
        <f>Data_Dep.12[[#This Row],[T/G Khấu hao]]+Data_Dep.12[[#This Row],[Điều chỉnh]]</f>
        <v>144</v>
      </c>
      <c r="Z175" s="180">
        <f>EDATE(Data_Dep.12[[#This Row],[Ngày bắt đầu KH]],Data_Dep.12[[#This Row],[T/G điều chỉnh]])</f>
        <v>49583</v>
      </c>
      <c r="AA175" s="175">
        <f>Data_Dep.12[[#This Row],[T/G điều chỉnh]]-Data_Dep.12[[#This Row],[Số kỳ đã khấu hao]]</f>
        <v>117</v>
      </c>
      <c r="AB175" s="175">
        <f>IFERROR(-Data_Dep.12[[#This Row],[Giá trị còn lại 31/12/25]]/(Data_Dep.12[[#This Row],[T/G điều chỉnh]]-Data_Dep.12[[#This Row],[Số kỳ đã khấu hao]]),0)</f>
        <v>-1724508.547008547</v>
      </c>
      <c r="AC175" s="181">
        <v>-1724508.547008547</v>
      </c>
      <c r="AD175" s="181">
        <v>-1724508.547008547</v>
      </c>
      <c r="AE175" s="181">
        <v>-1724508.547008547</v>
      </c>
      <c r="AF175" s="181">
        <v>-1724508.547008547</v>
      </c>
      <c r="AG175" s="181">
        <v>-1724508.547008547</v>
      </c>
      <c r="AH175" s="181">
        <v>-1724508.547008547</v>
      </c>
      <c r="AI175" s="181">
        <v>-1724508.547008547</v>
      </c>
      <c r="AJ175" s="181">
        <v>-1724508.547008547</v>
      </c>
      <c r="AK175" s="181">
        <v>-1724508.547008547</v>
      </c>
      <c r="AL175" s="181">
        <v>-1724508.547008547</v>
      </c>
      <c r="AM175" s="181">
        <v>-1724508.547008547</v>
      </c>
      <c r="AN175" s="181">
        <v>-1724508.547008547</v>
      </c>
      <c r="AO175" s="175">
        <f>SUM(Data_Dep.12[[#This Row],[KH_2601]:[KH_2612]])</f>
        <v>-20694102.564102571</v>
      </c>
      <c r="AP175" s="175">
        <f>Data_Dep.12[[#This Row],[Giá trị còn lại 31/12/25]]+Data_Dep.12[[#This Row],[KH LK 2026]]</f>
        <v>181073397.43589744</v>
      </c>
    </row>
    <row r="176" spans="1:42" x14ac:dyDescent="0.3">
      <c r="A176" s="169"/>
      <c r="B176" s="169"/>
      <c r="C176" s="170" t="s">
        <v>338</v>
      </c>
      <c r="D176" s="169" t="str">
        <f>_xlfn.XLOOKUP(Data_Dep.12[[#This Row],[Nhóm tài sản]],MD_Account_Asset_Type[Nhóm tài sản],MD_Account_Asset_Type[Tên Nhóm tài sản])</f>
        <v>Máy móc, thiết bị - SX 627</v>
      </c>
      <c r="E176" s="171" t="s">
        <v>905</v>
      </c>
      <c r="F176" s="170" t="s">
        <v>667</v>
      </c>
      <c r="G176" s="169" t="s">
        <v>830</v>
      </c>
      <c r="H176" s="170" t="s">
        <v>45</v>
      </c>
      <c r="I176" s="170" t="str">
        <f>_xlfn.XLOOKUP(Data_Dep.12[[#This Row],[Cost center]],MD_Cost_Center[Mã Cost Center],MD_Cost_Center[Tên Cost Center])</f>
        <v>Kỹ thuật</v>
      </c>
      <c r="J176" s="172">
        <f>_xlfn.XLOOKUP(Data_Dep.12[[#This Row],[Cost center]],MD_Cost_Center[Mã Cost Center],MD_Cost_Center[Work center],"Check")</f>
        <v>0</v>
      </c>
      <c r="K176" s="169" t="str">
        <f>_xlfn.XLOOKUP(Data_Dep.12[[#This Row],[Nhóm tài sản]],MD_Account_Asset_Type[Nhóm tài sản],MD_Account_Asset_Type[Tài khoản KH],"Check")</f>
        <v>6274001903</v>
      </c>
      <c r="L176" s="173">
        <v>45231</v>
      </c>
      <c r="M176" s="174">
        <f>EDATE(Data_Dep.12[[#This Row],[Ngày bắt đầu KH]],Data_Dep.12[[#This Row],[T/G Khấu hao]])</f>
        <v>48884</v>
      </c>
      <c r="N176" s="175">
        <v>120</v>
      </c>
      <c r="O176" s="175">
        <v>1782611000</v>
      </c>
      <c r="P176" s="176">
        <v>-341667108</v>
      </c>
      <c r="Q176" s="175">
        <f>Data_Dep.12[[#This Row],[Nguyên giá]]+Data_Dep.12[[#This Row],[KH lũy kế]]</f>
        <v>1440943892</v>
      </c>
      <c r="R176" s="177">
        <v>-14855092</v>
      </c>
      <c r="S176" s="177">
        <v>-14855091</v>
      </c>
      <c r="T176" s="177">
        <v>-14855092</v>
      </c>
      <c r="U176" s="177">
        <f>SUM(Data_Dep.12[[#This Row],[KH_2510]:[KH_2512]])</f>
        <v>-44565275</v>
      </c>
      <c r="V176" s="175">
        <f>Data_Dep.12[[#This Row],[Nguyên giá]]+Data_Dep.12[[#This Row],[KH lũy kế]]+Data_Dep.12[[#This Row],[KH_Q4.25]]</f>
        <v>1396378617</v>
      </c>
      <c r="W176" s="178">
        <f>ROUND(Data_Dep.12[[#This Row],[T/G Khấu hao]]-Data_Dep.12[[#This Row],[Giá trị còn lại 31/12/25]]/Data_Dep.12[[#This Row],[Nguyên giá]]*Data_Dep.12[[#This Row],[T/G Khấu hao]],0)</f>
        <v>26</v>
      </c>
      <c r="X176" s="179">
        <v>60</v>
      </c>
      <c r="Y176" s="175">
        <f>Data_Dep.12[[#This Row],[T/G Khấu hao]]+Data_Dep.12[[#This Row],[Điều chỉnh]]</f>
        <v>180</v>
      </c>
      <c r="Z176" s="180">
        <f>EDATE(Data_Dep.12[[#This Row],[Ngày bắt đầu KH]],Data_Dep.12[[#This Row],[T/G điều chỉnh]])</f>
        <v>50710</v>
      </c>
      <c r="AA176" s="175">
        <f>Data_Dep.12[[#This Row],[T/G điều chỉnh]]-Data_Dep.12[[#This Row],[Số kỳ đã khấu hao]]</f>
        <v>154</v>
      </c>
      <c r="AB176" s="175">
        <f>IFERROR(-Data_Dep.12[[#This Row],[Giá trị còn lại 31/12/25]]/(Data_Dep.12[[#This Row],[T/G điều chỉnh]]-Data_Dep.12[[#This Row],[Số kỳ đã khấu hao]]),0)</f>
        <v>-9067393.6168831177</v>
      </c>
      <c r="AC176" s="181">
        <v>-9067393.6168831177</v>
      </c>
      <c r="AD176" s="181">
        <v>-9067393.6168831177</v>
      </c>
      <c r="AE176" s="181">
        <v>-9067393.6168831177</v>
      </c>
      <c r="AF176" s="181">
        <v>-9067393.6168831177</v>
      </c>
      <c r="AG176" s="181">
        <v>-9067393.6168831177</v>
      </c>
      <c r="AH176" s="181">
        <v>-9067393.6168831177</v>
      </c>
      <c r="AI176" s="181">
        <v>-9067393.6168831177</v>
      </c>
      <c r="AJ176" s="181">
        <v>-9067393.6168831177</v>
      </c>
      <c r="AK176" s="181">
        <v>-9067393.6168831177</v>
      </c>
      <c r="AL176" s="181">
        <v>-9067393.6168831177</v>
      </c>
      <c r="AM176" s="181">
        <v>-9067393.6168831177</v>
      </c>
      <c r="AN176" s="181">
        <v>-9067393.6168831177</v>
      </c>
      <c r="AO176" s="175">
        <f>SUM(Data_Dep.12[[#This Row],[KH_2601]:[KH_2612]])</f>
        <v>-108808723.40259738</v>
      </c>
      <c r="AP176" s="175">
        <f>Data_Dep.12[[#This Row],[Giá trị còn lại 31/12/25]]+Data_Dep.12[[#This Row],[KH LK 2026]]</f>
        <v>1287569893.5974026</v>
      </c>
    </row>
    <row r="177" spans="1:42" x14ac:dyDescent="0.3">
      <c r="A177" s="169"/>
      <c r="B177" s="169"/>
      <c r="C177" s="170" t="s">
        <v>338</v>
      </c>
      <c r="D177" s="169" t="str">
        <f>_xlfn.XLOOKUP(Data_Dep.12[[#This Row],[Nhóm tài sản]],MD_Account_Asset_Type[Nhóm tài sản],MD_Account_Asset_Type[Tên Nhóm tài sản])</f>
        <v>Máy móc, thiết bị - SX 627</v>
      </c>
      <c r="E177" s="171" t="s">
        <v>906</v>
      </c>
      <c r="F177" s="170" t="s">
        <v>668</v>
      </c>
      <c r="G177" s="169" t="s">
        <v>830</v>
      </c>
      <c r="H177" s="170" t="s">
        <v>64</v>
      </c>
      <c r="I177" s="170" t="str">
        <f>_xlfn.XLOOKUP(Data_Dep.12[[#This Row],[Cost center]],MD_Cost_Center[Mã Cost Center],MD_Cost_Center[Tên Cost Center])</f>
        <v>Chuyền rửa vảy PET  số 2</v>
      </c>
      <c r="J177" s="172" t="str">
        <f>_xlfn.XLOOKUP(Data_Dep.12[[#This Row],[Cost center]],MD_Cost_Center[Mã Cost Center],MD_Cost_Center[Work center],"Check")</f>
        <v>CHWO-R02</v>
      </c>
      <c r="K177" s="169" t="str">
        <f>_xlfn.XLOOKUP(Data_Dep.12[[#This Row],[Nhóm tài sản]],MD_Account_Asset_Type[Nhóm tài sản],MD_Account_Asset_Type[Tài khoản KH],"Check")</f>
        <v>6274001903</v>
      </c>
      <c r="L177" s="173">
        <v>45231</v>
      </c>
      <c r="M177" s="174">
        <f>EDATE(Data_Dep.12[[#This Row],[Ngày bắt đầu KH]],Data_Dep.12[[#This Row],[T/G Khấu hao]])</f>
        <v>47058</v>
      </c>
      <c r="N177" s="175">
        <v>60</v>
      </c>
      <c r="O177" s="175">
        <v>596514760</v>
      </c>
      <c r="P177" s="176">
        <v>-228663991</v>
      </c>
      <c r="Q177" s="175">
        <f>Data_Dep.12[[#This Row],[Nguyên giá]]+Data_Dep.12[[#This Row],[KH lũy kế]]</f>
        <v>367850769</v>
      </c>
      <c r="R177" s="177">
        <v>-9941913</v>
      </c>
      <c r="S177" s="177">
        <v>-9941912</v>
      </c>
      <c r="T177" s="177">
        <v>-9941913</v>
      </c>
      <c r="U177" s="177">
        <f>SUM(Data_Dep.12[[#This Row],[KH_2510]:[KH_2512]])</f>
        <v>-29825738</v>
      </c>
      <c r="V177" s="175">
        <f>Data_Dep.12[[#This Row],[Nguyên giá]]+Data_Dep.12[[#This Row],[KH lũy kế]]+Data_Dep.12[[#This Row],[KH_Q4.25]]</f>
        <v>338025031</v>
      </c>
      <c r="W177" s="178">
        <f>ROUND(Data_Dep.12[[#This Row],[T/G Khấu hao]]-Data_Dep.12[[#This Row],[Giá trị còn lại 31/12/25]]/Data_Dep.12[[#This Row],[Nguyên giá]]*Data_Dep.12[[#This Row],[T/G Khấu hao]],0)</f>
        <v>26</v>
      </c>
      <c r="X177" s="179">
        <v>84</v>
      </c>
      <c r="Y177" s="175">
        <f>Data_Dep.12[[#This Row],[T/G Khấu hao]]+Data_Dep.12[[#This Row],[Điều chỉnh]]</f>
        <v>144</v>
      </c>
      <c r="Z177" s="180">
        <f>EDATE(Data_Dep.12[[#This Row],[Ngày bắt đầu KH]],Data_Dep.12[[#This Row],[T/G điều chỉnh]])</f>
        <v>49614</v>
      </c>
      <c r="AA177" s="175">
        <f>Data_Dep.12[[#This Row],[T/G điều chỉnh]]-Data_Dep.12[[#This Row],[Số kỳ đã khấu hao]]</f>
        <v>118</v>
      </c>
      <c r="AB177" s="175">
        <f>IFERROR(-Data_Dep.12[[#This Row],[Giá trị còn lại 31/12/25]]/(Data_Dep.12[[#This Row],[T/G điều chỉnh]]-Data_Dep.12[[#This Row],[Số kỳ đã khấu hao]]),0)</f>
        <v>-2864618.9067796608</v>
      </c>
      <c r="AC177" s="181">
        <v>-2864618.9067796608</v>
      </c>
      <c r="AD177" s="181">
        <v>-2864618.9067796608</v>
      </c>
      <c r="AE177" s="181">
        <v>-2864618.9067796608</v>
      </c>
      <c r="AF177" s="181">
        <v>-2864618.9067796608</v>
      </c>
      <c r="AG177" s="181">
        <v>-2864618.9067796608</v>
      </c>
      <c r="AH177" s="181">
        <v>-2864618.9067796608</v>
      </c>
      <c r="AI177" s="181">
        <v>-2864618.9067796608</v>
      </c>
      <c r="AJ177" s="181">
        <v>-2864618.9067796608</v>
      </c>
      <c r="AK177" s="181">
        <v>-2864618.9067796608</v>
      </c>
      <c r="AL177" s="181">
        <v>-2864618.9067796608</v>
      </c>
      <c r="AM177" s="181">
        <v>-2864618.9067796608</v>
      </c>
      <c r="AN177" s="181">
        <v>-2864618.9067796608</v>
      </c>
      <c r="AO177" s="175">
        <f>SUM(Data_Dep.12[[#This Row],[KH_2601]:[KH_2612]])</f>
        <v>-34375426.881355934</v>
      </c>
      <c r="AP177" s="175">
        <f>Data_Dep.12[[#This Row],[Giá trị còn lại 31/12/25]]+Data_Dep.12[[#This Row],[KH LK 2026]]</f>
        <v>303649604.11864406</v>
      </c>
    </row>
    <row r="178" spans="1:42" x14ac:dyDescent="0.3">
      <c r="A178" s="169"/>
      <c r="B178" s="169"/>
      <c r="C178" s="170" t="s">
        <v>338</v>
      </c>
      <c r="D178" s="169" t="str">
        <f>_xlfn.XLOOKUP(Data_Dep.12[[#This Row],[Nhóm tài sản]],MD_Account_Asset_Type[Nhóm tài sản],MD_Account_Asset_Type[Tên Nhóm tài sản])</f>
        <v>Máy móc, thiết bị - SX 627</v>
      </c>
      <c r="E178" s="171" t="s">
        <v>907</v>
      </c>
      <c r="F178" s="170" t="s">
        <v>669</v>
      </c>
      <c r="G178" s="169" t="s">
        <v>830</v>
      </c>
      <c r="H178" s="170" t="s">
        <v>45</v>
      </c>
      <c r="I178" s="170" t="str">
        <f>_xlfn.XLOOKUP(Data_Dep.12[[#This Row],[Cost center]],MD_Cost_Center[Mã Cost Center],MD_Cost_Center[Tên Cost Center])</f>
        <v>Kỹ thuật</v>
      </c>
      <c r="J178" s="172">
        <f>_xlfn.XLOOKUP(Data_Dep.12[[#This Row],[Cost center]],MD_Cost_Center[Mã Cost Center],MD_Cost_Center[Work center],"Check")</f>
        <v>0</v>
      </c>
      <c r="K178" s="169" t="str">
        <f>_xlfn.XLOOKUP(Data_Dep.12[[#This Row],[Nhóm tài sản]],MD_Account_Asset_Type[Nhóm tài sản],MD_Account_Asset_Type[Tài khoản KH],"Check")</f>
        <v>6274001903</v>
      </c>
      <c r="L178" s="173">
        <v>45231</v>
      </c>
      <c r="M178" s="174">
        <f>EDATE(Data_Dep.12[[#This Row],[Ngày bắt đầu KH]],Data_Dep.12[[#This Row],[T/G Khấu hao]])</f>
        <v>48153</v>
      </c>
      <c r="N178" s="175">
        <v>96</v>
      </c>
      <c r="O178" s="175">
        <v>208093649</v>
      </c>
      <c r="P178" s="176">
        <v>-49855770</v>
      </c>
      <c r="Q178" s="175">
        <f>Data_Dep.12[[#This Row],[Nguyên giá]]+Data_Dep.12[[#This Row],[KH lũy kế]]</f>
        <v>158237879</v>
      </c>
      <c r="R178" s="177">
        <v>-2167642</v>
      </c>
      <c r="S178" s="177">
        <v>-2167642</v>
      </c>
      <c r="T178" s="177">
        <v>-2167642</v>
      </c>
      <c r="U178" s="177">
        <f>SUM(Data_Dep.12[[#This Row],[KH_2510]:[KH_2512]])</f>
        <v>-6502926</v>
      </c>
      <c r="V178" s="175">
        <f>Data_Dep.12[[#This Row],[Nguyên giá]]+Data_Dep.12[[#This Row],[KH lũy kế]]+Data_Dep.12[[#This Row],[KH_Q4.25]]</f>
        <v>151734953</v>
      </c>
      <c r="W178" s="178">
        <f>ROUND(Data_Dep.12[[#This Row],[T/G Khấu hao]]-Data_Dep.12[[#This Row],[Giá trị còn lại 31/12/25]]/Data_Dep.12[[#This Row],[Nguyên giá]]*Data_Dep.12[[#This Row],[T/G Khấu hao]],0)</f>
        <v>26</v>
      </c>
      <c r="X178" s="179">
        <v>48</v>
      </c>
      <c r="Y178" s="175">
        <f>Data_Dep.12[[#This Row],[T/G Khấu hao]]+Data_Dep.12[[#This Row],[Điều chỉnh]]</f>
        <v>144</v>
      </c>
      <c r="Z178" s="180">
        <f>EDATE(Data_Dep.12[[#This Row],[Ngày bắt đầu KH]],Data_Dep.12[[#This Row],[T/G điều chỉnh]])</f>
        <v>49614</v>
      </c>
      <c r="AA178" s="175">
        <f>Data_Dep.12[[#This Row],[T/G điều chỉnh]]-Data_Dep.12[[#This Row],[Số kỳ đã khấu hao]]</f>
        <v>118</v>
      </c>
      <c r="AB178" s="175">
        <f>IFERROR(-Data_Dep.12[[#This Row],[Giá trị còn lại 31/12/25]]/(Data_Dep.12[[#This Row],[T/G điều chỉnh]]-Data_Dep.12[[#This Row],[Số kỳ đã khấu hao]]),0)</f>
        <v>-1285889.4322033899</v>
      </c>
      <c r="AC178" s="181">
        <v>-1285889.4322033899</v>
      </c>
      <c r="AD178" s="181">
        <v>-1285889.4322033899</v>
      </c>
      <c r="AE178" s="181">
        <v>-1285889.4322033899</v>
      </c>
      <c r="AF178" s="181">
        <v>-1285889.4322033899</v>
      </c>
      <c r="AG178" s="181">
        <v>-1285889.4322033899</v>
      </c>
      <c r="AH178" s="181">
        <v>-1285889.4322033899</v>
      </c>
      <c r="AI178" s="181">
        <v>-1285889.4322033899</v>
      </c>
      <c r="AJ178" s="181">
        <v>-1285889.4322033899</v>
      </c>
      <c r="AK178" s="181">
        <v>-1285889.4322033899</v>
      </c>
      <c r="AL178" s="181">
        <v>-1285889.4322033899</v>
      </c>
      <c r="AM178" s="181">
        <v>-1285889.4322033899</v>
      </c>
      <c r="AN178" s="181">
        <v>-1285889.4322033899</v>
      </c>
      <c r="AO178" s="175">
        <f>SUM(Data_Dep.12[[#This Row],[KH_2601]:[KH_2612]])</f>
        <v>-15430673.186440678</v>
      </c>
      <c r="AP178" s="175">
        <f>Data_Dep.12[[#This Row],[Giá trị còn lại 31/12/25]]+Data_Dep.12[[#This Row],[KH LK 2026]]</f>
        <v>136304279.81355932</v>
      </c>
    </row>
    <row r="179" spans="1:42" x14ac:dyDescent="0.3">
      <c r="A179" s="169"/>
      <c r="B179" s="169"/>
      <c r="C179" s="170" t="s">
        <v>338</v>
      </c>
      <c r="D179" s="169" t="str">
        <f>_xlfn.XLOOKUP(Data_Dep.12[[#This Row],[Nhóm tài sản]],MD_Account_Asset_Type[Nhóm tài sản],MD_Account_Asset_Type[Tên Nhóm tài sản])</f>
        <v>Máy móc, thiết bị - SX 627</v>
      </c>
      <c r="E179" s="171" t="s">
        <v>908</v>
      </c>
      <c r="F179" s="170" t="s">
        <v>670</v>
      </c>
      <c r="G179" s="169" t="s">
        <v>830</v>
      </c>
      <c r="H179" s="170" t="s">
        <v>90</v>
      </c>
      <c r="I179" s="170" t="str">
        <f>_xlfn.XLOOKUP(Data_Dep.12[[#This Row],[Cost center]],MD_Cost_Center[Mã Cost Center],MD_Cost_Center[Tên Cost Center])</f>
        <v>Khối SX - Xưởng 4</v>
      </c>
      <c r="J179" s="172">
        <f>_xlfn.XLOOKUP(Data_Dep.12[[#This Row],[Cost center]],MD_Cost_Center[Mã Cost Center],MD_Cost_Center[Work center],"Check")</f>
        <v>0</v>
      </c>
      <c r="K179" s="169" t="str">
        <f>_xlfn.XLOOKUP(Data_Dep.12[[#This Row],[Nhóm tài sản]],MD_Account_Asset_Type[Nhóm tài sản],MD_Account_Asset_Type[Tài khoản KH],"Check")</f>
        <v>6274001903</v>
      </c>
      <c r="L179" s="173">
        <v>45231</v>
      </c>
      <c r="M179" s="174">
        <f>EDATE(Data_Dep.12[[#This Row],[Ngày bắt đầu KH]],Data_Dep.12[[#This Row],[T/G Khấu hao]])</f>
        <v>48153</v>
      </c>
      <c r="N179" s="175">
        <v>96</v>
      </c>
      <c r="O179" s="175">
        <v>673291026</v>
      </c>
      <c r="P179" s="176">
        <v>-161309308</v>
      </c>
      <c r="Q179" s="175">
        <f>Data_Dep.12[[#This Row],[Nguyên giá]]+Data_Dep.12[[#This Row],[KH lũy kế]]</f>
        <v>511981718</v>
      </c>
      <c r="R179" s="177">
        <v>-7013448</v>
      </c>
      <c r="S179" s="177">
        <v>-7013448</v>
      </c>
      <c r="T179" s="177">
        <v>-7013448</v>
      </c>
      <c r="U179" s="177">
        <f>SUM(Data_Dep.12[[#This Row],[KH_2510]:[KH_2512]])</f>
        <v>-21040344</v>
      </c>
      <c r="V179" s="175">
        <f>Data_Dep.12[[#This Row],[Nguyên giá]]+Data_Dep.12[[#This Row],[KH lũy kế]]+Data_Dep.12[[#This Row],[KH_Q4.25]]</f>
        <v>490941374</v>
      </c>
      <c r="W179" s="178">
        <f>ROUND(Data_Dep.12[[#This Row],[T/G Khấu hao]]-Data_Dep.12[[#This Row],[Giá trị còn lại 31/12/25]]/Data_Dep.12[[#This Row],[Nguyên giá]]*Data_Dep.12[[#This Row],[T/G Khấu hao]],0)</f>
        <v>26</v>
      </c>
      <c r="X179" s="179">
        <v>48</v>
      </c>
      <c r="Y179" s="175">
        <f>Data_Dep.12[[#This Row],[T/G Khấu hao]]+Data_Dep.12[[#This Row],[Điều chỉnh]]</f>
        <v>144</v>
      </c>
      <c r="Z179" s="180">
        <f>EDATE(Data_Dep.12[[#This Row],[Ngày bắt đầu KH]],Data_Dep.12[[#This Row],[T/G điều chỉnh]])</f>
        <v>49614</v>
      </c>
      <c r="AA179" s="175">
        <f>Data_Dep.12[[#This Row],[T/G điều chỉnh]]-Data_Dep.12[[#This Row],[Số kỳ đã khấu hao]]</f>
        <v>118</v>
      </c>
      <c r="AB179" s="175">
        <f>IFERROR(-Data_Dep.12[[#This Row],[Giá trị còn lại 31/12/25]]/(Data_Dep.12[[#This Row],[T/G điều chỉnh]]-Data_Dep.12[[#This Row],[Số kỳ đã khấu hao]]),0)</f>
        <v>-4160520.118644068</v>
      </c>
      <c r="AC179" s="181">
        <v>-4160520.118644068</v>
      </c>
      <c r="AD179" s="181">
        <v>-4160520.118644068</v>
      </c>
      <c r="AE179" s="181">
        <v>-4160520.118644068</v>
      </c>
      <c r="AF179" s="181">
        <v>-4160520.118644068</v>
      </c>
      <c r="AG179" s="181">
        <v>-4160520.118644068</v>
      </c>
      <c r="AH179" s="181">
        <v>-4160520.118644068</v>
      </c>
      <c r="AI179" s="181">
        <v>-4160520.118644068</v>
      </c>
      <c r="AJ179" s="181">
        <v>-4160520.118644068</v>
      </c>
      <c r="AK179" s="181">
        <v>-4160520.118644068</v>
      </c>
      <c r="AL179" s="181">
        <v>-4160520.118644068</v>
      </c>
      <c r="AM179" s="181">
        <v>-4160520.118644068</v>
      </c>
      <c r="AN179" s="181">
        <v>-4160520.118644068</v>
      </c>
      <c r="AO179" s="175">
        <f>SUM(Data_Dep.12[[#This Row],[KH_2601]:[KH_2612]])</f>
        <v>-49926241.423728801</v>
      </c>
      <c r="AP179" s="175">
        <f>Data_Dep.12[[#This Row],[Giá trị còn lại 31/12/25]]+Data_Dep.12[[#This Row],[KH LK 2026]]</f>
        <v>441015132.57627118</v>
      </c>
    </row>
    <row r="180" spans="1:42" x14ac:dyDescent="0.3">
      <c r="A180" s="169"/>
      <c r="B180" s="169"/>
      <c r="C180" s="170" t="s">
        <v>338</v>
      </c>
      <c r="D180" s="169" t="str">
        <f>_xlfn.XLOOKUP(Data_Dep.12[[#This Row],[Nhóm tài sản]],MD_Account_Asset_Type[Nhóm tài sản],MD_Account_Asset_Type[Tên Nhóm tài sản])</f>
        <v>Máy móc, thiết bị - SX 627</v>
      </c>
      <c r="E180" s="171" t="s">
        <v>909</v>
      </c>
      <c r="F180" s="170" t="s">
        <v>671</v>
      </c>
      <c r="G180" s="169" t="s">
        <v>830</v>
      </c>
      <c r="H180" s="170" t="s">
        <v>48</v>
      </c>
      <c r="I180" s="170" t="str">
        <f>_xlfn.XLOOKUP(Data_Dep.12[[#This Row],[Cost center]],MD_Cost_Center[Mã Cost Center],MD_Cost_Center[Tên Cost Center])</f>
        <v>Xưởng sản xuất PET</v>
      </c>
      <c r="J180" s="172">
        <f>_xlfn.XLOOKUP(Data_Dep.12[[#This Row],[Cost center]],MD_Cost_Center[Mã Cost Center],MD_Cost_Center[Work center],"Check")</f>
        <v>0</v>
      </c>
      <c r="K180" s="169" t="str">
        <f>_xlfn.XLOOKUP(Data_Dep.12[[#This Row],[Nhóm tài sản]],MD_Account_Asset_Type[Nhóm tài sản],MD_Account_Asset_Type[Tài khoản KH],"Check")</f>
        <v>6274001903</v>
      </c>
      <c r="L180" s="173">
        <v>45231</v>
      </c>
      <c r="M180" s="174">
        <f>EDATE(Data_Dep.12[[#This Row],[Ngày bắt đầu KH]],Data_Dep.12[[#This Row],[T/G Khấu hao]])</f>
        <v>48153</v>
      </c>
      <c r="N180" s="175">
        <v>96</v>
      </c>
      <c r="O180" s="175">
        <v>374180000</v>
      </c>
      <c r="P180" s="176">
        <v>-89647292</v>
      </c>
      <c r="Q180" s="175">
        <f>Data_Dep.12[[#This Row],[Nguyên giá]]+Data_Dep.12[[#This Row],[KH lũy kế]]</f>
        <v>284532708</v>
      </c>
      <c r="R180" s="177">
        <v>-3897708</v>
      </c>
      <c r="S180" s="177">
        <v>-3897709</v>
      </c>
      <c r="T180" s="177">
        <v>-3897708</v>
      </c>
      <c r="U180" s="177">
        <f>SUM(Data_Dep.12[[#This Row],[KH_2510]:[KH_2512]])</f>
        <v>-11693125</v>
      </c>
      <c r="V180" s="175">
        <f>Data_Dep.12[[#This Row],[Nguyên giá]]+Data_Dep.12[[#This Row],[KH lũy kế]]+Data_Dep.12[[#This Row],[KH_Q4.25]]</f>
        <v>272839583</v>
      </c>
      <c r="W180" s="178">
        <f>ROUND(Data_Dep.12[[#This Row],[T/G Khấu hao]]-Data_Dep.12[[#This Row],[Giá trị còn lại 31/12/25]]/Data_Dep.12[[#This Row],[Nguyên giá]]*Data_Dep.12[[#This Row],[T/G Khấu hao]],0)</f>
        <v>26</v>
      </c>
      <c r="X180" s="179">
        <v>48</v>
      </c>
      <c r="Y180" s="175">
        <f>Data_Dep.12[[#This Row],[T/G Khấu hao]]+Data_Dep.12[[#This Row],[Điều chỉnh]]</f>
        <v>144</v>
      </c>
      <c r="Z180" s="180">
        <f>EDATE(Data_Dep.12[[#This Row],[Ngày bắt đầu KH]],Data_Dep.12[[#This Row],[T/G điều chỉnh]])</f>
        <v>49614</v>
      </c>
      <c r="AA180" s="175">
        <f>Data_Dep.12[[#This Row],[T/G điều chỉnh]]-Data_Dep.12[[#This Row],[Số kỳ đã khấu hao]]</f>
        <v>118</v>
      </c>
      <c r="AB180" s="175">
        <f>IFERROR(-Data_Dep.12[[#This Row],[Giá trị còn lại 31/12/25]]/(Data_Dep.12[[#This Row],[T/G điều chỉnh]]-Data_Dep.12[[#This Row],[Số kỳ đã khấu hao]]),0)</f>
        <v>-2312199.8559322036</v>
      </c>
      <c r="AC180" s="181">
        <v>-2312199.8559322036</v>
      </c>
      <c r="AD180" s="181">
        <v>-2312199.8559322036</v>
      </c>
      <c r="AE180" s="181">
        <v>-2312199.8559322036</v>
      </c>
      <c r="AF180" s="181">
        <v>-2312199.8559322036</v>
      </c>
      <c r="AG180" s="181">
        <v>-2312199.8559322036</v>
      </c>
      <c r="AH180" s="181">
        <v>-2312199.8559322036</v>
      </c>
      <c r="AI180" s="181">
        <v>-2312199.8559322036</v>
      </c>
      <c r="AJ180" s="181">
        <v>-2312199.8559322036</v>
      </c>
      <c r="AK180" s="181">
        <v>-2312199.8559322036</v>
      </c>
      <c r="AL180" s="181">
        <v>-2312199.8559322036</v>
      </c>
      <c r="AM180" s="181">
        <v>-2312199.8559322036</v>
      </c>
      <c r="AN180" s="181">
        <v>-2312199.8559322036</v>
      </c>
      <c r="AO180" s="175">
        <f>SUM(Data_Dep.12[[#This Row],[KH_2601]:[KH_2612]])</f>
        <v>-27746398.271186437</v>
      </c>
      <c r="AP180" s="175">
        <f>Data_Dep.12[[#This Row],[Giá trị còn lại 31/12/25]]+Data_Dep.12[[#This Row],[KH LK 2026]]</f>
        <v>245093184.72881356</v>
      </c>
    </row>
    <row r="181" spans="1:42" x14ac:dyDescent="0.3">
      <c r="A181" s="169"/>
      <c r="B181" s="169"/>
      <c r="C181" s="170" t="s">
        <v>338</v>
      </c>
      <c r="D181" s="169" t="str">
        <f>_xlfn.XLOOKUP(Data_Dep.12[[#This Row],[Nhóm tài sản]],MD_Account_Asset_Type[Nhóm tài sản],MD_Account_Asset_Type[Tên Nhóm tài sản])</f>
        <v>Máy móc, thiết bị - SX 627</v>
      </c>
      <c r="E181" s="171" t="s">
        <v>910</v>
      </c>
      <c r="F181" s="170" t="s">
        <v>672</v>
      </c>
      <c r="G181" s="169" t="s">
        <v>830</v>
      </c>
      <c r="H181" s="170" t="s">
        <v>73</v>
      </c>
      <c r="I181" s="170" t="str">
        <f>_xlfn.XLOOKUP(Data_Dep.12[[#This Row],[Cost center]],MD_Cost_Center[Mã Cost Center],MD_Cost_Center[Tên Cost Center])</f>
        <v>Chuyền tạo hạt rPP hiệu YE I</v>
      </c>
      <c r="J181" s="172" t="str">
        <f>_xlfn.XLOOKUP(Data_Dep.12[[#This Row],[Cost center]],MD_Cost_Center[Mã Cost Center],MD_Cost_Center[Work center],"Check")</f>
        <v>YEPP-01 | YEPP-02</v>
      </c>
      <c r="K181" s="169" t="str">
        <f>_xlfn.XLOOKUP(Data_Dep.12[[#This Row],[Nhóm tài sản]],MD_Account_Asset_Type[Nhóm tài sản],MD_Account_Asset_Type[Tài khoản KH],"Check")</f>
        <v>6274001903</v>
      </c>
      <c r="L181" s="173">
        <v>45261</v>
      </c>
      <c r="M181" s="174">
        <f>EDATE(Data_Dep.12[[#This Row],[Ngày bắt đầu KH]],Data_Dep.12[[#This Row],[T/G Khấu hao]])</f>
        <v>47088</v>
      </c>
      <c r="N181" s="175">
        <v>60</v>
      </c>
      <c r="O181" s="175">
        <v>1798575168</v>
      </c>
      <c r="P181" s="176">
        <v>-659477562</v>
      </c>
      <c r="Q181" s="175">
        <f>Data_Dep.12[[#This Row],[Nguyên giá]]+Data_Dep.12[[#This Row],[KH lũy kế]]</f>
        <v>1139097606</v>
      </c>
      <c r="R181" s="177">
        <v>-29976253</v>
      </c>
      <c r="S181" s="177">
        <v>-29976253</v>
      </c>
      <c r="T181" s="177">
        <v>-29976252</v>
      </c>
      <c r="U181" s="177">
        <f>SUM(Data_Dep.12[[#This Row],[KH_2510]:[KH_2512]])</f>
        <v>-89928758</v>
      </c>
      <c r="V181" s="175">
        <f>Data_Dep.12[[#This Row],[Nguyên giá]]+Data_Dep.12[[#This Row],[KH lũy kế]]+Data_Dep.12[[#This Row],[KH_Q4.25]]</f>
        <v>1049168848</v>
      </c>
      <c r="W181" s="178">
        <f>ROUND(Data_Dep.12[[#This Row],[T/G Khấu hao]]-Data_Dep.12[[#This Row],[Giá trị còn lại 31/12/25]]/Data_Dep.12[[#This Row],[Nguyên giá]]*Data_Dep.12[[#This Row],[T/G Khấu hao]],0)</f>
        <v>25</v>
      </c>
      <c r="X181" s="179">
        <v>84</v>
      </c>
      <c r="Y181" s="175">
        <f>Data_Dep.12[[#This Row],[T/G Khấu hao]]+Data_Dep.12[[#This Row],[Điều chỉnh]]</f>
        <v>144</v>
      </c>
      <c r="Z181" s="180">
        <f>EDATE(Data_Dep.12[[#This Row],[Ngày bắt đầu KH]],Data_Dep.12[[#This Row],[T/G điều chỉnh]])</f>
        <v>49644</v>
      </c>
      <c r="AA181" s="175">
        <f>Data_Dep.12[[#This Row],[T/G điều chỉnh]]-Data_Dep.12[[#This Row],[Số kỳ đã khấu hao]]</f>
        <v>119</v>
      </c>
      <c r="AB181" s="175">
        <f>IFERROR(-Data_Dep.12[[#This Row],[Giá trị còn lại 31/12/25]]/(Data_Dep.12[[#This Row],[T/G điều chỉnh]]-Data_Dep.12[[#This Row],[Số kỳ đã khấu hao]]),0)</f>
        <v>-8816544.9411764704</v>
      </c>
      <c r="AC181" s="181">
        <v>-8816544.9411764704</v>
      </c>
      <c r="AD181" s="181">
        <v>-8816544.9411764704</v>
      </c>
      <c r="AE181" s="181">
        <v>-8816544.9411764704</v>
      </c>
      <c r="AF181" s="181">
        <v>-8816544.9411764704</v>
      </c>
      <c r="AG181" s="181">
        <v>-8816544.9411764704</v>
      </c>
      <c r="AH181" s="181">
        <v>-8816544.9411764704</v>
      </c>
      <c r="AI181" s="181">
        <v>-8816544.9411764704</v>
      </c>
      <c r="AJ181" s="181">
        <v>-8816544.9411764704</v>
      </c>
      <c r="AK181" s="181">
        <v>-8816544.9411764704</v>
      </c>
      <c r="AL181" s="181">
        <v>-8816544.9411764704</v>
      </c>
      <c r="AM181" s="181">
        <v>-8816544.9411764704</v>
      </c>
      <c r="AN181" s="181">
        <v>-8816544.9411764704</v>
      </c>
      <c r="AO181" s="175">
        <f>SUM(Data_Dep.12[[#This Row],[KH_2601]:[KH_2612]])</f>
        <v>-105798539.29411767</v>
      </c>
      <c r="AP181" s="175">
        <f>Data_Dep.12[[#This Row],[Giá trị còn lại 31/12/25]]+Data_Dep.12[[#This Row],[KH LK 2026]]</f>
        <v>943370308.70588231</v>
      </c>
    </row>
    <row r="182" spans="1:42" x14ac:dyDescent="0.3">
      <c r="A182" s="169"/>
      <c r="B182" s="169"/>
      <c r="C182" s="170" t="s">
        <v>338</v>
      </c>
      <c r="D182" s="169" t="str">
        <f>_xlfn.XLOOKUP(Data_Dep.12[[#This Row],[Nhóm tài sản]],MD_Account_Asset_Type[Nhóm tài sản],MD_Account_Asset_Type[Tên Nhóm tài sản])</f>
        <v>Máy móc, thiết bị - SX 627</v>
      </c>
      <c r="E182" s="171" t="s">
        <v>911</v>
      </c>
      <c r="F182" s="170" t="s">
        <v>673</v>
      </c>
      <c r="G182" s="169" t="s">
        <v>830</v>
      </c>
      <c r="H182" s="170" t="s">
        <v>48</v>
      </c>
      <c r="I182" s="170" t="str">
        <f>_xlfn.XLOOKUP(Data_Dep.12[[#This Row],[Cost center]],MD_Cost_Center[Mã Cost Center],MD_Cost_Center[Tên Cost Center])</f>
        <v>Xưởng sản xuất PET</v>
      </c>
      <c r="J182" s="172">
        <f>_xlfn.XLOOKUP(Data_Dep.12[[#This Row],[Cost center]],MD_Cost_Center[Mã Cost Center],MD_Cost_Center[Work center],"Check")</f>
        <v>0</v>
      </c>
      <c r="K182" s="169" t="str">
        <f>_xlfn.XLOOKUP(Data_Dep.12[[#This Row],[Nhóm tài sản]],MD_Account_Asset_Type[Nhóm tài sản],MD_Account_Asset_Type[Tài khoản KH],"Check")</f>
        <v>6274001903</v>
      </c>
      <c r="L182" s="173">
        <v>45261</v>
      </c>
      <c r="M182" s="174">
        <f>EDATE(Data_Dep.12[[#This Row],[Ngày bắt đầu KH]],Data_Dep.12[[#This Row],[T/G Khấu hao]])</f>
        <v>47088</v>
      </c>
      <c r="N182" s="175">
        <v>60</v>
      </c>
      <c r="O182" s="175">
        <v>411877593</v>
      </c>
      <c r="P182" s="176">
        <v>-150802668</v>
      </c>
      <c r="Q182" s="175">
        <f>Data_Dep.12[[#This Row],[Nguyên giá]]+Data_Dep.12[[#This Row],[KH lũy kế]]</f>
        <v>261074925</v>
      </c>
      <c r="R182" s="177">
        <v>-6870393</v>
      </c>
      <c r="S182" s="177">
        <v>-6870392</v>
      </c>
      <c r="T182" s="177">
        <v>-6870393</v>
      </c>
      <c r="U182" s="177">
        <f>SUM(Data_Dep.12[[#This Row],[KH_2510]:[KH_2512]])</f>
        <v>-20611178</v>
      </c>
      <c r="V182" s="175">
        <f>Data_Dep.12[[#This Row],[Nguyên giá]]+Data_Dep.12[[#This Row],[KH lũy kế]]+Data_Dep.12[[#This Row],[KH_Q4.25]]</f>
        <v>240463747</v>
      </c>
      <c r="W182" s="178">
        <f>ROUND(Data_Dep.12[[#This Row],[T/G Khấu hao]]-Data_Dep.12[[#This Row],[Giá trị còn lại 31/12/25]]/Data_Dep.12[[#This Row],[Nguyên giá]]*Data_Dep.12[[#This Row],[T/G Khấu hao]],0)</f>
        <v>25</v>
      </c>
      <c r="X182" s="179">
        <v>84</v>
      </c>
      <c r="Y182" s="175">
        <f>Data_Dep.12[[#This Row],[T/G Khấu hao]]+Data_Dep.12[[#This Row],[Điều chỉnh]]</f>
        <v>144</v>
      </c>
      <c r="Z182" s="180">
        <f>EDATE(Data_Dep.12[[#This Row],[Ngày bắt đầu KH]],Data_Dep.12[[#This Row],[T/G điều chỉnh]])</f>
        <v>49644</v>
      </c>
      <c r="AA182" s="175">
        <f>Data_Dep.12[[#This Row],[T/G điều chỉnh]]-Data_Dep.12[[#This Row],[Số kỳ đã khấu hao]]</f>
        <v>119</v>
      </c>
      <c r="AB182" s="175">
        <f>IFERROR(-Data_Dep.12[[#This Row],[Giá trị còn lại 31/12/25]]/(Data_Dep.12[[#This Row],[T/G điều chỉnh]]-Data_Dep.12[[#This Row],[Số kỳ đã khấu hao]]),0)</f>
        <v>-2020703.7563025211</v>
      </c>
      <c r="AC182" s="181">
        <v>-2020703.7563025211</v>
      </c>
      <c r="AD182" s="181">
        <v>-2020703.7563025211</v>
      </c>
      <c r="AE182" s="181">
        <v>-2020703.7563025211</v>
      </c>
      <c r="AF182" s="181">
        <v>-2020703.7563025211</v>
      </c>
      <c r="AG182" s="181">
        <v>-2020703.7563025211</v>
      </c>
      <c r="AH182" s="181">
        <v>-2020703.7563025211</v>
      </c>
      <c r="AI182" s="181">
        <v>-2020703.7563025211</v>
      </c>
      <c r="AJ182" s="181">
        <v>-2020703.7563025211</v>
      </c>
      <c r="AK182" s="181">
        <v>-2020703.7563025211</v>
      </c>
      <c r="AL182" s="181">
        <v>-2020703.7563025211</v>
      </c>
      <c r="AM182" s="181">
        <v>-2020703.7563025211</v>
      </c>
      <c r="AN182" s="181">
        <v>-2020703.7563025211</v>
      </c>
      <c r="AO182" s="175">
        <f>SUM(Data_Dep.12[[#This Row],[KH_2601]:[KH_2612]])</f>
        <v>-24248445.075630251</v>
      </c>
      <c r="AP182" s="175">
        <f>Data_Dep.12[[#This Row],[Giá trị còn lại 31/12/25]]+Data_Dep.12[[#This Row],[KH LK 2026]]</f>
        <v>216215301.92436975</v>
      </c>
    </row>
    <row r="183" spans="1:42" x14ac:dyDescent="0.3">
      <c r="A183" s="169"/>
      <c r="B183" s="169"/>
      <c r="C183" s="170" t="s">
        <v>338</v>
      </c>
      <c r="D183" s="169" t="str">
        <f>_xlfn.XLOOKUP(Data_Dep.12[[#This Row],[Nhóm tài sản]],MD_Account_Asset_Type[Nhóm tài sản],MD_Account_Asset_Type[Tên Nhóm tài sản])</f>
        <v>Máy móc, thiết bị - SX 627</v>
      </c>
      <c r="E183" s="171" t="s">
        <v>912</v>
      </c>
      <c r="F183" s="170" t="s">
        <v>674</v>
      </c>
      <c r="G183" s="169" t="s">
        <v>830</v>
      </c>
      <c r="H183" s="170" t="s">
        <v>48</v>
      </c>
      <c r="I183" s="170" t="str">
        <f>_xlfn.XLOOKUP(Data_Dep.12[[#This Row],[Cost center]],MD_Cost_Center[Mã Cost Center],MD_Cost_Center[Tên Cost Center])</f>
        <v>Xưởng sản xuất PET</v>
      </c>
      <c r="J183" s="172">
        <f>_xlfn.XLOOKUP(Data_Dep.12[[#This Row],[Cost center]],MD_Cost_Center[Mã Cost Center],MD_Cost_Center[Work center],"Check")</f>
        <v>0</v>
      </c>
      <c r="K183" s="169" t="str">
        <f>_xlfn.XLOOKUP(Data_Dep.12[[#This Row],[Nhóm tài sản]],MD_Account_Asset_Type[Nhóm tài sản],MD_Account_Asset_Type[Tài khoản KH],"Check")</f>
        <v>6274001903</v>
      </c>
      <c r="L183" s="173">
        <v>45261</v>
      </c>
      <c r="M183" s="174">
        <f>EDATE(Data_Dep.12[[#This Row],[Ngày bắt đầu KH]],Data_Dep.12[[#This Row],[T/G Khấu hao]])</f>
        <v>48183</v>
      </c>
      <c r="N183" s="175">
        <v>96</v>
      </c>
      <c r="O183" s="175">
        <v>187287621</v>
      </c>
      <c r="P183" s="176">
        <v>-42903661</v>
      </c>
      <c r="Q183" s="175">
        <f>Data_Dep.12[[#This Row],[Nguyên giá]]+Data_Dep.12[[#This Row],[KH lũy kế]]</f>
        <v>144383960</v>
      </c>
      <c r="R183" s="177">
        <v>-1951135</v>
      </c>
      <c r="S183" s="177">
        <v>-1951134</v>
      </c>
      <c r="T183" s="177">
        <v>-1951135</v>
      </c>
      <c r="U183" s="177">
        <f>SUM(Data_Dep.12[[#This Row],[KH_2510]:[KH_2512]])</f>
        <v>-5853404</v>
      </c>
      <c r="V183" s="175">
        <f>Data_Dep.12[[#This Row],[Nguyên giá]]+Data_Dep.12[[#This Row],[KH lũy kế]]+Data_Dep.12[[#This Row],[KH_Q4.25]]</f>
        <v>138530556</v>
      </c>
      <c r="W183" s="178">
        <f>ROUND(Data_Dep.12[[#This Row],[T/G Khấu hao]]-Data_Dep.12[[#This Row],[Giá trị còn lại 31/12/25]]/Data_Dep.12[[#This Row],[Nguyên giá]]*Data_Dep.12[[#This Row],[T/G Khấu hao]],0)</f>
        <v>25</v>
      </c>
      <c r="X183" s="179">
        <v>48</v>
      </c>
      <c r="Y183" s="175">
        <f>Data_Dep.12[[#This Row],[T/G Khấu hao]]+Data_Dep.12[[#This Row],[Điều chỉnh]]</f>
        <v>144</v>
      </c>
      <c r="Z183" s="180">
        <f>EDATE(Data_Dep.12[[#This Row],[Ngày bắt đầu KH]],Data_Dep.12[[#This Row],[T/G điều chỉnh]])</f>
        <v>49644</v>
      </c>
      <c r="AA183" s="175">
        <f>Data_Dep.12[[#This Row],[T/G điều chỉnh]]-Data_Dep.12[[#This Row],[Số kỳ đã khấu hao]]</f>
        <v>119</v>
      </c>
      <c r="AB183" s="175">
        <f>IFERROR(-Data_Dep.12[[#This Row],[Giá trị còn lại 31/12/25]]/(Data_Dep.12[[#This Row],[T/G điều chỉnh]]-Data_Dep.12[[#This Row],[Số kỳ đã khấu hao]]),0)</f>
        <v>-1164122.3193277312</v>
      </c>
      <c r="AC183" s="181">
        <v>-1164122.3193277312</v>
      </c>
      <c r="AD183" s="181">
        <v>-1164122.3193277312</v>
      </c>
      <c r="AE183" s="181">
        <v>-1164122.3193277312</v>
      </c>
      <c r="AF183" s="181">
        <v>-1164122.3193277312</v>
      </c>
      <c r="AG183" s="181">
        <v>-1164122.3193277312</v>
      </c>
      <c r="AH183" s="181">
        <v>-1164122.3193277312</v>
      </c>
      <c r="AI183" s="181">
        <v>-1164122.3193277312</v>
      </c>
      <c r="AJ183" s="181">
        <v>-1164122.3193277312</v>
      </c>
      <c r="AK183" s="181">
        <v>-1164122.3193277312</v>
      </c>
      <c r="AL183" s="181">
        <v>-1164122.3193277312</v>
      </c>
      <c r="AM183" s="181">
        <v>-1164122.3193277312</v>
      </c>
      <c r="AN183" s="181">
        <v>-1164122.3193277312</v>
      </c>
      <c r="AO183" s="175">
        <f>SUM(Data_Dep.12[[#This Row],[KH_2601]:[KH_2612]])</f>
        <v>-13969467.83193277</v>
      </c>
      <c r="AP183" s="175">
        <f>Data_Dep.12[[#This Row],[Giá trị còn lại 31/12/25]]+Data_Dep.12[[#This Row],[KH LK 2026]]</f>
        <v>124561088.16806723</v>
      </c>
    </row>
    <row r="184" spans="1:42" x14ac:dyDescent="0.3">
      <c r="A184" s="169"/>
      <c r="B184" s="169"/>
      <c r="C184" s="170" t="s">
        <v>338</v>
      </c>
      <c r="D184" s="169" t="str">
        <f>_xlfn.XLOOKUP(Data_Dep.12[[#This Row],[Nhóm tài sản]],MD_Account_Asset_Type[Nhóm tài sản],MD_Account_Asset_Type[Tên Nhóm tài sản])</f>
        <v>Máy móc, thiết bị - SX 627</v>
      </c>
      <c r="E184" s="171" t="s">
        <v>913</v>
      </c>
      <c r="F184" s="170" t="s">
        <v>675</v>
      </c>
      <c r="G184" s="169" t="s">
        <v>502</v>
      </c>
      <c r="H184" s="170" t="s">
        <v>46</v>
      </c>
      <c r="I184" s="170" t="str">
        <f>_xlfn.XLOOKUP(Data_Dep.12[[#This Row],[Cost center]],MD_Cost_Center[Mã Cost Center],MD_Cost_Center[Tên Cost Center])</f>
        <v>Kiểm soát chất lượng</v>
      </c>
      <c r="J184" s="172">
        <f>_xlfn.XLOOKUP(Data_Dep.12[[#This Row],[Cost center]],MD_Cost_Center[Mã Cost Center],MD_Cost_Center[Work center],"Check")</f>
        <v>0</v>
      </c>
      <c r="K184" s="169" t="str">
        <f>_xlfn.XLOOKUP(Data_Dep.12[[#This Row],[Nhóm tài sản]],MD_Account_Asset_Type[Nhóm tài sản],MD_Account_Asset_Type[Tài khoản KH],"Check")</f>
        <v>6274001903</v>
      </c>
      <c r="L184" s="173">
        <v>45444</v>
      </c>
      <c r="M184" s="174">
        <f>EDATE(Data_Dep.12[[#This Row],[Ngày bắt đầu KH]],Data_Dep.12[[#This Row],[T/G Khấu hao]])</f>
        <v>46539</v>
      </c>
      <c r="N184" s="175">
        <v>36</v>
      </c>
      <c r="O184" s="175">
        <v>48500000</v>
      </c>
      <c r="P184" s="176">
        <v>-21555556</v>
      </c>
      <c r="Q184" s="175">
        <f>Data_Dep.12[[#This Row],[Nguyên giá]]+Data_Dep.12[[#This Row],[KH lũy kế]]</f>
        <v>26944444</v>
      </c>
      <c r="R184" s="177">
        <v>-1347222</v>
      </c>
      <c r="S184" s="177">
        <v>-1347222</v>
      </c>
      <c r="T184" s="177">
        <v>-1347222</v>
      </c>
      <c r="U184" s="177">
        <f>SUM(Data_Dep.12[[#This Row],[KH_2510]:[KH_2512]])</f>
        <v>-4041666</v>
      </c>
      <c r="V184" s="175">
        <f>Data_Dep.12[[#This Row],[Nguyên giá]]+Data_Dep.12[[#This Row],[KH lũy kế]]+Data_Dep.12[[#This Row],[KH_Q4.25]]</f>
        <v>22902778</v>
      </c>
      <c r="W184" s="178">
        <f>ROUND(Data_Dep.12[[#This Row],[T/G Khấu hao]]-Data_Dep.12[[#This Row],[Giá trị còn lại 31/12/25]]/Data_Dep.12[[#This Row],[Nguyên giá]]*Data_Dep.12[[#This Row],[T/G Khấu hao]],0)</f>
        <v>19</v>
      </c>
      <c r="X184" s="179">
        <v>108</v>
      </c>
      <c r="Y184" s="175">
        <f>Data_Dep.12[[#This Row],[T/G Khấu hao]]+Data_Dep.12[[#This Row],[Điều chỉnh]]</f>
        <v>144</v>
      </c>
      <c r="Z184" s="180">
        <f>EDATE(Data_Dep.12[[#This Row],[Ngày bắt đầu KH]],Data_Dep.12[[#This Row],[T/G điều chỉnh]])</f>
        <v>49827</v>
      </c>
      <c r="AA184" s="175">
        <f>Data_Dep.12[[#This Row],[T/G điều chỉnh]]-Data_Dep.12[[#This Row],[Số kỳ đã khấu hao]]</f>
        <v>125</v>
      </c>
      <c r="AB184" s="175">
        <f>IFERROR(-Data_Dep.12[[#This Row],[Giá trị còn lại 31/12/25]]/(Data_Dep.12[[#This Row],[T/G điều chỉnh]]-Data_Dep.12[[#This Row],[Số kỳ đã khấu hao]]),0)</f>
        <v>-183222.22399999999</v>
      </c>
      <c r="AC184" s="181">
        <v>-183222.22399999999</v>
      </c>
      <c r="AD184" s="181">
        <v>-183222.22399999999</v>
      </c>
      <c r="AE184" s="181">
        <v>-183222.22399999999</v>
      </c>
      <c r="AF184" s="181">
        <v>-183222.22399999999</v>
      </c>
      <c r="AG184" s="181">
        <v>-183222.22399999999</v>
      </c>
      <c r="AH184" s="181">
        <v>-183222.22399999999</v>
      </c>
      <c r="AI184" s="181">
        <v>-183222.22399999999</v>
      </c>
      <c r="AJ184" s="181">
        <v>-183222.22399999999</v>
      </c>
      <c r="AK184" s="181">
        <v>-183222.22399999999</v>
      </c>
      <c r="AL184" s="181">
        <v>-183222.22399999999</v>
      </c>
      <c r="AM184" s="181">
        <v>-183222.22399999999</v>
      </c>
      <c r="AN184" s="181">
        <v>-183222.22399999999</v>
      </c>
      <c r="AO184" s="175">
        <f>SUM(Data_Dep.12[[#This Row],[KH_2601]:[KH_2612]])</f>
        <v>-2198666.6879999996</v>
      </c>
      <c r="AP184" s="175">
        <f>Data_Dep.12[[#This Row],[Giá trị còn lại 31/12/25]]+Data_Dep.12[[#This Row],[KH LK 2026]]</f>
        <v>20704111.311999999</v>
      </c>
    </row>
    <row r="185" spans="1:42" x14ac:dyDescent="0.3">
      <c r="A185" s="169"/>
      <c r="B185" s="169"/>
      <c r="C185" s="170" t="s">
        <v>338</v>
      </c>
      <c r="D185" s="169" t="str">
        <f>_xlfn.XLOOKUP(Data_Dep.12[[#This Row],[Nhóm tài sản]],MD_Account_Asset_Type[Nhóm tài sản],MD_Account_Asset_Type[Tên Nhóm tài sản])</f>
        <v>Máy móc, thiết bị - SX 627</v>
      </c>
      <c r="E185" s="171" t="s">
        <v>914</v>
      </c>
      <c r="F185" s="170" t="s">
        <v>676</v>
      </c>
      <c r="G185" s="169" t="s">
        <v>502</v>
      </c>
      <c r="H185" s="170" t="s">
        <v>91</v>
      </c>
      <c r="I185" s="170" t="str">
        <f>_xlfn.XLOOKUP(Data_Dep.12[[#This Row],[Cost center]],MD_Cost_Center[Mã Cost Center],MD_Cost_Center[Tên Cost Center])</f>
        <v>Xưởng sản xuất HDPE</v>
      </c>
      <c r="J185" s="172">
        <f>_xlfn.XLOOKUP(Data_Dep.12[[#This Row],[Cost center]],MD_Cost_Center[Mã Cost Center],MD_Cost_Center[Work center],"Check")</f>
        <v>0</v>
      </c>
      <c r="K185" s="169" t="str">
        <f>_xlfn.XLOOKUP(Data_Dep.12[[#This Row],[Nhóm tài sản]],MD_Account_Asset_Type[Nhóm tài sản],MD_Account_Asset_Type[Tài khoản KH],"Check")</f>
        <v>6274001903</v>
      </c>
      <c r="L185" s="173">
        <v>45444</v>
      </c>
      <c r="M185" s="174">
        <f>EDATE(Data_Dep.12[[#This Row],[Ngày bắt đầu KH]],Data_Dep.12[[#This Row],[T/G Khấu hao]])</f>
        <v>47270</v>
      </c>
      <c r="N185" s="175">
        <v>60</v>
      </c>
      <c r="O185" s="175">
        <v>40000000</v>
      </c>
      <c r="P185" s="176">
        <v>-10666667</v>
      </c>
      <c r="Q185" s="175">
        <f>Data_Dep.12[[#This Row],[Nguyên giá]]+Data_Dep.12[[#This Row],[KH lũy kế]]</f>
        <v>29333333</v>
      </c>
      <c r="R185" s="177">
        <v>-666667</v>
      </c>
      <c r="S185" s="177">
        <v>-666666</v>
      </c>
      <c r="T185" s="177">
        <v>-666667</v>
      </c>
      <c r="U185" s="177">
        <f>SUM(Data_Dep.12[[#This Row],[KH_2510]:[KH_2512]])</f>
        <v>-2000000</v>
      </c>
      <c r="V185" s="175">
        <f>Data_Dep.12[[#This Row],[Nguyên giá]]+Data_Dep.12[[#This Row],[KH lũy kế]]+Data_Dep.12[[#This Row],[KH_Q4.25]]</f>
        <v>27333333</v>
      </c>
      <c r="W185" s="178">
        <f>ROUND(Data_Dep.12[[#This Row],[T/G Khấu hao]]-Data_Dep.12[[#This Row],[Giá trị còn lại 31/12/25]]/Data_Dep.12[[#This Row],[Nguyên giá]]*Data_Dep.12[[#This Row],[T/G Khấu hao]],0)</f>
        <v>19</v>
      </c>
      <c r="X185" s="179">
        <v>84</v>
      </c>
      <c r="Y185" s="175">
        <f>Data_Dep.12[[#This Row],[T/G Khấu hao]]+Data_Dep.12[[#This Row],[Điều chỉnh]]</f>
        <v>144</v>
      </c>
      <c r="Z185" s="180">
        <f>EDATE(Data_Dep.12[[#This Row],[Ngày bắt đầu KH]],Data_Dep.12[[#This Row],[T/G điều chỉnh]])</f>
        <v>49827</v>
      </c>
      <c r="AA185" s="175">
        <f>Data_Dep.12[[#This Row],[T/G điều chỉnh]]-Data_Dep.12[[#This Row],[Số kỳ đã khấu hao]]</f>
        <v>125</v>
      </c>
      <c r="AB185" s="175">
        <f>IFERROR(-Data_Dep.12[[#This Row],[Giá trị còn lại 31/12/25]]/(Data_Dep.12[[#This Row],[T/G điều chỉnh]]-Data_Dep.12[[#This Row],[Số kỳ đã khấu hao]]),0)</f>
        <v>-218666.66399999999</v>
      </c>
      <c r="AC185" s="181">
        <v>-218666.66399999999</v>
      </c>
      <c r="AD185" s="181">
        <v>-218666.66399999999</v>
      </c>
      <c r="AE185" s="181">
        <v>-218666.66399999999</v>
      </c>
      <c r="AF185" s="181">
        <v>-218666.66399999999</v>
      </c>
      <c r="AG185" s="181">
        <v>-218666.66399999999</v>
      </c>
      <c r="AH185" s="181">
        <v>-218666.66399999999</v>
      </c>
      <c r="AI185" s="181">
        <v>-218666.66399999999</v>
      </c>
      <c r="AJ185" s="181">
        <v>-218666.66399999999</v>
      </c>
      <c r="AK185" s="181">
        <v>-218666.66399999999</v>
      </c>
      <c r="AL185" s="181">
        <v>-218666.66399999999</v>
      </c>
      <c r="AM185" s="181">
        <v>-218666.66399999999</v>
      </c>
      <c r="AN185" s="181">
        <v>-218666.66399999999</v>
      </c>
      <c r="AO185" s="175">
        <f>SUM(Data_Dep.12[[#This Row],[KH_2601]:[KH_2612]])</f>
        <v>-2623999.9679999989</v>
      </c>
      <c r="AP185" s="175">
        <f>Data_Dep.12[[#This Row],[Giá trị còn lại 31/12/25]]+Data_Dep.12[[#This Row],[KH LK 2026]]</f>
        <v>24709333.032000002</v>
      </c>
    </row>
    <row r="186" spans="1:42" x14ac:dyDescent="0.3">
      <c r="A186" s="169"/>
      <c r="B186" s="169"/>
      <c r="C186" s="170" t="s">
        <v>338</v>
      </c>
      <c r="D186" s="169" t="str">
        <f>_xlfn.XLOOKUP(Data_Dep.12[[#This Row],[Nhóm tài sản]],MD_Account_Asset_Type[Nhóm tài sản],MD_Account_Asset_Type[Tên Nhóm tài sản])</f>
        <v>Máy móc, thiết bị - SX 627</v>
      </c>
      <c r="E186" s="171" t="s">
        <v>915</v>
      </c>
      <c r="F186" s="170" t="s">
        <v>677</v>
      </c>
      <c r="G186" s="169" t="s">
        <v>502</v>
      </c>
      <c r="H186" s="170" t="s">
        <v>48</v>
      </c>
      <c r="I186" s="170" t="str">
        <f>_xlfn.XLOOKUP(Data_Dep.12[[#This Row],[Cost center]],MD_Cost_Center[Mã Cost Center],MD_Cost_Center[Tên Cost Center])</f>
        <v>Xưởng sản xuất PET</v>
      </c>
      <c r="J186" s="172">
        <f>_xlfn.XLOOKUP(Data_Dep.12[[#This Row],[Cost center]],MD_Cost_Center[Mã Cost Center],MD_Cost_Center[Work center],"Check")</f>
        <v>0</v>
      </c>
      <c r="K186" s="169" t="str">
        <f>_xlfn.XLOOKUP(Data_Dep.12[[#This Row],[Nhóm tài sản]],MD_Account_Asset_Type[Nhóm tài sản],MD_Account_Asset_Type[Tài khoản KH],"Check")</f>
        <v>6274001903</v>
      </c>
      <c r="L186" s="173">
        <v>45383</v>
      </c>
      <c r="M186" s="174">
        <f>EDATE(Data_Dep.12[[#This Row],[Ngày bắt đầu KH]],Data_Dep.12[[#This Row],[T/G Khấu hao]])</f>
        <v>49035</v>
      </c>
      <c r="N186" s="175">
        <v>120</v>
      </c>
      <c r="O186" s="175">
        <v>6912429918</v>
      </c>
      <c r="P186" s="176">
        <v>-1036864488</v>
      </c>
      <c r="Q186" s="175">
        <f>Data_Dep.12[[#This Row],[Nguyên giá]]+Data_Dep.12[[#This Row],[KH lũy kế]]</f>
        <v>5875565430</v>
      </c>
      <c r="R186" s="177">
        <v>-57603582</v>
      </c>
      <c r="S186" s="177">
        <v>-57603583</v>
      </c>
      <c r="T186" s="177">
        <v>-57603583</v>
      </c>
      <c r="U186" s="177">
        <f>SUM(Data_Dep.12[[#This Row],[KH_2510]:[KH_2512]])</f>
        <v>-172810748</v>
      </c>
      <c r="V186" s="175">
        <f>Data_Dep.12[[#This Row],[Nguyên giá]]+Data_Dep.12[[#This Row],[KH lũy kế]]+Data_Dep.12[[#This Row],[KH_Q4.25]]</f>
        <v>5702754682</v>
      </c>
      <c r="W186" s="178">
        <f>ROUND(Data_Dep.12[[#This Row],[T/G Khấu hao]]-Data_Dep.12[[#This Row],[Giá trị còn lại 31/12/25]]/Data_Dep.12[[#This Row],[Nguyên giá]]*Data_Dep.12[[#This Row],[T/G Khấu hao]],0)</f>
        <v>21</v>
      </c>
      <c r="X186" s="179">
        <v>60</v>
      </c>
      <c r="Y186" s="175">
        <f>Data_Dep.12[[#This Row],[T/G Khấu hao]]+Data_Dep.12[[#This Row],[Điều chỉnh]]</f>
        <v>180</v>
      </c>
      <c r="Z186" s="180">
        <f>EDATE(Data_Dep.12[[#This Row],[Ngày bắt đầu KH]],Data_Dep.12[[#This Row],[T/G điều chỉnh]])</f>
        <v>50861</v>
      </c>
      <c r="AA186" s="175">
        <f>Data_Dep.12[[#This Row],[T/G điều chỉnh]]-Data_Dep.12[[#This Row],[Số kỳ đã khấu hao]]</f>
        <v>159</v>
      </c>
      <c r="AB186" s="175">
        <f>IFERROR(-Data_Dep.12[[#This Row],[Giá trị còn lại 31/12/25]]/(Data_Dep.12[[#This Row],[T/G điều chỉnh]]-Data_Dep.12[[#This Row],[Số kỳ đã khấu hao]]),0)</f>
        <v>-35866381.647798739</v>
      </c>
      <c r="AC186" s="181">
        <v>-35866381.647798739</v>
      </c>
      <c r="AD186" s="181">
        <v>-35866381.647798739</v>
      </c>
      <c r="AE186" s="181">
        <v>-35866381.647798739</v>
      </c>
      <c r="AF186" s="181">
        <v>-35866381.647798739</v>
      </c>
      <c r="AG186" s="181">
        <v>-35866381.647798739</v>
      </c>
      <c r="AH186" s="181">
        <v>-35866381.647798739</v>
      </c>
      <c r="AI186" s="181">
        <v>-35866381.647798739</v>
      </c>
      <c r="AJ186" s="181">
        <v>-35866381.647798739</v>
      </c>
      <c r="AK186" s="181">
        <v>-35866381.647798739</v>
      </c>
      <c r="AL186" s="181">
        <v>-35866381.647798739</v>
      </c>
      <c r="AM186" s="181">
        <v>-35866381.647798739</v>
      </c>
      <c r="AN186" s="181">
        <v>-35866381.647798739</v>
      </c>
      <c r="AO186" s="175">
        <f>SUM(Data_Dep.12[[#This Row],[KH_2601]:[KH_2612]])</f>
        <v>-430396579.77358478</v>
      </c>
      <c r="AP186" s="175">
        <f>Data_Dep.12[[#This Row],[Giá trị còn lại 31/12/25]]+Data_Dep.12[[#This Row],[KH LK 2026]]</f>
        <v>5272358102.2264156</v>
      </c>
    </row>
    <row r="187" spans="1:42" x14ac:dyDescent="0.3">
      <c r="A187" s="169"/>
      <c r="B187" s="169"/>
      <c r="C187" s="170" t="s">
        <v>338</v>
      </c>
      <c r="D187" s="169" t="str">
        <f>_xlfn.XLOOKUP(Data_Dep.12[[#This Row],[Nhóm tài sản]],MD_Account_Asset_Type[Nhóm tài sản],MD_Account_Asset_Type[Tên Nhóm tài sản])</f>
        <v>Máy móc, thiết bị - SX 627</v>
      </c>
      <c r="E187" s="171" t="s">
        <v>916</v>
      </c>
      <c r="F187" s="170" t="s">
        <v>678</v>
      </c>
      <c r="G187" s="169" t="s">
        <v>502</v>
      </c>
      <c r="H187" s="170" t="s">
        <v>48</v>
      </c>
      <c r="I187" s="170" t="str">
        <f>_xlfn.XLOOKUP(Data_Dep.12[[#This Row],[Cost center]],MD_Cost_Center[Mã Cost Center],MD_Cost_Center[Tên Cost Center])</f>
        <v>Xưởng sản xuất PET</v>
      </c>
      <c r="J187" s="172">
        <f>_xlfn.XLOOKUP(Data_Dep.12[[#This Row],[Cost center]],MD_Cost_Center[Mã Cost Center],MD_Cost_Center[Work center],"Check")</f>
        <v>0</v>
      </c>
      <c r="K187" s="169" t="str">
        <f>_xlfn.XLOOKUP(Data_Dep.12[[#This Row],[Nhóm tài sản]],MD_Account_Asset_Type[Nhóm tài sản],MD_Account_Asset_Type[Tài khoản KH],"Check")</f>
        <v>6274001903</v>
      </c>
      <c r="L187" s="173">
        <v>45383</v>
      </c>
      <c r="M187" s="174">
        <f>EDATE(Data_Dep.12[[#This Row],[Ngày bắt đầu KH]],Data_Dep.12[[#This Row],[T/G Khấu hao]])</f>
        <v>47209</v>
      </c>
      <c r="N187" s="175">
        <v>60</v>
      </c>
      <c r="O187" s="175">
        <v>751500302</v>
      </c>
      <c r="P187" s="176">
        <v>-225450090</v>
      </c>
      <c r="Q187" s="175">
        <f>Data_Dep.12[[#This Row],[Nguyên giá]]+Data_Dep.12[[#This Row],[KH lũy kế]]</f>
        <v>526050212</v>
      </c>
      <c r="R187" s="177">
        <v>-12525005</v>
      </c>
      <c r="S187" s="177">
        <v>-12525005</v>
      </c>
      <c r="T187" s="177">
        <v>-12525005</v>
      </c>
      <c r="U187" s="177">
        <f>SUM(Data_Dep.12[[#This Row],[KH_2510]:[KH_2512]])</f>
        <v>-37575015</v>
      </c>
      <c r="V187" s="175">
        <f>Data_Dep.12[[#This Row],[Nguyên giá]]+Data_Dep.12[[#This Row],[KH lũy kế]]+Data_Dep.12[[#This Row],[KH_Q4.25]]</f>
        <v>488475197</v>
      </c>
      <c r="W187" s="178">
        <f>ROUND(Data_Dep.12[[#This Row],[T/G Khấu hao]]-Data_Dep.12[[#This Row],[Giá trị còn lại 31/12/25]]/Data_Dep.12[[#This Row],[Nguyên giá]]*Data_Dep.12[[#This Row],[T/G Khấu hao]],0)</f>
        <v>21</v>
      </c>
      <c r="X187" s="179">
        <v>84</v>
      </c>
      <c r="Y187" s="175">
        <f>Data_Dep.12[[#This Row],[T/G Khấu hao]]+Data_Dep.12[[#This Row],[Điều chỉnh]]</f>
        <v>144</v>
      </c>
      <c r="Z187" s="180">
        <f>EDATE(Data_Dep.12[[#This Row],[Ngày bắt đầu KH]],Data_Dep.12[[#This Row],[T/G điều chỉnh]])</f>
        <v>49766</v>
      </c>
      <c r="AA187" s="175">
        <f>Data_Dep.12[[#This Row],[T/G điều chỉnh]]-Data_Dep.12[[#This Row],[Số kỳ đã khấu hao]]</f>
        <v>123</v>
      </c>
      <c r="AB187" s="175">
        <f>IFERROR(-Data_Dep.12[[#This Row],[Giá trị còn lại 31/12/25]]/(Data_Dep.12[[#This Row],[T/G điều chỉnh]]-Data_Dep.12[[#This Row],[Số kỳ đã khấu hao]]),0)</f>
        <v>-3971343.0650406503</v>
      </c>
      <c r="AC187" s="181">
        <v>-3971343.0650406503</v>
      </c>
      <c r="AD187" s="181">
        <v>-3971343.0650406503</v>
      </c>
      <c r="AE187" s="181">
        <v>-3971343.0650406503</v>
      </c>
      <c r="AF187" s="181">
        <v>-3971343.0650406503</v>
      </c>
      <c r="AG187" s="181">
        <v>-3971343.0650406503</v>
      </c>
      <c r="AH187" s="181">
        <v>-3971343.0650406503</v>
      </c>
      <c r="AI187" s="181">
        <v>-3971343.0650406503</v>
      </c>
      <c r="AJ187" s="181">
        <v>-3971343.0650406503</v>
      </c>
      <c r="AK187" s="181">
        <v>-3971343.0650406503</v>
      </c>
      <c r="AL187" s="181">
        <v>-3971343.0650406503</v>
      </c>
      <c r="AM187" s="181">
        <v>-3971343.0650406503</v>
      </c>
      <c r="AN187" s="181">
        <v>-3971343.0650406503</v>
      </c>
      <c r="AO187" s="175">
        <f>SUM(Data_Dep.12[[#This Row],[KH_2601]:[KH_2612]])</f>
        <v>-47656116.780487798</v>
      </c>
      <c r="AP187" s="175">
        <f>Data_Dep.12[[#This Row],[Giá trị còn lại 31/12/25]]+Data_Dep.12[[#This Row],[KH LK 2026]]</f>
        <v>440819080.21951222</v>
      </c>
    </row>
    <row r="188" spans="1:42" x14ac:dyDescent="0.3">
      <c r="A188" s="169"/>
      <c r="B188" s="169"/>
      <c r="C188" s="170" t="s">
        <v>338</v>
      </c>
      <c r="D188" s="169" t="str">
        <f>_xlfn.XLOOKUP(Data_Dep.12[[#This Row],[Nhóm tài sản]],MD_Account_Asset_Type[Nhóm tài sản],MD_Account_Asset_Type[Tên Nhóm tài sản])</f>
        <v>Máy móc, thiết bị - SX 627</v>
      </c>
      <c r="E188" s="171" t="s">
        <v>917</v>
      </c>
      <c r="F188" s="170" t="s">
        <v>679</v>
      </c>
      <c r="G188" s="169" t="s">
        <v>502</v>
      </c>
      <c r="H188" s="170" t="s">
        <v>48</v>
      </c>
      <c r="I188" s="170" t="str">
        <f>_xlfn.XLOOKUP(Data_Dep.12[[#This Row],[Cost center]],MD_Cost_Center[Mã Cost Center],MD_Cost_Center[Tên Cost Center])</f>
        <v>Xưởng sản xuất PET</v>
      </c>
      <c r="J188" s="172">
        <f>_xlfn.XLOOKUP(Data_Dep.12[[#This Row],[Cost center]],MD_Cost_Center[Mã Cost Center],MD_Cost_Center[Work center],"Check")</f>
        <v>0</v>
      </c>
      <c r="K188" s="169" t="str">
        <f>_xlfn.XLOOKUP(Data_Dep.12[[#This Row],[Nhóm tài sản]],MD_Account_Asset_Type[Nhóm tài sản],MD_Account_Asset_Type[Tài khoản KH],"Check")</f>
        <v>6274001903</v>
      </c>
      <c r="L188" s="173">
        <v>45383</v>
      </c>
      <c r="M188" s="174">
        <f>EDATE(Data_Dep.12[[#This Row],[Ngày bắt đầu KH]],Data_Dep.12[[#This Row],[T/G Khấu hao]])</f>
        <v>46478</v>
      </c>
      <c r="N188" s="175">
        <v>36</v>
      </c>
      <c r="O188" s="175">
        <v>183912103</v>
      </c>
      <c r="P188" s="176">
        <v>-91956052</v>
      </c>
      <c r="Q188" s="175">
        <f>Data_Dep.12[[#This Row],[Nguyên giá]]+Data_Dep.12[[#This Row],[KH lũy kế]]</f>
        <v>91956051</v>
      </c>
      <c r="R188" s="177">
        <v>-5108669</v>
      </c>
      <c r="S188" s="177">
        <v>-5108670</v>
      </c>
      <c r="T188" s="177">
        <v>-5108669</v>
      </c>
      <c r="U188" s="177">
        <f>SUM(Data_Dep.12[[#This Row],[KH_2510]:[KH_2512]])</f>
        <v>-15326008</v>
      </c>
      <c r="V188" s="175">
        <f>Data_Dep.12[[#This Row],[Nguyên giá]]+Data_Dep.12[[#This Row],[KH lũy kế]]+Data_Dep.12[[#This Row],[KH_Q4.25]]</f>
        <v>76630043</v>
      </c>
      <c r="W188" s="178">
        <f>ROUND(Data_Dep.12[[#This Row],[T/G Khấu hao]]-Data_Dep.12[[#This Row],[Giá trị còn lại 31/12/25]]/Data_Dep.12[[#This Row],[Nguyên giá]]*Data_Dep.12[[#This Row],[T/G Khấu hao]],0)</f>
        <v>21</v>
      </c>
      <c r="X188" s="179">
        <v>108</v>
      </c>
      <c r="Y188" s="175">
        <f>Data_Dep.12[[#This Row],[T/G Khấu hao]]+Data_Dep.12[[#This Row],[Điều chỉnh]]</f>
        <v>144</v>
      </c>
      <c r="Z188" s="180">
        <f>EDATE(Data_Dep.12[[#This Row],[Ngày bắt đầu KH]],Data_Dep.12[[#This Row],[T/G điều chỉnh]])</f>
        <v>49766</v>
      </c>
      <c r="AA188" s="175">
        <f>Data_Dep.12[[#This Row],[T/G điều chỉnh]]-Data_Dep.12[[#This Row],[Số kỳ đã khấu hao]]</f>
        <v>123</v>
      </c>
      <c r="AB188" s="175">
        <f>IFERROR(-Data_Dep.12[[#This Row],[Giá trị còn lại 31/12/25]]/(Data_Dep.12[[#This Row],[T/G điều chỉnh]]-Data_Dep.12[[#This Row],[Số kỳ đã khấu hao]]),0)</f>
        <v>-623008.47967479669</v>
      </c>
      <c r="AC188" s="181">
        <v>-623008.47967479669</v>
      </c>
      <c r="AD188" s="181">
        <v>-623008.47967479669</v>
      </c>
      <c r="AE188" s="181">
        <v>-623008.47967479669</v>
      </c>
      <c r="AF188" s="181">
        <v>-623008.47967479669</v>
      </c>
      <c r="AG188" s="181">
        <v>-623008.47967479669</v>
      </c>
      <c r="AH188" s="181">
        <v>-623008.47967479669</v>
      </c>
      <c r="AI188" s="181">
        <v>-623008.47967479669</v>
      </c>
      <c r="AJ188" s="181">
        <v>-623008.47967479669</v>
      </c>
      <c r="AK188" s="181">
        <v>-623008.47967479669</v>
      </c>
      <c r="AL188" s="181">
        <v>-623008.47967479669</v>
      </c>
      <c r="AM188" s="181">
        <v>-623008.47967479669</v>
      </c>
      <c r="AN188" s="181">
        <v>-623008.47967479669</v>
      </c>
      <c r="AO188" s="175">
        <f>SUM(Data_Dep.12[[#This Row],[KH_2601]:[KH_2612]])</f>
        <v>-7476101.7560975598</v>
      </c>
      <c r="AP188" s="175">
        <f>Data_Dep.12[[#This Row],[Giá trị còn lại 31/12/25]]+Data_Dep.12[[#This Row],[KH LK 2026]]</f>
        <v>69153941.243902445</v>
      </c>
    </row>
    <row r="189" spans="1:42" x14ac:dyDescent="0.3">
      <c r="A189" s="169"/>
      <c r="B189" s="169"/>
      <c r="C189" s="170" t="s">
        <v>338</v>
      </c>
      <c r="D189" s="169" t="str">
        <f>_xlfn.XLOOKUP(Data_Dep.12[[#This Row],[Nhóm tài sản]],MD_Account_Asset_Type[Nhóm tài sản],MD_Account_Asset_Type[Tên Nhóm tài sản])</f>
        <v>Máy móc, thiết bị - SX 627</v>
      </c>
      <c r="E189" s="171" t="s">
        <v>918</v>
      </c>
      <c r="F189" s="170" t="s">
        <v>680</v>
      </c>
      <c r="G189" s="169" t="s">
        <v>830</v>
      </c>
      <c r="H189" s="170" t="s">
        <v>45</v>
      </c>
      <c r="I189" s="170" t="str">
        <f>_xlfn.XLOOKUP(Data_Dep.12[[#This Row],[Cost center]],MD_Cost_Center[Mã Cost Center],MD_Cost_Center[Tên Cost Center])</f>
        <v>Kỹ thuật</v>
      </c>
      <c r="J189" s="172">
        <f>_xlfn.XLOOKUP(Data_Dep.12[[#This Row],[Cost center]],MD_Cost_Center[Mã Cost Center],MD_Cost_Center[Work center],"Check")</f>
        <v>0</v>
      </c>
      <c r="K189" s="169" t="str">
        <f>_xlfn.XLOOKUP(Data_Dep.12[[#This Row],[Nhóm tài sản]],MD_Account_Asset_Type[Nhóm tài sản],MD_Account_Asset_Type[Tài khoản KH],"Check")</f>
        <v>6274001903</v>
      </c>
      <c r="L189" s="173">
        <v>45566</v>
      </c>
      <c r="M189" s="174">
        <f>EDATE(Data_Dep.12[[#This Row],[Ngày bắt đầu KH]],Data_Dep.12[[#This Row],[T/G Khấu hao]])</f>
        <v>46661</v>
      </c>
      <c r="N189" s="175">
        <v>36</v>
      </c>
      <c r="O189" s="175">
        <v>208587018</v>
      </c>
      <c r="P189" s="176">
        <v>-69529006</v>
      </c>
      <c r="Q189" s="175">
        <f>Data_Dep.12[[#This Row],[Nguyên giá]]+Data_Dep.12[[#This Row],[KH lũy kế]]</f>
        <v>139058012</v>
      </c>
      <c r="R189" s="177">
        <v>-5794084</v>
      </c>
      <c r="S189" s="177">
        <v>-5794084</v>
      </c>
      <c r="T189" s="177">
        <v>-5794084</v>
      </c>
      <c r="U189" s="177">
        <f>SUM(Data_Dep.12[[#This Row],[KH_2510]:[KH_2512]])</f>
        <v>-17382252</v>
      </c>
      <c r="V189" s="175">
        <f>Data_Dep.12[[#This Row],[Nguyên giá]]+Data_Dep.12[[#This Row],[KH lũy kế]]+Data_Dep.12[[#This Row],[KH_Q4.25]]</f>
        <v>121675760</v>
      </c>
      <c r="W189" s="178">
        <f>ROUND(Data_Dep.12[[#This Row],[T/G Khấu hao]]-Data_Dep.12[[#This Row],[Giá trị còn lại 31/12/25]]/Data_Dep.12[[#This Row],[Nguyên giá]]*Data_Dep.12[[#This Row],[T/G Khấu hao]],0)</f>
        <v>15</v>
      </c>
      <c r="X189" s="179">
        <v>108</v>
      </c>
      <c r="Y189" s="175">
        <f>Data_Dep.12[[#This Row],[T/G Khấu hao]]+Data_Dep.12[[#This Row],[Điều chỉnh]]</f>
        <v>144</v>
      </c>
      <c r="Z189" s="180">
        <f>EDATE(Data_Dep.12[[#This Row],[Ngày bắt đầu KH]],Data_Dep.12[[#This Row],[T/G điều chỉnh]])</f>
        <v>49949</v>
      </c>
      <c r="AA189" s="175">
        <f>Data_Dep.12[[#This Row],[T/G điều chỉnh]]-Data_Dep.12[[#This Row],[Số kỳ đã khấu hao]]</f>
        <v>129</v>
      </c>
      <c r="AB189" s="175">
        <f>IFERROR(-Data_Dep.12[[#This Row],[Giá trị còn lại 31/12/25]]/(Data_Dep.12[[#This Row],[T/G điều chỉnh]]-Data_Dep.12[[#This Row],[Số kỳ đã khấu hao]]),0)</f>
        <v>-943222.94573643408</v>
      </c>
      <c r="AC189" s="181">
        <v>-943222.94573643408</v>
      </c>
      <c r="AD189" s="181">
        <v>-943222.94573643408</v>
      </c>
      <c r="AE189" s="181">
        <v>-943222.94573643408</v>
      </c>
      <c r="AF189" s="181">
        <v>-943222.94573643408</v>
      </c>
      <c r="AG189" s="181">
        <v>-943222.94573643408</v>
      </c>
      <c r="AH189" s="181">
        <v>-943222.94573643408</v>
      </c>
      <c r="AI189" s="181">
        <v>-943222.94573643408</v>
      </c>
      <c r="AJ189" s="181">
        <v>-943222.94573643408</v>
      </c>
      <c r="AK189" s="181">
        <v>-943222.94573643408</v>
      </c>
      <c r="AL189" s="181">
        <v>-943222.94573643408</v>
      </c>
      <c r="AM189" s="181">
        <v>-943222.94573643408</v>
      </c>
      <c r="AN189" s="181">
        <v>-943222.94573643408</v>
      </c>
      <c r="AO189" s="175">
        <f>SUM(Data_Dep.12[[#This Row],[KH_2601]:[KH_2612]])</f>
        <v>-11318675.34883721</v>
      </c>
      <c r="AP189" s="175">
        <f>Data_Dep.12[[#This Row],[Giá trị còn lại 31/12/25]]+Data_Dep.12[[#This Row],[KH LK 2026]]</f>
        <v>110357084.65116279</v>
      </c>
    </row>
    <row r="190" spans="1:42" x14ac:dyDescent="0.3">
      <c r="A190" s="169"/>
      <c r="B190" s="169"/>
      <c r="C190" s="170" t="s">
        <v>338</v>
      </c>
      <c r="D190" s="169" t="str">
        <f>_xlfn.XLOOKUP(Data_Dep.12[[#This Row],[Nhóm tài sản]],MD_Account_Asset_Type[Nhóm tài sản],MD_Account_Asset_Type[Tên Nhóm tài sản])</f>
        <v>Máy móc, thiết bị - SX 627</v>
      </c>
      <c r="E190" s="171" t="s">
        <v>919</v>
      </c>
      <c r="F190" s="170" t="s">
        <v>681</v>
      </c>
      <c r="G190" s="169" t="s">
        <v>502</v>
      </c>
      <c r="H190" s="170" t="s">
        <v>48</v>
      </c>
      <c r="I190" s="170" t="str">
        <f>_xlfn.XLOOKUP(Data_Dep.12[[#This Row],[Cost center]],MD_Cost_Center[Mã Cost Center],MD_Cost_Center[Tên Cost Center])</f>
        <v>Xưởng sản xuất PET</v>
      </c>
      <c r="J190" s="172">
        <f>_xlfn.XLOOKUP(Data_Dep.12[[#This Row],[Cost center]],MD_Cost_Center[Mã Cost Center],MD_Cost_Center[Work center],"Check")</f>
        <v>0</v>
      </c>
      <c r="K190" s="169" t="str">
        <f>_xlfn.XLOOKUP(Data_Dep.12[[#This Row],[Nhóm tài sản]],MD_Account_Asset_Type[Nhóm tài sản],MD_Account_Asset_Type[Tài khoản KH],"Check")</f>
        <v>6274001903</v>
      </c>
      <c r="L190" s="173">
        <v>45383</v>
      </c>
      <c r="M190" s="174">
        <f>EDATE(Data_Dep.12[[#This Row],[Ngày bắt đầu KH]],Data_Dep.12[[#This Row],[T/G Khấu hao]])</f>
        <v>46478</v>
      </c>
      <c r="N190" s="175">
        <v>36</v>
      </c>
      <c r="O190" s="175">
        <v>82950000</v>
      </c>
      <c r="P190" s="176">
        <v>-41475000</v>
      </c>
      <c r="Q190" s="175">
        <f>Data_Dep.12[[#This Row],[Nguyên giá]]+Data_Dep.12[[#This Row],[KH lũy kế]]</f>
        <v>41475000</v>
      </c>
      <c r="R190" s="177">
        <v>-2304167</v>
      </c>
      <c r="S190" s="177">
        <v>-2304166</v>
      </c>
      <c r="T190" s="177">
        <v>-2304167</v>
      </c>
      <c r="U190" s="177">
        <f>SUM(Data_Dep.12[[#This Row],[KH_2510]:[KH_2512]])</f>
        <v>-6912500</v>
      </c>
      <c r="V190" s="175">
        <f>Data_Dep.12[[#This Row],[Nguyên giá]]+Data_Dep.12[[#This Row],[KH lũy kế]]+Data_Dep.12[[#This Row],[KH_Q4.25]]</f>
        <v>34562500</v>
      </c>
      <c r="W190" s="178">
        <f>ROUND(Data_Dep.12[[#This Row],[T/G Khấu hao]]-Data_Dep.12[[#This Row],[Giá trị còn lại 31/12/25]]/Data_Dep.12[[#This Row],[Nguyên giá]]*Data_Dep.12[[#This Row],[T/G Khấu hao]],0)</f>
        <v>21</v>
      </c>
      <c r="X190" s="179">
        <v>108</v>
      </c>
      <c r="Y190" s="175">
        <f>Data_Dep.12[[#This Row],[T/G Khấu hao]]+Data_Dep.12[[#This Row],[Điều chỉnh]]</f>
        <v>144</v>
      </c>
      <c r="Z190" s="180">
        <f>EDATE(Data_Dep.12[[#This Row],[Ngày bắt đầu KH]],Data_Dep.12[[#This Row],[T/G điều chỉnh]])</f>
        <v>49766</v>
      </c>
      <c r="AA190" s="175">
        <f>Data_Dep.12[[#This Row],[T/G điều chỉnh]]-Data_Dep.12[[#This Row],[Số kỳ đã khấu hao]]</f>
        <v>123</v>
      </c>
      <c r="AB190" s="175">
        <f>IFERROR(-Data_Dep.12[[#This Row],[Giá trị còn lại 31/12/25]]/(Data_Dep.12[[#This Row],[T/G điều chỉnh]]-Data_Dep.12[[#This Row],[Số kỳ đã khấu hao]]),0)</f>
        <v>-280995.93495934957</v>
      </c>
      <c r="AC190" s="181">
        <v>-280995.93495934957</v>
      </c>
      <c r="AD190" s="181">
        <v>-280995.93495934957</v>
      </c>
      <c r="AE190" s="181">
        <v>-280995.93495934957</v>
      </c>
      <c r="AF190" s="181">
        <v>-280995.93495934957</v>
      </c>
      <c r="AG190" s="181">
        <v>-280995.93495934957</v>
      </c>
      <c r="AH190" s="181">
        <v>-280995.93495934957</v>
      </c>
      <c r="AI190" s="181">
        <v>-280995.93495934957</v>
      </c>
      <c r="AJ190" s="181">
        <v>-280995.93495934957</v>
      </c>
      <c r="AK190" s="181">
        <v>-280995.93495934957</v>
      </c>
      <c r="AL190" s="181">
        <v>-280995.93495934957</v>
      </c>
      <c r="AM190" s="181">
        <v>-280995.93495934957</v>
      </c>
      <c r="AN190" s="181">
        <v>-280995.93495934957</v>
      </c>
      <c r="AO190" s="175">
        <f>SUM(Data_Dep.12[[#This Row],[KH_2601]:[KH_2612]])</f>
        <v>-3371951.2195121958</v>
      </c>
      <c r="AP190" s="175">
        <f>Data_Dep.12[[#This Row],[Giá trị còn lại 31/12/25]]+Data_Dep.12[[#This Row],[KH LK 2026]]</f>
        <v>31190548.780487806</v>
      </c>
    </row>
    <row r="191" spans="1:42" x14ac:dyDescent="0.3">
      <c r="A191" s="169"/>
      <c r="B191" s="169"/>
      <c r="C191" s="170" t="s">
        <v>338</v>
      </c>
      <c r="D191" s="169" t="str">
        <f>_xlfn.XLOOKUP(Data_Dep.12[[#This Row],[Nhóm tài sản]],MD_Account_Asset_Type[Nhóm tài sản],MD_Account_Asset_Type[Tên Nhóm tài sản])</f>
        <v>Máy móc, thiết bị - SX 627</v>
      </c>
      <c r="E191" s="171" t="s">
        <v>920</v>
      </c>
      <c r="F191" s="170" t="s">
        <v>682</v>
      </c>
      <c r="G191" s="169" t="s">
        <v>502</v>
      </c>
      <c r="H191" s="170" t="s">
        <v>90</v>
      </c>
      <c r="I191" s="170" t="str">
        <f>_xlfn.XLOOKUP(Data_Dep.12[[#This Row],[Cost center]],MD_Cost_Center[Mã Cost Center],MD_Cost_Center[Tên Cost Center])</f>
        <v>Khối SX - Xưởng 4</v>
      </c>
      <c r="J191" s="172">
        <f>_xlfn.XLOOKUP(Data_Dep.12[[#This Row],[Cost center]],MD_Cost_Center[Mã Cost Center],MD_Cost_Center[Work center],"Check")</f>
        <v>0</v>
      </c>
      <c r="K191" s="169" t="str">
        <f>_xlfn.XLOOKUP(Data_Dep.12[[#This Row],[Nhóm tài sản]],MD_Account_Asset_Type[Nhóm tài sản],MD_Account_Asset_Type[Tài khoản KH],"Check")</f>
        <v>6274001903</v>
      </c>
      <c r="L191" s="173">
        <v>45413</v>
      </c>
      <c r="M191" s="174">
        <f>EDATE(Data_Dep.12[[#This Row],[Ngày bắt đầu KH]],Data_Dep.12[[#This Row],[T/G Khấu hao]])</f>
        <v>47239</v>
      </c>
      <c r="N191" s="175">
        <v>60</v>
      </c>
      <c r="O191" s="175">
        <v>1470802869</v>
      </c>
      <c r="P191" s="176">
        <v>-416727479</v>
      </c>
      <c r="Q191" s="175">
        <f>Data_Dep.12[[#This Row],[Nguyên giá]]+Data_Dep.12[[#This Row],[KH lũy kế]]</f>
        <v>1054075390</v>
      </c>
      <c r="R191" s="177">
        <v>-24513382</v>
      </c>
      <c r="S191" s="177">
        <v>-24513381</v>
      </c>
      <c r="T191" s="177">
        <v>-24513381</v>
      </c>
      <c r="U191" s="177">
        <f>SUM(Data_Dep.12[[#This Row],[KH_2510]:[KH_2512]])</f>
        <v>-73540144</v>
      </c>
      <c r="V191" s="175">
        <f>Data_Dep.12[[#This Row],[Nguyên giá]]+Data_Dep.12[[#This Row],[KH lũy kế]]+Data_Dep.12[[#This Row],[KH_Q4.25]]</f>
        <v>980535246</v>
      </c>
      <c r="W191" s="178">
        <f>ROUND(Data_Dep.12[[#This Row],[T/G Khấu hao]]-Data_Dep.12[[#This Row],[Giá trị còn lại 31/12/25]]/Data_Dep.12[[#This Row],[Nguyên giá]]*Data_Dep.12[[#This Row],[T/G Khấu hao]],0)</f>
        <v>20</v>
      </c>
      <c r="X191" s="179">
        <v>84</v>
      </c>
      <c r="Y191" s="175">
        <f>Data_Dep.12[[#This Row],[T/G Khấu hao]]+Data_Dep.12[[#This Row],[Điều chỉnh]]</f>
        <v>144</v>
      </c>
      <c r="Z191" s="180">
        <f>EDATE(Data_Dep.12[[#This Row],[Ngày bắt đầu KH]],Data_Dep.12[[#This Row],[T/G điều chỉnh]])</f>
        <v>49796</v>
      </c>
      <c r="AA191" s="175">
        <f>Data_Dep.12[[#This Row],[T/G điều chỉnh]]-Data_Dep.12[[#This Row],[Số kỳ đã khấu hao]]</f>
        <v>124</v>
      </c>
      <c r="AB191" s="175">
        <f>IFERROR(-Data_Dep.12[[#This Row],[Giá trị còn lại 31/12/25]]/(Data_Dep.12[[#This Row],[T/G điều chỉnh]]-Data_Dep.12[[#This Row],[Số kỳ đã khấu hao]]),0)</f>
        <v>-7907542.3064516131</v>
      </c>
      <c r="AC191" s="181">
        <v>-7907542.3064516131</v>
      </c>
      <c r="AD191" s="181">
        <v>-7907542.3064516131</v>
      </c>
      <c r="AE191" s="181">
        <v>-7907542.3064516131</v>
      </c>
      <c r="AF191" s="181">
        <v>-7907542.3064516131</v>
      </c>
      <c r="AG191" s="181">
        <v>-7907542.3064516131</v>
      </c>
      <c r="AH191" s="181">
        <v>-7907542.3064516131</v>
      </c>
      <c r="AI191" s="181">
        <v>-7907542.3064516131</v>
      </c>
      <c r="AJ191" s="181">
        <v>-7907542.3064516131</v>
      </c>
      <c r="AK191" s="181">
        <v>-7907542.3064516131</v>
      </c>
      <c r="AL191" s="181">
        <v>-7907542.3064516131</v>
      </c>
      <c r="AM191" s="181">
        <v>-7907542.3064516131</v>
      </c>
      <c r="AN191" s="181">
        <v>-7907542.3064516131</v>
      </c>
      <c r="AO191" s="175">
        <f>SUM(Data_Dep.12[[#This Row],[KH_2601]:[KH_2612]])</f>
        <v>-94890507.677419364</v>
      </c>
      <c r="AP191" s="175">
        <f>Data_Dep.12[[#This Row],[Giá trị còn lại 31/12/25]]+Data_Dep.12[[#This Row],[KH LK 2026]]</f>
        <v>885644738.32258058</v>
      </c>
    </row>
    <row r="192" spans="1:42" x14ac:dyDescent="0.3">
      <c r="A192" s="169"/>
      <c r="B192" s="169"/>
      <c r="C192" s="170" t="s">
        <v>338</v>
      </c>
      <c r="D192" s="169" t="str">
        <f>_xlfn.XLOOKUP(Data_Dep.12[[#This Row],[Nhóm tài sản]],MD_Account_Asset_Type[Nhóm tài sản],MD_Account_Asset_Type[Tên Nhóm tài sản])</f>
        <v>Máy móc, thiết bị - SX 627</v>
      </c>
      <c r="E192" s="171" t="s">
        <v>921</v>
      </c>
      <c r="F192" s="170" t="s">
        <v>683</v>
      </c>
      <c r="G192" s="169" t="s">
        <v>502</v>
      </c>
      <c r="H192" s="170" t="s">
        <v>77</v>
      </c>
      <c r="I192" s="170" t="str">
        <f>_xlfn.XLOOKUP(Data_Dep.12[[#This Row],[Cost center]],MD_Cost_Center[Mã Cost Center],MD_Cost_Center[Tên Cost Center])</f>
        <v>Máy Tách màu Taiho 3</v>
      </c>
      <c r="J192" s="172" t="str">
        <f>_xlfn.XLOOKUP(Data_Dep.12[[#This Row],[Cost center]],MD_Cost_Center[Mã Cost Center],MD_Cost_Center[Work center],"Check")</f>
        <v>TAIH-03</v>
      </c>
      <c r="K192" s="169" t="str">
        <f>_xlfn.XLOOKUP(Data_Dep.12[[#This Row],[Nhóm tài sản]],MD_Account_Asset_Type[Nhóm tài sản],MD_Account_Asset_Type[Tài khoản KH],"Check")</f>
        <v>6274001903</v>
      </c>
      <c r="L192" s="173">
        <v>45474</v>
      </c>
      <c r="M192" s="174">
        <f>EDATE(Data_Dep.12[[#This Row],[Ngày bắt đầu KH]],Data_Dep.12[[#This Row],[T/G Khấu hao]])</f>
        <v>47300</v>
      </c>
      <c r="N192" s="175">
        <v>60</v>
      </c>
      <c r="O192" s="175">
        <v>700209603</v>
      </c>
      <c r="P192" s="176">
        <v>-175052401</v>
      </c>
      <c r="Q192" s="175">
        <f>Data_Dep.12[[#This Row],[Nguyên giá]]+Data_Dep.12[[#This Row],[KH lũy kế]]</f>
        <v>525157202</v>
      </c>
      <c r="R192" s="177">
        <v>-11670160</v>
      </c>
      <c r="S192" s="177">
        <v>-11670160</v>
      </c>
      <c r="T192" s="177">
        <v>-11670160</v>
      </c>
      <c r="U192" s="177">
        <f>SUM(Data_Dep.12[[#This Row],[KH_2510]:[KH_2512]])</f>
        <v>-35010480</v>
      </c>
      <c r="V192" s="175">
        <f>Data_Dep.12[[#This Row],[Nguyên giá]]+Data_Dep.12[[#This Row],[KH lũy kế]]+Data_Dep.12[[#This Row],[KH_Q4.25]]</f>
        <v>490146722</v>
      </c>
      <c r="W192" s="178">
        <f>ROUND(Data_Dep.12[[#This Row],[T/G Khấu hao]]-Data_Dep.12[[#This Row],[Giá trị còn lại 31/12/25]]/Data_Dep.12[[#This Row],[Nguyên giá]]*Data_Dep.12[[#This Row],[T/G Khấu hao]],0)</f>
        <v>18</v>
      </c>
      <c r="X192" s="179">
        <v>84</v>
      </c>
      <c r="Y192" s="175">
        <f>Data_Dep.12[[#This Row],[T/G Khấu hao]]+Data_Dep.12[[#This Row],[Điều chỉnh]]</f>
        <v>144</v>
      </c>
      <c r="Z192" s="180">
        <f>EDATE(Data_Dep.12[[#This Row],[Ngày bắt đầu KH]],Data_Dep.12[[#This Row],[T/G điều chỉnh]])</f>
        <v>49857</v>
      </c>
      <c r="AA192" s="175">
        <f>Data_Dep.12[[#This Row],[T/G điều chỉnh]]-Data_Dep.12[[#This Row],[Số kỳ đã khấu hao]]</f>
        <v>126</v>
      </c>
      <c r="AB192" s="175">
        <f>IFERROR(-Data_Dep.12[[#This Row],[Giá trị còn lại 31/12/25]]/(Data_Dep.12[[#This Row],[T/G điều chỉnh]]-Data_Dep.12[[#This Row],[Số kỳ đã khấu hao]]),0)</f>
        <v>-3890053.3492063493</v>
      </c>
      <c r="AC192" s="181">
        <v>-3890053.3492063493</v>
      </c>
      <c r="AD192" s="181">
        <v>-3890053.3492063493</v>
      </c>
      <c r="AE192" s="181">
        <v>-3890053.3492063493</v>
      </c>
      <c r="AF192" s="181">
        <v>-3890053.3492063493</v>
      </c>
      <c r="AG192" s="181">
        <v>-3890053.3492063493</v>
      </c>
      <c r="AH192" s="181">
        <v>-3890053.3492063493</v>
      </c>
      <c r="AI192" s="181">
        <v>-3890053.3492063493</v>
      </c>
      <c r="AJ192" s="181">
        <v>-3890053.3492063493</v>
      </c>
      <c r="AK192" s="181">
        <v>-3890053.3492063493</v>
      </c>
      <c r="AL192" s="181">
        <v>-3890053.3492063493</v>
      </c>
      <c r="AM192" s="181">
        <v>-3890053.3492063493</v>
      </c>
      <c r="AN192" s="181">
        <v>-3890053.3492063493</v>
      </c>
      <c r="AO192" s="175">
        <f>SUM(Data_Dep.12[[#This Row],[KH_2601]:[KH_2612]])</f>
        <v>-46680640.190476201</v>
      </c>
      <c r="AP192" s="175">
        <f>Data_Dep.12[[#This Row],[Giá trị còn lại 31/12/25]]+Data_Dep.12[[#This Row],[KH LK 2026]]</f>
        <v>443466081.80952382</v>
      </c>
    </row>
    <row r="193" spans="1:42" x14ac:dyDescent="0.3">
      <c r="A193" s="169"/>
      <c r="B193" s="169"/>
      <c r="C193" s="170" t="s">
        <v>338</v>
      </c>
      <c r="D193" s="169" t="str">
        <f>_xlfn.XLOOKUP(Data_Dep.12[[#This Row],[Nhóm tài sản]],MD_Account_Asset_Type[Nhóm tài sản],MD_Account_Asset_Type[Tên Nhóm tài sản])</f>
        <v>Máy móc, thiết bị - SX 627</v>
      </c>
      <c r="E193" s="171" t="s">
        <v>922</v>
      </c>
      <c r="F193" s="170" t="s">
        <v>684</v>
      </c>
      <c r="G193" s="169" t="s">
        <v>502</v>
      </c>
      <c r="H193" s="170" t="s">
        <v>81</v>
      </c>
      <c r="I193" s="170" t="str">
        <f>_xlfn.XLOOKUP(Data_Dep.12[[#This Row],[Cost center]],MD_Cost_Center[Mã Cost Center],MD_Cost_Center[Tên Cost Center])</f>
        <v>Chuyền tách nhãn Lavie LABR-01</v>
      </c>
      <c r="J193" s="172">
        <f>_xlfn.XLOOKUP(Data_Dep.12[[#This Row],[Cost center]],MD_Cost_Center[Mã Cost Center],MD_Cost_Center[Work center],"Check")</f>
        <v>0</v>
      </c>
      <c r="K193" s="169" t="str">
        <f>_xlfn.XLOOKUP(Data_Dep.12[[#This Row],[Nhóm tài sản]],MD_Account_Asset_Type[Nhóm tài sản],MD_Account_Asset_Type[Tài khoản KH],"Check")</f>
        <v>6274001903</v>
      </c>
      <c r="L193" s="173">
        <v>45474</v>
      </c>
      <c r="M193" s="174">
        <f>EDATE(Data_Dep.12[[#This Row],[Ngày bắt đầu KH]],Data_Dep.12[[#This Row],[T/G Khấu hao]])</f>
        <v>47300</v>
      </c>
      <c r="N193" s="175">
        <v>60</v>
      </c>
      <c r="O193" s="175">
        <v>193200000</v>
      </c>
      <c r="P193" s="176">
        <v>-48300000</v>
      </c>
      <c r="Q193" s="175">
        <f>Data_Dep.12[[#This Row],[Nguyên giá]]+Data_Dep.12[[#This Row],[KH lũy kế]]</f>
        <v>144900000</v>
      </c>
      <c r="R193" s="177">
        <v>-3220000</v>
      </c>
      <c r="S193" s="177">
        <v>-3220000</v>
      </c>
      <c r="T193" s="177">
        <v>-3220000</v>
      </c>
      <c r="U193" s="177">
        <f>SUM(Data_Dep.12[[#This Row],[KH_2510]:[KH_2512]])</f>
        <v>-9660000</v>
      </c>
      <c r="V193" s="175">
        <f>Data_Dep.12[[#This Row],[Nguyên giá]]+Data_Dep.12[[#This Row],[KH lũy kế]]+Data_Dep.12[[#This Row],[KH_Q4.25]]</f>
        <v>135240000</v>
      </c>
      <c r="W193" s="178">
        <f>ROUND(Data_Dep.12[[#This Row],[T/G Khấu hao]]-Data_Dep.12[[#This Row],[Giá trị còn lại 31/12/25]]/Data_Dep.12[[#This Row],[Nguyên giá]]*Data_Dep.12[[#This Row],[T/G Khấu hao]],0)</f>
        <v>18</v>
      </c>
      <c r="X193" s="179">
        <v>84</v>
      </c>
      <c r="Y193" s="175">
        <f>Data_Dep.12[[#This Row],[T/G Khấu hao]]+Data_Dep.12[[#This Row],[Điều chỉnh]]</f>
        <v>144</v>
      </c>
      <c r="Z193" s="180">
        <f>EDATE(Data_Dep.12[[#This Row],[Ngày bắt đầu KH]],Data_Dep.12[[#This Row],[T/G điều chỉnh]])</f>
        <v>49857</v>
      </c>
      <c r="AA193" s="175">
        <f>Data_Dep.12[[#This Row],[T/G điều chỉnh]]-Data_Dep.12[[#This Row],[Số kỳ đã khấu hao]]</f>
        <v>126</v>
      </c>
      <c r="AB193" s="175">
        <f>IFERROR(-Data_Dep.12[[#This Row],[Giá trị còn lại 31/12/25]]/(Data_Dep.12[[#This Row],[T/G điều chỉnh]]-Data_Dep.12[[#This Row],[Số kỳ đã khấu hao]]),0)</f>
        <v>-1073333.3333333333</v>
      </c>
      <c r="AC193" s="181">
        <v>-1073333.3333333333</v>
      </c>
      <c r="AD193" s="181">
        <v>-1073333.3333333333</v>
      </c>
      <c r="AE193" s="181">
        <v>-1073333.3333333333</v>
      </c>
      <c r="AF193" s="181">
        <v>-1073333.3333333333</v>
      </c>
      <c r="AG193" s="181">
        <v>-1073333.3333333333</v>
      </c>
      <c r="AH193" s="181">
        <v>-1073333.3333333333</v>
      </c>
      <c r="AI193" s="181">
        <v>-1073333.3333333333</v>
      </c>
      <c r="AJ193" s="181">
        <v>-1073333.3333333333</v>
      </c>
      <c r="AK193" s="181">
        <v>-1073333.3333333333</v>
      </c>
      <c r="AL193" s="181">
        <v>-1073333.3333333333</v>
      </c>
      <c r="AM193" s="181">
        <v>-1073333.3333333333</v>
      </c>
      <c r="AN193" s="181">
        <v>-1073333.3333333333</v>
      </c>
      <c r="AO193" s="175">
        <f>SUM(Data_Dep.12[[#This Row],[KH_2601]:[KH_2612]])</f>
        <v>-12880000.000000002</v>
      </c>
      <c r="AP193" s="175">
        <f>Data_Dep.12[[#This Row],[Giá trị còn lại 31/12/25]]+Data_Dep.12[[#This Row],[KH LK 2026]]</f>
        <v>122360000</v>
      </c>
    </row>
    <row r="194" spans="1:42" x14ac:dyDescent="0.3">
      <c r="A194" s="169"/>
      <c r="B194" s="169"/>
      <c r="C194" s="170" t="s">
        <v>338</v>
      </c>
      <c r="D194" s="169" t="str">
        <f>_xlfn.XLOOKUP(Data_Dep.12[[#This Row],[Nhóm tài sản]],MD_Account_Asset_Type[Nhóm tài sản],MD_Account_Asset_Type[Tên Nhóm tài sản])</f>
        <v>Máy móc, thiết bị - SX 627</v>
      </c>
      <c r="E194" s="171" t="s">
        <v>923</v>
      </c>
      <c r="F194" s="170" t="s">
        <v>685</v>
      </c>
      <c r="G194" s="169" t="s">
        <v>502</v>
      </c>
      <c r="H194" s="170" t="s">
        <v>46</v>
      </c>
      <c r="I194" s="170" t="str">
        <f>_xlfn.XLOOKUP(Data_Dep.12[[#This Row],[Cost center]],MD_Cost_Center[Mã Cost Center],MD_Cost_Center[Tên Cost Center])</f>
        <v>Kiểm soát chất lượng</v>
      </c>
      <c r="J194" s="172">
        <f>_xlfn.XLOOKUP(Data_Dep.12[[#This Row],[Cost center]],MD_Cost_Center[Mã Cost Center],MD_Cost_Center[Work center],"Check")</f>
        <v>0</v>
      </c>
      <c r="K194" s="169" t="str">
        <f>_xlfn.XLOOKUP(Data_Dep.12[[#This Row],[Nhóm tài sản]],MD_Account_Asset_Type[Nhóm tài sản],MD_Account_Asset_Type[Tài khoản KH],"Check")</f>
        <v>6274001903</v>
      </c>
      <c r="L194" s="173">
        <v>45689</v>
      </c>
      <c r="M194" s="174">
        <f>EDATE(Data_Dep.12[[#This Row],[Ngày bắt đầu KH]],Data_Dep.12[[#This Row],[T/G Khấu hao]])</f>
        <v>46784</v>
      </c>
      <c r="N194" s="175">
        <v>36</v>
      </c>
      <c r="O194" s="175">
        <v>36200000</v>
      </c>
      <c r="P194" s="176">
        <v>-8044444</v>
      </c>
      <c r="Q194" s="175">
        <f>Data_Dep.12[[#This Row],[Nguyên giá]]+Data_Dep.12[[#This Row],[KH lũy kế]]</f>
        <v>28155556</v>
      </c>
      <c r="R194" s="177">
        <v>-1005556</v>
      </c>
      <c r="S194" s="177">
        <v>-1005556</v>
      </c>
      <c r="T194" s="177">
        <v>-1005555</v>
      </c>
      <c r="U194" s="177">
        <f>SUM(Data_Dep.12[[#This Row],[KH_2510]:[KH_2512]])</f>
        <v>-3016667</v>
      </c>
      <c r="V194" s="175">
        <f>Data_Dep.12[[#This Row],[Nguyên giá]]+Data_Dep.12[[#This Row],[KH lũy kế]]+Data_Dep.12[[#This Row],[KH_Q4.25]]</f>
        <v>25138889</v>
      </c>
      <c r="W194" s="178">
        <f>ROUND(Data_Dep.12[[#This Row],[T/G Khấu hao]]-Data_Dep.12[[#This Row],[Giá trị còn lại 31/12/25]]/Data_Dep.12[[#This Row],[Nguyên giá]]*Data_Dep.12[[#This Row],[T/G Khấu hao]],0)</f>
        <v>11</v>
      </c>
      <c r="X194" s="179">
        <v>108</v>
      </c>
      <c r="Y194" s="175">
        <f>Data_Dep.12[[#This Row],[T/G Khấu hao]]+Data_Dep.12[[#This Row],[Điều chỉnh]]</f>
        <v>144</v>
      </c>
      <c r="Z194" s="180">
        <f>EDATE(Data_Dep.12[[#This Row],[Ngày bắt đầu KH]],Data_Dep.12[[#This Row],[T/G điều chỉnh]])</f>
        <v>50072</v>
      </c>
      <c r="AA194" s="175">
        <f>Data_Dep.12[[#This Row],[T/G điều chỉnh]]-Data_Dep.12[[#This Row],[Số kỳ đã khấu hao]]</f>
        <v>133</v>
      </c>
      <c r="AB194" s="175">
        <f>IFERROR(-Data_Dep.12[[#This Row],[Giá trị còn lại 31/12/25]]/(Data_Dep.12[[#This Row],[T/G điều chỉnh]]-Data_Dep.12[[#This Row],[Số kỳ đã khấu hao]]),0)</f>
        <v>-189014.20300751881</v>
      </c>
      <c r="AC194" s="181">
        <v>-189014.20300751881</v>
      </c>
      <c r="AD194" s="181">
        <v>-189014.20300751881</v>
      </c>
      <c r="AE194" s="181">
        <v>-189014.20300751881</v>
      </c>
      <c r="AF194" s="181">
        <v>-189014.20300751881</v>
      </c>
      <c r="AG194" s="181">
        <v>-189014.20300751881</v>
      </c>
      <c r="AH194" s="181">
        <v>-189014.20300751881</v>
      </c>
      <c r="AI194" s="181">
        <v>-189014.20300751881</v>
      </c>
      <c r="AJ194" s="181">
        <v>-189014.20300751881</v>
      </c>
      <c r="AK194" s="181">
        <v>-189014.20300751881</v>
      </c>
      <c r="AL194" s="181">
        <v>-189014.20300751881</v>
      </c>
      <c r="AM194" s="181">
        <v>-189014.20300751881</v>
      </c>
      <c r="AN194" s="181">
        <v>-189014.20300751881</v>
      </c>
      <c r="AO194" s="175">
        <f>SUM(Data_Dep.12[[#This Row],[KH_2601]:[KH_2612]])</f>
        <v>-2268170.4360902258</v>
      </c>
      <c r="AP194" s="175">
        <f>Data_Dep.12[[#This Row],[Giá trị còn lại 31/12/25]]+Data_Dep.12[[#This Row],[KH LK 2026]]</f>
        <v>22870718.563909773</v>
      </c>
    </row>
    <row r="195" spans="1:42" x14ac:dyDescent="0.3">
      <c r="A195" s="169"/>
      <c r="B195" s="169"/>
      <c r="C195" s="170" t="s">
        <v>338</v>
      </c>
      <c r="D195" s="169" t="str">
        <f>_xlfn.XLOOKUP(Data_Dep.12[[#This Row],[Nhóm tài sản]],MD_Account_Asset_Type[Nhóm tài sản],MD_Account_Asset_Type[Tên Nhóm tài sản])</f>
        <v>Máy móc, thiết bị - SX 627</v>
      </c>
      <c r="E195" s="171" t="s">
        <v>924</v>
      </c>
      <c r="F195" s="170" t="s">
        <v>686</v>
      </c>
      <c r="G195" s="169" t="s">
        <v>830</v>
      </c>
      <c r="H195" s="170" t="s">
        <v>74</v>
      </c>
      <c r="I195" s="170" t="str">
        <f>_xlfn.XLOOKUP(Data_Dep.12[[#This Row],[Cost center]],MD_Cost_Center[Mã Cost Center],MD_Cost_Center[Tên Cost Center])</f>
        <v>Chuyền tạo sơ sợi rPET YE I</v>
      </c>
      <c r="J195" s="172" t="str">
        <f>_xlfn.XLOOKUP(Data_Dep.12[[#This Row],[Cost center]],MD_Cost_Center[Mã Cost Center],MD_Cost_Center[Work center],"Check")</f>
        <v>YPET-01</v>
      </c>
      <c r="K195" s="169" t="str">
        <f>_xlfn.XLOOKUP(Data_Dep.12[[#This Row],[Nhóm tài sản]],MD_Account_Asset_Type[Nhóm tài sản],MD_Account_Asset_Type[Tài khoản KH],"Check")</f>
        <v>6274001903</v>
      </c>
      <c r="L195" s="173">
        <v>45536</v>
      </c>
      <c r="M195" s="174">
        <f>EDATE(Data_Dep.12[[#This Row],[Ngày bắt đầu KH]],Data_Dep.12[[#This Row],[T/G Khấu hao]])</f>
        <v>47362</v>
      </c>
      <c r="N195" s="175">
        <v>60</v>
      </c>
      <c r="O195" s="175">
        <v>1128375223</v>
      </c>
      <c r="P195" s="176">
        <v>-244481298</v>
      </c>
      <c r="Q195" s="175">
        <f>Data_Dep.12[[#This Row],[Nguyên giá]]+Data_Dep.12[[#This Row],[KH lũy kế]]</f>
        <v>883893925</v>
      </c>
      <c r="R195" s="177">
        <v>-18806254</v>
      </c>
      <c r="S195" s="177">
        <v>-18806254</v>
      </c>
      <c r="T195" s="177">
        <v>-18806254</v>
      </c>
      <c r="U195" s="177">
        <f>SUM(Data_Dep.12[[#This Row],[KH_2510]:[KH_2512]])</f>
        <v>-56418762</v>
      </c>
      <c r="V195" s="175">
        <f>Data_Dep.12[[#This Row],[Nguyên giá]]+Data_Dep.12[[#This Row],[KH lũy kế]]+Data_Dep.12[[#This Row],[KH_Q4.25]]</f>
        <v>827475163</v>
      </c>
      <c r="W195" s="178">
        <f>ROUND(Data_Dep.12[[#This Row],[T/G Khấu hao]]-Data_Dep.12[[#This Row],[Giá trị còn lại 31/12/25]]/Data_Dep.12[[#This Row],[Nguyên giá]]*Data_Dep.12[[#This Row],[T/G Khấu hao]],0)</f>
        <v>16</v>
      </c>
      <c r="X195" s="179">
        <v>84</v>
      </c>
      <c r="Y195" s="175">
        <f>Data_Dep.12[[#This Row],[T/G Khấu hao]]+Data_Dep.12[[#This Row],[Điều chỉnh]]</f>
        <v>144</v>
      </c>
      <c r="Z195" s="180">
        <f>EDATE(Data_Dep.12[[#This Row],[Ngày bắt đầu KH]],Data_Dep.12[[#This Row],[T/G điều chỉnh]])</f>
        <v>49919</v>
      </c>
      <c r="AA195" s="175">
        <f>Data_Dep.12[[#This Row],[T/G điều chỉnh]]-Data_Dep.12[[#This Row],[Số kỳ đã khấu hao]]</f>
        <v>128</v>
      </c>
      <c r="AB195" s="175">
        <f>IFERROR(-Data_Dep.12[[#This Row],[Giá trị còn lại 31/12/25]]/(Data_Dep.12[[#This Row],[T/G điều chỉnh]]-Data_Dep.12[[#This Row],[Số kỳ đã khấu hao]]),0)</f>
        <v>-6464649.7109375</v>
      </c>
      <c r="AC195" s="181">
        <v>-6464649.7109375</v>
      </c>
      <c r="AD195" s="181">
        <v>-6464649.7109375</v>
      </c>
      <c r="AE195" s="181">
        <v>-6464649.7109375</v>
      </c>
      <c r="AF195" s="181">
        <v>-6464649.7109375</v>
      </c>
      <c r="AG195" s="181">
        <v>-6464649.7109375</v>
      </c>
      <c r="AH195" s="181">
        <v>-6464649.7109375</v>
      </c>
      <c r="AI195" s="181">
        <v>-6464649.7109375</v>
      </c>
      <c r="AJ195" s="181">
        <v>-6464649.7109375</v>
      </c>
      <c r="AK195" s="181">
        <v>-6464649.7109375</v>
      </c>
      <c r="AL195" s="181">
        <v>-6464649.7109375</v>
      </c>
      <c r="AM195" s="181">
        <v>-6464649.7109375</v>
      </c>
      <c r="AN195" s="181">
        <v>-6464649.7109375</v>
      </c>
      <c r="AO195" s="175">
        <f>SUM(Data_Dep.12[[#This Row],[KH_2601]:[KH_2612]])</f>
        <v>-77575796.53125</v>
      </c>
      <c r="AP195" s="175">
        <f>Data_Dep.12[[#This Row],[Giá trị còn lại 31/12/25]]+Data_Dep.12[[#This Row],[KH LK 2026]]</f>
        <v>749899366.46875</v>
      </c>
    </row>
    <row r="196" spans="1:42" x14ac:dyDescent="0.3">
      <c r="A196" s="169"/>
      <c r="B196" s="169"/>
      <c r="C196" s="170" t="s">
        <v>338</v>
      </c>
      <c r="D196" s="169" t="str">
        <f>_xlfn.XLOOKUP(Data_Dep.12[[#This Row],[Nhóm tài sản]],MD_Account_Asset_Type[Nhóm tài sản],MD_Account_Asset_Type[Tên Nhóm tài sản])</f>
        <v>Máy móc, thiết bị - SX 627</v>
      </c>
      <c r="E196" s="171" t="s">
        <v>925</v>
      </c>
      <c r="F196" s="170" t="s">
        <v>687</v>
      </c>
      <c r="G196" s="169" t="s">
        <v>830</v>
      </c>
      <c r="H196" s="170" t="s">
        <v>73</v>
      </c>
      <c r="I196" s="170" t="str">
        <f>_xlfn.XLOOKUP(Data_Dep.12[[#This Row],[Cost center]],MD_Cost_Center[Mã Cost Center],MD_Cost_Center[Tên Cost Center])</f>
        <v>Chuyền tạo hạt rPP hiệu YE I</v>
      </c>
      <c r="J196" s="172" t="str">
        <f>_xlfn.XLOOKUP(Data_Dep.12[[#This Row],[Cost center]],MD_Cost_Center[Mã Cost Center],MD_Cost_Center[Work center],"Check")</f>
        <v>YEPP-01 | YEPP-02</v>
      </c>
      <c r="K196" s="169" t="str">
        <f>_xlfn.XLOOKUP(Data_Dep.12[[#This Row],[Nhóm tài sản]],MD_Account_Asset_Type[Nhóm tài sản],MD_Account_Asset_Type[Tài khoản KH],"Check")</f>
        <v>6274001903</v>
      </c>
      <c r="L196" s="173">
        <v>45536</v>
      </c>
      <c r="M196" s="174">
        <f>EDATE(Data_Dep.12[[#This Row],[Ngày bắt đầu KH]],Data_Dep.12[[#This Row],[T/G Khấu hao]])</f>
        <v>47362</v>
      </c>
      <c r="N196" s="175">
        <v>60</v>
      </c>
      <c r="O196" s="175">
        <v>936402136</v>
      </c>
      <c r="P196" s="176">
        <v>-202887129</v>
      </c>
      <c r="Q196" s="175">
        <f>Data_Dep.12[[#This Row],[Nguyên giá]]+Data_Dep.12[[#This Row],[KH lũy kế]]</f>
        <v>733515007</v>
      </c>
      <c r="R196" s="177">
        <v>-15606703</v>
      </c>
      <c r="S196" s="177">
        <v>-15606702</v>
      </c>
      <c r="T196" s="177">
        <v>-15606702</v>
      </c>
      <c r="U196" s="177">
        <f>SUM(Data_Dep.12[[#This Row],[KH_2510]:[KH_2512]])</f>
        <v>-46820107</v>
      </c>
      <c r="V196" s="175">
        <f>Data_Dep.12[[#This Row],[Nguyên giá]]+Data_Dep.12[[#This Row],[KH lũy kế]]+Data_Dep.12[[#This Row],[KH_Q4.25]]</f>
        <v>686694900</v>
      </c>
      <c r="W196" s="178">
        <f>ROUND(Data_Dep.12[[#This Row],[T/G Khấu hao]]-Data_Dep.12[[#This Row],[Giá trị còn lại 31/12/25]]/Data_Dep.12[[#This Row],[Nguyên giá]]*Data_Dep.12[[#This Row],[T/G Khấu hao]],0)</f>
        <v>16</v>
      </c>
      <c r="X196" s="179">
        <v>84</v>
      </c>
      <c r="Y196" s="175">
        <f>Data_Dep.12[[#This Row],[T/G Khấu hao]]+Data_Dep.12[[#This Row],[Điều chỉnh]]</f>
        <v>144</v>
      </c>
      <c r="Z196" s="180">
        <f>EDATE(Data_Dep.12[[#This Row],[Ngày bắt đầu KH]],Data_Dep.12[[#This Row],[T/G điều chỉnh]])</f>
        <v>49919</v>
      </c>
      <c r="AA196" s="175">
        <f>Data_Dep.12[[#This Row],[T/G điều chỉnh]]-Data_Dep.12[[#This Row],[Số kỳ đã khấu hao]]</f>
        <v>128</v>
      </c>
      <c r="AB196" s="175">
        <f>IFERROR(-Data_Dep.12[[#This Row],[Giá trị còn lại 31/12/25]]/(Data_Dep.12[[#This Row],[T/G điều chỉnh]]-Data_Dep.12[[#This Row],[Số kỳ đã khấu hao]]),0)</f>
        <v>-5364803.90625</v>
      </c>
      <c r="AC196" s="181">
        <v>-5364803.90625</v>
      </c>
      <c r="AD196" s="181">
        <v>-5364803.90625</v>
      </c>
      <c r="AE196" s="181">
        <v>-5364803.90625</v>
      </c>
      <c r="AF196" s="181">
        <v>-5364803.90625</v>
      </c>
      <c r="AG196" s="181">
        <v>-5364803.90625</v>
      </c>
      <c r="AH196" s="181">
        <v>-5364803.90625</v>
      </c>
      <c r="AI196" s="181">
        <v>-5364803.90625</v>
      </c>
      <c r="AJ196" s="181">
        <v>-5364803.90625</v>
      </c>
      <c r="AK196" s="181">
        <v>-5364803.90625</v>
      </c>
      <c r="AL196" s="181">
        <v>-5364803.90625</v>
      </c>
      <c r="AM196" s="181">
        <v>-5364803.90625</v>
      </c>
      <c r="AN196" s="181">
        <v>-5364803.90625</v>
      </c>
      <c r="AO196" s="175">
        <f>SUM(Data_Dep.12[[#This Row],[KH_2601]:[KH_2612]])</f>
        <v>-64377646.875</v>
      </c>
      <c r="AP196" s="175">
        <f>Data_Dep.12[[#This Row],[Giá trị còn lại 31/12/25]]+Data_Dep.12[[#This Row],[KH LK 2026]]</f>
        <v>622317253.125</v>
      </c>
    </row>
    <row r="197" spans="1:42" x14ac:dyDescent="0.3">
      <c r="A197" s="169"/>
      <c r="B197" s="169"/>
      <c r="C197" s="170" t="s">
        <v>338</v>
      </c>
      <c r="D197" s="169" t="str">
        <f>_xlfn.XLOOKUP(Data_Dep.12[[#This Row],[Nhóm tài sản]],MD_Account_Asset_Type[Nhóm tài sản],MD_Account_Asset_Type[Tên Nhóm tài sản])</f>
        <v>Máy móc, thiết bị - SX 627</v>
      </c>
      <c r="E197" s="171" t="s">
        <v>926</v>
      </c>
      <c r="F197" s="170" t="s">
        <v>688</v>
      </c>
      <c r="G197" s="169" t="s">
        <v>830</v>
      </c>
      <c r="H197" s="170" t="s">
        <v>95</v>
      </c>
      <c r="I197" s="170" t="str">
        <f>_xlfn.XLOOKUP(Data_Dep.12[[#This Row],[Cost center]],MD_Cost_Center[Mã Cost Center],MD_Cost_Center[Tên Cost Center])</f>
        <v>Máy Trộn PET 10 Tấn MIX-06</v>
      </c>
      <c r="J197" s="172" t="str">
        <f>_xlfn.XLOOKUP(Data_Dep.12[[#This Row],[Cost center]],MD_Cost_Center[Mã Cost Center],MD_Cost_Center[Work center],"Check")</f>
        <v>MIX-06</v>
      </c>
      <c r="K197" s="169" t="str">
        <f>_xlfn.XLOOKUP(Data_Dep.12[[#This Row],[Nhóm tài sản]],MD_Account_Asset_Type[Nhóm tài sản],MD_Account_Asset_Type[Tài khoản KH],"Check")</f>
        <v>6274001903</v>
      </c>
      <c r="L197" s="173">
        <v>45536</v>
      </c>
      <c r="M197" s="174">
        <f>EDATE(Data_Dep.12[[#This Row],[Ngày bắt đầu KH]],Data_Dep.12[[#This Row],[T/G Khấu hao]])</f>
        <v>47362</v>
      </c>
      <c r="N197" s="175">
        <v>60</v>
      </c>
      <c r="O197" s="175">
        <v>1896886694</v>
      </c>
      <c r="P197" s="176">
        <v>-410992117</v>
      </c>
      <c r="Q197" s="175">
        <f>Data_Dep.12[[#This Row],[Nguyên giá]]+Data_Dep.12[[#This Row],[KH lũy kế]]</f>
        <v>1485894577</v>
      </c>
      <c r="R197" s="177">
        <v>-31614778</v>
      </c>
      <c r="S197" s="177">
        <v>-31614779</v>
      </c>
      <c r="T197" s="177">
        <v>-31614778</v>
      </c>
      <c r="U197" s="177">
        <f>SUM(Data_Dep.12[[#This Row],[KH_2510]:[KH_2512]])</f>
        <v>-94844335</v>
      </c>
      <c r="V197" s="175">
        <f>Data_Dep.12[[#This Row],[Nguyên giá]]+Data_Dep.12[[#This Row],[KH lũy kế]]+Data_Dep.12[[#This Row],[KH_Q4.25]]</f>
        <v>1391050242</v>
      </c>
      <c r="W197" s="178">
        <f>ROUND(Data_Dep.12[[#This Row],[T/G Khấu hao]]-Data_Dep.12[[#This Row],[Giá trị còn lại 31/12/25]]/Data_Dep.12[[#This Row],[Nguyên giá]]*Data_Dep.12[[#This Row],[T/G Khấu hao]],0)</f>
        <v>16</v>
      </c>
      <c r="X197" s="179">
        <v>84</v>
      </c>
      <c r="Y197" s="175">
        <f>Data_Dep.12[[#This Row],[T/G Khấu hao]]+Data_Dep.12[[#This Row],[Điều chỉnh]]</f>
        <v>144</v>
      </c>
      <c r="Z197" s="180">
        <f>EDATE(Data_Dep.12[[#This Row],[Ngày bắt đầu KH]],Data_Dep.12[[#This Row],[T/G điều chỉnh]])</f>
        <v>49919</v>
      </c>
      <c r="AA197" s="175">
        <f>Data_Dep.12[[#This Row],[T/G điều chỉnh]]-Data_Dep.12[[#This Row],[Số kỳ đã khấu hao]]</f>
        <v>128</v>
      </c>
      <c r="AB197" s="175">
        <f>IFERROR(-Data_Dep.12[[#This Row],[Giá trị còn lại 31/12/25]]/(Data_Dep.12[[#This Row],[T/G điều chỉnh]]-Data_Dep.12[[#This Row],[Số kỳ đã khấu hao]]),0)</f>
        <v>-10867580.015625</v>
      </c>
      <c r="AC197" s="181">
        <v>-10867580.015625</v>
      </c>
      <c r="AD197" s="181">
        <v>-10867580.015625</v>
      </c>
      <c r="AE197" s="181">
        <v>-10867580.015625</v>
      </c>
      <c r="AF197" s="181">
        <v>-10867580.015625</v>
      </c>
      <c r="AG197" s="181">
        <v>-10867580.015625</v>
      </c>
      <c r="AH197" s="181">
        <v>-10867580.015625</v>
      </c>
      <c r="AI197" s="181">
        <v>-10867580.015625</v>
      </c>
      <c r="AJ197" s="181">
        <v>-10867580.015625</v>
      </c>
      <c r="AK197" s="181">
        <v>-10867580.015625</v>
      </c>
      <c r="AL197" s="181">
        <v>-10867580.015625</v>
      </c>
      <c r="AM197" s="181">
        <v>-10867580.015625</v>
      </c>
      <c r="AN197" s="181">
        <v>-10867580.015625</v>
      </c>
      <c r="AO197" s="175">
        <f>SUM(Data_Dep.12[[#This Row],[KH_2601]:[KH_2612]])</f>
        <v>-130410960.1875</v>
      </c>
      <c r="AP197" s="175">
        <f>Data_Dep.12[[#This Row],[Giá trị còn lại 31/12/25]]+Data_Dep.12[[#This Row],[KH LK 2026]]</f>
        <v>1260639281.8125</v>
      </c>
    </row>
    <row r="198" spans="1:42" x14ac:dyDescent="0.3">
      <c r="A198" s="169"/>
      <c r="B198" s="169"/>
      <c r="C198" s="170" t="s">
        <v>338</v>
      </c>
      <c r="D198" s="169" t="str">
        <f>_xlfn.XLOOKUP(Data_Dep.12[[#This Row],[Nhóm tài sản]],MD_Account_Asset_Type[Nhóm tài sản],MD_Account_Asset_Type[Tên Nhóm tài sản])</f>
        <v>Máy móc, thiết bị - SX 627</v>
      </c>
      <c r="E198" s="171" t="s">
        <v>927</v>
      </c>
      <c r="F198" s="170" t="s">
        <v>689</v>
      </c>
      <c r="G198" s="169" t="s">
        <v>830</v>
      </c>
      <c r="H198" s="170" t="s">
        <v>48</v>
      </c>
      <c r="I198" s="170" t="str">
        <f>_xlfn.XLOOKUP(Data_Dep.12[[#This Row],[Cost center]],MD_Cost_Center[Mã Cost Center],MD_Cost_Center[Tên Cost Center])</f>
        <v>Xưởng sản xuất PET</v>
      </c>
      <c r="J198" s="172">
        <f>_xlfn.XLOOKUP(Data_Dep.12[[#This Row],[Cost center]],MD_Cost_Center[Mã Cost Center],MD_Cost_Center[Work center],"Check")</f>
        <v>0</v>
      </c>
      <c r="K198" s="169" t="str">
        <f>_xlfn.XLOOKUP(Data_Dep.12[[#This Row],[Nhóm tài sản]],MD_Account_Asset_Type[Nhóm tài sản],MD_Account_Asset_Type[Tài khoản KH],"Check")</f>
        <v>6274001903</v>
      </c>
      <c r="L198" s="173">
        <v>45536</v>
      </c>
      <c r="M198" s="174">
        <f>EDATE(Data_Dep.12[[#This Row],[Ngày bắt đầu KH]],Data_Dep.12[[#This Row],[T/G Khấu hao]])</f>
        <v>48458</v>
      </c>
      <c r="N198" s="175">
        <v>96</v>
      </c>
      <c r="O198" s="175">
        <v>7378320048</v>
      </c>
      <c r="P198" s="176">
        <v>-999147507</v>
      </c>
      <c r="Q198" s="175">
        <f>Data_Dep.12[[#This Row],[Nguyên giá]]+Data_Dep.12[[#This Row],[KH lũy kế]]</f>
        <v>6379172541</v>
      </c>
      <c r="R198" s="177">
        <v>-76857500</v>
      </c>
      <c r="S198" s="177">
        <v>-76857501</v>
      </c>
      <c r="T198" s="177">
        <v>-76857500</v>
      </c>
      <c r="U198" s="177">
        <f>SUM(Data_Dep.12[[#This Row],[KH_2510]:[KH_2512]])</f>
        <v>-230572501</v>
      </c>
      <c r="V198" s="175">
        <f>Data_Dep.12[[#This Row],[Nguyên giá]]+Data_Dep.12[[#This Row],[KH lũy kế]]+Data_Dep.12[[#This Row],[KH_Q4.25]]</f>
        <v>6148600040</v>
      </c>
      <c r="W198" s="178">
        <f>ROUND(Data_Dep.12[[#This Row],[T/G Khấu hao]]-Data_Dep.12[[#This Row],[Giá trị còn lại 31/12/25]]/Data_Dep.12[[#This Row],[Nguyên giá]]*Data_Dep.12[[#This Row],[T/G Khấu hao]],0)</f>
        <v>16</v>
      </c>
      <c r="X198" s="179">
        <v>48</v>
      </c>
      <c r="Y198" s="175">
        <f>Data_Dep.12[[#This Row],[T/G Khấu hao]]+Data_Dep.12[[#This Row],[Điều chỉnh]]</f>
        <v>144</v>
      </c>
      <c r="Z198" s="180">
        <f>EDATE(Data_Dep.12[[#This Row],[Ngày bắt đầu KH]],Data_Dep.12[[#This Row],[T/G điều chỉnh]])</f>
        <v>49919</v>
      </c>
      <c r="AA198" s="175">
        <f>Data_Dep.12[[#This Row],[T/G điều chỉnh]]-Data_Dep.12[[#This Row],[Số kỳ đã khấu hao]]</f>
        <v>128</v>
      </c>
      <c r="AB198" s="175">
        <f>IFERROR(-Data_Dep.12[[#This Row],[Giá trị còn lại 31/12/25]]/(Data_Dep.12[[#This Row],[T/G điều chỉnh]]-Data_Dep.12[[#This Row],[Số kỳ đã khấu hao]]),0)</f>
        <v>-48035937.8125</v>
      </c>
      <c r="AC198" s="181">
        <v>-48035937.8125</v>
      </c>
      <c r="AD198" s="181">
        <v>-48035937.8125</v>
      </c>
      <c r="AE198" s="181">
        <v>-48035937.8125</v>
      </c>
      <c r="AF198" s="181">
        <v>-48035937.8125</v>
      </c>
      <c r="AG198" s="181">
        <v>-48035937.8125</v>
      </c>
      <c r="AH198" s="181">
        <v>-48035937.8125</v>
      </c>
      <c r="AI198" s="181">
        <v>-48035937.8125</v>
      </c>
      <c r="AJ198" s="181">
        <v>-48035937.8125</v>
      </c>
      <c r="AK198" s="181">
        <v>-48035937.8125</v>
      </c>
      <c r="AL198" s="181">
        <v>-48035937.8125</v>
      </c>
      <c r="AM198" s="181">
        <v>-48035937.8125</v>
      </c>
      <c r="AN198" s="181">
        <v>-48035937.8125</v>
      </c>
      <c r="AO198" s="175">
        <f>SUM(Data_Dep.12[[#This Row],[KH_2601]:[KH_2612]])</f>
        <v>-576431253.75</v>
      </c>
      <c r="AP198" s="175">
        <f>Data_Dep.12[[#This Row],[Giá trị còn lại 31/12/25]]+Data_Dep.12[[#This Row],[KH LK 2026]]</f>
        <v>5572168786.25</v>
      </c>
    </row>
    <row r="199" spans="1:42" x14ac:dyDescent="0.3">
      <c r="A199" s="169"/>
      <c r="B199" s="169"/>
      <c r="C199" s="170" t="s">
        <v>338</v>
      </c>
      <c r="D199" s="169" t="str">
        <f>_xlfn.XLOOKUP(Data_Dep.12[[#This Row],[Nhóm tài sản]],MD_Account_Asset_Type[Nhóm tài sản],MD_Account_Asset_Type[Tên Nhóm tài sản])</f>
        <v>Máy móc, thiết bị - SX 627</v>
      </c>
      <c r="E199" s="171" t="s">
        <v>928</v>
      </c>
      <c r="F199" s="170" t="s">
        <v>690</v>
      </c>
      <c r="G199" s="169" t="s">
        <v>830</v>
      </c>
      <c r="H199" s="170" t="s">
        <v>99</v>
      </c>
      <c r="I199" s="170" t="str">
        <f>_xlfn.XLOOKUP(Data_Dep.12[[#This Row],[Cost center]],MD_Cost_Center[Mã Cost Center],MD_Cost_Center[Tên Cost Center])</f>
        <v>Máy Trộn PP/HD 15 Tấn MIX-08</v>
      </c>
      <c r="J199" s="172" t="str">
        <f>_xlfn.XLOOKUP(Data_Dep.12[[#This Row],[Cost center]],MD_Cost_Center[Mã Cost Center],MD_Cost_Center[Work center],"Check")</f>
        <v>MIX-08</v>
      </c>
      <c r="K199" s="169" t="str">
        <f>_xlfn.XLOOKUP(Data_Dep.12[[#This Row],[Nhóm tài sản]],MD_Account_Asset_Type[Nhóm tài sản],MD_Account_Asset_Type[Tài khoản KH],"Check")</f>
        <v>6274001903</v>
      </c>
      <c r="L199" s="173">
        <v>45627</v>
      </c>
      <c r="M199" s="174">
        <f>EDATE(Data_Dep.12[[#This Row],[Ngày bắt đầu KH]],Data_Dep.12[[#This Row],[T/G Khấu hao]])</f>
        <v>47453</v>
      </c>
      <c r="N199" s="175">
        <v>60</v>
      </c>
      <c r="O199" s="175">
        <v>737864468</v>
      </c>
      <c r="P199" s="176">
        <v>-122977411</v>
      </c>
      <c r="Q199" s="175">
        <f>Data_Dep.12[[#This Row],[Nguyên giá]]+Data_Dep.12[[#This Row],[KH lũy kế]]</f>
        <v>614887057</v>
      </c>
      <c r="R199" s="177">
        <v>-12297741</v>
      </c>
      <c r="S199" s="177">
        <v>-12297741</v>
      </c>
      <c r="T199" s="177">
        <v>-12297742</v>
      </c>
      <c r="U199" s="177">
        <f>SUM(Data_Dep.12[[#This Row],[KH_2510]:[KH_2512]])</f>
        <v>-36893224</v>
      </c>
      <c r="V199" s="175">
        <f>Data_Dep.12[[#This Row],[Nguyên giá]]+Data_Dep.12[[#This Row],[KH lũy kế]]+Data_Dep.12[[#This Row],[KH_Q4.25]]</f>
        <v>577993833</v>
      </c>
      <c r="W199" s="178">
        <f>ROUND(Data_Dep.12[[#This Row],[T/G Khấu hao]]-Data_Dep.12[[#This Row],[Giá trị còn lại 31/12/25]]/Data_Dep.12[[#This Row],[Nguyên giá]]*Data_Dep.12[[#This Row],[T/G Khấu hao]],0)</f>
        <v>13</v>
      </c>
      <c r="X199" s="179">
        <v>84</v>
      </c>
      <c r="Y199" s="175">
        <f>Data_Dep.12[[#This Row],[T/G Khấu hao]]+Data_Dep.12[[#This Row],[Điều chỉnh]]</f>
        <v>144</v>
      </c>
      <c r="Z199" s="180">
        <f>EDATE(Data_Dep.12[[#This Row],[Ngày bắt đầu KH]],Data_Dep.12[[#This Row],[T/G điều chỉnh]])</f>
        <v>50010</v>
      </c>
      <c r="AA199" s="175">
        <f>Data_Dep.12[[#This Row],[T/G điều chỉnh]]-Data_Dep.12[[#This Row],[Số kỳ đã khấu hao]]</f>
        <v>131</v>
      </c>
      <c r="AB199" s="175">
        <f>IFERROR(-Data_Dep.12[[#This Row],[Giá trị còn lại 31/12/25]]/(Data_Dep.12[[#This Row],[T/G điều chỉnh]]-Data_Dep.12[[#This Row],[Số kỳ đã khấu hao]]),0)</f>
        <v>-4412166.6641221372</v>
      </c>
      <c r="AC199" s="181">
        <v>-4412166.6641221372</v>
      </c>
      <c r="AD199" s="181">
        <v>-4412166.6641221372</v>
      </c>
      <c r="AE199" s="181">
        <v>-4412166.6641221372</v>
      </c>
      <c r="AF199" s="181">
        <v>-4412166.6641221372</v>
      </c>
      <c r="AG199" s="181">
        <v>-4412166.6641221372</v>
      </c>
      <c r="AH199" s="181">
        <v>-4412166.6641221372</v>
      </c>
      <c r="AI199" s="181">
        <v>-4412166.6641221372</v>
      </c>
      <c r="AJ199" s="181">
        <v>-4412166.6641221372</v>
      </c>
      <c r="AK199" s="181">
        <v>-4412166.6641221372</v>
      </c>
      <c r="AL199" s="181">
        <v>-4412166.6641221372</v>
      </c>
      <c r="AM199" s="181">
        <v>-4412166.6641221372</v>
      </c>
      <c r="AN199" s="181">
        <v>-4412166.6641221372</v>
      </c>
      <c r="AO199" s="175">
        <f>SUM(Data_Dep.12[[#This Row],[KH_2601]:[KH_2612]])</f>
        <v>-52945999.969465636</v>
      </c>
      <c r="AP199" s="175">
        <f>Data_Dep.12[[#This Row],[Giá trị còn lại 31/12/25]]+Data_Dep.12[[#This Row],[KH LK 2026]]</f>
        <v>525047833.03053439</v>
      </c>
    </row>
    <row r="200" spans="1:42" x14ac:dyDescent="0.3">
      <c r="A200" s="169"/>
      <c r="B200" s="169"/>
      <c r="C200" s="170" t="s">
        <v>338</v>
      </c>
      <c r="D200" s="169" t="str">
        <f>_xlfn.XLOOKUP(Data_Dep.12[[#This Row],[Nhóm tài sản]],MD_Account_Asset_Type[Nhóm tài sản],MD_Account_Asset_Type[Tên Nhóm tài sản])</f>
        <v>Máy móc, thiết bị - SX 627</v>
      </c>
      <c r="E200" s="171" t="s">
        <v>929</v>
      </c>
      <c r="F200" s="170" t="s">
        <v>691</v>
      </c>
      <c r="G200" s="169" t="s">
        <v>830</v>
      </c>
      <c r="H200" s="170" t="s">
        <v>87</v>
      </c>
      <c r="I200" s="170" t="str">
        <f>_xlfn.XLOOKUP(Data_Dep.12[[#This Row],[Cost center]],MD_Cost_Center[Mã Cost Center],MD_Cost_Center[Tên Cost Center])</f>
        <v>Máy tách hạt Meyer - MEYE-01</v>
      </c>
      <c r="J200" s="172" t="str">
        <f>_xlfn.XLOOKUP(Data_Dep.12[[#This Row],[Cost center]],MD_Cost_Center[Mã Cost Center],MD_Cost_Center[Work center],"Check")</f>
        <v>MEYE-01</v>
      </c>
      <c r="K200" s="169" t="str">
        <f>_xlfn.XLOOKUP(Data_Dep.12[[#This Row],[Nhóm tài sản]],MD_Account_Asset_Type[Nhóm tài sản],MD_Account_Asset_Type[Tài khoản KH],"Check")</f>
        <v>6274001903</v>
      </c>
      <c r="L200" s="173">
        <v>45627</v>
      </c>
      <c r="M200" s="174">
        <f>EDATE(Data_Dep.12[[#This Row],[Ngày bắt đầu KH]],Data_Dep.12[[#This Row],[T/G Khấu hao]])</f>
        <v>47453</v>
      </c>
      <c r="N200" s="175">
        <v>60</v>
      </c>
      <c r="O200" s="175">
        <v>621500000</v>
      </c>
      <c r="P200" s="176">
        <v>-103583333</v>
      </c>
      <c r="Q200" s="175">
        <f>Data_Dep.12[[#This Row],[Nguyên giá]]+Data_Dep.12[[#This Row],[KH lũy kế]]</f>
        <v>517916667</v>
      </c>
      <c r="R200" s="177">
        <v>-10358333</v>
      </c>
      <c r="S200" s="177">
        <v>-10358334</v>
      </c>
      <c r="T200" s="177">
        <v>-10358333</v>
      </c>
      <c r="U200" s="177">
        <f>SUM(Data_Dep.12[[#This Row],[KH_2510]:[KH_2512]])</f>
        <v>-31075000</v>
      </c>
      <c r="V200" s="175">
        <f>Data_Dep.12[[#This Row],[Nguyên giá]]+Data_Dep.12[[#This Row],[KH lũy kế]]+Data_Dep.12[[#This Row],[KH_Q4.25]]</f>
        <v>486841667</v>
      </c>
      <c r="W200" s="178">
        <f>ROUND(Data_Dep.12[[#This Row],[T/G Khấu hao]]-Data_Dep.12[[#This Row],[Giá trị còn lại 31/12/25]]/Data_Dep.12[[#This Row],[Nguyên giá]]*Data_Dep.12[[#This Row],[T/G Khấu hao]],0)</f>
        <v>13</v>
      </c>
      <c r="X200" s="179">
        <v>84</v>
      </c>
      <c r="Y200" s="175">
        <f>Data_Dep.12[[#This Row],[T/G Khấu hao]]+Data_Dep.12[[#This Row],[Điều chỉnh]]</f>
        <v>144</v>
      </c>
      <c r="Z200" s="180">
        <f>EDATE(Data_Dep.12[[#This Row],[Ngày bắt đầu KH]],Data_Dep.12[[#This Row],[T/G điều chỉnh]])</f>
        <v>50010</v>
      </c>
      <c r="AA200" s="175">
        <f>Data_Dep.12[[#This Row],[T/G điều chỉnh]]-Data_Dep.12[[#This Row],[Số kỳ đã khấu hao]]</f>
        <v>131</v>
      </c>
      <c r="AB200" s="175">
        <f>IFERROR(-Data_Dep.12[[#This Row],[Giá trị còn lại 31/12/25]]/(Data_Dep.12[[#This Row],[T/G điều chỉnh]]-Data_Dep.12[[#This Row],[Số kỳ đã khấu hao]]),0)</f>
        <v>-3716348.6030534352</v>
      </c>
      <c r="AC200" s="181">
        <v>-3716348.6030534352</v>
      </c>
      <c r="AD200" s="181">
        <v>-3716348.6030534352</v>
      </c>
      <c r="AE200" s="181">
        <v>-3716348.6030534352</v>
      </c>
      <c r="AF200" s="181">
        <v>-3716348.6030534352</v>
      </c>
      <c r="AG200" s="181">
        <v>-3716348.6030534352</v>
      </c>
      <c r="AH200" s="181">
        <v>-3716348.6030534352</v>
      </c>
      <c r="AI200" s="181">
        <v>-3716348.6030534352</v>
      </c>
      <c r="AJ200" s="181">
        <v>-3716348.6030534352</v>
      </c>
      <c r="AK200" s="181">
        <v>-3716348.6030534352</v>
      </c>
      <c r="AL200" s="181">
        <v>-3716348.6030534352</v>
      </c>
      <c r="AM200" s="181">
        <v>-3716348.6030534352</v>
      </c>
      <c r="AN200" s="181">
        <v>-3716348.6030534352</v>
      </c>
      <c r="AO200" s="175">
        <f>SUM(Data_Dep.12[[#This Row],[KH_2601]:[KH_2612]])</f>
        <v>-44596183.236641221</v>
      </c>
      <c r="AP200" s="175">
        <f>Data_Dep.12[[#This Row],[Giá trị còn lại 31/12/25]]+Data_Dep.12[[#This Row],[KH LK 2026]]</f>
        <v>442245483.76335877</v>
      </c>
    </row>
    <row r="201" spans="1:42" x14ac:dyDescent="0.3">
      <c r="A201" s="169"/>
      <c r="B201" s="169"/>
      <c r="C201" s="170" t="s">
        <v>338</v>
      </c>
      <c r="D201" s="169" t="str">
        <f>_xlfn.XLOOKUP(Data_Dep.12[[#This Row],[Nhóm tài sản]],MD_Account_Asset_Type[Nhóm tài sản],MD_Account_Asset_Type[Tên Nhóm tài sản])</f>
        <v>Máy móc, thiết bị - SX 627</v>
      </c>
      <c r="E201" s="171" t="s">
        <v>930</v>
      </c>
      <c r="F201" s="170" t="s">
        <v>692</v>
      </c>
      <c r="G201" s="169" t="s">
        <v>830</v>
      </c>
      <c r="H201" s="170" t="s">
        <v>47</v>
      </c>
      <c r="I201" s="170" t="str">
        <f>_xlfn.XLOOKUP(Data_Dep.12[[#This Row],[Cost center]],MD_Cost_Center[Mã Cost Center],MD_Cost_Center[Tên Cost Center])</f>
        <v>Nghiên Cứu &amp; Phát Triển</v>
      </c>
      <c r="J201" s="172">
        <f>_xlfn.XLOOKUP(Data_Dep.12[[#This Row],[Cost center]],MD_Cost_Center[Mã Cost Center],MD_Cost_Center[Work center],"Check")</f>
        <v>0</v>
      </c>
      <c r="K201" s="169" t="str">
        <f>_xlfn.XLOOKUP(Data_Dep.12[[#This Row],[Nhóm tài sản]],MD_Account_Asset_Type[Nhóm tài sản],MD_Account_Asset_Type[Tài khoản KH],"Check")</f>
        <v>6274001903</v>
      </c>
      <c r="L201" s="173">
        <v>45627</v>
      </c>
      <c r="M201" s="174">
        <f>EDATE(Data_Dep.12[[#This Row],[Ngày bắt đầu KH]],Data_Dep.12[[#This Row],[T/G Khấu hao]])</f>
        <v>46722</v>
      </c>
      <c r="N201" s="175">
        <v>36</v>
      </c>
      <c r="O201" s="175">
        <v>87000000</v>
      </c>
      <c r="P201" s="176">
        <v>-24166667</v>
      </c>
      <c r="Q201" s="175">
        <f>Data_Dep.12[[#This Row],[Nguyên giá]]+Data_Dep.12[[#This Row],[KH lũy kế]]</f>
        <v>62833333</v>
      </c>
      <c r="R201" s="177">
        <v>-2416667</v>
      </c>
      <c r="S201" s="177">
        <v>-2416666</v>
      </c>
      <c r="T201" s="177">
        <v>-2416667</v>
      </c>
      <c r="U201" s="177">
        <f>SUM(Data_Dep.12[[#This Row],[KH_2510]:[KH_2512]])</f>
        <v>-7250000</v>
      </c>
      <c r="V201" s="175">
        <f>Data_Dep.12[[#This Row],[Nguyên giá]]+Data_Dep.12[[#This Row],[KH lũy kế]]+Data_Dep.12[[#This Row],[KH_Q4.25]]</f>
        <v>55583333</v>
      </c>
      <c r="W201" s="178">
        <f>ROUND(Data_Dep.12[[#This Row],[T/G Khấu hao]]-Data_Dep.12[[#This Row],[Giá trị còn lại 31/12/25]]/Data_Dep.12[[#This Row],[Nguyên giá]]*Data_Dep.12[[#This Row],[T/G Khấu hao]],0)</f>
        <v>13</v>
      </c>
      <c r="X201" s="179">
        <v>108</v>
      </c>
      <c r="Y201" s="175">
        <f>Data_Dep.12[[#This Row],[T/G Khấu hao]]+Data_Dep.12[[#This Row],[Điều chỉnh]]</f>
        <v>144</v>
      </c>
      <c r="Z201" s="180">
        <f>EDATE(Data_Dep.12[[#This Row],[Ngày bắt đầu KH]],Data_Dep.12[[#This Row],[T/G điều chỉnh]])</f>
        <v>50010</v>
      </c>
      <c r="AA201" s="175">
        <f>Data_Dep.12[[#This Row],[T/G điều chỉnh]]-Data_Dep.12[[#This Row],[Số kỳ đã khấu hao]]</f>
        <v>131</v>
      </c>
      <c r="AB201" s="175">
        <f>IFERROR(-Data_Dep.12[[#This Row],[Giá trị còn lại 31/12/25]]/(Data_Dep.12[[#This Row],[T/G điều chỉnh]]-Data_Dep.12[[#This Row],[Số kỳ đã khấu hao]]),0)</f>
        <v>-424300.25190839695</v>
      </c>
      <c r="AC201" s="181">
        <v>-424300.25190839695</v>
      </c>
      <c r="AD201" s="181">
        <v>-424300.25190839695</v>
      </c>
      <c r="AE201" s="181">
        <v>-424300.25190839695</v>
      </c>
      <c r="AF201" s="181">
        <v>-424300.25190839695</v>
      </c>
      <c r="AG201" s="181">
        <v>-424300.25190839695</v>
      </c>
      <c r="AH201" s="181">
        <v>-424300.25190839695</v>
      </c>
      <c r="AI201" s="181">
        <v>-424300.25190839695</v>
      </c>
      <c r="AJ201" s="181">
        <v>-424300.25190839695</v>
      </c>
      <c r="AK201" s="181">
        <v>-424300.25190839695</v>
      </c>
      <c r="AL201" s="181">
        <v>-424300.25190839695</v>
      </c>
      <c r="AM201" s="181">
        <v>-424300.25190839695</v>
      </c>
      <c r="AN201" s="181">
        <v>-424300.25190839695</v>
      </c>
      <c r="AO201" s="175">
        <f>SUM(Data_Dep.12[[#This Row],[KH_2601]:[KH_2612]])</f>
        <v>-5091603.0229007639</v>
      </c>
      <c r="AP201" s="175">
        <f>Data_Dep.12[[#This Row],[Giá trị còn lại 31/12/25]]+Data_Dep.12[[#This Row],[KH LK 2026]]</f>
        <v>50491729.97709924</v>
      </c>
    </row>
    <row r="202" spans="1:42" x14ac:dyDescent="0.3">
      <c r="A202" s="169"/>
      <c r="B202" s="169"/>
      <c r="C202" s="170" t="s">
        <v>338</v>
      </c>
      <c r="D202" s="169" t="str">
        <f>_xlfn.XLOOKUP(Data_Dep.12[[#This Row],[Nhóm tài sản]],MD_Account_Asset_Type[Nhóm tài sản],MD_Account_Asset_Type[Tên Nhóm tài sản])</f>
        <v>Máy móc, thiết bị - SX 627</v>
      </c>
      <c r="E202" s="171" t="s">
        <v>931</v>
      </c>
      <c r="F202" s="170" t="s">
        <v>693</v>
      </c>
      <c r="G202" s="169" t="s">
        <v>830</v>
      </c>
      <c r="H202" s="170" t="s">
        <v>99</v>
      </c>
      <c r="I202" s="170" t="str">
        <f>_xlfn.XLOOKUP(Data_Dep.12[[#This Row],[Cost center]],MD_Cost_Center[Mã Cost Center],MD_Cost_Center[Tên Cost Center])</f>
        <v>Máy Trộn PP/HD 15 Tấn MIX-08</v>
      </c>
      <c r="J202" s="172" t="str">
        <f>_xlfn.XLOOKUP(Data_Dep.12[[#This Row],[Cost center]],MD_Cost_Center[Mã Cost Center],MD_Cost_Center[Work center],"Check")</f>
        <v>MIX-08</v>
      </c>
      <c r="K202" s="169" t="str">
        <f>_xlfn.XLOOKUP(Data_Dep.12[[#This Row],[Nhóm tài sản]],MD_Account_Asset_Type[Nhóm tài sản],MD_Account_Asset_Type[Tài khoản KH],"Check")</f>
        <v>6274001903</v>
      </c>
      <c r="L202" s="173">
        <v>45658</v>
      </c>
      <c r="M202" s="174">
        <f>EDATE(Data_Dep.12[[#This Row],[Ngày bắt đầu KH]],Data_Dep.12[[#This Row],[T/G Khấu hao]])</f>
        <v>47484</v>
      </c>
      <c r="N202" s="175">
        <v>60</v>
      </c>
      <c r="O202" s="175">
        <v>154840000</v>
      </c>
      <c r="P202" s="176">
        <v>-23226000</v>
      </c>
      <c r="Q202" s="175">
        <f>Data_Dep.12[[#This Row],[Nguyên giá]]+Data_Dep.12[[#This Row],[KH lũy kế]]</f>
        <v>131614000</v>
      </c>
      <c r="R202" s="177">
        <v>-2580667</v>
      </c>
      <c r="S202" s="177">
        <v>-2580666</v>
      </c>
      <c r="T202" s="177">
        <v>-2580667</v>
      </c>
      <c r="U202" s="177">
        <f>SUM(Data_Dep.12[[#This Row],[KH_2510]:[KH_2512]])</f>
        <v>-7742000</v>
      </c>
      <c r="V202" s="175">
        <f>Data_Dep.12[[#This Row],[Nguyên giá]]+Data_Dep.12[[#This Row],[KH lũy kế]]+Data_Dep.12[[#This Row],[KH_Q4.25]]</f>
        <v>123872000</v>
      </c>
      <c r="W202" s="178">
        <f>ROUND(Data_Dep.12[[#This Row],[T/G Khấu hao]]-Data_Dep.12[[#This Row],[Giá trị còn lại 31/12/25]]/Data_Dep.12[[#This Row],[Nguyên giá]]*Data_Dep.12[[#This Row],[T/G Khấu hao]],0)</f>
        <v>12</v>
      </c>
      <c r="X202" s="179">
        <v>84</v>
      </c>
      <c r="Y202" s="175">
        <f>Data_Dep.12[[#This Row],[T/G Khấu hao]]+Data_Dep.12[[#This Row],[Điều chỉnh]]</f>
        <v>144</v>
      </c>
      <c r="Z202" s="180">
        <f>EDATE(Data_Dep.12[[#This Row],[Ngày bắt đầu KH]],Data_Dep.12[[#This Row],[T/G điều chỉnh]])</f>
        <v>50041</v>
      </c>
      <c r="AA202" s="175">
        <f>Data_Dep.12[[#This Row],[T/G điều chỉnh]]-Data_Dep.12[[#This Row],[Số kỳ đã khấu hao]]</f>
        <v>132</v>
      </c>
      <c r="AB202" s="175">
        <f>IFERROR(-Data_Dep.12[[#This Row],[Giá trị còn lại 31/12/25]]/(Data_Dep.12[[#This Row],[T/G điều chỉnh]]-Data_Dep.12[[#This Row],[Số kỳ đã khấu hao]]),0)</f>
        <v>-938424.24242424243</v>
      </c>
      <c r="AC202" s="181">
        <v>-938424.24242424243</v>
      </c>
      <c r="AD202" s="181">
        <v>-938424.24242424243</v>
      </c>
      <c r="AE202" s="181">
        <v>-938424.24242424243</v>
      </c>
      <c r="AF202" s="181">
        <v>-938424.24242424243</v>
      </c>
      <c r="AG202" s="181">
        <v>-938424.24242424243</v>
      </c>
      <c r="AH202" s="181">
        <v>-938424.24242424243</v>
      </c>
      <c r="AI202" s="181">
        <v>-938424.24242424243</v>
      </c>
      <c r="AJ202" s="181">
        <v>-938424.24242424243</v>
      </c>
      <c r="AK202" s="181">
        <v>-938424.24242424243</v>
      </c>
      <c r="AL202" s="181">
        <v>-938424.24242424243</v>
      </c>
      <c r="AM202" s="181">
        <v>-938424.24242424243</v>
      </c>
      <c r="AN202" s="181">
        <v>-938424.24242424243</v>
      </c>
      <c r="AO202" s="175">
        <f>SUM(Data_Dep.12[[#This Row],[KH_2601]:[KH_2612]])</f>
        <v>-11261090.909090908</v>
      </c>
      <c r="AP202" s="175">
        <f>Data_Dep.12[[#This Row],[Giá trị còn lại 31/12/25]]+Data_Dep.12[[#This Row],[KH LK 2026]]</f>
        <v>112610909.09090909</v>
      </c>
    </row>
    <row r="203" spans="1:42" x14ac:dyDescent="0.3">
      <c r="A203" s="169"/>
      <c r="B203" s="169"/>
      <c r="C203" s="170" t="s">
        <v>338</v>
      </c>
      <c r="D203" s="169" t="str">
        <f>_xlfn.XLOOKUP(Data_Dep.12[[#This Row],[Nhóm tài sản]],MD_Account_Asset_Type[Nhóm tài sản],MD_Account_Asset_Type[Tên Nhóm tài sản])</f>
        <v>Máy móc, thiết bị - SX 627</v>
      </c>
      <c r="E203" s="171" t="s">
        <v>932</v>
      </c>
      <c r="F203" s="170" t="s">
        <v>694</v>
      </c>
      <c r="G203" s="169" t="s">
        <v>830</v>
      </c>
      <c r="H203" s="170" t="s">
        <v>99</v>
      </c>
      <c r="I203" s="170" t="str">
        <f>_xlfn.XLOOKUP(Data_Dep.12[[#This Row],[Cost center]],MD_Cost_Center[Mã Cost Center],MD_Cost_Center[Tên Cost Center])</f>
        <v>Máy Trộn PP/HD 15 Tấn MIX-08</v>
      </c>
      <c r="J203" s="172" t="str">
        <f>_xlfn.XLOOKUP(Data_Dep.12[[#This Row],[Cost center]],MD_Cost_Center[Mã Cost Center],MD_Cost_Center[Work center],"Check")</f>
        <v>MIX-08</v>
      </c>
      <c r="K203" s="169" t="str">
        <f>_xlfn.XLOOKUP(Data_Dep.12[[#This Row],[Nhóm tài sản]],MD_Account_Asset_Type[Nhóm tài sản],MD_Account_Asset_Type[Tài khoản KH],"Check")</f>
        <v>6274001903</v>
      </c>
      <c r="L203" s="173">
        <v>45658</v>
      </c>
      <c r="M203" s="174">
        <f>EDATE(Data_Dep.12[[#This Row],[Ngày bắt đầu KH]],Data_Dep.12[[#This Row],[T/G Khấu hao]])</f>
        <v>47484</v>
      </c>
      <c r="N203" s="175">
        <v>60</v>
      </c>
      <c r="O203" s="175">
        <v>106820000</v>
      </c>
      <c r="P203" s="176">
        <v>-16023000</v>
      </c>
      <c r="Q203" s="175">
        <f>Data_Dep.12[[#This Row],[Nguyên giá]]+Data_Dep.12[[#This Row],[KH lũy kế]]</f>
        <v>90797000</v>
      </c>
      <c r="R203" s="177">
        <v>-1780333</v>
      </c>
      <c r="S203" s="177">
        <v>-1780334</v>
      </c>
      <c r="T203" s="177">
        <v>-1780333</v>
      </c>
      <c r="U203" s="177">
        <f>SUM(Data_Dep.12[[#This Row],[KH_2510]:[KH_2512]])</f>
        <v>-5341000</v>
      </c>
      <c r="V203" s="175">
        <f>Data_Dep.12[[#This Row],[Nguyên giá]]+Data_Dep.12[[#This Row],[KH lũy kế]]+Data_Dep.12[[#This Row],[KH_Q4.25]]</f>
        <v>85456000</v>
      </c>
      <c r="W203" s="178">
        <f>ROUND(Data_Dep.12[[#This Row],[T/G Khấu hao]]-Data_Dep.12[[#This Row],[Giá trị còn lại 31/12/25]]/Data_Dep.12[[#This Row],[Nguyên giá]]*Data_Dep.12[[#This Row],[T/G Khấu hao]],0)</f>
        <v>12</v>
      </c>
      <c r="X203" s="179">
        <v>84</v>
      </c>
      <c r="Y203" s="175">
        <f>Data_Dep.12[[#This Row],[T/G Khấu hao]]+Data_Dep.12[[#This Row],[Điều chỉnh]]</f>
        <v>144</v>
      </c>
      <c r="Z203" s="180">
        <f>EDATE(Data_Dep.12[[#This Row],[Ngày bắt đầu KH]],Data_Dep.12[[#This Row],[T/G điều chỉnh]])</f>
        <v>50041</v>
      </c>
      <c r="AA203" s="175">
        <f>Data_Dep.12[[#This Row],[T/G điều chỉnh]]-Data_Dep.12[[#This Row],[Số kỳ đã khấu hao]]</f>
        <v>132</v>
      </c>
      <c r="AB203" s="175">
        <f>IFERROR(-Data_Dep.12[[#This Row],[Giá trị còn lại 31/12/25]]/(Data_Dep.12[[#This Row],[T/G điều chỉnh]]-Data_Dep.12[[#This Row],[Số kỳ đã khấu hao]]),0)</f>
        <v>-647393.93939393945</v>
      </c>
      <c r="AC203" s="181">
        <v>-647393.93939393945</v>
      </c>
      <c r="AD203" s="181">
        <v>-647393.93939393945</v>
      </c>
      <c r="AE203" s="181">
        <v>-647393.93939393945</v>
      </c>
      <c r="AF203" s="181">
        <v>-647393.93939393945</v>
      </c>
      <c r="AG203" s="181">
        <v>-647393.93939393945</v>
      </c>
      <c r="AH203" s="181">
        <v>-647393.93939393945</v>
      </c>
      <c r="AI203" s="181">
        <v>-647393.93939393945</v>
      </c>
      <c r="AJ203" s="181">
        <v>-647393.93939393945</v>
      </c>
      <c r="AK203" s="181">
        <v>-647393.93939393945</v>
      </c>
      <c r="AL203" s="181">
        <v>-647393.93939393945</v>
      </c>
      <c r="AM203" s="181">
        <v>-647393.93939393945</v>
      </c>
      <c r="AN203" s="181">
        <v>-647393.93939393945</v>
      </c>
      <c r="AO203" s="175">
        <f>SUM(Data_Dep.12[[#This Row],[KH_2601]:[KH_2612]])</f>
        <v>-7768727.2727272734</v>
      </c>
      <c r="AP203" s="175">
        <f>Data_Dep.12[[#This Row],[Giá trị còn lại 31/12/25]]+Data_Dep.12[[#This Row],[KH LK 2026]]</f>
        <v>77687272.727272719</v>
      </c>
    </row>
    <row r="204" spans="1:42" x14ac:dyDescent="0.3">
      <c r="A204" s="169"/>
      <c r="B204" s="169"/>
      <c r="C204" s="170" t="s">
        <v>338</v>
      </c>
      <c r="D204" s="169" t="str">
        <f>_xlfn.XLOOKUP(Data_Dep.12[[#This Row],[Nhóm tài sản]],MD_Account_Asset_Type[Nhóm tài sản],MD_Account_Asset_Type[Tên Nhóm tài sản])</f>
        <v>Máy móc, thiết bị - SX 627</v>
      </c>
      <c r="E204" s="171" t="s">
        <v>933</v>
      </c>
      <c r="F204" s="170" t="s">
        <v>695</v>
      </c>
      <c r="G204" s="169" t="s">
        <v>830</v>
      </c>
      <c r="H204" s="170" t="s">
        <v>71</v>
      </c>
      <c r="I204" s="170" t="str">
        <f>_xlfn.XLOOKUP(Data_Dep.12[[#This Row],[Cost center]],MD_Cost_Center[Mã Cost Center],MD_Cost_Center[Tên Cost Center])</f>
        <v>Chuyền rửa vảy PET số 3 ( Boretech)</v>
      </c>
      <c r="J204" s="172" t="str">
        <f>_xlfn.XLOOKUP(Data_Dep.12[[#This Row],[Cost center]],MD_Cost_Center[Mã Cost Center],MD_Cost_Center[Work center],"Check")</f>
        <v>BORE-R01</v>
      </c>
      <c r="K204" s="169" t="str">
        <f>_xlfn.XLOOKUP(Data_Dep.12[[#This Row],[Nhóm tài sản]],MD_Account_Asset_Type[Nhóm tài sản],MD_Account_Asset_Type[Tài khoản KH],"Check")</f>
        <v>6274001903</v>
      </c>
      <c r="L204" s="173">
        <v>45627</v>
      </c>
      <c r="M204" s="174">
        <f>EDATE(Data_Dep.12[[#This Row],[Ngày bắt đầu KH]],Data_Dep.12[[#This Row],[T/G Khấu hao]])</f>
        <v>48549</v>
      </c>
      <c r="N204" s="175">
        <v>96</v>
      </c>
      <c r="O204" s="175">
        <v>8047003036</v>
      </c>
      <c r="P204" s="176">
        <v>-863523425</v>
      </c>
      <c r="Q204" s="175">
        <f>Data_Dep.12[[#This Row],[Nguyên giá]]+Data_Dep.12[[#This Row],[KH lũy kế]]</f>
        <v>7183479611</v>
      </c>
      <c r="R204" s="177">
        <v>-83528833</v>
      </c>
      <c r="S204" s="177">
        <v>-83528833</v>
      </c>
      <c r="T204" s="177">
        <v>-83528832</v>
      </c>
      <c r="U204" s="177">
        <f>SUM(Data_Dep.12[[#This Row],[KH_2510]:[KH_2512]])</f>
        <v>-250586498</v>
      </c>
      <c r="V204" s="175">
        <f>Data_Dep.12[[#This Row],[Nguyên giá]]+Data_Dep.12[[#This Row],[KH lũy kế]]+Data_Dep.12[[#This Row],[KH_Q4.25]]</f>
        <v>6932893113</v>
      </c>
      <c r="W204" s="178">
        <f>ROUND(Data_Dep.12[[#This Row],[T/G Khấu hao]]-Data_Dep.12[[#This Row],[Giá trị còn lại 31/12/25]]/Data_Dep.12[[#This Row],[Nguyên giá]]*Data_Dep.12[[#This Row],[T/G Khấu hao]],0)</f>
        <v>13</v>
      </c>
      <c r="X204" s="179">
        <v>48</v>
      </c>
      <c r="Y204" s="175">
        <f>Data_Dep.12[[#This Row],[T/G Khấu hao]]+Data_Dep.12[[#This Row],[Điều chỉnh]]</f>
        <v>144</v>
      </c>
      <c r="Z204" s="180">
        <f>EDATE(Data_Dep.12[[#This Row],[Ngày bắt đầu KH]],Data_Dep.12[[#This Row],[T/G điều chỉnh]])</f>
        <v>50010</v>
      </c>
      <c r="AA204" s="175">
        <f>Data_Dep.12[[#This Row],[T/G điều chỉnh]]-Data_Dep.12[[#This Row],[Số kỳ đã khấu hao]]</f>
        <v>131</v>
      </c>
      <c r="AB204" s="175">
        <f>IFERROR(-Data_Dep.12[[#This Row],[Giá trị còn lại 31/12/25]]/(Data_Dep.12[[#This Row],[T/G điều chỉnh]]-Data_Dep.12[[#This Row],[Số kỳ đã khấu hao]]),0)</f>
        <v>-52922848.190839693</v>
      </c>
      <c r="AC204" s="181">
        <v>-52922848.190839693</v>
      </c>
      <c r="AD204" s="181">
        <v>-52922848.190839693</v>
      </c>
      <c r="AE204" s="181">
        <v>-52922848.190839693</v>
      </c>
      <c r="AF204" s="181">
        <v>-52922848.190839693</v>
      </c>
      <c r="AG204" s="181">
        <v>-52922848.190839693</v>
      </c>
      <c r="AH204" s="181">
        <v>-52922848.190839693</v>
      </c>
      <c r="AI204" s="181">
        <v>-52922848.190839693</v>
      </c>
      <c r="AJ204" s="181">
        <v>-52922848.190839693</v>
      </c>
      <c r="AK204" s="181">
        <v>-52922848.190839693</v>
      </c>
      <c r="AL204" s="181">
        <v>-52922848.190839693</v>
      </c>
      <c r="AM204" s="181">
        <v>-52922848.190839693</v>
      </c>
      <c r="AN204" s="181">
        <v>-52922848.190839693</v>
      </c>
      <c r="AO204" s="175">
        <f>SUM(Data_Dep.12[[#This Row],[KH_2601]:[KH_2612]])</f>
        <v>-635074178.29007638</v>
      </c>
      <c r="AP204" s="175">
        <f>Data_Dep.12[[#This Row],[Giá trị còn lại 31/12/25]]+Data_Dep.12[[#This Row],[KH LK 2026]]</f>
        <v>6297818934.7099237</v>
      </c>
    </row>
    <row r="205" spans="1:42" x14ac:dyDescent="0.3">
      <c r="A205" s="169"/>
      <c r="B205" s="169"/>
      <c r="C205" s="170" t="s">
        <v>338</v>
      </c>
      <c r="D205" s="169" t="str">
        <f>_xlfn.XLOOKUP(Data_Dep.12[[#This Row],[Nhóm tài sản]],MD_Account_Asset_Type[Nhóm tài sản],MD_Account_Asset_Type[Tên Nhóm tài sản])</f>
        <v>Máy móc, thiết bị - SX 627</v>
      </c>
      <c r="E205" s="171" t="s">
        <v>934</v>
      </c>
      <c r="F205" s="170" t="s">
        <v>696</v>
      </c>
      <c r="G205" s="169" t="s">
        <v>830</v>
      </c>
      <c r="H205" s="170" t="s">
        <v>70</v>
      </c>
      <c r="I205" s="170" t="str">
        <f>_xlfn.XLOOKUP(Data_Dep.12[[#This Row],[Cost center]],MD_Cost_Center[Mã Cost Center],MD_Cost_Center[Tên Cost Center])</f>
        <v>Chuyền băm chai PET số 3 (Boretech)</v>
      </c>
      <c r="J205" s="172" t="str">
        <f>_xlfn.XLOOKUP(Data_Dep.12[[#This Row],[Cost center]],MD_Cost_Center[Mã Cost Center],MD_Cost_Center[Work center],"Check")</f>
        <v>BORE-B01</v>
      </c>
      <c r="K205" s="169" t="str">
        <f>_xlfn.XLOOKUP(Data_Dep.12[[#This Row],[Nhóm tài sản]],MD_Account_Asset_Type[Nhóm tài sản],MD_Account_Asset_Type[Tài khoản KH],"Check")</f>
        <v>6274001903</v>
      </c>
      <c r="L205" s="173">
        <v>45627</v>
      </c>
      <c r="M205" s="174">
        <f>EDATE(Data_Dep.12[[#This Row],[Ngày bắt đầu KH]],Data_Dep.12[[#This Row],[T/G Khấu hao]])</f>
        <v>48549</v>
      </c>
      <c r="N205" s="175">
        <v>96</v>
      </c>
      <c r="O205" s="175">
        <v>8047003036</v>
      </c>
      <c r="P205" s="176">
        <v>-863523425</v>
      </c>
      <c r="Q205" s="175">
        <f>Data_Dep.12[[#This Row],[Nguyên giá]]+Data_Dep.12[[#This Row],[KH lũy kế]]</f>
        <v>7183479611</v>
      </c>
      <c r="R205" s="177">
        <v>-83528833</v>
      </c>
      <c r="S205" s="177">
        <v>-83528833</v>
      </c>
      <c r="T205" s="177">
        <v>-83528832</v>
      </c>
      <c r="U205" s="177">
        <f>SUM(Data_Dep.12[[#This Row],[KH_2510]:[KH_2512]])</f>
        <v>-250586498</v>
      </c>
      <c r="V205" s="175">
        <f>Data_Dep.12[[#This Row],[Nguyên giá]]+Data_Dep.12[[#This Row],[KH lũy kế]]+Data_Dep.12[[#This Row],[KH_Q4.25]]</f>
        <v>6932893113</v>
      </c>
      <c r="W205" s="178">
        <f>ROUND(Data_Dep.12[[#This Row],[T/G Khấu hao]]-Data_Dep.12[[#This Row],[Giá trị còn lại 31/12/25]]/Data_Dep.12[[#This Row],[Nguyên giá]]*Data_Dep.12[[#This Row],[T/G Khấu hao]],0)</f>
        <v>13</v>
      </c>
      <c r="X205" s="179">
        <v>48</v>
      </c>
      <c r="Y205" s="175">
        <f>Data_Dep.12[[#This Row],[T/G Khấu hao]]+Data_Dep.12[[#This Row],[Điều chỉnh]]</f>
        <v>144</v>
      </c>
      <c r="Z205" s="180">
        <f>EDATE(Data_Dep.12[[#This Row],[Ngày bắt đầu KH]],Data_Dep.12[[#This Row],[T/G điều chỉnh]])</f>
        <v>50010</v>
      </c>
      <c r="AA205" s="175">
        <f>Data_Dep.12[[#This Row],[T/G điều chỉnh]]-Data_Dep.12[[#This Row],[Số kỳ đã khấu hao]]</f>
        <v>131</v>
      </c>
      <c r="AB205" s="175">
        <f>IFERROR(-Data_Dep.12[[#This Row],[Giá trị còn lại 31/12/25]]/(Data_Dep.12[[#This Row],[T/G điều chỉnh]]-Data_Dep.12[[#This Row],[Số kỳ đã khấu hao]]),0)</f>
        <v>-52922848.190839693</v>
      </c>
      <c r="AC205" s="181">
        <v>-52922848.190839693</v>
      </c>
      <c r="AD205" s="181">
        <v>-52922848.190839693</v>
      </c>
      <c r="AE205" s="181">
        <v>-52922848.190839693</v>
      </c>
      <c r="AF205" s="181">
        <v>-52922848.190839693</v>
      </c>
      <c r="AG205" s="181">
        <v>-52922848.190839693</v>
      </c>
      <c r="AH205" s="181">
        <v>-52922848.190839693</v>
      </c>
      <c r="AI205" s="181">
        <v>-52922848.190839693</v>
      </c>
      <c r="AJ205" s="181">
        <v>-52922848.190839693</v>
      </c>
      <c r="AK205" s="181">
        <v>-52922848.190839693</v>
      </c>
      <c r="AL205" s="181">
        <v>-52922848.190839693</v>
      </c>
      <c r="AM205" s="181">
        <v>-52922848.190839693</v>
      </c>
      <c r="AN205" s="181">
        <v>-52922848.190839693</v>
      </c>
      <c r="AO205" s="175">
        <f>SUM(Data_Dep.12[[#This Row],[KH_2601]:[KH_2612]])</f>
        <v>-635074178.29007638</v>
      </c>
      <c r="AP205" s="175">
        <f>Data_Dep.12[[#This Row],[Giá trị còn lại 31/12/25]]+Data_Dep.12[[#This Row],[KH LK 2026]]</f>
        <v>6297818934.7099237</v>
      </c>
    </row>
    <row r="206" spans="1:42" x14ac:dyDescent="0.3">
      <c r="A206" s="169"/>
      <c r="B206" s="169"/>
      <c r="C206" s="170" t="s">
        <v>338</v>
      </c>
      <c r="D206" s="169" t="str">
        <f>_xlfn.XLOOKUP(Data_Dep.12[[#This Row],[Nhóm tài sản]],MD_Account_Asset_Type[Nhóm tài sản],MD_Account_Asset_Type[Tên Nhóm tài sản])</f>
        <v>Máy móc, thiết bị - SX 627</v>
      </c>
      <c r="E206" s="171" t="s">
        <v>935</v>
      </c>
      <c r="F206" s="170" t="s">
        <v>697</v>
      </c>
      <c r="G206" s="169" t="s">
        <v>830</v>
      </c>
      <c r="H206" s="170" t="s">
        <v>101</v>
      </c>
      <c r="I206" s="170" t="str">
        <f>_xlfn.XLOOKUP(Data_Dep.12[[#This Row],[Cost center]],MD_Cost_Center[Mã Cost Center],MD_Cost_Center[Tên Cost Center])</f>
        <v>Máy Sàn rung PP</v>
      </c>
      <c r="J206" s="172" t="str">
        <f>_xlfn.XLOOKUP(Data_Dep.12[[#This Row],[Cost center]],MD_Cost_Center[Mã Cost Center],MD_Cost_Center[Work center],"Check")</f>
        <v>SANV-02</v>
      </c>
      <c r="K206" s="169" t="str">
        <f>_xlfn.XLOOKUP(Data_Dep.12[[#This Row],[Nhóm tài sản]],MD_Account_Asset_Type[Nhóm tài sản],MD_Account_Asset_Type[Tài khoản KH],"Check")</f>
        <v>6274001903</v>
      </c>
      <c r="L206" s="173">
        <v>45627</v>
      </c>
      <c r="M206" s="174">
        <f>EDATE(Data_Dep.12[[#This Row],[Ngày bắt đầu KH]],Data_Dep.12[[#This Row],[T/G Khấu hao]])</f>
        <v>46722</v>
      </c>
      <c r="N206" s="175">
        <v>36</v>
      </c>
      <c r="O206" s="175">
        <v>107136753</v>
      </c>
      <c r="P206" s="176">
        <v>-29760209</v>
      </c>
      <c r="Q206" s="175">
        <f>Data_Dep.12[[#This Row],[Nguyên giá]]+Data_Dep.12[[#This Row],[KH lũy kế]]</f>
        <v>77376544</v>
      </c>
      <c r="R206" s="177">
        <v>-2976021</v>
      </c>
      <c r="S206" s="177">
        <v>-2976021</v>
      </c>
      <c r="T206" s="177">
        <v>-2976021</v>
      </c>
      <c r="U206" s="177">
        <f>SUM(Data_Dep.12[[#This Row],[KH_2510]:[KH_2512]])</f>
        <v>-8928063</v>
      </c>
      <c r="V206" s="175">
        <f>Data_Dep.12[[#This Row],[Nguyên giá]]+Data_Dep.12[[#This Row],[KH lũy kế]]+Data_Dep.12[[#This Row],[KH_Q4.25]]</f>
        <v>68448481</v>
      </c>
      <c r="W206" s="178">
        <f>ROUND(Data_Dep.12[[#This Row],[T/G Khấu hao]]-Data_Dep.12[[#This Row],[Giá trị còn lại 31/12/25]]/Data_Dep.12[[#This Row],[Nguyên giá]]*Data_Dep.12[[#This Row],[T/G Khấu hao]],0)</f>
        <v>13</v>
      </c>
      <c r="X206" s="179">
        <v>108</v>
      </c>
      <c r="Y206" s="175">
        <f>Data_Dep.12[[#This Row],[T/G Khấu hao]]+Data_Dep.12[[#This Row],[Điều chỉnh]]</f>
        <v>144</v>
      </c>
      <c r="Z206" s="180">
        <f>EDATE(Data_Dep.12[[#This Row],[Ngày bắt đầu KH]],Data_Dep.12[[#This Row],[T/G điều chỉnh]])</f>
        <v>50010</v>
      </c>
      <c r="AA206" s="175">
        <f>Data_Dep.12[[#This Row],[T/G điều chỉnh]]-Data_Dep.12[[#This Row],[Số kỳ đã khấu hao]]</f>
        <v>131</v>
      </c>
      <c r="AB206" s="175">
        <f>IFERROR(-Data_Dep.12[[#This Row],[Giá trị còn lại 31/12/25]]/(Data_Dep.12[[#This Row],[T/G điều chỉnh]]-Data_Dep.12[[#This Row],[Số kỳ đã khấu hao]]),0)</f>
        <v>-522507.48854961834</v>
      </c>
      <c r="AC206" s="181">
        <v>-522507.48854961834</v>
      </c>
      <c r="AD206" s="181">
        <v>-522507.48854961834</v>
      </c>
      <c r="AE206" s="181">
        <v>-522507.48854961834</v>
      </c>
      <c r="AF206" s="181">
        <v>-522507.48854961834</v>
      </c>
      <c r="AG206" s="181">
        <v>-522507.48854961834</v>
      </c>
      <c r="AH206" s="181">
        <v>-522507.48854961834</v>
      </c>
      <c r="AI206" s="181">
        <v>-522507.48854961834</v>
      </c>
      <c r="AJ206" s="181">
        <v>-522507.48854961834</v>
      </c>
      <c r="AK206" s="181">
        <v>-522507.48854961834</v>
      </c>
      <c r="AL206" s="181">
        <v>-522507.48854961834</v>
      </c>
      <c r="AM206" s="181">
        <v>-522507.48854961834</v>
      </c>
      <c r="AN206" s="181">
        <v>-522507.48854961834</v>
      </c>
      <c r="AO206" s="175">
        <f>SUM(Data_Dep.12[[#This Row],[KH_2601]:[KH_2612]])</f>
        <v>-6270089.8625954194</v>
      </c>
      <c r="AP206" s="175">
        <f>Data_Dep.12[[#This Row],[Giá trị còn lại 31/12/25]]+Data_Dep.12[[#This Row],[KH LK 2026]]</f>
        <v>62178391.137404583</v>
      </c>
    </row>
    <row r="207" spans="1:42" x14ac:dyDescent="0.3">
      <c r="A207" s="169"/>
      <c r="B207" s="169"/>
      <c r="C207" s="170" t="s">
        <v>338</v>
      </c>
      <c r="D207" s="169" t="str">
        <f>_xlfn.XLOOKUP(Data_Dep.12[[#This Row],[Nhóm tài sản]],MD_Account_Asset_Type[Nhóm tài sản],MD_Account_Asset_Type[Tên Nhóm tài sản])</f>
        <v>Máy móc, thiết bị - SX 627</v>
      </c>
      <c r="E207" s="171" t="s">
        <v>936</v>
      </c>
      <c r="F207" s="170" t="s">
        <v>698</v>
      </c>
      <c r="G207" s="169" t="s">
        <v>830</v>
      </c>
      <c r="H207" s="170" t="s">
        <v>100</v>
      </c>
      <c r="I207" s="170" t="str">
        <f>_xlfn.XLOOKUP(Data_Dep.12[[#This Row],[Cost center]],MD_Cost_Center[Mã Cost Center],MD_Cost_Center[Tên Cost Center])</f>
        <v>Chuyền Rửa Vảy PET BORE-R02</v>
      </c>
      <c r="J207" s="172" t="str">
        <f>_xlfn.XLOOKUP(Data_Dep.12[[#This Row],[Cost center]],MD_Cost_Center[Mã Cost Center],MD_Cost_Center[Work center],"Check")</f>
        <v>BORE-R02</v>
      </c>
      <c r="K207" s="169" t="str">
        <f>_xlfn.XLOOKUP(Data_Dep.12[[#This Row],[Nhóm tài sản]],MD_Account_Asset_Type[Nhóm tài sản],MD_Account_Asset_Type[Tài khoản KH],"Check")</f>
        <v>6274001903</v>
      </c>
      <c r="L207" s="173">
        <v>45717</v>
      </c>
      <c r="M207" s="174">
        <f>EDATE(Data_Dep.12[[#This Row],[Ngày bắt đầu KH]],Data_Dep.12[[#This Row],[T/G Khấu hao]])</f>
        <v>47543</v>
      </c>
      <c r="N207" s="175">
        <v>60</v>
      </c>
      <c r="O207" s="175">
        <v>2745703965</v>
      </c>
      <c r="P207" s="176">
        <v>-320332129</v>
      </c>
      <c r="Q207" s="175">
        <f>Data_Dep.12[[#This Row],[Nguyên giá]]+Data_Dep.12[[#This Row],[KH lũy kế]]</f>
        <v>2425371836</v>
      </c>
      <c r="R207" s="177">
        <v>-45761733</v>
      </c>
      <c r="S207" s="177">
        <v>-45761733</v>
      </c>
      <c r="T207" s="177">
        <v>-45761733</v>
      </c>
      <c r="U207" s="177">
        <f>SUM(Data_Dep.12[[#This Row],[KH_2510]:[KH_2512]])</f>
        <v>-137285199</v>
      </c>
      <c r="V207" s="175">
        <f>Data_Dep.12[[#This Row],[Nguyên giá]]+Data_Dep.12[[#This Row],[KH lũy kế]]+Data_Dep.12[[#This Row],[KH_Q4.25]]</f>
        <v>2288086637</v>
      </c>
      <c r="W207" s="178">
        <f>ROUND(Data_Dep.12[[#This Row],[T/G Khấu hao]]-Data_Dep.12[[#This Row],[Giá trị còn lại 31/12/25]]/Data_Dep.12[[#This Row],[Nguyên giá]]*Data_Dep.12[[#This Row],[T/G Khấu hao]],0)</f>
        <v>10</v>
      </c>
      <c r="X207" s="179">
        <v>84</v>
      </c>
      <c r="Y207" s="175">
        <f>Data_Dep.12[[#This Row],[T/G Khấu hao]]+Data_Dep.12[[#This Row],[Điều chỉnh]]</f>
        <v>144</v>
      </c>
      <c r="Z207" s="180">
        <f>EDATE(Data_Dep.12[[#This Row],[Ngày bắt đầu KH]],Data_Dep.12[[#This Row],[T/G điều chỉnh]])</f>
        <v>50100</v>
      </c>
      <c r="AA207" s="175">
        <f>Data_Dep.12[[#This Row],[T/G điều chỉnh]]-Data_Dep.12[[#This Row],[Số kỳ đã khấu hao]]</f>
        <v>134</v>
      </c>
      <c r="AB207" s="175">
        <f>IFERROR(-Data_Dep.12[[#This Row],[Giá trị còn lại 31/12/25]]/(Data_Dep.12[[#This Row],[T/G điều chỉnh]]-Data_Dep.12[[#This Row],[Số kỳ đã khấu hao]]),0)</f>
        <v>-17075273.410447761</v>
      </c>
      <c r="AC207" s="181">
        <v>-17075273.410447761</v>
      </c>
      <c r="AD207" s="181">
        <v>-17075273.410447761</v>
      </c>
      <c r="AE207" s="181">
        <v>-17075273.410447761</v>
      </c>
      <c r="AF207" s="181">
        <v>-17075273.410447761</v>
      </c>
      <c r="AG207" s="181">
        <v>-17075273.410447761</v>
      </c>
      <c r="AH207" s="181">
        <v>-17075273.410447761</v>
      </c>
      <c r="AI207" s="181">
        <v>-17075273.410447761</v>
      </c>
      <c r="AJ207" s="181">
        <v>-17075273.410447761</v>
      </c>
      <c r="AK207" s="181">
        <v>-17075273.410447761</v>
      </c>
      <c r="AL207" s="181">
        <v>-17075273.410447761</v>
      </c>
      <c r="AM207" s="181">
        <v>-17075273.410447761</v>
      </c>
      <c r="AN207" s="181">
        <v>-17075273.410447761</v>
      </c>
      <c r="AO207" s="175">
        <f>SUM(Data_Dep.12[[#This Row],[KH_2601]:[KH_2612]])</f>
        <v>-204903280.9253732</v>
      </c>
      <c r="AP207" s="175">
        <f>Data_Dep.12[[#This Row],[Giá trị còn lại 31/12/25]]+Data_Dep.12[[#This Row],[KH LK 2026]]</f>
        <v>2083183356.0746269</v>
      </c>
    </row>
    <row r="208" spans="1:42" x14ac:dyDescent="0.3">
      <c r="A208" s="169"/>
      <c r="B208" s="169"/>
      <c r="C208" s="170" t="s">
        <v>338</v>
      </c>
      <c r="D208" s="169" t="str">
        <f>_xlfn.XLOOKUP(Data_Dep.12[[#This Row],[Nhóm tài sản]],MD_Account_Asset_Type[Nhóm tài sản],MD_Account_Asset_Type[Tên Nhóm tài sản])</f>
        <v>Máy móc, thiết bị - SX 627</v>
      </c>
      <c r="E208" s="171" t="s">
        <v>937</v>
      </c>
      <c r="F208" s="170" t="s">
        <v>699</v>
      </c>
      <c r="G208" s="169" t="s">
        <v>830</v>
      </c>
      <c r="H208" s="170" t="s">
        <v>100</v>
      </c>
      <c r="I208" s="170" t="str">
        <f>_xlfn.XLOOKUP(Data_Dep.12[[#This Row],[Cost center]],MD_Cost_Center[Mã Cost Center],MD_Cost_Center[Tên Cost Center])</f>
        <v>Chuyền Rửa Vảy PET BORE-R02</v>
      </c>
      <c r="J208" s="172" t="str">
        <f>_xlfn.XLOOKUP(Data_Dep.12[[#This Row],[Cost center]],MD_Cost_Center[Mã Cost Center],MD_Cost_Center[Work center],"Check")</f>
        <v>BORE-R02</v>
      </c>
      <c r="K208" s="169" t="str">
        <f>_xlfn.XLOOKUP(Data_Dep.12[[#This Row],[Nhóm tài sản]],MD_Account_Asset_Type[Nhóm tài sản],MD_Account_Asset_Type[Tài khoản KH],"Check")</f>
        <v>6274001903</v>
      </c>
      <c r="L208" s="173">
        <v>45717</v>
      </c>
      <c r="M208" s="174">
        <f>EDATE(Data_Dep.12[[#This Row],[Ngày bắt đầu KH]],Data_Dep.12[[#This Row],[T/G Khấu hao]])</f>
        <v>47543</v>
      </c>
      <c r="N208" s="175">
        <v>60</v>
      </c>
      <c r="O208" s="175">
        <v>1300467332</v>
      </c>
      <c r="P208" s="176">
        <v>-151721189</v>
      </c>
      <c r="Q208" s="175">
        <f>Data_Dep.12[[#This Row],[Nguyên giá]]+Data_Dep.12[[#This Row],[KH lũy kế]]</f>
        <v>1148746143</v>
      </c>
      <c r="R208" s="177">
        <v>-21674455</v>
      </c>
      <c r="S208" s="177">
        <v>-21674456</v>
      </c>
      <c r="T208" s="177">
        <v>-21674455</v>
      </c>
      <c r="U208" s="177">
        <f>SUM(Data_Dep.12[[#This Row],[KH_2510]:[KH_2512]])</f>
        <v>-65023366</v>
      </c>
      <c r="V208" s="175">
        <f>Data_Dep.12[[#This Row],[Nguyên giá]]+Data_Dep.12[[#This Row],[KH lũy kế]]+Data_Dep.12[[#This Row],[KH_Q4.25]]</f>
        <v>1083722777</v>
      </c>
      <c r="W208" s="178">
        <f>ROUND(Data_Dep.12[[#This Row],[T/G Khấu hao]]-Data_Dep.12[[#This Row],[Giá trị còn lại 31/12/25]]/Data_Dep.12[[#This Row],[Nguyên giá]]*Data_Dep.12[[#This Row],[T/G Khấu hao]],0)</f>
        <v>10</v>
      </c>
      <c r="X208" s="179">
        <v>84</v>
      </c>
      <c r="Y208" s="175">
        <f>Data_Dep.12[[#This Row],[T/G Khấu hao]]+Data_Dep.12[[#This Row],[Điều chỉnh]]</f>
        <v>144</v>
      </c>
      <c r="Z208" s="180">
        <f>EDATE(Data_Dep.12[[#This Row],[Ngày bắt đầu KH]],Data_Dep.12[[#This Row],[T/G điều chỉnh]])</f>
        <v>50100</v>
      </c>
      <c r="AA208" s="175">
        <f>Data_Dep.12[[#This Row],[T/G điều chỉnh]]-Data_Dep.12[[#This Row],[Số kỳ đã khấu hao]]</f>
        <v>134</v>
      </c>
      <c r="AB208" s="175">
        <f>IFERROR(-Data_Dep.12[[#This Row],[Giá trị còn lại 31/12/25]]/(Data_Dep.12[[#This Row],[T/G điều chỉnh]]-Data_Dep.12[[#This Row],[Số kỳ đã khấu hao]]),0)</f>
        <v>-8087483.4104477614</v>
      </c>
      <c r="AC208" s="181">
        <v>-8087483.4104477614</v>
      </c>
      <c r="AD208" s="181">
        <v>-8087483.4104477614</v>
      </c>
      <c r="AE208" s="181">
        <v>-8087483.4104477614</v>
      </c>
      <c r="AF208" s="181">
        <v>-8087483.4104477614</v>
      </c>
      <c r="AG208" s="181">
        <v>-8087483.4104477614</v>
      </c>
      <c r="AH208" s="181">
        <v>-8087483.4104477614</v>
      </c>
      <c r="AI208" s="181">
        <v>-8087483.4104477614</v>
      </c>
      <c r="AJ208" s="181">
        <v>-8087483.4104477614</v>
      </c>
      <c r="AK208" s="181">
        <v>-8087483.4104477614</v>
      </c>
      <c r="AL208" s="181">
        <v>-8087483.4104477614</v>
      </c>
      <c r="AM208" s="181">
        <v>-8087483.4104477614</v>
      </c>
      <c r="AN208" s="181">
        <v>-8087483.4104477614</v>
      </c>
      <c r="AO208" s="175">
        <f>SUM(Data_Dep.12[[#This Row],[KH_2601]:[KH_2612]])</f>
        <v>-97049800.925373137</v>
      </c>
      <c r="AP208" s="175">
        <f>Data_Dep.12[[#This Row],[Giá trị còn lại 31/12/25]]+Data_Dep.12[[#This Row],[KH LK 2026]]</f>
        <v>986672976.07462692</v>
      </c>
    </row>
    <row r="209" spans="1:42" x14ac:dyDescent="0.3">
      <c r="A209" s="169"/>
      <c r="B209" s="169"/>
      <c r="C209" s="170" t="s">
        <v>338</v>
      </c>
      <c r="D209" s="169" t="str">
        <f>_xlfn.XLOOKUP(Data_Dep.12[[#This Row],[Nhóm tài sản]],MD_Account_Asset_Type[Nhóm tài sản],MD_Account_Asset_Type[Tên Nhóm tài sản])</f>
        <v>Máy móc, thiết bị - SX 627</v>
      </c>
      <c r="E209" s="171" t="s">
        <v>938</v>
      </c>
      <c r="F209" s="170" t="s">
        <v>700</v>
      </c>
      <c r="G209" s="169" t="s">
        <v>830</v>
      </c>
      <c r="H209" s="170" t="s">
        <v>100</v>
      </c>
      <c r="I209" s="170" t="str">
        <f>_xlfn.XLOOKUP(Data_Dep.12[[#This Row],[Cost center]],MD_Cost_Center[Mã Cost Center],MD_Cost_Center[Tên Cost Center])</f>
        <v>Chuyền Rửa Vảy PET BORE-R02</v>
      </c>
      <c r="J209" s="172" t="str">
        <f>_xlfn.XLOOKUP(Data_Dep.12[[#This Row],[Cost center]],MD_Cost_Center[Mã Cost Center],MD_Cost_Center[Work center],"Check")</f>
        <v>BORE-R02</v>
      </c>
      <c r="K209" s="169" t="str">
        <f>_xlfn.XLOOKUP(Data_Dep.12[[#This Row],[Nhóm tài sản]],MD_Account_Asset_Type[Nhóm tài sản],MD_Account_Asset_Type[Tài khoản KH],"Check")</f>
        <v>6274001903</v>
      </c>
      <c r="L209" s="173">
        <v>45717</v>
      </c>
      <c r="M209" s="174">
        <f>EDATE(Data_Dep.12[[#This Row],[Ngày bắt đầu KH]],Data_Dep.12[[#This Row],[T/G Khấu hao]])</f>
        <v>46813</v>
      </c>
      <c r="N209" s="175">
        <v>36</v>
      </c>
      <c r="O209" s="175">
        <v>486411454</v>
      </c>
      <c r="P209" s="176">
        <v>-94580005</v>
      </c>
      <c r="Q209" s="175">
        <f>Data_Dep.12[[#This Row],[Nguyên giá]]+Data_Dep.12[[#This Row],[KH lũy kế]]</f>
        <v>391831449</v>
      </c>
      <c r="R209" s="177">
        <v>-13511429</v>
      </c>
      <c r="S209" s="177">
        <v>-13511430</v>
      </c>
      <c r="T209" s="177">
        <v>-13511429</v>
      </c>
      <c r="U209" s="177">
        <f>SUM(Data_Dep.12[[#This Row],[KH_2510]:[KH_2512]])</f>
        <v>-40534288</v>
      </c>
      <c r="V209" s="175">
        <f>Data_Dep.12[[#This Row],[Nguyên giá]]+Data_Dep.12[[#This Row],[KH lũy kế]]+Data_Dep.12[[#This Row],[KH_Q4.25]]</f>
        <v>351297161</v>
      </c>
      <c r="W209" s="178">
        <f>ROUND(Data_Dep.12[[#This Row],[T/G Khấu hao]]-Data_Dep.12[[#This Row],[Giá trị còn lại 31/12/25]]/Data_Dep.12[[#This Row],[Nguyên giá]]*Data_Dep.12[[#This Row],[T/G Khấu hao]],0)</f>
        <v>10</v>
      </c>
      <c r="X209" s="179">
        <v>108</v>
      </c>
      <c r="Y209" s="175">
        <f>Data_Dep.12[[#This Row],[T/G Khấu hao]]+Data_Dep.12[[#This Row],[Điều chỉnh]]</f>
        <v>144</v>
      </c>
      <c r="Z209" s="180">
        <f>EDATE(Data_Dep.12[[#This Row],[Ngày bắt đầu KH]],Data_Dep.12[[#This Row],[T/G điều chỉnh]])</f>
        <v>50100</v>
      </c>
      <c r="AA209" s="175">
        <f>Data_Dep.12[[#This Row],[T/G điều chỉnh]]-Data_Dep.12[[#This Row],[Số kỳ đã khấu hao]]</f>
        <v>134</v>
      </c>
      <c r="AB209" s="175">
        <f>IFERROR(-Data_Dep.12[[#This Row],[Giá trị còn lại 31/12/25]]/(Data_Dep.12[[#This Row],[T/G điều chỉnh]]-Data_Dep.12[[#This Row],[Số kỳ đã khấu hao]]),0)</f>
        <v>-2621620.6044776118</v>
      </c>
      <c r="AC209" s="181">
        <v>-2621620.6044776118</v>
      </c>
      <c r="AD209" s="181">
        <v>-2621620.6044776118</v>
      </c>
      <c r="AE209" s="181">
        <v>-2621620.6044776118</v>
      </c>
      <c r="AF209" s="181">
        <v>-2621620.6044776118</v>
      </c>
      <c r="AG209" s="181">
        <v>-2621620.6044776118</v>
      </c>
      <c r="AH209" s="181">
        <v>-2621620.6044776118</v>
      </c>
      <c r="AI209" s="181">
        <v>-2621620.6044776118</v>
      </c>
      <c r="AJ209" s="181">
        <v>-2621620.6044776118</v>
      </c>
      <c r="AK209" s="181">
        <v>-2621620.6044776118</v>
      </c>
      <c r="AL209" s="181">
        <v>-2621620.6044776118</v>
      </c>
      <c r="AM209" s="181">
        <v>-2621620.6044776118</v>
      </c>
      <c r="AN209" s="181">
        <v>-2621620.6044776118</v>
      </c>
      <c r="AO209" s="175">
        <f>SUM(Data_Dep.12[[#This Row],[KH_2601]:[KH_2612]])</f>
        <v>-31459447.253731336</v>
      </c>
      <c r="AP209" s="175">
        <f>Data_Dep.12[[#This Row],[Giá trị còn lại 31/12/25]]+Data_Dep.12[[#This Row],[KH LK 2026]]</f>
        <v>319837713.74626869</v>
      </c>
    </row>
    <row r="210" spans="1:42" x14ac:dyDescent="0.3">
      <c r="A210" s="169"/>
      <c r="B210" s="169"/>
      <c r="C210" s="170" t="s">
        <v>338</v>
      </c>
      <c r="D210" s="169" t="str">
        <f>_xlfn.XLOOKUP(Data_Dep.12[[#This Row],[Nhóm tài sản]],MD_Account_Asset_Type[Nhóm tài sản],MD_Account_Asset_Type[Tên Nhóm tài sản])</f>
        <v>Máy móc, thiết bị - SX 627</v>
      </c>
      <c r="E210" s="171" t="s">
        <v>939</v>
      </c>
      <c r="F210" s="170" t="s">
        <v>701</v>
      </c>
      <c r="G210" s="169" t="s">
        <v>830</v>
      </c>
      <c r="H210" s="170" t="s">
        <v>64</v>
      </c>
      <c r="I210" s="170" t="str">
        <f>_xlfn.XLOOKUP(Data_Dep.12[[#This Row],[Cost center]],MD_Cost_Center[Mã Cost Center],MD_Cost_Center[Tên Cost Center])</f>
        <v>Chuyền rửa vảy PET  số 2</v>
      </c>
      <c r="J210" s="172" t="str">
        <f>_xlfn.XLOOKUP(Data_Dep.12[[#This Row],[Cost center]],MD_Cost_Center[Mã Cost Center],MD_Cost_Center[Work center],"Check")</f>
        <v>CHWO-R02</v>
      </c>
      <c r="K210" s="169" t="str">
        <f>_xlfn.XLOOKUP(Data_Dep.12[[#This Row],[Nhóm tài sản]],MD_Account_Asset_Type[Nhóm tài sản],MD_Account_Asset_Type[Tài khoản KH],"Check")</f>
        <v>6274001903</v>
      </c>
      <c r="L210" s="173">
        <v>45717</v>
      </c>
      <c r="M210" s="174">
        <f>EDATE(Data_Dep.12[[#This Row],[Ngày bắt đầu KH]],Data_Dep.12[[#This Row],[T/G Khấu hao]])</f>
        <v>46813</v>
      </c>
      <c r="N210" s="175">
        <v>36</v>
      </c>
      <c r="O210" s="175">
        <v>432632369</v>
      </c>
      <c r="P210" s="176">
        <v>-84122961</v>
      </c>
      <c r="Q210" s="175">
        <f>Data_Dep.12[[#This Row],[Nguyên giá]]+Data_Dep.12[[#This Row],[KH lũy kế]]</f>
        <v>348509408</v>
      </c>
      <c r="R210" s="177">
        <v>-12017565</v>
      </c>
      <c r="S210" s="177">
        <v>-12017566</v>
      </c>
      <c r="T210" s="177">
        <v>-12017566</v>
      </c>
      <c r="U210" s="177">
        <f>SUM(Data_Dep.12[[#This Row],[KH_2510]:[KH_2512]])</f>
        <v>-36052697</v>
      </c>
      <c r="V210" s="175">
        <f>Data_Dep.12[[#This Row],[Nguyên giá]]+Data_Dep.12[[#This Row],[KH lũy kế]]+Data_Dep.12[[#This Row],[KH_Q4.25]]</f>
        <v>312456711</v>
      </c>
      <c r="W210" s="178">
        <f>ROUND(Data_Dep.12[[#This Row],[T/G Khấu hao]]-Data_Dep.12[[#This Row],[Giá trị còn lại 31/12/25]]/Data_Dep.12[[#This Row],[Nguyên giá]]*Data_Dep.12[[#This Row],[T/G Khấu hao]],0)</f>
        <v>10</v>
      </c>
      <c r="X210" s="179">
        <v>108</v>
      </c>
      <c r="Y210" s="175">
        <f>Data_Dep.12[[#This Row],[T/G Khấu hao]]+Data_Dep.12[[#This Row],[Điều chỉnh]]</f>
        <v>144</v>
      </c>
      <c r="Z210" s="180">
        <f>EDATE(Data_Dep.12[[#This Row],[Ngày bắt đầu KH]],Data_Dep.12[[#This Row],[T/G điều chỉnh]])</f>
        <v>50100</v>
      </c>
      <c r="AA210" s="175">
        <f>Data_Dep.12[[#This Row],[T/G điều chỉnh]]-Data_Dep.12[[#This Row],[Số kỳ đã khấu hao]]</f>
        <v>134</v>
      </c>
      <c r="AB210" s="175">
        <f>IFERROR(-Data_Dep.12[[#This Row],[Giá trị còn lại 31/12/25]]/(Data_Dep.12[[#This Row],[T/G điều chỉnh]]-Data_Dep.12[[#This Row],[Số kỳ đã khấu hao]]),0)</f>
        <v>-2331766.5</v>
      </c>
      <c r="AC210" s="181">
        <v>-2331766.5</v>
      </c>
      <c r="AD210" s="181">
        <v>-2331766.5</v>
      </c>
      <c r="AE210" s="181">
        <v>-2331766.5</v>
      </c>
      <c r="AF210" s="181">
        <v>-2331766.5</v>
      </c>
      <c r="AG210" s="181">
        <v>-2331766.5</v>
      </c>
      <c r="AH210" s="181">
        <v>-2331766.5</v>
      </c>
      <c r="AI210" s="181">
        <v>-2331766.5</v>
      </c>
      <c r="AJ210" s="181">
        <v>-2331766.5</v>
      </c>
      <c r="AK210" s="181">
        <v>-2331766.5</v>
      </c>
      <c r="AL210" s="181">
        <v>-2331766.5</v>
      </c>
      <c r="AM210" s="181">
        <v>-2331766.5</v>
      </c>
      <c r="AN210" s="181">
        <v>-2331766.5</v>
      </c>
      <c r="AO210" s="175">
        <f>SUM(Data_Dep.12[[#This Row],[KH_2601]:[KH_2612]])</f>
        <v>-27981198</v>
      </c>
      <c r="AP210" s="175">
        <f>Data_Dep.12[[#This Row],[Giá trị còn lại 31/12/25]]+Data_Dep.12[[#This Row],[KH LK 2026]]</f>
        <v>284475513</v>
      </c>
    </row>
    <row r="211" spans="1:42" x14ac:dyDescent="0.3">
      <c r="A211" s="169"/>
      <c r="B211" s="169"/>
      <c r="C211" s="170" t="s">
        <v>338</v>
      </c>
      <c r="D211" s="169" t="str">
        <f>_xlfn.XLOOKUP(Data_Dep.12[[#This Row],[Nhóm tài sản]],MD_Account_Asset_Type[Nhóm tài sản],MD_Account_Asset_Type[Tên Nhóm tài sản])</f>
        <v>Máy móc, thiết bị - SX 627</v>
      </c>
      <c r="E211" s="171" t="s">
        <v>940</v>
      </c>
      <c r="F211" s="170" t="s">
        <v>702</v>
      </c>
      <c r="G211" s="169" t="s">
        <v>830</v>
      </c>
      <c r="H211" s="170" t="s">
        <v>59</v>
      </c>
      <c r="I211" s="170" t="str">
        <f>_xlfn.XLOOKUP(Data_Dep.12[[#This Row],[Cost center]],MD_Cost_Center[Mã Cost Center],MD_Cost_Center[Tên Cost Center])</f>
        <v>Máy NGR - HD02</v>
      </c>
      <c r="J211" s="172" t="str">
        <f>_xlfn.XLOOKUP(Data_Dep.12[[#This Row],[Cost center]],MD_Cost_Center[Mã Cost Center],MD_Cost_Center[Work center],"Check")</f>
        <v>NGR-01</v>
      </c>
      <c r="K211" s="169" t="str">
        <f>_xlfn.XLOOKUP(Data_Dep.12[[#This Row],[Nhóm tài sản]],MD_Account_Asset_Type[Nhóm tài sản],MD_Account_Asset_Type[Tài khoản KH],"Check")</f>
        <v>6274001903</v>
      </c>
      <c r="L211" s="173">
        <v>45748</v>
      </c>
      <c r="M211" s="174">
        <f>EDATE(Data_Dep.12[[#This Row],[Ngày bắt đầu KH]],Data_Dep.12[[#This Row],[T/G Khấu hao]])</f>
        <v>48670</v>
      </c>
      <c r="N211" s="175">
        <v>96</v>
      </c>
      <c r="O211" s="175">
        <v>6670000000</v>
      </c>
      <c r="P211" s="176">
        <v>-416875000</v>
      </c>
      <c r="Q211" s="175">
        <f>Data_Dep.12[[#This Row],[Nguyên giá]]+Data_Dep.12[[#This Row],[KH lũy kế]]</f>
        <v>6253125000</v>
      </c>
      <c r="R211" s="177">
        <v>-69479167</v>
      </c>
      <c r="S211" s="177">
        <v>-69479166</v>
      </c>
      <c r="T211" s="177">
        <v>-69479167</v>
      </c>
      <c r="U211" s="177">
        <f>SUM(Data_Dep.12[[#This Row],[KH_2510]:[KH_2512]])</f>
        <v>-208437500</v>
      </c>
      <c r="V211" s="175">
        <f>Data_Dep.12[[#This Row],[Nguyên giá]]+Data_Dep.12[[#This Row],[KH lũy kế]]+Data_Dep.12[[#This Row],[KH_Q4.25]]</f>
        <v>6044687500</v>
      </c>
      <c r="W211" s="178">
        <f>ROUND(Data_Dep.12[[#This Row],[T/G Khấu hao]]-Data_Dep.12[[#This Row],[Giá trị còn lại 31/12/25]]/Data_Dep.12[[#This Row],[Nguyên giá]]*Data_Dep.12[[#This Row],[T/G Khấu hao]],0)</f>
        <v>9</v>
      </c>
      <c r="X211" s="179">
        <v>48</v>
      </c>
      <c r="Y211" s="175">
        <f>Data_Dep.12[[#This Row],[T/G Khấu hao]]+Data_Dep.12[[#This Row],[Điều chỉnh]]</f>
        <v>144</v>
      </c>
      <c r="Z211" s="180">
        <f>EDATE(Data_Dep.12[[#This Row],[Ngày bắt đầu KH]],Data_Dep.12[[#This Row],[T/G điều chỉnh]])</f>
        <v>50131</v>
      </c>
      <c r="AA211" s="175">
        <f>Data_Dep.12[[#This Row],[T/G điều chỉnh]]-Data_Dep.12[[#This Row],[Số kỳ đã khấu hao]]</f>
        <v>135</v>
      </c>
      <c r="AB211" s="175">
        <f>IFERROR(-Data_Dep.12[[#This Row],[Giá trị còn lại 31/12/25]]/(Data_Dep.12[[#This Row],[T/G điều chỉnh]]-Data_Dep.12[[#This Row],[Số kỳ đã khấu hao]]),0)</f>
        <v>-44775462.962962963</v>
      </c>
      <c r="AC211" s="181">
        <v>-44775462.962962963</v>
      </c>
      <c r="AD211" s="181">
        <v>-44775462.962962963</v>
      </c>
      <c r="AE211" s="181">
        <v>-44775462.962962963</v>
      </c>
      <c r="AF211" s="181">
        <v>-44775462.962962963</v>
      </c>
      <c r="AG211" s="181">
        <v>-44775462.962962963</v>
      </c>
      <c r="AH211" s="181">
        <v>-44775462.962962963</v>
      </c>
      <c r="AI211" s="181">
        <v>-44775462.962962963</v>
      </c>
      <c r="AJ211" s="181">
        <v>-44775462.962962963</v>
      </c>
      <c r="AK211" s="181">
        <v>-44775462.962962963</v>
      </c>
      <c r="AL211" s="181">
        <v>-44775462.962962963</v>
      </c>
      <c r="AM211" s="181">
        <v>-44775462.962962963</v>
      </c>
      <c r="AN211" s="181">
        <v>-44775462.962962963</v>
      </c>
      <c r="AO211" s="175">
        <f>SUM(Data_Dep.12[[#This Row],[KH_2601]:[KH_2612]])</f>
        <v>-537305555.5555557</v>
      </c>
      <c r="AP211" s="175">
        <f>Data_Dep.12[[#This Row],[Giá trị còn lại 31/12/25]]+Data_Dep.12[[#This Row],[KH LK 2026]]</f>
        <v>5507381944.4444447</v>
      </c>
    </row>
    <row r="212" spans="1:42" x14ac:dyDescent="0.3">
      <c r="A212" s="169"/>
      <c r="B212" s="169"/>
      <c r="C212" s="170" t="s">
        <v>344</v>
      </c>
      <c r="D212" s="169" t="str">
        <f>_xlfn.XLOOKUP(Data_Dep.12[[#This Row],[Nhóm tài sản]],MD_Account_Asset_Type[Nhóm tài sản],MD_Account_Asset_Type[Tên Nhóm tài sản])</f>
        <v>Phương tiện vận tải , truyền dẫn - QL 642</v>
      </c>
      <c r="E212" s="171" t="s">
        <v>1095</v>
      </c>
      <c r="F212" s="170" t="s">
        <v>703</v>
      </c>
      <c r="G212" s="169" t="s">
        <v>830</v>
      </c>
      <c r="H212" s="170" t="s">
        <v>36</v>
      </c>
      <c r="I212" s="170" t="str">
        <f>_xlfn.XLOOKUP(Data_Dep.12[[#This Row],[Cost center]],MD_Cost_Center[Mã Cost Center],MD_Cost_Center[Tên Cost Center])</f>
        <v>Hành chánh nhân sự</v>
      </c>
      <c r="J212" s="172">
        <f>_xlfn.XLOOKUP(Data_Dep.12[[#This Row],[Cost center]],MD_Cost_Center[Mã Cost Center],MD_Cost_Center[Work center],"Check")</f>
        <v>0</v>
      </c>
      <c r="K212" s="169" t="str">
        <f>_xlfn.XLOOKUP(Data_Dep.12[[#This Row],[Nhóm tài sản]],MD_Account_Asset_Type[Nhóm tài sản],MD_Account_Asset_Type[Tài khoản KH],"Check")</f>
        <v>6424001905</v>
      </c>
      <c r="L212" s="173">
        <v>44334</v>
      </c>
      <c r="M212" s="174">
        <f>EDATE(Data_Dep.12[[#This Row],[Ngày bắt đầu KH]],Data_Dep.12[[#This Row],[T/G Khấu hao]])</f>
        <v>47256</v>
      </c>
      <c r="N212" s="175">
        <v>96</v>
      </c>
      <c r="O212" s="175">
        <v>565832789</v>
      </c>
      <c r="P212" s="176">
        <v>-312386853</v>
      </c>
      <c r="Q212" s="175">
        <f>Data_Dep.12[[#This Row],[Nguyên giá]]+Data_Dep.12[[#This Row],[KH lũy kế]]</f>
        <v>253445936</v>
      </c>
      <c r="R212" s="177">
        <v>-5894091</v>
      </c>
      <c r="S212" s="177">
        <v>-5894092</v>
      </c>
      <c r="T212" s="177">
        <v>-5894091</v>
      </c>
      <c r="U212" s="177">
        <f>SUM(Data_Dep.12[[#This Row],[KH_2510]:[KH_2512]])</f>
        <v>-17682274</v>
      </c>
      <c r="V212" s="175">
        <f>Data_Dep.12[[#This Row],[Nguyên giá]]+Data_Dep.12[[#This Row],[KH lũy kế]]+Data_Dep.12[[#This Row],[KH_Q4.25]]</f>
        <v>235763662</v>
      </c>
      <c r="W212" s="178">
        <f>ROUND(Data_Dep.12[[#This Row],[T/G Khấu hao]]-Data_Dep.12[[#This Row],[Giá trị còn lại 31/12/25]]/Data_Dep.12[[#This Row],[Nguyên giá]]*Data_Dep.12[[#This Row],[T/G Khấu hao]],0)</f>
        <v>56</v>
      </c>
      <c r="X212" s="179">
        <v>24</v>
      </c>
      <c r="Y212" s="175">
        <f>Data_Dep.12[[#This Row],[T/G Khấu hao]]+Data_Dep.12[[#This Row],[Điều chỉnh]]</f>
        <v>120</v>
      </c>
      <c r="Z212" s="180">
        <f>EDATE(Data_Dep.12[[#This Row],[Ngày bắt đầu KH]],Data_Dep.12[[#This Row],[T/G điều chỉnh]])</f>
        <v>47986</v>
      </c>
      <c r="AA212" s="175">
        <f>Data_Dep.12[[#This Row],[T/G điều chỉnh]]-Data_Dep.12[[#This Row],[Số kỳ đã khấu hao]]</f>
        <v>64</v>
      </c>
      <c r="AB212" s="175">
        <f>IFERROR(-Data_Dep.12[[#This Row],[Giá trị còn lại 31/12/25]]/(Data_Dep.12[[#This Row],[T/G điều chỉnh]]-Data_Dep.12[[#This Row],[Số kỳ đã khấu hao]]),0)</f>
        <v>-3683807.21875</v>
      </c>
      <c r="AC212" s="181">
        <v>-3683807.21875</v>
      </c>
      <c r="AD212" s="181">
        <v>-3683807.21875</v>
      </c>
      <c r="AE212" s="181">
        <v>-3683807.21875</v>
      </c>
      <c r="AF212" s="181">
        <v>-3683807.21875</v>
      </c>
      <c r="AG212" s="181">
        <v>-3683807.21875</v>
      </c>
      <c r="AH212" s="181">
        <v>-3683807.21875</v>
      </c>
      <c r="AI212" s="181">
        <v>-3683807.21875</v>
      </c>
      <c r="AJ212" s="181">
        <v>-3683807.21875</v>
      </c>
      <c r="AK212" s="181">
        <v>-3683807.21875</v>
      </c>
      <c r="AL212" s="181">
        <v>-3683807.21875</v>
      </c>
      <c r="AM212" s="181">
        <v>-3683807.21875</v>
      </c>
      <c r="AN212" s="181">
        <v>-3683807.21875</v>
      </c>
      <c r="AO212" s="175">
        <f>SUM(Data_Dep.12[[#This Row],[KH_2601]:[KH_2612]])</f>
        <v>-44205686.625</v>
      </c>
      <c r="AP212" s="175">
        <f>Data_Dep.12[[#This Row],[Giá trị còn lại 31/12/25]]+Data_Dep.12[[#This Row],[KH LK 2026]]</f>
        <v>191557975.375</v>
      </c>
    </row>
    <row r="213" spans="1:42" x14ac:dyDescent="0.3">
      <c r="A213" s="169"/>
      <c r="B213" s="169"/>
      <c r="C213" s="170" t="s">
        <v>344</v>
      </c>
      <c r="D213" s="169" t="str">
        <f>_xlfn.XLOOKUP(Data_Dep.12[[#This Row],[Nhóm tài sản]],MD_Account_Asset_Type[Nhóm tài sản],MD_Account_Asset_Type[Tên Nhóm tài sản])</f>
        <v>Phương tiện vận tải , truyền dẫn - QL 642</v>
      </c>
      <c r="E213" s="171" t="s">
        <v>1096</v>
      </c>
      <c r="F213" s="170" t="s">
        <v>704</v>
      </c>
      <c r="G213" s="169" t="s">
        <v>830</v>
      </c>
      <c r="H213" s="170" t="s">
        <v>36</v>
      </c>
      <c r="I213" s="170" t="str">
        <f>_xlfn.XLOOKUP(Data_Dep.12[[#This Row],[Cost center]],MD_Cost_Center[Mã Cost Center],MD_Cost_Center[Tên Cost Center])</f>
        <v>Hành chánh nhân sự</v>
      </c>
      <c r="J213" s="172">
        <f>_xlfn.XLOOKUP(Data_Dep.12[[#This Row],[Cost center]],MD_Cost_Center[Mã Cost Center],MD_Cost_Center[Work center],"Check")</f>
        <v>0</v>
      </c>
      <c r="K213" s="169" t="str">
        <f>_xlfn.XLOOKUP(Data_Dep.12[[#This Row],[Nhóm tài sản]],MD_Account_Asset_Type[Nhóm tài sản],MD_Account_Asset_Type[Tài khoản KH],"Check")</f>
        <v>6424001905</v>
      </c>
      <c r="L213" s="173">
        <v>44986</v>
      </c>
      <c r="M213" s="174">
        <f>EDATE(Data_Dep.12[[#This Row],[Ngày bắt đầu KH]],Data_Dep.12[[#This Row],[T/G Khấu hao]])</f>
        <v>46082</v>
      </c>
      <c r="N213" s="175">
        <v>36</v>
      </c>
      <c r="O213" s="175">
        <v>280000000</v>
      </c>
      <c r="P213" s="176">
        <v>-241111111</v>
      </c>
      <c r="Q213" s="175">
        <f>Data_Dep.12[[#This Row],[Nguyên giá]]+Data_Dep.12[[#This Row],[KH lũy kế]]</f>
        <v>38888889</v>
      </c>
      <c r="R213" s="177">
        <v>-7777778</v>
      </c>
      <c r="S213" s="177">
        <v>-7777778</v>
      </c>
      <c r="T213" s="177">
        <v>-7777777</v>
      </c>
      <c r="U213" s="177">
        <f>SUM(Data_Dep.12[[#This Row],[KH_2510]:[KH_2512]])</f>
        <v>-23333333</v>
      </c>
      <c r="V213" s="175">
        <f>Data_Dep.12[[#This Row],[Nguyên giá]]+Data_Dep.12[[#This Row],[KH lũy kế]]+Data_Dep.12[[#This Row],[KH_Q4.25]]</f>
        <v>15555556</v>
      </c>
      <c r="W213" s="178">
        <f>ROUND(Data_Dep.12[[#This Row],[T/G Khấu hao]]-Data_Dep.12[[#This Row],[Giá trị còn lại 31/12/25]]/Data_Dep.12[[#This Row],[Nguyên giá]]*Data_Dep.12[[#This Row],[T/G Khấu hao]],0)</f>
        <v>34</v>
      </c>
      <c r="X213" s="179">
        <v>84</v>
      </c>
      <c r="Y213" s="175">
        <f>Data_Dep.12[[#This Row],[T/G Khấu hao]]+Data_Dep.12[[#This Row],[Điều chỉnh]]</f>
        <v>120</v>
      </c>
      <c r="Z213" s="180">
        <f>EDATE(Data_Dep.12[[#This Row],[Ngày bắt đầu KH]],Data_Dep.12[[#This Row],[T/G điều chỉnh]])</f>
        <v>48639</v>
      </c>
      <c r="AA213" s="175">
        <f>Data_Dep.12[[#This Row],[T/G điều chỉnh]]-Data_Dep.12[[#This Row],[Số kỳ đã khấu hao]]</f>
        <v>86</v>
      </c>
      <c r="AB213" s="175">
        <f>IFERROR(-Data_Dep.12[[#This Row],[Giá trị còn lại 31/12/25]]/(Data_Dep.12[[#This Row],[T/G điều chỉnh]]-Data_Dep.12[[#This Row],[Số kỳ đã khấu hao]]),0)</f>
        <v>-180878.55813953487</v>
      </c>
      <c r="AC213" s="181">
        <v>-180878.55813953487</v>
      </c>
      <c r="AD213" s="181">
        <v>-180878.55813953487</v>
      </c>
      <c r="AE213" s="181">
        <v>-180878.55813953487</v>
      </c>
      <c r="AF213" s="181">
        <v>-180878.55813953487</v>
      </c>
      <c r="AG213" s="181">
        <v>-180878.55813953487</v>
      </c>
      <c r="AH213" s="181">
        <v>-180878.55813953487</v>
      </c>
      <c r="AI213" s="181">
        <v>-180878.55813953487</v>
      </c>
      <c r="AJ213" s="181">
        <v>-180878.55813953487</v>
      </c>
      <c r="AK213" s="181">
        <v>-180878.55813953487</v>
      </c>
      <c r="AL213" s="181">
        <v>-180878.55813953487</v>
      </c>
      <c r="AM213" s="181">
        <v>-180878.55813953487</v>
      </c>
      <c r="AN213" s="181">
        <v>-180878.55813953487</v>
      </c>
      <c r="AO213" s="175">
        <f>SUM(Data_Dep.12[[#This Row],[KH_2601]:[KH_2612]])</f>
        <v>-2170542.6976744183</v>
      </c>
      <c r="AP213" s="175">
        <f>Data_Dep.12[[#This Row],[Giá trị còn lại 31/12/25]]+Data_Dep.12[[#This Row],[KH LK 2026]]</f>
        <v>13385013.302325582</v>
      </c>
    </row>
    <row r="214" spans="1:42" x14ac:dyDescent="0.3">
      <c r="A214" s="169"/>
      <c r="B214" s="169"/>
      <c r="C214" s="170" t="s">
        <v>344</v>
      </c>
      <c r="D214" s="169" t="str">
        <f>_xlfn.XLOOKUP(Data_Dep.12[[#This Row],[Nhóm tài sản]],MD_Account_Asset_Type[Nhóm tài sản],MD_Account_Asset_Type[Tên Nhóm tài sản])</f>
        <v>Phương tiện vận tải , truyền dẫn - QL 642</v>
      </c>
      <c r="E214" s="171" t="s">
        <v>1097</v>
      </c>
      <c r="F214" s="170" t="s">
        <v>705</v>
      </c>
      <c r="G214" s="169" t="s">
        <v>830</v>
      </c>
      <c r="H214" s="170" t="s">
        <v>36</v>
      </c>
      <c r="I214" s="170" t="str">
        <f>_xlfn.XLOOKUP(Data_Dep.12[[#This Row],[Cost center]],MD_Cost_Center[Mã Cost Center],MD_Cost_Center[Tên Cost Center])</f>
        <v>Hành chánh nhân sự</v>
      </c>
      <c r="J214" s="172">
        <f>_xlfn.XLOOKUP(Data_Dep.12[[#This Row],[Cost center]],MD_Cost_Center[Mã Cost Center],MD_Cost_Center[Work center],"Check")</f>
        <v>0</v>
      </c>
      <c r="K214" s="169" t="str">
        <f>_xlfn.XLOOKUP(Data_Dep.12[[#This Row],[Nhóm tài sản]],MD_Account_Asset_Type[Nhóm tài sản],MD_Account_Asset_Type[Tài khoản KH],"Check")</f>
        <v>6424001905</v>
      </c>
      <c r="L214" s="173">
        <v>44986</v>
      </c>
      <c r="M214" s="174">
        <f>EDATE(Data_Dep.12[[#This Row],[Ngày bắt đầu KH]],Data_Dep.12[[#This Row],[T/G Khấu hao]])</f>
        <v>46082</v>
      </c>
      <c r="N214" s="175">
        <v>36</v>
      </c>
      <c r="O214" s="175">
        <v>210000000</v>
      </c>
      <c r="P214" s="176">
        <v>-180833333</v>
      </c>
      <c r="Q214" s="175">
        <f>Data_Dep.12[[#This Row],[Nguyên giá]]+Data_Dep.12[[#This Row],[KH lũy kế]]</f>
        <v>29166667</v>
      </c>
      <c r="R214" s="177">
        <v>-5833334</v>
      </c>
      <c r="S214" s="177">
        <v>-5833333</v>
      </c>
      <c r="T214" s="177">
        <v>-5833333</v>
      </c>
      <c r="U214" s="177">
        <f>SUM(Data_Dep.12[[#This Row],[KH_2510]:[KH_2512]])</f>
        <v>-17500000</v>
      </c>
      <c r="V214" s="175">
        <f>Data_Dep.12[[#This Row],[Nguyên giá]]+Data_Dep.12[[#This Row],[KH lũy kế]]+Data_Dep.12[[#This Row],[KH_Q4.25]]</f>
        <v>11666667</v>
      </c>
      <c r="W214" s="178">
        <f>ROUND(Data_Dep.12[[#This Row],[T/G Khấu hao]]-Data_Dep.12[[#This Row],[Giá trị còn lại 31/12/25]]/Data_Dep.12[[#This Row],[Nguyên giá]]*Data_Dep.12[[#This Row],[T/G Khấu hao]],0)</f>
        <v>34</v>
      </c>
      <c r="X214" s="179">
        <v>84</v>
      </c>
      <c r="Y214" s="175">
        <f>Data_Dep.12[[#This Row],[T/G Khấu hao]]+Data_Dep.12[[#This Row],[Điều chỉnh]]</f>
        <v>120</v>
      </c>
      <c r="Z214" s="180">
        <f>EDATE(Data_Dep.12[[#This Row],[Ngày bắt đầu KH]],Data_Dep.12[[#This Row],[T/G điều chỉnh]])</f>
        <v>48639</v>
      </c>
      <c r="AA214" s="175">
        <f>Data_Dep.12[[#This Row],[T/G điều chỉnh]]-Data_Dep.12[[#This Row],[Số kỳ đã khấu hao]]</f>
        <v>86</v>
      </c>
      <c r="AB214" s="175">
        <f>IFERROR(-Data_Dep.12[[#This Row],[Giá trị còn lại 31/12/25]]/(Data_Dep.12[[#This Row],[T/G điều chỉnh]]-Data_Dep.12[[#This Row],[Số kỳ đã khấu hao]]),0)</f>
        <v>-135658.91860465117</v>
      </c>
      <c r="AC214" s="181">
        <v>-135658.91860465117</v>
      </c>
      <c r="AD214" s="181">
        <v>-135658.91860465117</v>
      </c>
      <c r="AE214" s="181">
        <v>-135658.91860465117</v>
      </c>
      <c r="AF214" s="181">
        <v>-135658.91860465117</v>
      </c>
      <c r="AG214" s="181">
        <v>-135658.91860465117</v>
      </c>
      <c r="AH214" s="181">
        <v>-135658.91860465117</v>
      </c>
      <c r="AI214" s="181">
        <v>-135658.91860465117</v>
      </c>
      <c r="AJ214" s="181">
        <v>-135658.91860465117</v>
      </c>
      <c r="AK214" s="181">
        <v>-135658.91860465117</v>
      </c>
      <c r="AL214" s="181">
        <v>-135658.91860465117</v>
      </c>
      <c r="AM214" s="181">
        <v>-135658.91860465117</v>
      </c>
      <c r="AN214" s="181">
        <v>-135658.91860465117</v>
      </c>
      <c r="AO214" s="175">
        <f>SUM(Data_Dep.12[[#This Row],[KH_2601]:[KH_2612]])</f>
        <v>-1627907.0232558146</v>
      </c>
      <c r="AP214" s="175">
        <f>Data_Dep.12[[#This Row],[Giá trị còn lại 31/12/25]]+Data_Dep.12[[#This Row],[KH LK 2026]]</f>
        <v>10038759.976744186</v>
      </c>
    </row>
    <row r="215" spans="1:42" x14ac:dyDescent="0.3">
      <c r="A215" s="169"/>
      <c r="B215" s="169"/>
      <c r="C215" s="170" t="s">
        <v>342</v>
      </c>
      <c r="D215" s="169" t="str">
        <f>_xlfn.XLOOKUP(Data_Dep.12[[#This Row],[Nhóm tài sản]],MD_Account_Asset_Type[Nhóm tài sản],MD_Account_Asset_Type[Tên Nhóm tài sản])</f>
        <v>Phương tiện vận tải , truyền dẫn - SX 627</v>
      </c>
      <c r="E215" s="171" t="s">
        <v>1068</v>
      </c>
      <c r="F215" s="170" t="s">
        <v>706</v>
      </c>
      <c r="G215" s="169" t="s">
        <v>830</v>
      </c>
      <c r="H215" s="170" t="s">
        <v>48</v>
      </c>
      <c r="I215" s="170" t="str">
        <f>_xlfn.XLOOKUP(Data_Dep.12[[#This Row],[Cost center]],MD_Cost_Center[Mã Cost Center],MD_Cost_Center[Tên Cost Center])</f>
        <v>Xưởng sản xuất PET</v>
      </c>
      <c r="J215" s="172">
        <f>_xlfn.XLOOKUP(Data_Dep.12[[#This Row],[Cost center]],MD_Cost_Center[Mã Cost Center],MD_Cost_Center[Work center],"Check")</f>
        <v>0</v>
      </c>
      <c r="K215" s="169" t="str">
        <f>_xlfn.XLOOKUP(Data_Dep.12[[#This Row],[Nhóm tài sản]],MD_Account_Asset_Type[Nhóm tài sản],MD_Account_Asset_Type[Tài khoản KH],"Check")</f>
        <v>6274001905</v>
      </c>
      <c r="L215" s="173">
        <v>44414</v>
      </c>
      <c r="M215" s="174">
        <f>EDATE(Data_Dep.12[[#This Row],[Ngày bắt đầu KH]],Data_Dep.12[[#This Row],[T/G Khấu hao]])</f>
        <v>46240</v>
      </c>
      <c r="N215" s="175">
        <v>60</v>
      </c>
      <c r="O215" s="175">
        <v>125000000</v>
      </c>
      <c r="P215" s="176">
        <v>-104166667</v>
      </c>
      <c r="Q215" s="175">
        <f>Data_Dep.12[[#This Row],[Nguyên giá]]+Data_Dep.12[[#This Row],[KH lũy kế]]</f>
        <v>20833333</v>
      </c>
      <c r="R215" s="177">
        <v>-2083333</v>
      </c>
      <c r="S215" s="177">
        <v>-2083333</v>
      </c>
      <c r="T215" s="177">
        <v>-2083334</v>
      </c>
      <c r="U215" s="177">
        <f>SUM(Data_Dep.12[[#This Row],[KH_2510]:[KH_2512]])</f>
        <v>-6250000</v>
      </c>
      <c r="V215" s="175">
        <f>Data_Dep.12[[#This Row],[Nguyên giá]]+Data_Dep.12[[#This Row],[KH lũy kế]]+Data_Dep.12[[#This Row],[KH_Q4.25]]</f>
        <v>14583333</v>
      </c>
      <c r="W215" s="178">
        <f>ROUND(Data_Dep.12[[#This Row],[T/G Khấu hao]]-Data_Dep.12[[#This Row],[Giá trị còn lại 31/12/25]]/Data_Dep.12[[#This Row],[Nguyên giá]]*Data_Dep.12[[#This Row],[T/G Khấu hao]],0)</f>
        <v>53</v>
      </c>
      <c r="X215" s="179">
        <v>60</v>
      </c>
      <c r="Y215" s="175">
        <f>Data_Dep.12[[#This Row],[T/G Khấu hao]]+Data_Dep.12[[#This Row],[Điều chỉnh]]</f>
        <v>120</v>
      </c>
      <c r="Z215" s="180">
        <f>EDATE(Data_Dep.12[[#This Row],[Ngày bắt đầu KH]],Data_Dep.12[[#This Row],[T/G điều chỉnh]])</f>
        <v>48066</v>
      </c>
      <c r="AA215" s="175">
        <f>Data_Dep.12[[#This Row],[T/G điều chỉnh]]-Data_Dep.12[[#This Row],[Số kỳ đã khấu hao]]</f>
        <v>67</v>
      </c>
      <c r="AB215" s="175">
        <f>IFERROR(-Data_Dep.12[[#This Row],[Giá trị còn lại 31/12/25]]/(Data_Dep.12[[#This Row],[T/G điều chỉnh]]-Data_Dep.12[[#This Row],[Số kỳ đã khấu hao]]),0)</f>
        <v>-217661.68656716417</v>
      </c>
      <c r="AC215" s="181">
        <v>-217661.68656716417</v>
      </c>
      <c r="AD215" s="181">
        <v>-217661.68656716417</v>
      </c>
      <c r="AE215" s="181">
        <v>-217661.68656716417</v>
      </c>
      <c r="AF215" s="181">
        <v>-217661.68656716417</v>
      </c>
      <c r="AG215" s="181">
        <v>-217661.68656716417</v>
      </c>
      <c r="AH215" s="181">
        <v>-217661.68656716417</v>
      </c>
      <c r="AI215" s="181">
        <v>-217661.68656716417</v>
      </c>
      <c r="AJ215" s="181">
        <v>-217661.68656716417</v>
      </c>
      <c r="AK215" s="181">
        <v>-217661.68656716417</v>
      </c>
      <c r="AL215" s="181">
        <v>-217661.68656716417</v>
      </c>
      <c r="AM215" s="181">
        <v>-217661.68656716417</v>
      </c>
      <c r="AN215" s="181">
        <v>-217661.68656716417</v>
      </c>
      <c r="AO215" s="175">
        <f>SUM(Data_Dep.12[[#This Row],[KH_2601]:[KH_2612]])</f>
        <v>-2611940.2388059702</v>
      </c>
      <c r="AP215" s="175">
        <f>Data_Dep.12[[#This Row],[Giá trị còn lại 31/12/25]]+Data_Dep.12[[#This Row],[KH LK 2026]]</f>
        <v>11971392.76119403</v>
      </c>
    </row>
    <row r="216" spans="1:42" x14ac:dyDescent="0.3">
      <c r="A216" s="169"/>
      <c r="B216" s="169"/>
      <c r="C216" s="170" t="s">
        <v>342</v>
      </c>
      <c r="D216" s="169" t="str">
        <f>_xlfn.XLOOKUP(Data_Dep.12[[#This Row],[Nhóm tài sản]],MD_Account_Asset_Type[Nhóm tài sản],MD_Account_Asset_Type[Tên Nhóm tài sản])</f>
        <v>Phương tiện vận tải , truyền dẫn - SX 627</v>
      </c>
      <c r="E216" s="171" t="s">
        <v>1069</v>
      </c>
      <c r="F216" s="170" t="s">
        <v>707</v>
      </c>
      <c r="G216" s="169" t="s">
        <v>830</v>
      </c>
      <c r="H216" s="170" t="s">
        <v>48</v>
      </c>
      <c r="I216" s="170" t="str">
        <f>_xlfn.XLOOKUP(Data_Dep.12[[#This Row],[Cost center]],MD_Cost_Center[Mã Cost Center],MD_Cost_Center[Tên Cost Center])</f>
        <v>Xưởng sản xuất PET</v>
      </c>
      <c r="J216" s="172">
        <f>_xlfn.XLOOKUP(Data_Dep.12[[#This Row],[Cost center]],MD_Cost_Center[Mã Cost Center],MD_Cost_Center[Work center],"Check")</f>
        <v>0</v>
      </c>
      <c r="K216" s="169" t="str">
        <f>_xlfn.XLOOKUP(Data_Dep.12[[#This Row],[Nhóm tài sản]],MD_Account_Asset_Type[Nhóm tài sản],MD_Account_Asset_Type[Tài khoản KH],"Check")</f>
        <v>6274001905</v>
      </c>
      <c r="L216" s="173">
        <v>44501</v>
      </c>
      <c r="M216" s="174">
        <f>EDATE(Data_Dep.12[[#This Row],[Ngày bắt đầu KH]],Data_Dep.12[[#This Row],[T/G Khấu hao]])</f>
        <v>46692</v>
      </c>
      <c r="N216" s="175">
        <v>72</v>
      </c>
      <c r="O216" s="175">
        <v>127934000</v>
      </c>
      <c r="P216" s="176">
        <v>-83512472</v>
      </c>
      <c r="Q216" s="175">
        <f>Data_Dep.12[[#This Row],[Nguyên giá]]+Data_Dep.12[[#This Row],[KH lũy kế]]</f>
        <v>44421528</v>
      </c>
      <c r="R216" s="177">
        <v>-1776861</v>
      </c>
      <c r="S216" s="177">
        <v>-1776861</v>
      </c>
      <c r="T216" s="177">
        <v>-1776861</v>
      </c>
      <c r="U216" s="177">
        <f>SUM(Data_Dep.12[[#This Row],[KH_2510]:[KH_2512]])</f>
        <v>-5330583</v>
      </c>
      <c r="V216" s="175">
        <f>Data_Dep.12[[#This Row],[Nguyên giá]]+Data_Dep.12[[#This Row],[KH lũy kế]]+Data_Dep.12[[#This Row],[KH_Q4.25]]</f>
        <v>39090945</v>
      </c>
      <c r="W216" s="178">
        <f>ROUND(Data_Dep.12[[#This Row],[T/G Khấu hao]]-Data_Dep.12[[#This Row],[Giá trị còn lại 31/12/25]]/Data_Dep.12[[#This Row],[Nguyên giá]]*Data_Dep.12[[#This Row],[T/G Khấu hao]],0)</f>
        <v>50</v>
      </c>
      <c r="X216" s="179">
        <v>48</v>
      </c>
      <c r="Y216" s="175">
        <f>Data_Dep.12[[#This Row],[T/G Khấu hao]]+Data_Dep.12[[#This Row],[Điều chỉnh]]</f>
        <v>120</v>
      </c>
      <c r="Z216" s="180">
        <f>EDATE(Data_Dep.12[[#This Row],[Ngày bắt đầu KH]],Data_Dep.12[[#This Row],[T/G điều chỉnh]])</f>
        <v>48153</v>
      </c>
      <c r="AA216" s="175">
        <f>Data_Dep.12[[#This Row],[T/G điều chỉnh]]-Data_Dep.12[[#This Row],[Số kỳ đã khấu hao]]</f>
        <v>70</v>
      </c>
      <c r="AB216" s="175">
        <f>IFERROR(-Data_Dep.12[[#This Row],[Giá trị còn lại 31/12/25]]/(Data_Dep.12[[#This Row],[T/G điều chỉnh]]-Data_Dep.12[[#This Row],[Số kỳ đã khấu hao]]),0)</f>
        <v>-558442.07142857148</v>
      </c>
      <c r="AC216" s="181">
        <v>-558442.07142857148</v>
      </c>
      <c r="AD216" s="181">
        <v>-558442.07142857148</v>
      </c>
      <c r="AE216" s="181">
        <v>-558442.07142857148</v>
      </c>
      <c r="AF216" s="181">
        <v>-558442.07142857148</v>
      </c>
      <c r="AG216" s="181">
        <v>-558442.07142857148</v>
      </c>
      <c r="AH216" s="181">
        <v>-558442.07142857148</v>
      </c>
      <c r="AI216" s="181">
        <v>-558442.07142857148</v>
      </c>
      <c r="AJ216" s="181">
        <v>-558442.07142857148</v>
      </c>
      <c r="AK216" s="181">
        <v>-558442.07142857148</v>
      </c>
      <c r="AL216" s="181">
        <v>-558442.07142857148</v>
      </c>
      <c r="AM216" s="181">
        <v>-558442.07142857148</v>
      </c>
      <c r="AN216" s="181">
        <v>-558442.07142857148</v>
      </c>
      <c r="AO216" s="175">
        <f>SUM(Data_Dep.12[[#This Row],[KH_2601]:[KH_2612]])</f>
        <v>-6701304.8571428591</v>
      </c>
      <c r="AP216" s="175">
        <f>Data_Dep.12[[#This Row],[Giá trị còn lại 31/12/25]]+Data_Dep.12[[#This Row],[KH LK 2026]]</f>
        <v>32389640.142857142</v>
      </c>
    </row>
    <row r="217" spans="1:42" x14ac:dyDescent="0.3">
      <c r="A217" s="169"/>
      <c r="B217" s="169"/>
      <c r="C217" s="170" t="s">
        <v>342</v>
      </c>
      <c r="D217" s="169" t="str">
        <f>_xlfn.XLOOKUP(Data_Dep.12[[#This Row],[Nhóm tài sản]],MD_Account_Asset_Type[Nhóm tài sản],MD_Account_Asset_Type[Tên Nhóm tài sản])</f>
        <v>Phương tiện vận tải , truyền dẫn - SX 627</v>
      </c>
      <c r="E217" s="171" t="s">
        <v>1070</v>
      </c>
      <c r="F217" s="170" t="s">
        <v>708</v>
      </c>
      <c r="G217" s="169" t="s">
        <v>830</v>
      </c>
      <c r="H217" s="170" t="s">
        <v>53</v>
      </c>
      <c r="I217" s="170" t="str">
        <f>_xlfn.XLOOKUP(Data_Dep.12[[#This Row],[Cost center]],MD_Cost_Center[Mã Cost Center],MD_Cost_Center[Tên Cost Center])</f>
        <v>Máy tạo hạt HDPE - YE I + tách màu Taiho</v>
      </c>
      <c r="J217" s="172" t="str">
        <f>_xlfn.XLOOKUP(Data_Dep.12[[#This Row],[Cost center]],MD_Cost_Center[Mã Cost Center],MD_Cost_Center[Work center],"Check")</f>
        <v>YEHD-01</v>
      </c>
      <c r="K217" s="169" t="str">
        <f>_xlfn.XLOOKUP(Data_Dep.12[[#This Row],[Nhóm tài sản]],MD_Account_Asset_Type[Nhóm tài sản],MD_Account_Asset_Type[Tài khoản KH],"Check")</f>
        <v>6274001905</v>
      </c>
      <c r="L217" s="173">
        <v>44510</v>
      </c>
      <c r="M217" s="174">
        <f>EDATE(Data_Dep.12[[#This Row],[Ngày bắt đầu KH]],Data_Dep.12[[#This Row],[T/G Khấu hao]])</f>
        <v>46701</v>
      </c>
      <c r="N217" s="175">
        <v>72</v>
      </c>
      <c r="O217" s="175">
        <v>165000000</v>
      </c>
      <c r="P217" s="176">
        <v>-107708333</v>
      </c>
      <c r="Q217" s="175">
        <f>Data_Dep.12[[#This Row],[Nguyên giá]]+Data_Dep.12[[#This Row],[KH lũy kế]]</f>
        <v>57291667</v>
      </c>
      <c r="R217" s="177">
        <v>-2291667</v>
      </c>
      <c r="S217" s="177">
        <v>-2291666</v>
      </c>
      <c r="T217" s="177">
        <v>-2291667</v>
      </c>
      <c r="U217" s="177">
        <f>SUM(Data_Dep.12[[#This Row],[KH_2510]:[KH_2512]])</f>
        <v>-6875000</v>
      </c>
      <c r="V217" s="175">
        <f>Data_Dep.12[[#This Row],[Nguyên giá]]+Data_Dep.12[[#This Row],[KH lũy kế]]+Data_Dep.12[[#This Row],[KH_Q4.25]]</f>
        <v>50416667</v>
      </c>
      <c r="W217" s="178">
        <f>ROUND(Data_Dep.12[[#This Row],[T/G Khấu hao]]-Data_Dep.12[[#This Row],[Giá trị còn lại 31/12/25]]/Data_Dep.12[[#This Row],[Nguyên giá]]*Data_Dep.12[[#This Row],[T/G Khấu hao]],0)</f>
        <v>50</v>
      </c>
      <c r="X217" s="179">
        <v>72</v>
      </c>
      <c r="Y217" s="175">
        <f>Data_Dep.12[[#This Row],[T/G Khấu hao]]+Data_Dep.12[[#This Row],[Điều chỉnh]]</f>
        <v>144</v>
      </c>
      <c r="Z217" s="180">
        <f>EDATE(Data_Dep.12[[#This Row],[Ngày bắt đầu KH]],Data_Dep.12[[#This Row],[T/G điều chỉnh]])</f>
        <v>48893</v>
      </c>
      <c r="AA217" s="175">
        <f>Data_Dep.12[[#This Row],[T/G điều chỉnh]]-Data_Dep.12[[#This Row],[Số kỳ đã khấu hao]]</f>
        <v>94</v>
      </c>
      <c r="AB217" s="175">
        <f>IFERROR(-Data_Dep.12[[#This Row],[Giá trị còn lại 31/12/25]]/(Data_Dep.12[[#This Row],[T/G điều chỉnh]]-Data_Dep.12[[#This Row],[Số kỳ đã khấu hao]]),0)</f>
        <v>-536347.52127659577</v>
      </c>
      <c r="AC217" s="181">
        <v>-536347.52127659577</v>
      </c>
      <c r="AD217" s="181">
        <v>-536347.52127659577</v>
      </c>
      <c r="AE217" s="181">
        <v>-536347.52127659577</v>
      </c>
      <c r="AF217" s="181">
        <v>-536347.52127659577</v>
      </c>
      <c r="AG217" s="181">
        <v>-536347.52127659577</v>
      </c>
      <c r="AH217" s="181">
        <v>-536347.52127659577</v>
      </c>
      <c r="AI217" s="181">
        <v>-536347.52127659577</v>
      </c>
      <c r="AJ217" s="181">
        <v>-536347.52127659577</v>
      </c>
      <c r="AK217" s="181">
        <v>-536347.52127659577</v>
      </c>
      <c r="AL217" s="181">
        <v>-536347.52127659577</v>
      </c>
      <c r="AM217" s="181">
        <v>-536347.52127659577</v>
      </c>
      <c r="AN217" s="181">
        <v>-536347.52127659577</v>
      </c>
      <c r="AO217" s="175">
        <f>SUM(Data_Dep.12[[#This Row],[KH_2601]:[KH_2612]])</f>
        <v>-6436170.2553191511</v>
      </c>
      <c r="AP217" s="175">
        <f>Data_Dep.12[[#This Row],[Giá trị còn lại 31/12/25]]+Data_Dep.12[[#This Row],[KH LK 2026]]</f>
        <v>43980496.744680852</v>
      </c>
    </row>
    <row r="218" spans="1:42" x14ac:dyDescent="0.3">
      <c r="A218" s="169"/>
      <c r="B218" s="169"/>
      <c r="C218" s="170" t="s">
        <v>342</v>
      </c>
      <c r="D218" s="169" t="str">
        <f>_xlfn.XLOOKUP(Data_Dep.12[[#This Row],[Nhóm tài sản]],MD_Account_Asset_Type[Nhóm tài sản],MD_Account_Asset_Type[Tên Nhóm tài sản])</f>
        <v>Phương tiện vận tải , truyền dẫn - SX 627</v>
      </c>
      <c r="E218" s="171" t="s">
        <v>1071</v>
      </c>
      <c r="F218" s="170" t="s">
        <v>709</v>
      </c>
      <c r="G218" s="169" t="s">
        <v>830</v>
      </c>
      <c r="H218" s="170" t="s">
        <v>51</v>
      </c>
      <c r="I218" s="170" t="str">
        <f>_xlfn.XLOOKUP(Data_Dep.12[[#This Row],[Cost center]],MD_Cost_Center[Mã Cost Center],MD_Cost_Center[Tên Cost Center])</f>
        <v>Chuyền máy tạo vảy PET CW+Tomra</v>
      </c>
      <c r="J218" s="172" t="str">
        <f>_xlfn.XLOOKUP(Data_Dep.12[[#This Row],[Cost center]],MD_Cost_Center[Mã Cost Center],MD_Cost_Center[Work center],"Check")</f>
        <v>CHWO-R01</v>
      </c>
      <c r="K218" s="169" t="str">
        <f>_xlfn.XLOOKUP(Data_Dep.12[[#This Row],[Nhóm tài sản]],MD_Account_Asset_Type[Nhóm tài sản],MD_Account_Asset_Type[Tài khoản KH],"Check")</f>
        <v>6274001905</v>
      </c>
      <c r="L218" s="173">
        <v>44593</v>
      </c>
      <c r="M218" s="174">
        <f>EDATE(Data_Dep.12[[#This Row],[Ngày bắt đầu KH]],Data_Dep.12[[#This Row],[T/G Khấu hao]])</f>
        <v>46419</v>
      </c>
      <c r="N218" s="175">
        <v>60</v>
      </c>
      <c r="O218" s="175">
        <v>122500000</v>
      </c>
      <c r="P218" s="176">
        <v>-79891304</v>
      </c>
      <c r="Q218" s="175">
        <f>Data_Dep.12[[#This Row],[Nguyên giá]]+Data_Dep.12[[#This Row],[KH lũy kế]]</f>
        <v>42608696</v>
      </c>
      <c r="R218" s="177">
        <v>-2663044</v>
      </c>
      <c r="S218" s="177">
        <v>-2663043</v>
      </c>
      <c r="T218" s="177">
        <v>-2663044</v>
      </c>
      <c r="U218" s="177">
        <f>SUM(Data_Dep.12[[#This Row],[KH_2510]:[KH_2512]])</f>
        <v>-7989131</v>
      </c>
      <c r="V218" s="175">
        <f>Data_Dep.12[[#This Row],[Nguyên giá]]+Data_Dep.12[[#This Row],[KH lũy kế]]+Data_Dep.12[[#This Row],[KH_Q4.25]]</f>
        <v>34619565</v>
      </c>
      <c r="W218" s="178">
        <f>ROUND(Data_Dep.12[[#This Row],[T/G Khấu hao]]-Data_Dep.12[[#This Row],[Giá trị còn lại 31/12/25]]/Data_Dep.12[[#This Row],[Nguyên giá]]*Data_Dep.12[[#This Row],[T/G Khấu hao]],0)</f>
        <v>43</v>
      </c>
      <c r="X218" s="179">
        <v>84</v>
      </c>
      <c r="Y218" s="175">
        <f>Data_Dep.12[[#This Row],[T/G Khấu hao]]+Data_Dep.12[[#This Row],[Điều chỉnh]]</f>
        <v>144</v>
      </c>
      <c r="Z218" s="180">
        <f>EDATE(Data_Dep.12[[#This Row],[Ngày bắt đầu KH]],Data_Dep.12[[#This Row],[T/G điều chỉnh]])</f>
        <v>48976</v>
      </c>
      <c r="AA218" s="175">
        <f>Data_Dep.12[[#This Row],[T/G điều chỉnh]]-Data_Dep.12[[#This Row],[Số kỳ đã khấu hao]]</f>
        <v>101</v>
      </c>
      <c r="AB218" s="175">
        <f>IFERROR(-Data_Dep.12[[#This Row],[Giá trị còn lại 31/12/25]]/(Data_Dep.12[[#This Row],[T/G điều chỉnh]]-Data_Dep.12[[#This Row],[Số kỳ đã khấu hao]]),0)</f>
        <v>-342767.97029702971</v>
      </c>
      <c r="AC218" s="181">
        <v>-342767.97029702971</v>
      </c>
      <c r="AD218" s="181">
        <v>-342767.97029702971</v>
      </c>
      <c r="AE218" s="181">
        <v>-342767.97029702971</v>
      </c>
      <c r="AF218" s="181">
        <v>-342767.97029702971</v>
      </c>
      <c r="AG218" s="181">
        <v>-342767.97029702971</v>
      </c>
      <c r="AH218" s="181">
        <v>-342767.97029702971</v>
      </c>
      <c r="AI218" s="181">
        <v>-342767.97029702971</v>
      </c>
      <c r="AJ218" s="181">
        <v>-342767.97029702971</v>
      </c>
      <c r="AK218" s="181">
        <v>-342767.97029702971</v>
      </c>
      <c r="AL218" s="181">
        <v>-342767.97029702971</v>
      </c>
      <c r="AM218" s="181">
        <v>-342767.97029702971</v>
      </c>
      <c r="AN218" s="181">
        <v>-342767.97029702971</v>
      </c>
      <c r="AO218" s="175">
        <f>SUM(Data_Dep.12[[#This Row],[KH_2601]:[KH_2612]])</f>
        <v>-4113215.6435643565</v>
      </c>
      <c r="AP218" s="175">
        <f>Data_Dep.12[[#This Row],[Giá trị còn lại 31/12/25]]+Data_Dep.12[[#This Row],[KH LK 2026]]</f>
        <v>30506349.356435642</v>
      </c>
    </row>
    <row r="219" spans="1:42" x14ac:dyDescent="0.3">
      <c r="A219" s="169"/>
      <c r="B219" s="169"/>
      <c r="C219" s="170" t="s">
        <v>342</v>
      </c>
      <c r="D219" s="169" t="str">
        <f>_xlfn.XLOOKUP(Data_Dep.12[[#This Row],[Nhóm tài sản]],MD_Account_Asset_Type[Nhóm tài sản],MD_Account_Asset_Type[Tên Nhóm tài sản])</f>
        <v>Phương tiện vận tải , truyền dẫn - SX 627</v>
      </c>
      <c r="E219" s="171" t="s">
        <v>1072</v>
      </c>
      <c r="F219" s="170" t="s">
        <v>710</v>
      </c>
      <c r="G219" s="169" t="s">
        <v>830</v>
      </c>
      <c r="H219" s="170" t="s">
        <v>46</v>
      </c>
      <c r="I219" s="170" t="str">
        <f>_xlfn.XLOOKUP(Data_Dep.12[[#This Row],[Cost center]],MD_Cost_Center[Mã Cost Center],MD_Cost_Center[Tên Cost Center])</f>
        <v>Kiểm soát chất lượng</v>
      </c>
      <c r="J219" s="172">
        <f>_xlfn.XLOOKUP(Data_Dep.12[[#This Row],[Cost center]],MD_Cost_Center[Mã Cost Center],MD_Cost_Center[Work center],"Check")</f>
        <v>0</v>
      </c>
      <c r="K219" s="169" t="str">
        <f>_xlfn.XLOOKUP(Data_Dep.12[[#This Row],[Nhóm tài sản]],MD_Account_Asset_Type[Nhóm tài sản],MD_Account_Asset_Type[Tài khoản KH],"Check")</f>
        <v>6274001905</v>
      </c>
      <c r="L219" s="173">
        <v>44634</v>
      </c>
      <c r="M219" s="174">
        <f>EDATE(Data_Dep.12[[#This Row],[Ngày bắt đầu KH]],Data_Dep.12[[#This Row],[T/G Khấu hao]])</f>
        <v>46826</v>
      </c>
      <c r="N219" s="175">
        <v>72</v>
      </c>
      <c r="O219" s="175">
        <v>85000000</v>
      </c>
      <c r="P219" s="176">
        <v>-50763889</v>
      </c>
      <c r="Q219" s="175">
        <f>Data_Dep.12[[#This Row],[Nguyên giá]]+Data_Dep.12[[#This Row],[KH lũy kế]]</f>
        <v>34236111</v>
      </c>
      <c r="R219" s="177">
        <v>-1180556</v>
      </c>
      <c r="S219" s="177">
        <v>-1180555</v>
      </c>
      <c r="T219" s="177">
        <v>-1180556</v>
      </c>
      <c r="U219" s="177">
        <f>SUM(Data_Dep.12[[#This Row],[KH_2510]:[KH_2512]])</f>
        <v>-3541667</v>
      </c>
      <c r="V219" s="175">
        <f>Data_Dep.12[[#This Row],[Nguyên giá]]+Data_Dep.12[[#This Row],[KH lũy kế]]+Data_Dep.12[[#This Row],[KH_Q4.25]]</f>
        <v>30694444</v>
      </c>
      <c r="W219" s="178">
        <f>ROUND(Data_Dep.12[[#This Row],[T/G Khấu hao]]-Data_Dep.12[[#This Row],[Giá trị còn lại 31/12/25]]/Data_Dep.12[[#This Row],[Nguyên giá]]*Data_Dep.12[[#This Row],[T/G Khấu hao]],0)</f>
        <v>46</v>
      </c>
      <c r="X219" s="179">
        <v>72</v>
      </c>
      <c r="Y219" s="175">
        <f>Data_Dep.12[[#This Row],[T/G Khấu hao]]+Data_Dep.12[[#This Row],[Điều chỉnh]]</f>
        <v>144</v>
      </c>
      <c r="Z219" s="180">
        <f>EDATE(Data_Dep.12[[#This Row],[Ngày bắt đầu KH]],Data_Dep.12[[#This Row],[T/G điều chỉnh]])</f>
        <v>49017</v>
      </c>
      <c r="AA219" s="175">
        <f>Data_Dep.12[[#This Row],[T/G điều chỉnh]]-Data_Dep.12[[#This Row],[Số kỳ đã khấu hao]]</f>
        <v>98</v>
      </c>
      <c r="AB219" s="175">
        <f>IFERROR(-Data_Dep.12[[#This Row],[Giá trị còn lại 31/12/25]]/(Data_Dep.12[[#This Row],[T/G điều chỉnh]]-Data_Dep.12[[#This Row],[Số kỳ đã khấu hao]]),0)</f>
        <v>-313208.61224489799</v>
      </c>
      <c r="AC219" s="181">
        <v>-313208.61224489799</v>
      </c>
      <c r="AD219" s="181">
        <v>-313208.61224489799</v>
      </c>
      <c r="AE219" s="181">
        <v>-313208.61224489799</v>
      </c>
      <c r="AF219" s="181">
        <v>-313208.61224489799</v>
      </c>
      <c r="AG219" s="181">
        <v>-313208.61224489799</v>
      </c>
      <c r="AH219" s="181">
        <v>-313208.61224489799</v>
      </c>
      <c r="AI219" s="181">
        <v>-313208.61224489799</v>
      </c>
      <c r="AJ219" s="181">
        <v>-313208.61224489799</v>
      </c>
      <c r="AK219" s="181">
        <v>-313208.61224489799</v>
      </c>
      <c r="AL219" s="181">
        <v>-313208.61224489799</v>
      </c>
      <c r="AM219" s="181">
        <v>-313208.61224489799</v>
      </c>
      <c r="AN219" s="181">
        <v>-313208.61224489799</v>
      </c>
      <c r="AO219" s="175">
        <f>SUM(Data_Dep.12[[#This Row],[KH_2601]:[KH_2612]])</f>
        <v>-3758503.3469387759</v>
      </c>
      <c r="AP219" s="175">
        <f>Data_Dep.12[[#This Row],[Giá trị còn lại 31/12/25]]+Data_Dep.12[[#This Row],[KH LK 2026]]</f>
        <v>26935940.653061226</v>
      </c>
    </row>
    <row r="220" spans="1:42" x14ac:dyDescent="0.3">
      <c r="A220" s="169"/>
      <c r="B220" s="169"/>
      <c r="C220" s="170" t="s">
        <v>342</v>
      </c>
      <c r="D220" s="169" t="str">
        <f>_xlfn.XLOOKUP(Data_Dep.12[[#This Row],[Nhóm tài sản]],MD_Account_Asset_Type[Nhóm tài sản],MD_Account_Asset_Type[Tên Nhóm tài sản])</f>
        <v>Phương tiện vận tải , truyền dẫn - SX 627</v>
      </c>
      <c r="E220" s="171" t="s">
        <v>1073</v>
      </c>
      <c r="F220" s="170" t="s">
        <v>711</v>
      </c>
      <c r="G220" s="169" t="s">
        <v>830</v>
      </c>
      <c r="H220" s="170" t="s">
        <v>51</v>
      </c>
      <c r="I220" s="170" t="str">
        <f>_xlfn.XLOOKUP(Data_Dep.12[[#This Row],[Cost center]],MD_Cost_Center[Mã Cost Center],MD_Cost_Center[Tên Cost Center])</f>
        <v>Chuyền máy tạo vảy PET CW+Tomra</v>
      </c>
      <c r="J220" s="172" t="str">
        <f>_xlfn.XLOOKUP(Data_Dep.12[[#This Row],[Cost center]],MD_Cost_Center[Mã Cost Center],MD_Cost_Center[Work center],"Check")</f>
        <v>CHWO-R01</v>
      </c>
      <c r="K220" s="169" t="str">
        <f>_xlfn.XLOOKUP(Data_Dep.12[[#This Row],[Nhóm tài sản]],MD_Account_Asset_Type[Nhóm tài sản],MD_Account_Asset_Type[Tài khoản KH],"Check")</f>
        <v>6274001905</v>
      </c>
      <c r="L220" s="173">
        <v>44673</v>
      </c>
      <c r="M220" s="174">
        <f>EDATE(Data_Dep.12[[#This Row],[Ngày bắt đầu KH]],Data_Dep.12[[#This Row],[T/G Khấu hao]])</f>
        <v>46865</v>
      </c>
      <c r="N220" s="175">
        <v>72</v>
      </c>
      <c r="O220" s="175">
        <v>600000000</v>
      </c>
      <c r="P220" s="176">
        <v>-350000000</v>
      </c>
      <c r="Q220" s="175">
        <f>Data_Dep.12[[#This Row],[Nguyên giá]]+Data_Dep.12[[#This Row],[KH lũy kế]]</f>
        <v>250000000</v>
      </c>
      <c r="R220" s="177">
        <v>-8333333</v>
      </c>
      <c r="S220" s="177">
        <v>-8333334</v>
      </c>
      <c r="T220" s="177">
        <v>-8333333</v>
      </c>
      <c r="U220" s="177">
        <f>SUM(Data_Dep.12[[#This Row],[KH_2510]:[KH_2512]])</f>
        <v>-25000000</v>
      </c>
      <c r="V220" s="175">
        <f>Data_Dep.12[[#This Row],[Nguyên giá]]+Data_Dep.12[[#This Row],[KH lũy kế]]+Data_Dep.12[[#This Row],[KH_Q4.25]]</f>
        <v>225000000</v>
      </c>
      <c r="W220" s="178">
        <f>ROUND(Data_Dep.12[[#This Row],[T/G Khấu hao]]-Data_Dep.12[[#This Row],[Giá trị còn lại 31/12/25]]/Data_Dep.12[[#This Row],[Nguyên giá]]*Data_Dep.12[[#This Row],[T/G Khấu hao]],0)</f>
        <v>45</v>
      </c>
      <c r="X220" s="179">
        <v>72</v>
      </c>
      <c r="Y220" s="175">
        <f>Data_Dep.12[[#This Row],[T/G Khấu hao]]+Data_Dep.12[[#This Row],[Điều chỉnh]]</f>
        <v>144</v>
      </c>
      <c r="Z220" s="180">
        <f>EDATE(Data_Dep.12[[#This Row],[Ngày bắt đầu KH]],Data_Dep.12[[#This Row],[T/G điều chỉnh]])</f>
        <v>49056</v>
      </c>
      <c r="AA220" s="175">
        <f>Data_Dep.12[[#This Row],[T/G điều chỉnh]]-Data_Dep.12[[#This Row],[Số kỳ đã khấu hao]]</f>
        <v>99</v>
      </c>
      <c r="AB220" s="175">
        <f>IFERROR(-Data_Dep.12[[#This Row],[Giá trị còn lại 31/12/25]]/(Data_Dep.12[[#This Row],[T/G điều chỉnh]]-Data_Dep.12[[#This Row],[Số kỳ đã khấu hao]]),0)</f>
        <v>-2272727.2727272729</v>
      </c>
      <c r="AC220" s="181">
        <v>-2272727.2727272729</v>
      </c>
      <c r="AD220" s="181">
        <v>-2272727.2727272729</v>
      </c>
      <c r="AE220" s="181">
        <v>-2272727.2727272729</v>
      </c>
      <c r="AF220" s="181">
        <v>-2272727.2727272729</v>
      </c>
      <c r="AG220" s="181">
        <v>-2272727.2727272729</v>
      </c>
      <c r="AH220" s="181">
        <v>-2272727.2727272729</v>
      </c>
      <c r="AI220" s="181">
        <v>-2272727.2727272729</v>
      </c>
      <c r="AJ220" s="181">
        <v>-2272727.2727272729</v>
      </c>
      <c r="AK220" s="181">
        <v>-2272727.2727272729</v>
      </c>
      <c r="AL220" s="181">
        <v>-2272727.2727272729</v>
      </c>
      <c r="AM220" s="181">
        <v>-2272727.2727272729</v>
      </c>
      <c r="AN220" s="181">
        <v>-2272727.2727272729</v>
      </c>
      <c r="AO220" s="175">
        <f>SUM(Data_Dep.12[[#This Row],[KH_2601]:[KH_2612]])</f>
        <v>-27272727.272727277</v>
      </c>
      <c r="AP220" s="175">
        <f>Data_Dep.12[[#This Row],[Giá trị còn lại 31/12/25]]+Data_Dep.12[[#This Row],[KH LK 2026]]</f>
        <v>197727272.72727272</v>
      </c>
    </row>
    <row r="221" spans="1:42" x14ac:dyDescent="0.3">
      <c r="A221" s="169"/>
      <c r="B221" s="169"/>
      <c r="C221" s="170" t="s">
        <v>342</v>
      </c>
      <c r="D221" s="169" t="str">
        <f>_xlfn.XLOOKUP(Data_Dep.12[[#This Row],[Nhóm tài sản]],MD_Account_Asset_Type[Nhóm tài sản],MD_Account_Asset_Type[Tên Nhóm tài sản])</f>
        <v>Phương tiện vận tải , truyền dẫn - SX 627</v>
      </c>
      <c r="E221" s="171" t="s">
        <v>1074</v>
      </c>
      <c r="F221" s="170" t="s">
        <v>712</v>
      </c>
      <c r="G221" s="169" t="s">
        <v>830</v>
      </c>
      <c r="H221" s="170" t="s">
        <v>51</v>
      </c>
      <c r="I221" s="170" t="str">
        <f>_xlfn.XLOOKUP(Data_Dep.12[[#This Row],[Cost center]],MD_Cost_Center[Mã Cost Center],MD_Cost_Center[Tên Cost Center])</f>
        <v>Chuyền máy tạo vảy PET CW+Tomra</v>
      </c>
      <c r="J221" s="172" t="str">
        <f>_xlfn.XLOOKUP(Data_Dep.12[[#This Row],[Cost center]],MD_Cost_Center[Mã Cost Center],MD_Cost_Center[Work center],"Check")</f>
        <v>CHWO-R01</v>
      </c>
      <c r="K221" s="169" t="str">
        <f>_xlfn.XLOOKUP(Data_Dep.12[[#This Row],[Nhóm tài sản]],MD_Account_Asset_Type[Nhóm tài sản],MD_Account_Asset_Type[Tài khoản KH],"Check")</f>
        <v>6274001905</v>
      </c>
      <c r="L221" s="173">
        <v>44673</v>
      </c>
      <c r="M221" s="174">
        <f>EDATE(Data_Dep.12[[#This Row],[Ngày bắt đầu KH]],Data_Dep.12[[#This Row],[T/G Khấu hao]])</f>
        <v>46865</v>
      </c>
      <c r="N221" s="175">
        <v>72</v>
      </c>
      <c r="O221" s="175">
        <v>162000000</v>
      </c>
      <c r="P221" s="176">
        <v>-94500000</v>
      </c>
      <c r="Q221" s="175">
        <f>Data_Dep.12[[#This Row],[Nguyên giá]]+Data_Dep.12[[#This Row],[KH lũy kế]]</f>
        <v>67500000</v>
      </c>
      <c r="R221" s="177">
        <v>-2250000</v>
      </c>
      <c r="S221" s="177">
        <v>-2250000</v>
      </c>
      <c r="T221" s="177">
        <v>-2250000</v>
      </c>
      <c r="U221" s="177">
        <f>SUM(Data_Dep.12[[#This Row],[KH_2510]:[KH_2512]])</f>
        <v>-6750000</v>
      </c>
      <c r="V221" s="175">
        <f>Data_Dep.12[[#This Row],[Nguyên giá]]+Data_Dep.12[[#This Row],[KH lũy kế]]+Data_Dep.12[[#This Row],[KH_Q4.25]]</f>
        <v>60750000</v>
      </c>
      <c r="W221" s="178">
        <f>ROUND(Data_Dep.12[[#This Row],[T/G Khấu hao]]-Data_Dep.12[[#This Row],[Giá trị còn lại 31/12/25]]/Data_Dep.12[[#This Row],[Nguyên giá]]*Data_Dep.12[[#This Row],[T/G Khấu hao]],0)</f>
        <v>45</v>
      </c>
      <c r="X221" s="179">
        <v>72</v>
      </c>
      <c r="Y221" s="175">
        <f>Data_Dep.12[[#This Row],[T/G Khấu hao]]+Data_Dep.12[[#This Row],[Điều chỉnh]]</f>
        <v>144</v>
      </c>
      <c r="Z221" s="180">
        <f>EDATE(Data_Dep.12[[#This Row],[Ngày bắt đầu KH]],Data_Dep.12[[#This Row],[T/G điều chỉnh]])</f>
        <v>49056</v>
      </c>
      <c r="AA221" s="175">
        <f>Data_Dep.12[[#This Row],[T/G điều chỉnh]]-Data_Dep.12[[#This Row],[Số kỳ đã khấu hao]]</f>
        <v>99</v>
      </c>
      <c r="AB221" s="175">
        <f>IFERROR(-Data_Dep.12[[#This Row],[Giá trị còn lại 31/12/25]]/(Data_Dep.12[[#This Row],[T/G điều chỉnh]]-Data_Dep.12[[#This Row],[Số kỳ đã khấu hao]]),0)</f>
        <v>-613636.36363636365</v>
      </c>
      <c r="AC221" s="181">
        <v>-613636.36363636365</v>
      </c>
      <c r="AD221" s="181">
        <v>-613636.36363636365</v>
      </c>
      <c r="AE221" s="181">
        <v>-613636.36363636365</v>
      </c>
      <c r="AF221" s="181">
        <v>-613636.36363636365</v>
      </c>
      <c r="AG221" s="181">
        <v>-613636.36363636365</v>
      </c>
      <c r="AH221" s="181">
        <v>-613636.36363636365</v>
      </c>
      <c r="AI221" s="181">
        <v>-613636.36363636365</v>
      </c>
      <c r="AJ221" s="181">
        <v>-613636.36363636365</v>
      </c>
      <c r="AK221" s="181">
        <v>-613636.36363636365</v>
      </c>
      <c r="AL221" s="181">
        <v>-613636.36363636365</v>
      </c>
      <c r="AM221" s="181">
        <v>-613636.36363636365</v>
      </c>
      <c r="AN221" s="181">
        <v>-613636.36363636365</v>
      </c>
      <c r="AO221" s="175">
        <f>SUM(Data_Dep.12[[#This Row],[KH_2601]:[KH_2612]])</f>
        <v>-7363636.3636363624</v>
      </c>
      <c r="AP221" s="175">
        <f>Data_Dep.12[[#This Row],[Giá trị còn lại 31/12/25]]+Data_Dep.12[[#This Row],[KH LK 2026]]</f>
        <v>53386363.63636364</v>
      </c>
    </row>
    <row r="222" spans="1:42" x14ac:dyDescent="0.3">
      <c r="A222" s="169"/>
      <c r="B222" s="169"/>
      <c r="C222" s="170" t="s">
        <v>342</v>
      </c>
      <c r="D222" s="169" t="str">
        <f>_xlfn.XLOOKUP(Data_Dep.12[[#This Row],[Nhóm tài sản]],MD_Account_Asset_Type[Nhóm tài sản],MD_Account_Asset_Type[Tên Nhóm tài sản])</f>
        <v>Phương tiện vận tải , truyền dẫn - SX 627</v>
      </c>
      <c r="E222" s="171" t="s">
        <v>1075</v>
      </c>
      <c r="F222" s="170" t="s">
        <v>713</v>
      </c>
      <c r="G222" s="169" t="s">
        <v>830</v>
      </c>
      <c r="H222" s="170" t="s">
        <v>48</v>
      </c>
      <c r="I222" s="170" t="str">
        <f>_xlfn.XLOOKUP(Data_Dep.12[[#This Row],[Cost center]],MD_Cost_Center[Mã Cost Center],MD_Cost_Center[Tên Cost Center])</f>
        <v>Xưởng sản xuất PET</v>
      </c>
      <c r="J222" s="172">
        <f>_xlfn.XLOOKUP(Data_Dep.12[[#This Row],[Cost center]],MD_Cost_Center[Mã Cost Center],MD_Cost_Center[Work center],"Check")</f>
        <v>0</v>
      </c>
      <c r="K222" s="169" t="str">
        <f>_xlfn.XLOOKUP(Data_Dep.12[[#This Row],[Nhóm tài sản]],MD_Account_Asset_Type[Nhóm tài sản],MD_Account_Asset_Type[Tài khoản KH],"Check")</f>
        <v>6274001905</v>
      </c>
      <c r="L222" s="173">
        <v>44757</v>
      </c>
      <c r="M222" s="174">
        <f>EDATE(Data_Dep.12[[#This Row],[Ngày bắt đầu KH]],Data_Dep.12[[#This Row],[T/G Khấu hao]])</f>
        <v>47679</v>
      </c>
      <c r="N222" s="175">
        <v>96</v>
      </c>
      <c r="O222" s="175">
        <v>1191602171</v>
      </c>
      <c r="P222" s="176">
        <v>-484088382</v>
      </c>
      <c r="Q222" s="175">
        <f>Data_Dep.12[[#This Row],[Nguyên giá]]+Data_Dep.12[[#This Row],[KH lũy kế]]</f>
        <v>707513789</v>
      </c>
      <c r="R222" s="177">
        <v>-12412522</v>
      </c>
      <c r="S222" s="177">
        <v>-12412523</v>
      </c>
      <c r="T222" s="177">
        <v>-12412522</v>
      </c>
      <c r="U222" s="177">
        <f>SUM(Data_Dep.12[[#This Row],[KH_2510]:[KH_2512]])</f>
        <v>-37237567</v>
      </c>
      <c r="V222" s="175">
        <f>Data_Dep.12[[#This Row],[Nguyên giá]]+Data_Dep.12[[#This Row],[KH lũy kế]]+Data_Dep.12[[#This Row],[KH_Q4.25]]</f>
        <v>670276222</v>
      </c>
      <c r="W222" s="178">
        <f>ROUND(Data_Dep.12[[#This Row],[T/G Khấu hao]]-Data_Dep.12[[#This Row],[Giá trị còn lại 31/12/25]]/Data_Dep.12[[#This Row],[Nguyên giá]]*Data_Dep.12[[#This Row],[T/G Khấu hao]],0)</f>
        <v>42</v>
      </c>
      <c r="X222" s="179">
        <v>24</v>
      </c>
      <c r="Y222" s="175">
        <f>Data_Dep.12[[#This Row],[T/G Khấu hao]]+Data_Dep.12[[#This Row],[Điều chỉnh]]</f>
        <v>120</v>
      </c>
      <c r="Z222" s="180">
        <f>EDATE(Data_Dep.12[[#This Row],[Ngày bắt đầu KH]],Data_Dep.12[[#This Row],[T/G điều chỉnh]])</f>
        <v>48410</v>
      </c>
      <c r="AA222" s="175">
        <f>Data_Dep.12[[#This Row],[T/G điều chỉnh]]-Data_Dep.12[[#This Row],[Số kỳ đã khấu hao]]</f>
        <v>78</v>
      </c>
      <c r="AB222" s="175">
        <f>IFERROR(-Data_Dep.12[[#This Row],[Giá trị còn lại 31/12/25]]/(Data_Dep.12[[#This Row],[T/G điều chỉnh]]-Data_Dep.12[[#This Row],[Số kỳ đã khấu hao]]),0)</f>
        <v>-8593284.897435898</v>
      </c>
      <c r="AC222" s="181">
        <v>-8593284.897435898</v>
      </c>
      <c r="AD222" s="181">
        <v>-8593284.897435898</v>
      </c>
      <c r="AE222" s="181">
        <v>-8593284.897435898</v>
      </c>
      <c r="AF222" s="181">
        <v>-8593284.897435898</v>
      </c>
      <c r="AG222" s="181">
        <v>-8593284.897435898</v>
      </c>
      <c r="AH222" s="181">
        <v>-8593284.897435898</v>
      </c>
      <c r="AI222" s="181">
        <v>-8593284.897435898</v>
      </c>
      <c r="AJ222" s="181">
        <v>-8593284.897435898</v>
      </c>
      <c r="AK222" s="181">
        <v>-8593284.897435898</v>
      </c>
      <c r="AL222" s="181">
        <v>-8593284.897435898</v>
      </c>
      <c r="AM222" s="181">
        <v>-8593284.897435898</v>
      </c>
      <c r="AN222" s="181">
        <v>-8593284.897435898</v>
      </c>
      <c r="AO222" s="175">
        <f>SUM(Data_Dep.12[[#This Row],[KH_2601]:[KH_2612]])</f>
        <v>-103119418.7692308</v>
      </c>
      <c r="AP222" s="175">
        <f>Data_Dep.12[[#This Row],[Giá trị còn lại 31/12/25]]+Data_Dep.12[[#This Row],[KH LK 2026]]</f>
        <v>567156803.23076916</v>
      </c>
    </row>
    <row r="223" spans="1:42" x14ac:dyDescent="0.3">
      <c r="A223" s="169"/>
      <c r="B223" s="169"/>
      <c r="C223" s="170" t="s">
        <v>342</v>
      </c>
      <c r="D223" s="169" t="str">
        <f>_xlfn.XLOOKUP(Data_Dep.12[[#This Row],[Nhóm tài sản]],MD_Account_Asset_Type[Nhóm tài sản],MD_Account_Asset_Type[Tên Nhóm tài sản])</f>
        <v>Phương tiện vận tải , truyền dẫn - SX 627</v>
      </c>
      <c r="E223" s="171" t="s">
        <v>1076</v>
      </c>
      <c r="F223" s="170" t="s">
        <v>714</v>
      </c>
      <c r="G223" s="169" t="s">
        <v>830</v>
      </c>
      <c r="H223" s="170" t="s">
        <v>61</v>
      </c>
      <c r="I223" s="170" t="str">
        <f>_xlfn.XLOOKUP(Data_Dep.12[[#This Row],[Cost center]],MD_Cost_Center[Mã Cost Center],MD_Cost_Center[Tên Cost Center])</f>
        <v>Chuyền băm chai PET</v>
      </c>
      <c r="J223" s="172" t="str">
        <f>_xlfn.XLOOKUP(Data_Dep.12[[#This Row],[Cost center]],MD_Cost_Center[Mã Cost Center],MD_Cost_Center[Work center],"Check")</f>
        <v>CHWO-B01</v>
      </c>
      <c r="K223" s="169" t="str">
        <f>_xlfn.XLOOKUP(Data_Dep.12[[#This Row],[Nhóm tài sản]],MD_Account_Asset_Type[Nhóm tài sản],MD_Account_Asset_Type[Tài khoản KH],"Check")</f>
        <v>6274001905</v>
      </c>
      <c r="L223" s="173">
        <v>44722</v>
      </c>
      <c r="M223" s="174">
        <f>EDATE(Data_Dep.12[[#This Row],[Ngày bắt đầu KH]],Data_Dep.12[[#This Row],[T/G Khấu hao]])</f>
        <v>46548</v>
      </c>
      <c r="N223" s="175">
        <v>60</v>
      </c>
      <c r="O223" s="175">
        <v>472000000</v>
      </c>
      <c r="P223" s="176">
        <v>-314666667</v>
      </c>
      <c r="Q223" s="175">
        <f>Data_Dep.12[[#This Row],[Nguyên giá]]+Data_Dep.12[[#This Row],[KH lũy kế]]</f>
        <v>157333333</v>
      </c>
      <c r="R223" s="177">
        <v>-7866667</v>
      </c>
      <c r="S223" s="177">
        <v>-7866666</v>
      </c>
      <c r="T223" s="177">
        <v>-7866667</v>
      </c>
      <c r="U223" s="177">
        <f>SUM(Data_Dep.12[[#This Row],[KH_2510]:[KH_2512]])</f>
        <v>-23600000</v>
      </c>
      <c r="V223" s="175">
        <f>Data_Dep.12[[#This Row],[Nguyên giá]]+Data_Dep.12[[#This Row],[KH lũy kế]]+Data_Dep.12[[#This Row],[KH_Q4.25]]</f>
        <v>133733333</v>
      </c>
      <c r="W223" s="178">
        <f>ROUND(Data_Dep.12[[#This Row],[T/G Khấu hao]]-Data_Dep.12[[#This Row],[Giá trị còn lại 31/12/25]]/Data_Dep.12[[#This Row],[Nguyên giá]]*Data_Dep.12[[#This Row],[T/G Khấu hao]],0)</f>
        <v>43</v>
      </c>
      <c r="X223" s="179">
        <v>84</v>
      </c>
      <c r="Y223" s="175">
        <f>Data_Dep.12[[#This Row],[T/G Khấu hao]]+Data_Dep.12[[#This Row],[Điều chỉnh]]</f>
        <v>144</v>
      </c>
      <c r="Z223" s="180">
        <f>EDATE(Data_Dep.12[[#This Row],[Ngày bắt đầu KH]],Data_Dep.12[[#This Row],[T/G điều chỉnh]])</f>
        <v>49105</v>
      </c>
      <c r="AA223" s="175">
        <f>Data_Dep.12[[#This Row],[T/G điều chỉnh]]-Data_Dep.12[[#This Row],[Số kỳ đã khấu hao]]</f>
        <v>101</v>
      </c>
      <c r="AB223" s="175">
        <f>IFERROR(-Data_Dep.12[[#This Row],[Giá trị còn lại 31/12/25]]/(Data_Dep.12[[#This Row],[T/G điều chỉnh]]-Data_Dep.12[[#This Row],[Số kỳ đã khấu hao]]),0)</f>
        <v>-1324092.4059405942</v>
      </c>
      <c r="AC223" s="181">
        <v>-1324092.4059405942</v>
      </c>
      <c r="AD223" s="181">
        <v>-1324092.4059405942</v>
      </c>
      <c r="AE223" s="181">
        <v>-1324092.4059405942</v>
      </c>
      <c r="AF223" s="181">
        <v>-1324092.4059405942</v>
      </c>
      <c r="AG223" s="181">
        <v>-1324092.4059405942</v>
      </c>
      <c r="AH223" s="181">
        <v>-1324092.4059405942</v>
      </c>
      <c r="AI223" s="181">
        <v>-1324092.4059405942</v>
      </c>
      <c r="AJ223" s="181">
        <v>-1324092.4059405942</v>
      </c>
      <c r="AK223" s="181">
        <v>-1324092.4059405942</v>
      </c>
      <c r="AL223" s="181">
        <v>-1324092.4059405942</v>
      </c>
      <c r="AM223" s="181">
        <v>-1324092.4059405942</v>
      </c>
      <c r="AN223" s="181">
        <v>-1324092.4059405942</v>
      </c>
      <c r="AO223" s="175">
        <f>SUM(Data_Dep.12[[#This Row],[KH_2601]:[KH_2612]])</f>
        <v>-15889108.87128713</v>
      </c>
      <c r="AP223" s="175">
        <f>Data_Dep.12[[#This Row],[Giá trị còn lại 31/12/25]]+Data_Dep.12[[#This Row],[KH LK 2026]]</f>
        <v>117844224.12871286</v>
      </c>
    </row>
    <row r="224" spans="1:42" x14ac:dyDescent="0.3">
      <c r="A224" s="169"/>
      <c r="B224" s="169"/>
      <c r="C224" s="170" t="s">
        <v>342</v>
      </c>
      <c r="D224" s="169" t="str">
        <f>_xlfn.XLOOKUP(Data_Dep.12[[#This Row],[Nhóm tài sản]],MD_Account_Asset_Type[Nhóm tài sản],MD_Account_Asset_Type[Tên Nhóm tài sản])</f>
        <v>Phương tiện vận tải , truyền dẫn - SX 627</v>
      </c>
      <c r="E224" s="171" t="s">
        <v>1077</v>
      </c>
      <c r="F224" s="170" t="s">
        <v>715</v>
      </c>
      <c r="G224" s="169" t="s">
        <v>830</v>
      </c>
      <c r="H224" s="170" t="s">
        <v>48</v>
      </c>
      <c r="I224" s="170" t="str">
        <f>_xlfn.XLOOKUP(Data_Dep.12[[#This Row],[Cost center]],MD_Cost_Center[Mã Cost Center],MD_Cost_Center[Tên Cost Center])</f>
        <v>Xưởng sản xuất PET</v>
      </c>
      <c r="J224" s="172">
        <f>_xlfn.XLOOKUP(Data_Dep.12[[#This Row],[Cost center]],MD_Cost_Center[Mã Cost Center],MD_Cost_Center[Work center],"Check")</f>
        <v>0</v>
      </c>
      <c r="K224" s="169" t="str">
        <f>_xlfn.XLOOKUP(Data_Dep.12[[#This Row],[Nhóm tài sản]],MD_Account_Asset_Type[Nhóm tài sản],MD_Account_Asset_Type[Tài khoản KH],"Check")</f>
        <v>6274001905</v>
      </c>
      <c r="L224" s="173">
        <v>44873</v>
      </c>
      <c r="M224" s="174">
        <f>EDATE(Data_Dep.12[[#This Row],[Ngày bắt đầu KH]],Data_Dep.12[[#This Row],[T/G Khấu hao]])</f>
        <v>47795</v>
      </c>
      <c r="N224" s="175">
        <v>96</v>
      </c>
      <c r="O224" s="175">
        <v>1309027251</v>
      </c>
      <c r="P224" s="176">
        <v>-477249518</v>
      </c>
      <c r="Q224" s="175">
        <f>Data_Dep.12[[#This Row],[Nguyên giá]]+Data_Dep.12[[#This Row],[KH lũy kế]]</f>
        <v>831777733</v>
      </c>
      <c r="R224" s="177">
        <v>-13635700</v>
      </c>
      <c r="S224" s="177">
        <v>-13635701</v>
      </c>
      <c r="T224" s="177">
        <v>-13635701</v>
      </c>
      <c r="U224" s="177">
        <f>SUM(Data_Dep.12[[#This Row],[KH_2510]:[KH_2512]])</f>
        <v>-40907102</v>
      </c>
      <c r="V224" s="175">
        <f>Data_Dep.12[[#This Row],[Nguyên giá]]+Data_Dep.12[[#This Row],[KH lũy kế]]+Data_Dep.12[[#This Row],[KH_Q4.25]]</f>
        <v>790870631</v>
      </c>
      <c r="W224" s="178">
        <f>ROUND(Data_Dep.12[[#This Row],[T/G Khấu hao]]-Data_Dep.12[[#This Row],[Giá trị còn lại 31/12/25]]/Data_Dep.12[[#This Row],[Nguyên giá]]*Data_Dep.12[[#This Row],[T/G Khấu hao]],0)</f>
        <v>38</v>
      </c>
      <c r="X224" s="179">
        <v>24</v>
      </c>
      <c r="Y224" s="175">
        <f>Data_Dep.12[[#This Row],[T/G Khấu hao]]+Data_Dep.12[[#This Row],[Điều chỉnh]]</f>
        <v>120</v>
      </c>
      <c r="Z224" s="180">
        <f>EDATE(Data_Dep.12[[#This Row],[Ngày bắt đầu KH]],Data_Dep.12[[#This Row],[T/G điều chỉnh]])</f>
        <v>48526</v>
      </c>
      <c r="AA224" s="175">
        <f>Data_Dep.12[[#This Row],[T/G điều chỉnh]]-Data_Dep.12[[#This Row],[Số kỳ đã khấu hao]]</f>
        <v>82</v>
      </c>
      <c r="AB224" s="175">
        <f>IFERROR(-Data_Dep.12[[#This Row],[Giá trị còn lại 31/12/25]]/(Data_Dep.12[[#This Row],[T/G điều chỉnh]]-Data_Dep.12[[#This Row],[Số kỳ đã khấu hao]]),0)</f>
        <v>-9644763.7926829271</v>
      </c>
      <c r="AC224" s="181">
        <v>-9644763.7926829271</v>
      </c>
      <c r="AD224" s="181">
        <v>-9644763.7926829271</v>
      </c>
      <c r="AE224" s="181">
        <v>-9644763.7926829271</v>
      </c>
      <c r="AF224" s="181">
        <v>-9644763.7926829271</v>
      </c>
      <c r="AG224" s="181">
        <v>-9644763.7926829271</v>
      </c>
      <c r="AH224" s="181">
        <v>-9644763.7926829271</v>
      </c>
      <c r="AI224" s="181">
        <v>-9644763.7926829271</v>
      </c>
      <c r="AJ224" s="181">
        <v>-9644763.7926829271</v>
      </c>
      <c r="AK224" s="181">
        <v>-9644763.7926829271</v>
      </c>
      <c r="AL224" s="181">
        <v>-9644763.7926829271</v>
      </c>
      <c r="AM224" s="181">
        <v>-9644763.7926829271</v>
      </c>
      <c r="AN224" s="181">
        <v>-9644763.7926829271</v>
      </c>
      <c r="AO224" s="175">
        <f>SUM(Data_Dep.12[[#This Row],[KH_2601]:[KH_2612]])</f>
        <v>-115737165.51219516</v>
      </c>
      <c r="AP224" s="175">
        <f>Data_Dep.12[[#This Row],[Giá trị còn lại 31/12/25]]+Data_Dep.12[[#This Row],[KH LK 2026]]</f>
        <v>675133465.48780489</v>
      </c>
    </row>
    <row r="225" spans="1:42" x14ac:dyDescent="0.3">
      <c r="A225" s="169"/>
      <c r="B225" s="169"/>
      <c r="C225" s="170" t="s">
        <v>342</v>
      </c>
      <c r="D225" s="169" t="str">
        <f>_xlfn.XLOOKUP(Data_Dep.12[[#This Row],[Nhóm tài sản]],MD_Account_Asset_Type[Nhóm tài sản],MD_Account_Asset_Type[Tên Nhóm tài sản])</f>
        <v>Phương tiện vận tải , truyền dẫn - SX 627</v>
      </c>
      <c r="E225" s="171" t="s">
        <v>1078</v>
      </c>
      <c r="F225" s="170" t="s">
        <v>716</v>
      </c>
      <c r="G225" s="169" t="s">
        <v>830</v>
      </c>
      <c r="H225" s="170" t="s">
        <v>48</v>
      </c>
      <c r="I225" s="170" t="str">
        <f>_xlfn.XLOOKUP(Data_Dep.12[[#This Row],[Cost center]],MD_Cost_Center[Mã Cost Center],MD_Cost_Center[Tên Cost Center])</f>
        <v>Xưởng sản xuất PET</v>
      </c>
      <c r="J225" s="172">
        <f>_xlfn.XLOOKUP(Data_Dep.12[[#This Row],[Cost center]],MD_Cost_Center[Mã Cost Center],MD_Cost_Center[Work center],"Check")</f>
        <v>0</v>
      </c>
      <c r="K225" s="169" t="str">
        <f>_xlfn.XLOOKUP(Data_Dep.12[[#This Row],[Nhóm tài sản]],MD_Account_Asset_Type[Nhóm tài sản],MD_Account_Asset_Type[Tài khoản KH],"Check")</f>
        <v>6274001905</v>
      </c>
      <c r="L225" s="173">
        <v>44873</v>
      </c>
      <c r="M225" s="174">
        <f>EDATE(Data_Dep.12[[#This Row],[Ngày bắt đầu KH]],Data_Dep.12[[#This Row],[T/G Khấu hao]])</f>
        <v>47795</v>
      </c>
      <c r="N225" s="175">
        <v>96</v>
      </c>
      <c r="O225" s="175">
        <v>1309027247</v>
      </c>
      <c r="P225" s="176">
        <v>-477249517</v>
      </c>
      <c r="Q225" s="175">
        <f>Data_Dep.12[[#This Row],[Nguyên giá]]+Data_Dep.12[[#This Row],[KH lũy kế]]</f>
        <v>831777730</v>
      </c>
      <c r="R225" s="177">
        <v>-13635701</v>
      </c>
      <c r="S225" s="177">
        <v>-13635700</v>
      </c>
      <c r="T225" s="177">
        <v>-13635701</v>
      </c>
      <c r="U225" s="177">
        <f>SUM(Data_Dep.12[[#This Row],[KH_2510]:[KH_2512]])</f>
        <v>-40907102</v>
      </c>
      <c r="V225" s="175">
        <f>Data_Dep.12[[#This Row],[Nguyên giá]]+Data_Dep.12[[#This Row],[KH lũy kế]]+Data_Dep.12[[#This Row],[KH_Q4.25]]</f>
        <v>790870628</v>
      </c>
      <c r="W225" s="178">
        <f>ROUND(Data_Dep.12[[#This Row],[T/G Khấu hao]]-Data_Dep.12[[#This Row],[Giá trị còn lại 31/12/25]]/Data_Dep.12[[#This Row],[Nguyên giá]]*Data_Dep.12[[#This Row],[T/G Khấu hao]],0)</f>
        <v>38</v>
      </c>
      <c r="X225" s="179">
        <v>24</v>
      </c>
      <c r="Y225" s="175">
        <f>Data_Dep.12[[#This Row],[T/G Khấu hao]]+Data_Dep.12[[#This Row],[Điều chỉnh]]</f>
        <v>120</v>
      </c>
      <c r="Z225" s="180">
        <f>EDATE(Data_Dep.12[[#This Row],[Ngày bắt đầu KH]],Data_Dep.12[[#This Row],[T/G điều chỉnh]])</f>
        <v>48526</v>
      </c>
      <c r="AA225" s="175">
        <f>Data_Dep.12[[#This Row],[T/G điều chỉnh]]-Data_Dep.12[[#This Row],[Số kỳ đã khấu hao]]</f>
        <v>82</v>
      </c>
      <c r="AB225" s="175">
        <f>IFERROR(-Data_Dep.12[[#This Row],[Giá trị còn lại 31/12/25]]/(Data_Dep.12[[#This Row],[T/G điều chỉnh]]-Data_Dep.12[[#This Row],[Số kỳ đã khấu hao]]),0)</f>
        <v>-9644763.7560975607</v>
      </c>
      <c r="AC225" s="181">
        <v>-9644763.7560975607</v>
      </c>
      <c r="AD225" s="181">
        <v>-9644763.7560975607</v>
      </c>
      <c r="AE225" s="181">
        <v>-9644763.7560975607</v>
      </c>
      <c r="AF225" s="181">
        <v>-9644763.7560975607</v>
      </c>
      <c r="AG225" s="181">
        <v>-9644763.7560975607</v>
      </c>
      <c r="AH225" s="181">
        <v>-9644763.7560975607</v>
      </c>
      <c r="AI225" s="181">
        <v>-9644763.7560975607</v>
      </c>
      <c r="AJ225" s="181">
        <v>-9644763.7560975607</v>
      </c>
      <c r="AK225" s="181">
        <v>-9644763.7560975607</v>
      </c>
      <c r="AL225" s="181">
        <v>-9644763.7560975607</v>
      </c>
      <c r="AM225" s="181">
        <v>-9644763.7560975607</v>
      </c>
      <c r="AN225" s="181">
        <v>-9644763.7560975607</v>
      </c>
      <c r="AO225" s="175">
        <f>SUM(Data_Dep.12[[#This Row],[KH_2601]:[KH_2612]])</f>
        <v>-115737165.07317071</v>
      </c>
      <c r="AP225" s="175">
        <f>Data_Dep.12[[#This Row],[Giá trị còn lại 31/12/25]]+Data_Dep.12[[#This Row],[KH LK 2026]]</f>
        <v>675133462.92682934</v>
      </c>
    </row>
    <row r="226" spans="1:42" x14ac:dyDescent="0.3">
      <c r="A226" s="169"/>
      <c r="B226" s="169"/>
      <c r="C226" s="170" t="s">
        <v>342</v>
      </c>
      <c r="D226" s="169" t="str">
        <f>_xlfn.XLOOKUP(Data_Dep.12[[#This Row],[Nhóm tài sản]],MD_Account_Asset_Type[Nhóm tài sản],MD_Account_Asset_Type[Tên Nhóm tài sản])</f>
        <v>Phương tiện vận tải , truyền dẫn - SX 627</v>
      </c>
      <c r="E226" s="171" t="s">
        <v>1079</v>
      </c>
      <c r="F226" s="170" t="s">
        <v>717</v>
      </c>
      <c r="G226" s="169" t="s">
        <v>830</v>
      </c>
      <c r="H226" s="170" t="s">
        <v>48</v>
      </c>
      <c r="I226" s="170" t="str">
        <f>_xlfn.XLOOKUP(Data_Dep.12[[#This Row],[Cost center]],MD_Cost_Center[Mã Cost Center],MD_Cost_Center[Tên Cost Center])</f>
        <v>Xưởng sản xuất PET</v>
      </c>
      <c r="J226" s="172">
        <f>_xlfn.XLOOKUP(Data_Dep.12[[#This Row],[Cost center]],MD_Cost_Center[Mã Cost Center],MD_Cost_Center[Work center],"Check")</f>
        <v>0</v>
      </c>
      <c r="K226" s="169" t="str">
        <f>_xlfn.XLOOKUP(Data_Dep.12[[#This Row],[Nhóm tài sản]],MD_Account_Asset_Type[Nhóm tài sản],MD_Account_Asset_Type[Tài khoản KH],"Check")</f>
        <v>6274001905</v>
      </c>
      <c r="L226" s="173">
        <v>44896</v>
      </c>
      <c r="M226" s="174">
        <f>EDATE(Data_Dep.12[[#This Row],[Ngày bắt đầu KH]],Data_Dep.12[[#This Row],[T/G Khấu hao]])</f>
        <v>46722</v>
      </c>
      <c r="N226" s="175">
        <v>60</v>
      </c>
      <c r="O226" s="175">
        <v>450000000</v>
      </c>
      <c r="P226" s="176">
        <v>-248275862</v>
      </c>
      <c r="Q226" s="175">
        <f>Data_Dep.12[[#This Row],[Nguyên giá]]+Data_Dep.12[[#This Row],[KH lũy kế]]</f>
        <v>201724138</v>
      </c>
      <c r="R226" s="177">
        <v>-7758621</v>
      </c>
      <c r="S226" s="177">
        <v>-7758621</v>
      </c>
      <c r="T226" s="177">
        <v>-7758620</v>
      </c>
      <c r="U226" s="177">
        <f>SUM(Data_Dep.12[[#This Row],[KH_2510]:[KH_2512]])</f>
        <v>-23275862</v>
      </c>
      <c r="V226" s="175">
        <f>Data_Dep.12[[#This Row],[Nguyên giá]]+Data_Dep.12[[#This Row],[KH lũy kế]]+Data_Dep.12[[#This Row],[KH_Q4.25]]</f>
        <v>178448276</v>
      </c>
      <c r="W226" s="178">
        <f>ROUND(Data_Dep.12[[#This Row],[T/G Khấu hao]]-Data_Dep.12[[#This Row],[Giá trị còn lại 31/12/25]]/Data_Dep.12[[#This Row],[Nguyên giá]]*Data_Dep.12[[#This Row],[T/G Khấu hao]],0)</f>
        <v>36</v>
      </c>
      <c r="X226" s="179">
        <v>60</v>
      </c>
      <c r="Y226" s="175">
        <f>Data_Dep.12[[#This Row],[T/G Khấu hao]]+Data_Dep.12[[#This Row],[Điều chỉnh]]</f>
        <v>120</v>
      </c>
      <c r="Z226" s="180">
        <f>EDATE(Data_Dep.12[[#This Row],[Ngày bắt đầu KH]],Data_Dep.12[[#This Row],[T/G điều chỉnh]])</f>
        <v>48549</v>
      </c>
      <c r="AA226" s="175">
        <f>Data_Dep.12[[#This Row],[T/G điều chỉnh]]-Data_Dep.12[[#This Row],[Số kỳ đã khấu hao]]</f>
        <v>84</v>
      </c>
      <c r="AB226" s="175">
        <f>IFERROR(-Data_Dep.12[[#This Row],[Giá trị còn lại 31/12/25]]/(Data_Dep.12[[#This Row],[T/G điều chỉnh]]-Data_Dep.12[[#This Row],[Số kỳ đã khấu hao]]),0)</f>
        <v>-2124384.2380952379</v>
      </c>
      <c r="AC226" s="181">
        <v>-2124384.2380952379</v>
      </c>
      <c r="AD226" s="181">
        <v>-2124384.2380952379</v>
      </c>
      <c r="AE226" s="181">
        <v>-2124384.2380952379</v>
      </c>
      <c r="AF226" s="181">
        <v>-2124384.2380952379</v>
      </c>
      <c r="AG226" s="181">
        <v>-2124384.2380952379</v>
      </c>
      <c r="AH226" s="181">
        <v>-2124384.2380952379</v>
      </c>
      <c r="AI226" s="181">
        <v>-2124384.2380952379</v>
      </c>
      <c r="AJ226" s="181">
        <v>-2124384.2380952379</v>
      </c>
      <c r="AK226" s="181">
        <v>-2124384.2380952379</v>
      </c>
      <c r="AL226" s="181">
        <v>-2124384.2380952379</v>
      </c>
      <c r="AM226" s="181">
        <v>-2124384.2380952379</v>
      </c>
      <c r="AN226" s="181">
        <v>-2124384.2380952379</v>
      </c>
      <c r="AO226" s="175">
        <f>SUM(Data_Dep.12[[#This Row],[KH_2601]:[KH_2612]])</f>
        <v>-25492610.857142862</v>
      </c>
      <c r="AP226" s="175">
        <f>Data_Dep.12[[#This Row],[Giá trị còn lại 31/12/25]]+Data_Dep.12[[#This Row],[KH LK 2026]]</f>
        <v>152955665.14285713</v>
      </c>
    </row>
    <row r="227" spans="1:42" x14ac:dyDescent="0.3">
      <c r="A227" s="169"/>
      <c r="B227" s="169"/>
      <c r="C227" s="170" t="s">
        <v>342</v>
      </c>
      <c r="D227" s="169" t="str">
        <f>_xlfn.XLOOKUP(Data_Dep.12[[#This Row],[Nhóm tài sản]],MD_Account_Asset_Type[Nhóm tài sản],MD_Account_Asset_Type[Tên Nhóm tài sản])</f>
        <v>Phương tiện vận tải , truyền dẫn - SX 627</v>
      </c>
      <c r="E227" s="171" t="s">
        <v>1080</v>
      </c>
      <c r="F227" s="170" t="s">
        <v>718</v>
      </c>
      <c r="G227" s="169" t="s">
        <v>830</v>
      </c>
      <c r="H227" s="170" t="s">
        <v>48</v>
      </c>
      <c r="I227" s="170" t="str">
        <f>_xlfn.XLOOKUP(Data_Dep.12[[#This Row],[Cost center]],MD_Cost_Center[Mã Cost Center],MD_Cost_Center[Tên Cost Center])</f>
        <v>Xưởng sản xuất PET</v>
      </c>
      <c r="J227" s="172">
        <f>_xlfn.XLOOKUP(Data_Dep.12[[#This Row],[Cost center]],MD_Cost_Center[Mã Cost Center],MD_Cost_Center[Work center],"Check")</f>
        <v>0</v>
      </c>
      <c r="K227" s="169" t="str">
        <f>_xlfn.XLOOKUP(Data_Dep.12[[#This Row],[Nhóm tài sản]],MD_Account_Asset_Type[Nhóm tài sản],MD_Account_Asset_Type[Tài khoản KH],"Check")</f>
        <v>6274001905</v>
      </c>
      <c r="L227" s="173">
        <v>45028</v>
      </c>
      <c r="M227" s="174">
        <f>EDATE(Data_Dep.12[[#This Row],[Ngày bắt đầu KH]],Data_Dep.12[[#This Row],[T/G Khấu hao]])</f>
        <v>48681</v>
      </c>
      <c r="N227" s="175">
        <v>120</v>
      </c>
      <c r="O227" s="175">
        <v>515000000</v>
      </c>
      <c r="P227" s="176">
        <v>-128750000</v>
      </c>
      <c r="Q227" s="175">
        <f>Data_Dep.12[[#This Row],[Nguyên giá]]+Data_Dep.12[[#This Row],[KH lũy kế]]</f>
        <v>386250000</v>
      </c>
      <c r="R227" s="177">
        <v>-4291667</v>
      </c>
      <c r="S227" s="177">
        <v>-4291666</v>
      </c>
      <c r="T227" s="177">
        <v>-4291667</v>
      </c>
      <c r="U227" s="177">
        <f>SUM(Data_Dep.12[[#This Row],[KH_2510]:[KH_2512]])</f>
        <v>-12875000</v>
      </c>
      <c r="V227" s="175">
        <f>Data_Dep.12[[#This Row],[Nguyên giá]]+Data_Dep.12[[#This Row],[KH lũy kế]]+Data_Dep.12[[#This Row],[KH_Q4.25]]</f>
        <v>373375000</v>
      </c>
      <c r="W227" s="178">
        <f>ROUND(Data_Dep.12[[#This Row],[T/G Khấu hao]]-Data_Dep.12[[#This Row],[Giá trị còn lại 31/12/25]]/Data_Dep.12[[#This Row],[Nguyên giá]]*Data_Dep.12[[#This Row],[T/G Khấu hao]],0)</f>
        <v>33</v>
      </c>
      <c r="X227" s="179">
        <v>0</v>
      </c>
      <c r="Y227" s="175">
        <f>Data_Dep.12[[#This Row],[T/G Khấu hao]]+Data_Dep.12[[#This Row],[Điều chỉnh]]</f>
        <v>120</v>
      </c>
      <c r="Z227" s="180">
        <f>EDATE(Data_Dep.12[[#This Row],[Ngày bắt đầu KH]],Data_Dep.12[[#This Row],[T/G điều chỉnh]])</f>
        <v>48681</v>
      </c>
      <c r="AA227" s="175">
        <f>Data_Dep.12[[#This Row],[T/G điều chỉnh]]-Data_Dep.12[[#This Row],[Số kỳ đã khấu hao]]</f>
        <v>87</v>
      </c>
      <c r="AB227" s="175">
        <f>IFERROR(-Data_Dep.12[[#This Row],[Giá trị còn lại 31/12/25]]/(Data_Dep.12[[#This Row],[T/G điều chỉnh]]-Data_Dep.12[[#This Row],[Số kỳ đã khấu hao]]),0)</f>
        <v>-4291666.666666667</v>
      </c>
      <c r="AC227" s="181">
        <v>-4291666.666666667</v>
      </c>
      <c r="AD227" s="181">
        <v>-4291666.666666667</v>
      </c>
      <c r="AE227" s="181">
        <v>-4291666.666666667</v>
      </c>
      <c r="AF227" s="181">
        <v>-4291666.666666667</v>
      </c>
      <c r="AG227" s="181">
        <v>-4291666.666666667</v>
      </c>
      <c r="AH227" s="181">
        <v>-4291666.666666667</v>
      </c>
      <c r="AI227" s="181">
        <v>-4291666.666666667</v>
      </c>
      <c r="AJ227" s="181">
        <v>-4291666.666666667</v>
      </c>
      <c r="AK227" s="181">
        <v>-4291666.666666667</v>
      </c>
      <c r="AL227" s="181">
        <v>-4291666.666666667</v>
      </c>
      <c r="AM227" s="181">
        <v>-4291666.666666667</v>
      </c>
      <c r="AN227" s="181">
        <v>-4291666.666666667</v>
      </c>
      <c r="AO227" s="175">
        <f>SUM(Data_Dep.12[[#This Row],[KH_2601]:[KH_2612]])</f>
        <v>-51499999.999999993</v>
      </c>
      <c r="AP227" s="175">
        <f>Data_Dep.12[[#This Row],[Giá trị còn lại 31/12/25]]+Data_Dep.12[[#This Row],[KH LK 2026]]</f>
        <v>321875000</v>
      </c>
    </row>
    <row r="228" spans="1:42" x14ac:dyDescent="0.3">
      <c r="A228" s="169"/>
      <c r="B228" s="169"/>
      <c r="C228" s="170" t="s">
        <v>342</v>
      </c>
      <c r="D228" s="169" t="str">
        <f>_xlfn.XLOOKUP(Data_Dep.12[[#This Row],[Nhóm tài sản]],MD_Account_Asset_Type[Nhóm tài sản],MD_Account_Asset_Type[Tên Nhóm tài sản])</f>
        <v>Phương tiện vận tải , truyền dẫn - SX 627</v>
      </c>
      <c r="E228" s="171" t="s">
        <v>1081</v>
      </c>
      <c r="F228" s="170" t="s">
        <v>719</v>
      </c>
      <c r="G228" s="169" t="s">
        <v>830</v>
      </c>
      <c r="H228" s="170" t="s">
        <v>48</v>
      </c>
      <c r="I228" s="170" t="str">
        <f>_xlfn.XLOOKUP(Data_Dep.12[[#This Row],[Cost center]],MD_Cost_Center[Mã Cost Center],MD_Cost_Center[Tên Cost Center])</f>
        <v>Xưởng sản xuất PET</v>
      </c>
      <c r="J228" s="172">
        <f>_xlfn.XLOOKUP(Data_Dep.12[[#This Row],[Cost center]],MD_Cost_Center[Mã Cost Center],MD_Cost_Center[Work center],"Check")</f>
        <v>0</v>
      </c>
      <c r="K228" s="169" t="str">
        <f>_xlfn.XLOOKUP(Data_Dep.12[[#This Row],[Nhóm tài sản]],MD_Account_Asset_Type[Nhóm tài sản],MD_Account_Asset_Type[Tài khoản KH],"Check")</f>
        <v>6274001905</v>
      </c>
      <c r="L228" s="173">
        <v>45028</v>
      </c>
      <c r="M228" s="174">
        <f>EDATE(Data_Dep.12[[#This Row],[Ngày bắt đầu KH]],Data_Dep.12[[#This Row],[T/G Khấu hao]])</f>
        <v>48681</v>
      </c>
      <c r="N228" s="175">
        <v>120</v>
      </c>
      <c r="O228" s="175">
        <v>465000000</v>
      </c>
      <c r="P228" s="176">
        <v>-116250000</v>
      </c>
      <c r="Q228" s="175">
        <f>Data_Dep.12[[#This Row],[Nguyên giá]]+Data_Dep.12[[#This Row],[KH lũy kế]]</f>
        <v>348750000</v>
      </c>
      <c r="R228" s="177">
        <v>-3875000</v>
      </c>
      <c r="S228" s="177">
        <v>-3875000</v>
      </c>
      <c r="T228" s="177">
        <v>-3875000</v>
      </c>
      <c r="U228" s="177">
        <f>SUM(Data_Dep.12[[#This Row],[KH_2510]:[KH_2512]])</f>
        <v>-11625000</v>
      </c>
      <c r="V228" s="175">
        <f>Data_Dep.12[[#This Row],[Nguyên giá]]+Data_Dep.12[[#This Row],[KH lũy kế]]+Data_Dep.12[[#This Row],[KH_Q4.25]]</f>
        <v>337125000</v>
      </c>
      <c r="W228" s="178">
        <f>ROUND(Data_Dep.12[[#This Row],[T/G Khấu hao]]-Data_Dep.12[[#This Row],[Giá trị còn lại 31/12/25]]/Data_Dep.12[[#This Row],[Nguyên giá]]*Data_Dep.12[[#This Row],[T/G Khấu hao]],0)</f>
        <v>33</v>
      </c>
      <c r="X228" s="179">
        <v>0</v>
      </c>
      <c r="Y228" s="175">
        <f>Data_Dep.12[[#This Row],[T/G Khấu hao]]+Data_Dep.12[[#This Row],[Điều chỉnh]]</f>
        <v>120</v>
      </c>
      <c r="Z228" s="180">
        <f>EDATE(Data_Dep.12[[#This Row],[Ngày bắt đầu KH]],Data_Dep.12[[#This Row],[T/G điều chỉnh]])</f>
        <v>48681</v>
      </c>
      <c r="AA228" s="175">
        <f>Data_Dep.12[[#This Row],[T/G điều chỉnh]]-Data_Dep.12[[#This Row],[Số kỳ đã khấu hao]]</f>
        <v>87</v>
      </c>
      <c r="AB228" s="175">
        <f>IFERROR(-Data_Dep.12[[#This Row],[Giá trị còn lại 31/12/25]]/(Data_Dep.12[[#This Row],[T/G điều chỉnh]]-Data_Dep.12[[#This Row],[Số kỳ đã khấu hao]]),0)</f>
        <v>-3875000</v>
      </c>
      <c r="AC228" s="181">
        <v>-3875000</v>
      </c>
      <c r="AD228" s="181">
        <v>-3875000</v>
      </c>
      <c r="AE228" s="181">
        <v>-3875000</v>
      </c>
      <c r="AF228" s="181">
        <v>-3875000</v>
      </c>
      <c r="AG228" s="181">
        <v>-3875000</v>
      </c>
      <c r="AH228" s="181">
        <v>-3875000</v>
      </c>
      <c r="AI228" s="181">
        <v>-3875000</v>
      </c>
      <c r="AJ228" s="181">
        <v>-3875000</v>
      </c>
      <c r="AK228" s="181">
        <v>-3875000</v>
      </c>
      <c r="AL228" s="181">
        <v>-3875000</v>
      </c>
      <c r="AM228" s="181">
        <v>-3875000</v>
      </c>
      <c r="AN228" s="181">
        <v>-3875000</v>
      </c>
      <c r="AO228" s="175">
        <f>SUM(Data_Dep.12[[#This Row],[KH_2601]:[KH_2612]])</f>
        <v>-46500000</v>
      </c>
      <c r="AP228" s="175">
        <f>Data_Dep.12[[#This Row],[Giá trị còn lại 31/12/25]]+Data_Dep.12[[#This Row],[KH LK 2026]]</f>
        <v>290625000</v>
      </c>
    </row>
    <row r="229" spans="1:42" x14ac:dyDescent="0.3">
      <c r="A229" s="169"/>
      <c r="B229" s="169"/>
      <c r="C229" s="170" t="s">
        <v>342</v>
      </c>
      <c r="D229" s="169" t="str">
        <f>_xlfn.XLOOKUP(Data_Dep.12[[#This Row],[Nhóm tài sản]],MD_Account_Asset_Type[Nhóm tài sản],MD_Account_Asset_Type[Tên Nhóm tài sản])</f>
        <v>Phương tiện vận tải , truyền dẫn - SX 627</v>
      </c>
      <c r="E229" s="171" t="s">
        <v>1082</v>
      </c>
      <c r="F229" s="170" t="s">
        <v>720</v>
      </c>
      <c r="G229" s="169" t="s">
        <v>830</v>
      </c>
      <c r="H229" s="170" t="s">
        <v>48</v>
      </c>
      <c r="I229" s="170" t="str">
        <f>_xlfn.XLOOKUP(Data_Dep.12[[#This Row],[Cost center]],MD_Cost_Center[Mã Cost Center],MD_Cost_Center[Tên Cost Center])</f>
        <v>Xưởng sản xuất PET</v>
      </c>
      <c r="J229" s="172">
        <f>_xlfn.XLOOKUP(Data_Dep.12[[#This Row],[Cost center]],MD_Cost_Center[Mã Cost Center],MD_Cost_Center[Work center],"Check")</f>
        <v>0</v>
      </c>
      <c r="K229" s="169" t="str">
        <f>_xlfn.XLOOKUP(Data_Dep.12[[#This Row],[Nhóm tài sản]],MD_Account_Asset_Type[Nhóm tài sản],MD_Account_Asset_Type[Tài khoản KH],"Check")</f>
        <v>6274001905</v>
      </c>
      <c r="L229" s="173">
        <v>45028</v>
      </c>
      <c r="M229" s="174">
        <f>EDATE(Data_Dep.12[[#This Row],[Ngày bắt đầu KH]],Data_Dep.12[[#This Row],[T/G Khấu hao]])</f>
        <v>47220</v>
      </c>
      <c r="N229" s="175">
        <v>72</v>
      </c>
      <c r="O229" s="175">
        <v>465000000</v>
      </c>
      <c r="P229" s="176">
        <v>-193750000</v>
      </c>
      <c r="Q229" s="175">
        <f>Data_Dep.12[[#This Row],[Nguyên giá]]+Data_Dep.12[[#This Row],[KH lũy kế]]</f>
        <v>271250000</v>
      </c>
      <c r="R229" s="177">
        <v>-6458333</v>
      </c>
      <c r="S229" s="177">
        <v>-6458334</v>
      </c>
      <c r="T229" s="177">
        <v>-6458333</v>
      </c>
      <c r="U229" s="177">
        <f>SUM(Data_Dep.12[[#This Row],[KH_2510]:[KH_2512]])</f>
        <v>-19375000</v>
      </c>
      <c r="V229" s="175">
        <f>Data_Dep.12[[#This Row],[Nguyên giá]]+Data_Dep.12[[#This Row],[KH lũy kế]]+Data_Dep.12[[#This Row],[KH_Q4.25]]</f>
        <v>251875000</v>
      </c>
      <c r="W229" s="178">
        <f>ROUND(Data_Dep.12[[#This Row],[T/G Khấu hao]]-Data_Dep.12[[#This Row],[Giá trị còn lại 31/12/25]]/Data_Dep.12[[#This Row],[Nguyên giá]]*Data_Dep.12[[#This Row],[T/G Khấu hao]],0)</f>
        <v>33</v>
      </c>
      <c r="X229" s="179">
        <v>48</v>
      </c>
      <c r="Y229" s="175">
        <f>Data_Dep.12[[#This Row],[T/G Khấu hao]]+Data_Dep.12[[#This Row],[Điều chỉnh]]</f>
        <v>120</v>
      </c>
      <c r="Z229" s="180">
        <f>EDATE(Data_Dep.12[[#This Row],[Ngày bắt đầu KH]],Data_Dep.12[[#This Row],[T/G điều chỉnh]])</f>
        <v>48681</v>
      </c>
      <c r="AA229" s="175">
        <f>Data_Dep.12[[#This Row],[T/G điều chỉnh]]-Data_Dep.12[[#This Row],[Số kỳ đã khấu hao]]</f>
        <v>87</v>
      </c>
      <c r="AB229" s="175">
        <f>IFERROR(-Data_Dep.12[[#This Row],[Giá trị còn lại 31/12/25]]/(Data_Dep.12[[#This Row],[T/G điều chỉnh]]-Data_Dep.12[[#This Row],[Số kỳ đã khấu hao]]),0)</f>
        <v>-2895114.9425287358</v>
      </c>
      <c r="AC229" s="181">
        <v>-2895114.9425287358</v>
      </c>
      <c r="AD229" s="181">
        <v>-2895114.9425287358</v>
      </c>
      <c r="AE229" s="181">
        <v>-2895114.9425287358</v>
      </c>
      <c r="AF229" s="181">
        <v>-2895114.9425287358</v>
      </c>
      <c r="AG229" s="181">
        <v>-2895114.9425287358</v>
      </c>
      <c r="AH229" s="181">
        <v>-2895114.9425287358</v>
      </c>
      <c r="AI229" s="181">
        <v>-2895114.9425287358</v>
      </c>
      <c r="AJ229" s="181">
        <v>-2895114.9425287358</v>
      </c>
      <c r="AK229" s="181">
        <v>-2895114.9425287358</v>
      </c>
      <c r="AL229" s="181">
        <v>-2895114.9425287358</v>
      </c>
      <c r="AM229" s="181">
        <v>-2895114.9425287358</v>
      </c>
      <c r="AN229" s="181">
        <v>-2895114.9425287358</v>
      </c>
      <c r="AO229" s="175">
        <f>SUM(Data_Dep.12[[#This Row],[KH_2601]:[KH_2612]])</f>
        <v>-34741379.31034483</v>
      </c>
      <c r="AP229" s="175">
        <f>Data_Dep.12[[#This Row],[Giá trị còn lại 31/12/25]]+Data_Dep.12[[#This Row],[KH LK 2026]]</f>
        <v>217133620.68965518</v>
      </c>
    </row>
    <row r="230" spans="1:42" x14ac:dyDescent="0.3">
      <c r="A230" s="169"/>
      <c r="B230" s="169"/>
      <c r="C230" s="170" t="s">
        <v>342</v>
      </c>
      <c r="D230" s="169" t="str">
        <f>_xlfn.XLOOKUP(Data_Dep.12[[#This Row],[Nhóm tài sản]],MD_Account_Asset_Type[Nhóm tài sản],MD_Account_Asset_Type[Tên Nhóm tài sản])</f>
        <v>Phương tiện vận tải , truyền dẫn - SX 627</v>
      </c>
      <c r="E230" s="171" t="s">
        <v>1083</v>
      </c>
      <c r="F230" s="170" t="s">
        <v>721</v>
      </c>
      <c r="G230" s="169" t="s">
        <v>830</v>
      </c>
      <c r="H230" s="170" t="s">
        <v>48</v>
      </c>
      <c r="I230" s="170" t="str">
        <f>_xlfn.XLOOKUP(Data_Dep.12[[#This Row],[Cost center]],MD_Cost_Center[Mã Cost Center],MD_Cost_Center[Tên Cost Center])</f>
        <v>Xưởng sản xuất PET</v>
      </c>
      <c r="J230" s="172">
        <f>_xlfn.XLOOKUP(Data_Dep.12[[#This Row],[Cost center]],MD_Cost_Center[Mã Cost Center],MD_Cost_Center[Work center],"Check")</f>
        <v>0</v>
      </c>
      <c r="K230" s="169" t="str">
        <f>_xlfn.XLOOKUP(Data_Dep.12[[#This Row],[Nhóm tài sản]],MD_Account_Asset_Type[Nhóm tài sản],MD_Account_Asset_Type[Tài khoản KH],"Check")</f>
        <v>6274001905</v>
      </c>
      <c r="L230" s="173">
        <v>45028</v>
      </c>
      <c r="M230" s="174">
        <f>EDATE(Data_Dep.12[[#This Row],[Ngày bắt đầu KH]],Data_Dep.12[[#This Row],[T/G Khấu hao]])</f>
        <v>47220</v>
      </c>
      <c r="N230" s="175">
        <v>72</v>
      </c>
      <c r="O230" s="175">
        <v>515000000</v>
      </c>
      <c r="P230" s="176">
        <v>-214583333</v>
      </c>
      <c r="Q230" s="175">
        <f>Data_Dep.12[[#This Row],[Nguyên giá]]+Data_Dep.12[[#This Row],[KH lũy kế]]</f>
        <v>300416667</v>
      </c>
      <c r="R230" s="177">
        <v>-7152778</v>
      </c>
      <c r="S230" s="177">
        <v>-7152778</v>
      </c>
      <c r="T230" s="177">
        <v>-7152777</v>
      </c>
      <c r="U230" s="177">
        <f>SUM(Data_Dep.12[[#This Row],[KH_2510]:[KH_2512]])</f>
        <v>-21458333</v>
      </c>
      <c r="V230" s="175">
        <f>Data_Dep.12[[#This Row],[Nguyên giá]]+Data_Dep.12[[#This Row],[KH lũy kế]]+Data_Dep.12[[#This Row],[KH_Q4.25]]</f>
        <v>278958334</v>
      </c>
      <c r="W230" s="178">
        <f>ROUND(Data_Dep.12[[#This Row],[T/G Khấu hao]]-Data_Dep.12[[#This Row],[Giá trị còn lại 31/12/25]]/Data_Dep.12[[#This Row],[Nguyên giá]]*Data_Dep.12[[#This Row],[T/G Khấu hao]],0)</f>
        <v>33</v>
      </c>
      <c r="X230" s="179">
        <v>48</v>
      </c>
      <c r="Y230" s="175">
        <f>Data_Dep.12[[#This Row],[T/G Khấu hao]]+Data_Dep.12[[#This Row],[Điều chỉnh]]</f>
        <v>120</v>
      </c>
      <c r="Z230" s="180">
        <f>EDATE(Data_Dep.12[[#This Row],[Ngày bắt đầu KH]],Data_Dep.12[[#This Row],[T/G điều chỉnh]])</f>
        <v>48681</v>
      </c>
      <c r="AA230" s="175">
        <f>Data_Dep.12[[#This Row],[T/G điều chỉnh]]-Data_Dep.12[[#This Row],[Số kỳ đã khấu hao]]</f>
        <v>87</v>
      </c>
      <c r="AB230" s="175">
        <f>IFERROR(-Data_Dep.12[[#This Row],[Giá trị còn lại 31/12/25]]/(Data_Dep.12[[#This Row],[T/G điều chỉnh]]-Data_Dep.12[[#This Row],[Số kỳ đã khấu hao]]),0)</f>
        <v>-3206417.632183908</v>
      </c>
      <c r="AC230" s="181">
        <v>-3206417.632183908</v>
      </c>
      <c r="AD230" s="181">
        <v>-3206417.632183908</v>
      </c>
      <c r="AE230" s="181">
        <v>-3206417.632183908</v>
      </c>
      <c r="AF230" s="181">
        <v>-3206417.632183908</v>
      </c>
      <c r="AG230" s="181">
        <v>-3206417.632183908</v>
      </c>
      <c r="AH230" s="181">
        <v>-3206417.632183908</v>
      </c>
      <c r="AI230" s="181">
        <v>-3206417.632183908</v>
      </c>
      <c r="AJ230" s="181">
        <v>-3206417.632183908</v>
      </c>
      <c r="AK230" s="181">
        <v>-3206417.632183908</v>
      </c>
      <c r="AL230" s="181">
        <v>-3206417.632183908</v>
      </c>
      <c r="AM230" s="181">
        <v>-3206417.632183908</v>
      </c>
      <c r="AN230" s="181">
        <v>-3206417.632183908</v>
      </c>
      <c r="AO230" s="175">
        <f>SUM(Data_Dep.12[[#This Row],[KH_2601]:[KH_2612]])</f>
        <v>-38477011.586206906</v>
      </c>
      <c r="AP230" s="175">
        <f>Data_Dep.12[[#This Row],[Giá trị còn lại 31/12/25]]+Data_Dep.12[[#This Row],[KH LK 2026]]</f>
        <v>240481322.41379309</v>
      </c>
    </row>
    <row r="231" spans="1:42" x14ac:dyDescent="0.3">
      <c r="A231" s="169"/>
      <c r="B231" s="169"/>
      <c r="C231" s="170" t="s">
        <v>342</v>
      </c>
      <c r="D231" s="169" t="str">
        <f>_xlfn.XLOOKUP(Data_Dep.12[[#This Row],[Nhóm tài sản]],MD_Account_Asset_Type[Nhóm tài sản],MD_Account_Asset_Type[Tên Nhóm tài sản])</f>
        <v>Phương tiện vận tải , truyền dẫn - SX 627</v>
      </c>
      <c r="E231" s="171" t="s">
        <v>1084</v>
      </c>
      <c r="F231" s="170" t="s">
        <v>722</v>
      </c>
      <c r="G231" s="169" t="s">
        <v>502</v>
      </c>
      <c r="H231" s="170" t="s">
        <v>48</v>
      </c>
      <c r="I231" s="170" t="str">
        <f>_xlfn.XLOOKUP(Data_Dep.12[[#This Row],[Cost center]],MD_Cost_Center[Mã Cost Center],MD_Cost_Center[Tên Cost Center])</f>
        <v>Xưởng sản xuất PET</v>
      </c>
      <c r="J231" s="172">
        <f>_xlfn.XLOOKUP(Data_Dep.12[[#This Row],[Cost center]],MD_Cost_Center[Mã Cost Center],MD_Cost_Center[Work center],"Check")</f>
        <v>0</v>
      </c>
      <c r="K231" s="169" t="str">
        <f>_xlfn.XLOOKUP(Data_Dep.12[[#This Row],[Nhóm tài sản]],MD_Account_Asset_Type[Nhóm tài sản],MD_Account_Asset_Type[Tài khoản KH],"Check")</f>
        <v>6274001905</v>
      </c>
      <c r="L231" s="173">
        <v>45444</v>
      </c>
      <c r="M231" s="174">
        <f>EDATE(Data_Dep.12[[#This Row],[Ngày bắt đầu KH]],Data_Dep.12[[#This Row],[T/G Khấu hao]])</f>
        <v>47270</v>
      </c>
      <c r="N231" s="175">
        <v>60</v>
      </c>
      <c r="O231" s="175">
        <v>37962963</v>
      </c>
      <c r="P231" s="176">
        <v>-10123457</v>
      </c>
      <c r="Q231" s="175">
        <f>Data_Dep.12[[#This Row],[Nguyên giá]]+Data_Dep.12[[#This Row],[KH lũy kế]]</f>
        <v>27839506</v>
      </c>
      <c r="R231" s="177">
        <v>-632716</v>
      </c>
      <c r="S231" s="177">
        <v>-632716</v>
      </c>
      <c r="T231" s="177">
        <v>-632716</v>
      </c>
      <c r="U231" s="177">
        <f>SUM(Data_Dep.12[[#This Row],[KH_2510]:[KH_2512]])</f>
        <v>-1898148</v>
      </c>
      <c r="V231" s="175">
        <f>Data_Dep.12[[#This Row],[Nguyên giá]]+Data_Dep.12[[#This Row],[KH lũy kế]]+Data_Dep.12[[#This Row],[KH_Q4.25]]</f>
        <v>25941358</v>
      </c>
      <c r="W231" s="178">
        <f>ROUND(Data_Dep.12[[#This Row],[T/G Khấu hao]]-Data_Dep.12[[#This Row],[Giá trị còn lại 31/12/25]]/Data_Dep.12[[#This Row],[Nguyên giá]]*Data_Dep.12[[#This Row],[T/G Khấu hao]],0)</f>
        <v>19</v>
      </c>
      <c r="X231" s="179">
        <v>60</v>
      </c>
      <c r="Y231" s="175">
        <f>Data_Dep.12[[#This Row],[T/G Khấu hao]]+Data_Dep.12[[#This Row],[Điều chỉnh]]</f>
        <v>120</v>
      </c>
      <c r="Z231" s="180">
        <f>EDATE(Data_Dep.12[[#This Row],[Ngày bắt đầu KH]],Data_Dep.12[[#This Row],[T/G điều chỉnh]])</f>
        <v>49096</v>
      </c>
      <c r="AA231" s="175">
        <f>Data_Dep.12[[#This Row],[T/G điều chỉnh]]-Data_Dep.12[[#This Row],[Số kỳ đã khấu hao]]</f>
        <v>101</v>
      </c>
      <c r="AB231" s="175">
        <f>IFERROR(-Data_Dep.12[[#This Row],[Giá trị còn lại 31/12/25]]/(Data_Dep.12[[#This Row],[T/G điều chỉnh]]-Data_Dep.12[[#This Row],[Số kỳ đã khấu hao]]),0)</f>
        <v>-256845.12871287129</v>
      </c>
      <c r="AC231" s="181">
        <v>-256845.12871287129</v>
      </c>
      <c r="AD231" s="181">
        <v>-256845.12871287129</v>
      </c>
      <c r="AE231" s="181">
        <v>-256845.12871287129</v>
      </c>
      <c r="AF231" s="181">
        <v>-256845.12871287129</v>
      </c>
      <c r="AG231" s="181">
        <v>-256845.12871287129</v>
      </c>
      <c r="AH231" s="181">
        <v>-256845.12871287129</v>
      </c>
      <c r="AI231" s="181">
        <v>-256845.12871287129</v>
      </c>
      <c r="AJ231" s="181">
        <v>-256845.12871287129</v>
      </c>
      <c r="AK231" s="181">
        <v>-256845.12871287129</v>
      </c>
      <c r="AL231" s="181">
        <v>-256845.12871287129</v>
      </c>
      <c r="AM231" s="181">
        <v>-256845.12871287129</v>
      </c>
      <c r="AN231" s="181">
        <v>-256845.12871287129</v>
      </c>
      <c r="AO231" s="175">
        <f>SUM(Data_Dep.12[[#This Row],[KH_2601]:[KH_2612]])</f>
        <v>-3082141.5445544552</v>
      </c>
      <c r="AP231" s="175">
        <f>Data_Dep.12[[#This Row],[Giá trị còn lại 31/12/25]]+Data_Dep.12[[#This Row],[KH LK 2026]]</f>
        <v>22859216.455445543</v>
      </c>
    </row>
    <row r="232" spans="1:42" x14ac:dyDescent="0.3">
      <c r="A232" s="169"/>
      <c r="B232" s="169"/>
      <c r="C232" s="170" t="s">
        <v>342</v>
      </c>
      <c r="D232" s="169" t="str">
        <f>_xlfn.XLOOKUP(Data_Dep.12[[#This Row],[Nhóm tài sản]],MD_Account_Asset_Type[Nhóm tài sản],MD_Account_Asset_Type[Tên Nhóm tài sản])</f>
        <v>Phương tiện vận tải , truyền dẫn - SX 627</v>
      </c>
      <c r="E232" s="171" t="s">
        <v>1085</v>
      </c>
      <c r="F232" s="170" t="s">
        <v>723</v>
      </c>
      <c r="G232" s="169" t="s">
        <v>502</v>
      </c>
      <c r="H232" s="170" t="s">
        <v>48</v>
      </c>
      <c r="I232" s="170" t="str">
        <f>_xlfn.XLOOKUP(Data_Dep.12[[#This Row],[Cost center]],MD_Cost_Center[Mã Cost Center],MD_Cost_Center[Tên Cost Center])</f>
        <v>Xưởng sản xuất PET</v>
      </c>
      <c r="J232" s="172">
        <f>_xlfn.XLOOKUP(Data_Dep.12[[#This Row],[Cost center]],MD_Cost_Center[Mã Cost Center],MD_Cost_Center[Work center],"Check")</f>
        <v>0</v>
      </c>
      <c r="K232" s="169" t="str">
        <f>_xlfn.XLOOKUP(Data_Dep.12[[#This Row],[Nhóm tài sản]],MD_Account_Asset_Type[Nhóm tài sản],MD_Account_Asset_Type[Tài khoản KH],"Check")</f>
        <v>6274001905</v>
      </c>
      <c r="L232" s="173">
        <v>45444</v>
      </c>
      <c r="M232" s="174">
        <f>EDATE(Data_Dep.12[[#This Row],[Ngày bắt đầu KH]],Data_Dep.12[[#This Row],[T/G Khấu hao]])</f>
        <v>47270</v>
      </c>
      <c r="N232" s="175">
        <v>60</v>
      </c>
      <c r="O232" s="175">
        <v>37962963</v>
      </c>
      <c r="P232" s="176">
        <v>-10123457</v>
      </c>
      <c r="Q232" s="175">
        <f>Data_Dep.12[[#This Row],[Nguyên giá]]+Data_Dep.12[[#This Row],[KH lũy kế]]</f>
        <v>27839506</v>
      </c>
      <c r="R232" s="177">
        <v>-632716</v>
      </c>
      <c r="S232" s="177">
        <v>-632716</v>
      </c>
      <c r="T232" s="177">
        <v>-632716</v>
      </c>
      <c r="U232" s="177">
        <f>SUM(Data_Dep.12[[#This Row],[KH_2510]:[KH_2512]])</f>
        <v>-1898148</v>
      </c>
      <c r="V232" s="175">
        <f>Data_Dep.12[[#This Row],[Nguyên giá]]+Data_Dep.12[[#This Row],[KH lũy kế]]+Data_Dep.12[[#This Row],[KH_Q4.25]]</f>
        <v>25941358</v>
      </c>
      <c r="W232" s="178">
        <f>ROUND(Data_Dep.12[[#This Row],[T/G Khấu hao]]-Data_Dep.12[[#This Row],[Giá trị còn lại 31/12/25]]/Data_Dep.12[[#This Row],[Nguyên giá]]*Data_Dep.12[[#This Row],[T/G Khấu hao]],0)</f>
        <v>19</v>
      </c>
      <c r="X232" s="179">
        <v>60</v>
      </c>
      <c r="Y232" s="175">
        <f>Data_Dep.12[[#This Row],[T/G Khấu hao]]+Data_Dep.12[[#This Row],[Điều chỉnh]]</f>
        <v>120</v>
      </c>
      <c r="Z232" s="180">
        <f>EDATE(Data_Dep.12[[#This Row],[Ngày bắt đầu KH]],Data_Dep.12[[#This Row],[T/G điều chỉnh]])</f>
        <v>49096</v>
      </c>
      <c r="AA232" s="175">
        <f>Data_Dep.12[[#This Row],[T/G điều chỉnh]]-Data_Dep.12[[#This Row],[Số kỳ đã khấu hao]]</f>
        <v>101</v>
      </c>
      <c r="AB232" s="175">
        <f>IFERROR(-Data_Dep.12[[#This Row],[Giá trị còn lại 31/12/25]]/(Data_Dep.12[[#This Row],[T/G điều chỉnh]]-Data_Dep.12[[#This Row],[Số kỳ đã khấu hao]]),0)</f>
        <v>-256845.12871287129</v>
      </c>
      <c r="AC232" s="181">
        <v>-256845.12871287129</v>
      </c>
      <c r="AD232" s="181">
        <v>-256845.12871287129</v>
      </c>
      <c r="AE232" s="181">
        <v>-256845.12871287129</v>
      </c>
      <c r="AF232" s="181">
        <v>-256845.12871287129</v>
      </c>
      <c r="AG232" s="181">
        <v>-256845.12871287129</v>
      </c>
      <c r="AH232" s="181">
        <v>-256845.12871287129</v>
      </c>
      <c r="AI232" s="181">
        <v>-256845.12871287129</v>
      </c>
      <c r="AJ232" s="181">
        <v>-256845.12871287129</v>
      </c>
      <c r="AK232" s="181">
        <v>-256845.12871287129</v>
      </c>
      <c r="AL232" s="181">
        <v>-256845.12871287129</v>
      </c>
      <c r="AM232" s="181">
        <v>-256845.12871287129</v>
      </c>
      <c r="AN232" s="181">
        <v>-256845.12871287129</v>
      </c>
      <c r="AO232" s="175">
        <f>SUM(Data_Dep.12[[#This Row],[KH_2601]:[KH_2612]])</f>
        <v>-3082141.5445544552</v>
      </c>
      <c r="AP232" s="175">
        <f>Data_Dep.12[[#This Row],[Giá trị còn lại 31/12/25]]+Data_Dep.12[[#This Row],[KH LK 2026]]</f>
        <v>22859216.455445543</v>
      </c>
    </row>
    <row r="233" spans="1:42" x14ac:dyDescent="0.3">
      <c r="A233" s="169"/>
      <c r="B233" s="169"/>
      <c r="C233" s="170" t="s">
        <v>342</v>
      </c>
      <c r="D233" s="169" t="str">
        <f>_xlfn.XLOOKUP(Data_Dep.12[[#This Row],[Nhóm tài sản]],MD_Account_Asset_Type[Nhóm tài sản],MD_Account_Asset_Type[Tên Nhóm tài sản])</f>
        <v>Phương tiện vận tải , truyền dẫn - SX 627</v>
      </c>
      <c r="E233" s="171" t="s">
        <v>1086</v>
      </c>
      <c r="F233" s="170" t="s">
        <v>724</v>
      </c>
      <c r="G233" s="169" t="s">
        <v>502</v>
      </c>
      <c r="H233" s="170" t="s">
        <v>45</v>
      </c>
      <c r="I233" s="170" t="str">
        <f>_xlfn.XLOOKUP(Data_Dep.12[[#This Row],[Cost center]],MD_Cost_Center[Mã Cost Center],MD_Cost_Center[Tên Cost Center])</f>
        <v>Kỹ thuật</v>
      </c>
      <c r="J233" s="172">
        <f>_xlfn.XLOOKUP(Data_Dep.12[[#This Row],[Cost center]],MD_Cost_Center[Mã Cost Center],MD_Cost_Center[Work center],"Check")</f>
        <v>0</v>
      </c>
      <c r="K233" s="169" t="str">
        <f>_xlfn.XLOOKUP(Data_Dep.12[[#This Row],[Nhóm tài sản]],MD_Account_Asset_Type[Nhóm tài sản],MD_Account_Asset_Type[Tài khoản KH],"Check")</f>
        <v>6274001905</v>
      </c>
      <c r="L233" s="173">
        <v>45627</v>
      </c>
      <c r="M233" s="174">
        <f>EDATE(Data_Dep.12[[#This Row],[Ngày bắt đầu KH]],Data_Dep.12[[#This Row],[T/G Khấu hao]])</f>
        <v>47453</v>
      </c>
      <c r="N233" s="175">
        <v>60</v>
      </c>
      <c r="O233" s="175">
        <v>116500000</v>
      </c>
      <c r="P233" s="176">
        <v>-19416667</v>
      </c>
      <c r="Q233" s="175">
        <f>Data_Dep.12[[#This Row],[Nguyên giá]]+Data_Dep.12[[#This Row],[KH lũy kế]]</f>
        <v>97083333</v>
      </c>
      <c r="R233" s="177">
        <v>-1941667</v>
      </c>
      <c r="S233" s="177">
        <v>-1941666</v>
      </c>
      <c r="T233" s="177">
        <v>-1941667</v>
      </c>
      <c r="U233" s="177">
        <f>SUM(Data_Dep.12[[#This Row],[KH_2510]:[KH_2512]])</f>
        <v>-5825000</v>
      </c>
      <c r="V233" s="175">
        <f>Data_Dep.12[[#This Row],[Nguyên giá]]+Data_Dep.12[[#This Row],[KH lũy kế]]+Data_Dep.12[[#This Row],[KH_Q4.25]]</f>
        <v>91258333</v>
      </c>
      <c r="W233" s="178">
        <f>ROUND(Data_Dep.12[[#This Row],[T/G Khấu hao]]-Data_Dep.12[[#This Row],[Giá trị còn lại 31/12/25]]/Data_Dep.12[[#This Row],[Nguyên giá]]*Data_Dep.12[[#This Row],[T/G Khấu hao]],0)</f>
        <v>13</v>
      </c>
      <c r="X233" s="179">
        <v>60</v>
      </c>
      <c r="Y233" s="175">
        <f>Data_Dep.12[[#This Row],[T/G Khấu hao]]+Data_Dep.12[[#This Row],[Điều chỉnh]]</f>
        <v>120</v>
      </c>
      <c r="Z233" s="180">
        <f>EDATE(Data_Dep.12[[#This Row],[Ngày bắt đầu KH]],Data_Dep.12[[#This Row],[T/G điều chỉnh]])</f>
        <v>49279</v>
      </c>
      <c r="AA233" s="175">
        <f>Data_Dep.12[[#This Row],[T/G điều chỉnh]]-Data_Dep.12[[#This Row],[Số kỳ đã khấu hao]]</f>
        <v>107</v>
      </c>
      <c r="AB233" s="175">
        <f>IFERROR(-Data_Dep.12[[#This Row],[Giá trị còn lại 31/12/25]]/(Data_Dep.12[[#This Row],[T/G điều chỉnh]]-Data_Dep.12[[#This Row],[Số kỳ đã khấu hao]]),0)</f>
        <v>-852881.61682242993</v>
      </c>
      <c r="AC233" s="181">
        <v>-852881.61682242993</v>
      </c>
      <c r="AD233" s="181">
        <v>-852881.61682242993</v>
      </c>
      <c r="AE233" s="181">
        <v>-852881.61682242993</v>
      </c>
      <c r="AF233" s="181">
        <v>-852881.61682242993</v>
      </c>
      <c r="AG233" s="181">
        <v>-852881.61682242993</v>
      </c>
      <c r="AH233" s="181">
        <v>-852881.61682242993</v>
      </c>
      <c r="AI233" s="181">
        <v>-852881.61682242993</v>
      </c>
      <c r="AJ233" s="181">
        <v>-852881.61682242993</v>
      </c>
      <c r="AK233" s="181">
        <v>-852881.61682242993</v>
      </c>
      <c r="AL233" s="181">
        <v>-852881.61682242993</v>
      </c>
      <c r="AM233" s="181">
        <v>-852881.61682242993</v>
      </c>
      <c r="AN233" s="181">
        <v>-852881.61682242993</v>
      </c>
      <c r="AO233" s="175">
        <f>SUM(Data_Dep.12[[#This Row],[KH_2601]:[KH_2612]])</f>
        <v>-10234579.401869159</v>
      </c>
      <c r="AP233" s="175">
        <f>Data_Dep.12[[#This Row],[Giá trị còn lại 31/12/25]]+Data_Dep.12[[#This Row],[KH LK 2026]]</f>
        <v>81023753.598130837</v>
      </c>
    </row>
    <row r="234" spans="1:42" x14ac:dyDescent="0.3">
      <c r="A234" s="169"/>
      <c r="B234" s="169"/>
      <c r="C234" s="170" t="s">
        <v>342</v>
      </c>
      <c r="D234" s="169" t="str">
        <f>_xlfn.XLOOKUP(Data_Dep.12[[#This Row],[Nhóm tài sản]],MD_Account_Asset_Type[Nhóm tài sản],MD_Account_Asset_Type[Tên Nhóm tài sản])</f>
        <v>Phương tiện vận tải , truyền dẫn - SX 627</v>
      </c>
      <c r="E234" s="171" t="s">
        <v>1087</v>
      </c>
      <c r="F234" s="170" t="s">
        <v>725</v>
      </c>
      <c r="G234" s="169" t="s">
        <v>830</v>
      </c>
      <c r="H234" s="170" t="s">
        <v>48</v>
      </c>
      <c r="I234" s="170" t="str">
        <f>_xlfn.XLOOKUP(Data_Dep.12[[#This Row],[Cost center]],MD_Cost_Center[Mã Cost Center],MD_Cost_Center[Tên Cost Center])</f>
        <v>Xưởng sản xuất PET</v>
      </c>
      <c r="J234" s="172">
        <f>_xlfn.XLOOKUP(Data_Dep.12[[#This Row],[Cost center]],MD_Cost_Center[Mã Cost Center],MD_Cost_Center[Work center],"Check")</f>
        <v>0</v>
      </c>
      <c r="K234" s="169" t="str">
        <f>_xlfn.XLOOKUP(Data_Dep.12[[#This Row],[Nhóm tài sản]],MD_Account_Asset_Type[Nhóm tài sản],MD_Account_Asset_Type[Tài khoản KH],"Check")</f>
        <v>6274001905</v>
      </c>
      <c r="L234" s="173">
        <v>45748</v>
      </c>
      <c r="M234" s="174">
        <f>EDATE(Data_Dep.12[[#This Row],[Ngày bắt đầu KH]],Data_Dep.12[[#This Row],[T/G Khấu hao]])</f>
        <v>47574</v>
      </c>
      <c r="N234" s="175">
        <v>60</v>
      </c>
      <c r="O234" s="175">
        <v>290000000</v>
      </c>
      <c r="P234" s="176">
        <v>-29000000</v>
      </c>
      <c r="Q234" s="175">
        <f>Data_Dep.12[[#This Row],[Nguyên giá]]+Data_Dep.12[[#This Row],[KH lũy kế]]</f>
        <v>261000000</v>
      </c>
      <c r="R234" s="177">
        <v>-4833333</v>
      </c>
      <c r="S234" s="177">
        <v>-4833334</v>
      </c>
      <c r="T234" s="177">
        <v>-4833333</v>
      </c>
      <c r="U234" s="177">
        <f>SUM(Data_Dep.12[[#This Row],[KH_2510]:[KH_2512]])</f>
        <v>-14500000</v>
      </c>
      <c r="V234" s="175">
        <f>Data_Dep.12[[#This Row],[Nguyên giá]]+Data_Dep.12[[#This Row],[KH lũy kế]]+Data_Dep.12[[#This Row],[KH_Q4.25]]</f>
        <v>246500000</v>
      </c>
      <c r="W234" s="178">
        <f>ROUND(Data_Dep.12[[#This Row],[T/G Khấu hao]]-Data_Dep.12[[#This Row],[Giá trị còn lại 31/12/25]]/Data_Dep.12[[#This Row],[Nguyên giá]]*Data_Dep.12[[#This Row],[T/G Khấu hao]],0)</f>
        <v>9</v>
      </c>
      <c r="X234" s="179">
        <v>60</v>
      </c>
      <c r="Y234" s="175">
        <f>Data_Dep.12[[#This Row],[T/G Khấu hao]]+Data_Dep.12[[#This Row],[Điều chỉnh]]</f>
        <v>120</v>
      </c>
      <c r="Z234" s="180">
        <f>EDATE(Data_Dep.12[[#This Row],[Ngày bắt đầu KH]],Data_Dep.12[[#This Row],[T/G điều chỉnh]])</f>
        <v>49400</v>
      </c>
      <c r="AA234" s="175">
        <f>Data_Dep.12[[#This Row],[T/G điều chỉnh]]-Data_Dep.12[[#This Row],[Số kỳ đã khấu hao]]</f>
        <v>111</v>
      </c>
      <c r="AB234" s="175">
        <f>IFERROR(-Data_Dep.12[[#This Row],[Giá trị còn lại 31/12/25]]/(Data_Dep.12[[#This Row],[T/G điều chỉnh]]-Data_Dep.12[[#This Row],[Số kỳ đã khấu hao]]),0)</f>
        <v>-2220720.7207207209</v>
      </c>
      <c r="AC234" s="181">
        <v>-2220720.7207207209</v>
      </c>
      <c r="AD234" s="181">
        <v>-2220720.7207207209</v>
      </c>
      <c r="AE234" s="181">
        <v>-2220720.7207207209</v>
      </c>
      <c r="AF234" s="181">
        <v>-2220720.7207207209</v>
      </c>
      <c r="AG234" s="181">
        <v>-2220720.7207207209</v>
      </c>
      <c r="AH234" s="181">
        <v>-2220720.7207207209</v>
      </c>
      <c r="AI234" s="181">
        <v>-2220720.7207207209</v>
      </c>
      <c r="AJ234" s="181">
        <v>-2220720.7207207209</v>
      </c>
      <c r="AK234" s="181">
        <v>-2220720.7207207209</v>
      </c>
      <c r="AL234" s="181">
        <v>-2220720.7207207209</v>
      </c>
      <c r="AM234" s="181">
        <v>-2220720.7207207209</v>
      </c>
      <c r="AN234" s="181">
        <v>-2220720.7207207209</v>
      </c>
      <c r="AO234" s="175">
        <f>SUM(Data_Dep.12[[#This Row],[KH_2601]:[KH_2612]])</f>
        <v>-26648648.648648646</v>
      </c>
      <c r="AP234" s="175">
        <f>Data_Dep.12[[#This Row],[Giá trị còn lại 31/12/25]]+Data_Dep.12[[#This Row],[KH LK 2026]]</f>
        <v>219851351.35135135</v>
      </c>
    </row>
    <row r="235" spans="1:42" x14ac:dyDescent="0.3">
      <c r="A235" s="169"/>
      <c r="B235" s="169"/>
      <c r="C235" s="170" t="s">
        <v>342</v>
      </c>
      <c r="D235" s="169" t="str">
        <f>_xlfn.XLOOKUP(Data_Dep.12[[#This Row],[Nhóm tài sản]],MD_Account_Asset_Type[Nhóm tài sản],MD_Account_Asset_Type[Tên Nhóm tài sản])</f>
        <v>Phương tiện vận tải , truyền dẫn - SX 627</v>
      </c>
      <c r="E235" s="171" t="s">
        <v>1088</v>
      </c>
      <c r="F235" s="170" t="s">
        <v>726</v>
      </c>
      <c r="G235" s="169" t="s">
        <v>830</v>
      </c>
      <c r="H235" s="170" t="s">
        <v>46</v>
      </c>
      <c r="I235" s="170" t="str">
        <f>_xlfn.XLOOKUP(Data_Dep.12[[#This Row],[Cost center]],MD_Cost_Center[Mã Cost Center],MD_Cost_Center[Tên Cost Center])</f>
        <v>Kiểm soát chất lượng</v>
      </c>
      <c r="J235" s="172">
        <f>_xlfn.XLOOKUP(Data_Dep.12[[#This Row],[Cost center]],MD_Cost_Center[Mã Cost Center],MD_Cost_Center[Work center],"Check")</f>
        <v>0</v>
      </c>
      <c r="K235" s="169" t="str">
        <f>_xlfn.XLOOKUP(Data_Dep.12[[#This Row],[Nhóm tài sản]],MD_Account_Asset_Type[Nhóm tài sản],MD_Account_Asset_Type[Tài khoản KH],"Check")</f>
        <v>6274001905</v>
      </c>
      <c r="L235" s="173">
        <v>45839</v>
      </c>
      <c r="M235" s="174">
        <f>EDATE(Data_Dep.12[[#This Row],[Ngày bắt đầu KH]],Data_Dep.12[[#This Row],[T/G Khấu hao]])</f>
        <v>48030</v>
      </c>
      <c r="N235" s="175">
        <v>72</v>
      </c>
      <c r="O235" s="175">
        <v>70750000</v>
      </c>
      <c r="P235" s="176">
        <v>-2947917</v>
      </c>
      <c r="Q235" s="175">
        <f>Data_Dep.12[[#This Row],[Nguyên giá]]+Data_Dep.12[[#This Row],[KH lũy kế]]</f>
        <v>67802083</v>
      </c>
      <c r="R235" s="177">
        <v>-982639</v>
      </c>
      <c r="S235" s="177">
        <v>-982638</v>
      </c>
      <c r="T235" s="177">
        <v>-982639</v>
      </c>
      <c r="U235" s="177">
        <f>SUM(Data_Dep.12[[#This Row],[KH_2510]:[KH_2512]])</f>
        <v>-2947916</v>
      </c>
      <c r="V235" s="175">
        <f>Data_Dep.12[[#This Row],[Nguyên giá]]+Data_Dep.12[[#This Row],[KH lũy kế]]+Data_Dep.12[[#This Row],[KH_Q4.25]]</f>
        <v>64854167</v>
      </c>
      <c r="W235" s="178">
        <f>ROUND(Data_Dep.12[[#This Row],[T/G Khấu hao]]-Data_Dep.12[[#This Row],[Giá trị còn lại 31/12/25]]/Data_Dep.12[[#This Row],[Nguyên giá]]*Data_Dep.12[[#This Row],[T/G Khấu hao]],0)</f>
        <v>6</v>
      </c>
      <c r="X235" s="179">
        <v>48</v>
      </c>
      <c r="Y235" s="175">
        <f>Data_Dep.12[[#This Row],[T/G Khấu hao]]+Data_Dep.12[[#This Row],[Điều chỉnh]]</f>
        <v>120</v>
      </c>
      <c r="Z235" s="180">
        <f>EDATE(Data_Dep.12[[#This Row],[Ngày bắt đầu KH]],Data_Dep.12[[#This Row],[T/G điều chỉnh]])</f>
        <v>49491</v>
      </c>
      <c r="AA235" s="175">
        <f>Data_Dep.12[[#This Row],[T/G điều chỉnh]]-Data_Dep.12[[#This Row],[Số kỳ đã khấu hao]]</f>
        <v>114</v>
      </c>
      <c r="AB235" s="175">
        <f>IFERROR(-Data_Dep.12[[#This Row],[Giá trị còn lại 31/12/25]]/(Data_Dep.12[[#This Row],[T/G điều chỉnh]]-Data_Dep.12[[#This Row],[Số kỳ đã khấu hao]]),0)</f>
        <v>-568896.20175438595</v>
      </c>
      <c r="AC235" s="181">
        <v>-568896.20175438595</v>
      </c>
      <c r="AD235" s="181">
        <v>-568896.20175438595</v>
      </c>
      <c r="AE235" s="181">
        <v>-568896.20175438595</v>
      </c>
      <c r="AF235" s="181">
        <v>-568896.20175438595</v>
      </c>
      <c r="AG235" s="181">
        <v>-568896.20175438595</v>
      </c>
      <c r="AH235" s="181">
        <v>-568896.20175438595</v>
      </c>
      <c r="AI235" s="181">
        <v>-568896.20175438595</v>
      </c>
      <c r="AJ235" s="181">
        <v>-568896.20175438595</v>
      </c>
      <c r="AK235" s="181">
        <v>-568896.20175438595</v>
      </c>
      <c r="AL235" s="181">
        <v>-568896.20175438595</v>
      </c>
      <c r="AM235" s="181">
        <v>-568896.20175438595</v>
      </c>
      <c r="AN235" s="181">
        <v>-568896.20175438595</v>
      </c>
      <c r="AO235" s="175">
        <f>SUM(Data_Dep.12[[#This Row],[KH_2601]:[KH_2612]])</f>
        <v>-6826754.4210526301</v>
      </c>
      <c r="AP235" s="175">
        <f>Data_Dep.12[[#This Row],[Giá trị còn lại 31/12/25]]+Data_Dep.12[[#This Row],[KH LK 2026]]</f>
        <v>58027412.578947373</v>
      </c>
    </row>
    <row r="236" spans="1:42" x14ac:dyDescent="0.3">
      <c r="A236" s="169"/>
      <c r="B236" s="169"/>
      <c r="C236" s="170" t="s">
        <v>342</v>
      </c>
      <c r="D236" s="169" t="str">
        <f>_xlfn.XLOOKUP(Data_Dep.12[[#This Row],[Nhóm tài sản]],MD_Account_Asset_Type[Nhóm tài sản],MD_Account_Asset_Type[Tên Nhóm tài sản])</f>
        <v>Phương tiện vận tải , truyền dẫn - SX 627</v>
      </c>
      <c r="E236" s="171" t="s">
        <v>1089</v>
      </c>
      <c r="F236" s="170" t="s">
        <v>727</v>
      </c>
      <c r="G236" s="169" t="s">
        <v>830</v>
      </c>
      <c r="H236" s="170" t="s">
        <v>48</v>
      </c>
      <c r="I236" s="170" t="str">
        <f>_xlfn.XLOOKUP(Data_Dep.12[[#This Row],[Cost center]],MD_Cost_Center[Mã Cost Center],MD_Cost_Center[Tên Cost Center])</f>
        <v>Xưởng sản xuất PET</v>
      </c>
      <c r="J236" s="172">
        <f>_xlfn.XLOOKUP(Data_Dep.12[[#This Row],[Cost center]],MD_Cost_Center[Mã Cost Center],MD_Cost_Center[Work center],"Check")</f>
        <v>0</v>
      </c>
      <c r="K236" s="169" t="str">
        <f>_xlfn.XLOOKUP(Data_Dep.12[[#This Row],[Nhóm tài sản]],MD_Account_Asset_Type[Nhóm tài sản],MD_Account_Asset_Type[Tài khoản KH],"Check")</f>
        <v>6274001905</v>
      </c>
      <c r="L236" s="173">
        <v>45748</v>
      </c>
      <c r="M236" s="174">
        <f>EDATE(Data_Dep.12[[#This Row],[Ngày bắt đầu KH]],Data_Dep.12[[#This Row],[T/G Khấu hao]])</f>
        <v>47574</v>
      </c>
      <c r="N236" s="175">
        <v>60</v>
      </c>
      <c r="O236" s="175">
        <v>37962963</v>
      </c>
      <c r="P236" s="176">
        <v>-3796296</v>
      </c>
      <c r="Q236" s="175">
        <f>Data_Dep.12[[#This Row],[Nguyên giá]]+Data_Dep.12[[#This Row],[KH lũy kế]]</f>
        <v>34166667</v>
      </c>
      <c r="R236" s="177">
        <v>-632716</v>
      </c>
      <c r="S236" s="177">
        <v>-632716</v>
      </c>
      <c r="T236" s="177">
        <v>-632716</v>
      </c>
      <c r="U236" s="177">
        <f>SUM(Data_Dep.12[[#This Row],[KH_2510]:[KH_2512]])</f>
        <v>-1898148</v>
      </c>
      <c r="V236" s="175">
        <f>Data_Dep.12[[#This Row],[Nguyên giá]]+Data_Dep.12[[#This Row],[KH lũy kế]]+Data_Dep.12[[#This Row],[KH_Q4.25]]</f>
        <v>32268519</v>
      </c>
      <c r="W236" s="178">
        <f>ROUND(Data_Dep.12[[#This Row],[T/G Khấu hao]]-Data_Dep.12[[#This Row],[Giá trị còn lại 31/12/25]]/Data_Dep.12[[#This Row],[Nguyên giá]]*Data_Dep.12[[#This Row],[T/G Khấu hao]],0)</f>
        <v>9</v>
      </c>
      <c r="X236" s="179">
        <v>60</v>
      </c>
      <c r="Y236" s="175">
        <f>Data_Dep.12[[#This Row],[T/G Khấu hao]]+Data_Dep.12[[#This Row],[Điều chỉnh]]</f>
        <v>120</v>
      </c>
      <c r="Z236" s="180">
        <f>EDATE(Data_Dep.12[[#This Row],[Ngày bắt đầu KH]],Data_Dep.12[[#This Row],[T/G điều chỉnh]])</f>
        <v>49400</v>
      </c>
      <c r="AA236" s="175">
        <f>Data_Dep.12[[#This Row],[T/G điều chỉnh]]-Data_Dep.12[[#This Row],[Số kỳ đã khấu hao]]</f>
        <v>111</v>
      </c>
      <c r="AB236" s="175">
        <f>IFERROR(-Data_Dep.12[[#This Row],[Giá trị còn lại 31/12/25]]/(Data_Dep.12[[#This Row],[T/G điều chỉnh]]-Data_Dep.12[[#This Row],[Số kỳ đã khấu hao]]),0)</f>
        <v>-290707.3783783784</v>
      </c>
      <c r="AC236" s="181">
        <v>-290707.3783783784</v>
      </c>
      <c r="AD236" s="181">
        <v>-290707.3783783784</v>
      </c>
      <c r="AE236" s="181">
        <v>-290707.3783783784</v>
      </c>
      <c r="AF236" s="181">
        <v>-290707.3783783784</v>
      </c>
      <c r="AG236" s="181">
        <v>-290707.3783783784</v>
      </c>
      <c r="AH236" s="181">
        <v>-290707.3783783784</v>
      </c>
      <c r="AI236" s="181">
        <v>-290707.3783783784</v>
      </c>
      <c r="AJ236" s="181">
        <v>-290707.3783783784</v>
      </c>
      <c r="AK236" s="181">
        <v>-290707.3783783784</v>
      </c>
      <c r="AL236" s="181">
        <v>-290707.3783783784</v>
      </c>
      <c r="AM236" s="181">
        <v>-290707.3783783784</v>
      </c>
      <c r="AN236" s="181">
        <v>-290707.3783783784</v>
      </c>
      <c r="AO236" s="175">
        <f>SUM(Data_Dep.12[[#This Row],[KH_2601]:[KH_2612]])</f>
        <v>-3488488.5405405401</v>
      </c>
      <c r="AP236" s="175">
        <f>Data_Dep.12[[#This Row],[Giá trị còn lại 31/12/25]]+Data_Dep.12[[#This Row],[KH LK 2026]]</f>
        <v>28780030.459459461</v>
      </c>
    </row>
    <row r="237" spans="1:42" x14ac:dyDescent="0.3">
      <c r="A237" s="169"/>
      <c r="B237" s="169"/>
      <c r="C237" s="170" t="s">
        <v>342</v>
      </c>
      <c r="D237" s="169" t="str">
        <f>_xlfn.XLOOKUP(Data_Dep.12[[#This Row],[Nhóm tài sản]],MD_Account_Asset_Type[Nhóm tài sản],MD_Account_Asset_Type[Tên Nhóm tài sản])</f>
        <v>Phương tiện vận tải , truyền dẫn - SX 627</v>
      </c>
      <c r="E237" s="171" t="s">
        <v>1090</v>
      </c>
      <c r="F237" s="170" t="s">
        <v>728</v>
      </c>
      <c r="G237" s="169" t="s">
        <v>830</v>
      </c>
      <c r="H237" s="170" t="s">
        <v>91</v>
      </c>
      <c r="I237" s="170" t="str">
        <f>_xlfn.XLOOKUP(Data_Dep.12[[#This Row],[Cost center]],MD_Cost_Center[Mã Cost Center],MD_Cost_Center[Tên Cost Center])</f>
        <v>Xưởng sản xuất HDPE</v>
      </c>
      <c r="J237" s="172">
        <f>_xlfn.XLOOKUP(Data_Dep.12[[#This Row],[Cost center]],MD_Cost_Center[Mã Cost Center],MD_Cost_Center[Work center],"Check")</f>
        <v>0</v>
      </c>
      <c r="K237" s="169" t="str">
        <f>_xlfn.XLOOKUP(Data_Dep.12[[#This Row],[Nhóm tài sản]],MD_Account_Asset_Type[Nhóm tài sản],MD_Account_Asset_Type[Tài khoản KH],"Check")</f>
        <v>6274001905</v>
      </c>
      <c r="L237" s="173">
        <v>45778</v>
      </c>
      <c r="M237" s="174">
        <f>EDATE(Data_Dep.12[[#This Row],[Ngày bắt đầu KH]],Data_Dep.12[[#This Row],[T/G Khấu hao]])</f>
        <v>46874</v>
      </c>
      <c r="N237" s="175">
        <v>36</v>
      </c>
      <c r="O237" s="175">
        <v>37962963</v>
      </c>
      <c r="P237" s="176">
        <v>-5272634</v>
      </c>
      <c r="Q237" s="175">
        <f>Data_Dep.12[[#This Row],[Nguyên giá]]+Data_Dep.12[[#This Row],[KH lũy kế]]</f>
        <v>32690329</v>
      </c>
      <c r="R237" s="177">
        <v>-1054527</v>
      </c>
      <c r="S237" s="177">
        <v>-1054526</v>
      </c>
      <c r="T237" s="177">
        <v>-1054527</v>
      </c>
      <c r="U237" s="177">
        <f>SUM(Data_Dep.12[[#This Row],[KH_2510]:[KH_2512]])</f>
        <v>-3163580</v>
      </c>
      <c r="V237" s="175">
        <f>Data_Dep.12[[#This Row],[Nguyên giá]]+Data_Dep.12[[#This Row],[KH lũy kế]]+Data_Dep.12[[#This Row],[KH_Q4.25]]</f>
        <v>29526749</v>
      </c>
      <c r="W237" s="178">
        <f>ROUND(Data_Dep.12[[#This Row],[T/G Khấu hao]]-Data_Dep.12[[#This Row],[Giá trị còn lại 31/12/25]]/Data_Dep.12[[#This Row],[Nguyên giá]]*Data_Dep.12[[#This Row],[T/G Khấu hao]],0)</f>
        <v>8</v>
      </c>
      <c r="X237" s="179">
        <v>84</v>
      </c>
      <c r="Y237" s="175">
        <f>Data_Dep.12[[#This Row],[T/G Khấu hao]]+Data_Dep.12[[#This Row],[Điều chỉnh]]</f>
        <v>120</v>
      </c>
      <c r="Z237" s="180">
        <f>EDATE(Data_Dep.12[[#This Row],[Ngày bắt đầu KH]],Data_Dep.12[[#This Row],[T/G điều chỉnh]])</f>
        <v>49430</v>
      </c>
      <c r="AA237" s="175">
        <f>Data_Dep.12[[#This Row],[T/G điều chỉnh]]-Data_Dep.12[[#This Row],[Số kỳ đã khấu hao]]</f>
        <v>112</v>
      </c>
      <c r="AB237" s="175">
        <f>IFERROR(-Data_Dep.12[[#This Row],[Giá trị còn lại 31/12/25]]/(Data_Dep.12[[#This Row],[T/G điều chỉnh]]-Data_Dep.12[[#This Row],[Số kỳ đã khấu hao]]),0)</f>
        <v>-263631.6875</v>
      </c>
      <c r="AC237" s="181">
        <v>-263631.6875</v>
      </c>
      <c r="AD237" s="181">
        <v>-263631.6875</v>
      </c>
      <c r="AE237" s="181">
        <v>-263631.6875</v>
      </c>
      <c r="AF237" s="181">
        <v>-263631.6875</v>
      </c>
      <c r="AG237" s="181">
        <v>-263631.6875</v>
      </c>
      <c r="AH237" s="181">
        <v>-263631.6875</v>
      </c>
      <c r="AI237" s="181">
        <v>-263631.6875</v>
      </c>
      <c r="AJ237" s="181">
        <v>-263631.6875</v>
      </c>
      <c r="AK237" s="181">
        <v>-263631.6875</v>
      </c>
      <c r="AL237" s="181">
        <v>-263631.6875</v>
      </c>
      <c r="AM237" s="181">
        <v>-263631.6875</v>
      </c>
      <c r="AN237" s="181">
        <v>-263631.6875</v>
      </c>
      <c r="AO237" s="175">
        <f>SUM(Data_Dep.12[[#This Row],[KH_2601]:[KH_2612]])</f>
        <v>-3163580.25</v>
      </c>
      <c r="AP237" s="175">
        <f>Data_Dep.12[[#This Row],[Giá trị còn lại 31/12/25]]+Data_Dep.12[[#This Row],[KH LK 2026]]</f>
        <v>26363168.75</v>
      </c>
    </row>
    <row r="238" spans="1:42" x14ac:dyDescent="0.3">
      <c r="A238" s="169"/>
      <c r="B238" s="169"/>
      <c r="C238" s="170" t="s">
        <v>342</v>
      </c>
      <c r="D238" s="169" t="str">
        <f>_xlfn.XLOOKUP(Data_Dep.12[[#This Row],[Nhóm tài sản]],MD_Account_Asset_Type[Nhóm tài sản],MD_Account_Asset_Type[Tên Nhóm tài sản])</f>
        <v>Phương tiện vận tải , truyền dẫn - SX 627</v>
      </c>
      <c r="E238" s="171" t="s">
        <v>1091</v>
      </c>
      <c r="F238" s="170" t="s">
        <v>729</v>
      </c>
      <c r="G238" s="169" t="s">
        <v>830</v>
      </c>
      <c r="H238" s="170" t="s">
        <v>91</v>
      </c>
      <c r="I238" s="170" t="str">
        <f>_xlfn.XLOOKUP(Data_Dep.12[[#This Row],[Cost center]],MD_Cost_Center[Mã Cost Center],MD_Cost_Center[Tên Cost Center])</f>
        <v>Xưởng sản xuất HDPE</v>
      </c>
      <c r="J238" s="172">
        <f>_xlfn.XLOOKUP(Data_Dep.12[[#This Row],[Cost center]],MD_Cost_Center[Mã Cost Center],MD_Cost_Center[Work center],"Check")</f>
        <v>0</v>
      </c>
      <c r="K238" s="169" t="str">
        <f>_xlfn.XLOOKUP(Data_Dep.12[[#This Row],[Nhóm tài sản]],MD_Account_Asset_Type[Nhóm tài sản],MD_Account_Asset_Type[Tài khoản KH],"Check")</f>
        <v>6274001905</v>
      </c>
      <c r="L238" s="173">
        <v>45778</v>
      </c>
      <c r="M238" s="174">
        <f>EDATE(Data_Dep.12[[#This Row],[Ngày bắt đầu KH]],Data_Dep.12[[#This Row],[T/G Khấu hao]])</f>
        <v>46874</v>
      </c>
      <c r="N238" s="175">
        <v>36</v>
      </c>
      <c r="O238" s="175">
        <v>37962963</v>
      </c>
      <c r="P238" s="176">
        <v>-5272634</v>
      </c>
      <c r="Q238" s="175">
        <f>Data_Dep.12[[#This Row],[Nguyên giá]]+Data_Dep.12[[#This Row],[KH lũy kế]]</f>
        <v>32690329</v>
      </c>
      <c r="R238" s="177">
        <v>-1054527</v>
      </c>
      <c r="S238" s="177">
        <v>-1054526</v>
      </c>
      <c r="T238" s="177">
        <v>-1054527</v>
      </c>
      <c r="U238" s="177">
        <f>SUM(Data_Dep.12[[#This Row],[KH_2510]:[KH_2512]])</f>
        <v>-3163580</v>
      </c>
      <c r="V238" s="175">
        <f>Data_Dep.12[[#This Row],[Nguyên giá]]+Data_Dep.12[[#This Row],[KH lũy kế]]+Data_Dep.12[[#This Row],[KH_Q4.25]]</f>
        <v>29526749</v>
      </c>
      <c r="W238" s="178">
        <f>ROUND(Data_Dep.12[[#This Row],[T/G Khấu hao]]-Data_Dep.12[[#This Row],[Giá trị còn lại 31/12/25]]/Data_Dep.12[[#This Row],[Nguyên giá]]*Data_Dep.12[[#This Row],[T/G Khấu hao]],0)</f>
        <v>8</v>
      </c>
      <c r="X238" s="179">
        <v>84</v>
      </c>
      <c r="Y238" s="175">
        <f>Data_Dep.12[[#This Row],[T/G Khấu hao]]+Data_Dep.12[[#This Row],[Điều chỉnh]]</f>
        <v>120</v>
      </c>
      <c r="Z238" s="180">
        <f>EDATE(Data_Dep.12[[#This Row],[Ngày bắt đầu KH]],Data_Dep.12[[#This Row],[T/G điều chỉnh]])</f>
        <v>49430</v>
      </c>
      <c r="AA238" s="175">
        <f>Data_Dep.12[[#This Row],[T/G điều chỉnh]]-Data_Dep.12[[#This Row],[Số kỳ đã khấu hao]]</f>
        <v>112</v>
      </c>
      <c r="AB238" s="175">
        <f>IFERROR(-Data_Dep.12[[#This Row],[Giá trị còn lại 31/12/25]]/(Data_Dep.12[[#This Row],[T/G điều chỉnh]]-Data_Dep.12[[#This Row],[Số kỳ đã khấu hao]]),0)</f>
        <v>-263631.6875</v>
      </c>
      <c r="AC238" s="181">
        <v>-263631.6875</v>
      </c>
      <c r="AD238" s="181">
        <v>-263631.6875</v>
      </c>
      <c r="AE238" s="181">
        <v>-263631.6875</v>
      </c>
      <c r="AF238" s="181">
        <v>-263631.6875</v>
      </c>
      <c r="AG238" s="181">
        <v>-263631.6875</v>
      </c>
      <c r="AH238" s="181">
        <v>-263631.6875</v>
      </c>
      <c r="AI238" s="181">
        <v>-263631.6875</v>
      </c>
      <c r="AJ238" s="181">
        <v>-263631.6875</v>
      </c>
      <c r="AK238" s="181">
        <v>-263631.6875</v>
      </c>
      <c r="AL238" s="181">
        <v>-263631.6875</v>
      </c>
      <c r="AM238" s="181">
        <v>-263631.6875</v>
      </c>
      <c r="AN238" s="181">
        <v>-263631.6875</v>
      </c>
      <c r="AO238" s="175">
        <f>SUM(Data_Dep.12[[#This Row],[KH_2601]:[KH_2612]])</f>
        <v>-3163580.25</v>
      </c>
      <c r="AP238" s="175">
        <f>Data_Dep.12[[#This Row],[Giá trị còn lại 31/12/25]]+Data_Dep.12[[#This Row],[KH LK 2026]]</f>
        <v>26363168.75</v>
      </c>
    </row>
    <row r="239" spans="1:42" x14ac:dyDescent="0.3">
      <c r="A239" s="169"/>
      <c r="B239" s="169"/>
      <c r="C239" s="170" t="s">
        <v>342</v>
      </c>
      <c r="D239" s="169" t="str">
        <f>_xlfn.XLOOKUP(Data_Dep.12[[#This Row],[Nhóm tài sản]],MD_Account_Asset_Type[Nhóm tài sản],MD_Account_Asset_Type[Tên Nhóm tài sản])</f>
        <v>Phương tiện vận tải , truyền dẫn - SX 627</v>
      </c>
      <c r="E239" s="171" t="s">
        <v>1092</v>
      </c>
      <c r="F239" s="170" t="s">
        <v>730</v>
      </c>
      <c r="G239" s="169" t="s">
        <v>830</v>
      </c>
      <c r="H239" s="170" t="s">
        <v>48</v>
      </c>
      <c r="I239" s="170" t="str">
        <f>_xlfn.XLOOKUP(Data_Dep.12[[#This Row],[Cost center]],MD_Cost_Center[Mã Cost Center],MD_Cost_Center[Tên Cost Center])</f>
        <v>Xưởng sản xuất PET</v>
      </c>
      <c r="J239" s="172">
        <f>_xlfn.XLOOKUP(Data_Dep.12[[#This Row],[Cost center]],MD_Cost_Center[Mã Cost Center],MD_Cost_Center[Work center],"Check")</f>
        <v>0</v>
      </c>
      <c r="K239" s="169" t="str">
        <f>_xlfn.XLOOKUP(Data_Dep.12[[#This Row],[Nhóm tài sản]],MD_Account_Asset_Type[Nhóm tài sản],MD_Account_Asset_Type[Tài khoản KH],"Check")</f>
        <v>6274001905</v>
      </c>
      <c r="L239" s="173">
        <v>45839</v>
      </c>
      <c r="M239" s="174">
        <f>EDATE(Data_Dep.12[[#This Row],[Ngày bắt đầu KH]],Data_Dep.12[[#This Row],[T/G Khấu hao]])</f>
        <v>46935</v>
      </c>
      <c r="N239" s="175">
        <v>36</v>
      </c>
      <c r="O239" s="175">
        <v>37962963</v>
      </c>
      <c r="P239" s="176">
        <v>-3163580</v>
      </c>
      <c r="Q239" s="175">
        <f>Data_Dep.12[[#This Row],[Nguyên giá]]+Data_Dep.12[[#This Row],[KH lũy kế]]</f>
        <v>34799383</v>
      </c>
      <c r="R239" s="177">
        <v>-1054527</v>
      </c>
      <c r="S239" s="177">
        <v>-1054527</v>
      </c>
      <c r="T239" s="177">
        <v>-1054527</v>
      </c>
      <c r="U239" s="177">
        <f>SUM(Data_Dep.12[[#This Row],[KH_2510]:[KH_2512]])</f>
        <v>-3163581</v>
      </c>
      <c r="V239" s="175">
        <f>Data_Dep.12[[#This Row],[Nguyên giá]]+Data_Dep.12[[#This Row],[KH lũy kế]]+Data_Dep.12[[#This Row],[KH_Q4.25]]</f>
        <v>31635802</v>
      </c>
      <c r="W239" s="178">
        <f>ROUND(Data_Dep.12[[#This Row],[T/G Khấu hao]]-Data_Dep.12[[#This Row],[Giá trị còn lại 31/12/25]]/Data_Dep.12[[#This Row],[Nguyên giá]]*Data_Dep.12[[#This Row],[T/G Khấu hao]],0)</f>
        <v>6</v>
      </c>
      <c r="X239" s="179">
        <v>84</v>
      </c>
      <c r="Y239" s="175">
        <f>Data_Dep.12[[#This Row],[T/G Khấu hao]]+Data_Dep.12[[#This Row],[Điều chỉnh]]</f>
        <v>120</v>
      </c>
      <c r="Z239" s="180">
        <f>EDATE(Data_Dep.12[[#This Row],[Ngày bắt đầu KH]],Data_Dep.12[[#This Row],[T/G điều chỉnh]])</f>
        <v>49491</v>
      </c>
      <c r="AA239" s="175">
        <f>Data_Dep.12[[#This Row],[T/G điều chỉnh]]-Data_Dep.12[[#This Row],[Số kỳ đã khấu hao]]</f>
        <v>114</v>
      </c>
      <c r="AB239" s="175">
        <f>IFERROR(-Data_Dep.12[[#This Row],[Giá trị còn lại 31/12/25]]/(Data_Dep.12[[#This Row],[T/G điều chỉnh]]-Data_Dep.12[[#This Row],[Số kỳ đã khấu hao]]),0)</f>
        <v>-277507.03508771933</v>
      </c>
      <c r="AC239" s="181">
        <v>-277507.03508771933</v>
      </c>
      <c r="AD239" s="181">
        <v>-277507.03508771933</v>
      </c>
      <c r="AE239" s="181">
        <v>-277507.03508771933</v>
      </c>
      <c r="AF239" s="181">
        <v>-277507.03508771933</v>
      </c>
      <c r="AG239" s="181">
        <v>-277507.03508771933</v>
      </c>
      <c r="AH239" s="181">
        <v>-277507.03508771933</v>
      </c>
      <c r="AI239" s="181">
        <v>-277507.03508771933</v>
      </c>
      <c r="AJ239" s="181">
        <v>-277507.03508771933</v>
      </c>
      <c r="AK239" s="181">
        <v>-277507.03508771933</v>
      </c>
      <c r="AL239" s="181">
        <v>-277507.03508771933</v>
      </c>
      <c r="AM239" s="181">
        <v>-277507.03508771933</v>
      </c>
      <c r="AN239" s="181">
        <v>-277507.03508771933</v>
      </c>
      <c r="AO239" s="175">
        <f>SUM(Data_Dep.12[[#This Row],[KH_2601]:[KH_2612]])</f>
        <v>-3330084.4210526329</v>
      </c>
      <c r="AP239" s="175">
        <f>Data_Dep.12[[#This Row],[Giá trị còn lại 31/12/25]]+Data_Dep.12[[#This Row],[KH LK 2026]]</f>
        <v>28305717.578947365</v>
      </c>
    </row>
    <row r="240" spans="1:42" x14ac:dyDescent="0.3">
      <c r="A240" s="169"/>
      <c r="B240" s="169"/>
      <c r="C240" s="170" t="s">
        <v>342</v>
      </c>
      <c r="D240" s="169" t="str">
        <f>_xlfn.XLOOKUP(Data_Dep.12[[#This Row],[Nhóm tài sản]],MD_Account_Asset_Type[Nhóm tài sản],MD_Account_Asset_Type[Tên Nhóm tài sản])</f>
        <v>Phương tiện vận tải , truyền dẫn - SX 627</v>
      </c>
      <c r="E240" s="171" t="s">
        <v>1093</v>
      </c>
      <c r="F240" s="170" t="s">
        <v>731</v>
      </c>
      <c r="G240" s="169" t="s">
        <v>830</v>
      </c>
      <c r="H240" s="170" t="s">
        <v>48</v>
      </c>
      <c r="I240" s="170" t="str">
        <f>_xlfn.XLOOKUP(Data_Dep.12[[#This Row],[Cost center]],MD_Cost_Center[Mã Cost Center],MD_Cost_Center[Tên Cost Center])</f>
        <v>Xưởng sản xuất PET</v>
      </c>
      <c r="J240" s="172">
        <f>_xlfn.XLOOKUP(Data_Dep.12[[#This Row],[Cost center]],MD_Cost_Center[Mã Cost Center],MD_Cost_Center[Work center],"Check")</f>
        <v>0</v>
      </c>
      <c r="K240" s="169" t="str">
        <f>_xlfn.XLOOKUP(Data_Dep.12[[#This Row],[Nhóm tài sản]],MD_Account_Asset_Type[Nhóm tài sản],MD_Account_Asset_Type[Tài khoản KH],"Check")</f>
        <v>6274001905</v>
      </c>
      <c r="L240" s="173">
        <v>45839</v>
      </c>
      <c r="M240" s="174">
        <f>EDATE(Data_Dep.12[[#This Row],[Ngày bắt đầu KH]],Data_Dep.12[[#This Row],[T/G Khấu hao]])</f>
        <v>46935</v>
      </c>
      <c r="N240" s="175">
        <v>36</v>
      </c>
      <c r="O240" s="175">
        <v>37962963</v>
      </c>
      <c r="P240" s="176">
        <v>-3163580</v>
      </c>
      <c r="Q240" s="175">
        <f>Data_Dep.12[[#This Row],[Nguyên giá]]+Data_Dep.12[[#This Row],[KH lũy kế]]</f>
        <v>34799383</v>
      </c>
      <c r="R240" s="177">
        <v>-1054527</v>
      </c>
      <c r="S240" s="177">
        <v>-1054527</v>
      </c>
      <c r="T240" s="177">
        <v>-1054527</v>
      </c>
      <c r="U240" s="177">
        <f>SUM(Data_Dep.12[[#This Row],[KH_2510]:[KH_2512]])</f>
        <v>-3163581</v>
      </c>
      <c r="V240" s="175">
        <f>Data_Dep.12[[#This Row],[Nguyên giá]]+Data_Dep.12[[#This Row],[KH lũy kế]]+Data_Dep.12[[#This Row],[KH_Q4.25]]</f>
        <v>31635802</v>
      </c>
      <c r="W240" s="178">
        <f>ROUND(Data_Dep.12[[#This Row],[T/G Khấu hao]]-Data_Dep.12[[#This Row],[Giá trị còn lại 31/12/25]]/Data_Dep.12[[#This Row],[Nguyên giá]]*Data_Dep.12[[#This Row],[T/G Khấu hao]],0)</f>
        <v>6</v>
      </c>
      <c r="X240" s="179">
        <v>84</v>
      </c>
      <c r="Y240" s="175">
        <f>Data_Dep.12[[#This Row],[T/G Khấu hao]]+Data_Dep.12[[#This Row],[Điều chỉnh]]</f>
        <v>120</v>
      </c>
      <c r="Z240" s="180">
        <f>EDATE(Data_Dep.12[[#This Row],[Ngày bắt đầu KH]],Data_Dep.12[[#This Row],[T/G điều chỉnh]])</f>
        <v>49491</v>
      </c>
      <c r="AA240" s="175">
        <f>Data_Dep.12[[#This Row],[T/G điều chỉnh]]-Data_Dep.12[[#This Row],[Số kỳ đã khấu hao]]</f>
        <v>114</v>
      </c>
      <c r="AB240" s="175">
        <f>IFERROR(-Data_Dep.12[[#This Row],[Giá trị còn lại 31/12/25]]/(Data_Dep.12[[#This Row],[T/G điều chỉnh]]-Data_Dep.12[[#This Row],[Số kỳ đã khấu hao]]),0)</f>
        <v>-277507.03508771933</v>
      </c>
      <c r="AC240" s="181">
        <v>-277507.03508771933</v>
      </c>
      <c r="AD240" s="181">
        <v>-277507.03508771933</v>
      </c>
      <c r="AE240" s="181">
        <v>-277507.03508771933</v>
      </c>
      <c r="AF240" s="181">
        <v>-277507.03508771933</v>
      </c>
      <c r="AG240" s="181">
        <v>-277507.03508771933</v>
      </c>
      <c r="AH240" s="181">
        <v>-277507.03508771933</v>
      </c>
      <c r="AI240" s="181">
        <v>-277507.03508771933</v>
      </c>
      <c r="AJ240" s="181">
        <v>-277507.03508771933</v>
      </c>
      <c r="AK240" s="181">
        <v>-277507.03508771933</v>
      </c>
      <c r="AL240" s="181">
        <v>-277507.03508771933</v>
      </c>
      <c r="AM240" s="181">
        <v>-277507.03508771933</v>
      </c>
      <c r="AN240" s="181">
        <v>-277507.03508771933</v>
      </c>
      <c r="AO240" s="175">
        <f>SUM(Data_Dep.12[[#This Row],[KH_2601]:[KH_2612]])</f>
        <v>-3330084.4210526329</v>
      </c>
      <c r="AP240" s="175">
        <f>Data_Dep.12[[#This Row],[Giá trị còn lại 31/12/25]]+Data_Dep.12[[#This Row],[KH LK 2026]]</f>
        <v>28305717.578947365</v>
      </c>
    </row>
    <row r="241" spans="1:42" x14ac:dyDescent="0.3">
      <c r="A241" s="169"/>
      <c r="B241" s="169"/>
      <c r="C241" s="170" t="s">
        <v>342</v>
      </c>
      <c r="D241" s="169" t="str">
        <f>_xlfn.XLOOKUP(Data_Dep.12[[#This Row],[Nhóm tài sản]],MD_Account_Asset_Type[Nhóm tài sản],MD_Account_Asset_Type[Tên Nhóm tài sản])</f>
        <v>Phương tiện vận tải , truyền dẫn - SX 627</v>
      </c>
      <c r="E241" s="171" t="s">
        <v>1094</v>
      </c>
      <c r="F241" s="170" t="s">
        <v>732</v>
      </c>
      <c r="G241" s="169" t="s">
        <v>830</v>
      </c>
      <c r="H241" s="170" t="s">
        <v>48</v>
      </c>
      <c r="I241" s="170" t="str">
        <f>_xlfn.XLOOKUP(Data_Dep.12[[#This Row],[Cost center]],MD_Cost_Center[Mã Cost Center],MD_Cost_Center[Tên Cost Center])</f>
        <v>Xưởng sản xuất PET</v>
      </c>
      <c r="J241" s="172">
        <f>_xlfn.XLOOKUP(Data_Dep.12[[#This Row],[Cost center]],MD_Cost_Center[Mã Cost Center],MD_Cost_Center[Work center],"Check")</f>
        <v>0</v>
      </c>
      <c r="K241" s="169" t="str">
        <f>_xlfn.XLOOKUP(Data_Dep.12[[#This Row],[Nhóm tài sản]],MD_Account_Asset_Type[Nhóm tài sản],MD_Account_Asset_Type[Tài khoản KH],"Check")</f>
        <v>6274001905</v>
      </c>
      <c r="L241" s="173">
        <v>45839</v>
      </c>
      <c r="M241" s="174">
        <f>EDATE(Data_Dep.12[[#This Row],[Ngày bắt đầu KH]],Data_Dep.12[[#This Row],[T/G Khấu hao]])</f>
        <v>46935</v>
      </c>
      <c r="N241" s="175">
        <v>36</v>
      </c>
      <c r="O241" s="175">
        <v>39000000</v>
      </c>
      <c r="P241" s="176">
        <v>-3250000</v>
      </c>
      <c r="Q241" s="175">
        <f>Data_Dep.12[[#This Row],[Nguyên giá]]+Data_Dep.12[[#This Row],[KH lũy kế]]</f>
        <v>35750000</v>
      </c>
      <c r="R241" s="177">
        <v>-1083333</v>
      </c>
      <c r="S241" s="177">
        <v>-1083334</v>
      </c>
      <c r="T241" s="177">
        <v>-1083333</v>
      </c>
      <c r="U241" s="177">
        <f>SUM(Data_Dep.12[[#This Row],[KH_2510]:[KH_2512]])</f>
        <v>-3250000</v>
      </c>
      <c r="V241" s="175">
        <f>Data_Dep.12[[#This Row],[Nguyên giá]]+Data_Dep.12[[#This Row],[KH lũy kế]]+Data_Dep.12[[#This Row],[KH_Q4.25]]</f>
        <v>32500000</v>
      </c>
      <c r="W241" s="178">
        <f>ROUND(Data_Dep.12[[#This Row],[T/G Khấu hao]]-Data_Dep.12[[#This Row],[Giá trị còn lại 31/12/25]]/Data_Dep.12[[#This Row],[Nguyên giá]]*Data_Dep.12[[#This Row],[T/G Khấu hao]],0)</f>
        <v>6</v>
      </c>
      <c r="X241" s="179">
        <v>84</v>
      </c>
      <c r="Y241" s="175">
        <f>Data_Dep.12[[#This Row],[T/G Khấu hao]]+Data_Dep.12[[#This Row],[Điều chỉnh]]</f>
        <v>120</v>
      </c>
      <c r="Z241" s="180">
        <f>EDATE(Data_Dep.12[[#This Row],[Ngày bắt đầu KH]],Data_Dep.12[[#This Row],[T/G điều chỉnh]])</f>
        <v>49491</v>
      </c>
      <c r="AA241" s="175">
        <f>Data_Dep.12[[#This Row],[T/G điều chỉnh]]-Data_Dep.12[[#This Row],[Số kỳ đã khấu hao]]</f>
        <v>114</v>
      </c>
      <c r="AB241" s="175">
        <f>IFERROR(-Data_Dep.12[[#This Row],[Giá trị còn lại 31/12/25]]/(Data_Dep.12[[#This Row],[T/G điều chỉnh]]-Data_Dep.12[[#This Row],[Số kỳ đã khấu hao]]),0)</f>
        <v>-285087.71929824562</v>
      </c>
      <c r="AC241" s="181">
        <v>-285087.71929824562</v>
      </c>
      <c r="AD241" s="181">
        <v>-285087.71929824562</v>
      </c>
      <c r="AE241" s="181">
        <v>-285087.71929824562</v>
      </c>
      <c r="AF241" s="181">
        <v>-285087.71929824562</v>
      </c>
      <c r="AG241" s="181">
        <v>-285087.71929824562</v>
      </c>
      <c r="AH241" s="181">
        <v>-285087.71929824562</v>
      </c>
      <c r="AI241" s="181">
        <v>-285087.71929824562</v>
      </c>
      <c r="AJ241" s="181">
        <v>-285087.71929824562</v>
      </c>
      <c r="AK241" s="181">
        <v>-285087.71929824562</v>
      </c>
      <c r="AL241" s="181">
        <v>-285087.71929824562</v>
      </c>
      <c r="AM241" s="181">
        <v>-285087.71929824562</v>
      </c>
      <c r="AN241" s="181">
        <v>-285087.71929824562</v>
      </c>
      <c r="AO241" s="175">
        <f>SUM(Data_Dep.12[[#This Row],[KH_2601]:[KH_2612]])</f>
        <v>-3421052.6315789465</v>
      </c>
      <c r="AP241" s="175">
        <f>Data_Dep.12[[#This Row],[Giá trị còn lại 31/12/25]]+Data_Dep.12[[#This Row],[KH LK 2026]]</f>
        <v>29078947.368421055</v>
      </c>
    </row>
    <row r="242" spans="1:42" x14ac:dyDescent="0.3">
      <c r="A242" s="169"/>
      <c r="B242" s="169"/>
      <c r="C242" s="170" t="s">
        <v>347</v>
      </c>
      <c r="D242" s="169" t="str">
        <f>_xlfn.XLOOKUP(Data_Dep.12[[#This Row],[Nhóm tài sản]],MD_Account_Asset_Type[Nhóm tài sản],MD_Account_Asset_Type[Tên Nhóm tài sản])</f>
        <v>Thiết bị, dụng cụ quản lý - QL 642</v>
      </c>
      <c r="E242" s="171" t="s">
        <v>1114</v>
      </c>
      <c r="F242" s="170" t="s">
        <v>733</v>
      </c>
      <c r="G242" s="169" t="s">
        <v>830</v>
      </c>
      <c r="H242" s="170" t="s">
        <v>36</v>
      </c>
      <c r="I242" s="170" t="str">
        <f>_xlfn.XLOOKUP(Data_Dep.12[[#This Row],[Cost center]],MD_Cost_Center[Mã Cost Center],MD_Cost_Center[Tên Cost Center])</f>
        <v>Hành chánh nhân sự</v>
      </c>
      <c r="J242" s="172">
        <f>_xlfn.XLOOKUP(Data_Dep.12[[#This Row],[Cost center]],MD_Cost_Center[Mã Cost Center],MD_Cost_Center[Work center],"Check")</f>
        <v>0</v>
      </c>
      <c r="K242" s="169" t="str">
        <f>_xlfn.XLOOKUP(Data_Dep.12[[#This Row],[Nhóm tài sản]],MD_Account_Asset_Type[Nhóm tài sản],MD_Account_Asset_Type[Tài khoản KH],"Check")</f>
        <v>6424001904</v>
      </c>
      <c r="L242" s="173">
        <v>44699</v>
      </c>
      <c r="M242" s="174">
        <f>EDATE(Data_Dep.12[[#This Row],[Ngày bắt đầu KH]],Data_Dep.12[[#This Row],[T/G Khấu hao]])</f>
        <v>46525</v>
      </c>
      <c r="N242" s="175">
        <v>60</v>
      </c>
      <c r="O242" s="175">
        <v>35838000</v>
      </c>
      <c r="P242" s="176">
        <v>-24489300</v>
      </c>
      <c r="Q242" s="175">
        <f>Data_Dep.12[[#This Row],[Nguyên giá]]+Data_Dep.12[[#This Row],[KH lũy kế]]</f>
        <v>11348700</v>
      </c>
      <c r="R242" s="177">
        <v>-597300</v>
      </c>
      <c r="S242" s="177">
        <v>-597300</v>
      </c>
      <c r="T242" s="177">
        <v>-597300</v>
      </c>
      <c r="U242" s="177">
        <f>SUM(Data_Dep.12[[#This Row],[KH_2510]:[KH_2512]])</f>
        <v>-1791900</v>
      </c>
      <c r="V242" s="175">
        <f>Data_Dep.12[[#This Row],[Nguyên giá]]+Data_Dep.12[[#This Row],[KH lũy kế]]+Data_Dep.12[[#This Row],[KH_Q4.25]]</f>
        <v>9556800</v>
      </c>
      <c r="W242" s="178">
        <f>ROUND(Data_Dep.12[[#This Row],[T/G Khấu hao]]-Data_Dep.12[[#This Row],[Giá trị còn lại 31/12/25]]/Data_Dep.12[[#This Row],[Nguyên giá]]*Data_Dep.12[[#This Row],[T/G Khấu hao]],0)</f>
        <v>44</v>
      </c>
      <c r="X242" s="179">
        <v>60</v>
      </c>
      <c r="Y242" s="175">
        <f>Data_Dep.12[[#This Row],[T/G Khấu hao]]+Data_Dep.12[[#This Row],[Điều chỉnh]]</f>
        <v>120</v>
      </c>
      <c r="Z242" s="180">
        <f>EDATE(Data_Dep.12[[#This Row],[Ngày bắt đầu KH]],Data_Dep.12[[#This Row],[T/G điều chỉnh]])</f>
        <v>48352</v>
      </c>
      <c r="AA242" s="175">
        <f>Data_Dep.12[[#This Row],[T/G điều chỉnh]]-Data_Dep.12[[#This Row],[Số kỳ đã khấu hao]]</f>
        <v>76</v>
      </c>
      <c r="AB242" s="175">
        <f>IFERROR(-Data_Dep.12[[#This Row],[Giá trị còn lại 31/12/25]]/(Data_Dep.12[[#This Row],[T/G điều chỉnh]]-Data_Dep.12[[#This Row],[Số kỳ đã khấu hao]]),0)</f>
        <v>-125747.36842105263</v>
      </c>
      <c r="AC242" s="181">
        <v>-125747.36842105263</v>
      </c>
      <c r="AD242" s="181">
        <v>-125747.36842105263</v>
      </c>
      <c r="AE242" s="181">
        <v>-125747.36842105263</v>
      </c>
      <c r="AF242" s="181">
        <v>-125747.36842105263</v>
      </c>
      <c r="AG242" s="181">
        <v>-125747.36842105263</v>
      </c>
      <c r="AH242" s="181">
        <v>-125747.36842105263</v>
      </c>
      <c r="AI242" s="181">
        <v>-125747.36842105263</v>
      </c>
      <c r="AJ242" s="181">
        <v>-125747.36842105263</v>
      </c>
      <c r="AK242" s="181">
        <v>-125747.36842105263</v>
      </c>
      <c r="AL242" s="181">
        <v>-125747.36842105263</v>
      </c>
      <c r="AM242" s="181">
        <v>-125747.36842105263</v>
      </c>
      <c r="AN242" s="181">
        <v>-125747.36842105263</v>
      </c>
      <c r="AO242" s="175">
        <f>SUM(Data_Dep.12[[#This Row],[KH_2601]:[KH_2612]])</f>
        <v>-1508968.4210526312</v>
      </c>
      <c r="AP242" s="175">
        <f>Data_Dep.12[[#This Row],[Giá trị còn lại 31/12/25]]+Data_Dep.12[[#This Row],[KH LK 2026]]</f>
        <v>8047831.578947369</v>
      </c>
    </row>
    <row r="243" spans="1:42" x14ac:dyDescent="0.3">
      <c r="A243" s="169"/>
      <c r="B243" s="169"/>
      <c r="C243" s="170" t="s">
        <v>347</v>
      </c>
      <c r="D243" s="169" t="str">
        <f>_xlfn.XLOOKUP(Data_Dep.12[[#This Row],[Nhóm tài sản]],MD_Account_Asset_Type[Nhóm tài sản],MD_Account_Asset_Type[Tên Nhóm tài sản])</f>
        <v>Thiết bị, dụng cụ quản lý - QL 642</v>
      </c>
      <c r="E243" s="171" t="s">
        <v>1119</v>
      </c>
      <c r="F243" s="170" t="s">
        <v>734</v>
      </c>
      <c r="G243" s="169" t="s">
        <v>830</v>
      </c>
      <c r="H243" s="170" t="s">
        <v>36</v>
      </c>
      <c r="I243" s="170" t="str">
        <f>_xlfn.XLOOKUP(Data_Dep.12[[#This Row],[Cost center]],MD_Cost_Center[Mã Cost Center],MD_Cost_Center[Tên Cost Center])</f>
        <v>Hành chánh nhân sự</v>
      </c>
      <c r="J243" s="172">
        <f>_xlfn.XLOOKUP(Data_Dep.12[[#This Row],[Cost center]],MD_Cost_Center[Mã Cost Center],MD_Cost_Center[Work center],"Check")</f>
        <v>0</v>
      </c>
      <c r="K243" s="169" t="str">
        <f>_xlfn.XLOOKUP(Data_Dep.12[[#This Row],[Nhóm tài sản]],MD_Account_Asset_Type[Nhóm tài sản],MD_Account_Asset_Type[Tài khoản KH],"Check")</f>
        <v>6424001904</v>
      </c>
      <c r="L243" s="173">
        <v>45017</v>
      </c>
      <c r="M243" s="174">
        <f>EDATE(Data_Dep.12[[#This Row],[Ngày bắt đầu KH]],Data_Dep.12[[#This Row],[T/G Khấu hao]])</f>
        <v>46113</v>
      </c>
      <c r="N243" s="175">
        <v>36</v>
      </c>
      <c r="O243" s="175">
        <v>110306000</v>
      </c>
      <c r="P243" s="176">
        <v>-91921667</v>
      </c>
      <c r="Q243" s="175">
        <f>Data_Dep.12[[#This Row],[Nguyên giá]]+Data_Dep.12[[#This Row],[KH lũy kế]]</f>
        <v>18384333</v>
      </c>
      <c r="R243" s="177">
        <v>-3064055</v>
      </c>
      <c r="S243" s="177">
        <v>-3064056</v>
      </c>
      <c r="T243" s="177">
        <v>-3064055</v>
      </c>
      <c r="U243" s="177">
        <f>SUM(Data_Dep.12[[#This Row],[KH_2510]:[KH_2512]])</f>
        <v>-9192166</v>
      </c>
      <c r="V243" s="175">
        <f>Data_Dep.12[[#This Row],[Nguyên giá]]+Data_Dep.12[[#This Row],[KH lũy kế]]+Data_Dep.12[[#This Row],[KH_Q4.25]]</f>
        <v>9192167</v>
      </c>
      <c r="W243" s="178">
        <f>ROUND(Data_Dep.12[[#This Row],[T/G Khấu hao]]-Data_Dep.12[[#This Row],[Giá trị còn lại 31/12/25]]/Data_Dep.12[[#This Row],[Nguyên giá]]*Data_Dep.12[[#This Row],[T/G Khấu hao]],0)</f>
        <v>33</v>
      </c>
      <c r="X243" s="179">
        <v>84</v>
      </c>
      <c r="Y243" s="175">
        <f>Data_Dep.12[[#This Row],[T/G Khấu hao]]+Data_Dep.12[[#This Row],[Điều chỉnh]]</f>
        <v>120</v>
      </c>
      <c r="Z243" s="180">
        <f>EDATE(Data_Dep.12[[#This Row],[Ngày bắt đầu KH]],Data_Dep.12[[#This Row],[T/G điều chỉnh]])</f>
        <v>48670</v>
      </c>
      <c r="AA243" s="175">
        <f>Data_Dep.12[[#This Row],[T/G điều chỉnh]]-Data_Dep.12[[#This Row],[Số kỳ đã khấu hao]]</f>
        <v>87</v>
      </c>
      <c r="AB243" s="175">
        <f>IFERROR(-Data_Dep.12[[#This Row],[Giá trị còn lại 31/12/25]]/(Data_Dep.12[[#This Row],[T/G điều chỉnh]]-Data_Dep.12[[#This Row],[Số kỳ đã khấu hao]]),0)</f>
        <v>-105657.091954023</v>
      </c>
      <c r="AC243" s="181">
        <v>-105657.091954023</v>
      </c>
      <c r="AD243" s="181">
        <v>-105657.091954023</v>
      </c>
      <c r="AE243" s="181">
        <v>-105657.091954023</v>
      </c>
      <c r="AF243" s="181">
        <v>-105657.091954023</v>
      </c>
      <c r="AG243" s="181">
        <v>-105657.091954023</v>
      </c>
      <c r="AH243" s="181">
        <v>-105657.091954023</v>
      </c>
      <c r="AI243" s="181">
        <v>-105657.091954023</v>
      </c>
      <c r="AJ243" s="181">
        <v>-105657.091954023</v>
      </c>
      <c r="AK243" s="181">
        <v>-105657.091954023</v>
      </c>
      <c r="AL243" s="181">
        <v>-105657.091954023</v>
      </c>
      <c r="AM243" s="181">
        <v>-105657.091954023</v>
      </c>
      <c r="AN243" s="181">
        <v>-105657.091954023</v>
      </c>
      <c r="AO243" s="175">
        <f>SUM(Data_Dep.12[[#This Row],[KH_2601]:[KH_2612]])</f>
        <v>-1267885.1034482759</v>
      </c>
      <c r="AP243" s="175">
        <f>Data_Dep.12[[#This Row],[Giá trị còn lại 31/12/25]]+Data_Dep.12[[#This Row],[KH LK 2026]]</f>
        <v>7924281.8965517245</v>
      </c>
    </row>
    <row r="244" spans="1:42" x14ac:dyDescent="0.3">
      <c r="A244" s="169"/>
      <c r="B244" s="169"/>
      <c r="C244" s="170" t="s">
        <v>347</v>
      </c>
      <c r="D244" s="169" t="str">
        <f>_xlfn.XLOOKUP(Data_Dep.12[[#This Row],[Nhóm tài sản]],MD_Account_Asset_Type[Nhóm tài sản],MD_Account_Asset_Type[Tên Nhóm tài sản])</f>
        <v>Thiết bị, dụng cụ quản lý - QL 642</v>
      </c>
      <c r="E244" s="171" t="s">
        <v>1120</v>
      </c>
      <c r="F244" s="170" t="s">
        <v>735</v>
      </c>
      <c r="G244" s="169" t="s">
        <v>502</v>
      </c>
      <c r="H244" s="170" t="s">
        <v>36</v>
      </c>
      <c r="I244" s="170" t="str">
        <f>_xlfn.XLOOKUP(Data_Dep.12[[#This Row],[Cost center]],MD_Cost_Center[Mã Cost Center],MD_Cost_Center[Tên Cost Center])</f>
        <v>Hành chánh nhân sự</v>
      </c>
      <c r="J244" s="172">
        <f>_xlfn.XLOOKUP(Data_Dep.12[[#This Row],[Cost center]],MD_Cost_Center[Mã Cost Center],MD_Cost_Center[Work center],"Check")</f>
        <v>0</v>
      </c>
      <c r="K244" s="169" t="str">
        <f>_xlfn.XLOOKUP(Data_Dep.12[[#This Row],[Nhóm tài sản]],MD_Account_Asset_Type[Nhóm tài sản],MD_Account_Asset_Type[Tài khoản KH],"Check")</f>
        <v>6424001904</v>
      </c>
      <c r="L244" s="173">
        <v>45748</v>
      </c>
      <c r="M244" s="174">
        <f>EDATE(Data_Dep.12[[#This Row],[Ngày bắt đầu KH]],Data_Dep.12[[#This Row],[T/G Khấu hao]])</f>
        <v>47574</v>
      </c>
      <c r="N244" s="175">
        <v>60</v>
      </c>
      <c r="O244" s="175">
        <v>34926000</v>
      </c>
      <c r="P244" s="176">
        <v>-3492600</v>
      </c>
      <c r="Q244" s="175">
        <f>Data_Dep.12[[#This Row],[Nguyên giá]]+Data_Dep.12[[#This Row],[KH lũy kế]]</f>
        <v>31433400</v>
      </c>
      <c r="R244" s="177">
        <v>-582100</v>
      </c>
      <c r="S244" s="177">
        <v>-582100</v>
      </c>
      <c r="T244" s="177">
        <v>-582100</v>
      </c>
      <c r="U244" s="177">
        <f>SUM(Data_Dep.12[[#This Row],[KH_2510]:[KH_2512]])</f>
        <v>-1746300</v>
      </c>
      <c r="V244" s="175">
        <f>Data_Dep.12[[#This Row],[Nguyên giá]]+Data_Dep.12[[#This Row],[KH lũy kế]]+Data_Dep.12[[#This Row],[KH_Q4.25]]</f>
        <v>29687100</v>
      </c>
      <c r="W244" s="178">
        <f>ROUND(Data_Dep.12[[#This Row],[T/G Khấu hao]]-Data_Dep.12[[#This Row],[Giá trị còn lại 31/12/25]]/Data_Dep.12[[#This Row],[Nguyên giá]]*Data_Dep.12[[#This Row],[T/G Khấu hao]],0)</f>
        <v>9</v>
      </c>
      <c r="X244" s="179">
        <v>60</v>
      </c>
      <c r="Y244" s="175">
        <f>Data_Dep.12[[#This Row],[T/G Khấu hao]]+Data_Dep.12[[#This Row],[Điều chỉnh]]</f>
        <v>120</v>
      </c>
      <c r="Z244" s="180">
        <f>EDATE(Data_Dep.12[[#This Row],[Ngày bắt đầu KH]],Data_Dep.12[[#This Row],[T/G điều chỉnh]])</f>
        <v>49400</v>
      </c>
      <c r="AA244" s="175">
        <f>Data_Dep.12[[#This Row],[T/G điều chỉnh]]-Data_Dep.12[[#This Row],[Số kỳ đã khấu hao]]</f>
        <v>111</v>
      </c>
      <c r="AB244" s="175">
        <f>IFERROR(-Data_Dep.12[[#This Row],[Giá trị còn lại 31/12/25]]/(Data_Dep.12[[#This Row],[T/G điều chỉnh]]-Data_Dep.12[[#This Row],[Số kỳ đã khấu hao]]),0)</f>
        <v>-267451.35135135136</v>
      </c>
      <c r="AC244" s="181">
        <v>-267451.35135135136</v>
      </c>
      <c r="AD244" s="181">
        <v>-267451.35135135136</v>
      </c>
      <c r="AE244" s="181">
        <v>-267451.35135135136</v>
      </c>
      <c r="AF244" s="181">
        <v>-267451.35135135136</v>
      </c>
      <c r="AG244" s="181">
        <v>-267451.35135135136</v>
      </c>
      <c r="AH244" s="181">
        <v>-267451.35135135136</v>
      </c>
      <c r="AI244" s="181">
        <v>-267451.35135135136</v>
      </c>
      <c r="AJ244" s="181">
        <v>-267451.35135135136</v>
      </c>
      <c r="AK244" s="181">
        <v>-267451.35135135136</v>
      </c>
      <c r="AL244" s="181">
        <v>-267451.35135135136</v>
      </c>
      <c r="AM244" s="181">
        <v>-267451.35135135136</v>
      </c>
      <c r="AN244" s="181">
        <v>-267451.35135135136</v>
      </c>
      <c r="AO244" s="175">
        <f>SUM(Data_Dep.12[[#This Row],[KH_2601]:[KH_2612]])</f>
        <v>-3209416.2162162173</v>
      </c>
      <c r="AP244" s="175">
        <f>Data_Dep.12[[#This Row],[Giá trị còn lại 31/12/25]]+Data_Dep.12[[#This Row],[KH LK 2026]]</f>
        <v>26477683.783783782</v>
      </c>
    </row>
    <row r="245" spans="1:42" x14ac:dyDescent="0.3">
      <c r="A245" s="169"/>
      <c r="B245" s="169"/>
      <c r="C245" s="170" t="s">
        <v>347</v>
      </c>
      <c r="D245" s="169" t="str">
        <f>_xlfn.XLOOKUP(Data_Dep.12[[#This Row],[Nhóm tài sản]],MD_Account_Asset_Type[Nhóm tài sản],MD_Account_Asset_Type[Tên Nhóm tài sản])</f>
        <v>Thiết bị, dụng cụ quản lý - QL 642</v>
      </c>
      <c r="E245" s="171" t="s">
        <v>1121</v>
      </c>
      <c r="F245" s="170" t="s">
        <v>736</v>
      </c>
      <c r="G245" s="169" t="s">
        <v>830</v>
      </c>
      <c r="H245" s="170" t="s">
        <v>36</v>
      </c>
      <c r="I245" s="170" t="str">
        <f>_xlfn.XLOOKUP(Data_Dep.12[[#This Row],[Cost center]],MD_Cost_Center[Mã Cost Center],MD_Cost_Center[Tên Cost Center])</f>
        <v>Hành chánh nhân sự</v>
      </c>
      <c r="J245" s="172">
        <f>_xlfn.XLOOKUP(Data_Dep.12[[#This Row],[Cost center]],MD_Cost_Center[Mã Cost Center],MD_Cost_Center[Work center],"Check")</f>
        <v>0</v>
      </c>
      <c r="K245" s="169" t="str">
        <f>_xlfn.XLOOKUP(Data_Dep.12[[#This Row],[Nhóm tài sản]],MD_Account_Asset_Type[Nhóm tài sản],MD_Account_Asset_Type[Tài khoản KH],"Check")</f>
        <v>6424001904</v>
      </c>
      <c r="L245" s="173">
        <v>45627</v>
      </c>
      <c r="M245" s="174">
        <f>EDATE(Data_Dep.12[[#This Row],[Ngày bắt đầu KH]],Data_Dep.12[[#This Row],[T/G Khấu hao]])</f>
        <v>46722</v>
      </c>
      <c r="N245" s="175">
        <v>36</v>
      </c>
      <c r="O245" s="175">
        <v>261270972</v>
      </c>
      <c r="P245" s="176">
        <v>-72575270</v>
      </c>
      <c r="Q245" s="175">
        <f>Data_Dep.12[[#This Row],[Nguyên giá]]+Data_Dep.12[[#This Row],[KH lũy kế]]</f>
        <v>188695702</v>
      </c>
      <c r="R245" s="177">
        <v>-7257527</v>
      </c>
      <c r="S245" s="177">
        <v>-7257527</v>
      </c>
      <c r="T245" s="177">
        <v>-7257527</v>
      </c>
      <c r="U245" s="177">
        <f>SUM(Data_Dep.12[[#This Row],[KH_2510]:[KH_2512]])</f>
        <v>-21772581</v>
      </c>
      <c r="V245" s="175">
        <f>Data_Dep.12[[#This Row],[Nguyên giá]]+Data_Dep.12[[#This Row],[KH lũy kế]]+Data_Dep.12[[#This Row],[KH_Q4.25]]</f>
        <v>166923121</v>
      </c>
      <c r="W245" s="178">
        <f>ROUND(Data_Dep.12[[#This Row],[T/G Khấu hao]]-Data_Dep.12[[#This Row],[Giá trị còn lại 31/12/25]]/Data_Dep.12[[#This Row],[Nguyên giá]]*Data_Dep.12[[#This Row],[T/G Khấu hao]],0)</f>
        <v>13</v>
      </c>
      <c r="X245" s="179">
        <v>84</v>
      </c>
      <c r="Y245" s="175">
        <f>Data_Dep.12[[#This Row],[T/G Khấu hao]]+Data_Dep.12[[#This Row],[Điều chỉnh]]</f>
        <v>120</v>
      </c>
      <c r="Z245" s="180">
        <f>EDATE(Data_Dep.12[[#This Row],[Ngày bắt đầu KH]],Data_Dep.12[[#This Row],[T/G điều chỉnh]])</f>
        <v>49279</v>
      </c>
      <c r="AA245" s="175">
        <f>Data_Dep.12[[#This Row],[T/G điều chỉnh]]-Data_Dep.12[[#This Row],[Số kỳ đã khấu hao]]</f>
        <v>107</v>
      </c>
      <c r="AB245" s="175">
        <f>IFERROR(-Data_Dep.12[[#This Row],[Giá trị còn lại 31/12/25]]/(Data_Dep.12[[#This Row],[T/G điều chỉnh]]-Data_Dep.12[[#This Row],[Số kỳ đã khấu hao]]),0)</f>
        <v>-1560029.1682242991</v>
      </c>
      <c r="AC245" s="181">
        <v>-1560029.1682242991</v>
      </c>
      <c r="AD245" s="181">
        <v>-1560029.1682242991</v>
      </c>
      <c r="AE245" s="181">
        <v>-1560029.1682242991</v>
      </c>
      <c r="AF245" s="181">
        <v>-1560029.1682242991</v>
      </c>
      <c r="AG245" s="181">
        <v>-1560029.1682242991</v>
      </c>
      <c r="AH245" s="181">
        <v>-1560029.1682242991</v>
      </c>
      <c r="AI245" s="181">
        <v>-1560029.1682242991</v>
      </c>
      <c r="AJ245" s="181">
        <v>-1560029.1682242991</v>
      </c>
      <c r="AK245" s="181">
        <v>-1560029.1682242991</v>
      </c>
      <c r="AL245" s="181">
        <v>-1560029.1682242991</v>
      </c>
      <c r="AM245" s="181">
        <v>-1560029.1682242991</v>
      </c>
      <c r="AN245" s="181">
        <v>-1560029.1682242991</v>
      </c>
      <c r="AO245" s="175">
        <f>SUM(Data_Dep.12[[#This Row],[KH_2601]:[KH_2612]])</f>
        <v>-18720350.018691588</v>
      </c>
      <c r="AP245" s="175">
        <f>Data_Dep.12[[#This Row],[Giá trị còn lại 31/12/25]]+Data_Dep.12[[#This Row],[KH LK 2026]]</f>
        <v>148202770.9813084</v>
      </c>
    </row>
    <row r="246" spans="1:42" x14ac:dyDescent="0.3">
      <c r="A246" s="169"/>
      <c r="B246" s="169"/>
      <c r="C246" s="170" t="s">
        <v>347</v>
      </c>
      <c r="D246" s="169" t="str">
        <f>_xlfn.XLOOKUP(Data_Dep.12[[#This Row],[Nhóm tài sản]],MD_Account_Asset_Type[Nhóm tài sản],MD_Account_Asset_Type[Tên Nhóm tài sản])</f>
        <v>Thiết bị, dụng cụ quản lý - QL 642</v>
      </c>
      <c r="E246" s="171" t="s">
        <v>1122</v>
      </c>
      <c r="F246" s="170" t="s">
        <v>737</v>
      </c>
      <c r="G246" s="169" t="s">
        <v>830</v>
      </c>
      <c r="H246" s="170" t="s">
        <v>36</v>
      </c>
      <c r="I246" s="170" t="str">
        <f>_xlfn.XLOOKUP(Data_Dep.12[[#This Row],[Cost center]],MD_Cost_Center[Mã Cost Center],MD_Cost_Center[Tên Cost Center])</f>
        <v>Hành chánh nhân sự</v>
      </c>
      <c r="J246" s="172">
        <f>_xlfn.XLOOKUP(Data_Dep.12[[#This Row],[Cost center]],MD_Cost_Center[Mã Cost Center],MD_Cost_Center[Work center],"Check")</f>
        <v>0</v>
      </c>
      <c r="K246" s="169" t="str">
        <f>_xlfn.XLOOKUP(Data_Dep.12[[#This Row],[Nhóm tài sản]],MD_Account_Asset_Type[Nhóm tài sản],MD_Account_Asset_Type[Tài khoản KH],"Check")</f>
        <v>6424001904</v>
      </c>
      <c r="L246" s="173">
        <v>45627</v>
      </c>
      <c r="M246" s="174">
        <f>EDATE(Data_Dep.12[[#This Row],[Ngày bắt đầu KH]],Data_Dep.12[[#This Row],[T/G Khấu hao]])</f>
        <v>46722</v>
      </c>
      <c r="N246" s="175">
        <v>36</v>
      </c>
      <c r="O246" s="175">
        <v>351402508</v>
      </c>
      <c r="P246" s="176">
        <v>-97611808</v>
      </c>
      <c r="Q246" s="175">
        <f>Data_Dep.12[[#This Row],[Nguyên giá]]+Data_Dep.12[[#This Row],[KH lũy kế]]</f>
        <v>253790700</v>
      </c>
      <c r="R246" s="177">
        <v>-9761181</v>
      </c>
      <c r="S246" s="177">
        <v>-9761180</v>
      </c>
      <c r="T246" s="177">
        <v>-9761181</v>
      </c>
      <c r="U246" s="177">
        <f>SUM(Data_Dep.12[[#This Row],[KH_2510]:[KH_2512]])</f>
        <v>-29283542</v>
      </c>
      <c r="V246" s="175">
        <f>Data_Dep.12[[#This Row],[Nguyên giá]]+Data_Dep.12[[#This Row],[KH lũy kế]]+Data_Dep.12[[#This Row],[KH_Q4.25]]</f>
        <v>224507158</v>
      </c>
      <c r="W246" s="178">
        <f>ROUND(Data_Dep.12[[#This Row],[T/G Khấu hao]]-Data_Dep.12[[#This Row],[Giá trị còn lại 31/12/25]]/Data_Dep.12[[#This Row],[Nguyên giá]]*Data_Dep.12[[#This Row],[T/G Khấu hao]],0)</f>
        <v>13</v>
      </c>
      <c r="X246" s="179">
        <v>84</v>
      </c>
      <c r="Y246" s="175">
        <f>Data_Dep.12[[#This Row],[T/G Khấu hao]]+Data_Dep.12[[#This Row],[Điều chỉnh]]</f>
        <v>120</v>
      </c>
      <c r="Z246" s="180">
        <f>EDATE(Data_Dep.12[[#This Row],[Ngày bắt đầu KH]],Data_Dep.12[[#This Row],[T/G điều chỉnh]])</f>
        <v>49279</v>
      </c>
      <c r="AA246" s="175">
        <f>Data_Dep.12[[#This Row],[T/G điều chỉnh]]-Data_Dep.12[[#This Row],[Số kỳ đã khấu hao]]</f>
        <v>107</v>
      </c>
      <c r="AB246" s="175">
        <f>IFERROR(-Data_Dep.12[[#This Row],[Giá trị còn lại 31/12/25]]/(Data_Dep.12[[#This Row],[T/G điều chỉnh]]-Data_Dep.12[[#This Row],[Số kỳ đã khấu hao]]),0)</f>
        <v>-2098197.7383177569</v>
      </c>
      <c r="AC246" s="181">
        <v>-2098197.7383177569</v>
      </c>
      <c r="AD246" s="181">
        <v>-2098197.7383177569</v>
      </c>
      <c r="AE246" s="181">
        <v>-2098197.7383177569</v>
      </c>
      <c r="AF246" s="181">
        <v>-2098197.7383177569</v>
      </c>
      <c r="AG246" s="181">
        <v>-2098197.7383177569</v>
      </c>
      <c r="AH246" s="181">
        <v>-2098197.7383177569</v>
      </c>
      <c r="AI246" s="181">
        <v>-2098197.7383177569</v>
      </c>
      <c r="AJ246" s="181">
        <v>-2098197.7383177569</v>
      </c>
      <c r="AK246" s="181">
        <v>-2098197.7383177569</v>
      </c>
      <c r="AL246" s="181">
        <v>-2098197.7383177569</v>
      </c>
      <c r="AM246" s="181">
        <v>-2098197.7383177569</v>
      </c>
      <c r="AN246" s="181">
        <v>-2098197.7383177569</v>
      </c>
      <c r="AO246" s="175">
        <f>SUM(Data_Dep.12[[#This Row],[KH_2601]:[KH_2612]])</f>
        <v>-25178372.85981309</v>
      </c>
      <c r="AP246" s="175">
        <f>Data_Dep.12[[#This Row],[Giá trị còn lại 31/12/25]]+Data_Dep.12[[#This Row],[KH LK 2026]]</f>
        <v>199328785.14018691</v>
      </c>
    </row>
    <row r="247" spans="1:42" x14ac:dyDescent="0.3">
      <c r="A247" s="169"/>
      <c r="B247" s="169"/>
      <c r="C247" s="170" t="s">
        <v>347</v>
      </c>
      <c r="D247" s="169" t="str">
        <f>_xlfn.XLOOKUP(Data_Dep.12[[#This Row],[Nhóm tài sản]],MD_Account_Asset_Type[Nhóm tài sản],MD_Account_Asset_Type[Tên Nhóm tài sản])</f>
        <v>Thiết bị, dụng cụ quản lý - QL 642</v>
      </c>
      <c r="E247" s="171" t="s">
        <v>1123</v>
      </c>
      <c r="F247" s="170" t="s">
        <v>738</v>
      </c>
      <c r="G247" s="169" t="s">
        <v>830</v>
      </c>
      <c r="H247" s="170" t="s">
        <v>33</v>
      </c>
      <c r="I247" s="170" t="str">
        <f>_xlfn.XLOOKUP(Data_Dep.12[[#This Row],[Cost center]],MD_Cost_Center[Mã Cost Center],MD_Cost_Center[Tên Cost Center])</f>
        <v>Ban giám đốc</v>
      </c>
      <c r="J247" s="172">
        <f>_xlfn.XLOOKUP(Data_Dep.12[[#This Row],[Cost center]],MD_Cost_Center[Mã Cost Center],MD_Cost_Center[Work center],"Check")</f>
        <v>0</v>
      </c>
      <c r="K247" s="169" t="str">
        <f>_xlfn.XLOOKUP(Data_Dep.12[[#This Row],[Nhóm tài sản]],MD_Account_Asset_Type[Nhóm tài sản],MD_Account_Asset_Type[Tài khoản KH],"Check")</f>
        <v>6424001904</v>
      </c>
      <c r="L247" s="173">
        <v>45901</v>
      </c>
      <c r="M247" s="174">
        <f>EDATE(Data_Dep.12[[#This Row],[Ngày bắt đầu KH]],Data_Dep.12[[#This Row],[T/G Khấu hao]])</f>
        <v>47727</v>
      </c>
      <c r="N247" s="175">
        <v>60</v>
      </c>
      <c r="O247" s="175">
        <v>33150000</v>
      </c>
      <c r="P247" s="176">
        <v>-552500</v>
      </c>
      <c r="Q247" s="175">
        <f>Data_Dep.12[[#This Row],[Nguyên giá]]+Data_Dep.12[[#This Row],[KH lũy kế]]</f>
        <v>32597500</v>
      </c>
      <c r="R247" s="177">
        <v>-552500</v>
      </c>
      <c r="S247" s="177">
        <v>-552500</v>
      </c>
      <c r="T247" s="177">
        <v>-552500</v>
      </c>
      <c r="U247" s="177">
        <f>SUM(Data_Dep.12[[#This Row],[KH_2510]:[KH_2512]])</f>
        <v>-1657500</v>
      </c>
      <c r="V247" s="175">
        <f>Data_Dep.12[[#This Row],[Nguyên giá]]+Data_Dep.12[[#This Row],[KH lũy kế]]+Data_Dep.12[[#This Row],[KH_Q4.25]]</f>
        <v>30940000</v>
      </c>
      <c r="W247" s="178">
        <f>ROUND(Data_Dep.12[[#This Row],[T/G Khấu hao]]-Data_Dep.12[[#This Row],[Giá trị còn lại 31/12/25]]/Data_Dep.12[[#This Row],[Nguyên giá]]*Data_Dep.12[[#This Row],[T/G Khấu hao]],0)</f>
        <v>4</v>
      </c>
      <c r="X247" s="179">
        <v>60</v>
      </c>
      <c r="Y247" s="175">
        <f>Data_Dep.12[[#This Row],[T/G Khấu hao]]+Data_Dep.12[[#This Row],[Điều chỉnh]]</f>
        <v>120</v>
      </c>
      <c r="Z247" s="180">
        <f>EDATE(Data_Dep.12[[#This Row],[Ngày bắt đầu KH]],Data_Dep.12[[#This Row],[T/G điều chỉnh]])</f>
        <v>49553</v>
      </c>
      <c r="AA247" s="175">
        <f>Data_Dep.12[[#This Row],[T/G điều chỉnh]]-Data_Dep.12[[#This Row],[Số kỳ đã khấu hao]]</f>
        <v>116</v>
      </c>
      <c r="AB247" s="175">
        <f>IFERROR(-Data_Dep.12[[#This Row],[Giá trị còn lại 31/12/25]]/(Data_Dep.12[[#This Row],[T/G điều chỉnh]]-Data_Dep.12[[#This Row],[Số kỳ đã khấu hao]]),0)</f>
        <v>-266724.13793103449</v>
      </c>
      <c r="AC247" s="181">
        <v>-266724.13793103449</v>
      </c>
      <c r="AD247" s="181">
        <v>-266724.13793103449</v>
      </c>
      <c r="AE247" s="181">
        <v>-266724.13793103449</v>
      </c>
      <c r="AF247" s="181">
        <v>-266724.13793103449</v>
      </c>
      <c r="AG247" s="181">
        <v>-266724.13793103449</v>
      </c>
      <c r="AH247" s="181">
        <v>-266724.13793103449</v>
      </c>
      <c r="AI247" s="181">
        <v>-266724.13793103449</v>
      </c>
      <c r="AJ247" s="181">
        <v>-266724.13793103449</v>
      </c>
      <c r="AK247" s="181">
        <v>-266724.13793103449</v>
      </c>
      <c r="AL247" s="181">
        <v>-266724.13793103449</v>
      </c>
      <c r="AM247" s="181">
        <v>-266724.13793103449</v>
      </c>
      <c r="AN247" s="181">
        <v>-266724.13793103449</v>
      </c>
      <c r="AO247" s="175">
        <f>SUM(Data_Dep.12[[#This Row],[KH_2601]:[KH_2612]])</f>
        <v>-3200689.6551724137</v>
      </c>
      <c r="AP247" s="175">
        <f>Data_Dep.12[[#This Row],[Giá trị còn lại 31/12/25]]+Data_Dep.12[[#This Row],[KH LK 2026]]</f>
        <v>27739310.344827585</v>
      </c>
    </row>
    <row r="248" spans="1:42" x14ac:dyDescent="0.3">
      <c r="A248" s="169"/>
      <c r="B248" s="169"/>
      <c r="C248" s="170" t="s">
        <v>347</v>
      </c>
      <c r="D248" s="169" t="str">
        <f>_xlfn.XLOOKUP(Data_Dep.12[[#This Row],[Nhóm tài sản]],MD_Account_Asset_Type[Nhóm tài sản],MD_Account_Asset_Type[Tên Nhóm tài sản])</f>
        <v>Thiết bị, dụng cụ quản lý - QL 642</v>
      </c>
      <c r="E248" s="171" t="s">
        <v>1124</v>
      </c>
      <c r="F248" s="170" t="s">
        <v>739</v>
      </c>
      <c r="G248" s="169" t="s">
        <v>830</v>
      </c>
      <c r="H248" s="170" t="s">
        <v>103</v>
      </c>
      <c r="I248" s="170" t="str">
        <f>_xlfn.XLOOKUP(Data_Dep.12[[#This Row],[Cost center]],MD_Cost_Center[Mã Cost Center],MD_Cost_Center[Tên Cost Center])</f>
        <v>Tổ 5S &amp; an toàn</v>
      </c>
      <c r="J248" s="172">
        <f>_xlfn.XLOOKUP(Data_Dep.12[[#This Row],[Cost center]],MD_Cost_Center[Mã Cost Center],MD_Cost_Center[Work center],"Check")</f>
        <v>0</v>
      </c>
      <c r="K248" s="169" t="str">
        <f>_xlfn.XLOOKUP(Data_Dep.12[[#This Row],[Nhóm tài sản]],MD_Account_Asset_Type[Nhóm tài sản],MD_Account_Asset_Type[Tài khoản KH],"Check")</f>
        <v>6424001904</v>
      </c>
      <c r="L248" s="173">
        <v>45901</v>
      </c>
      <c r="M248" s="174">
        <f>EDATE(Data_Dep.12[[#This Row],[Ngày bắt đầu KH]],Data_Dep.12[[#This Row],[T/G Khấu hao]])</f>
        <v>47696</v>
      </c>
      <c r="N248" s="175">
        <v>59</v>
      </c>
      <c r="O248" s="175">
        <v>47500000</v>
      </c>
      <c r="P248" s="176">
        <v>-791667</v>
      </c>
      <c r="Q248" s="175">
        <f>Data_Dep.12[[#This Row],[Nguyên giá]]+Data_Dep.12[[#This Row],[KH lũy kế]]</f>
        <v>46708333</v>
      </c>
      <c r="R248" s="177">
        <v>-791666</v>
      </c>
      <c r="S248" s="177">
        <v>-791667</v>
      </c>
      <c r="T248" s="177">
        <v>-791667</v>
      </c>
      <c r="U248" s="177">
        <f>SUM(Data_Dep.12[[#This Row],[KH_2510]:[KH_2512]])</f>
        <v>-2375000</v>
      </c>
      <c r="V248" s="175">
        <f>Data_Dep.12[[#This Row],[Nguyên giá]]+Data_Dep.12[[#This Row],[KH lũy kế]]+Data_Dep.12[[#This Row],[KH_Q4.25]]</f>
        <v>44333333</v>
      </c>
      <c r="W248" s="178">
        <f>ROUND(Data_Dep.12[[#This Row],[T/G Khấu hao]]-Data_Dep.12[[#This Row],[Giá trị còn lại 31/12/25]]/Data_Dep.12[[#This Row],[Nguyên giá]]*Data_Dep.12[[#This Row],[T/G Khấu hao]],0)</f>
        <v>4</v>
      </c>
      <c r="X248" s="179">
        <v>61</v>
      </c>
      <c r="Y248" s="175">
        <f>Data_Dep.12[[#This Row],[T/G Khấu hao]]+Data_Dep.12[[#This Row],[Điều chỉnh]]</f>
        <v>120</v>
      </c>
      <c r="Z248" s="180">
        <f>EDATE(Data_Dep.12[[#This Row],[Ngày bắt đầu KH]],Data_Dep.12[[#This Row],[T/G điều chỉnh]])</f>
        <v>49553</v>
      </c>
      <c r="AA248" s="175">
        <f>Data_Dep.12[[#This Row],[T/G điều chỉnh]]-Data_Dep.12[[#This Row],[Số kỳ đã khấu hao]]</f>
        <v>116</v>
      </c>
      <c r="AB248" s="175">
        <f>IFERROR(-Data_Dep.12[[#This Row],[Giá trị còn lại 31/12/25]]/(Data_Dep.12[[#This Row],[T/G điều chỉnh]]-Data_Dep.12[[#This Row],[Số kỳ đã khấu hao]]),0)</f>
        <v>-382183.9051724138</v>
      </c>
      <c r="AC248" s="181">
        <v>-382183.9051724138</v>
      </c>
      <c r="AD248" s="181">
        <v>-382183.9051724138</v>
      </c>
      <c r="AE248" s="181">
        <v>-382183.9051724138</v>
      </c>
      <c r="AF248" s="181">
        <v>-382183.9051724138</v>
      </c>
      <c r="AG248" s="181">
        <v>-382183.9051724138</v>
      </c>
      <c r="AH248" s="181">
        <v>-382183.9051724138</v>
      </c>
      <c r="AI248" s="181">
        <v>-382183.9051724138</v>
      </c>
      <c r="AJ248" s="181">
        <v>-382183.9051724138</v>
      </c>
      <c r="AK248" s="181">
        <v>-382183.9051724138</v>
      </c>
      <c r="AL248" s="181">
        <v>-382183.9051724138</v>
      </c>
      <c r="AM248" s="181">
        <v>-382183.9051724138</v>
      </c>
      <c r="AN248" s="181">
        <v>-382183.9051724138</v>
      </c>
      <c r="AO248" s="175">
        <f>SUM(Data_Dep.12[[#This Row],[KH_2601]:[KH_2612]])</f>
        <v>-4586206.8620689651</v>
      </c>
      <c r="AP248" s="175">
        <f>Data_Dep.12[[#This Row],[Giá trị còn lại 31/12/25]]+Data_Dep.12[[#This Row],[KH LK 2026]]</f>
        <v>39747126.137931034</v>
      </c>
    </row>
    <row r="249" spans="1:42" x14ac:dyDescent="0.3">
      <c r="A249" s="169"/>
      <c r="B249" s="169"/>
      <c r="C249" s="170" t="s">
        <v>347</v>
      </c>
      <c r="D249" s="169" t="str">
        <f>_xlfn.XLOOKUP(Data_Dep.12[[#This Row],[Nhóm tài sản]],MD_Account_Asset_Type[Nhóm tài sản],MD_Account_Asset_Type[Tên Nhóm tài sản])</f>
        <v>Thiết bị, dụng cụ quản lý - QL 642</v>
      </c>
      <c r="E249" s="171" t="s">
        <v>1125</v>
      </c>
      <c r="F249" s="170" t="s">
        <v>740</v>
      </c>
      <c r="G249" s="169" t="s">
        <v>830</v>
      </c>
      <c r="H249" s="170" t="s">
        <v>36</v>
      </c>
      <c r="I249" s="170" t="str">
        <f>_xlfn.XLOOKUP(Data_Dep.12[[#This Row],[Cost center]],MD_Cost_Center[Mã Cost Center],MD_Cost_Center[Tên Cost Center])</f>
        <v>Hành chánh nhân sự</v>
      </c>
      <c r="J249" s="172">
        <f>_xlfn.XLOOKUP(Data_Dep.12[[#This Row],[Cost center]],MD_Cost_Center[Mã Cost Center],MD_Cost_Center[Work center],"Check")</f>
        <v>0</v>
      </c>
      <c r="K249" s="169" t="str">
        <f>_xlfn.XLOOKUP(Data_Dep.12[[#This Row],[Nhóm tài sản]],MD_Account_Asset_Type[Nhóm tài sản],MD_Account_Asset_Type[Tài khoản KH],"Check")</f>
        <v>6424001904</v>
      </c>
      <c r="L249" s="173">
        <v>45931</v>
      </c>
      <c r="M249" s="174">
        <f>EDATE(Data_Dep.12[[#This Row],[Ngày bắt đầu KH]],Data_Dep.12[[#This Row],[T/G Khấu hao]])</f>
        <v>47757</v>
      </c>
      <c r="N249" s="175">
        <v>60</v>
      </c>
      <c r="O249" s="175">
        <v>76531000</v>
      </c>
      <c r="P249" s="176">
        <v>0</v>
      </c>
      <c r="Q249" s="175">
        <f>Data_Dep.12[[#This Row],[Nguyên giá]]+Data_Dep.12[[#This Row],[KH lũy kế]]</f>
        <v>76531000</v>
      </c>
      <c r="R249" s="177">
        <v>-1275517</v>
      </c>
      <c r="S249" s="177">
        <v>-1275516</v>
      </c>
      <c r="T249" s="177">
        <v>-1275517</v>
      </c>
      <c r="U249" s="177">
        <f>SUM(Data_Dep.12[[#This Row],[KH_2510]:[KH_2512]])</f>
        <v>-3826550</v>
      </c>
      <c r="V249" s="175">
        <f>Data_Dep.12[[#This Row],[Nguyên giá]]+Data_Dep.12[[#This Row],[KH lũy kế]]+Data_Dep.12[[#This Row],[KH_Q4.25]]</f>
        <v>72704450</v>
      </c>
      <c r="W249" s="178">
        <f>ROUND(Data_Dep.12[[#This Row],[T/G Khấu hao]]-Data_Dep.12[[#This Row],[Giá trị còn lại 31/12/25]]/Data_Dep.12[[#This Row],[Nguyên giá]]*Data_Dep.12[[#This Row],[T/G Khấu hao]],0)</f>
        <v>3</v>
      </c>
      <c r="X249" s="179">
        <v>60</v>
      </c>
      <c r="Y249" s="175">
        <f>Data_Dep.12[[#This Row],[T/G Khấu hao]]+Data_Dep.12[[#This Row],[Điều chỉnh]]</f>
        <v>120</v>
      </c>
      <c r="Z249" s="180">
        <f>EDATE(Data_Dep.12[[#This Row],[Ngày bắt đầu KH]],Data_Dep.12[[#This Row],[T/G điều chỉnh]])</f>
        <v>49583</v>
      </c>
      <c r="AA249" s="175">
        <f>Data_Dep.12[[#This Row],[T/G điều chỉnh]]-Data_Dep.12[[#This Row],[Số kỳ đã khấu hao]]</f>
        <v>117</v>
      </c>
      <c r="AB249" s="175">
        <f>IFERROR(-Data_Dep.12[[#This Row],[Giá trị còn lại 31/12/25]]/(Data_Dep.12[[#This Row],[T/G điều chỉnh]]-Data_Dep.12[[#This Row],[Số kỳ đã khấu hao]]),0)</f>
        <v>-621405.5555555555</v>
      </c>
      <c r="AC249" s="181">
        <v>-621405.5555555555</v>
      </c>
      <c r="AD249" s="181">
        <v>-621405.5555555555</v>
      </c>
      <c r="AE249" s="181">
        <v>-621405.5555555555</v>
      </c>
      <c r="AF249" s="181">
        <v>-621405.5555555555</v>
      </c>
      <c r="AG249" s="181">
        <v>-621405.5555555555</v>
      </c>
      <c r="AH249" s="181">
        <v>-621405.5555555555</v>
      </c>
      <c r="AI249" s="181">
        <v>-621405.5555555555</v>
      </c>
      <c r="AJ249" s="181">
        <v>-621405.5555555555</v>
      </c>
      <c r="AK249" s="181">
        <v>-621405.5555555555</v>
      </c>
      <c r="AL249" s="181">
        <v>-621405.5555555555</v>
      </c>
      <c r="AM249" s="181">
        <v>-621405.5555555555</v>
      </c>
      <c r="AN249" s="181">
        <v>-621405.5555555555</v>
      </c>
      <c r="AO249" s="175">
        <f>SUM(Data_Dep.12[[#This Row],[KH_2601]:[KH_2612]])</f>
        <v>-7456866.6666666679</v>
      </c>
      <c r="AP249" s="175">
        <f>Data_Dep.12[[#This Row],[Giá trị còn lại 31/12/25]]+Data_Dep.12[[#This Row],[KH LK 2026]]</f>
        <v>65247583.333333328</v>
      </c>
    </row>
    <row r="250" spans="1:42" x14ac:dyDescent="0.3">
      <c r="A250" s="169"/>
      <c r="B250" s="169"/>
      <c r="C250" s="170" t="s">
        <v>345</v>
      </c>
      <c r="D250" s="169" t="str">
        <f>_xlfn.XLOOKUP(Data_Dep.12[[#This Row],[Nhóm tài sản]],MD_Account_Asset_Type[Nhóm tài sản],MD_Account_Asset_Type[Tên Nhóm tài sản])</f>
        <v>Thiết bị, dụng cụ quản lý - SX 627</v>
      </c>
      <c r="E250" s="171" t="s">
        <v>1098</v>
      </c>
      <c r="F250" s="170" t="s">
        <v>741</v>
      </c>
      <c r="G250" s="169" t="s">
        <v>830</v>
      </c>
      <c r="H250" s="170" t="s">
        <v>48</v>
      </c>
      <c r="I250" s="170" t="str">
        <f>_xlfn.XLOOKUP(Data_Dep.12[[#This Row],[Cost center]],MD_Cost_Center[Mã Cost Center],MD_Cost_Center[Tên Cost Center])</f>
        <v>Xưởng sản xuất PET</v>
      </c>
      <c r="J250" s="172">
        <f>_xlfn.XLOOKUP(Data_Dep.12[[#This Row],[Cost center]],MD_Cost_Center[Mã Cost Center],MD_Cost_Center[Work center],"Check")</f>
        <v>0</v>
      </c>
      <c r="K250" s="169" t="str">
        <f>_xlfn.XLOOKUP(Data_Dep.12[[#This Row],[Nhóm tài sản]],MD_Account_Asset_Type[Nhóm tài sản],MD_Account_Asset_Type[Tài khoản KH],"Check")</f>
        <v>6274001904</v>
      </c>
      <c r="L250" s="173">
        <v>44515</v>
      </c>
      <c r="M250" s="174">
        <f>EDATE(Data_Dep.12[[#This Row],[Ngày bắt đầu KH]],Data_Dep.12[[#This Row],[T/G Khấu hao]])</f>
        <v>46341</v>
      </c>
      <c r="N250" s="175">
        <v>60</v>
      </c>
      <c r="O250" s="175">
        <v>53350000</v>
      </c>
      <c r="P250" s="176">
        <v>-41790833</v>
      </c>
      <c r="Q250" s="175">
        <f>Data_Dep.12[[#This Row],[Nguyên giá]]+Data_Dep.12[[#This Row],[KH lũy kế]]</f>
        <v>11559167</v>
      </c>
      <c r="R250" s="177">
        <v>-889167</v>
      </c>
      <c r="S250" s="177">
        <v>-889167</v>
      </c>
      <c r="T250" s="177">
        <v>-889166</v>
      </c>
      <c r="U250" s="177">
        <f>SUM(Data_Dep.12[[#This Row],[KH_2510]:[KH_2512]])</f>
        <v>-2667500</v>
      </c>
      <c r="V250" s="175">
        <f>Data_Dep.12[[#This Row],[Nguyên giá]]+Data_Dep.12[[#This Row],[KH lũy kế]]+Data_Dep.12[[#This Row],[KH_Q4.25]]</f>
        <v>8891667</v>
      </c>
      <c r="W250" s="178">
        <f>ROUND(Data_Dep.12[[#This Row],[T/G Khấu hao]]-Data_Dep.12[[#This Row],[Giá trị còn lại 31/12/25]]/Data_Dep.12[[#This Row],[Nguyên giá]]*Data_Dep.12[[#This Row],[T/G Khấu hao]],0)</f>
        <v>50</v>
      </c>
      <c r="X250" s="179">
        <v>60</v>
      </c>
      <c r="Y250" s="175">
        <f>Data_Dep.12[[#This Row],[T/G Khấu hao]]+Data_Dep.12[[#This Row],[Điều chỉnh]]</f>
        <v>120</v>
      </c>
      <c r="Z250" s="180">
        <f>EDATE(Data_Dep.12[[#This Row],[Ngày bắt đầu KH]],Data_Dep.12[[#This Row],[T/G điều chỉnh]])</f>
        <v>48167</v>
      </c>
      <c r="AA250" s="175">
        <f>Data_Dep.12[[#This Row],[T/G điều chỉnh]]-Data_Dep.12[[#This Row],[Số kỳ đã khấu hao]]</f>
        <v>70</v>
      </c>
      <c r="AB250" s="175">
        <f>IFERROR(-Data_Dep.12[[#This Row],[Giá trị còn lại 31/12/25]]/(Data_Dep.12[[#This Row],[T/G điều chỉnh]]-Data_Dep.12[[#This Row],[Số kỳ đã khấu hao]]),0)</f>
        <v>-127023.81428571428</v>
      </c>
      <c r="AC250" s="181">
        <v>-127023.81428571428</v>
      </c>
      <c r="AD250" s="181">
        <v>-127023.81428571428</v>
      </c>
      <c r="AE250" s="181">
        <v>-127023.81428571428</v>
      </c>
      <c r="AF250" s="181">
        <v>-127023.81428571428</v>
      </c>
      <c r="AG250" s="181">
        <v>-127023.81428571428</v>
      </c>
      <c r="AH250" s="181">
        <v>-127023.81428571428</v>
      </c>
      <c r="AI250" s="181">
        <v>-127023.81428571428</v>
      </c>
      <c r="AJ250" s="181">
        <v>-127023.81428571428</v>
      </c>
      <c r="AK250" s="181">
        <v>-127023.81428571428</v>
      </c>
      <c r="AL250" s="181">
        <v>-127023.81428571428</v>
      </c>
      <c r="AM250" s="181">
        <v>-127023.81428571428</v>
      </c>
      <c r="AN250" s="181">
        <v>-127023.81428571428</v>
      </c>
      <c r="AO250" s="175">
        <f>SUM(Data_Dep.12[[#This Row],[KH_2601]:[KH_2612]])</f>
        <v>-1524285.7714285711</v>
      </c>
      <c r="AP250" s="175">
        <f>Data_Dep.12[[#This Row],[Giá trị còn lại 31/12/25]]+Data_Dep.12[[#This Row],[KH LK 2026]]</f>
        <v>7367381.2285714289</v>
      </c>
    </row>
    <row r="251" spans="1:42" x14ac:dyDescent="0.3">
      <c r="A251" s="169"/>
      <c r="B251" s="169"/>
      <c r="C251" s="170" t="s">
        <v>345</v>
      </c>
      <c r="D251" s="169" t="str">
        <f>_xlfn.XLOOKUP(Data_Dep.12[[#This Row],[Nhóm tài sản]],MD_Account_Asset_Type[Nhóm tài sản],MD_Account_Asset_Type[Tên Nhóm tài sản])</f>
        <v>Thiết bị, dụng cụ quản lý - SX 627</v>
      </c>
      <c r="E251" s="171" t="s">
        <v>1101</v>
      </c>
      <c r="F251" s="170" t="s">
        <v>742</v>
      </c>
      <c r="G251" s="169" t="s">
        <v>830</v>
      </c>
      <c r="H251" s="170" t="s">
        <v>46</v>
      </c>
      <c r="I251" s="170" t="str">
        <f>_xlfn.XLOOKUP(Data_Dep.12[[#This Row],[Cost center]],MD_Cost_Center[Mã Cost Center],MD_Cost_Center[Tên Cost Center])</f>
        <v>Kiểm soát chất lượng</v>
      </c>
      <c r="J251" s="172">
        <f>_xlfn.XLOOKUP(Data_Dep.12[[#This Row],[Cost center]],MD_Cost_Center[Mã Cost Center],MD_Cost_Center[Work center],"Check")</f>
        <v>0</v>
      </c>
      <c r="K251" s="169" t="str">
        <f>_xlfn.XLOOKUP(Data_Dep.12[[#This Row],[Nhóm tài sản]],MD_Account_Asset_Type[Nhóm tài sản],MD_Account_Asset_Type[Tài khoản KH],"Check")</f>
        <v>6274001904</v>
      </c>
      <c r="L251" s="173">
        <v>45231</v>
      </c>
      <c r="M251" s="174">
        <f>EDATE(Data_Dep.12[[#This Row],[Ngày bắt đầu KH]],Data_Dep.12[[#This Row],[T/G Khấu hao]])</f>
        <v>47058</v>
      </c>
      <c r="N251" s="175">
        <v>60</v>
      </c>
      <c r="O251" s="175">
        <v>110912800</v>
      </c>
      <c r="P251" s="176">
        <v>-42516573</v>
      </c>
      <c r="Q251" s="175">
        <f>Data_Dep.12[[#This Row],[Nguyên giá]]+Data_Dep.12[[#This Row],[KH lũy kế]]</f>
        <v>68396227</v>
      </c>
      <c r="R251" s="177">
        <v>-1848547</v>
      </c>
      <c r="S251" s="177">
        <v>-1848546</v>
      </c>
      <c r="T251" s="177">
        <v>-1848547</v>
      </c>
      <c r="U251" s="177">
        <f>SUM(Data_Dep.12[[#This Row],[KH_2510]:[KH_2512]])</f>
        <v>-5545640</v>
      </c>
      <c r="V251" s="175">
        <f>Data_Dep.12[[#This Row],[Nguyên giá]]+Data_Dep.12[[#This Row],[KH lũy kế]]+Data_Dep.12[[#This Row],[KH_Q4.25]]</f>
        <v>62850587</v>
      </c>
      <c r="W251" s="178">
        <f>ROUND(Data_Dep.12[[#This Row],[T/G Khấu hao]]-Data_Dep.12[[#This Row],[Giá trị còn lại 31/12/25]]/Data_Dep.12[[#This Row],[Nguyên giá]]*Data_Dep.12[[#This Row],[T/G Khấu hao]],0)</f>
        <v>26</v>
      </c>
      <c r="X251" s="179">
        <v>60</v>
      </c>
      <c r="Y251" s="175">
        <f>Data_Dep.12[[#This Row],[T/G Khấu hao]]+Data_Dep.12[[#This Row],[Điều chỉnh]]</f>
        <v>120</v>
      </c>
      <c r="Z251" s="180">
        <f>EDATE(Data_Dep.12[[#This Row],[Ngày bắt đầu KH]],Data_Dep.12[[#This Row],[T/G điều chỉnh]])</f>
        <v>48884</v>
      </c>
      <c r="AA251" s="175">
        <f>Data_Dep.12[[#This Row],[T/G điều chỉnh]]-Data_Dep.12[[#This Row],[Số kỳ đã khấu hao]]</f>
        <v>94</v>
      </c>
      <c r="AB251" s="175">
        <f>IFERROR(-Data_Dep.12[[#This Row],[Giá trị còn lại 31/12/25]]/(Data_Dep.12[[#This Row],[T/G điều chỉnh]]-Data_Dep.12[[#This Row],[Số kỳ đã khấu hao]]),0)</f>
        <v>-668623.26595744677</v>
      </c>
      <c r="AC251" s="181">
        <v>-668623.26595744677</v>
      </c>
      <c r="AD251" s="181">
        <v>-668623.26595744677</v>
      </c>
      <c r="AE251" s="181">
        <v>-668623.26595744677</v>
      </c>
      <c r="AF251" s="181">
        <v>-668623.26595744677</v>
      </c>
      <c r="AG251" s="181">
        <v>-668623.26595744677</v>
      </c>
      <c r="AH251" s="181">
        <v>-668623.26595744677</v>
      </c>
      <c r="AI251" s="181">
        <v>-668623.26595744677</v>
      </c>
      <c r="AJ251" s="181">
        <v>-668623.26595744677</v>
      </c>
      <c r="AK251" s="181">
        <v>-668623.26595744677</v>
      </c>
      <c r="AL251" s="181">
        <v>-668623.26595744677</v>
      </c>
      <c r="AM251" s="181">
        <v>-668623.26595744677</v>
      </c>
      <c r="AN251" s="181">
        <v>-668623.26595744677</v>
      </c>
      <c r="AO251" s="175">
        <f>SUM(Data_Dep.12[[#This Row],[KH_2601]:[KH_2612]])</f>
        <v>-8023479.1914893612</v>
      </c>
      <c r="AP251" s="175">
        <f>Data_Dep.12[[#This Row],[Giá trị còn lại 31/12/25]]+Data_Dep.12[[#This Row],[KH LK 2026]]</f>
        <v>54827107.808510639</v>
      </c>
    </row>
    <row r="252" spans="1:42" x14ac:dyDescent="0.3">
      <c r="A252" s="169"/>
      <c r="B252" s="169"/>
      <c r="C252" s="170" t="s">
        <v>345</v>
      </c>
      <c r="D252" s="169" t="str">
        <f>_xlfn.XLOOKUP(Data_Dep.12[[#This Row],[Nhóm tài sản]],MD_Account_Asset_Type[Nhóm tài sản],MD_Account_Asset_Type[Tên Nhóm tài sản])</f>
        <v>Thiết bị, dụng cụ quản lý - SX 627</v>
      </c>
      <c r="E252" s="171" t="s">
        <v>1102</v>
      </c>
      <c r="F252" s="170" t="s">
        <v>743</v>
      </c>
      <c r="G252" s="169" t="s">
        <v>502</v>
      </c>
      <c r="H252" s="170" t="s">
        <v>45</v>
      </c>
      <c r="I252" s="170" t="str">
        <f>_xlfn.XLOOKUP(Data_Dep.12[[#This Row],[Cost center]],MD_Cost_Center[Mã Cost Center],MD_Cost_Center[Tên Cost Center])</f>
        <v>Kỹ thuật</v>
      </c>
      <c r="J252" s="172">
        <f>_xlfn.XLOOKUP(Data_Dep.12[[#This Row],[Cost center]],MD_Cost_Center[Mã Cost Center],MD_Cost_Center[Work center],"Check")</f>
        <v>0</v>
      </c>
      <c r="K252" s="169" t="str">
        <f>_xlfn.XLOOKUP(Data_Dep.12[[#This Row],[Nhóm tài sản]],MD_Account_Asset_Type[Nhóm tài sản],MD_Account_Asset_Type[Tài khoản KH],"Check")</f>
        <v>6274001904</v>
      </c>
      <c r="L252" s="173">
        <v>45566</v>
      </c>
      <c r="M252" s="174">
        <f>EDATE(Data_Dep.12[[#This Row],[Ngày bắt đầu KH]],Data_Dep.12[[#This Row],[T/G Khấu hao]])</f>
        <v>46661</v>
      </c>
      <c r="N252" s="175">
        <v>36</v>
      </c>
      <c r="O252" s="175">
        <v>49000000</v>
      </c>
      <c r="P252" s="176">
        <v>-16333333</v>
      </c>
      <c r="Q252" s="175">
        <f>Data_Dep.12[[#This Row],[Nguyên giá]]+Data_Dep.12[[#This Row],[KH lũy kế]]</f>
        <v>32666667</v>
      </c>
      <c r="R252" s="177">
        <v>-1361111</v>
      </c>
      <c r="S252" s="177">
        <v>-1361111</v>
      </c>
      <c r="T252" s="177">
        <v>-1361111</v>
      </c>
      <c r="U252" s="177">
        <f>SUM(Data_Dep.12[[#This Row],[KH_2510]:[KH_2512]])</f>
        <v>-4083333</v>
      </c>
      <c r="V252" s="175">
        <f>Data_Dep.12[[#This Row],[Nguyên giá]]+Data_Dep.12[[#This Row],[KH lũy kế]]+Data_Dep.12[[#This Row],[KH_Q4.25]]</f>
        <v>28583334</v>
      </c>
      <c r="W252" s="178">
        <f>ROUND(Data_Dep.12[[#This Row],[T/G Khấu hao]]-Data_Dep.12[[#This Row],[Giá trị còn lại 31/12/25]]/Data_Dep.12[[#This Row],[Nguyên giá]]*Data_Dep.12[[#This Row],[T/G Khấu hao]],0)</f>
        <v>15</v>
      </c>
      <c r="X252" s="179">
        <v>84</v>
      </c>
      <c r="Y252" s="175">
        <f>Data_Dep.12[[#This Row],[T/G Khấu hao]]+Data_Dep.12[[#This Row],[Điều chỉnh]]</f>
        <v>120</v>
      </c>
      <c r="Z252" s="180">
        <f>EDATE(Data_Dep.12[[#This Row],[Ngày bắt đầu KH]],Data_Dep.12[[#This Row],[T/G điều chỉnh]])</f>
        <v>49218</v>
      </c>
      <c r="AA252" s="175">
        <f>Data_Dep.12[[#This Row],[T/G điều chỉnh]]-Data_Dep.12[[#This Row],[Số kỳ đã khấu hao]]</f>
        <v>105</v>
      </c>
      <c r="AB252" s="175">
        <f>IFERROR(-Data_Dep.12[[#This Row],[Giá trị còn lại 31/12/25]]/(Data_Dep.12[[#This Row],[T/G điều chỉnh]]-Data_Dep.12[[#This Row],[Số kỳ đã khấu hao]]),0)</f>
        <v>-272222.22857142857</v>
      </c>
      <c r="AC252" s="181">
        <v>-272222.22857142857</v>
      </c>
      <c r="AD252" s="181">
        <v>-272222.22857142857</v>
      </c>
      <c r="AE252" s="181">
        <v>-272222.22857142857</v>
      </c>
      <c r="AF252" s="181">
        <v>-272222.22857142857</v>
      </c>
      <c r="AG252" s="181">
        <v>-272222.22857142857</v>
      </c>
      <c r="AH252" s="181">
        <v>-272222.22857142857</v>
      </c>
      <c r="AI252" s="181">
        <v>-272222.22857142857</v>
      </c>
      <c r="AJ252" s="181">
        <v>-272222.22857142857</v>
      </c>
      <c r="AK252" s="181">
        <v>-272222.22857142857</v>
      </c>
      <c r="AL252" s="181">
        <v>-272222.22857142857</v>
      </c>
      <c r="AM252" s="181">
        <v>-272222.22857142857</v>
      </c>
      <c r="AN252" s="181">
        <v>-272222.22857142857</v>
      </c>
      <c r="AO252" s="175">
        <f>SUM(Data_Dep.12[[#This Row],[KH_2601]:[KH_2612]])</f>
        <v>-3266666.7428571419</v>
      </c>
      <c r="AP252" s="175">
        <f>Data_Dep.12[[#This Row],[Giá trị còn lại 31/12/25]]+Data_Dep.12[[#This Row],[KH LK 2026]]</f>
        <v>25316667.257142857</v>
      </c>
    </row>
    <row r="253" spans="1:42" x14ac:dyDescent="0.3">
      <c r="A253" s="169"/>
      <c r="B253" s="169"/>
      <c r="C253" s="170" t="s">
        <v>345</v>
      </c>
      <c r="D253" s="169" t="str">
        <f>_xlfn.XLOOKUP(Data_Dep.12[[#This Row],[Nhóm tài sản]],MD_Account_Asset_Type[Nhóm tài sản],MD_Account_Asset_Type[Tên Nhóm tài sản])</f>
        <v>Thiết bị, dụng cụ quản lý - SX 627</v>
      </c>
      <c r="E253" s="171" t="s">
        <v>1103</v>
      </c>
      <c r="F253" s="170" t="s">
        <v>744</v>
      </c>
      <c r="G253" s="169" t="s">
        <v>830</v>
      </c>
      <c r="H253" s="170" t="s">
        <v>48</v>
      </c>
      <c r="I253" s="170" t="str">
        <f>_xlfn.XLOOKUP(Data_Dep.12[[#This Row],[Cost center]],MD_Cost_Center[Mã Cost Center],MD_Cost_Center[Tên Cost Center])</f>
        <v>Xưởng sản xuất PET</v>
      </c>
      <c r="J253" s="172">
        <f>_xlfn.XLOOKUP(Data_Dep.12[[#This Row],[Cost center]],MD_Cost_Center[Mã Cost Center],MD_Cost_Center[Work center],"Check")</f>
        <v>0</v>
      </c>
      <c r="K253" s="169" t="str">
        <f>_xlfn.XLOOKUP(Data_Dep.12[[#This Row],[Nhóm tài sản]],MD_Account_Asset_Type[Nhóm tài sản],MD_Account_Asset_Type[Tài khoản KH],"Check")</f>
        <v>6274001904</v>
      </c>
      <c r="L253" s="173">
        <v>45627</v>
      </c>
      <c r="M253" s="174">
        <f>EDATE(Data_Dep.12[[#This Row],[Ngày bắt đầu KH]],Data_Dep.12[[#This Row],[T/G Khấu hao]])</f>
        <v>46722</v>
      </c>
      <c r="N253" s="175">
        <v>36</v>
      </c>
      <c r="O253" s="175">
        <v>85000000</v>
      </c>
      <c r="P253" s="176">
        <v>-23611111</v>
      </c>
      <c r="Q253" s="175">
        <f>Data_Dep.12[[#This Row],[Nguyên giá]]+Data_Dep.12[[#This Row],[KH lũy kế]]</f>
        <v>61388889</v>
      </c>
      <c r="R253" s="177">
        <v>-2361111</v>
      </c>
      <c r="S253" s="177">
        <v>-2361111</v>
      </c>
      <c r="T253" s="177">
        <v>-2361111</v>
      </c>
      <c r="U253" s="177">
        <f>SUM(Data_Dep.12[[#This Row],[KH_2510]:[KH_2512]])</f>
        <v>-7083333</v>
      </c>
      <c r="V253" s="175">
        <f>Data_Dep.12[[#This Row],[Nguyên giá]]+Data_Dep.12[[#This Row],[KH lũy kế]]+Data_Dep.12[[#This Row],[KH_Q4.25]]</f>
        <v>54305556</v>
      </c>
      <c r="W253" s="178">
        <f>ROUND(Data_Dep.12[[#This Row],[T/G Khấu hao]]-Data_Dep.12[[#This Row],[Giá trị còn lại 31/12/25]]/Data_Dep.12[[#This Row],[Nguyên giá]]*Data_Dep.12[[#This Row],[T/G Khấu hao]],0)</f>
        <v>13</v>
      </c>
      <c r="X253" s="179">
        <v>84</v>
      </c>
      <c r="Y253" s="175">
        <f>Data_Dep.12[[#This Row],[T/G Khấu hao]]+Data_Dep.12[[#This Row],[Điều chỉnh]]</f>
        <v>120</v>
      </c>
      <c r="Z253" s="180">
        <f>EDATE(Data_Dep.12[[#This Row],[Ngày bắt đầu KH]],Data_Dep.12[[#This Row],[T/G điều chỉnh]])</f>
        <v>49279</v>
      </c>
      <c r="AA253" s="175">
        <f>Data_Dep.12[[#This Row],[T/G điều chỉnh]]-Data_Dep.12[[#This Row],[Số kỳ đã khấu hao]]</f>
        <v>107</v>
      </c>
      <c r="AB253" s="175">
        <f>IFERROR(-Data_Dep.12[[#This Row],[Giá trị còn lại 31/12/25]]/(Data_Dep.12[[#This Row],[T/G điều chỉnh]]-Data_Dep.12[[#This Row],[Số kỳ đã khấu hao]]),0)</f>
        <v>-507528.56074766355</v>
      </c>
      <c r="AC253" s="181">
        <v>-507528.56074766355</v>
      </c>
      <c r="AD253" s="181">
        <v>-507528.56074766355</v>
      </c>
      <c r="AE253" s="181">
        <v>-507528.56074766355</v>
      </c>
      <c r="AF253" s="181">
        <v>-507528.56074766355</v>
      </c>
      <c r="AG253" s="181">
        <v>-507528.56074766355</v>
      </c>
      <c r="AH253" s="181">
        <v>-507528.56074766355</v>
      </c>
      <c r="AI253" s="181">
        <v>-507528.56074766355</v>
      </c>
      <c r="AJ253" s="181">
        <v>-507528.56074766355</v>
      </c>
      <c r="AK253" s="181">
        <v>-507528.56074766355</v>
      </c>
      <c r="AL253" s="181">
        <v>-507528.56074766355</v>
      </c>
      <c r="AM253" s="181">
        <v>-507528.56074766355</v>
      </c>
      <c r="AN253" s="181">
        <v>-507528.56074766355</v>
      </c>
      <c r="AO253" s="175">
        <f>SUM(Data_Dep.12[[#This Row],[KH_2601]:[KH_2612]])</f>
        <v>-6090342.7289719628</v>
      </c>
      <c r="AP253" s="175">
        <f>Data_Dep.12[[#This Row],[Giá trị còn lại 31/12/25]]+Data_Dep.12[[#This Row],[KH LK 2026]]</f>
        <v>48215213.271028034</v>
      </c>
    </row>
    <row r="254" spans="1:42" x14ac:dyDescent="0.3">
      <c r="A254" s="169"/>
      <c r="B254" s="169"/>
      <c r="C254" s="170" t="s">
        <v>345</v>
      </c>
      <c r="D254" s="169" t="str">
        <f>_xlfn.XLOOKUP(Data_Dep.12[[#This Row],[Nhóm tài sản]],MD_Account_Asset_Type[Nhóm tài sản],MD_Account_Asset_Type[Tên Nhóm tài sản])</f>
        <v>Thiết bị, dụng cụ quản lý - SX 627</v>
      </c>
      <c r="E254" s="171" t="s">
        <v>1104</v>
      </c>
      <c r="F254" s="170" t="s">
        <v>745</v>
      </c>
      <c r="G254" s="169" t="s">
        <v>830</v>
      </c>
      <c r="H254" s="170" t="s">
        <v>90</v>
      </c>
      <c r="I254" s="170" t="str">
        <f>_xlfn.XLOOKUP(Data_Dep.12[[#This Row],[Cost center]],MD_Cost_Center[Mã Cost Center],MD_Cost_Center[Tên Cost Center])</f>
        <v>Khối SX - Xưởng 4</v>
      </c>
      <c r="J254" s="172">
        <f>_xlfn.XLOOKUP(Data_Dep.12[[#This Row],[Cost center]],MD_Cost_Center[Mã Cost Center],MD_Cost_Center[Work center],"Check")</f>
        <v>0</v>
      </c>
      <c r="K254" s="169" t="str">
        <f>_xlfn.XLOOKUP(Data_Dep.12[[#This Row],[Nhóm tài sản]],MD_Account_Asset_Type[Nhóm tài sản],MD_Account_Asset_Type[Tài khoản KH],"Check")</f>
        <v>6274001904</v>
      </c>
      <c r="L254" s="173">
        <v>45689</v>
      </c>
      <c r="M254" s="174">
        <f>EDATE(Data_Dep.12[[#This Row],[Ngày bắt đầu KH]],Data_Dep.12[[#This Row],[T/G Khấu hao]])</f>
        <v>47635</v>
      </c>
      <c r="N254" s="175">
        <v>64</v>
      </c>
      <c r="O254" s="175">
        <v>34221000</v>
      </c>
      <c r="P254" s="176">
        <v>-2346753</v>
      </c>
      <c r="Q254" s="175">
        <f>Data_Dep.12[[#This Row],[Nguyên giá]]+Data_Dep.12[[#This Row],[KH lũy kế]]</f>
        <v>31874247</v>
      </c>
      <c r="R254" s="177">
        <v>-309258</v>
      </c>
      <c r="S254" s="177">
        <v>-309258</v>
      </c>
      <c r="T254" s="177">
        <v>-309258</v>
      </c>
      <c r="U254" s="177">
        <f>SUM(Data_Dep.12[[#This Row],[KH_2510]:[KH_2512]])</f>
        <v>-927774</v>
      </c>
      <c r="V254" s="175">
        <f>Data_Dep.12[[#This Row],[Nguyên giá]]+Data_Dep.12[[#This Row],[KH lũy kế]]+Data_Dep.12[[#This Row],[KH_Q4.25]]</f>
        <v>30946473</v>
      </c>
      <c r="W254" s="178">
        <f>ROUND(Data_Dep.12[[#This Row],[T/G Khấu hao]]-Data_Dep.12[[#This Row],[Giá trị còn lại 31/12/25]]/Data_Dep.12[[#This Row],[Nguyên giá]]*Data_Dep.12[[#This Row],[T/G Khấu hao]],0)</f>
        <v>6</v>
      </c>
      <c r="X254" s="179">
        <v>56</v>
      </c>
      <c r="Y254" s="175">
        <f>Data_Dep.12[[#This Row],[T/G Khấu hao]]+Data_Dep.12[[#This Row],[Điều chỉnh]]</f>
        <v>120</v>
      </c>
      <c r="Z254" s="180">
        <f>EDATE(Data_Dep.12[[#This Row],[Ngày bắt đầu KH]],Data_Dep.12[[#This Row],[T/G điều chỉnh]])</f>
        <v>49341</v>
      </c>
      <c r="AA254" s="175">
        <f>Data_Dep.12[[#This Row],[T/G điều chỉnh]]-Data_Dep.12[[#This Row],[Số kỳ đã khấu hao]]</f>
        <v>114</v>
      </c>
      <c r="AB254" s="175">
        <f>IFERROR(-Data_Dep.12[[#This Row],[Giá trị còn lại 31/12/25]]/(Data_Dep.12[[#This Row],[T/G điều chỉnh]]-Data_Dep.12[[#This Row],[Số kỳ đã khấu hao]]),0)</f>
        <v>-271460.28947368421</v>
      </c>
      <c r="AC254" s="181">
        <v>-271460.28947368421</v>
      </c>
      <c r="AD254" s="181">
        <v>-271460.28947368421</v>
      </c>
      <c r="AE254" s="181">
        <v>-271460.28947368421</v>
      </c>
      <c r="AF254" s="181">
        <v>-271460.28947368421</v>
      </c>
      <c r="AG254" s="181">
        <v>-271460.28947368421</v>
      </c>
      <c r="AH254" s="181">
        <v>-271460.28947368421</v>
      </c>
      <c r="AI254" s="181">
        <v>-271460.28947368421</v>
      </c>
      <c r="AJ254" s="181">
        <v>-271460.28947368421</v>
      </c>
      <c r="AK254" s="181">
        <v>-271460.28947368421</v>
      </c>
      <c r="AL254" s="181">
        <v>-271460.28947368421</v>
      </c>
      <c r="AM254" s="181">
        <v>-271460.28947368421</v>
      </c>
      <c r="AN254" s="181">
        <v>-271460.28947368421</v>
      </c>
      <c r="AO254" s="175">
        <f>SUM(Data_Dep.12[[#This Row],[KH_2601]:[KH_2612]])</f>
        <v>-3257523.4736842099</v>
      </c>
      <c r="AP254" s="175">
        <f>Data_Dep.12[[#This Row],[Giá trị còn lại 31/12/25]]+Data_Dep.12[[#This Row],[KH LK 2026]]</f>
        <v>27688949.52631579</v>
      </c>
    </row>
    <row r="255" spans="1:42" x14ac:dyDescent="0.3">
      <c r="A255" s="169"/>
      <c r="B255" s="169"/>
      <c r="C255" s="170" t="s">
        <v>345</v>
      </c>
      <c r="D255" s="169" t="str">
        <f>_xlfn.XLOOKUP(Data_Dep.12[[#This Row],[Nhóm tài sản]],MD_Account_Asset_Type[Nhóm tài sản],MD_Account_Asset_Type[Tên Nhóm tài sản])</f>
        <v>Thiết bị, dụng cụ quản lý - SX 627</v>
      </c>
      <c r="E255" s="171" t="s">
        <v>1105</v>
      </c>
      <c r="F255" s="170" t="s">
        <v>746</v>
      </c>
      <c r="G255" s="169" t="s">
        <v>830</v>
      </c>
      <c r="H255" s="170" t="s">
        <v>48</v>
      </c>
      <c r="I255" s="170" t="str">
        <f>_xlfn.XLOOKUP(Data_Dep.12[[#This Row],[Cost center]],MD_Cost_Center[Mã Cost Center],MD_Cost_Center[Tên Cost Center])</f>
        <v>Xưởng sản xuất PET</v>
      </c>
      <c r="J255" s="172">
        <f>_xlfn.XLOOKUP(Data_Dep.12[[#This Row],[Cost center]],MD_Cost_Center[Mã Cost Center],MD_Cost_Center[Work center],"Check")</f>
        <v>0</v>
      </c>
      <c r="K255" s="169" t="str">
        <f>_xlfn.XLOOKUP(Data_Dep.12[[#This Row],[Nhóm tài sản]],MD_Account_Asset_Type[Nhóm tài sản],MD_Account_Asset_Type[Tài khoản KH],"Check")</f>
        <v>6274001904</v>
      </c>
      <c r="L255" s="173">
        <v>45901</v>
      </c>
      <c r="M255" s="174">
        <f>EDATE(Data_Dep.12[[#This Row],[Ngày bắt đầu KH]],Data_Dep.12[[#This Row],[T/G Khấu hao]])</f>
        <v>47727</v>
      </c>
      <c r="N255" s="175">
        <v>60</v>
      </c>
      <c r="O255" s="175">
        <v>162458000</v>
      </c>
      <c r="P255" s="176">
        <v>-2707633</v>
      </c>
      <c r="Q255" s="175">
        <f>Data_Dep.12[[#This Row],[Nguyên giá]]+Data_Dep.12[[#This Row],[KH lũy kế]]</f>
        <v>159750367</v>
      </c>
      <c r="R255" s="177">
        <v>-2707634</v>
      </c>
      <c r="S255" s="177">
        <v>-2707633</v>
      </c>
      <c r="T255" s="177">
        <v>-2707633</v>
      </c>
      <c r="U255" s="177">
        <f>SUM(Data_Dep.12[[#This Row],[KH_2510]:[KH_2512]])</f>
        <v>-8122900</v>
      </c>
      <c r="V255" s="175">
        <f>Data_Dep.12[[#This Row],[Nguyên giá]]+Data_Dep.12[[#This Row],[KH lũy kế]]+Data_Dep.12[[#This Row],[KH_Q4.25]]</f>
        <v>151627467</v>
      </c>
      <c r="W255" s="178">
        <f>ROUND(Data_Dep.12[[#This Row],[T/G Khấu hao]]-Data_Dep.12[[#This Row],[Giá trị còn lại 31/12/25]]/Data_Dep.12[[#This Row],[Nguyên giá]]*Data_Dep.12[[#This Row],[T/G Khấu hao]],0)</f>
        <v>4</v>
      </c>
      <c r="X255" s="179">
        <v>60</v>
      </c>
      <c r="Y255" s="175">
        <f>Data_Dep.12[[#This Row],[T/G Khấu hao]]+Data_Dep.12[[#This Row],[Điều chỉnh]]</f>
        <v>120</v>
      </c>
      <c r="Z255" s="180">
        <f>EDATE(Data_Dep.12[[#This Row],[Ngày bắt đầu KH]],Data_Dep.12[[#This Row],[T/G điều chỉnh]])</f>
        <v>49553</v>
      </c>
      <c r="AA255" s="175">
        <f>Data_Dep.12[[#This Row],[T/G điều chỉnh]]-Data_Dep.12[[#This Row],[Số kỳ đã khấu hao]]</f>
        <v>116</v>
      </c>
      <c r="AB255" s="175">
        <f>IFERROR(-Data_Dep.12[[#This Row],[Giá trị còn lại 31/12/25]]/(Data_Dep.12[[#This Row],[T/G điều chỉnh]]-Data_Dep.12[[#This Row],[Số kỳ đã khấu hao]]),0)</f>
        <v>-1307133.3362068965</v>
      </c>
      <c r="AC255" s="181">
        <v>-1307133.3362068965</v>
      </c>
      <c r="AD255" s="181">
        <v>-1307133.3362068965</v>
      </c>
      <c r="AE255" s="181">
        <v>-1307133.3362068965</v>
      </c>
      <c r="AF255" s="181">
        <v>-1307133.3362068965</v>
      </c>
      <c r="AG255" s="181">
        <v>-1307133.3362068965</v>
      </c>
      <c r="AH255" s="181">
        <v>-1307133.3362068965</v>
      </c>
      <c r="AI255" s="181">
        <v>-1307133.3362068965</v>
      </c>
      <c r="AJ255" s="181">
        <v>-1307133.3362068965</v>
      </c>
      <c r="AK255" s="181">
        <v>-1307133.3362068965</v>
      </c>
      <c r="AL255" s="181">
        <v>-1307133.3362068965</v>
      </c>
      <c r="AM255" s="181">
        <v>-1307133.3362068965</v>
      </c>
      <c r="AN255" s="181">
        <v>-1307133.3362068965</v>
      </c>
      <c r="AO255" s="175">
        <f>SUM(Data_Dep.12[[#This Row],[KH_2601]:[KH_2612]])</f>
        <v>-15685600.034482757</v>
      </c>
      <c r="AP255" s="175">
        <f>Data_Dep.12[[#This Row],[Giá trị còn lại 31/12/25]]+Data_Dep.12[[#This Row],[KH LK 2026]]</f>
        <v>135941866.96551725</v>
      </c>
    </row>
    <row r="256" spans="1:42" x14ac:dyDescent="0.3">
      <c r="A256" s="169"/>
      <c r="B256" s="169"/>
      <c r="C256" s="170" t="s">
        <v>348</v>
      </c>
      <c r="D256" s="169" t="str">
        <f>_xlfn.XLOOKUP(Data_Dep.12[[#This Row],[Nhóm tài sản]],MD_Account_Asset_Type[Nhóm tài sản],MD_Account_Asset_Type[Tên Nhóm tài sản])</f>
        <v>Cây lâu năm, súc vật làm việc và cho sản phẩm - QL 642</v>
      </c>
      <c r="E256" s="171" t="s">
        <v>1126</v>
      </c>
      <c r="F256" s="170" t="s">
        <v>747</v>
      </c>
      <c r="G256" s="169" t="s">
        <v>830</v>
      </c>
      <c r="H256" s="170" t="s">
        <v>36</v>
      </c>
      <c r="I256" s="170" t="str">
        <f>_xlfn.XLOOKUP(Data_Dep.12[[#This Row],[Cost center]],MD_Cost_Center[Mã Cost Center],MD_Cost_Center[Tên Cost Center])</f>
        <v>Hành chánh nhân sự</v>
      </c>
      <c r="J256" s="172">
        <f>_xlfn.XLOOKUP(Data_Dep.12[[#This Row],[Cost center]],MD_Cost_Center[Mã Cost Center],MD_Cost_Center[Work center],"Check")</f>
        <v>0</v>
      </c>
      <c r="K256" s="169" t="str">
        <f>_xlfn.XLOOKUP(Data_Dep.12[[#This Row],[Nhóm tài sản]],MD_Account_Asset_Type[Nhóm tài sản],MD_Account_Asset_Type[Tài khoản KH],"Check")</f>
        <v>6427003702</v>
      </c>
      <c r="L256" s="173">
        <v>44896</v>
      </c>
      <c r="M256" s="174">
        <f>EDATE(Data_Dep.12[[#This Row],[Ngày bắt đầu KH]],Data_Dep.12[[#This Row],[T/G Khấu hao]])</f>
        <v>45992</v>
      </c>
      <c r="N256" s="175">
        <v>36</v>
      </c>
      <c r="O256" s="175">
        <v>322740000</v>
      </c>
      <c r="P256" s="176">
        <v>-304810000</v>
      </c>
      <c r="Q256" s="175">
        <f>Data_Dep.12[[#This Row],[Nguyên giá]]+Data_Dep.12[[#This Row],[KH lũy kế]]</f>
        <v>17930000</v>
      </c>
      <c r="R256" s="177">
        <v>-8965000</v>
      </c>
      <c r="S256" s="177">
        <v>-8965000</v>
      </c>
      <c r="T256" s="177">
        <v>0</v>
      </c>
      <c r="U256" s="177">
        <f>SUM(Data_Dep.12[[#This Row],[KH_2510]:[KH_2512]])</f>
        <v>-17930000</v>
      </c>
      <c r="V256" s="175">
        <f>Data_Dep.12[[#This Row],[Nguyên giá]]+Data_Dep.12[[#This Row],[KH lũy kế]]+Data_Dep.12[[#This Row],[KH_Q4.25]]</f>
        <v>0</v>
      </c>
      <c r="W256" s="178">
        <f>ROUND(Data_Dep.12[[#This Row],[T/G Khấu hao]]-Data_Dep.12[[#This Row],[Giá trị còn lại 31/12/25]]/Data_Dep.12[[#This Row],[Nguyên giá]]*Data_Dep.12[[#This Row],[T/G Khấu hao]],0)</f>
        <v>36</v>
      </c>
      <c r="X256" s="179">
        <v>84</v>
      </c>
      <c r="Y256" s="175">
        <f>Data_Dep.12[[#This Row],[T/G Khấu hao]]+Data_Dep.12[[#This Row],[Điều chỉnh]]</f>
        <v>120</v>
      </c>
      <c r="Z256" s="180">
        <f>EDATE(Data_Dep.12[[#This Row],[Ngày bắt đầu KH]],Data_Dep.12[[#This Row],[T/G điều chỉnh]])</f>
        <v>48549</v>
      </c>
      <c r="AA256" s="175">
        <f>Data_Dep.12[[#This Row],[T/G điều chỉnh]]-Data_Dep.12[[#This Row],[Số kỳ đã khấu hao]]</f>
        <v>84</v>
      </c>
      <c r="AB256" s="175">
        <f>IFERROR(-Data_Dep.12[[#This Row],[Giá trị còn lại 31/12/25]]/(Data_Dep.12[[#This Row],[T/G điều chỉnh]]-Data_Dep.12[[#This Row],[Số kỳ đã khấu hao]]),0)</f>
        <v>0</v>
      </c>
      <c r="AC256" s="181">
        <v>0</v>
      </c>
      <c r="AD256" s="181">
        <v>0</v>
      </c>
      <c r="AE256" s="181">
        <v>0</v>
      </c>
      <c r="AF256" s="181">
        <v>0</v>
      </c>
      <c r="AG256" s="181">
        <v>0</v>
      </c>
      <c r="AH256" s="181">
        <v>0</v>
      </c>
      <c r="AI256" s="181">
        <v>0</v>
      </c>
      <c r="AJ256" s="181">
        <v>0</v>
      </c>
      <c r="AK256" s="181">
        <v>0</v>
      </c>
      <c r="AL256" s="181">
        <v>0</v>
      </c>
      <c r="AM256" s="181">
        <v>0</v>
      </c>
      <c r="AN256" s="181">
        <v>0</v>
      </c>
      <c r="AO256" s="175">
        <f>SUM(Data_Dep.12[[#This Row],[KH_2601]:[KH_2612]])</f>
        <v>0</v>
      </c>
      <c r="AP256" s="175">
        <f>Data_Dep.12[[#This Row],[Giá trị còn lại 31/12/25]]+Data_Dep.12[[#This Row],[KH LK 2026]]</f>
        <v>0</v>
      </c>
    </row>
    <row r="257" spans="1:42" x14ac:dyDescent="0.3">
      <c r="A257" s="169"/>
      <c r="B257" s="169"/>
      <c r="C257" s="170" t="s">
        <v>352</v>
      </c>
      <c r="D257" s="169" t="str">
        <f>_xlfn.XLOOKUP(Data_Dep.12[[#This Row],[Nhóm tài sản]],MD_Account_Asset_Type[Nhóm tài sản],MD_Account_Asset_Type[Tên Nhóm tài sản])</f>
        <v>TSCĐ khác - QL 642</v>
      </c>
      <c r="E257" s="171" t="s">
        <v>1153</v>
      </c>
      <c r="F257" s="170" t="s">
        <v>749</v>
      </c>
      <c r="G257" s="169" t="s">
        <v>830</v>
      </c>
      <c r="H257" s="170" t="s">
        <v>36</v>
      </c>
      <c r="I257" s="170" t="str">
        <f>_xlfn.XLOOKUP(Data_Dep.12[[#This Row],[Cost center]],MD_Cost_Center[Mã Cost Center],MD_Cost_Center[Tên Cost Center])</f>
        <v>Hành chánh nhân sự</v>
      </c>
      <c r="J257" s="172">
        <f>_xlfn.XLOOKUP(Data_Dep.12[[#This Row],[Cost center]],MD_Cost_Center[Mã Cost Center],MD_Cost_Center[Work center],"Check")</f>
        <v>0</v>
      </c>
      <c r="K257" s="169" t="str">
        <f>_xlfn.XLOOKUP(Data_Dep.12[[#This Row],[Nhóm tài sản]],MD_Account_Asset_Type[Nhóm tài sản],MD_Account_Asset_Type[Tài khoản KH],"Check")</f>
        <v>6424001909</v>
      </c>
      <c r="L257" s="173">
        <v>45017</v>
      </c>
      <c r="M257" s="174">
        <f>EDATE(Data_Dep.12[[#This Row],[Ngày bắt đầu KH]],Data_Dep.12[[#This Row],[T/G Khấu hao]])</f>
        <v>46113</v>
      </c>
      <c r="N257" s="175">
        <v>36</v>
      </c>
      <c r="O257" s="175">
        <v>807761229</v>
      </c>
      <c r="P257" s="176">
        <v>-673134357</v>
      </c>
      <c r="Q257" s="175">
        <f>Data_Dep.12[[#This Row],[Nguyên giá]]+Data_Dep.12[[#This Row],[KH lũy kế]]</f>
        <v>134626872</v>
      </c>
      <c r="R257" s="177">
        <v>-22437812</v>
      </c>
      <c r="S257" s="177">
        <v>-22437812</v>
      </c>
      <c r="T257" s="177">
        <v>-22437812</v>
      </c>
      <c r="U257" s="177">
        <f>SUM(Data_Dep.12[[#This Row],[KH_2510]:[KH_2512]])</f>
        <v>-67313436</v>
      </c>
      <c r="V257" s="175">
        <f>Data_Dep.12[[#This Row],[Nguyên giá]]+Data_Dep.12[[#This Row],[KH lũy kế]]+Data_Dep.12[[#This Row],[KH_Q4.25]]</f>
        <v>67313436</v>
      </c>
      <c r="W257" s="178">
        <f>ROUND(Data_Dep.12[[#This Row],[T/G Khấu hao]]-Data_Dep.12[[#This Row],[Giá trị còn lại 31/12/25]]/Data_Dep.12[[#This Row],[Nguyên giá]]*Data_Dep.12[[#This Row],[T/G Khấu hao]],0)</f>
        <v>33</v>
      </c>
      <c r="X257" s="179">
        <v>264</v>
      </c>
      <c r="Y257" s="175">
        <f>Data_Dep.12[[#This Row],[T/G Khấu hao]]+Data_Dep.12[[#This Row],[Điều chỉnh]]</f>
        <v>300</v>
      </c>
      <c r="Z257" s="180">
        <f>EDATE(Data_Dep.12[[#This Row],[Ngày bắt đầu KH]],Data_Dep.12[[#This Row],[T/G điều chỉnh]])</f>
        <v>54149</v>
      </c>
      <c r="AA257" s="175">
        <f>Data_Dep.12[[#This Row],[T/G điều chỉnh]]-Data_Dep.12[[#This Row],[Số kỳ đã khấu hao]]</f>
        <v>267</v>
      </c>
      <c r="AB257" s="175">
        <f>IFERROR(-Data_Dep.12[[#This Row],[Giá trị còn lại 31/12/25]]/(Data_Dep.12[[#This Row],[T/G điều chỉnh]]-Data_Dep.12[[#This Row],[Số kỳ đã khấu hao]]),0)</f>
        <v>-252110.24719101124</v>
      </c>
      <c r="AC257" s="181">
        <v>-252110.24719101124</v>
      </c>
      <c r="AD257" s="181">
        <v>-252110.24719101124</v>
      </c>
      <c r="AE257" s="181">
        <v>-252110.24719101124</v>
      </c>
      <c r="AF257" s="181">
        <v>-252110.24719101124</v>
      </c>
      <c r="AG257" s="181">
        <v>-252110.24719101124</v>
      </c>
      <c r="AH257" s="181">
        <v>-252110.24719101124</v>
      </c>
      <c r="AI257" s="181">
        <v>-252110.24719101124</v>
      </c>
      <c r="AJ257" s="181">
        <v>-252110.24719101124</v>
      </c>
      <c r="AK257" s="181">
        <v>-252110.24719101124</v>
      </c>
      <c r="AL257" s="181">
        <v>-252110.24719101124</v>
      </c>
      <c r="AM257" s="181">
        <v>-252110.24719101124</v>
      </c>
      <c r="AN257" s="181">
        <v>-252110.24719101124</v>
      </c>
      <c r="AO257" s="175">
        <f>SUM(Data_Dep.12[[#This Row],[KH_2601]:[KH_2612]])</f>
        <v>-3025322.9662921354</v>
      </c>
      <c r="AP257" s="175">
        <f>Data_Dep.12[[#This Row],[Giá trị còn lại 31/12/25]]+Data_Dep.12[[#This Row],[KH LK 2026]]</f>
        <v>64288113.033707865</v>
      </c>
    </row>
    <row r="258" spans="1:42" x14ac:dyDescent="0.3">
      <c r="A258" s="169"/>
      <c r="B258" s="169"/>
      <c r="C258" s="170" t="s">
        <v>352</v>
      </c>
      <c r="D258" s="169" t="str">
        <f>_xlfn.XLOOKUP(Data_Dep.12[[#This Row],[Nhóm tài sản]],MD_Account_Asset_Type[Nhóm tài sản],MD_Account_Asset_Type[Tên Nhóm tài sản])</f>
        <v>TSCĐ khác - QL 642</v>
      </c>
      <c r="E258" s="171" t="s">
        <v>1154</v>
      </c>
      <c r="F258" s="170" t="s">
        <v>750</v>
      </c>
      <c r="G258" s="169" t="s">
        <v>502</v>
      </c>
      <c r="H258" s="170" t="s">
        <v>36</v>
      </c>
      <c r="I258" s="170" t="str">
        <f>_xlfn.XLOOKUP(Data_Dep.12[[#This Row],[Cost center]],MD_Cost_Center[Mã Cost Center],MD_Cost_Center[Tên Cost Center])</f>
        <v>Hành chánh nhân sự</v>
      </c>
      <c r="J258" s="172">
        <f>_xlfn.XLOOKUP(Data_Dep.12[[#This Row],[Cost center]],MD_Cost_Center[Mã Cost Center],MD_Cost_Center[Work center],"Check")</f>
        <v>0</v>
      </c>
      <c r="K258" s="169" t="str">
        <f>_xlfn.XLOOKUP(Data_Dep.12[[#This Row],[Nhóm tài sản]],MD_Account_Asset_Type[Nhóm tài sản],MD_Account_Asset_Type[Tài khoản KH],"Check")</f>
        <v>6424001909</v>
      </c>
      <c r="L258" s="173">
        <v>45108</v>
      </c>
      <c r="M258" s="174">
        <f>EDATE(Data_Dep.12[[#This Row],[Ngày bắt đầu KH]],Data_Dep.12[[#This Row],[T/G Khấu hao]])</f>
        <v>46204</v>
      </c>
      <c r="N258" s="175">
        <v>36</v>
      </c>
      <c r="O258" s="175">
        <v>59068700</v>
      </c>
      <c r="P258" s="176">
        <v>-44301525</v>
      </c>
      <c r="Q258" s="175">
        <f>Data_Dep.12[[#This Row],[Nguyên giá]]+Data_Dep.12[[#This Row],[KH lũy kế]]</f>
        <v>14767175</v>
      </c>
      <c r="R258" s="177">
        <v>-1640797</v>
      </c>
      <c r="S258" s="177">
        <v>-1640797</v>
      </c>
      <c r="T258" s="177">
        <v>-1640798</v>
      </c>
      <c r="U258" s="177">
        <f>SUM(Data_Dep.12[[#This Row],[KH_2510]:[KH_2512]])</f>
        <v>-4922392</v>
      </c>
      <c r="V258" s="175">
        <f>Data_Dep.12[[#This Row],[Nguyên giá]]+Data_Dep.12[[#This Row],[KH lũy kế]]+Data_Dep.12[[#This Row],[KH_Q4.25]]</f>
        <v>9844783</v>
      </c>
      <c r="W258" s="178">
        <f>ROUND(Data_Dep.12[[#This Row],[T/G Khấu hao]]-Data_Dep.12[[#This Row],[Giá trị còn lại 31/12/25]]/Data_Dep.12[[#This Row],[Nguyên giá]]*Data_Dep.12[[#This Row],[T/G Khấu hao]],0)</f>
        <v>30</v>
      </c>
      <c r="X258" s="179">
        <v>84</v>
      </c>
      <c r="Y258" s="175">
        <f>Data_Dep.12[[#This Row],[T/G Khấu hao]]+Data_Dep.12[[#This Row],[Điều chỉnh]]</f>
        <v>120</v>
      </c>
      <c r="Z258" s="180">
        <f>EDATE(Data_Dep.12[[#This Row],[Ngày bắt đầu KH]],Data_Dep.12[[#This Row],[T/G điều chỉnh]])</f>
        <v>48761</v>
      </c>
      <c r="AA258" s="175">
        <f>Data_Dep.12[[#This Row],[T/G điều chỉnh]]-Data_Dep.12[[#This Row],[Số kỳ đã khấu hao]]</f>
        <v>90</v>
      </c>
      <c r="AB258" s="175">
        <f>IFERROR(-Data_Dep.12[[#This Row],[Giá trị còn lại 31/12/25]]/(Data_Dep.12[[#This Row],[T/G điều chỉnh]]-Data_Dep.12[[#This Row],[Số kỳ đã khấu hao]]),0)</f>
        <v>-109386.47777777778</v>
      </c>
      <c r="AC258" s="181">
        <v>-109386.47777777778</v>
      </c>
      <c r="AD258" s="181">
        <v>-109386.47777777778</v>
      </c>
      <c r="AE258" s="181">
        <v>-109386.47777777778</v>
      </c>
      <c r="AF258" s="181">
        <v>-109386.47777777778</v>
      </c>
      <c r="AG258" s="181">
        <v>-109386.47777777778</v>
      </c>
      <c r="AH258" s="181">
        <v>-109386.47777777778</v>
      </c>
      <c r="AI258" s="181">
        <v>-109386.47777777778</v>
      </c>
      <c r="AJ258" s="181">
        <v>-109386.47777777778</v>
      </c>
      <c r="AK258" s="181">
        <v>-109386.47777777778</v>
      </c>
      <c r="AL258" s="181">
        <v>-109386.47777777778</v>
      </c>
      <c r="AM258" s="181">
        <v>-109386.47777777778</v>
      </c>
      <c r="AN258" s="181">
        <v>-109386.47777777778</v>
      </c>
      <c r="AO258" s="175">
        <f>SUM(Data_Dep.12[[#This Row],[KH_2601]:[KH_2612]])</f>
        <v>-1312637.7333333334</v>
      </c>
      <c r="AP258" s="175">
        <f>Data_Dep.12[[#This Row],[Giá trị còn lại 31/12/25]]+Data_Dep.12[[#This Row],[KH LK 2026]]</f>
        <v>8532145.2666666657</v>
      </c>
    </row>
    <row r="259" spans="1:42" x14ac:dyDescent="0.3">
      <c r="A259" s="169"/>
      <c r="B259" s="169"/>
      <c r="C259" s="170" t="s">
        <v>352</v>
      </c>
      <c r="D259" s="169" t="str">
        <f>_xlfn.XLOOKUP(Data_Dep.12[[#This Row],[Nhóm tài sản]],MD_Account_Asset_Type[Nhóm tài sản],MD_Account_Asset_Type[Tên Nhóm tài sản])</f>
        <v>TSCĐ khác - QL 642</v>
      </c>
      <c r="E259" s="171" t="s">
        <v>1156</v>
      </c>
      <c r="F259" s="170" t="s">
        <v>752</v>
      </c>
      <c r="G259" s="169" t="s">
        <v>502</v>
      </c>
      <c r="H259" s="170" t="s">
        <v>36</v>
      </c>
      <c r="I259" s="170" t="str">
        <f>_xlfn.XLOOKUP(Data_Dep.12[[#This Row],[Cost center]],MD_Cost_Center[Mã Cost Center],MD_Cost_Center[Tên Cost Center])</f>
        <v>Hành chánh nhân sự</v>
      </c>
      <c r="J259" s="172">
        <f>_xlfn.XLOOKUP(Data_Dep.12[[#This Row],[Cost center]],MD_Cost_Center[Mã Cost Center],MD_Cost_Center[Work center],"Check")</f>
        <v>0</v>
      </c>
      <c r="K259" s="169" t="str">
        <f>_xlfn.XLOOKUP(Data_Dep.12[[#This Row],[Nhóm tài sản]],MD_Account_Asset_Type[Nhóm tài sản],MD_Account_Asset_Type[Tài khoản KH],"Check")</f>
        <v>6424001909</v>
      </c>
      <c r="L259" s="173">
        <v>45170</v>
      </c>
      <c r="M259" s="174">
        <f>EDATE(Data_Dep.12[[#This Row],[Ngày bắt đầu KH]],Data_Dep.12[[#This Row],[T/G Khấu hao]])</f>
        <v>46997</v>
      </c>
      <c r="N259" s="175">
        <v>60</v>
      </c>
      <c r="O259" s="175">
        <v>261991507</v>
      </c>
      <c r="P259" s="176">
        <v>-109163128</v>
      </c>
      <c r="Q259" s="175">
        <f>Data_Dep.12[[#This Row],[Nguyên giá]]+Data_Dep.12[[#This Row],[KH lũy kế]]</f>
        <v>152828379</v>
      </c>
      <c r="R259" s="177">
        <v>-4366525</v>
      </c>
      <c r="S259" s="177">
        <v>-4366525</v>
      </c>
      <c r="T259" s="177">
        <v>-4366525</v>
      </c>
      <c r="U259" s="177">
        <f>SUM(Data_Dep.12[[#This Row],[KH_2510]:[KH_2512]])</f>
        <v>-13099575</v>
      </c>
      <c r="V259" s="175">
        <f>Data_Dep.12[[#This Row],[Nguyên giá]]+Data_Dep.12[[#This Row],[KH lũy kế]]+Data_Dep.12[[#This Row],[KH_Q4.25]]</f>
        <v>139728804</v>
      </c>
      <c r="W259" s="178">
        <f>ROUND(Data_Dep.12[[#This Row],[T/G Khấu hao]]-Data_Dep.12[[#This Row],[Giá trị còn lại 31/12/25]]/Data_Dep.12[[#This Row],[Nguyên giá]]*Data_Dep.12[[#This Row],[T/G Khấu hao]],0)</f>
        <v>28</v>
      </c>
      <c r="X259" s="179">
        <v>240</v>
      </c>
      <c r="Y259" s="175">
        <f>Data_Dep.12[[#This Row],[T/G Khấu hao]]+Data_Dep.12[[#This Row],[Điều chỉnh]]</f>
        <v>300</v>
      </c>
      <c r="Z259" s="180">
        <f>EDATE(Data_Dep.12[[#This Row],[Ngày bắt đầu KH]],Data_Dep.12[[#This Row],[T/G điều chỉnh]])</f>
        <v>54302</v>
      </c>
      <c r="AA259" s="175">
        <f>Data_Dep.12[[#This Row],[T/G điều chỉnh]]-Data_Dep.12[[#This Row],[Số kỳ đã khấu hao]]</f>
        <v>272</v>
      </c>
      <c r="AB259" s="175">
        <f>IFERROR(-Data_Dep.12[[#This Row],[Giá trị còn lại 31/12/25]]/(Data_Dep.12[[#This Row],[T/G điều chỉnh]]-Data_Dep.12[[#This Row],[Số kỳ đã khấu hao]]),0)</f>
        <v>-513708.8382352941</v>
      </c>
      <c r="AC259" s="181">
        <v>-513708.8382352941</v>
      </c>
      <c r="AD259" s="181">
        <v>-513708.8382352941</v>
      </c>
      <c r="AE259" s="181">
        <v>-513708.8382352941</v>
      </c>
      <c r="AF259" s="181">
        <v>-513708.8382352941</v>
      </c>
      <c r="AG259" s="181">
        <v>-513708.8382352941</v>
      </c>
      <c r="AH259" s="181">
        <v>-513708.8382352941</v>
      </c>
      <c r="AI259" s="181">
        <v>-513708.8382352941</v>
      </c>
      <c r="AJ259" s="181">
        <v>-513708.8382352941</v>
      </c>
      <c r="AK259" s="181">
        <v>-513708.8382352941</v>
      </c>
      <c r="AL259" s="181">
        <v>-513708.8382352941</v>
      </c>
      <c r="AM259" s="181">
        <v>-513708.8382352941</v>
      </c>
      <c r="AN259" s="181">
        <v>-513708.8382352941</v>
      </c>
      <c r="AO259" s="175">
        <f>SUM(Data_Dep.12[[#This Row],[KH_2601]:[KH_2612]])</f>
        <v>-6164506.0588235296</v>
      </c>
      <c r="AP259" s="175">
        <f>Data_Dep.12[[#This Row],[Giá trị còn lại 31/12/25]]+Data_Dep.12[[#This Row],[KH LK 2026]]</f>
        <v>133564297.94117647</v>
      </c>
    </row>
    <row r="260" spans="1:42" x14ac:dyDescent="0.3">
      <c r="A260" s="169"/>
      <c r="B260" s="169"/>
      <c r="C260" s="170" t="s">
        <v>352</v>
      </c>
      <c r="D260" s="169" t="str">
        <f>_xlfn.XLOOKUP(Data_Dep.12[[#This Row],[Nhóm tài sản]],MD_Account_Asset_Type[Nhóm tài sản],MD_Account_Asset_Type[Tên Nhóm tài sản])</f>
        <v>TSCĐ khác - QL 642</v>
      </c>
      <c r="E260" s="171" t="s">
        <v>1157</v>
      </c>
      <c r="F260" s="170" t="s">
        <v>753</v>
      </c>
      <c r="G260" s="169" t="s">
        <v>502</v>
      </c>
      <c r="H260" s="170" t="s">
        <v>33</v>
      </c>
      <c r="I260" s="170" t="str">
        <f>_xlfn.XLOOKUP(Data_Dep.12[[#This Row],[Cost center]],MD_Cost_Center[Mã Cost Center],MD_Cost_Center[Tên Cost Center])</f>
        <v>Ban giám đốc</v>
      </c>
      <c r="J260" s="172">
        <f>_xlfn.XLOOKUP(Data_Dep.12[[#This Row],[Cost center]],MD_Cost_Center[Mã Cost Center],MD_Cost_Center[Work center],"Check")</f>
        <v>0</v>
      </c>
      <c r="K260" s="169" t="str">
        <f>_xlfn.XLOOKUP(Data_Dep.12[[#This Row],[Nhóm tài sản]],MD_Account_Asset_Type[Nhóm tài sản],MD_Account_Asset_Type[Tài khoản KH],"Check")</f>
        <v>6424001909</v>
      </c>
      <c r="L260" s="173">
        <v>45383</v>
      </c>
      <c r="M260" s="174">
        <f>EDATE(Data_Dep.12[[#This Row],[Ngày bắt đầu KH]],Data_Dep.12[[#This Row],[T/G Khấu hao]])</f>
        <v>47209</v>
      </c>
      <c r="N260" s="175">
        <v>60</v>
      </c>
      <c r="O260" s="175">
        <v>235000000</v>
      </c>
      <c r="P260" s="176">
        <v>-70500000</v>
      </c>
      <c r="Q260" s="175">
        <f>Data_Dep.12[[#This Row],[Nguyên giá]]+Data_Dep.12[[#This Row],[KH lũy kế]]</f>
        <v>164500000</v>
      </c>
      <c r="R260" s="177">
        <v>-3916667</v>
      </c>
      <c r="S260" s="177">
        <v>-3916666</v>
      </c>
      <c r="T260" s="177">
        <v>-3916667</v>
      </c>
      <c r="U260" s="177">
        <f>SUM(Data_Dep.12[[#This Row],[KH_2510]:[KH_2512]])</f>
        <v>-11750000</v>
      </c>
      <c r="V260" s="175">
        <f>Data_Dep.12[[#This Row],[Nguyên giá]]+Data_Dep.12[[#This Row],[KH lũy kế]]+Data_Dep.12[[#This Row],[KH_Q4.25]]</f>
        <v>152750000</v>
      </c>
      <c r="W260" s="178">
        <f>ROUND(Data_Dep.12[[#This Row],[T/G Khấu hao]]-Data_Dep.12[[#This Row],[Giá trị còn lại 31/12/25]]/Data_Dep.12[[#This Row],[Nguyên giá]]*Data_Dep.12[[#This Row],[T/G Khấu hao]],0)</f>
        <v>21</v>
      </c>
      <c r="X260" s="179">
        <v>84</v>
      </c>
      <c r="Y260" s="175">
        <f>Data_Dep.12[[#This Row],[T/G Khấu hao]]+Data_Dep.12[[#This Row],[Điều chỉnh]]</f>
        <v>144</v>
      </c>
      <c r="Z260" s="180">
        <f>EDATE(Data_Dep.12[[#This Row],[Ngày bắt đầu KH]],Data_Dep.12[[#This Row],[T/G điều chỉnh]])</f>
        <v>49766</v>
      </c>
      <c r="AA260" s="175">
        <f>Data_Dep.12[[#This Row],[T/G điều chỉnh]]-Data_Dep.12[[#This Row],[Số kỳ đã khấu hao]]</f>
        <v>123</v>
      </c>
      <c r="AB260" s="175">
        <f>IFERROR(-Data_Dep.12[[#This Row],[Giá trị còn lại 31/12/25]]/(Data_Dep.12[[#This Row],[T/G điều chỉnh]]-Data_Dep.12[[#This Row],[Số kỳ đã khấu hao]]),0)</f>
        <v>-1241869.918699187</v>
      </c>
      <c r="AC260" s="181">
        <v>-1241869.918699187</v>
      </c>
      <c r="AD260" s="181">
        <v>-1241869.918699187</v>
      </c>
      <c r="AE260" s="181">
        <v>-1241869.918699187</v>
      </c>
      <c r="AF260" s="181">
        <v>-1241869.918699187</v>
      </c>
      <c r="AG260" s="181">
        <v>-1241869.918699187</v>
      </c>
      <c r="AH260" s="181">
        <v>-1241869.918699187</v>
      </c>
      <c r="AI260" s="181">
        <v>-1241869.918699187</v>
      </c>
      <c r="AJ260" s="181">
        <v>-1241869.918699187</v>
      </c>
      <c r="AK260" s="181">
        <v>-1241869.918699187</v>
      </c>
      <c r="AL260" s="181">
        <v>-1241869.918699187</v>
      </c>
      <c r="AM260" s="181">
        <v>-1241869.918699187</v>
      </c>
      <c r="AN260" s="181">
        <v>-1241869.918699187</v>
      </c>
      <c r="AO260" s="175">
        <f>SUM(Data_Dep.12[[#This Row],[KH_2601]:[KH_2612]])</f>
        <v>-14902439.024390241</v>
      </c>
      <c r="AP260" s="175">
        <f>Data_Dep.12[[#This Row],[Giá trị còn lại 31/12/25]]+Data_Dep.12[[#This Row],[KH LK 2026]]</f>
        <v>137847560.97560975</v>
      </c>
    </row>
    <row r="261" spans="1:42" x14ac:dyDescent="0.3">
      <c r="A261" s="169"/>
      <c r="B261" s="169"/>
      <c r="C261" s="170" t="s">
        <v>352</v>
      </c>
      <c r="D261" s="169" t="str">
        <f>_xlfn.XLOOKUP(Data_Dep.12[[#This Row],[Nhóm tài sản]],MD_Account_Asset_Type[Nhóm tài sản],MD_Account_Asset_Type[Tên Nhóm tài sản])</f>
        <v>TSCĐ khác - QL 642</v>
      </c>
      <c r="E261" s="171" t="s">
        <v>1158</v>
      </c>
      <c r="F261" s="170" t="s">
        <v>754</v>
      </c>
      <c r="G261" s="169" t="s">
        <v>502</v>
      </c>
      <c r="H261" s="170" t="s">
        <v>33</v>
      </c>
      <c r="I261" s="170" t="str">
        <f>_xlfn.XLOOKUP(Data_Dep.12[[#This Row],[Cost center]],MD_Cost_Center[Mã Cost Center],MD_Cost_Center[Tên Cost Center])</f>
        <v>Ban giám đốc</v>
      </c>
      <c r="J261" s="172">
        <f>_xlfn.XLOOKUP(Data_Dep.12[[#This Row],[Cost center]],MD_Cost_Center[Mã Cost Center],MD_Cost_Center[Work center],"Check")</f>
        <v>0</v>
      </c>
      <c r="K261" s="169" t="str">
        <f>_xlfn.XLOOKUP(Data_Dep.12[[#This Row],[Nhóm tài sản]],MD_Account_Asset_Type[Nhóm tài sản],MD_Account_Asset_Type[Tài khoản KH],"Check")</f>
        <v>6424001909</v>
      </c>
      <c r="L261" s="173">
        <v>45383</v>
      </c>
      <c r="M261" s="174">
        <f>EDATE(Data_Dep.12[[#This Row],[Ngày bắt đầu KH]],Data_Dep.12[[#This Row],[T/G Khấu hao]])</f>
        <v>47209</v>
      </c>
      <c r="N261" s="175">
        <v>60</v>
      </c>
      <c r="O261" s="175">
        <v>188000000</v>
      </c>
      <c r="P261" s="176">
        <v>-56400000</v>
      </c>
      <c r="Q261" s="175">
        <f>Data_Dep.12[[#This Row],[Nguyên giá]]+Data_Dep.12[[#This Row],[KH lũy kế]]</f>
        <v>131600000</v>
      </c>
      <c r="R261" s="177">
        <v>-3133333</v>
      </c>
      <c r="S261" s="177">
        <v>-3133334</v>
      </c>
      <c r="T261" s="177">
        <v>-3133333</v>
      </c>
      <c r="U261" s="177">
        <f>SUM(Data_Dep.12[[#This Row],[KH_2510]:[KH_2512]])</f>
        <v>-9400000</v>
      </c>
      <c r="V261" s="175">
        <f>Data_Dep.12[[#This Row],[Nguyên giá]]+Data_Dep.12[[#This Row],[KH lũy kế]]+Data_Dep.12[[#This Row],[KH_Q4.25]]</f>
        <v>122200000</v>
      </c>
      <c r="W261" s="178">
        <f>ROUND(Data_Dep.12[[#This Row],[T/G Khấu hao]]-Data_Dep.12[[#This Row],[Giá trị còn lại 31/12/25]]/Data_Dep.12[[#This Row],[Nguyên giá]]*Data_Dep.12[[#This Row],[T/G Khấu hao]],0)</f>
        <v>21</v>
      </c>
      <c r="X261" s="179">
        <v>84</v>
      </c>
      <c r="Y261" s="175">
        <f>Data_Dep.12[[#This Row],[T/G Khấu hao]]+Data_Dep.12[[#This Row],[Điều chỉnh]]</f>
        <v>144</v>
      </c>
      <c r="Z261" s="180">
        <f>EDATE(Data_Dep.12[[#This Row],[Ngày bắt đầu KH]],Data_Dep.12[[#This Row],[T/G điều chỉnh]])</f>
        <v>49766</v>
      </c>
      <c r="AA261" s="175">
        <f>Data_Dep.12[[#This Row],[T/G điều chỉnh]]-Data_Dep.12[[#This Row],[Số kỳ đã khấu hao]]</f>
        <v>123</v>
      </c>
      <c r="AB261" s="175">
        <f>IFERROR(-Data_Dep.12[[#This Row],[Giá trị còn lại 31/12/25]]/(Data_Dep.12[[#This Row],[T/G điều chỉnh]]-Data_Dep.12[[#This Row],[Số kỳ đã khấu hao]]),0)</f>
        <v>-993495.93495934957</v>
      </c>
      <c r="AC261" s="181">
        <v>-993495.93495934957</v>
      </c>
      <c r="AD261" s="181">
        <v>-993495.93495934957</v>
      </c>
      <c r="AE261" s="181">
        <v>-993495.93495934957</v>
      </c>
      <c r="AF261" s="181">
        <v>-993495.93495934957</v>
      </c>
      <c r="AG261" s="181">
        <v>-993495.93495934957</v>
      </c>
      <c r="AH261" s="181">
        <v>-993495.93495934957</v>
      </c>
      <c r="AI261" s="181">
        <v>-993495.93495934957</v>
      </c>
      <c r="AJ261" s="181">
        <v>-993495.93495934957</v>
      </c>
      <c r="AK261" s="181">
        <v>-993495.93495934957</v>
      </c>
      <c r="AL261" s="181">
        <v>-993495.93495934957</v>
      </c>
      <c r="AM261" s="181">
        <v>-993495.93495934957</v>
      </c>
      <c r="AN261" s="181">
        <v>-993495.93495934957</v>
      </c>
      <c r="AO261" s="175">
        <f>SUM(Data_Dep.12[[#This Row],[KH_2601]:[KH_2612]])</f>
        <v>-11921951.219512196</v>
      </c>
      <c r="AP261" s="175">
        <f>Data_Dep.12[[#This Row],[Giá trị còn lại 31/12/25]]+Data_Dep.12[[#This Row],[KH LK 2026]]</f>
        <v>110278048.78048781</v>
      </c>
    </row>
    <row r="262" spans="1:42" x14ac:dyDescent="0.3">
      <c r="A262" s="169"/>
      <c r="B262" s="169"/>
      <c r="C262" s="170" t="s">
        <v>352</v>
      </c>
      <c r="D262" s="169" t="str">
        <f>_xlfn.XLOOKUP(Data_Dep.12[[#This Row],[Nhóm tài sản]],MD_Account_Asset_Type[Nhóm tài sản],MD_Account_Asset_Type[Tên Nhóm tài sản])</f>
        <v>TSCĐ khác - QL 642</v>
      </c>
      <c r="E262" s="171" t="s">
        <v>1159</v>
      </c>
      <c r="F262" s="170" t="s">
        <v>755</v>
      </c>
      <c r="G262" s="169" t="s">
        <v>502</v>
      </c>
      <c r="H262" s="170" t="s">
        <v>33</v>
      </c>
      <c r="I262" s="170" t="str">
        <f>_xlfn.XLOOKUP(Data_Dep.12[[#This Row],[Cost center]],MD_Cost_Center[Mã Cost Center],MD_Cost_Center[Tên Cost Center])</f>
        <v>Ban giám đốc</v>
      </c>
      <c r="J262" s="172">
        <f>_xlfn.XLOOKUP(Data_Dep.12[[#This Row],[Cost center]],MD_Cost_Center[Mã Cost Center],MD_Cost_Center[Work center],"Check")</f>
        <v>0</v>
      </c>
      <c r="K262" s="169" t="str">
        <f>_xlfn.XLOOKUP(Data_Dep.12[[#This Row],[Nhóm tài sản]],MD_Account_Asset_Type[Nhóm tài sản],MD_Account_Asset_Type[Tài khoản KH],"Check")</f>
        <v>6424001909</v>
      </c>
      <c r="L262" s="173">
        <v>45383</v>
      </c>
      <c r="M262" s="174">
        <f>EDATE(Data_Dep.12[[#This Row],[Ngày bắt đầu KH]],Data_Dep.12[[#This Row],[T/G Khấu hao]])</f>
        <v>47209</v>
      </c>
      <c r="N262" s="175">
        <v>60</v>
      </c>
      <c r="O262" s="175">
        <v>211500000</v>
      </c>
      <c r="P262" s="176">
        <v>-63450000</v>
      </c>
      <c r="Q262" s="175">
        <f>Data_Dep.12[[#This Row],[Nguyên giá]]+Data_Dep.12[[#This Row],[KH lũy kế]]</f>
        <v>148050000</v>
      </c>
      <c r="R262" s="177">
        <v>-3525000</v>
      </c>
      <c r="S262" s="177">
        <v>-3525000</v>
      </c>
      <c r="T262" s="177">
        <v>-3525000</v>
      </c>
      <c r="U262" s="177">
        <f>SUM(Data_Dep.12[[#This Row],[KH_2510]:[KH_2512]])</f>
        <v>-10575000</v>
      </c>
      <c r="V262" s="175">
        <f>Data_Dep.12[[#This Row],[Nguyên giá]]+Data_Dep.12[[#This Row],[KH lũy kế]]+Data_Dep.12[[#This Row],[KH_Q4.25]]</f>
        <v>137475000</v>
      </c>
      <c r="W262" s="178">
        <f>ROUND(Data_Dep.12[[#This Row],[T/G Khấu hao]]-Data_Dep.12[[#This Row],[Giá trị còn lại 31/12/25]]/Data_Dep.12[[#This Row],[Nguyên giá]]*Data_Dep.12[[#This Row],[T/G Khấu hao]],0)</f>
        <v>21</v>
      </c>
      <c r="X262" s="179">
        <v>84</v>
      </c>
      <c r="Y262" s="175">
        <f>Data_Dep.12[[#This Row],[T/G Khấu hao]]+Data_Dep.12[[#This Row],[Điều chỉnh]]</f>
        <v>144</v>
      </c>
      <c r="Z262" s="180">
        <f>EDATE(Data_Dep.12[[#This Row],[Ngày bắt đầu KH]],Data_Dep.12[[#This Row],[T/G điều chỉnh]])</f>
        <v>49766</v>
      </c>
      <c r="AA262" s="175">
        <f>Data_Dep.12[[#This Row],[T/G điều chỉnh]]-Data_Dep.12[[#This Row],[Số kỳ đã khấu hao]]</f>
        <v>123</v>
      </c>
      <c r="AB262" s="175">
        <f>IFERROR(-Data_Dep.12[[#This Row],[Giá trị còn lại 31/12/25]]/(Data_Dep.12[[#This Row],[T/G điều chỉnh]]-Data_Dep.12[[#This Row],[Số kỳ đã khấu hao]]),0)</f>
        <v>-1117682.9268292682</v>
      </c>
      <c r="AC262" s="181">
        <v>-1117682.9268292682</v>
      </c>
      <c r="AD262" s="181">
        <v>-1117682.9268292682</v>
      </c>
      <c r="AE262" s="181">
        <v>-1117682.9268292682</v>
      </c>
      <c r="AF262" s="181">
        <v>-1117682.9268292682</v>
      </c>
      <c r="AG262" s="181">
        <v>-1117682.9268292682</v>
      </c>
      <c r="AH262" s="181">
        <v>-1117682.9268292682</v>
      </c>
      <c r="AI262" s="181">
        <v>-1117682.9268292682</v>
      </c>
      <c r="AJ262" s="181">
        <v>-1117682.9268292682</v>
      </c>
      <c r="AK262" s="181">
        <v>-1117682.9268292682</v>
      </c>
      <c r="AL262" s="181">
        <v>-1117682.9268292682</v>
      </c>
      <c r="AM262" s="181">
        <v>-1117682.9268292682</v>
      </c>
      <c r="AN262" s="181">
        <v>-1117682.9268292682</v>
      </c>
      <c r="AO262" s="175">
        <f>SUM(Data_Dep.12[[#This Row],[KH_2601]:[KH_2612]])</f>
        <v>-13412195.121951215</v>
      </c>
      <c r="AP262" s="175">
        <f>Data_Dep.12[[#This Row],[Giá trị còn lại 31/12/25]]+Data_Dep.12[[#This Row],[KH LK 2026]]</f>
        <v>124062804.87804878</v>
      </c>
    </row>
    <row r="263" spans="1:42" x14ac:dyDescent="0.3">
      <c r="A263" s="169"/>
      <c r="B263" s="169"/>
      <c r="C263" s="170" t="s">
        <v>350</v>
      </c>
      <c r="D263" s="169" t="str">
        <f>_xlfn.XLOOKUP(Data_Dep.12[[#This Row],[Nhóm tài sản]],MD_Account_Asset_Type[Nhóm tài sản],MD_Account_Asset_Type[Tên Nhóm tài sản])</f>
        <v>TSCĐ khác - SX 627</v>
      </c>
      <c r="E263" s="171" t="s">
        <v>1133</v>
      </c>
      <c r="F263" s="170" t="s">
        <v>760</v>
      </c>
      <c r="G263" s="169" t="s">
        <v>502</v>
      </c>
      <c r="H263" s="170" t="s">
        <v>48</v>
      </c>
      <c r="I263" s="170" t="str">
        <f>_xlfn.XLOOKUP(Data_Dep.12[[#This Row],[Cost center]],MD_Cost_Center[Mã Cost Center],MD_Cost_Center[Tên Cost Center])</f>
        <v>Xưởng sản xuất PET</v>
      </c>
      <c r="J263" s="172">
        <f>_xlfn.XLOOKUP(Data_Dep.12[[#This Row],[Cost center]],MD_Cost_Center[Mã Cost Center],MD_Cost_Center[Work center],"Check")</f>
        <v>0</v>
      </c>
      <c r="K263" s="169" t="str">
        <f>_xlfn.XLOOKUP(Data_Dep.12[[#This Row],[Nhóm tài sản]],MD_Account_Asset_Type[Nhóm tài sản],MD_Account_Asset_Type[Tài khoản KH],"Check")</f>
        <v>6274001909</v>
      </c>
      <c r="L263" s="173">
        <v>45108</v>
      </c>
      <c r="M263" s="174">
        <f>EDATE(Data_Dep.12[[#This Row],[Ngày bắt đầu KH]],Data_Dep.12[[#This Row],[T/G Khấu hao]])</f>
        <v>46204</v>
      </c>
      <c r="N263" s="175">
        <v>36</v>
      </c>
      <c r="O263" s="175">
        <v>102096978</v>
      </c>
      <c r="P263" s="176">
        <v>-76572734</v>
      </c>
      <c r="Q263" s="175">
        <f>Data_Dep.12[[#This Row],[Nguyên giá]]+Data_Dep.12[[#This Row],[KH lũy kế]]</f>
        <v>25524244</v>
      </c>
      <c r="R263" s="177">
        <v>-2836027</v>
      </c>
      <c r="S263" s="177">
        <v>-2836027</v>
      </c>
      <c r="T263" s="177">
        <v>-2836027</v>
      </c>
      <c r="U263" s="177">
        <f>SUM(Data_Dep.12[[#This Row],[KH_2510]:[KH_2512]])</f>
        <v>-8508081</v>
      </c>
      <c r="V263" s="175">
        <f>Data_Dep.12[[#This Row],[Nguyên giá]]+Data_Dep.12[[#This Row],[KH lũy kế]]+Data_Dep.12[[#This Row],[KH_Q4.25]]</f>
        <v>17016163</v>
      </c>
      <c r="W263" s="178">
        <f>ROUND(Data_Dep.12[[#This Row],[T/G Khấu hao]]-Data_Dep.12[[#This Row],[Giá trị còn lại 31/12/25]]/Data_Dep.12[[#This Row],[Nguyên giá]]*Data_Dep.12[[#This Row],[T/G Khấu hao]],0)</f>
        <v>30</v>
      </c>
      <c r="X263" s="179">
        <v>264</v>
      </c>
      <c r="Y263" s="175">
        <f>Data_Dep.12[[#This Row],[T/G Khấu hao]]+Data_Dep.12[[#This Row],[Điều chỉnh]]</f>
        <v>300</v>
      </c>
      <c r="Z263" s="180">
        <f>EDATE(Data_Dep.12[[#This Row],[Ngày bắt đầu KH]],Data_Dep.12[[#This Row],[T/G điều chỉnh]])</f>
        <v>54240</v>
      </c>
      <c r="AA263" s="175">
        <f>Data_Dep.12[[#This Row],[T/G điều chỉnh]]-Data_Dep.12[[#This Row],[Số kỳ đã khấu hao]]</f>
        <v>270</v>
      </c>
      <c r="AB263" s="175">
        <f>IFERROR(-Data_Dep.12[[#This Row],[Giá trị còn lại 31/12/25]]/(Data_Dep.12[[#This Row],[T/G điều chỉnh]]-Data_Dep.12[[#This Row],[Số kỳ đã khấu hao]]),0)</f>
        <v>-63022.825925925928</v>
      </c>
      <c r="AC263" s="181">
        <v>-63022.825925925928</v>
      </c>
      <c r="AD263" s="181">
        <v>-63022.825925925928</v>
      </c>
      <c r="AE263" s="181">
        <v>-63022.825925925928</v>
      </c>
      <c r="AF263" s="181">
        <v>-63022.825925925928</v>
      </c>
      <c r="AG263" s="181">
        <v>-63022.825925925928</v>
      </c>
      <c r="AH263" s="181">
        <v>-63022.825925925928</v>
      </c>
      <c r="AI263" s="181">
        <v>-63022.825925925928</v>
      </c>
      <c r="AJ263" s="181">
        <v>-63022.825925925928</v>
      </c>
      <c r="AK263" s="181">
        <v>-63022.825925925928</v>
      </c>
      <c r="AL263" s="181">
        <v>-63022.825925925928</v>
      </c>
      <c r="AM263" s="181">
        <v>-63022.825925925928</v>
      </c>
      <c r="AN263" s="181">
        <v>-63022.825925925928</v>
      </c>
      <c r="AO263" s="175">
        <f>SUM(Data_Dep.12[[#This Row],[KH_2601]:[KH_2612]])</f>
        <v>-756273.91111111129</v>
      </c>
      <c r="AP263" s="175">
        <f>Data_Dep.12[[#This Row],[Giá trị còn lại 31/12/25]]+Data_Dep.12[[#This Row],[KH LK 2026]]</f>
        <v>16259889.088888889</v>
      </c>
    </row>
    <row r="264" spans="1:42" x14ac:dyDescent="0.3">
      <c r="A264" s="169"/>
      <c r="B264" s="169"/>
      <c r="C264" s="170" t="s">
        <v>350</v>
      </c>
      <c r="D264" s="169" t="str">
        <f>_xlfn.XLOOKUP(Data_Dep.12[[#This Row],[Nhóm tài sản]],MD_Account_Asset_Type[Nhóm tài sản],MD_Account_Asset_Type[Tên Nhóm tài sản])</f>
        <v>TSCĐ khác - SX 627</v>
      </c>
      <c r="E264" s="171" t="s">
        <v>1134</v>
      </c>
      <c r="F264" s="170" t="s">
        <v>761</v>
      </c>
      <c r="G264" s="169" t="s">
        <v>502</v>
      </c>
      <c r="H264" s="170" t="s">
        <v>48</v>
      </c>
      <c r="I264" s="170" t="str">
        <f>_xlfn.XLOOKUP(Data_Dep.12[[#This Row],[Cost center]],MD_Cost_Center[Mã Cost Center],MD_Cost_Center[Tên Cost Center])</f>
        <v>Xưởng sản xuất PET</v>
      </c>
      <c r="J264" s="172">
        <f>_xlfn.XLOOKUP(Data_Dep.12[[#This Row],[Cost center]],MD_Cost_Center[Mã Cost Center],MD_Cost_Center[Work center],"Check")</f>
        <v>0</v>
      </c>
      <c r="K264" s="169" t="str">
        <f>_xlfn.XLOOKUP(Data_Dep.12[[#This Row],[Nhóm tài sản]],MD_Account_Asset_Type[Nhóm tài sản],MD_Account_Asset_Type[Tài khoản KH],"Check")</f>
        <v>6274001909</v>
      </c>
      <c r="L264" s="173">
        <v>45108</v>
      </c>
      <c r="M264" s="174">
        <f>EDATE(Data_Dep.12[[#This Row],[Ngày bắt đầu KH]],Data_Dep.12[[#This Row],[T/G Khấu hao]])</f>
        <v>46204</v>
      </c>
      <c r="N264" s="175">
        <v>36</v>
      </c>
      <c r="O264" s="175">
        <v>195672934</v>
      </c>
      <c r="P264" s="176">
        <v>-146754701</v>
      </c>
      <c r="Q264" s="175">
        <f>Data_Dep.12[[#This Row],[Nguyên giá]]+Data_Dep.12[[#This Row],[KH lũy kế]]</f>
        <v>48918233</v>
      </c>
      <c r="R264" s="177">
        <v>-5435359</v>
      </c>
      <c r="S264" s="177">
        <v>-5435359</v>
      </c>
      <c r="T264" s="177">
        <v>-5435359</v>
      </c>
      <c r="U264" s="177">
        <f>SUM(Data_Dep.12[[#This Row],[KH_2510]:[KH_2512]])</f>
        <v>-16306077</v>
      </c>
      <c r="V264" s="175">
        <f>Data_Dep.12[[#This Row],[Nguyên giá]]+Data_Dep.12[[#This Row],[KH lũy kế]]+Data_Dep.12[[#This Row],[KH_Q4.25]]</f>
        <v>32612156</v>
      </c>
      <c r="W264" s="178">
        <f>ROUND(Data_Dep.12[[#This Row],[T/G Khấu hao]]-Data_Dep.12[[#This Row],[Giá trị còn lại 31/12/25]]/Data_Dep.12[[#This Row],[Nguyên giá]]*Data_Dep.12[[#This Row],[T/G Khấu hao]],0)</f>
        <v>30</v>
      </c>
      <c r="X264" s="179">
        <v>108</v>
      </c>
      <c r="Y264" s="175">
        <f>Data_Dep.12[[#This Row],[T/G Khấu hao]]+Data_Dep.12[[#This Row],[Điều chỉnh]]</f>
        <v>144</v>
      </c>
      <c r="Z264" s="180">
        <f>EDATE(Data_Dep.12[[#This Row],[Ngày bắt đầu KH]],Data_Dep.12[[#This Row],[T/G điều chỉnh]])</f>
        <v>49491</v>
      </c>
      <c r="AA264" s="175">
        <f>Data_Dep.12[[#This Row],[T/G điều chỉnh]]-Data_Dep.12[[#This Row],[Số kỳ đã khấu hao]]</f>
        <v>114</v>
      </c>
      <c r="AB264" s="175">
        <f>IFERROR(-Data_Dep.12[[#This Row],[Giá trị còn lại 31/12/25]]/(Data_Dep.12[[#This Row],[T/G điều chỉnh]]-Data_Dep.12[[#This Row],[Số kỳ đã khấu hao]]),0)</f>
        <v>-286071.5438596491</v>
      </c>
      <c r="AC264" s="181">
        <v>-286071.5438596491</v>
      </c>
      <c r="AD264" s="181">
        <v>-286071.5438596491</v>
      </c>
      <c r="AE264" s="181">
        <v>-286071.5438596491</v>
      </c>
      <c r="AF264" s="181">
        <v>-286071.5438596491</v>
      </c>
      <c r="AG264" s="181">
        <v>-286071.5438596491</v>
      </c>
      <c r="AH264" s="181">
        <v>-286071.5438596491</v>
      </c>
      <c r="AI264" s="181">
        <v>-286071.5438596491</v>
      </c>
      <c r="AJ264" s="181">
        <v>-286071.5438596491</v>
      </c>
      <c r="AK264" s="181">
        <v>-286071.5438596491</v>
      </c>
      <c r="AL264" s="181">
        <v>-286071.5438596491</v>
      </c>
      <c r="AM264" s="181">
        <v>-286071.5438596491</v>
      </c>
      <c r="AN264" s="181">
        <v>-286071.5438596491</v>
      </c>
      <c r="AO264" s="175">
        <f>SUM(Data_Dep.12[[#This Row],[KH_2601]:[KH_2612]])</f>
        <v>-3432858.5263157883</v>
      </c>
      <c r="AP264" s="175">
        <f>Data_Dep.12[[#This Row],[Giá trị còn lại 31/12/25]]+Data_Dep.12[[#This Row],[KH LK 2026]]</f>
        <v>29179297.47368421</v>
      </c>
    </row>
    <row r="265" spans="1:42" x14ac:dyDescent="0.3">
      <c r="A265" s="169"/>
      <c r="B265" s="169"/>
      <c r="C265" s="170" t="s">
        <v>350</v>
      </c>
      <c r="D265" s="169" t="str">
        <f>_xlfn.XLOOKUP(Data_Dep.12[[#This Row],[Nhóm tài sản]],MD_Account_Asset_Type[Nhóm tài sản],MD_Account_Asset_Type[Tên Nhóm tài sản])</f>
        <v>TSCĐ khác - SX 627</v>
      </c>
      <c r="E265" s="171" t="s">
        <v>1135</v>
      </c>
      <c r="F265" s="170" t="s">
        <v>762</v>
      </c>
      <c r="G265" s="169" t="s">
        <v>502</v>
      </c>
      <c r="H265" s="170" t="s">
        <v>48</v>
      </c>
      <c r="I265" s="170" t="str">
        <f>_xlfn.XLOOKUP(Data_Dep.12[[#This Row],[Cost center]],MD_Cost_Center[Mã Cost Center],MD_Cost_Center[Tên Cost Center])</f>
        <v>Xưởng sản xuất PET</v>
      </c>
      <c r="J265" s="172">
        <f>_xlfn.XLOOKUP(Data_Dep.12[[#This Row],[Cost center]],MD_Cost_Center[Mã Cost Center],MD_Cost_Center[Work center],"Check")</f>
        <v>0</v>
      </c>
      <c r="K265" s="169" t="str">
        <f>_xlfn.XLOOKUP(Data_Dep.12[[#This Row],[Nhóm tài sản]],MD_Account_Asset_Type[Nhóm tài sản],MD_Account_Asset_Type[Tài khoản KH],"Check")</f>
        <v>6274001909</v>
      </c>
      <c r="L265" s="173">
        <v>45108</v>
      </c>
      <c r="M265" s="174">
        <f>EDATE(Data_Dep.12[[#This Row],[Ngày bắt đầu KH]],Data_Dep.12[[#This Row],[T/G Khấu hao]])</f>
        <v>46204</v>
      </c>
      <c r="N265" s="175">
        <v>36</v>
      </c>
      <c r="O265" s="175">
        <v>53030000</v>
      </c>
      <c r="P265" s="176">
        <v>-39772500</v>
      </c>
      <c r="Q265" s="175">
        <f>Data_Dep.12[[#This Row],[Nguyên giá]]+Data_Dep.12[[#This Row],[KH lũy kế]]</f>
        <v>13257500</v>
      </c>
      <c r="R265" s="177">
        <v>-1473056</v>
      </c>
      <c r="S265" s="177">
        <v>-1473055</v>
      </c>
      <c r="T265" s="177">
        <v>-1473056</v>
      </c>
      <c r="U265" s="177">
        <f>SUM(Data_Dep.12[[#This Row],[KH_2510]:[KH_2512]])</f>
        <v>-4419167</v>
      </c>
      <c r="V265" s="175">
        <f>Data_Dep.12[[#This Row],[Nguyên giá]]+Data_Dep.12[[#This Row],[KH lũy kế]]+Data_Dep.12[[#This Row],[KH_Q4.25]]</f>
        <v>8838333</v>
      </c>
      <c r="W265" s="178">
        <f>ROUND(Data_Dep.12[[#This Row],[T/G Khấu hao]]-Data_Dep.12[[#This Row],[Giá trị còn lại 31/12/25]]/Data_Dep.12[[#This Row],[Nguyên giá]]*Data_Dep.12[[#This Row],[T/G Khấu hao]],0)</f>
        <v>30</v>
      </c>
      <c r="X265" s="179">
        <v>84</v>
      </c>
      <c r="Y265" s="175">
        <f>Data_Dep.12[[#This Row],[T/G Khấu hao]]+Data_Dep.12[[#This Row],[Điều chỉnh]]</f>
        <v>120</v>
      </c>
      <c r="Z265" s="180">
        <f>EDATE(Data_Dep.12[[#This Row],[Ngày bắt đầu KH]],Data_Dep.12[[#This Row],[T/G điều chỉnh]])</f>
        <v>48761</v>
      </c>
      <c r="AA265" s="175">
        <f>Data_Dep.12[[#This Row],[T/G điều chỉnh]]-Data_Dep.12[[#This Row],[Số kỳ đã khấu hao]]</f>
        <v>90</v>
      </c>
      <c r="AB265" s="175">
        <f>IFERROR(-Data_Dep.12[[#This Row],[Giá trị còn lại 31/12/25]]/(Data_Dep.12[[#This Row],[T/G điều chỉnh]]-Data_Dep.12[[#This Row],[Số kỳ đã khấu hao]]),0)</f>
        <v>-98203.7</v>
      </c>
      <c r="AC265" s="181">
        <v>-98203.7</v>
      </c>
      <c r="AD265" s="181">
        <v>-98203.7</v>
      </c>
      <c r="AE265" s="181">
        <v>-98203.7</v>
      </c>
      <c r="AF265" s="181">
        <v>-98203.7</v>
      </c>
      <c r="AG265" s="181">
        <v>-98203.7</v>
      </c>
      <c r="AH265" s="181">
        <v>-98203.7</v>
      </c>
      <c r="AI265" s="181">
        <v>-98203.7</v>
      </c>
      <c r="AJ265" s="181">
        <v>-98203.7</v>
      </c>
      <c r="AK265" s="181">
        <v>-98203.7</v>
      </c>
      <c r="AL265" s="181">
        <v>-98203.7</v>
      </c>
      <c r="AM265" s="181">
        <v>-98203.7</v>
      </c>
      <c r="AN265" s="181">
        <v>-98203.7</v>
      </c>
      <c r="AO265" s="175">
        <f>SUM(Data_Dep.12[[#This Row],[KH_2601]:[KH_2612]])</f>
        <v>-1178444.3999999997</v>
      </c>
      <c r="AP265" s="175">
        <f>Data_Dep.12[[#This Row],[Giá trị còn lại 31/12/25]]+Data_Dep.12[[#This Row],[KH LK 2026]]</f>
        <v>7659888.6000000006</v>
      </c>
    </row>
    <row r="266" spans="1:42" x14ac:dyDescent="0.3">
      <c r="A266" s="169"/>
      <c r="B266" s="169"/>
      <c r="C266" s="170" t="s">
        <v>350</v>
      </c>
      <c r="D266" s="169" t="str">
        <f>_xlfn.XLOOKUP(Data_Dep.12[[#This Row],[Nhóm tài sản]],MD_Account_Asset_Type[Nhóm tài sản],MD_Account_Asset_Type[Tên Nhóm tài sản])</f>
        <v>TSCĐ khác - SX 627</v>
      </c>
      <c r="E266" s="171" t="s">
        <v>1136</v>
      </c>
      <c r="F266" s="170" t="s">
        <v>763</v>
      </c>
      <c r="G266" s="169" t="s">
        <v>502</v>
      </c>
      <c r="H266" s="170" t="s">
        <v>48</v>
      </c>
      <c r="I266" s="170" t="str">
        <f>_xlfn.XLOOKUP(Data_Dep.12[[#This Row],[Cost center]],MD_Cost_Center[Mã Cost Center],MD_Cost_Center[Tên Cost Center])</f>
        <v>Xưởng sản xuất PET</v>
      </c>
      <c r="J266" s="172">
        <f>_xlfn.XLOOKUP(Data_Dep.12[[#This Row],[Cost center]],MD_Cost_Center[Mã Cost Center],MD_Cost_Center[Work center],"Check")</f>
        <v>0</v>
      </c>
      <c r="K266" s="169" t="str">
        <f>_xlfn.XLOOKUP(Data_Dep.12[[#This Row],[Nhóm tài sản]],MD_Account_Asset_Type[Nhóm tài sản],MD_Account_Asset_Type[Tài khoản KH],"Check")</f>
        <v>6274001909</v>
      </c>
      <c r="L266" s="173">
        <v>45141</v>
      </c>
      <c r="M266" s="174">
        <f>EDATE(Data_Dep.12[[#This Row],[Ngày bắt đầu KH]],Data_Dep.12[[#This Row],[T/G Khấu hao]])</f>
        <v>46237</v>
      </c>
      <c r="N266" s="175">
        <v>36</v>
      </c>
      <c r="O266" s="175">
        <v>81154545</v>
      </c>
      <c r="P266" s="176">
        <v>-58611616</v>
      </c>
      <c r="Q266" s="175">
        <f>Data_Dep.12[[#This Row],[Nguyên giá]]+Data_Dep.12[[#This Row],[KH lũy kế]]</f>
        <v>22542929</v>
      </c>
      <c r="R266" s="177">
        <v>-2254293</v>
      </c>
      <c r="S266" s="177">
        <v>-2254293</v>
      </c>
      <c r="T266" s="177">
        <v>-2254293</v>
      </c>
      <c r="U266" s="177">
        <f>SUM(Data_Dep.12[[#This Row],[KH_2510]:[KH_2512]])</f>
        <v>-6762879</v>
      </c>
      <c r="V266" s="175">
        <f>Data_Dep.12[[#This Row],[Nguyên giá]]+Data_Dep.12[[#This Row],[KH lũy kế]]+Data_Dep.12[[#This Row],[KH_Q4.25]]</f>
        <v>15780050</v>
      </c>
      <c r="W266" s="178">
        <f>ROUND(Data_Dep.12[[#This Row],[T/G Khấu hao]]-Data_Dep.12[[#This Row],[Giá trị còn lại 31/12/25]]/Data_Dep.12[[#This Row],[Nguyên giá]]*Data_Dep.12[[#This Row],[T/G Khấu hao]],0)</f>
        <v>29</v>
      </c>
      <c r="X266" s="179">
        <v>204</v>
      </c>
      <c r="Y266" s="175">
        <f>Data_Dep.12[[#This Row],[T/G Khấu hao]]+Data_Dep.12[[#This Row],[Điều chỉnh]]</f>
        <v>240</v>
      </c>
      <c r="Z266" s="180">
        <f>EDATE(Data_Dep.12[[#This Row],[Ngày bắt đầu KH]],Data_Dep.12[[#This Row],[T/G điều chỉnh]])</f>
        <v>52446</v>
      </c>
      <c r="AA266" s="175">
        <f>Data_Dep.12[[#This Row],[T/G điều chỉnh]]-Data_Dep.12[[#This Row],[Số kỳ đã khấu hao]]</f>
        <v>211</v>
      </c>
      <c r="AB266" s="175">
        <f>IFERROR(-Data_Dep.12[[#This Row],[Giá trị còn lại 31/12/25]]/(Data_Dep.12[[#This Row],[T/G điều chỉnh]]-Data_Dep.12[[#This Row],[Số kỳ đã khấu hao]]),0)</f>
        <v>-74786.966824644551</v>
      </c>
      <c r="AC266" s="181">
        <v>-74786.966824644551</v>
      </c>
      <c r="AD266" s="181">
        <v>-74786.966824644551</v>
      </c>
      <c r="AE266" s="181">
        <v>-74786.966824644551</v>
      </c>
      <c r="AF266" s="181">
        <v>-74786.966824644551</v>
      </c>
      <c r="AG266" s="181">
        <v>-74786.966824644551</v>
      </c>
      <c r="AH266" s="181">
        <v>-74786.966824644551</v>
      </c>
      <c r="AI266" s="181">
        <v>-74786.966824644551</v>
      </c>
      <c r="AJ266" s="181">
        <v>-74786.966824644551</v>
      </c>
      <c r="AK266" s="181">
        <v>-74786.966824644551</v>
      </c>
      <c r="AL266" s="181">
        <v>-74786.966824644551</v>
      </c>
      <c r="AM266" s="181">
        <v>-74786.966824644551</v>
      </c>
      <c r="AN266" s="181">
        <v>-74786.966824644551</v>
      </c>
      <c r="AO266" s="175">
        <f>SUM(Data_Dep.12[[#This Row],[KH_2601]:[KH_2612]])</f>
        <v>-897443.60189573478</v>
      </c>
      <c r="AP266" s="175">
        <f>Data_Dep.12[[#This Row],[Giá trị còn lại 31/12/25]]+Data_Dep.12[[#This Row],[KH LK 2026]]</f>
        <v>14882606.398104265</v>
      </c>
    </row>
    <row r="267" spans="1:42" x14ac:dyDescent="0.3">
      <c r="A267" s="169"/>
      <c r="B267" s="169"/>
      <c r="C267" s="170" t="s">
        <v>350</v>
      </c>
      <c r="D267" s="169" t="str">
        <f>_xlfn.XLOOKUP(Data_Dep.12[[#This Row],[Nhóm tài sản]],MD_Account_Asset_Type[Nhóm tài sản],MD_Account_Asset_Type[Tên Nhóm tài sản])</f>
        <v>TSCĐ khác - SX 627</v>
      </c>
      <c r="E267" s="171" t="s">
        <v>1137</v>
      </c>
      <c r="F267" s="170" t="s">
        <v>764</v>
      </c>
      <c r="G267" s="169" t="s">
        <v>502</v>
      </c>
      <c r="H267" s="170" t="s">
        <v>48</v>
      </c>
      <c r="I267" s="170" t="str">
        <f>_xlfn.XLOOKUP(Data_Dep.12[[#This Row],[Cost center]],MD_Cost_Center[Mã Cost Center],MD_Cost_Center[Tên Cost Center])</f>
        <v>Xưởng sản xuất PET</v>
      </c>
      <c r="J267" s="172">
        <f>_xlfn.XLOOKUP(Data_Dep.12[[#This Row],[Cost center]],MD_Cost_Center[Mã Cost Center],MD_Cost_Center[Work center],"Check")</f>
        <v>0</v>
      </c>
      <c r="K267" s="169" t="str">
        <f>_xlfn.XLOOKUP(Data_Dep.12[[#This Row],[Nhóm tài sản]],MD_Account_Asset_Type[Nhóm tài sản],MD_Account_Asset_Type[Tài khoản KH],"Check")</f>
        <v>6274001909</v>
      </c>
      <c r="L267" s="173">
        <v>45170</v>
      </c>
      <c r="M267" s="174">
        <f>EDATE(Data_Dep.12[[#This Row],[Ngày bắt đầu KH]],Data_Dep.12[[#This Row],[T/G Khấu hao]])</f>
        <v>50649</v>
      </c>
      <c r="N267" s="175">
        <v>180</v>
      </c>
      <c r="O267" s="175">
        <v>6445602086</v>
      </c>
      <c r="P267" s="176">
        <v>-895222512</v>
      </c>
      <c r="Q267" s="175">
        <f>Data_Dep.12[[#This Row],[Nguyên giá]]+Data_Dep.12[[#This Row],[KH lũy kế]]</f>
        <v>5550379574</v>
      </c>
      <c r="R267" s="177">
        <v>-35808901</v>
      </c>
      <c r="S267" s="177">
        <v>-35808900</v>
      </c>
      <c r="T267" s="177">
        <v>-35808901</v>
      </c>
      <c r="U267" s="177">
        <f>SUM(Data_Dep.12[[#This Row],[KH_2510]:[KH_2512]])</f>
        <v>-107426702</v>
      </c>
      <c r="V267" s="175">
        <f>Data_Dep.12[[#This Row],[Nguyên giá]]+Data_Dep.12[[#This Row],[KH lũy kế]]+Data_Dep.12[[#This Row],[KH_Q4.25]]</f>
        <v>5442952872</v>
      </c>
      <c r="W267" s="178">
        <f>ROUND(Data_Dep.12[[#This Row],[T/G Khấu hao]]-Data_Dep.12[[#This Row],[Giá trị còn lại 31/12/25]]/Data_Dep.12[[#This Row],[Nguyên giá]]*Data_Dep.12[[#This Row],[T/G Khấu hao]],0)</f>
        <v>28</v>
      </c>
      <c r="X267" s="179">
        <v>60</v>
      </c>
      <c r="Y267" s="175">
        <f>Data_Dep.12[[#This Row],[T/G Khấu hao]]+Data_Dep.12[[#This Row],[Điều chỉnh]]</f>
        <v>240</v>
      </c>
      <c r="Z267" s="180">
        <f>EDATE(Data_Dep.12[[#This Row],[Ngày bắt đầu KH]],Data_Dep.12[[#This Row],[T/G điều chỉnh]])</f>
        <v>52475</v>
      </c>
      <c r="AA267" s="175">
        <f>Data_Dep.12[[#This Row],[T/G điều chỉnh]]-Data_Dep.12[[#This Row],[Số kỳ đã khấu hao]]</f>
        <v>212</v>
      </c>
      <c r="AB267" s="175">
        <f>IFERROR(-Data_Dep.12[[#This Row],[Giá trị còn lại 31/12/25]]/(Data_Dep.12[[#This Row],[T/G điều chỉnh]]-Data_Dep.12[[#This Row],[Số kỳ đã khấu hao]]),0)</f>
        <v>-25674306</v>
      </c>
      <c r="AC267" s="181">
        <v>-25674306</v>
      </c>
      <c r="AD267" s="181">
        <v>-25674306</v>
      </c>
      <c r="AE267" s="181">
        <v>-25674306</v>
      </c>
      <c r="AF267" s="181">
        <v>-25674306</v>
      </c>
      <c r="AG267" s="181">
        <v>-25674306</v>
      </c>
      <c r="AH267" s="181">
        <v>-25674306</v>
      </c>
      <c r="AI267" s="181">
        <v>-25674306</v>
      </c>
      <c r="AJ267" s="181">
        <v>-25674306</v>
      </c>
      <c r="AK267" s="181">
        <v>-25674306</v>
      </c>
      <c r="AL267" s="181">
        <v>-25674306</v>
      </c>
      <c r="AM267" s="181">
        <v>-25674306</v>
      </c>
      <c r="AN267" s="181">
        <v>-25674306</v>
      </c>
      <c r="AO267" s="175">
        <f>SUM(Data_Dep.12[[#This Row],[KH_2601]:[KH_2612]])</f>
        <v>-308091672</v>
      </c>
      <c r="AP267" s="175">
        <f>Data_Dep.12[[#This Row],[Giá trị còn lại 31/12/25]]+Data_Dep.12[[#This Row],[KH LK 2026]]</f>
        <v>5134861200</v>
      </c>
    </row>
    <row r="268" spans="1:42" x14ac:dyDescent="0.3">
      <c r="A268" s="169"/>
      <c r="B268" s="169"/>
      <c r="C268" s="170" t="s">
        <v>350</v>
      </c>
      <c r="D268" s="169" t="str">
        <f>_xlfn.XLOOKUP(Data_Dep.12[[#This Row],[Nhóm tài sản]],MD_Account_Asset_Type[Nhóm tài sản],MD_Account_Asset_Type[Tên Nhóm tài sản])</f>
        <v>TSCĐ khác - SX 627</v>
      </c>
      <c r="E268" s="171" t="s">
        <v>1138</v>
      </c>
      <c r="F268" s="170" t="s">
        <v>765</v>
      </c>
      <c r="G268" s="169" t="s">
        <v>502</v>
      </c>
      <c r="H268" s="170" t="s">
        <v>48</v>
      </c>
      <c r="I268" s="170" t="str">
        <f>_xlfn.XLOOKUP(Data_Dep.12[[#This Row],[Cost center]],MD_Cost_Center[Mã Cost Center],MD_Cost_Center[Tên Cost Center])</f>
        <v>Xưởng sản xuất PET</v>
      </c>
      <c r="J268" s="172">
        <f>_xlfn.XLOOKUP(Data_Dep.12[[#This Row],[Cost center]],MD_Cost_Center[Mã Cost Center],MD_Cost_Center[Work center],"Check")</f>
        <v>0</v>
      </c>
      <c r="K268" s="169" t="str">
        <f>_xlfn.XLOOKUP(Data_Dep.12[[#This Row],[Nhóm tài sản]],MD_Account_Asset_Type[Nhóm tài sản],MD_Account_Asset_Type[Tài khoản KH],"Check")</f>
        <v>6274001909</v>
      </c>
      <c r="L268" s="173">
        <v>45323</v>
      </c>
      <c r="M268" s="174">
        <f>EDATE(Data_Dep.12[[#This Row],[Ngày bắt đầu KH]],Data_Dep.12[[#This Row],[T/G Khấu hao]])</f>
        <v>47150</v>
      </c>
      <c r="N268" s="175">
        <v>60</v>
      </c>
      <c r="O268" s="175">
        <v>62000000</v>
      </c>
      <c r="P268" s="176">
        <v>-20666667</v>
      </c>
      <c r="Q268" s="175">
        <f>Data_Dep.12[[#This Row],[Nguyên giá]]+Data_Dep.12[[#This Row],[KH lũy kế]]</f>
        <v>41333333</v>
      </c>
      <c r="R268" s="177">
        <v>-1033333</v>
      </c>
      <c r="S268" s="177">
        <v>-1033334</v>
      </c>
      <c r="T268" s="177">
        <v>-1033333</v>
      </c>
      <c r="U268" s="177">
        <f>SUM(Data_Dep.12[[#This Row],[KH_2510]:[KH_2512]])</f>
        <v>-3100000</v>
      </c>
      <c r="V268" s="175">
        <f>Data_Dep.12[[#This Row],[Nguyên giá]]+Data_Dep.12[[#This Row],[KH lũy kế]]+Data_Dep.12[[#This Row],[KH_Q4.25]]</f>
        <v>38233333</v>
      </c>
      <c r="W268" s="178">
        <f>ROUND(Data_Dep.12[[#This Row],[T/G Khấu hao]]-Data_Dep.12[[#This Row],[Giá trị còn lại 31/12/25]]/Data_Dep.12[[#This Row],[Nguyên giá]]*Data_Dep.12[[#This Row],[T/G Khấu hao]],0)</f>
        <v>23</v>
      </c>
      <c r="X268" s="179">
        <v>240</v>
      </c>
      <c r="Y268" s="175">
        <f>Data_Dep.12[[#This Row],[T/G Khấu hao]]+Data_Dep.12[[#This Row],[Điều chỉnh]]</f>
        <v>300</v>
      </c>
      <c r="Z268" s="180">
        <f>EDATE(Data_Dep.12[[#This Row],[Ngày bắt đầu KH]],Data_Dep.12[[#This Row],[T/G điều chỉnh]])</f>
        <v>54455</v>
      </c>
      <c r="AA268" s="175">
        <f>Data_Dep.12[[#This Row],[T/G điều chỉnh]]-Data_Dep.12[[#This Row],[Số kỳ đã khấu hao]]</f>
        <v>277</v>
      </c>
      <c r="AB268" s="175">
        <f>IFERROR(-Data_Dep.12[[#This Row],[Giá trị còn lại 31/12/25]]/(Data_Dep.12[[#This Row],[T/G điều chỉnh]]-Data_Dep.12[[#This Row],[Số kỳ đã khấu hao]]),0)</f>
        <v>-138026.47292418772</v>
      </c>
      <c r="AC268" s="181">
        <v>-138026.47292418772</v>
      </c>
      <c r="AD268" s="181">
        <v>-138026.47292418772</v>
      </c>
      <c r="AE268" s="181">
        <v>-138026.47292418772</v>
      </c>
      <c r="AF268" s="181">
        <v>-138026.47292418772</v>
      </c>
      <c r="AG268" s="181">
        <v>-138026.47292418772</v>
      </c>
      <c r="AH268" s="181">
        <v>-138026.47292418772</v>
      </c>
      <c r="AI268" s="181">
        <v>-138026.47292418772</v>
      </c>
      <c r="AJ268" s="181">
        <v>-138026.47292418772</v>
      </c>
      <c r="AK268" s="181">
        <v>-138026.47292418772</v>
      </c>
      <c r="AL268" s="181">
        <v>-138026.47292418772</v>
      </c>
      <c r="AM268" s="181">
        <v>-138026.47292418772</v>
      </c>
      <c r="AN268" s="181">
        <v>-138026.47292418772</v>
      </c>
      <c r="AO268" s="175">
        <f>SUM(Data_Dep.12[[#This Row],[KH_2601]:[KH_2612]])</f>
        <v>-1656317.6750902531</v>
      </c>
      <c r="AP268" s="175">
        <f>Data_Dep.12[[#This Row],[Giá trị còn lại 31/12/25]]+Data_Dep.12[[#This Row],[KH LK 2026]]</f>
        <v>36577015.324909747</v>
      </c>
    </row>
    <row r="269" spans="1:42" x14ac:dyDescent="0.3">
      <c r="A269" s="169"/>
      <c r="B269" s="169"/>
      <c r="C269" s="170" t="s">
        <v>350</v>
      </c>
      <c r="D269" s="169" t="str">
        <f>_xlfn.XLOOKUP(Data_Dep.12[[#This Row],[Nhóm tài sản]],MD_Account_Asset_Type[Nhóm tài sản],MD_Account_Asset_Type[Tên Nhóm tài sản])</f>
        <v>TSCĐ khác - SX 627</v>
      </c>
      <c r="E269" s="171" t="s">
        <v>1139</v>
      </c>
      <c r="F269" s="170" t="s">
        <v>766</v>
      </c>
      <c r="G269" s="169" t="s">
        <v>502</v>
      </c>
      <c r="H269" s="170" t="s">
        <v>89</v>
      </c>
      <c r="I269" s="170" t="str">
        <f>_xlfn.XLOOKUP(Data_Dep.12[[#This Row],[Cost center]],MD_Cost_Center[Mã Cost Center],MD_Cost_Center[Tên Cost Center])</f>
        <v>Khối SX - Xưởng 2</v>
      </c>
      <c r="J269" s="172">
        <f>_xlfn.XLOOKUP(Data_Dep.12[[#This Row],[Cost center]],MD_Cost_Center[Mã Cost Center],MD_Cost_Center[Work center],"Check")</f>
        <v>0</v>
      </c>
      <c r="K269" s="169" t="str">
        <f>_xlfn.XLOOKUP(Data_Dep.12[[#This Row],[Nhóm tài sản]],MD_Account_Asset_Type[Nhóm tài sản],MD_Account_Asset_Type[Tài khoản KH],"Check")</f>
        <v>6274001909</v>
      </c>
      <c r="L269" s="173">
        <v>45323</v>
      </c>
      <c r="M269" s="174">
        <f>EDATE(Data_Dep.12[[#This Row],[Ngày bắt đầu KH]],Data_Dep.12[[#This Row],[T/G Khấu hao]])</f>
        <v>47150</v>
      </c>
      <c r="N269" s="175">
        <v>60</v>
      </c>
      <c r="O269" s="175">
        <v>82154641</v>
      </c>
      <c r="P269" s="176">
        <v>-27384880</v>
      </c>
      <c r="Q269" s="175">
        <f>Data_Dep.12[[#This Row],[Nguyên giá]]+Data_Dep.12[[#This Row],[KH lũy kế]]</f>
        <v>54769761</v>
      </c>
      <c r="R269" s="177">
        <v>-1369244</v>
      </c>
      <c r="S269" s="177">
        <v>-1369244</v>
      </c>
      <c r="T269" s="177">
        <v>-1369244</v>
      </c>
      <c r="U269" s="177">
        <f>SUM(Data_Dep.12[[#This Row],[KH_2510]:[KH_2512]])</f>
        <v>-4107732</v>
      </c>
      <c r="V269" s="175">
        <f>Data_Dep.12[[#This Row],[Nguyên giá]]+Data_Dep.12[[#This Row],[KH lũy kế]]+Data_Dep.12[[#This Row],[KH_Q4.25]]</f>
        <v>50662029</v>
      </c>
      <c r="W269" s="178">
        <f>ROUND(Data_Dep.12[[#This Row],[T/G Khấu hao]]-Data_Dep.12[[#This Row],[Giá trị còn lại 31/12/25]]/Data_Dep.12[[#This Row],[Nguyên giá]]*Data_Dep.12[[#This Row],[T/G Khấu hao]],0)</f>
        <v>23</v>
      </c>
      <c r="X269" s="179">
        <v>84</v>
      </c>
      <c r="Y269" s="175">
        <f>Data_Dep.12[[#This Row],[T/G Khấu hao]]+Data_Dep.12[[#This Row],[Điều chỉnh]]</f>
        <v>144</v>
      </c>
      <c r="Z269" s="180">
        <f>EDATE(Data_Dep.12[[#This Row],[Ngày bắt đầu KH]],Data_Dep.12[[#This Row],[T/G điều chỉnh]])</f>
        <v>49706</v>
      </c>
      <c r="AA269" s="175">
        <f>Data_Dep.12[[#This Row],[T/G điều chỉnh]]-Data_Dep.12[[#This Row],[Số kỳ đã khấu hao]]</f>
        <v>121</v>
      </c>
      <c r="AB269" s="175">
        <f>IFERROR(-Data_Dep.12[[#This Row],[Giá trị còn lại 31/12/25]]/(Data_Dep.12[[#This Row],[T/G điều chỉnh]]-Data_Dep.12[[#This Row],[Số kỳ đã khấu hao]]),0)</f>
        <v>-418694.45454545453</v>
      </c>
      <c r="AC269" s="181">
        <v>-418694.45454545453</v>
      </c>
      <c r="AD269" s="181">
        <v>-418694.45454545453</v>
      </c>
      <c r="AE269" s="181">
        <v>-418694.45454545453</v>
      </c>
      <c r="AF269" s="181">
        <v>-418694.45454545453</v>
      </c>
      <c r="AG269" s="181">
        <v>-418694.45454545453</v>
      </c>
      <c r="AH269" s="181">
        <v>-418694.45454545453</v>
      </c>
      <c r="AI269" s="181">
        <v>-418694.45454545453</v>
      </c>
      <c r="AJ269" s="181">
        <v>-418694.45454545453</v>
      </c>
      <c r="AK269" s="181">
        <v>-418694.45454545453</v>
      </c>
      <c r="AL269" s="181">
        <v>-418694.45454545453</v>
      </c>
      <c r="AM269" s="181">
        <v>-418694.45454545453</v>
      </c>
      <c r="AN269" s="181">
        <v>-418694.45454545453</v>
      </c>
      <c r="AO269" s="175">
        <f>SUM(Data_Dep.12[[#This Row],[KH_2601]:[KH_2612]])</f>
        <v>-5024333.4545454541</v>
      </c>
      <c r="AP269" s="175">
        <f>Data_Dep.12[[#This Row],[Giá trị còn lại 31/12/25]]+Data_Dep.12[[#This Row],[KH LK 2026]]</f>
        <v>45637695.545454547</v>
      </c>
    </row>
    <row r="270" spans="1:42" x14ac:dyDescent="0.3">
      <c r="A270" s="169"/>
      <c r="B270" s="169"/>
      <c r="C270" s="170" t="s">
        <v>350</v>
      </c>
      <c r="D270" s="169" t="str">
        <f>_xlfn.XLOOKUP(Data_Dep.12[[#This Row],[Nhóm tài sản]],MD_Account_Asset_Type[Nhóm tài sản],MD_Account_Asset_Type[Tên Nhóm tài sản])</f>
        <v>TSCĐ khác - SX 627</v>
      </c>
      <c r="E270" s="171" t="s">
        <v>1140</v>
      </c>
      <c r="F270" s="170" t="s">
        <v>767</v>
      </c>
      <c r="G270" s="169" t="s">
        <v>502</v>
      </c>
      <c r="H270" s="170" t="s">
        <v>89</v>
      </c>
      <c r="I270" s="170" t="str">
        <f>_xlfn.XLOOKUP(Data_Dep.12[[#This Row],[Cost center]],MD_Cost_Center[Mã Cost Center],MD_Cost_Center[Tên Cost Center])</f>
        <v>Khối SX - Xưởng 2</v>
      </c>
      <c r="J270" s="172">
        <f>_xlfn.XLOOKUP(Data_Dep.12[[#This Row],[Cost center]],MD_Cost_Center[Mã Cost Center],MD_Cost_Center[Work center],"Check")</f>
        <v>0</v>
      </c>
      <c r="K270" s="169" t="str">
        <f>_xlfn.XLOOKUP(Data_Dep.12[[#This Row],[Nhóm tài sản]],MD_Account_Asset_Type[Nhóm tài sản],MD_Account_Asset_Type[Tài khoản KH],"Check")</f>
        <v>6274001909</v>
      </c>
      <c r="L270" s="173">
        <v>45323</v>
      </c>
      <c r="M270" s="174">
        <f>EDATE(Data_Dep.12[[#This Row],[Ngày bắt đầu KH]],Data_Dep.12[[#This Row],[T/G Khấu hao]])</f>
        <v>47150</v>
      </c>
      <c r="N270" s="175">
        <v>60</v>
      </c>
      <c r="O270" s="175">
        <v>85500000</v>
      </c>
      <c r="P270" s="176">
        <v>-28500000</v>
      </c>
      <c r="Q270" s="175">
        <f>Data_Dep.12[[#This Row],[Nguyên giá]]+Data_Dep.12[[#This Row],[KH lũy kế]]</f>
        <v>57000000</v>
      </c>
      <c r="R270" s="177">
        <v>-1425000</v>
      </c>
      <c r="S270" s="177">
        <v>-1425000</v>
      </c>
      <c r="T270" s="177">
        <v>-1425000</v>
      </c>
      <c r="U270" s="177">
        <f>SUM(Data_Dep.12[[#This Row],[KH_2510]:[KH_2512]])</f>
        <v>-4275000</v>
      </c>
      <c r="V270" s="175">
        <f>Data_Dep.12[[#This Row],[Nguyên giá]]+Data_Dep.12[[#This Row],[KH lũy kế]]+Data_Dep.12[[#This Row],[KH_Q4.25]]</f>
        <v>52725000</v>
      </c>
      <c r="W270" s="178">
        <f>ROUND(Data_Dep.12[[#This Row],[T/G Khấu hao]]-Data_Dep.12[[#This Row],[Giá trị còn lại 31/12/25]]/Data_Dep.12[[#This Row],[Nguyên giá]]*Data_Dep.12[[#This Row],[T/G Khấu hao]],0)</f>
        <v>23</v>
      </c>
      <c r="X270" s="179">
        <v>84</v>
      </c>
      <c r="Y270" s="175">
        <f>Data_Dep.12[[#This Row],[T/G Khấu hao]]+Data_Dep.12[[#This Row],[Điều chỉnh]]</f>
        <v>144</v>
      </c>
      <c r="Z270" s="180">
        <f>EDATE(Data_Dep.12[[#This Row],[Ngày bắt đầu KH]],Data_Dep.12[[#This Row],[T/G điều chỉnh]])</f>
        <v>49706</v>
      </c>
      <c r="AA270" s="175">
        <f>Data_Dep.12[[#This Row],[T/G điều chỉnh]]-Data_Dep.12[[#This Row],[Số kỳ đã khấu hao]]</f>
        <v>121</v>
      </c>
      <c r="AB270" s="175">
        <f>IFERROR(-Data_Dep.12[[#This Row],[Giá trị còn lại 31/12/25]]/(Data_Dep.12[[#This Row],[T/G điều chỉnh]]-Data_Dep.12[[#This Row],[Số kỳ đã khấu hao]]),0)</f>
        <v>-435743.80165289255</v>
      </c>
      <c r="AC270" s="181">
        <v>-435743.80165289255</v>
      </c>
      <c r="AD270" s="181">
        <v>-435743.80165289255</v>
      </c>
      <c r="AE270" s="181">
        <v>-435743.80165289255</v>
      </c>
      <c r="AF270" s="181">
        <v>-435743.80165289255</v>
      </c>
      <c r="AG270" s="181">
        <v>-435743.80165289255</v>
      </c>
      <c r="AH270" s="181">
        <v>-435743.80165289255</v>
      </c>
      <c r="AI270" s="181">
        <v>-435743.80165289255</v>
      </c>
      <c r="AJ270" s="181">
        <v>-435743.80165289255</v>
      </c>
      <c r="AK270" s="181">
        <v>-435743.80165289255</v>
      </c>
      <c r="AL270" s="181">
        <v>-435743.80165289255</v>
      </c>
      <c r="AM270" s="181">
        <v>-435743.80165289255</v>
      </c>
      <c r="AN270" s="181">
        <v>-435743.80165289255</v>
      </c>
      <c r="AO270" s="175">
        <f>SUM(Data_Dep.12[[#This Row],[KH_2601]:[KH_2612]])</f>
        <v>-5228925.6198347108</v>
      </c>
      <c r="AP270" s="175">
        <f>Data_Dep.12[[#This Row],[Giá trị còn lại 31/12/25]]+Data_Dep.12[[#This Row],[KH LK 2026]]</f>
        <v>47496074.380165286</v>
      </c>
    </row>
    <row r="271" spans="1:42" x14ac:dyDescent="0.3">
      <c r="A271" s="169"/>
      <c r="B271" s="169"/>
      <c r="C271" s="170" t="s">
        <v>350</v>
      </c>
      <c r="D271" s="169" t="str">
        <f>_xlfn.XLOOKUP(Data_Dep.12[[#This Row],[Nhóm tài sản]],MD_Account_Asset_Type[Nhóm tài sản],MD_Account_Asset_Type[Tên Nhóm tài sản])</f>
        <v>TSCĐ khác - SX 627</v>
      </c>
      <c r="E271" s="171" t="s">
        <v>1141</v>
      </c>
      <c r="F271" s="170" t="s">
        <v>768</v>
      </c>
      <c r="G271" s="169" t="s">
        <v>502</v>
      </c>
      <c r="H271" s="170" t="s">
        <v>48</v>
      </c>
      <c r="I271" s="170" t="str">
        <f>_xlfn.XLOOKUP(Data_Dep.12[[#This Row],[Cost center]],MD_Cost_Center[Mã Cost Center],MD_Cost_Center[Tên Cost Center])</f>
        <v>Xưởng sản xuất PET</v>
      </c>
      <c r="J271" s="172">
        <f>_xlfn.XLOOKUP(Data_Dep.12[[#This Row],[Cost center]],MD_Cost_Center[Mã Cost Center],MD_Cost_Center[Work center],"Check")</f>
        <v>0</v>
      </c>
      <c r="K271" s="169" t="str">
        <f>_xlfn.XLOOKUP(Data_Dep.12[[#This Row],[Nhóm tài sản]],MD_Account_Asset_Type[Nhóm tài sản],MD_Account_Asset_Type[Tài khoản KH],"Check")</f>
        <v>6274001909</v>
      </c>
      <c r="L271" s="173">
        <v>45323</v>
      </c>
      <c r="M271" s="174">
        <f>EDATE(Data_Dep.12[[#This Row],[Ngày bắt đầu KH]],Data_Dep.12[[#This Row],[T/G Khấu hao]])</f>
        <v>47150</v>
      </c>
      <c r="N271" s="175">
        <v>60</v>
      </c>
      <c r="O271" s="175">
        <v>62000000</v>
      </c>
      <c r="P271" s="176">
        <v>-20666667</v>
      </c>
      <c r="Q271" s="175">
        <f>Data_Dep.12[[#This Row],[Nguyên giá]]+Data_Dep.12[[#This Row],[KH lũy kế]]</f>
        <v>41333333</v>
      </c>
      <c r="R271" s="177">
        <v>-1033333</v>
      </c>
      <c r="S271" s="177">
        <v>-1033334</v>
      </c>
      <c r="T271" s="177">
        <v>-1033333</v>
      </c>
      <c r="U271" s="177">
        <f>SUM(Data_Dep.12[[#This Row],[KH_2510]:[KH_2512]])</f>
        <v>-3100000</v>
      </c>
      <c r="V271" s="175">
        <f>Data_Dep.12[[#This Row],[Nguyên giá]]+Data_Dep.12[[#This Row],[KH lũy kế]]+Data_Dep.12[[#This Row],[KH_Q4.25]]</f>
        <v>38233333</v>
      </c>
      <c r="W271" s="178">
        <f>ROUND(Data_Dep.12[[#This Row],[T/G Khấu hao]]-Data_Dep.12[[#This Row],[Giá trị còn lại 31/12/25]]/Data_Dep.12[[#This Row],[Nguyên giá]]*Data_Dep.12[[#This Row],[T/G Khấu hao]],0)</f>
        <v>23</v>
      </c>
      <c r="X271" s="179">
        <v>240</v>
      </c>
      <c r="Y271" s="175">
        <f>Data_Dep.12[[#This Row],[T/G Khấu hao]]+Data_Dep.12[[#This Row],[Điều chỉnh]]</f>
        <v>300</v>
      </c>
      <c r="Z271" s="180">
        <f>EDATE(Data_Dep.12[[#This Row],[Ngày bắt đầu KH]],Data_Dep.12[[#This Row],[T/G điều chỉnh]])</f>
        <v>54455</v>
      </c>
      <c r="AA271" s="175">
        <f>Data_Dep.12[[#This Row],[T/G điều chỉnh]]-Data_Dep.12[[#This Row],[Số kỳ đã khấu hao]]</f>
        <v>277</v>
      </c>
      <c r="AB271" s="175">
        <f>IFERROR(-Data_Dep.12[[#This Row],[Giá trị còn lại 31/12/25]]/(Data_Dep.12[[#This Row],[T/G điều chỉnh]]-Data_Dep.12[[#This Row],[Số kỳ đã khấu hao]]),0)</f>
        <v>-138026.47292418772</v>
      </c>
      <c r="AC271" s="181">
        <v>-138026.47292418772</v>
      </c>
      <c r="AD271" s="181">
        <v>-138026.47292418772</v>
      </c>
      <c r="AE271" s="181">
        <v>-138026.47292418772</v>
      </c>
      <c r="AF271" s="181">
        <v>-138026.47292418772</v>
      </c>
      <c r="AG271" s="181">
        <v>-138026.47292418772</v>
      </c>
      <c r="AH271" s="181">
        <v>-138026.47292418772</v>
      </c>
      <c r="AI271" s="181">
        <v>-138026.47292418772</v>
      </c>
      <c r="AJ271" s="181">
        <v>-138026.47292418772</v>
      </c>
      <c r="AK271" s="181">
        <v>-138026.47292418772</v>
      </c>
      <c r="AL271" s="181">
        <v>-138026.47292418772</v>
      </c>
      <c r="AM271" s="181">
        <v>-138026.47292418772</v>
      </c>
      <c r="AN271" s="181">
        <v>-138026.47292418772</v>
      </c>
      <c r="AO271" s="175">
        <f>SUM(Data_Dep.12[[#This Row],[KH_2601]:[KH_2612]])</f>
        <v>-1656317.6750902531</v>
      </c>
      <c r="AP271" s="175">
        <f>Data_Dep.12[[#This Row],[Giá trị còn lại 31/12/25]]+Data_Dep.12[[#This Row],[KH LK 2026]]</f>
        <v>36577015.324909747</v>
      </c>
    </row>
    <row r="272" spans="1:42" x14ac:dyDescent="0.3">
      <c r="A272" s="169"/>
      <c r="B272" s="169"/>
      <c r="C272" s="170" t="s">
        <v>350</v>
      </c>
      <c r="D272" s="169" t="str">
        <f>_xlfn.XLOOKUP(Data_Dep.12[[#This Row],[Nhóm tài sản]],MD_Account_Asset_Type[Nhóm tài sản],MD_Account_Asset_Type[Tên Nhóm tài sản])</f>
        <v>TSCĐ khác - SX 627</v>
      </c>
      <c r="E272" s="171" t="s">
        <v>1142</v>
      </c>
      <c r="F272" s="170" t="s">
        <v>769</v>
      </c>
      <c r="G272" s="169" t="s">
        <v>502</v>
      </c>
      <c r="H272" s="170" t="s">
        <v>48</v>
      </c>
      <c r="I272" s="170" t="str">
        <f>_xlfn.XLOOKUP(Data_Dep.12[[#This Row],[Cost center]],MD_Cost_Center[Mã Cost Center],MD_Cost_Center[Tên Cost Center])</f>
        <v>Xưởng sản xuất PET</v>
      </c>
      <c r="J272" s="172">
        <f>_xlfn.XLOOKUP(Data_Dep.12[[#This Row],[Cost center]],MD_Cost_Center[Mã Cost Center],MD_Cost_Center[Work center],"Check")</f>
        <v>0</v>
      </c>
      <c r="K272" s="169" t="str">
        <f>_xlfn.XLOOKUP(Data_Dep.12[[#This Row],[Nhóm tài sản]],MD_Account_Asset_Type[Nhóm tài sản],MD_Account_Asset_Type[Tài khoản KH],"Check")</f>
        <v>6274001909</v>
      </c>
      <c r="L272" s="173">
        <v>45383</v>
      </c>
      <c r="M272" s="174">
        <f>EDATE(Data_Dep.12[[#This Row],[Ngày bắt đầu KH]],Data_Dep.12[[#This Row],[T/G Khấu hao]])</f>
        <v>50861</v>
      </c>
      <c r="N272" s="175">
        <v>180</v>
      </c>
      <c r="O272" s="175">
        <v>22957791544</v>
      </c>
      <c r="P272" s="176">
        <v>-2295779154</v>
      </c>
      <c r="Q272" s="175">
        <f>Data_Dep.12[[#This Row],[Nguyên giá]]+Data_Dep.12[[#This Row],[KH lũy kế]]</f>
        <v>20662012390</v>
      </c>
      <c r="R272" s="177">
        <v>-127543287</v>
      </c>
      <c r="S272" s="177">
        <v>-127543286</v>
      </c>
      <c r="T272" s="177">
        <v>-127543286</v>
      </c>
      <c r="U272" s="177">
        <f>SUM(Data_Dep.12[[#This Row],[KH_2510]:[KH_2512]])</f>
        <v>-382629859</v>
      </c>
      <c r="V272" s="175">
        <f>Data_Dep.12[[#This Row],[Nguyên giá]]+Data_Dep.12[[#This Row],[KH lũy kế]]+Data_Dep.12[[#This Row],[KH_Q4.25]]</f>
        <v>20279382531</v>
      </c>
      <c r="W272" s="178">
        <f>ROUND(Data_Dep.12[[#This Row],[T/G Khấu hao]]-Data_Dep.12[[#This Row],[Giá trị còn lại 31/12/25]]/Data_Dep.12[[#This Row],[Nguyên giá]]*Data_Dep.12[[#This Row],[T/G Khấu hao]],0)</f>
        <v>21</v>
      </c>
      <c r="X272" s="179">
        <v>60</v>
      </c>
      <c r="Y272" s="175">
        <f>Data_Dep.12[[#This Row],[T/G Khấu hao]]+Data_Dep.12[[#This Row],[Điều chỉnh]]</f>
        <v>240</v>
      </c>
      <c r="Z272" s="180">
        <f>EDATE(Data_Dep.12[[#This Row],[Ngày bắt đầu KH]],Data_Dep.12[[#This Row],[T/G điều chỉnh]])</f>
        <v>52688</v>
      </c>
      <c r="AA272" s="175">
        <f>Data_Dep.12[[#This Row],[T/G điều chỉnh]]-Data_Dep.12[[#This Row],[Số kỳ đã khấu hao]]</f>
        <v>219</v>
      </c>
      <c r="AB272" s="175">
        <f>IFERROR(-Data_Dep.12[[#This Row],[Giá trị còn lại 31/12/25]]/(Data_Dep.12[[#This Row],[T/G điều chỉnh]]-Data_Dep.12[[#This Row],[Số kỳ đã khấu hao]]),0)</f>
        <v>-92599920.232876718</v>
      </c>
      <c r="AC272" s="181">
        <v>-92599920.232876718</v>
      </c>
      <c r="AD272" s="181">
        <v>-92599920.232876718</v>
      </c>
      <c r="AE272" s="181">
        <v>-92599920.232876718</v>
      </c>
      <c r="AF272" s="181">
        <v>-92599920.232876718</v>
      </c>
      <c r="AG272" s="181">
        <v>-92599920.232876718</v>
      </c>
      <c r="AH272" s="181">
        <v>-92599920.232876718</v>
      </c>
      <c r="AI272" s="181">
        <v>-92599920.232876718</v>
      </c>
      <c r="AJ272" s="181">
        <v>-92599920.232876718</v>
      </c>
      <c r="AK272" s="181">
        <v>-92599920.232876718</v>
      </c>
      <c r="AL272" s="181">
        <v>-92599920.232876718</v>
      </c>
      <c r="AM272" s="181">
        <v>-92599920.232876718</v>
      </c>
      <c r="AN272" s="181">
        <v>-92599920.232876718</v>
      </c>
      <c r="AO272" s="175">
        <f>SUM(Data_Dep.12[[#This Row],[KH_2601]:[KH_2612]])</f>
        <v>-1111199042.7945209</v>
      </c>
      <c r="AP272" s="175">
        <f>Data_Dep.12[[#This Row],[Giá trị còn lại 31/12/25]]+Data_Dep.12[[#This Row],[KH LK 2026]]</f>
        <v>19168183488.205479</v>
      </c>
    </row>
    <row r="273" spans="1:42" x14ac:dyDescent="0.3">
      <c r="A273" s="169"/>
      <c r="B273" s="169"/>
      <c r="C273" s="170" t="s">
        <v>350</v>
      </c>
      <c r="D273" s="169" t="str">
        <f>_xlfn.XLOOKUP(Data_Dep.12[[#This Row],[Nhóm tài sản]],MD_Account_Asset_Type[Nhóm tài sản],MD_Account_Asset_Type[Tên Nhóm tài sản])</f>
        <v>TSCĐ khác - SX 627</v>
      </c>
      <c r="E273" s="171" t="s">
        <v>1143</v>
      </c>
      <c r="F273" s="170" t="s">
        <v>770</v>
      </c>
      <c r="G273" s="169" t="s">
        <v>502</v>
      </c>
      <c r="H273" s="170" t="s">
        <v>48</v>
      </c>
      <c r="I273" s="170" t="str">
        <f>_xlfn.XLOOKUP(Data_Dep.12[[#This Row],[Cost center]],MD_Cost_Center[Mã Cost Center],MD_Cost_Center[Tên Cost Center])</f>
        <v>Xưởng sản xuất PET</v>
      </c>
      <c r="J273" s="172">
        <f>_xlfn.XLOOKUP(Data_Dep.12[[#This Row],[Cost center]],MD_Cost_Center[Mã Cost Center],MD_Cost_Center[Work center],"Check")</f>
        <v>0</v>
      </c>
      <c r="K273" s="169" t="str">
        <f>_xlfn.XLOOKUP(Data_Dep.12[[#This Row],[Nhóm tài sản]],MD_Account_Asset_Type[Nhóm tài sản],MD_Account_Asset_Type[Tài khoản KH],"Check")</f>
        <v>6274001909</v>
      </c>
      <c r="L273" s="173">
        <v>45383</v>
      </c>
      <c r="M273" s="174">
        <f>EDATE(Data_Dep.12[[#This Row],[Ngày bắt đầu KH]],Data_Dep.12[[#This Row],[T/G Khấu hao]])</f>
        <v>46478</v>
      </c>
      <c r="N273" s="175">
        <v>36</v>
      </c>
      <c r="O273" s="175">
        <v>185719645</v>
      </c>
      <c r="P273" s="176">
        <v>-92859822</v>
      </c>
      <c r="Q273" s="175">
        <f>Data_Dep.12[[#This Row],[Nguyên giá]]+Data_Dep.12[[#This Row],[KH lũy kế]]</f>
        <v>92859823</v>
      </c>
      <c r="R273" s="177">
        <v>-5158879</v>
      </c>
      <c r="S273" s="177">
        <v>-5158879</v>
      </c>
      <c r="T273" s="177">
        <v>-5158879</v>
      </c>
      <c r="U273" s="177">
        <f>SUM(Data_Dep.12[[#This Row],[KH_2510]:[KH_2512]])</f>
        <v>-15476637</v>
      </c>
      <c r="V273" s="175">
        <f>Data_Dep.12[[#This Row],[Nguyên giá]]+Data_Dep.12[[#This Row],[KH lũy kế]]+Data_Dep.12[[#This Row],[KH_Q4.25]]</f>
        <v>77383186</v>
      </c>
      <c r="W273" s="178">
        <f>ROUND(Data_Dep.12[[#This Row],[T/G Khấu hao]]-Data_Dep.12[[#This Row],[Giá trị còn lại 31/12/25]]/Data_Dep.12[[#This Row],[Nguyên giá]]*Data_Dep.12[[#This Row],[T/G Khấu hao]],0)</f>
        <v>21</v>
      </c>
      <c r="X273" s="179">
        <v>108</v>
      </c>
      <c r="Y273" s="175">
        <f>Data_Dep.12[[#This Row],[T/G Khấu hao]]+Data_Dep.12[[#This Row],[Điều chỉnh]]</f>
        <v>144</v>
      </c>
      <c r="Z273" s="180">
        <f>EDATE(Data_Dep.12[[#This Row],[Ngày bắt đầu KH]],Data_Dep.12[[#This Row],[T/G điều chỉnh]])</f>
        <v>49766</v>
      </c>
      <c r="AA273" s="175">
        <f>Data_Dep.12[[#This Row],[T/G điều chỉnh]]-Data_Dep.12[[#This Row],[Số kỳ đã khấu hao]]</f>
        <v>123</v>
      </c>
      <c r="AB273" s="175">
        <f>IFERROR(-Data_Dep.12[[#This Row],[Giá trị còn lại 31/12/25]]/(Data_Dep.12[[#This Row],[T/G điều chỉnh]]-Data_Dep.12[[#This Row],[Số kỳ đã khấu hao]]),0)</f>
        <v>-629131.59349593497</v>
      </c>
      <c r="AC273" s="181">
        <v>-629131.59349593497</v>
      </c>
      <c r="AD273" s="181">
        <v>-629131.59349593497</v>
      </c>
      <c r="AE273" s="181">
        <v>-629131.59349593497</v>
      </c>
      <c r="AF273" s="181">
        <v>-629131.59349593497</v>
      </c>
      <c r="AG273" s="181">
        <v>-629131.59349593497</v>
      </c>
      <c r="AH273" s="181">
        <v>-629131.59349593497</v>
      </c>
      <c r="AI273" s="181">
        <v>-629131.59349593497</v>
      </c>
      <c r="AJ273" s="181">
        <v>-629131.59349593497</v>
      </c>
      <c r="AK273" s="181">
        <v>-629131.59349593497</v>
      </c>
      <c r="AL273" s="181">
        <v>-629131.59349593497</v>
      </c>
      <c r="AM273" s="181">
        <v>-629131.59349593497</v>
      </c>
      <c r="AN273" s="181">
        <v>-629131.59349593497</v>
      </c>
      <c r="AO273" s="175">
        <f>SUM(Data_Dep.12[[#This Row],[KH_2601]:[KH_2612]])</f>
        <v>-7549579.1219512215</v>
      </c>
      <c r="AP273" s="175">
        <f>Data_Dep.12[[#This Row],[Giá trị còn lại 31/12/25]]+Data_Dep.12[[#This Row],[KH LK 2026]]</f>
        <v>69833606.878048778</v>
      </c>
    </row>
    <row r="274" spans="1:42" x14ac:dyDescent="0.3">
      <c r="A274" s="169"/>
      <c r="B274" s="169"/>
      <c r="C274" s="170" t="s">
        <v>350</v>
      </c>
      <c r="D274" s="169" t="str">
        <f>_xlfn.XLOOKUP(Data_Dep.12[[#This Row],[Nhóm tài sản]],MD_Account_Asset_Type[Nhóm tài sản],MD_Account_Asset_Type[Tên Nhóm tài sản])</f>
        <v>TSCĐ khác - SX 627</v>
      </c>
      <c r="E274" s="171" t="s">
        <v>1144</v>
      </c>
      <c r="F274" s="170" t="s">
        <v>771</v>
      </c>
      <c r="G274" s="169" t="s">
        <v>502</v>
      </c>
      <c r="H274" s="170" t="s">
        <v>90</v>
      </c>
      <c r="I274" s="170" t="str">
        <f>_xlfn.XLOOKUP(Data_Dep.12[[#This Row],[Cost center]],MD_Cost_Center[Mã Cost Center],MD_Cost_Center[Tên Cost Center])</f>
        <v>Khối SX - Xưởng 4</v>
      </c>
      <c r="J274" s="172">
        <f>_xlfn.XLOOKUP(Data_Dep.12[[#This Row],[Cost center]],MD_Cost_Center[Mã Cost Center],MD_Cost_Center[Work center],"Check")</f>
        <v>0</v>
      </c>
      <c r="K274" s="169" t="str">
        <f>_xlfn.XLOOKUP(Data_Dep.12[[#This Row],[Nhóm tài sản]],MD_Account_Asset_Type[Nhóm tài sản],MD_Account_Asset_Type[Tài khoản KH],"Check")</f>
        <v>6274001909</v>
      </c>
      <c r="L274" s="173">
        <v>45413</v>
      </c>
      <c r="M274" s="174">
        <f>EDATE(Data_Dep.12[[#This Row],[Ngày bắt đầu KH]],Data_Dep.12[[#This Row],[T/G Khấu hao]])</f>
        <v>47239</v>
      </c>
      <c r="N274" s="175">
        <v>60</v>
      </c>
      <c r="O274" s="175">
        <v>1744151201</v>
      </c>
      <c r="P274" s="176">
        <v>-494176173</v>
      </c>
      <c r="Q274" s="175">
        <f>Data_Dep.12[[#This Row],[Nguyên giá]]+Data_Dep.12[[#This Row],[KH lũy kế]]</f>
        <v>1249975028</v>
      </c>
      <c r="R274" s="177">
        <v>-29069187</v>
      </c>
      <c r="S274" s="177">
        <v>-29069187</v>
      </c>
      <c r="T274" s="177">
        <v>-29069186</v>
      </c>
      <c r="U274" s="177">
        <f>SUM(Data_Dep.12[[#This Row],[KH_2510]:[KH_2512]])</f>
        <v>-87207560</v>
      </c>
      <c r="V274" s="175">
        <f>Data_Dep.12[[#This Row],[Nguyên giá]]+Data_Dep.12[[#This Row],[KH lũy kế]]+Data_Dep.12[[#This Row],[KH_Q4.25]]</f>
        <v>1162767468</v>
      </c>
      <c r="W274" s="178">
        <f>ROUND(Data_Dep.12[[#This Row],[T/G Khấu hao]]-Data_Dep.12[[#This Row],[Giá trị còn lại 31/12/25]]/Data_Dep.12[[#This Row],[Nguyên giá]]*Data_Dep.12[[#This Row],[T/G Khấu hao]],0)</f>
        <v>20</v>
      </c>
      <c r="X274" s="179">
        <v>84</v>
      </c>
      <c r="Y274" s="175">
        <f>Data_Dep.12[[#This Row],[T/G Khấu hao]]+Data_Dep.12[[#This Row],[Điều chỉnh]]</f>
        <v>144</v>
      </c>
      <c r="Z274" s="180">
        <f>EDATE(Data_Dep.12[[#This Row],[Ngày bắt đầu KH]],Data_Dep.12[[#This Row],[T/G điều chỉnh]])</f>
        <v>49796</v>
      </c>
      <c r="AA274" s="175">
        <f>Data_Dep.12[[#This Row],[T/G điều chỉnh]]-Data_Dep.12[[#This Row],[Số kỳ đã khấu hao]]</f>
        <v>124</v>
      </c>
      <c r="AB274" s="175">
        <f>IFERROR(-Data_Dep.12[[#This Row],[Giá trị còn lại 31/12/25]]/(Data_Dep.12[[#This Row],[T/G điều chỉnh]]-Data_Dep.12[[#This Row],[Số kỳ đã khấu hao]]),0)</f>
        <v>-9377157</v>
      </c>
      <c r="AC274" s="181">
        <v>-9377157</v>
      </c>
      <c r="AD274" s="181">
        <v>-9377157</v>
      </c>
      <c r="AE274" s="181">
        <v>-9377157</v>
      </c>
      <c r="AF274" s="181">
        <v>-9377157</v>
      </c>
      <c r="AG274" s="181">
        <v>-9377157</v>
      </c>
      <c r="AH274" s="181">
        <v>-9377157</v>
      </c>
      <c r="AI274" s="181">
        <v>-9377157</v>
      </c>
      <c r="AJ274" s="181">
        <v>-9377157</v>
      </c>
      <c r="AK274" s="181">
        <v>-9377157</v>
      </c>
      <c r="AL274" s="181">
        <v>-9377157</v>
      </c>
      <c r="AM274" s="181">
        <v>-9377157</v>
      </c>
      <c r="AN274" s="181">
        <v>-9377157</v>
      </c>
      <c r="AO274" s="175">
        <f>SUM(Data_Dep.12[[#This Row],[KH_2601]:[KH_2612]])</f>
        <v>-112525884</v>
      </c>
      <c r="AP274" s="175">
        <f>Data_Dep.12[[#This Row],[Giá trị còn lại 31/12/25]]+Data_Dep.12[[#This Row],[KH LK 2026]]</f>
        <v>1050241584</v>
      </c>
    </row>
    <row r="275" spans="1:42" x14ac:dyDescent="0.3">
      <c r="A275" s="169"/>
      <c r="B275" s="169"/>
      <c r="C275" s="170" t="s">
        <v>350</v>
      </c>
      <c r="D275" s="169" t="str">
        <f>_xlfn.XLOOKUP(Data_Dep.12[[#This Row],[Nhóm tài sản]],MD_Account_Asset_Type[Nhóm tài sản],MD_Account_Asset_Type[Tên Nhóm tài sản])</f>
        <v>TSCĐ khác - SX 627</v>
      </c>
      <c r="E275" s="171" t="s">
        <v>1145</v>
      </c>
      <c r="F275" s="170" t="s">
        <v>772</v>
      </c>
      <c r="G275" s="169" t="s">
        <v>830</v>
      </c>
      <c r="H275" s="170" t="s">
        <v>46</v>
      </c>
      <c r="I275" s="170" t="str">
        <f>_xlfn.XLOOKUP(Data_Dep.12[[#This Row],[Cost center]],MD_Cost_Center[Mã Cost Center],MD_Cost_Center[Tên Cost Center])</f>
        <v>Kiểm soát chất lượng</v>
      </c>
      <c r="J275" s="172">
        <f>_xlfn.XLOOKUP(Data_Dep.12[[#This Row],[Cost center]],MD_Cost_Center[Mã Cost Center],MD_Cost_Center[Work center],"Check")</f>
        <v>0</v>
      </c>
      <c r="K275" s="169" t="str">
        <f>_xlfn.XLOOKUP(Data_Dep.12[[#This Row],[Nhóm tài sản]],MD_Account_Asset_Type[Nhóm tài sản],MD_Account_Asset_Type[Tài khoản KH],"Check")</f>
        <v>6274001909</v>
      </c>
      <c r="L275" s="173">
        <v>45627</v>
      </c>
      <c r="M275" s="174">
        <f>EDATE(Data_Dep.12[[#This Row],[Ngày bắt đầu KH]],Data_Dep.12[[#This Row],[T/G Khấu hao]])</f>
        <v>47453</v>
      </c>
      <c r="N275" s="175">
        <v>60</v>
      </c>
      <c r="O275" s="175">
        <v>95100000</v>
      </c>
      <c r="P275" s="176">
        <v>-15850000</v>
      </c>
      <c r="Q275" s="175">
        <f>Data_Dep.12[[#This Row],[Nguyên giá]]+Data_Dep.12[[#This Row],[KH lũy kế]]</f>
        <v>79250000</v>
      </c>
      <c r="R275" s="177">
        <v>-1585000</v>
      </c>
      <c r="S275" s="177">
        <v>-1585000</v>
      </c>
      <c r="T275" s="177">
        <v>-1585000</v>
      </c>
      <c r="U275" s="177">
        <f>SUM(Data_Dep.12[[#This Row],[KH_2510]:[KH_2512]])</f>
        <v>-4755000</v>
      </c>
      <c r="V275" s="175">
        <f>Data_Dep.12[[#This Row],[Nguyên giá]]+Data_Dep.12[[#This Row],[KH lũy kế]]+Data_Dep.12[[#This Row],[KH_Q4.25]]</f>
        <v>74495000</v>
      </c>
      <c r="W275" s="178">
        <f>ROUND(Data_Dep.12[[#This Row],[T/G Khấu hao]]-Data_Dep.12[[#This Row],[Giá trị còn lại 31/12/25]]/Data_Dep.12[[#This Row],[Nguyên giá]]*Data_Dep.12[[#This Row],[T/G Khấu hao]],0)</f>
        <v>13</v>
      </c>
      <c r="X275" s="179">
        <v>84</v>
      </c>
      <c r="Y275" s="175">
        <f>Data_Dep.12[[#This Row],[T/G Khấu hao]]+Data_Dep.12[[#This Row],[Điều chỉnh]]</f>
        <v>144</v>
      </c>
      <c r="Z275" s="180">
        <f>EDATE(Data_Dep.12[[#This Row],[Ngày bắt đầu KH]],Data_Dep.12[[#This Row],[T/G điều chỉnh]])</f>
        <v>50010</v>
      </c>
      <c r="AA275" s="175">
        <f>Data_Dep.12[[#This Row],[T/G điều chỉnh]]-Data_Dep.12[[#This Row],[Số kỳ đã khấu hao]]</f>
        <v>131</v>
      </c>
      <c r="AB275" s="175">
        <f>IFERROR(-Data_Dep.12[[#This Row],[Giá trị còn lại 31/12/25]]/(Data_Dep.12[[#This Row],[T/G điều chỉnh]]-Data_Dep.12[[#This Row],[Số kỳ đã khấu hao]]),0)</f>
        <v>-568664.12213740463</v>
      </c>
      <c r="AC275" s="181">
        <v>-568664.12213740463</v>
      </c>
      <c r="AD275" s="181">
        <v>-568664.12213740463</v>
      </c>
      <c r="AE275" s="181">
        <v>-568664.12213740463</v>
      </c>
      <c r="AF275" s="181">
        <v>-568664.12213740463</v>
      </c>
      <c r="AG275" s="181">
        <v>-568664.12213740463</v>
      </c>
      <c r="AH275" s="181">
        <v>-568664.12213740463</v>
      </c>
      <c r="AI275" s="181">
        <v>-568664.12213740463</v>
      </c>
      <c r="AJ275" s="181">
        <v>-568664.12213740463</v>
      </c>
      <c r="AK275" s="181">
        <v>-568664.12213740463</v>
      </c>
      <c r="AL275" s="181">
        <v>-568664.12213740463</v>
      </c>
      <c r="AM275" s="181">
        <v>-568664.12213740463</v>
      </c>
      <c r="AN275" s="181">
        <v>-568664.12213740463</v>
      </c>
      <c r="AO275" s="175">
        <f>SUM(Data_Dep.12[[#This Row],[KH_2601]:[KH_2612]])</f>
        <v>-6823969.4656488569</v>
      </c>
      <c r="AP275" s="175">
        <f>Data_Dep.12[[#This Row],[Giá trị còn lại 31/12/25]]+Data_Dep.12[[#This Row],[KH LK 2026]]</f>
        <v>67671030.53435114</v>
      </c>
    </row>
    <row r="276" spans="1:42" x14ac:dyDescent="0.3">
      <c r="A276" s="169"/>
      <c r="B276" s="169"/>
      <c r="C276" s="170" t="s">
        <v>350</v>
      </c>
      <c r="D276" s="169" t="str">
        <f>_xlfn.XLOOKUP(Data_Dep.12[[#This Row],[Nhóm tài sản]],MD_Account_Asset_Type[Nhóm tài sản],MD_Account_Asset_Type[Tên Nhóm tài sản])</f>
        <v>TSCĐ khác - SX 627</v>
      </c>
      <c r="E276" s="171" t="s">
        <v>1146</v>
      </c>
      <c r="F276" s="170" t="s">
        <v>773</v>
      </c>
      <c r="G276" s="169" t="s">
        <v>830</v>
      </c>
      <c r="H276" s="170" t="s">
        <v>45</v>
      </c>
      <c r="I276" s="170" t="str">
        <f>_xlfn.XLOOKUP(Data_Dep.12[[#This Row],[Cost center]],MD_Cost_Center[Mã Cost Center],MD_Cost_Center[Tên Cost Center])</f>
        <v>Kỹ thuật</v>
      </c>
      <c r="J276" s="172">
        <f>_xlfn.XLOOKUP(Data_Dep.12[[#This Row],[Cost center]],MD_Cost_Center[Mã Cost Center],MD_Cost_Center[Work center],"Check")</f>
        <v>0</v>
      </c>
      <c r="K276" s="169" t="str">
        <f>_xlfn.XLOOKUP(Data_Dep.12[[#This Row],[Nhóm tài sản]],MD_Account_Asset_Type[Nhóm tài sản],MD_Account_Asset_Type[Tài khoản KH],"Check")</f>
        <v>6274001909</v>
      </c>
      <c r="L276" s="173">
        <v>45658</v>
      </c>
      <c r="M276" s="174">
        <f>EDATE(Data_Dep.12[[#This Row],[Ngày bắt đầu KH]],Data_Dep.12[[#This Row],[T/G Khấu hao]])</f>
        <v>46753</v>
      </c>
      <c r="N276" s="175">
        <v>36</v>
      </c>
      <c r="O276" s="175">
        <v>60000000</v>
      </c>
      <c r="P276" s="176">
        <v>-15000000</v>
      </c>
      <c r="Q276" s="175">
        <f>Data_Dep.12[[#This Row],[Nguyên giá]]+Data_Dep.12[[#This Row],[KH lũy kế]]</f>
        <v>45000000</v>
      </c>
      <c r="R276" s="177">
        <v>-1666667</v>
      </c>
      <c r="S276" s="177">
        <v>-1666666</v>
      </c>
      <c r="T276" s="177">
        <v>-1666667</v>
      </c>
      <c r="U276" s="177">
        <f>SUM(Data_Dep.12[[#This Row],[KH_2510]:[KH_2512]])</f>
        <v>-5000000</v>
      </c>
      <c r="V276" s="175">
        <f>Data_Dep.12[[#This Row],[Nguyên giá]]+Data_Dep.12[[#This Row],[KH lũy kế]]+Data_Dep.12[[#This Row],[KH_Q4.25]]</f>
        <v>40000000</v>
      </c>
      <c r="W276" s="178">
        <f>ROUND(Data_Dep.12[[#This Row],[T/G Khấu hao]]-Data_Dep.12[[#This Row],[Giá trị còn lại 31/12/25]]/Data_Dep.12[[#This Row],[Nguyên giá]]*Data_Dep.12[[#This Row],[T/G Khấu hao]],0)</f>
        <v>12</v>
      </c>
      <c r="X276" s="179">
        <v>84</v>
      </c>
      <c r="Y276" s="175">
        <f>Data_Dep.12[[#This Row],[T/G Khấu hao]]+Data_Dep.12[[#This Row],[Điều chỉnh]]</f>
        <v>120</v>
      </c>
      <c r="Z276" s="180">
        <f>EDATE(Data_Dep.12[[#This Row],[Ngày bắt đầu KH]],Data_Dep.12[[#This Row],[T/G điều chỉnh]])</f>
        <v>49310</v>
      </c>
      <c r="AA276" s="175">
        <f>Data_Dep.12[[#This Row],[T/G điều chỉnh]]-Data_Dep.12[[#This Row],[Số kỳ đã khấu hao]]</f>
        <v>108</v>
      </c>
      <c r="AB276" s="175">
        <f>IFERROR(-Data_Dep.12[[#This Row],[Giá trị còn lại 31/12/25]]/(Data_Dep.12[[#This Row],[T/G điều chỉnh]]-Data_Dep.12[[#This Row],[Số kỳ đã khấu hao]]),0)</f>
        <v>-370370.37037037039</v>
      </c>
      <c r="AC276" s="181">
        <v>-370370.37037037039</v>
      </c>
      <c r="AD276" s="181">
        <v>-370370.37037037039</v>
      </c>
      <c r="AE276" s="181">
        <v>-370370.37037037039</v>
      </c>
      <c r="AF276" s="181">
        <v>-370370.37037037039</v>
      </c>
      <c r="AG276" s="181">
        <v>-370370.37037037039</v>
      </c>
      <c r="AH276" s="181">
        <v>-370370.37037037039</v>
      </c>
      <c r="AI276" s="181">
        <v>-370370.37037037039</v>
      </c>
      <c r="AJ276" s="181">
        <v>-370370.37037037039</v>
      </c>
      <c r="AK276" s="181">
        <v>-370370.37037037039</v>
      </c>
      <c r="AL276" s="181">
        <v>-370370.37037037039</v>
      </c>
      <c r="AM276" s="181">
        <v>-370370.37037037039</v>
      </c>
      <c r="AN276" s="181">
        <v>-370370.37037037039</v>
      </c>
      <c r="AO276" s="175">
        <f>SUM(Data_Dep.12[[#This Row],[KH_2601]:[KH_2612]])</f>
        <v>-4444444.444444445</v>
      </c>
      <c r="AP276" s="175">
        <f>Data_Dep.12[[#This Row],[Giá trị còn lại 31/12/25]]+Data_Dep.12[[#This Row],[KH LK 2026]]</f>
        <v>35555555.555555552</v>
      </c>
    </row>
    <row r="277" spans="1:42" x14ac:dyDescent="0.3">
      <c r="A277" s="169"/>
      <c r="B277" s="169"/>
      <c r="C277" s="170" t="s">
        <v>350</v>
      </c>
      <c r="D277" s="169" t="str">
        <f>_xlfn.XLOOKUP(Data_Dep.12[[#This Row],[Nhóm tài sản]],MD_Account_Asset_Type[Nhóm tài sản],MD_Account_Asset_Type[Tên Nhóm tài sản])</f>
        <v>TSCĐ khác - SX 627</v>
      </c>
      <c r="E277" s="171" t="s">
        <v>1147</v>
      </c>
      <c r="F277" s="170" t="s">
        <v>774</v>
      </c>
      <c r="G277" s="169" t="s">
        <v>830</v>
      </c>
      <c r="H277" s="170" t="s">
        <v>72</v>
      </c>
      <c r="I277" s="170" t="str">
        <f>_xlfn.XLOOKUP(Data_Dep.12[[#This Row],[Cost center]],MD_Cost_Center[Mã Cost Center],MD_Cost_Center[Tên Cost Center])</f>
        <v>Chuyền băm rửa PP Moogetech</v>
      </c>
      <c r="J277" s="172" t="str">
        <f>_xlfn.XLOOKUP(Data_Dep.12[[#This Row],[Cost center]],MD_Cost_Center[Mã Cost Center],MD_Cost_Center[Work center],"Check")</f>
        <v>MOOG-B01 | MOOG-R01</v>
      </c>
      <c r="K277" s="169" t="str">
        <f>_xlfn.XLOOKUP(Data_Dep.12[[#This Row],[Nhóm tài sản]],MD_Account_Asset_Type[Nhóm tài sản],MD_Account_Asset_Type[Tài khoản KH],"Check")</f>
        <v>6274001909</v>
      </c>
      <c r="L277" s="173">
        <v>45931</v>
      </c>
      <c r="M277" s="174">
        <f>EDATE(Data_Dep.12[[#This Row],[Ngày bắt đầu KH]],Data_Dep.12[[#This Row],[T/G Khấu hao]])</f>
        <v>47027</v>
      </c>
      <c r="N277" s="175">
        <v>36</v>
      </c>
      <c r="O277" s="175">
        <v>34920000</v>
      </c>
      <c r="P277" s="176">
        <v>0</v>
      </c>
      <c r="Q277" s="175">
        <f>Data_Dep.12[[#This Row],[Nguyên giá]]+Data_Dep.12[[#This Row],[KH lũy kế]]</f>
        <v>34920000</v>
      </c>
      <c r="R277" s="177">
        <v>-970000</v>
      </c>
      <c r="S277" s="177">
        <v>-970000</v>
      </c>
      <c r="T277" s="177">
        <v>-970000</v>
      </c>
      <c r="U277" s="177">
        <f>SUM(Data_Dep.12[[#This Row],[KH_2510]:[KH_2512]])</f>
        <v>-2910000</v>
      </c>
      <c r="V277" s="175">
        <f>Data_Dep.12[[#This Row],[Nguyên giá]]+Data_Dep.12[[#This Row],[KH lũy kế]]+Data_Dep.12[[#This Row],[KH_Q4.25]]</f>
        <v>32010000</v>
      </c>
      <c r="W277" s="178">
        <f>ROUND(Data_Dep.12[[#This Row],[T/G Khấu hao]]-Data_Dep.12[[#This Row],[Giá trị còn lại 31/12/25]]/Data_Dep.12[[#This Row],[Nguyên giá]]*Data_Dep.12[[#This Row],[T/G Khấu hao]],0)</f>
        <v>3</v>
      </c>
      <c r="X277" s="179">
        <v>108</v>
      </c>
      <c r="Y277" s="175">
        <f>Data_Dep.12[[#This Row],[T/G Khấu hao]]+Data_Dep.12[[#This Row],[Điều chỉnh]]</f>
        <v>144</v>
      </c>
      <c r="Z277" s="180">
        <f>EDATE(Data_Dep.12[[#This Row],[Ngày bắt đầu KH]],Data_Dep.12[[#This Row],[T/G điều chỉnh]])</f>
        <v>50314</v>
      </c>
      <c r="AA277" s="175">
        <f>Data_Dep.12[[#This Row],[T/G điều chỉnh]]-Data_Dep.12[[#This Row],[Số kỳ đã khấu hao]]</f>
        <v>141</v>
      </c>
      <c r="AB277" s="175">
        <f>IFERROR(-Data_Dep.12[[#This Row],[Giá trị còn lại 31/12/25]]/(Data_Dep.12[[#This Row],[T/G điều chỉnh]]-Data_Dep.12[[#This Row],[Số kỳ đã khấu hao]]),0)</f>
        <v>-227021.27659574468</v>
      </c>
      <c r="AC277" s="181">
        <v>-227021.27659574468</v>
      </c>
      <c r="AD277" s="181">
        <v>-227021.27659574468</v>
      </c>
      <c r="AE277" s="181">
        <v>-227021.27659574468</v>
      </c>
      <c r="AF277" s="181">
        <v>-227021.27659574468</v>
      </c>
      <c r="AG277" s="181">
        <v>-227021.27659574468</v>
      </c>
      <c r="AH277" s="181">
        <v>-227021.27659574468</v>
      </c>
      <c r="AI277" s="181">
        <v>-227021.27659574468</v>
      </c>
      <c r="AJ277" s="181">
        <v>-227021.27659574468</v>
      </c>
      <c r="AK277" s="181">
        <v>-227021.27659574468</v>
      </c>
      <c r="AL277" s="181">
        <v>-227021.27659574468</v>
      </c>
      <c r="AM277" s="181">
        <v>-227021.27659574468</v>
      </c>
      <c r="AN277" s="181">
        <v>-227021.27659574468</v>
      </c>
      <c r="AO277" s="175">
        <f>SUM(Data_Dep.12[[#This Row],[KH_2601]:[KH_2612]])</f>
        <v>-2724255.3191489368</v>
      </c>
      <c r="AP277" s="175">
        <f>Data_Dep.12[[#This Row],[Giá trị còn lại 31/12/25]]+Data_Dep.12[[#This Row],[KH LK 2026]]</f>
        <v>29285744.680851065</v>
      </c>
    </row>
    <row r="278" spans="1:42" x14ac:dyDescent="0.3">
      <c r="A278" s="169"/>
      <c r="B278" s="169"/>
      <c r="C278" s="170" t="s">
        <v>350</v>
      </c>
      <c r="D278" s="169" t="str">
        <f>_xlfn.XLOOKUP(Data_Dep.12[[#This Row],[Nhóm tài sản]],MD_Account_Asset_Type[Nhóm tài sản],MD_Account_Asset_Type[Tên Nhóm tài sản])</f>
        <v>TSCĐ khác - SX 627</v>
      </c>
      <c r="E278" s="171" t="s">
        <v>1148</v>
      </c>
      <c r="F278" s="170" t="s">
        <v>775</v>
      </c>
      <c r="G278" s="169" t="s">
        <v>830</v>
      </c>
      <c r="H278" s="170" t="s">
        <v>67</v>
      </c>
      <c r="I278" s="170" t="str">
        <f>_xlfn.XLOOKUP(Data_Dep.12[[#This Row],[Cost center]],MD_Cost_Center[Mã Cost Center],MD_Cost_Center[Tên Cost Center])</f>
        <v>Máy Tách màu Taiho + chuyền rửa lạnh F4</v>
      </c>
      <c r="J278" s="172" t="str">
        <f>_xlfn.XLOOKUP(Data_Dep.12[[#This Row],[Cost center]],MD_Cost_Center[Mã Cost Center],MD_Cost_Center[Work center],"Check")</f>
        <v>ACTI-R01</v>
      </c>
      <c r="K278" s="169" t="str">
        <f>_xlfn.XLOOKUP(Data_Dep.12[[#This Row],[Nhóm tài sản]],MD_Account_Asset_Type[Nhóm tài sản],MD_Account_Asset_Type[Tài khoản KH],"Check")</f>
        <v>6274001909</v>
      </c>
      <c r="L278" s="173">
        <v>45931</v>
      </c>
      <c r="M278" s="174">
        <f>EDATE(Data_Dep.12[[#This Row],[Ngày bắt đầu KH]],Data_Dep.12[[#This Row],[T/G Khấu hao]])</f>
        <v>47027</v>
      </c>
      <c r="N278" s="175">
        <v>36</v>
      </c>
      <c r="O278" s="175">
        <v>34920000</v>
      </c>
      <c r="P278" s="176">
        <v>0</v>
      </c>
      <c r="Q278" s="175">
        <f>Data_Dep.12[[#This Row],[Nguyên giá]]+Data_Dep.12[[#This Row],[KH lũy kế]]</f>
        <v>34920000</v>
      </c>
      <c r="R278" s="177">
        <v>-970000</v>
      </c>
      <c r="S278" s="177">
        <v>-970000</v>
      </c>
      <c r="T278" s="177">
        <v>-970000</v>
      </c>
      <c r="U278" s="177">
        <f>SUM(Data_Dep.12[[#This Row],[KH_2510]:[KH_2512]])</f>
        <v>-2910000</v>
      </c>
      <c r="V278" s="175">
        <f>Data_Dep.12[[#This Row],[Nguyên giá]]+Data_Dep.12[[#This Row],[KH lũy kế]]+Data_Dep.12[[#This Row],[KH_Q4.25]]</f>
        <v>32010000</v>
      </c>
      <c r="W278" s="178">
        <f>ROUND(Data_Dep.12[[#This Row],[T/G Khấu hao]]-Data_Dep.12[[#This Row],[Giá trị còn lại 31/12/25]]/Data_Dep.12[[#This Row],[Nguyên giá]]*Data_Dep.12[[#This Row],[T/G Khấu hao]],0)</f>
        <v>3</v>
      </c>
      <c r="X278" s="179">
        <v>108</v>
      </c>
      <c r="Y278" s="175">
        <f>Data_Dep.12[[#This Row],[T/G Khấu hao]]+Data_Dep.12[[#This Row],[Điều chỉnh]]</f>
        <v>144</v>
      </c>
      <c r="Z278" s="180">
        <f>EDATE(Data_Dep.12[[#This Row],[Ngày bắt đầu KH]],Data_Dep.12[[#This Row],[T/G điều chỉnh]])</f>
        <v>50314</v>
      </c>
      <c r="AA278" s="175">
        <f>Data_Dep.12[[#This Row],[T/G điều chỉnh]]-Data_Dep.12[[#This Row],[Số kỳ đã khấu hao]]</f>
        <v>141</v>
      </c>
      <c r="AB278" s="175">
        <f>IFERROR(-Data_Dep.12[[#This Row],[Giá trị còn lại 31/12/25]]/(Data_Dep.12[[#This Row],[T/G điều chỉnh]]-Data_Dep.12[[#This Row],[Số kỳ đã khấu hao]]),0)</f>
        <v>-227021.27659574468</v>
      </c>
      <c r="AC278" s="181">
        <v>-227021.27659574468</v>
      </c>
      <c r="AD278" s="181">
        <v>-227021.27659574468</v>
      </c>
      <c r="AE278" s="181">
        <v>-227021.27659574468</v>
      </c>
      <c r="AF278" s="181">
        <v>-227021.27659574468</v>
      </c>
      <c r="AG278" s="181">
        <v>-227021.27659574468</v>
      </c>
      <c r="AH278" s="181">
        <v>-227021.27659574468</v>
      </c>
      <c r="AI278" s="181">
        <v>-227021.27659574468</v>
      </c>
      <c r="AJ278" s="181">
        <v>-227021.27659574468</v>
      </c>
      <c r="AK278" s="181">
        <v>-227021.27659574468</v>
      </c>
      <c r="AL278" s="181">
        <v>-227021.27659574468</v>
      </c>
      <c r="AM278" s="181">
        <v>-227021.27659574468</v>
      </c>
      <c r="AN278" s="181">
        <v>-227021.27659574468</v>
      </c>
      <c r="AO278" s="175">
        <f>SUM(Data_Dep.12[[#This Row],[KH_2601]:[KH_2612]])</f>
        <v>-2724255.3191489368</v>
      </c>
      <c r="AP278" s="175">
        <f>Data_Dep.12[[#This Row],[Giá trị còn lại 31/12/25]]+Data_Dep.12[[#This Row],[KH LK 2026]]</f>
        <v>29285744.680851065</v>
      </c>
    </row>
    <row r="279" spans="1:42" x14ac:dyDescent="0.3">
      <c r="A279" s="169"/>
      <c r="B279" s="169"/>
      <c r="C279" s="170" t="s">
        <v>350</v>
      </c>
      <c r="D279" s="169" t="str">
        <f>_xlfn.XLOOKUP(Data_Dep.12[[#This Row],[Nhóm tài sản]],MD_Account_Asset_Type[Nhóm tài sản],MD_Account_Asset_Type[Tên Nhóm tài sản])</f>
        <v>TSCĐ khác - SX 627</v>
      </c>
      <c r="E279" s="171" t="s">
        <v>1149</v>
      </c>
      <c r="F279" s="170" t="s">
        <v>776</v>
      </c>
      <c r="G279" s="169" t="s">
        <v>830</v>
      </c>
      <c r="H279" s="170" t="s">
        <v>64</v>
      </c>
      <c r="I279" s="170" t="str">
        <f>_xlfn.XLOOKUP(Data_Dep.12[[#This Row],[Cost center]],MD_Cost_Center[Mã Cost Center],MD_Cost_Center[Tên Cost Center])</f>
        <v>Chuyền rửa vảy PET  số 2</v>
      </c>
      <c r="J279" s="172" t="str">
        <f>_xlfn.XLOOKUP(Data_Dep.12[[#This Row],[Cost center]],MD_Cost_Center[Mã Cost Center],MD_Cost_Center[Work center],"Check")</f>
        <v>CHWO-R02</v>
      </c>
      <c r="K279" s="169" t="str">
        <f>_xlfn.XLOOKUP(Data_Dep.12[[#This Row],[Nhóm tài sản]],MD_Account_Asset_Type[Nhóm tài sản],MD_Account_Asset_Type[Tài khoản KH],"Check")</f>
        <v>6274001909</v>
      </c>
      <c r="L279" s="173">
        <v>45931</v>
      </c>
      <c r="M279" s="174">
        <f>EDATE(Data_Dep.12[[#This Row],[Ngày bắt đầu KH]],Data_Dep.12[[#This Row],[T/G Khấu hao]])</f>
        <v>47027</v>
      </c>
      <c r="N279" s="175">
        <v>36</v>
      </c>
      <c r="O279" s="175">
        <v>34920000</v>
      </c>
      <c r="P279" s="176">
        <v>0</v>
      </c>
      <c r="Q279" s="175">
        <f>Data_Dep.12[[#This Row],[Nguyên giá]]+Data_Dep.12[[#This Row],[KH lũy kế]]</f>
        <v>34920000</v>
      </c>
      <c r="R279" s="177">
        <v>-970000</v>
      </c>
      <c r="S279" s="177">
        <v>-970000</v>
      </c>
      <c r="T279" s="177">
        <v>-970000</v>
      </c>
      <c r="U279" s="177">
        <f>SUM(Data_Dep.12[[#This Row],[KH_2510]:[KH_2512]])</f>
        <v>-2910000</v>
      </c>
      <c r="V279" s="175">
        <f>Data_Dep.12[[#This Row],[Nguyên giá]]+Data_Dep.12[[#This Row],[KH lũy kế]]+Data_Dep.12[[#This Row],[KH_Q4.25]]</f>
        <v>32010000</v>
      </c>
      <c r="W279" s="178">
        <f>ROUND(Data_Dep.12[[#This Row],[T/G Khấu hao]]-Data_Dep.12[[#This Row],[Giá trị còn lại 31/12/25]]/Data_Dep.12[[#This Row],[Nguyên giá]]*Data_Dep.12[[#This Row],[T/G Khấu hao]],0)</f>
        <v>3</v>
      </c>
      <c r="X279" s="179">
        <v>108</v>
      </c>
      <c r="Y279" s="175">
        <f>Data_Dep.12[[#This Row],[T/G Khấu hao]]+Data_Dep.12[[#This Row],[Điều chỉnh]]</f>
        <v>144</v>
      </c>
      <c r="Z279" s="180">
        <f>EDATE(Data_Dep.12[[#This Row],[Ngày bắt đầu KH]],Data_Dep.12[[#This Row],[T/G điều chỉnh]])</f>
        <v>50314</v>
      </c>
      <c r="AA279" s="175">
        <f>Data_Dep.12[[#This Row],[T/G điều chỉnh]]-Data_Dep.12[[#This Row],[Số kỳ đã khấu hao]]</f>
        <v>141</v>
      </c>
      <c r="AB279" s="175">
        <f>IFERROR(-Data_Dep.12[[#This Row],[Giá trị còn lại 31/12/25]]/(Data_Dep.12[[#This Row],[T/G điều chỉnh]]-Data_Dep.12[[#This Row],[Số kỳ đã khấu hao]]),0)</f>
        <v>-227021.27659574468</v>
      </c>
      <c r="AC279" s="181">
        <v>-227021.27659574468</v>
      </c>
      <c r="AD279" s="181">
        <v>-227021.27659574468</v>
      </c>
      <c r="AE279" s="181">
        <v>-227021.27659574468</v>
      </c>
      <c r="AF279" s="181">
        <v>-227021.27659574468</v>
      </c>
      <c r="AG279" s="181">
        <v>-227021.27659574468</v>
      </c>
      <c r="AH279" s="181">
        <v>-227021.27659574468</v>
      </c>
      <c r="AI279" s="181">
        <v>-227021.27659574468</v>
      </c>
      <c r="AJ279" s="181">
        <v>-227021.27659574468</v>
      </c>
      <c r="AK279" s="181">
        <v>-227021.27659574468</v>
      </c>
      <c r="AL279" s="181">
        <v>-227021.27659574468</v>
      </c>
      <c r="AM279" s="181">
        <v>-227021.27659574468</v>
      </c>
      <c r="AN279" s="181">
        <v>-227021.27659574468</v>
      </c>
      <c r="AO279" s="175">
        <f>SUM(Data_Dep.12[[#This Row],[KH_2601]:[KH_2612]])</f>
        <v>-2724255.3191489368</v>
      </c>
      <c r="AP279" s="175">
        <f>Data_Dep.12[[#This Row],[Giá trị còn lại 31/12/25]]+Data_Dep.12[[#This Row],[KH LK 2026]]</f>
        <v>29285744.680851065</v>
      </c>
    </row>
    <row r="280" spans="1:42" x14ac:dyDescent="0.3">
      <c r="A280" s="169"/>
      <c r="B280" s="169"/>
      <c r="C280" s="170" t="s">
        <v>350</v>
      </c>
      <c r="D280" s="169" t="str">
        <f>_xlfn.XLOOKUP(Data_Dep.12[[#This Row],[Nhóm tài sản]],MD_Account_Asset_Type[Nhóm tài sản],MD_Account_Asset_Type[Tên Nhóm tài sản])</f>
        <v>TSCĐ khác - SX 627</v>
      </c>
      <c r="E280" s="171" t="s">
        <v>1150</v>
      </c>
      <c r="F280" s="170" t="s">
        <v>777</v>
      </c>
      <c r="G280" s="169" t="s">
        <v>830</v>
      </c>
      <c r="H280" s="170" t="s">
        <v>92</v>
      </c>
      <c r="I280" s="170" t="str">
        <f>_xlfn.XLOOKUP(Data_Dep.12[[#This Row],[Cost center]],MD_Cost_Center[Mã Cost Center],MD_Cost_Center[Tên Cost Center])</f>
        <v>Kho</v>
      </c>
      <c r="J280" s="172">
        <f>_xlfn.XLOOKUP(Data_Dep.12[[#This Row],[Cost center]],MD_Cost_Center[Mã Cost Center],MD_Cost_Center[Work center],"Check")</f>
        <v>0</v>
      </c>
      <c r="K280" s="169" t="str">
        <f>_xlfn.XLOOKUP(Data_Dep.12[[#This Row],[Nhóm tài sản]],MD_Account_Asset_Type[Nhóm tài sản],MD_Account_Asset_Type[Tài khoản KH],"Check")</f>
        <v>6274001909</v>
      </c>
      <c r="L280" s="173">
        <v>45778</v>
      </c>
      <c r="M280" s="174">
        <f>EDATE(Data_Dep.12[[#This Row],[Ngày bắt đầu KH]],Data_Dep.12[[#This Row],[T/G Khấu hao]])</f>
        <v>46874</v>
      </c>
      <c r="N280" s="175">
        <v>36</v>
      </c>
      <c r="O280" s="175">
        <v>30905000</v>
      </c>
      <c r="P280" s="176">
        <v>-4292361</v>
      </c>
      <c r="Q280" s="175">
        <f>Data_Dep.12[[#This Row],[Nguyên giá]]+Data_Dep.12[[#This Row],[KH lũy kế]]</f>
        <v>26612639</v>
      </c>
      <c r="R280" s="177">
        <v>-858472</v>
      </c>
      <c r="S280" s="177">
        <v>-858473</v>
      </c>
      <c r="T280" s="177">
        <v>-858472</v>
      </c>
      <c r="U280" s="177">
        <f>SUM(Data_Dep.12[[#This Row],[KH_2510]:[KH_2512]])</f>
        <v>-2575417</v>
      </c>
      <c r="V280" s="175">
        <f>Data_Dep.12[[#This Row],[Nguyên giá]]+Data_Dep.12[[#This Row],[KH lũy kế]]+Data_Dep.12[[#This Row],[KH_Q4.25]]</f>
        <v>24037222</v>
      </c>
      <c r="W280" s="178">
        <f>ROUND(Data_Dep.12[[#This Row],[T/G Khấu hao]]-Data_Dep.12[[#This Row],[Giá trị còn lại 31/12/25]]/Data_Dep.12[[#This Row],[Nguyên giá]]*Data_Dep.12[[#This Row],[T/G Khấu hao]],0)</f>
        <v>8</v>
      </c>
      <c r="X280" s="179">
        <v>84</v>
      </c>
      <c r="Y280" s="175">
        <f>Data_Dep.12[[#This Row],[T/G Khấu hao]]+Data_Dep.12[[#This Row],[Điều chỉnh]]</f>
        <v>120</v>
      </c>
      <c r="Z280" s="180">
        <f>EDATE(Data_Dep.12[[#This Row],[Ngày bắt đầu KH]],Data_Dep.12[[#This Row],[T/G điều chỉnh]])</f>
        <v>49430</v>
      </c>
      <c r="AA280" s="175">
        <f>Data_Dep.12[[#This Row],[T/G điều chỉnh]]-Data_Dep.12[[#This Row],[Số kỳ đã khấu hao]]</f>
        <v>112</v>
      </c>
      <c r="AB280" s="175">
        <f>IFERROR(-Data_Dep.12[[#This Row],[Giá trị còn lại 31/12/25]]/(Data_Dep.12[[#This Row],[T/G điều chỉnh]]-Data_Dep.12[[#This Row],[Số kỳ đã khấu hao]]),0)</f>
        <v>-214618.05357142858</v>
      </c>
      <c r="AC280" s="181">
        <v>-214618.05357142858</v>
      </c>
      <c r="AD280" s="181">
        <v>-214618.05357142858</v>
      </c>
      <c r="AE280" s="181">
        <v>-214618.05357142858</v>
      </c>
      <c r="AF280" s="181">
        <v>-214618.05357142858</v>
      </c>
      <c r="AG280" s="181">
        <v>-214618.05357142858</v>
      </c>
      <c r="AH280" s="181">
        <v>-214618.05357142858</v>
      </c>
      <c r="AI280" s="181">
        <v>-214618.05357142858</v>
      </c>
      <c r="AJ280" s="181">
        <v>-214618.05357142858</v>
      </c>
      <c r="AK280" s="181">
        <v>-214618.05357142858</v>
      </c>
      <c r="AL280" s="181">
        <v>-214618.05357142858</v>
      </c>
      <c r="AM280" s="181">
        <v>-214618.05357142858</v>
      </c>
      <c r="AN280" s="181">
        <v>-214618.05357142858</v>
      </c>
      <c r="AO280" s="175">
        <f>SUM(Data_Dep.12[[#This Row],[KH_2601]:[KH_2612]])</f>
        <v>-2575416.6428571432</v>
      </c>
      <c r="AP280" s="175">
        <f>Data_Dep.12[[#This Row],[Giá trị còn lại 31/12/25]]+Data_Dep.12[[#This Row],[KH LK 2026]]</f>
        <v>21461805.357142858</v>
      </c>
    </row>
    <row r="281" spans="1:42" x14ac:dyDescent="0.3">
      <c r="A281" s="169"/>
      <c r="B281" s="169"/>
      <c r="C281" s="170" t="s">
        <v>350</v>
      </c>
      <c r="D281" s="169" t="str">
        <f>_xlfn.XLOOKUP(Data_Dep.12[[#This Row],[Nhóm tài sản]],MD_Account_Asset_Type[Nhóm tài sản],MD_Account_Asset_Type[Tên Nhóm tài sản])</f>
        <v>TSCĐ khác - SX 627</v>
      </c>
      <c r="E281" s="171" t="s">
        <v>1151</v>
      </c>
      <c r="F281" s="170" t="s">
        <v>778</v>
      </c>
      <c r="G281" s="169" t="s">
        <v>830</v>
      </c>
      <c r="H281" s="170" t="s">
        <v>48</v>
      </c>
      <c r="I281" s="170" t="str">
        <f>_xlfn.XLOOKUP(Data_Dep.12[[#This Row],[Cost center]],MD_Cost_Center[Mã Cost Center],MD_Cost_Center[Tên Cost Center])</f>
        <v>Xưởng sản xuất PET</v>
      </c>
      <c r="J281" s="172">
        <f>_xlfn.XLOOKUP(Data_Dep.12[[#This Row],[Cost center]],MD_Cost_Center[Mã Cost Center],MD_Cost_Center[Work center],"Check")</f>
        <v>0</v>
      </c>
      <c r="K281" s="169" t="str">
        <f>_xlfn.XLOOKUP(Data_Dep.12[[#This Row],[Nhóm tài sản]],MD_Account_Asset_Type[Nhóm tài sản],MD_Account_Asset_Type[Tài khoản KH],"Check")</f>
        <v>6274001909</v>
      </c>
      <c r="L281" s="173">
        <v>45901</v>
      </c>
      <c r="M281" s="174">
        <f>EDATE(Data_Dep.12[[#This Row],[Ngày bắt đầu KH]],Data_Dep.12[[#This Row],[T/G Khấu hao]])</f>
        <v>47362</v>
      </c>
      <c r="N281" s="175">
        <v>48</v>
      </c>
      <c r="O281" s="175">
        <v>90591075</v>
      </c>
      <c r="P281" s="176">
        <v>-1887314</v>
      </c>
      <c r="Q281" s="175">
        <f>Data_Dep.12[[#This Row],[Nguyên giá]]+Data_Dep.12[[#This Row],[KH lũy kế]]</f>
        <v>88703761</v>
      </c>
      <c r="R281" s="177">
        <v>-1887314</v>
      </c>
      <c r="S281" s="177">
        <v>-1887314</v>
      </c>
      <c r="T281" s="177">
        <v>-1887314</v>
      </c>
      <c r="U281" s="177">
        <f>SUM(Data_Dep.12[[#This Row],[KH_2510]:[KH_2512]])</f>
        <v>-5661942</v>
      </c>
      <c r="V281" s="175">
        <f>Data_Dep.12[[#This Row],[Nguyên giá]]+Data_Dep.12[[#This Row],[KH lũy kế]]+Data_Dep.12[[#This Row],[KH_Q4.25]]</f>
        <v>83041819</v>
      </c>
      <c r="W281" s="178">
        <f>ROUND(Data_Dep.12[[#This Row],[T/G Khấu hao]]-Data_Dep.12[[#This Row],[Giá trị còn lại 31/12/25]]/Data_Dep.12[[#This Row],[Nguyên giá]]*Data_Dep.12[[#This Row],[T/G Khấu hao]],0)</f>
        <v>4</v>
      </c>
      <c r="X281" s="179">
        <v>72</v>
      </c>
      <c r="Y281" s="175">
        <f>Data_Dep.12[[#This Row],[T/G Khấu hao]]+Data_Dep.12[[#This Row],[Điều chỉnh]]</f>
        <v>120</v>
      </c>
      <c r="Z281" s="180">
        <f>EDATE(Data_Dep.12[[#This Row],[Ngày bắt đầu KH]],Data_Dep.12[[#This Row],[T/G điều chỉnh]])</f>
        <v>49553</v>
      </c>
      <c r="AA281" s="175">
        <f>Data_Dep.12[[#This Row],[T/G điều chỉnh]]-Data_Dep.12[[#This Row],[Số kỳ đã khấu hao]]</f>
        <v>116</v>
      </c>
      <c r="AB281" s="175">
        <f>IFERROR(-Data_Dep.12[[#This Row],[Giá trị còn lại 31/12/25]]/(Data_Dep.12[[#This Row],[T/G điều chỉnh]]-Data_Dep.12[[#This Row],[Số kỳ đã khấu hao]]),0)</f>
        <v>-715877.75</v>
      </c>
      <c r="AC281" s="181">
        <v>-715877.75</v>
      </c>
      <c r="AD281" s="181">
        <v>-715877.75</v>
      </c>
      <c r="AE281" s="181">
        <v>-715877.75</v>
      </c>
      <c r="AF281" s="181">
        <v>-715877.75</v>
      </c>
      <c r="AG281" s="181">
        <v>-715877.75</v>
      </c>
      <c r="AH281" s="181">
        <v>-715877.75</v>
      </c>
      <c r="AI281" s="181">
        <v>-715877.75</v>
      </c>
      <c r="AJ281" s="181">
        <v>-715877.75</v>
      </c>
      <c r="AK281" s="181">
        <v>-715877.75</v>
      </c>
      <c r="AL281" s="181">
        <v>-715877.75</v>
      </c>
      <c r="AM281" s="181">
        <v>-715877.75</v>
      </c>
      <c r="AN281" s="181">
        <v>-715877.75</v>
      </c>
      <c r="AO281" s="175">
        <f>SUM(Data_Dep.12[[#This Row],[KH_2601]:[KH_2612]])</f>
        <v>-8590533</v>
      </c>
      <c r="AP281" s="175">
        <f>Data_Dep.12[[#This Row],[Giá trị còn lại 31/12/25]]+Data_Dep.12[[#This Row],[KH LK 2026]]</f>
        <v>74451286</v>
      </c>
    </row>
    <row r="282" spans="1:42" x14ac:dyDescent="0.3">
      <c r="A282" s="169"/>
      <c r="B282" s="169"/>
      <c r="C282" s="170" t="s">
        <v>381</v>
      </c>
      <c r="D282" s="169" t="str">
        <f>_xlfn.XLOOKUP(Data_Dep.12[[#This Row],[Nhóm tài sản]],MD_Account_Asset_Type[Nhóm tài sản],MD_Account_Asset_Type[Tên Nhóm tài sản])</f>
        <v>TSCĐ thuê TC: Máy móc, thiết bị phụ- SX 627</v>
      </c>
      <c r="E282" s="171" t="s">
        <v>1171</v>
      </c>
      <c r="F282" s="170" t="s">
        <v>779</v>
      </c>
      <c r="G282" s="169" t="s">
        <v>1161</v>
      </c>
      <c r="H282" s="170" t="s">
        <v>48</v>
      </c>
      <c r="I282" s="170" t="str">
        <f>_xlfn.XLOOKUP(Data_Dep.12[[#This Row],[Cost center]],MD_Cost_Center[Mã Cost Center],MD_Cost_Center[Tên Cost Center])</f>
        <v>Xưởng sản xuất PET</v>
      </c>
      <c r="J282" s="172">
        <f>_xlfn.XLOOKUP(Data_Dep.12[[#This Row],[Cost center]],MD_Cost_Center[Mã Cost Center],MD_Cost_Center[Work center],"Check")</f>
        <v>0</v>
      </c>
      <c r="K282" s="169" t="str">
        <f>_xlfn.XLOOKUP(Data_Dep.12[[#This Row],[Nhóm tài sản]],MD_Account_Asset_Type[Nhóm tài sản],MD_Account_Asset_Type[Tài khoản KH],"Check")</f>
        <v>6274001906</v>
      </c>
      <c r="L282" s="173">
        <v>45627</v>
      </c>
      <c r="M282" s="174">
        <f>EDATE(Data_Dep.12[[#This Row],[Ngày bắt đầu KH]],Data_Dep.12[[#This Row],[T/G Khấu hao]])</f>
        <v>47058</v>
      </c>
      <c r="N282" s="175">
        <v>47</v>
      </c>
      <c r="O282" s="175">
        <v>615186670</v>
      </c>
      <c r="P282" s="176">
        <v>-130890781</v>
      </c>
      <c r="Q282" s="175">
        <f>Data_Dep.12[[#This Row],[Nguyên giá]]+Data_Dep.12[[#This Row],[KH lũy kế]]</f>
        <v>484295889</v>
      </c>
      <c r="R282" s="177">
        <v>-13089078</v>
      </c>
      <c r="S282" s="177">
        <v>-13089078</v>
      </c>
      <c r="T282" s="177">
        <v>-13089078</v>
      </c>
      <c r="U282" s="177">
        <f>SUM(Data_Dep.12[[#This Row],[KH_2510]:[KH_2512]])</f>
        <v>-39267234</v>
      </c>
      <c r="V282" s="175">
        <f>Data_Dep.12[[#This Row],[Nguyên giá]]+Data_Dep.12[[#This Row],[KH lũy kế]]+Data_Dep.12[[#This Row],[KH_Q4.25]]</f>
        <v>445028655</v>
      </c>
      <c r="W282" s="178">
        <f>ROUND(Data_Dep.12[[#This Row],[T/G Khấu hao]]-Data_Dep.12[[#This Row],[Giá trị còn lại 31/12/25]]/Data_Dep.12[[#This Row],[Nguyên giá]]*Data_Dep.12[[#This Row],[T/G Khấu hao]],0)</f>
        <v>13</v>
      </c>
      <c r="X282" s="179">
        <v>97</v>
      </c>
      <c r="Y282" s="175">
        <f>Data_Dep.12[[#This Row],[T/G Khấu hao]]+Data_Dep.12[[#This Row],[Điều chỉnh]]</f>
        <v>144</v>
      </c>
      <c r="Z282" s="180">
        <f>EDATE(Data_Dep.12[[#This Row],[Ngày bắt đầu KH]],Data_Dep.12[[#This Row],[T/G điều chỉnh]])</f>
        <v>50010</v>
      </c>
      <c r="AA282" s="175">
        <f>Data_Dep.12[[#This Row],[T/G điều chỉnh]]-Data_Dep.12[[#This Row],[Số kỳ đã khấu hao]]</f>
        <v>131</v>
      </c>
      <c r="AB282" s="175">
        <f>IFERROR(-Data_Dep.12[[#This Row],[Giá trị còn lại 31/12/25]]/(Data_Dep.12[[#This Row],[T/G điều chỉnh]]-Data_Dep.12[[#This Row],[Số kỳ đã khấu hao]]),0)</f>
        <v>-3397165.3053435115</v>
      </c>
      <c r="AC282" s="181">
        <v>-3397165.3053435115</v>
      </c>
      <c r="AD282" s="181">
        <v>-3397165.3053435115</v>
      </c>
      <c r="AE282" s="181">
        <v>-3397165.3053435115</v>
      </c>
      <c r="AF282" s="181">
        <v>-3397165.3053435115</v>
      </c>
      <c r="AG282" s="181">
        <v>-3397165.3053435115</v>
      </c>
      <c r="AH282" s="181">
        <v>-3397165.3053435115</v>
      </c>
      <c r="AI282" s="181">
        <v>-3397165.3053435115</v>
      </c>
      <c r="AJ282" s="181">
        <v>-3397165.3053435115</v>
      </c>
      <c r="AK282" s="181">
        <v>-3397165.3053435115</v>
      </c>
      <c r="AL282" s="181">
        <v>-3397165.3053435115</v>
      </c>
      <c r="AM282" s="181">
        <v>-3397165.3053435115</v>
      </c>
      <c r="AN282" s="181">
        <v>-3397165.3053435115</v>
      </c>
      <c r="AO282" s="175">
        <f>SUM(Data_Dep.12[[#This Row],[KH_2601]:[KH_2612]])</f>
        <v>-40765983.664122134</v>
      </c>
      <c r="AP282" s="175">
        <f>Data_Dep.12[[#This Row],[Giá trị còn lại 31/12/25]]+Data_Dep.12[[#This Row],[KH LK 2026]]</f>
        <v>404262671.3358779</v>
      </c>
    </row>
    <row r="283" spans="1:42" x14ac:dyDescent="0.3">
      <c r="A283" s="169"/>
      <c r="B283" s="169"/>
      <c r="C283" s="170" t="s">
        <v>381</v>
      </c>
      <c r="D283" s="169" t="str">
        <f>_xlfn.XLOOKUP(Data_Dep.12[[#This Row],[Nhóm tài sản]],MD_Account_Asset_Type[Nhóm tài sản],MD_Account_Asset_Type[Tên Nhóm tài sản])</f>
        <v>TSCĐ thuê TC: Máy móc, thiết bị phụ- SX 627</v>
      </c>
      <c r="E283" s="171" t="s">
        <v>1172</v>
      </c>
      <c r="F283" s="170" t="s">
        <v>780</v>
      </c>
      <c r="G283" s="169" t="s">
        <v>1161</v>
      </c>
      <c r="H283" s="170" t="s">
        <v>48</v>
      </c>
      <c r="I283" s="170" t="str">
        <f>_xlfn.XLOOKUP(Data_Dep.12[[#This Row],[Cost center]],MD_Cost_Center[Mã Cost Center],MD_Cost_Center[Tên Cost Center])</f>
        <v>Xưởng sản xuất PET</v>
      </c>
      <c r="J283" s="172">
        <f>_xlfn.XLOOKUP(Data_Dep.12[[#This Row],[Cost center]],MD_Cost_Center[Mã Cost Center],MD_Cost_Center[Work center],"Check")</f>
        <v>0</v>
      </c>
      <c r="K283" s="169" t="str">
        <f>_xlfn.XLOOKUP(Data_Dep.12[[#This Row],[Nhóm tài sản]],MD_Account_Asset_Type[Nhóm tài sản],MD_Account_Asset_Type[Tài khoản KH],"Check")</f>
        <v>6274001906</v>
      </c>
      <c r="L283" s="173">
        <v>45627</v>
      </c>
      <c r="M283" s="174">
        <f>EDATE(Data_Dep.12[[#This Row],[Ngày bắt đầu KH]],Data_Dep.12[[#This Row],[T/G Khấu hao]])</f>
        <v>47150</v>
      </c>
      <c r="N283" s="175">
        <v>50</v>
      </c>
      <c r="O283" s="175">
        <v>184542222</v>
      </c>
      <c r="P283" s="176">
        <v>-36908444</v>
      </c>
      <c r="Q283" s="175">
        <f>Data_Dep.12[[#This Row],[Nguyên giá]]+Data_Dep.12[[#This Row],[KH lũy kế]]</f>
        <v>147633778</v>
      </c>
      <c r="R283" s="177">
        <v>-3690844</v>
      </c>
      <c r="S283" s="177">
        <v>-3690845</v>
      </c>
      <c r="T283" s="177">
        <v>-3690844</v>
      </c>
      <c r="U283" s="177">
        <f>SUM(Data_Dep.12[[#This Row],[KH_2510]:[KH_2512]])</f>
        <v>-11072533</v>
      </c>
      <c r="V283" s="175">
        <f>Data_Dep.12[[#This Row],[Nguyên giá]]+Data_Dep.12[[#This Row],[KH lũy kế]]+Data_Dep.12[[#This Row],[KH_Q4.25]]</f>
        <v>136561245</v>
      </c>
      <c r="W283" s="178">
        <f>ROUND(Data_Dep.12[[#This Row],[T/G Khấu hao]]-Data_Dep.12[[#This Row],[Giá trị còn lại 31/12/25]]/Data_Dep.12[[#This Row],[Nguyên giá]]*Data_Dep.12[[#This Row],[T/G Khấu hao]],0)</f>
        <v>13</v>
      </c>
      <c r="X283" s="179">
        <v>94</v>
      </c>
      <c r="Y283" s="175">
        <f>Data_Dep.12[[#This Row],[T/G Khấu hao]]+Data_Dep.12[[#This Row],[Điều chỉnh]]</f>
        <v>144</v>
      </c>
      <c r="Z283" s="180">
        <f>EDATE(Data_Dep.12[[#This Row],[Ngày bắt đầu KH]],Data_Dep.12[[#This Row],[T/G điều chỉnh]])</f>
        <v>50010</v>
      </c>
      <c r="AA283" s="175">
        <f>Data_Dep.12[[#This Row],[T/G điều chỉnh]]-Data_Dep.12[[#This Row],[Số kỳ đã khấu hao]]</f>
        <v>131</v>
      </c>
      <c r="AB283" s="175">
        <f>IFERROR(-Data_Dep.12[[#This Row],[Giá trị còn lại 31/12/25]]/(Data_Dep.12[[#This Row],[T/G điều chỉnh]]-Data_Dep.12[[#This Row],[Số kỳ đã khấu hao]]),0)</f>
        <v>-1042452.251908397</v>
      </c>
      <c r="AC283" s="181">
        <v>-1042452.251908397</v>
      </c>
      <c r="AD283" s="181">
        <v>-1042452.251908397</v>
      </c>
      <c r="AE283" s="181">
        <v>-1042452.251908397</v>
      </c>
      <c r="AF283" s="181">
        <v>-1042452.251908397</v>
      </c>
      <c r="AG283" s="181">
        <v>-1042452.251908397</v>
      </c>
      <c r="AH283" s="181">
        <v>-1042452.251908397</v>
      </c>
      <c r="AI283" s="181">
        <v>-1042452.251908397</v>
      </c>
      <c r="AJ283" s="181">
        <v>-1042452.251908397</v>
      </c>
      <c r="AK283" s="181">
        <v>-1042452.251908397</v>
      </c>
      <c r="AL283" s="181">
        <v>-1042452.251908397</v>
      </c>
      <c r="AM283" s="181">
        <v>-1042452.251908397</v>
      </c>
      <c r="AN283" s="181">
        <v>-1042452.251908397</v>
      </c>
      <c r="AO283" s="175">
        <f>SUM(Data_Dep.12[[#This Row],[KH_2601]:[KH_2612]])</f>
        <v>-12509427.022900766</v>
      </c>
      <c r="AP283" s="175">
        <f>Data_Dep.12[[#This Row],[Giá trị còn lại 31/12/25]]+Data_Dep.12[[#This Row],[KH LK 2026]]</f>
        <v>124051817.97709924</v>
      </c>
    </row>
    <row r="284" spans="1:42" x14ac:dyDescent="0.3">
      <c r="A284" s="169"/>
      <c r="B284" s="169"/>
      <c r="C284" s="170" t="s">
        <v>381</v>
      </c>
      <c r="D284" s="169" t="str">
        <f>_xlfn.XLOOKUP(Data_Dep.12[[#This Row],[Nhóm tài sản]],MD_Account_Asset_Type[Nhóm tài sản],MD_Account_Asset_Type[Tên Nhóm tài sản])</f>
        <v>TSCĐ thuê TC: Máy móc, thiết bị phụ- SX 627</v>
      </c>
      <c r="E284" s="171" t="s">
        <v>1173</v>
      </c>
      <c r="F284" s="170" t="s">
        <v>781</v>
      </c>
      <c r="G284" s="169" t="s">
        <v>1161</v>
      </c>
      <c r="H284" s="170" t="s">
        <v>48</v>
      </c>
      <c r="I284" s="170" t="str">
        <f>_xlfn.XLOOKUP(Data_Dep.12[[#This Row],[Cost center]],MD_Cost_Center[Mã Cost Center],MD_Cost_Center[Tên Cost Center])</f>
        <v>Xưởng sản xuất PET</v>
      </c>
      <c r="J284" s="172">
        <f>_xlfn.XLOOKUP(Data_Dep.12[[#This Row],[Cost center]],MD_Cost_Center[Mã Cost Center],MD_Cost_Center[Work center],"Check")</f>
        <v>0</v>
      </c>
      <c r="K284" s="169" t="str">
        <f>_xlfn.XLOOKUP(Data_Dep.12[[#This Row],[Nhóm tài sản]],MD_Account_Asset_Type[Nhóm tài sản],MD_Account_Asset_Type[Tài khoản KH],"Check")</f>
        <v>6274001906</v>
      </c>
      <c r="L284" s="173">
        <v>45627</v>
      </c>
      <c r="M284" s="174">
        <f>EDATE(Data_Dep.12[[#This Row],[Ngày bắt đầu KH]],Data_Dep.12[[#This Row],[T/G Khấu hao]])</f>
        <v>47150</v>
      </c>
      <c r="N284" s="175">
        <v>50</v>
      </c>
      <c r="O284" s="175">
        <v>1050660000</v>
      </c>
      <c r="P284" s="176">
        <v>-210132000</v>
      </c>
      <c r="Q284" s="175">
        <f>Data_Dep.12[[#This Row],[Nguyên giá]]+Data_Dep.12[[#This Row],[KH lũy kế]]</f>
        <v>840528000</v>
      </c>
      <c r="R284" s="177">
        <v>-21013200</v>
      </c>
      <c r="S284" s="177">
        <v>-21013200</v>
      </c>
      <c r="T284" s="177">
        <v>-21013200</v>
      </c>
      <c r="U284" s="177">
        <f>SUM(Data_Dep.12[[#This Row],[KH_2510]:[KH_2512]])</f>
        <v>-63039600</v>
      </c>
      <c r="V284" s="175">
        <f>Data_Dep.12[[#This Row],[Nguyên giá]]+Data_Dep.12[[#This Row],[KH lũy kế]]+Data_Dep.12[[#This Row],[KH_Q4.25]]</f>
        <v>777488400</v>
      </c>
      <c r="W284" s="178">
        <f>ROUND(Data_Dep.12[[#This Row],[T/G Khấu hao]]-Data_Dep.12[[#This Row],[Giá trị còn lại 31/12/25]]/Data_Dep.12[[#This Row],[Nguyên giá]]*Data_Dep.12[[#This Row],[T/G Khấu hao]],0)</f>
        <v>13</v>
      </c>
      <c r="X284" s="179">
        <v>94</v>
      </c>
      <c r="Y284" s="175">
        <f>Data_Dep.12[[#This Row],[T/G Khấu hao]]+Data_Dep.12[[#This Row],[Điều chỉnh]]</f>
        <v>144</v>
      </c>
      <c r="Z284" s="180">
        <f>EDATE(Data_Dep.12[[#This Row],[Ngày bắt đầu KH]],Data_Dep.12[[#This Row],[T/G điều chỉnh]])</f>
        <v>50010</v>
      </c>
      <c r="AA284" s="175">
        <f>Data_Dep.12[[#This Row],[T/G điều chỉnh]]-Data_Dep.12[[#This Row],[Số kỳ đã khấu hao]]</f>
        <v>131</v>
      </c>
      <c r="AB284" s="175">
        <f>IFERROR(-Data_Dep.12[[#This Row],[Giá trị còn lại 31/12/25]]/(Data_Dep.12[[#This Row],[T/G điều chỉnh]]-Data_Dep.12[[#This Row],[Số kỳ đã khấu hao]]),0)</f>
        <v>-5935025.9541984731</v>
      </c>
      <c r="AC284" s="181">
        <v>-5935025.9541984731</v>
      </c>
      <c r="AD284" s="181">
        <v>-5935025.9541984731</v>
      </c>
      <c r="AE284" s="181">
        <v>-5935025.9541984731</v>
      </c>
      <c r="AF284" s="181">
        <v>-5935025.9541984731</v>
      </c>
      <c r="AG284" s="181">
        <v>-5935025.9541984731</v>
      </c>
      <c r="AH284" s="181">
        <v>-5935025.9541984731</v>
      </c>
      <c r="AI284" s="181">
        <v>-5935025.9541984731</v>
      </c>
      <c r="AJ284" s="181">
        <v>-5935025.9541984731</v>
      </c>
      <c r="AK284" s="181">
        <v>-5935025.9541984731</v>
      </c>
      <c r="AL284" s="181">
        <v>-5935025.9541984731</v>
      </c>
      <c r="AM284" s="181">
        <v>-5935025.9541984731</v>
      </c>
      <c r="AN284" s="181">
        <v>-5935025.9541984731</v>
      </c>
      <c r="AO284" s="175">
        <f>SUM(Data_Dep.12[[#This Row],[KH_2601]:[KH_2612]])</f>
        <v>-71220311.450381681</v>
      </c>
      <c r="AP284" s="175">
        <f>Data_Dep.12[[#This Row],[Giá trị còn lại 31/12/25]]+Data_Dep.12[[#This Row],[KH LK 2026]]</f>
        <v>706268088.54961836</v>
      </c>
    </row>
    <row r="285" spans="1:42" x14ac:dyDescent="0.3">
      <c r="A285" s="169"/>
      <c r="B285" s="169"/>
      <c r="C285" s="170" t="s">
        <v>381</v>
      </c>
      <c r="D285" s="169" t="str">
        <f>_xlfn.XLOOKUP(Data_Dep.12[[#This Row],[Nhóm tài sản]],MD_Account_Asset_Type[Nhóm tài sản],MD_Account_Asset_Type[Tên Nhóm tài sản])</f>
        <v>TSCĐ thuê TC: Máy móc, thiết bị phụ- SX 627</v>
      </c>
      <c r="E285" s="171" t="s">
        <v>1174</v>
      </c>
      <c r="F285" s="170" t="s">
        <v>782</v>
      </c>
      <c r="G285" s="169" t="s">
        <v>1161</v>
      </c>
      <c r="H285" s="170" t="s">
        <v>48</v>
      </c>
      <c r="I285" s="170" t="str">
        <f>_xlfn.XLOOKUP(Data_Dep.12[[#This Row],[Cost center]],MD_Cost_Center[Mã Cost Center],MD_Cost_Center[Tên Cost Center])</f>
        <v>Xưởng sản xuất PET</v>
      </c>
      <c r="J285" s="172">
        <f>_xlfn.XLOOKUP(Data_Dep.12[[#This Row],[Cost center]],MD_Cost_Center[Mã Cost Center],MD_Cost_Center[Work center],"Check")</f>
        <v>0</v>
      </c>
      <c r="K285" s="169" t="str">
        <f>_xlfn.XLOOKUP(Data_Dep.12[[#This Row],[Nhóm tài sản]],MD_Account_Asset_Type[Nhóm tài sản],MD_Account_Asset_Type[Tài khoản KH],"Check")</f>
        <v>6274001906</v>
      </c>
      <c r="L285" s="173">
        <v>45627</v>
      </c>
      <c r="M285" s="174">
        <f>EDATE(Data_Dep.12[[#This Row],[Ngày bắt đầu KH]],Data_Dep.12[[#This Row],[T/G Khấu hao]])</f>
        <v>48092</v>
      </c>
      <c r="N285" s="175">
        <v>81</v>
      </c>
      <c r="O285" s="175">
        <v>386303995</v>
      </c>
      <c r="P285" s="176">
        <v>-47691851</v>
      </c>
      <c r="Q285" s="175">
        <f>Data_Dep.12[[#This Row],[Nguyên giá]]+Data_Dep.12[[#This Row],[KH lũy kế]]</f>
        <v>338612144</v>
      </c>
      <c r="R285" s="177">
        <v>-4769185</v>
      </c>
      <c r="S285" s="177">
        <v>-4769185</v>
      </c>
      <c r="T285" s="177">
        <v>-4769186</v>
      </c>
      <c r="U285" s="177">
        <f>SUM(Data_Dep.12[[#This Row],[KH_2510]:[KH_2512]])</f>
        <v>-14307556</v>
      </c>
      <c r="V285" s="175">
        <f>Data_Dep.12[[#This Row],[Nguyên giá]]+Data_Dep.12[[#This Row],[KH lũy kế]]+Data_Dep.12[[#This Row],[KH_Q4.25]]</f>
        <v>324304588</v>
      </c>
      <c r="W285" s="178">
        <f>ROUND(Data_Dep.12[[#This Row],[T/G Khấu hao]]-Data_Dep.12[[#This Row],[Giá trị còn lại 31/12/25]]/Data_Dep.12[[#This Row],[Nguyên giá]]*Data_Dep.12[[#This Row],[T/G Khấu hao]],0)</f>
        <v>13</v>
      </c>
      <c r="X285" s="179">
        <v>63</v>
      </c>
      <c r="Y285" s="175">
        <f>Data_Dep.12[[#This Row],[T/G Khấu hao]]+Data_Dep.12[[#This Row],[Điều chỉnh]]</f>
        <v>144</v>
      </c>
      <c r="Z285" s="180">
        <f>EDATE(Data_Dep.12[[#This Row],[Ngày bắt đầu KH]],Data_Dep.12[[#This Row],[T/G điều chỉnh]])</f>
        <v>50010</v>
      </c>
      <c r="AA285" s="175">
        <f>Data_Dep.12[[#This Row],[T/G điều chỉnh]]-Data_Dep.12[[#This Row],[Số kỳ đã khấu hao]]</f>
        <v>131</v>
      </c>
      <c r="AB285" s="175">
        <f>IFERROR(-Data_Dep.12[[#This Row],[Giá trị còn lại 31/12/25]]/(Data_Dep.12[[#This Row],[T/G điều chỉnh]]-Data_Dep.12[[#This Row],[Số kỳ đã khấu hao]]),0)</f>
        <v>-2475607.5419847327</v>
      </c>
      <c r="AC285" s="181">
        <v>-2475607.5419847327</v>
      </c>
      <c r="AD285" s="181">
        <v>-2475607.5419847327</v>
      </c>
      <c r="AE285" s="181">
        <v>-2475607.5419847327</v>
      </c>
      <c r="AF285" s="181">
        <v>-2475607.5419847327</v>
      </c>
      <c r="AG285" s="181">
        <v>-2475607.5419847327</v>
      </c>
      <c r="AH285" s="181">
        <v>-2475607.5419847327</v>
      </c>
      <c r="AI285" s="181">
        <v>-2475607.5419847327</v>
      </c>
      <c r="AJ285" s="181">
        <v>-2475607.5419847327</v>
      </c>
      <c r="AK285" s="181">
        <v>-2475607.5419847327</v>
      </c>
      <c r="AL285" s="181">
        <v>-2475607.5419847327</v>
      </c>
      <c r="AM285" s="181">
        <v>-2475607.5419847327</v>
      </c>
      <c r="AN285" s="181">
        <v>-2475607.5419847327</v>
      </c>
      <c r="AO285" s="175">
        <f>SUM(Data_Dep.12[[#This Row],[KH_2601]:[KH_2612]])</f>
        <v>-29707290.503816795</v>
      </c>
      <c r="AP285" s="175">
        <f>Data_Dep.12[[#This Row],[Giá trị còn lại 31/12/25]]+Data_Dep.12[[#This Row],[KH LK 2026]]</f>
        <v>294597297.49618322</v>
      </c>
    </row>
    <row r="286" spans="1:42" x14ac:dyDescent="0.3">
      <c r="A286" s="169"/>
      <c r="B286" s="169"/>
      <c r="C286" s="170" t="s">
        <v>381</v>
      </c>
      <c r="D286" s="169" t="str">
        <f>_xlfn.XLOOKUP(Data_Dep.12[[#This Row],[Nhóm tài sản]],MD_Account_Asset_Type[Nhóm tài sản],MD_Account_Asset_Type[Tên Nhóm tài sản])</f>
        <v>TSCĐ thuê TC: Máy móc, thiết bị phụ- SX 627</v>
      </c>
      <c r="E286" s="171" t="s">
        <v>1175</v>
      </c>
      <c r="F286" s="170" t="s">
        <v>783</v>
      </c>
      <c r="G286" s="169" t="s">
        <v>1161</v>
      </c>
      <c r="H286" s="170" t="s">
        <v>48</v>
      </c>
      <c r="I286" s="170" t="str">
        <f>_xlfn.XLOOKUP(Data_Dep.12[[#This Row],[Cost center]],MD_Cost_Center[Mã Cost Center],MD_Cost_Center[Tên Cost Center])</f>
        <v>Xưởng sản xuất PET</v>
      </c>
      <c r="J286" s="172">
        <f>_xlfn.XLOOKUP(Data_Dep.12[[#This Row],[Cost center]],MD_Cost_Center[Mã Cost Center],MD_Cost_Center[Work center],"Check")</f>
        <v>0</v>
      </c>
      <c r="K286" s="169" t="str">
        <f>_xlfn.XLOOKUP(Data_Dep.12[[#This Row],[Nhóm tài sản]],MD_Account_Asset_Type[Nhóm tài sản],MD_Account_Asset_Type[Tài khoản KH],"Check")</f>
        <v>6274001906</v>
      </c>
      <c r="L286" s="173">
        <v>45627</v>
      </c>
      <c r="M286" s="174">
        <f>EDATE(Data_Dep.12[[#This Row],[Ngày bắt đầu KH]],Data_Dep.12[[#This Row],[T/G Khấu hao]])</f>
        <v>48122</v>
      </c>
      <c r="N286" s="175">
        <v>82</v>
      </c>
      <c r="O286" s="175">
        <v>2563310334</v>
      </c>
      <c r="P286" s="176">
        <v>-312598821</v>
      </c>
      <c r="Q286" s="175">
        <f>Data_Dep.12[[#This Row],[Nguyên giá]]+Data_Dep.12[[#This Row],[KH lũy kế]]</f>
        <v>2250711513</v>
      </c>
      <c r="R286" s="177">
        <v>-31259882</v>
      </c>
      <c r="S286" s="177">
        <v>-31259882</v>
      </c>
      <c r="T286" s="177">
        <v>-31259882</v>
      </c>
      <c r="U286" s="177">
        <f>SUM(Data_Dep.12[[#This Row],[KH_2510]:[KH_2512]])</f>
        <v>-93779646</v>
      </c>
      <c r="V286" s="175">
        <f>Data_Dep.12[[#This Row],[Nguyên giá]]+Data_Dep.12[[#This Row],[KH lũy kế]]+Data_Dep.12[[#This Row],[KH_Q4.25]]</f>
        <v>2156931867</v>
      </c>
      <c r="W286" s="178">
        <f>ROUND(Data_Dep.12[[#This Row],[T/G Khấu hao]]-Data_Dep.12[[#This Row],[Giá trị còn lại 31/12/25]]/Data_Dep.12[[#This Row],[Nguyên giá]]*Data_Dep.12[[#This Row],[T/G Khấu hao]],0)</f>
        <v>13</v>
      </c>
      <c r="X286" s="179">
        <v>98</v>
      </c>
      <c r="Y286" s="175">
        <f>Data_Dep.12[[#This Row],[T/G Khấu hao]]+Data_Dep.12[[#This Row],[Điều chỉnh]]</f>
        <v>180</v>
      </c>
      <c r="Z286" s="180">
        <f>EDATE(Data_Dep.12[[#This Row],[Ngày bắt đầu KH]],Data_Dep.12[[#This Row],[T/G điều chỉnh]])</f>
        <v>51105</v>
      </c>
      <c r="AA286" s="175">
        <f>Data_Dep.12[[#This Row],[T/G điều chỉnh]]-Data_Dep.12[[#This Row],[Số kỳ đã khấu hao]]</f>
        <v>167</v>
      </c>
      <c r="AB286" s="175">
        <f>IFERROR(-Data_Dep.12[[#This Row],[Giá trị còn lại 31/12/25]]/(Data_Dep.12[[#This Row],[T/G điều chỉnh]]-Data_Dep.12[[#This Row],[Số kỳ đã khấu hao]]),0)</f>
        <v>-12915759.68263473</v>
      </c>
      <c r="AC286" s="181">
        <v>-12915759.68263473</v>
      </c>
      <c r="AD286" s="181">
        <v>-12915759.68263473</v>
      </c>
      <c r="AE286" s="181">
        <v>-12915759.68263473</v>
      </c>
      <c r="AF286" s="181">
        <v>-12915759.68263473</v>
      </c>
      <c r="AG286" s="181">
        <v>-12915759.68263473</v>
      </c>
      <c r="AH286" s="181">
        <v>-12915759.68263473</v>
      </c>
      <c r="AI286" s="181">
        <v>-12915759.68263473</v>
      </c>
      <c r="AJ286" s="181">
        <v>-12915759.68263473</v>
      </c>
      <c r="AK286" s="181">
        <v>-12915759.68263473</v>
      </c>
      <c r="AL286" s="181">
        <v>-12915759.68263473</v>
      </c>
      <c r="AM286" s="181">
        <v>-12915759.68263473</v>
      </c>
      <c r="AN286" s="181">
        <v>-12915759.68263473</v>
      </c>
      <c r="AO286" s="175">
        <f>SUM(Data_Dep.12[[#This Row],[KH_2601]:[KH_2612]])</f>
        <v>-154989116.19161674</v>
      </c>
      <c r="AP286" s="175">
        <f>Data_Dep.12[[#This Row],[Giá trị còn lại 31/12/25]]+Data_Dep.12[[#This Row],[KH LK 2026]]</f>
        <v>2001942750.8083832</v>
      </c>
    </row>
    <row r="287" spans="1:42" x14ac:dyDescent="0.3">
      <c r="A287" s="169"/>
      <c r="B287" s="169"/>
      <c r="C287" s="170" t="s">
        <v>381</v>
      </c>
      <c r="D287" s="169" t="str">
        <f>_xlfn.XLOOKUP(Data_Dep.12[[#This Row],[Nhóm tài sản]],MD_Account_Asset_Type[Nhóm tài sản],MD_Account_Asset_Type[Tên Nhóm tài sản])</f>
        <v>TSCĐ thuê TC: Máy móc, thiết bị phụ- SX 627</v>
      </c>
      <c r="E287" s="171" t="s">
        <v>1176</v>
      </c>
      <c r="F287" s="170" t="s">
        <v>784</v>
      </c>
      <c r="G287" s="169" t="s">
        <v>1161</v>
      </c>
      <c r="H287" s="170" t="s">
        <v>48</v>
      </c>
      <c r="I287" s="170" t="str">
        <f>_xlfn.XLOOKUP(Data_Dep.12[[#This Row],[Cost center]],MD_Cost_Center[Mã Cost Center],MD_Cost_Center[Tên Cost Center])</f>
        <v>Xưởng sản xuất PET</v>
      </c>
      <c r="J287" s="172">
        <f>_xlfn.XLOOKUP(Data_Dep.12[[#This Row],[Cost center]],MD_Cost_Center[Mã Cost Center],MD_Cost_Center[Work center],"Check")</f>
        <v>0</v>
      </c>
      <c r="K287" s="169" t="str">
        <f>_xlfn.XLOOKUP(Data_Dep.12[[#This Row],[Nhóm tài sản]],MD_Account_Asset_Type[Nhóm tài sản],MD_Account_Asset_Type[Tài khoản KH],"Check")</f>
        <v>6274001906</v>
      </c>
      <c r="L287" s="173">
        <v>45627</v>
      </c>
      <c r="M287" s="174">
        <f>EDATE(Data_Dep.12[[#This Row],[Ngày bắt đầu KH]],Data_Dep.12[[#This Row],[T/G Khấu hao]])</f>
        <v>48214</v>
      </c>
      <c r="N287" s="175">
        <v>85</v>
      </c>
      <c r="O287" s="175">
        <v>5107049458</v>
      </c>
      <c r="P287" s="176">
        <v>-600829348</v>
      </c>
      <c r="Q287" s="175">
        <f>Data_Dep.12[[#This Row],[Nguyên giá]]+Data_Dep.12[[#This Row],[KH lũy kế]]</f>
        <v>4506220110</v>
      </c>
      <c r="R287" s="177">
        <v>-60082935</v>
      </c>
      <c r="S287" s="177">
        <v>-60082935</v>
      </c>
      <c r="T287" s="177">
        <v>-60082935</v>
      </c>
      <c r="U287" s="177">
        <f>SUM(Data_Dep.12[[#This Row],[KH_2510]:[KH_2512]])</f>
        <v>-180248805</v>
      </c>
      <c r="V287" s="175">
        <f>Data_Dep.12[[#This Row],[Nguyên giá]]+Data_Dep.12[[#This Row],[KH lũy kế]]+Data_Dep.12[[#This Row],[KH_Q4.25]]</f>
        <v>4325971305</v>
      </c>
      <c r="W287" s="178">
        <f>ROUND(Data_Dep.12[[#This Row],[T/G Khấu hao]]-Data_Dep.12[[#This Row],[Giá trị còn lại 31/12/25]]/Data_Dep.12[[#This Row],[Nguyên giá]]*Data_Dep.12[[#This Row],[T/G Khấu hao]],0)</f>
        <v>13</v>
      </c>
      <c r="X287" s="179">
        <v>59</v>
      </c>
      <c r="Y287" s="175">
        <f>Data_Dep.12[[#This Row],[T/G Khấu hao]]+Data_Dep.12[[#This Row],[Điều chỉnh]]</f>
        <v>144</v>
      </c>
      <c r="Z287" s="180">
        <f>EDATE(Data_Dep.12[[#This Row],[Ngày bắt đầu KH]],Data_Dep.12[[#This Row],[T/G điều chỉnh]])</f>
        <v>50010</v>
      </c>
      <c r="AA287" s="175">
        <f>Data_Dep.12[[#This Row],[T/G điều chỉnh]]-Data_Dep.12[[#This Row],[Số kỳ đã khấu hao]]</f>
        <v>131</v>
      </c>
      <c r="AB287" s="175">
        <f>IFERROR(-Data_Dep.12[[#This Row],[Giá trị còn lại 31/12/25]]/(Data_Dep.12[[#This Row],[T/G điều chỉnh]]-Data_Dep.12[[#This Row],[Số kỳ đã khấu hao]]),0)</f>
        <v>-33022681.717557251</v>
      </c>
      <c r="AC287" s="181">
        <v>-33022681.717557251</v>
      </c>
      <c r="AD287" s="181">
        <v>-33022681.717557251</v>
      </c>
      <c r="AE287" s="181">
        <v>-33022681.717557251</v>
      </c>
      <c r="AF287" s="181">
        <v>-33022681.717557251</v>
      </c>
      <c r="AG287" s="181">
        <v>-33022681.717557251</v>
      </c>
      <c r="AH287" s="181">
        <v>-33022681.717557251</v>
      </c>
      <c r="AI287" s="181">
        <v>-33022681.717557251</v>
      </c>
      <c r="AJ287" s="181">
        <v>-33022681.717557251</v>
      </c>
      <c r="AK287" s="181">
        <v>-33022681.717557251</v>
      </c>
      <c r="AL287" s="181">
        <v>-33022681.717557251</v>
      </c>
      <c r="AM287" s="181">
        <v>-33022681.717557251</v>
      </c>
      <c r="AN287" s="181">
        <v>-33022681.717557251</v>
      </c>
      <c r="AO287" s="175">
        <f>SUM(Data_Dep.12[[#This Row],[KH_2601]:[KH_2612]])</f>
        <v>-396272180.61068702</v>
      </c>
      <c r="AP287" s="175">
        <f>Data_Dep.12[[#This Row],[Giá trị còn lại 31/12/25]]+Data_Dep.12[[#This Row],[KH LK 2026]]</f>
        <v>3929699124.3893127</v>
      </c>
    </row>
    <row r="288" spans="1:42" x14ac:dyDescent="0.3">
      <c r="A288" s="169"/>
      <c r="B288" s="169"/>
      <c r="C288" s="170" t="s">
        <v>381</v>
      </c>
      <c r="D288" s="169" t="str">
        <f>_xlfn.XLOOKUP(Data_Dep.12[[#This Row],[Nhóm tài sản]],MD_Account_Asset_Type[Nhóm tài sản],MD_Account_Asset_Type[Tên Nhóm tài sản])</f>
        <v>TSCĐ thuê TC: Máy móc, thiết bị phụ- SX 627</v>
      </c>
      <c r="E288" s="171" t="s">
        <v>1177</v>
      </c>
      <c r="F288" s="170" t="s">
        <v>785</v>
      </c>
      <c r="G288" s="169" t="s">
        <v>1161</v>
      </c>
      <c r="H288" s="170" t="s">
        <v>48</v>
      </c>
      <c r="I288" s="170" t="str">
        <f>_xlfn.XLOOKUP(Data_Dep.12[[#This Row],[Cost center]],MD_Cost_Center[Mã Cost Center],MD_Cost_Center[Tên Cost Center])</f>
        <v>Xưởng sản xuất PET</v>
      </c>
      <c r="J288" s="172">
        <f>_xlfn.XLOOKUP(Data_Dep.12[[#This Row],[Cost center]],MD_Cost_Center[Mã Cost Center],MD_Cost_Center[Work center],"Check")</f>
        <v>0</v>
      </c>
      <c r="K288" s="169" t="str">
        <f>_xlfn.XLOOKUP(Data_Dep.12[[#This Row],[Nhóm tài sản]],MD_Account_Asset_Type[Nhóm tài sản],MD_Account_Asset_Type[Tài khoản KH],"Check")</f>
        <v>6274001906</v>
      </c>
      <c r="L288" s="173">
        <v>45627</v>
      </c>
      <c r="M288" s="174">
        <f>EDATE(Data_Dep.12[[#This Row],[Ngày bắt đầu KH]],Data_Dep.12[[#This Row],[T/G Khấu hao]])</f>
        <v>46753</v>
      </c>
      <c r="N288" s="175">
        <v>37</v>
      </c>
      <c r="O288" s="175">
        <v>237926332</v>
      </c>
      <c r="P288" s="176">
        <v>-64304414</v>
      </c>
      <c r="Q288" s="175">
        <f>Data_Dep.12[[#This Row],[Nguyên giá]]+Data_Dep.12[[#This Row],[KH lũy kế]]</f>
        <v>173621918</v>
      </c>
      <c r="R288" s="177">
        <v>-6430441</v>
      </c>
      <c r="S288" s="177">
        <v>-6430442</v>
      </c>
      <c r="T288" s="177">
        <v>-6430441</v>
      </c>
      <c r="U288" s="177">
        <f>SUM(Data_Dep.12[[#This Row],[KH_2510]:[KH_2512]])</f>
        <v>-19291324</v>
      </c>
      <c r="V288" s="175">
        <f>Data_Dep.12[[#This Row],[Nguyên giá]]+Data_Dep.12[[#This Row],[KH lũy kế]]+Data_Dep.12[[#This Row],[KH_Q4.25]]</f>
        <v>154330594</v>
      </c>
      <c r="W288" s="178">
        <f>ROUND(Data_Dep.12[[#This Row],[T/G Khấu hao]]-Data_Dep.12[[#This Row],[Giá trị còn lại 31/12/25]]/Data_Dep.12[[#This Row],[Nguyên giá]]*Data_Dep.12[[#This Row],[T/G Khấu hao]],0)</f>
        <v>13</v>
      </c>
      <c r="X288" s="179">
        <v>107</v>
      </c>
      <c r="Y288" s="175">
        <f>Data_Dep.12[[#This Row],[T/G Khấu hao]]+Data_Dep.12[[#This Row],[Điều chỉnh]]</f>
        <v>144</v>
      </c>
      <c r="Z288" s="180">
        <f>EDATE(Data_Dep.12[[#This Row],[Ngày bắt đầu KH]],Data_Dep.12[[#This Row],[T/G điều chỉnh]])</f>
        <v>50010</v>
      </c>
      <c r="AA288" s="175">
        <f>Data_Dep.12[[#This Row],[T/G điều chỉnh]]-Data_Dep.12[[#This Row],[Số kỳ đã khấu hao]]</f>
        <v>131</v>
      </c>
      <c r="AB288" s="175">
        <f>IFERROR(-Data_Dep.12[[#This Row],[Giá trị còn lại 31/12/25]]/(Data_Dep.12[[#This Row],[T/G điều chỉnh]]-Data_Dep.12[[#This Row],[Số kỳ đã khấu hao]]),0)</f>
        <v>-1178096.1374045801</v>
      </c>
      <c r="AC288" s="181">
        <v>-1178096.1374045801</v>
      </c>
      <c r="AD288" s="181">
        <v>-1178096.1374045801</v>
      </c>
      <c r="AE288" s="181">
        <v>-1178096.1374045801</v>
      </c>
      <c r="AF288" s="181">
        <v>-1178096.1374045801</v>
      </c>
      <c r="AG288" s="181">
        <v>-1178096.1374045801</v>
      </c>
      <c r="AH288" s="181">
        <v>-1178096.1374045801</v>
      </c>
      <c r="AI288" s="181">
        <v>-1178096.1374045801</v>
      </c>
      <c r="AJ288" s="181">
        <v>-1178096.1374045801</v>
      </c>
      <c r="AK288" s="181">
        <v>-1178096.1374045801</v>
      </c>
      <c r="AL288" s="181">
        <v>-1178096.1374045801</v>
      </c>
      <c r="AM288" s="181">
        <v>-1178096.1374045801</v>
      </c>
      <c r="AN288" s="181">
        <v>-1178096.1374045801</v>
      </c>
      <c r="AO288" s="175">
        <f>SUM(Data_Dep.12[[#This Row],[KH_2601]:[KH_2612]])</f>
        <v>-14137153.648854958</v>
      </c>
      <c r="AP288" s="175">
        <f>Data_Dep.12[[#This Row],[Giá trị còn lại 31/12/25]]+Data_Dep.12[[#This Row],[KH LK 2026]]</f>
        <v>140193440.35114503</v>
      </c>
    </row>
    <row r="289" spans="1:42" x14ac:dyDescent="0.3">
      <c r="A289" s="169"/>
      <c r="B289" s="169"/>
      <c r="C289" s="170" t="s">
        <v>381</v>
      </c>
      <c r="D289" s="169" t="str">
        <f>_xlfn.XLOOKUP(Data_Dep.12[[#This Row],[Nhóm tài sản]],MD_Account_Asset_Type[Nhóm tài sản],MD_Account_Asset_Type[Tên Nhóm tài sản])</f>
        <v>TSCĐ thuê TC: Máy móc, thiết bị phụ- SX 627</v>
      </c>
      <c r="E289" s="171" t="s">
        <v>1178</v>
      </c>
      <c r="F289" s="170" t="s">
        <v>786</v>
      </c>
      <c r="G289" s="169" t="s">
        <v>1161</v>
      </c>
      <c r="H289" s="170" t="s">
        <v>46</v>
      </c>
      <c r="I289" s="170" t="str">
        <f>_xlfn.XLOOKUP(Data_Dep.12[[#This Row],[Cost center]],MD_Cost_Center[Mã Cost Center],MD_Cost_Center[Tên Cost Center])</f>
        <v>Kiểm soát chất lượng</v>
      </c>
      <c r="J289" s="172">
        <f>_xlfn.XLOOKUP(Data_Dep.12[[#This Row],[Cost center]],MD_Cost_Center[Mã Cost Center],MD_Cost_Center[Work center],"Check")</f>
        <v>0</v>
      </c>
      <c r="K289" s="169" t="str">
        <f>_xlfn.XLOOKUP(Data_Dep.12[[#This Row],[Nhóm tài sản]],MD_Account_Asset_Type[Nhóm tài sản],MD_Account_Asset_Type[Tài khoản KH],"Check")</f>
        <v>6274001906</v>
      </c>
      <c r="L289" s="173">
        <v>45627</v>
      </c>
      <c r="M289" s="174">
        <f>EDATE(Data_Dep.12[[#This Row],[Ngày bắt đầu KH]],Data_Dep.12[[#This Row],[T/G Khấu hao]])</f>
        <v>46692</v>
      </c>
      <c r="N289" s="175">
        <v>35</v>
      </c>
      <c r="O289" s="175">
        <v>189637410</v>
      </c>
      <c r="P289" s="176">
        <v>-54182117</v>
      </c>
      <c r="Q289" s="175">
        <f>Data_Dep.12[[#This Row],[Nguyên giá]]+Data_Dep.12[[#This Row],[KH lũy kế]]</f>
        <v>135455293</v>
      </c>
      <c r="R289" s="177">
        <v>-5418212</v>
      </c>
      <c r="S289" s="177">
        <v>-5418212</v>
      </c>
      <c r="T289" s="177">
        <v>-5418211</v>
      </c>
      <c r="U289" s="177">
        <f>SUM(Data_Dep.12[[#This Row],[KH_2510]:[KH_2512]])</f>
        <v>-16254635</v>
      </c>
      <c r="V289" s="175">
        <f>Data_Dep.12[[#This Row],[Nguyên giá]]+Data_Dep.12[[#This Row],[KH lũy kế]]+Data_Dep.12[[#This Row],[KH_Q4.25]]</f>
        <v>119200658</v>
      </c>
      <c r="W289" s="178">
        <f>ROUND(Data_Dep.12[[#This Row],[T/G Khấu hao]]-Data_Dep.12[[#This Row],[Giá trị còn lại 31/12/25]]/Data_Dep.12[[#This Row],[Nguyên giá]]*Data_Dep.12[[#This Row],[T/G Khấu hao]],0)</f>
        <v>13</v>
      </c>
      <c r="X289" s="179">
        <v>109</v>
      </c>
      <c r="Y289" s="175">
        <f>Data_Dep.12[[#This Row],[T/G Khấu hao]]+Data_Dep.12[[#This Row],[Điều chỉnh]]</f>
        <v>144</v>
      </c>
      <c r="Z289" s="180">
        <f>EDATE(Data_Dep.12[[#This Row],[Ngày bắt đầu KH]],Data_Dep.12[[#This Row],[T/G điều chỉnh]])</f>
        <v>50010</v>
      </c>
      <c r="AA289" s="175">
        <f>Data_Dep.12[[#This Row],[T/G điều chỉnh]]-Data_Dep.12[[#This Row],[Số kỳ đã khấu hao]]</f>
        <v>131</v>
      </c>
      <c r="AB289" s="175">
        <f>IFERROR(-Data_Dep.12[[#This Row],[Giá trị còn lại 31/12/25]]/(Data_Dep.12[[#This Row],[T/G điều chỉnh]]-Data_Dep.12[[#This Row],[Số kỳ đã khấu hao]]),0)</f>
        <v>-909928.68702290079</v>
      </c>
      <c r="AC289" s="181">
        <v>-909928.68702290079</v>
      </c>
      <c r="AD289" s="181">
        <v>-909928.68702290079</v>
      </c>
      <c r="AE289" s="181">
        <v>-909928.68702290079</v>
      </c>
      <c r="AF289" s="181">
        <v>-909928.68702290079</v>
      </c>
      <c r="AG289" s="181">
        <v>-909928.68702290079</v>
      </c>
      <c r="AH289" s="181">
        <v>-909928.68702290079</v>
      </c>
      <c r="AI289" s="181">
        <v>-909928.68702290079</v>
      </c>
      <c r="AJ289" s="181">
        <v>-909928.68702290079</v>
      </c>
      <c r="AK289" s="181">
        <v>-909928.68702290079</v>
      </c>
      <c r="AL289" s="181">
        <v>-909928.68702290079</v>
      </c>
      <c r="AM289" s="181">
        <v>-909928.68702290079</v>
      </c>
      <c r="AN289" s="181">
        <v>-909928.68702290079</v>
      </c>
      <c r="AO289" s="175">
        <f>SUM(Data_Dep.12[[#This Row],[KH_2601]:[KH_2612]])</f>
        <v>-10919144.24427481</v>
      </c>
      <c r="AP289" s="175">
        <f>Data_Dep.12[[#This Row],[Giá trị còn lại 31/12/25]]+Data_Dep.12[[#This Row],[KH LK 2026]]</f>
        <v>108281513.75572519</v>
      </c>
    </row>
    <row r="290" spans="1:42" x14ac:dyDescent="0.3">
      <c r="A290" s="169"/>
      <c r="B290" s="169"/>
      <c r="C290" s="170" t="s">
        <v>381</v>
      </c>
      <c r="D290" s="169" t="str">
        <f>_xlfn.XLOOKUP(Data_Dep.12[[#This Row],[Nhóm tài sản]],MD_Account_Asset_Type[Nhóm tài sản],MD_Account_Asset_Type[Tên Nhóm tài sản])</f>
        <v>TSCĐ thuê TC: Máy móc, thiết bị phụ- SX 627</v>
      </c>
      <c r="E290" s="171" t="s">
        <v>1179</v>
      </c>
      <c r="F290" s="170" t="s">
        <v>787</v>
      </c>
      <c r="G290" s="169" t="s">
        <v>1161</v>
      </c>
      <c r="H290" s="170" t="s">
        <v>48</v>
      </c>
      <c r="I290" s="170" t="str">
        <f>_xlfn.XLOOKUP(Data_Dep.12[[#This Row],[Cost center]],MD_Cost_Center[Mã Cost Center],MD_Cost_Center[Tên Cost Center])</f>
        <v>Xưởng sản xuất PET</v>
      </c>
      <c r="J290" s="172">
        <f>_xlfn.XLOOKUP(Data_Dep.12[[#This Row],[Cost center]],MD_Cost_Center[Mã Cost Center],MD_Cost_Center[Work center],"Check")</f>
        <v>0</v>
      </c>
      <c r="K290" s="169" t="str">
        <f>_xlfn.XLOOKUP(Data_Dep.12[[#This Row],[Nhóm tài sản]],MD_Account_Asset_Type[Nhóm tài sản],MD_Account_Asset_Type[Tài khoản KH],"Check")</f>
        <v>6274001906</v>
      </c>
      <c r="L290" s="173">
        <v>45627</v>
      </c>
      <c r="M290" s="174">
        <f>EDATE(Data_Dep.12[[#This Row],[Ngày bắt đầu KH]],Data_Dep.12[[#This Row],[T/G Khấu hao]])</f>
        <v>46722</v>
      </c>
      <c r="N290" s="175">
        <v>36</v>
      </c>
      <c r="O290" s="175">
        <v>198958500</v>
      </c>
      <c r="P290" s="176">
        <v>-55266250</v>
      </c>
      <c r="Q290" s="175">
        <f>Data_Dep.12[[#This Row],[Nguyên giá]]+Data_Dep.12[[#This Row],[KH lũy kế]]</f>
        <v>143692250</v>
      </c>
      <c r="R290" s="177">
        <v>-5526625</v>
      </c>
      <c r="S290" s="177">
        <v>-5526625</v>
      </c>
      <c r="T290" s="177">
        <v>-5526625</v>
      </c>
      <c r="U290" s="177">
        <f>SUM(Data_Dep.12[[#This Row],[KH_2510]:[KH_2512]])</f>
        <v>-16579875</v>
      </c>
      <c r="V290" s="175">
        <f>Data_Dep.12[[#This Row],[Nguyên giá]]+Data_Dep.12[[#This Row],[KH lũy kế]]+Data_Dep.12[[#This Row],[KH_Q4.25]]</f>
        <v>127112375</v>
      </c>
      <c r="W290" s="178">
        <f>ROUND(Data_Dep.12[[#This Row],[T/G Khấu hao]]-Data_Dep.12[[#This Row],[Giá trị còn lại 31/12/25]]/Data_Dep.12[[#This Row],[Nguyên giá]]*Data_Dep.12[[#This Row],[T/G Khấu hao]],0)</f>
        <v>13</v>
      </c>
      <c r="X290" s="179">
        <v>108</v>
      </c>
      <c r="Y290" s="175">
        <f>Data_Dep.12[[#This Row],[T/G Khấu hao]]+Data_Dep.12[[#This Row],[Điều chỉnh]]</f>
        <v>144</v>
      </c>
      <c r="Z290" s="180">
        <f>EDATE(Data_Dep.12[[#This Row],[Ngày bắt đầu KH]],Data_Dep.12[[#This Row],[T/G điều chỉnh]])</f>
        <v>50010</v>
      </c>
      <c r="AA290" s="175">
        <f>Data_Dep.12[[#This Row],[T/G điều chỉnh]]-Data_Dep.12[[#This Row],[Số kỳ đã khấu hao]]</f>
        <v>131</v>
      </c>
      <c r="AB290" s="175">
        <f>IFERROR(-Data_Dep.12[[#This Row],[Giá trị còn lại 31/12/25]]/(Data_Dep.12[[#This Row],[T/G điều chỉnh]]-Data_Dep.12[[#This Row],[Số kỳ đã khấu hao]]),0)</f>
        <v>-970323.47328244278</v>
      </c>
      <c r="AC290" s="181">
        <v>-970323.47328244278</v>
      </c>
      <c r="AD290" s="181">
        <v>-970323.47328244278</v>
      </c>
      <c r="AE290" s="181">
        <v>-970323.47328244278</v>
      </c>
      <c r="AF290" s="181">
        <v>-970323.47328244278</v>
      </c>
      <c r="AG290" s="181">
        <v>-970323.47328244278</v>
      </c>
      <c r="AH290" s="181">
        <v>-970323.47328244278</v>
      </c>
      <c r="AI290" s="181">
        <v>-970323.47328244278</v>
      </c>
      <c r="AJ290" s="181">
        <v>-970323.47328244278</v>
      </c>
      <c r="AK290" s="181">
        <v>-970323.47328244278</v>
      </c>
      <c r="AL290" s="181">
        <v>-970323.47328244278</v>
      </c>
      <c r="AM290" s="181">
        <v>-970323.47328244278</v>
      </c>
      <c r="AN290" s="181">
        <v>-970323.47328244278</v>
      </c>
      <c r="AO290" s="175">
        <f>SUM(Data_Dep.12[[#This Row],[KH_2601]:[KH_2612]])</f>
        <v>-11643881.679389315</v>
      </c>
      <c r="AP290" s="175">
        <f>Data_Dep.12[[#This Row],[Giá trị còn lại 31/12/25]]+Data_Dep.12[[#This Row],[KH LK 2026]]</f>
        <v>115468493.32061069</v>
      </c>
    </row>
    <row r="291" spans="1:42" x14ac:dyDescent="0.3">
      <c r="A291" s="169"/>
      <c r="B291" s="169"/>
      <c r="C291" s="170" t="s">
        <v>381</v>
      </c>
      <c r="D291" s="169" t="str">
        <f>_xlfn.XLOOKUP(Data_Dep.12[[#This Row],[Nhóm tài sản]],MD_Account_Asset_Type[Nhóm tài sản],MD_Account_Asset_Type[Tên Nhóm tài sản])</f>
        <v>TSCĐ thuê TC: Máy móc, thiết bị phụ- SX 627</v>
      </c>
      <c r="E291" s="171" t="s">
        <v>1180</v>
      </c>
      <c r="F291" s="170" t="s">
        <v>788</v>
      </c>
      <c r="G291" s="169" t="s">
        <v>1161</v>
      </c>
      <c r="H291" s="170" t="s">
        <v>48</v>
      </c>
      <c r="I291" s="170" t="str">
        <f>_xlfn.XLOOKUP(Data_Dep.12[[#This Row],[Cost center]],MD_Cost_Center[Mã Cost Center],MD_Cost_Center[Tên Cost Center])</f>
        <v>Xưởng sản xuất PET</v>
      </c>
      <c r="J291" s="172">
        <f>_xlfn.XLOOKUP(Data_Dep.12[[#This Row],[Cost center]],MD_Cost_Center[Mã Cost Center],MD_Cost_Center[Work center],"Check")</f>
        <v>0</v>
      </c>
      <c r="K291" s="169" t="str">
        <f>_xlfn.XLOOKUP(Data_Dep.12[[#This Row],[Nhóm tài sản]],MD_Account_Asset_Type[Nhóm tài sản],MD_Account_Asset_Type[Tài khoản KH],"Check")</f>
        <v>6274001906</v>
      </c>
      <c r="L291" s="173">
        <v>45627</v>
      </c>
      <c r="M291" s="174">
        <f>EDATE(Data_Dep.12[[#This Row],[Ngày bắt đầu KH]],Data_Dep.12[[#This Row],[T/G Khấu hao]])</f>
        <v>46753</v>
      </c>
      <c r="N291" s="175">
        <v>37</v>
      </c>
      <c r="O291" s="175">
        <v>1084008774</v>
      </c>
      <c r="P291" s="176">
        <v>-292975344</v>
      </c>
      <c r="Q291" s="175">
        <f>Data_Dep.12[[#This Row],[Nguyên giá]]+Data_Dep.12[[#This Row],[KH lũy kế]]</f>
        <v>791033430</v>
      </c>
      <c r="R291" s="177">
        <v>-29297534</v>
      </c>
      <c r="S291" s="177">
        <v>-29297535</v>
      </c>
      <c r="T291" s="177">
        <v>-29297534</v>
      </c>
      <c r="U291" s="177">
        <f>SUM(Data_Dep.12[[#This Row],[KH_2510]:[KH_2512]])</f>
        <v>-87892603</v>
      </c>
      <c r="V291" s="175">
        <f>Data_Dep.12[[#This Row],[Nguyên giá]]+Data_Dep.12[[#This Row],[KH lũy kế]]+Data_Dep.12[[#This Row],[KH_Q4.25]]</f>
        <v>703140827</v>
      </c>
      <c r="W291" s="178">
        <f>ROUND(Data_Dep.12[[#This Row],[T/G Khấu hao]]-Data_Dep.12[[#This Row],[Giá trị còn lại 31/12/25]]/Data_Dep.12[[#This Row],[Nguyên giá]]*Data_Dep.12[[#This Row],[T/G Khấu hao]],0)</f>
        <v>13</v>
      </c>
      <c r="X291" s="179">
        <v>107</v>
      </c>
      <c r="Y291" s="175">
        <f>Data_Dep.12[[#This Row],[T/G Khấu hao]]+Data_Dep.12[[#This Row],[Điều chỉnh]]</f>
        <v>144</v>
      </c>
      <c r="Z291" s="180">
        <f>EDATE(Data_Dep.12[[#This Row],[Ngày bắt đầu KH]],Data_Dep.12[[#This Row],[T/G điều chỉnh]])</f>
        <v>50010</v>
      </c>
      <c r="AA291" s="175">
        <f>Data_Dep.12[[#This Row],[T/G điều chỉnh]]-Data_Dep.12[[#This Row],[Số kỳ đã khấu hao]]</f>
        <v>131</v>
      </c>
      <c r="AB291" s="175">
        <f>IFERROR(-Data_Dep.12[[#This Row],[Giá trị còn lại 31/12/25]]/(Data_Dep.12[[#This Row],[T/G điều chỉnh]]-Data_Dep.12[[#This Row],[Số kỳ đã khấu hao]]),0)</f>
        <v>-5367487.2290076334</v>
      </c>
      <c r="AC291" s="181">
        <v>-5367487.2290076334</v>
      </c>
      <c r="AD291" s="181">
        <v>-5367487.2290076334</v>
      </c>
      <c r="AE291" s="181">
        <v>-5367487.2290076334</v>
      </c>
      <c r="AF291" s="181">
        <v>-5367487.2290076334</v>
      </c>
      <c r="AG291" s="181">
        <v>-5367487.2290076334</v>
      </c>
      <c r="AH291" s="181">
        <v>-5367487.2290076334</v>
      </c>
      <c r="AI291" s="181">
        <v>-5367487.2290076334</v>
      </c>
      <c r="AJ291" s="181">
        <v>-5367487.2290076334</v>
      </c>
      <c r="AK291" s="181">
        <v>-5367487.2290076334</v>
      </c>
      <c r="AL291" s="181">
        <v>-5367487.2290076334</v>
      </c>
      <c r="AM291" s="181">
        <v>-5367487.2290076334</v>
      </c>
      <c r="AN291" s="181">
        <v>-5367487.2290076334</v>
      </c>
      <c r="AO291" s="175">
        <f>SUM(Data_Dep.12[[#This Row],[KH_2601]:[KH_2612]])</f>
        <v>-64409846.748091586</v>
      </c>
      <c r="AP291" s="175">
        <f>Data_Dep.12[[#This Row],[Giá trị còn lại 31/12/25]]+Data_Dep.12[[#This Row],[KH LK 2026]]</f>
        <v>638730980.25190842</v>
      </c>
    </row>
    <row r="292" spans="1:42" x14ac:dyDescent="0.3">
      <c r="A292" s="169"/>
      <c r="B292" s="169"/>
      <c r="C292" s="170" t="s">
        <v>381</v>
      </c>
      <c r="D292" s="169" t="str">
        <f>_xlfn.XLOOKUP(Data_Dep.12[[#This Row],[Nhóm tài sản]],MD_Account_Asset_Type[Nhóm tài sản],MD_Account_Asset_Type[Tên Nhóm tài sản])</f>
        <v>TSCĐ thuê TC: Máy móc, thiết bị phụ- SX 627</v>
      </c>
      <c r="E292" s="171" t="s">
        <v>1181</v>
      </c>
      <c r="F292" s="170" t="s">
        <v>789</v>
      </c>
      <c r="G292" s="169" t="s">
        <v>1161</v>
      </c>
      <c r="H292" s="170" t="s">
        <v>46</v>
      </c>
      <c r="I292" s="170" t="str">
        <f>_xlfn.XLOOKUP(Data_Dep.12[[#This Row],[Cost center]],MD_Cost_Center[Mã Cost Center],MD_Cost_Center[Tên Cost Center])</f>
        <v>Kiểm soát chất lượng</v>
      </c>
      <c r="J292" s="172">
        <f>_xlfn.XLOOKUP(Data_Dep.12[[#This Row],[Cost center]],MD_Cost_Center[Mã Cost Center],MD_Cost_Center[Work center],"Check")</f>
        <v>0</v>
      </c>
      <c r="K292" s="169" t="str">
        <f>_xlfn.XLOOKUP(Data_Dep.12[[#This Row],[Nhóm tài sản]],MD_Account_Asset_Type[Nhóm tài sản],MD_Account_Asset_Type[Tài khoản KH],"Check")</f>
        <v>6274001906</v>
      </c>
      <c r="L292" s="173">
        <v>45627</v>
      </c>
      <c r="M292" s="174">
        <f>EDATE(Data_Dep.12[[#This Row],[Ngày bắt đầu KH]],Data_Dep.12[[#This Row],[T/G Khấu hao]])</f>
        <v>46054</v>
      </c>
      <c r="N292" s="175">
        <v>14</v>
      </c>
      <c r="O292" s="175">
        <v>147949511</v>
      </c>
      <c r="P292" s="176">
        <v>-105678222</v>
      </c>
      <c r="Q292" s="175">
        <f>Data_Dep.12[[#This Row],[Nguyên giá]]+Data_Dep.12[[#This Row],[KH lũy kế]]</f>
        <v>42271289</v>
      </c>
      <c r="R292" s="177">
        <v>-10567822</v>
      </c>
      <c r="S292" s="177">
        <v>-10567823</v>
      </c>
      <c r="T292" s="177">
        <v>-10567822</v>
      </c>
      <c r="U292" s="177">
        <f>SUM(Data_Dep.12[[#This Row],[KH_2510]:[KH_2512]])</f>
        <v>-31703467</v>
      </c>
      <c r="V292" s="175">
        <f>Data_Dep.12[[#This Row],[Nguyên giá]]+Data_Dep.12[[#This Row],[KH lũy kế]]+Data_Dep.12[[#This Row],[KH_Q4.25]]</f>
        <v>10567822</v>
      </c>
      <c r="W292" s="178">
        <f>ROUND(Data_Dep.12[[#This Row],[T/G Khấu hao]]-Data_Dep.12[[#This Row],[Giá trị còn lại 31/12/25]]/Data_Dep.12[[#This Row],[Nguyên giá]]*Data_Dep.12[[#This Row],[T/G Khấu hao]],0)</f>
        <v>13</v>
      </c>
      <c r="X292" s="179">
        <v>130</v>
      </c>
      <c r="Y292" s="175">
        <f>Data_Dep.12[[#This Row],[T/G Khấu hao]]+Data_Dep.12[[#This Row],[Điều chỉnh]]</f>
        <v>144</v>
      </c>
      <c r="Z292" s="180">
        <f>EDATE(Data_Dep.12[[#This Row],[Ngày bắt đầu KH]],Data_Dep.12[[#This Row],[T/G điều chỉnh]])</f>
        <v>50010</v>
      </c>
      <c r="AA292" s="175">
        <f>Data_Dep.12[[#This Row],[T/G điều chỉnh]]-Data_Dep.12[[#This Row],[Số kỳ đã khấu hao]]</f>
        <v>131</v>
      </c>
      <c r="AB292" s="175">
        <f>IFERROR(-Data_Dep.12[[#This Row],[Giá trị còn lại 31/12/25]]/(Data_Dep.12[[#This Row],[T/G điều chỉnh]]-Data_Dep.12[[#This Row],[Số kỳ đã khấu hao]]),0)</f>
        <v>-80670.396946564884</v>
      </c>
      <c r="AC292" s="181">
        <v>-80670.396946564884</v>
      </c>
      <c r="AD292" s="181">
        <v>-80670.396946564884</v>
      </c>
      <c r="AE292" s="181">
        <v>-80670.396946564884</v>
      </c>
      <c r="AF292" s="181">
        <v>-80670.396946564884</v>
      </c>
      <c r="AG292" s="181">
        <v>-80670.396946564884</v>
      </c>
      <c r="AH292" s="181">
        <v>-80670.396946564884</v>
      </c>
      <c r="AI292" s="181">
        <v>-80670.396946564884</v>
      </c>
      <c r="AJ292" s="181">
        <v>-80670.396946564884</v>
      </c>
      <c r="AK292" s="181">
        <v>-80670.396946564884</v>
      </c>
      <c r="AL292" s="181">
        <v>-80670.396946564884</v>
      </c>
      <c r="AM292" s="181">
        <v>-80670.396946564884</v>
      </c>
      <c r="AN292" s="181">
        <v>-80670.396946564884</v>
      </c>
      <c r="AO292" s="175">
        <f>SUM(Data_Dep.12[[#This Row],[KH_2601]:[KH_2612]])</f>
        <v>-968044.76335877867</v>
      </c>
      <c r="AP292" s="175">
        <f>Data_Dep.12[[#This Row],[Giá trị còn lại 31/12/25]]+Data_Dep.12[[#This Row],[KH LK 2026]]</f>
        <v>9599777.2366412207</v>
      </c>
    </row>
    <row r="293" spans="1:42" x14ac:dyDescent="0.3">
      <c r="A293" s="169"/>
      <c r="B293" s="169"/>
      <c r="C293" s="170" t="s">
        <v>381</v>
      </c>
      <c r="D293" s="169" t="str">
        <f>_xlfn.XLOOKUP(Data_Dep.12[[#This Row],[Nhóm tài sản]],MD_Account_Asset_Type[Nhóm tài sản],MD_Account_Asset_Type[Tên Nhóm tài sản])</f>
        <v>TSCĐ thuê TC: Máy móc, thiết bị phụ- SX 627</v>
      </c>
      <c r="E293" s="171" t="s">
        <v>1182</v>
      </c>
      <c r="F293" s="170" t="s">
        <v>790</v>
      </c>
      <c r="G293" s="169" t="s">
        <v>1161</v>
      </c>
      <c r="H293" s="170" t="s">
        <v>46</v>
      </c>
      <c r="I293" s="170" t="str">
        <f>_xlfn.XLOOKUP(Data_Dep.12[[#This Row],[Cost center]],MD_Cost_Center[Mã Cost Center],MD_Cost_Center[Tên Cost Center])</f>
        <v>Kiểm soát chất lượng</v>
      </c>
      <c r="J293" s="172">
        <f>_xlfn.XLOOKUP(Data_Dep.12[[#This Row],[Cost center]],MD_Cost_Center[Mã Cost Center],MD_Cost_Center[Work center],"Check")</f>
        <v>0</v>
      </c>
      <c r="K293" s="169" t="str">
        <f>_xlfn.XLOOKUP(Data_Dep.12[[#This Row],[Nhóm tài sản]],MD_Account_Asset_Type[Nhóm tài sản],MD_Account_Asset_Type[Tài khoản KH],"Check")</f>
        <v>6274001906</v>
      </c>
      <c r="L293" s="173">
        <v>45627</v>
      </c>
      <c r="M293" s="174">
        <f>EDATE(Data_Dep.12[[#This Row],[Ngày bắt đầu KH]],Data_Dep.12[[#This Row],[T/G Khấu hao]])</f>
        <v>46054</v>
      </c>
      <c r="N293" s="175">
        <v>14</v>
      </c>
      <c r="O293" s="175">
        <v>120047555</v>
      </c>
      <c r="P293" s="176">
        <v>-85748253</v>
      </c>
      <c r="Q293" s="175">
        <f>Data_Dep.12[[#This Row],[Nguyên giá]]+Data_Dep.12[[#This Row],[KH lũy kế]]</f>
        <v>34299302</v>
      </c>
      <c r="R293" s="177">
        <v>-8574826</v>
      </c>
      <c r="S293" s="177">
        <v>-8574825</v>
      </c>
      <c r="T293" s="177">
        <v>-8574826</v>
      </c>
      <c r="U293" s="177">
        <f>SUM(Data_Dep.12[[#This Row],[KH_2510]:[KH_2512]])</f>
        <v>-25724477</v>
      </c>
      <c r="V293" s="175">
        <f>Data_Dep.12[[#This Row],[Nguyên giá]]+Data_Dep.12[[#This Row],[KH lũy kế]]+Data_Dep.12[[#This Row],[KH_Q4.25]]</f>
        <v>8574825</v>
      </c>
      <c r="W293" s="178">
        <f>ROUND(Data_Dep.12[[#This Row],[T/G Khấu hao]]-Data_Dep.12[[#This Row],[Giá trị còn lại 31/12/25]]/Data_Dep.12[[#This Row],[Nguyên giá]]*Data_Dep.12[[#This Row],[T/G Khấu hao]],0)</f>
        <v>13</v>
      </c>
      <c r="X293" s="179">
        <v>130</v>
      </c>
      <c r="Y293" s="175">
        <f>Data_Dep.12[[#This Row],[T/G Khấu hao]]+Data_Dep.12[[#This Row],[Điều chỉnh]]</f>
        <v>144</v>
      </c>
      <c r="Z293" s="180">
        <f>EDATE(Data_Dep.12[[#This Row],[Ngày bắt đầu KH]],Data_Dep.12[[#This Row],[T/G điều chỉnh]])</f>
        <v>50010</v>
      </c>
      <c r="AA293" s="175">
        <f>Data_Dep.12[[#This Row],[T/G điều chỉnh]]-Data_Dep.12[[#This Row],[Số kỳ đã khấu hao]]</f>
        <v>131</v>
      </c>
      <c r="AB293" s="175">
        <f>IFERROR(-Data_Dep.12[[#This Row],[Giá trị còn lại 31/12/25]]/(Data_Dep.12[[#This Row],[T/G điều chỉnh]]-Data_Dep.12[[#This Row],[Số kỳ đã khấu hao]]),0)</f>
        <v>-65456.67938931298</v>
      </c>
      <c r="AC293" s="181">
        <v>-65456.67938931298</v>
      </c>
      <c r="AD293" s="181">
        <v>-65456.67938931298</v>
      </c>
      <c r="AE293" s="181">
        <v>-65456.67938931298</v>
      </c>
      <c r="AF293" s="181">
        <v>-65456.67938931298</v>
      </c>
      <c r="AG293" s="181">
        <v>-65456.67938931298</v>
      </c>
      <c r="AH293" s="181">
        <v>-65456.67938931298</v>
      </c>
      <c r="AI293" s="181">
        <v>-65456.67938931298</v>
      </c>
      <c r="AJ293" s="181">
        <v>-65456.67938931298</v>
      </c>
      <c r="AK293" s="181">
        <v>-65456.67938931298</v>
      </c>
      <c r="AL293" s="181">
        <v>-65456.67938931298</v>
      </c>
      <c r="AM293" s="181">
        <v>-65456.67938931298</v>
      </c>
      <c r="AN293" s="181">
        <v>-65456.67938931298</v>
      </c>
      <c r="AO293" s="175">
        <f>SUM(Data_Dep.12[[#This Row],[KH_2601]:[KH_2612]])</f>
        <v>-785480.15267175576</v>
      </c>
      <c r="AP293" s="175">
        <f>Data_Dep.12[[#This Row],[Giá trị còn lại 31/12/25]]+Data_Dep.12[[#This Row],[KH LK 2026]]</f>
        <v>7789344.8473282438</v>
      </c>
    </row>
    <row r="294" spans="1:42" x14ac:dyDescent="0.3">
      <c r="A294" s="169"/>
      <c r="B294" s="169"/>
      <c r="C294" s="170" t="s">
        <v>381</v>
      </c>
      <c r="D294" s="169" t="str">
        <f>_xlfn.XLOOKUP(Data_Dep.12[[#This Row],[Nhóm tài sản]],MD_Account_Asset_Type[Nhóm tài sản],MD_Account_Asset_Type[Tên Nhóm tài sản])</f>
        <v>TSCĐ thuê TC: Máy móc, thiết bị phụ- SX 627</v>
      </c>
      <c r="E294" s="171" t="s">
        <v>1183</v>
      </c>
      <c r="F294" s="170" t="s">
        <v>791</v>
      </c>
      <c r="G294" s="169" t="s">
        <v>1161</v>
      </c>
      <c r="H294" s="170" t="s">
        <v>54</v>
      </c>
      <c r="I294" s="170" t="str">
        <f>_xlfn.XLOOKUP(Data_Dep.12[[#This Row],[Cost center]],MD_Cost_Center[Mã Cost Center],MD_Cost_Center[Tên Cost Center])</f>
        <v>Máy tạo hạt PET Starlinger</v>
      </c>
      <c r="J294" s="172" t="str">
        <f>_xlfn.XLOOKUP(Data_Dep.12[[#This Row],[Cost center]],MD_Cost_Center[Mã Cost Center],MD_Cost_Center[Work center],"Check")</f>
        <v>STAR-01</v>
      </c>
      <c r="K294" s="169" t="str">
        <f>_xlfn.XLOOKUP(Data_Dep.12[[#This Row],[Nhóm tài sản]],MD_Account_Asset_Type[Nhóm tài sản],MD_Account_Asset_Type[Tài khoản KH],"Check")</f>
        <v>6274001906</v>
      </c>
      <c r="L294" s="173">
        <v>45627</v>
      </c>
      <c r="M294" s="174">
        <f>EDATE(Data_Dep.12[[#This Row],[Ngày bắt đầu KH]],Data_Dep.12[[#This Row],[T/G Khấu hao]])</f>
        <v>46813</v>
      </c>
      <c r="N294" s="175">
        <v>39</v>
      </c>
      <c r="O294" s="175">
        <v>1022017750</v>
      </c>
      <c r="P294" s="176">
        <v>-262055833</v>
      </c>
      <c r="Q294" s="175">
        <f>Data_Dep.12[[#This Row],[Nguyên giá]]+Data_Dep.12[[#This Row],[KH lũy kế]]</f>
        <v>759961917</v>
      </c>
      <c r="R294" s="177">
        <v>-26205583</v>
      </c>
      <c r="S294" s="177">
        <v>-26205584</v>
      </c>
      <c r="T294" s="177">
        <v>-26205583</v>
      </c>
      <c r="U294" s="177">
        <f>SUM(Data_Dep.12[[#This Row],[KH_2510]:[KH_2512]])</f>
        <v>-78616750</v>
      </c>
      <c r="V294" s="175">
        <f>Data_Dep.12[[#This Row],[Nguyên giá]]+Data_Dep.12[[#This Row],[KH lũy kế]]+Data_Dep.12[[#This Row],[KH_Q4.25]]</f>
        <v>681345167</v>
      </c>
      <c r="W294" s="178">
        <f>ROUND(Data_Dep.12[[#This Row],[T/G Khấu hao]]-Data_Dep.12[[#This Row],[Giá trị còn lại 31/12/25]]/Data_Dep.12[[#This Row],[Nguyên giá]]*Data_Dep.12[[#This Row],[T/G Khấu hao]],0)</f>
        <v>13</v>
      </c>
      <c r="X294" s="179">
        <v>105</v>
      </c>
      <c r="Y294" s="175">
        <f>Data_Dep.12[[#This Row],[T/G Khấu hao]]+Data_Dep.12[[#This Row],[Điều chỉnh]]</f>
        <v>144</v>
      </c>
      <c r="Z294" s="180">
        <f>EDATE(Data_Dep.12[[#This Row],[Ngày bắt đầu KH]],Data_Dep.12[[#This Row],[T/G điều chỉnh]])</f>
        <v>50010</v>
      </c>
      <c r="AA294" s="175">
        <f>Data_Dep.12[[#This Row],[T/G điều chỉnh]]-Data_Dep.12[[#This Row],[Số kỳ đã khấu hao]]</f>
        <v>131</v>
      </c>
      <c r="AB294" s="175">
        <f>IFERROR(-Data_Dep.12[[#This Row],[Giá trị còn lại 31/12/25]]/(Data_Dep.12[[#This Row],[T/G điều chỉnh]]-Data_Dep.12[[#This Row],[Số kỳ đã khấu hao]]),0)</f>
        <v>-5201108.1450381679</v>
      </c>
      <c r="AC294" s="181">
        <v>-5201108.1450381679</v>
      </c>
      <c r="AD294" s="181">
        <v>-5201108.1450381679</v>
      </c>
      <c r="AE294" s="181">
        <v>-5201108.1450381679</v>
      </c>
      <c r="AF294" s="181">
        <v>-5201108.1450381679</v>
      </c>
      <c r="AG294" s="181">
        <v>-5201108.1450381679</v>
      </c>
      <c r="AH294" s="181">
        <v>-5201108.1450381679</v>
      </c>
      <c r="AI294" s="181">
        <v>-5201108.1450381679</v>
      </c>
      <c r="AJ294" s="181">
        <v>-5201108.1450381679</v>
      </c>
      <c r="AK294" s="181">
        <v>-5201108.1450381679</v>
      </c>
      <c r="AL294" s="181">
        <v>-5201108.1450381679</v>
      </c>
      <c r="AM294" s="181">
        <v>-5201108.1450381679</v>
      </c>
      <c r="AN294" s="181">
        <v>-5201108.1450381679</v>
      </c>
      <c r="AO294" s="175">
        <f>SUM(Data_Dep.12[[#This Row],[KH_2601]:[KH_2612]])</f>
        <v>-62413297.740458004</v>
      </c>
      <c r="AP294" s="175">
        <f>Data_Dep.12[[#This Row],[Giá trị còn lại 31/12/25]]+Data_Dep.12[[#This Row],[KH LK 2026]]</f>
        <v>618931869.25954199</v>
      </c>
    </row>
    <row r="295" spans="1:42" x14ac:dyDescent="0.3">
      <c r="A295" s="169"/>
      <c r="B295" s="169"/>
      <c r="C295" s="170" t="s">
        <v>381</v>
      </c>
      <c r="D295" s="169" t="str">
        <f>_xlfn.XLOOKUP(Data_Dep.12[[#This Row],[Nhóm tài sản]],MD_Account_Asset_Type[Nhóm tài sản],MD_Account_Asset_Type[Tên Nhóm tài sản])</f>
        <v>TSCĐ thuê TC: Máy móc, thiết bị phụ- SX 627</v>
      </c>
      <c r="E295" s="171" t="s">
        <v>1184</v>
      </c>
      <c r="F295" s="170" t="s">
        <v>792</v>
      </c>
      <c r="G295" s="169" t="s">
        <v>1161</v>
      </c>
      <c r="H295" s="170" t="s">
        <v>54</v>
      </c>
      <c r="I295" s="170" t="str">
        <f>_xlfn.XLOOKUP(Data_Dep.12[[#This Row],[Cost center]],MD_Cost_Center[Mã Cost Center],MD_Cost_Center[Tên Cost Center])</f>
        <v>Máy tạo hạt PET Starlinger</v>
      </c>
      <c r="J295" s="172" t="str">
        <f>_xlfn.XLOOKUP(Data_Dep.12[[#This Row],[Cost center]],MD_Cost_Center[Mã Cost Center],MD_Cost_Center[Work center],"Check")</f>
        <v>STAR-01</v>
      </c>
      <c r="K295" s="169" t="str">
        <f>_xlfn.XLOOKUP(Data_Dep.12[[#This Row],[Nhóm tài sản]],MD_Account_Asset_Type[Nhóm tài sản],MD_Account_Asset_Type[Tài khoản KH],"Check")</f>
        <v>6274001906</v>
      </c>
      <c r="L295" s="173">
        <v>45627</v>
      </c>
      <c r="M295" s="174">
        <f>EDATE(Data_Dep.12[[#This Row],[Ngày bắt đầu KH]],Data_Dep.12[[#This Row],[T/G Khấu hao]])</f>
        <v>46813</v>
      </c>
      <c r="N295" s="175">
        <v>39</v>
      </c>
      <c r="O295" s="175">
        <v>1022017750</v>
      </c>
      <c r="P295" s="176">
        <v>-262055833</v>
      </c>
      <c r="Q295" s="175">
        <f>Data_Dep.12[[#This Row],[Nguyên giá]]+Data_Dep.12[[#This Row],[KH lũy kế]]</f>
        <v>759961917</v>
      </c>
      <c r="R295" s="177">
        <v>-26205583</v>
      </c>
      <c r="S295" s="177">
        <v>-26205584</v>
      </c>
      <c r="T295" s="177">
        <v>-26205583</v>
      </c>
      <c r="U295" s="177">
        <f>SUM(Data_Dep.12[[#This Row],[KH_2510]:[KH_2512]])</f>
        <v>-78616750</v>
      </c>
      <c r="V295" s="175">
        <f>Data_Dep.12[[#This Row],[Nguyên giá]]+Data_Dep.12[[#This Row],[KH lũy kế]]+Data_Dep.12[[#This Row],[KH_Q4.25]]</f>
        <v>681345167</v>
      </c>
      <c r="W295" s="178">
        <f>ROUND(Data_Dep.12[[#This Row],[T/G Khấu hao]]-Data_Dep.12[[#This Row],[Giá trị còn lại 31/12/25]]/Data_Dep.12[[#This Row],[Nguyên giá]]*Data_Dep.12[[#This Row],[T/G Khấu hao]],0)</f>
        <v>13</v>
      </c>
      <c r="X295" s="179">
        <v>105</v>
      </c>
      <c r="Y295" s="175">
        <f>Data_Dep.12[[#This Row],[T/G Khấu hao]]+Data_Dep.12[[#This Row],[Điều chỉnh]]</f>
        <v>144</v>
      </c>
      <c r="Z295" s="180">
        <f>EDATE(Data_Dep.12[[#This Row],[Ngày bắt đầu KH]],Data_Dep.12[[#This Row],[T/G điều chỉnh]])</f>
        <v>50010</v>
      </c>
      <c r="AA295" s="175">
        <f>Data_Dep.12[[#This Row],[T/G điều chỉnh]]-Data_Dep.12[[#This Row],[Số kỳ đã khấu hao]]</f>
        <v>131</v>
      </c>
      <c r="AB295" s="175">
        <f>IFERROR(-Data_Dep.12[[#This Row],[Giá trị còn lại 31/12/25]]/(Data_Dep.12[[#This Row],[T/G điều chỉnh]]-Data_Dep.12[[#This Row],[Số kỳ đã khấu hao]]),0)</f>
        <v>-5201108.1450381679</v>
      </c>
      <c r="AC295" s="181">
        <v>-5201108.1450381679</v>
      </c>
      <c r="AD295" s="181">
        <v>-5201108.1450381679</v>
      </c>
      <c r="AE295" s="181">
        <v>-5201108.1450381679</v>
      </c>
      <c r="AF295" s="181">
        <v>-5201108.1450381679</v>
      </c>
      <c r="AG295" s="181">
        <v>-5201108.1450381679</v>
      </c>
      <c r="AH295" s="181">
        <v>-5201108.1450381679</v>
      </c>
      <c r="AI295" s="181">
        <v>-5201108.1450381679</v>
      </c>
      <c r="AJ295" s="181">
        <v>-5201108.1450381679</v>
      </c>
      <c r="AK295" s="181">
        <v>-5201108.1450381679</v>
      </c>
      <c r="AL295" s="181">
        <v>-5201108.1450381679</v>
      </c>
      <c r="AM295" s="181">
        <v>-5201108.1450381679</v>
      </c>
      <c r="AN295" s="181">
        <v>-5201108.1450381679</v>
      </c>
      <c r="AO295" s="175">
        <f>SUM(Data_Dep.12[[#This Row],[KH_2601]:[KH_2612]])</f>
        <v>-62413297.740458004</v>
      </c>
      <c r="AP295" s="175">
        <f>Data_Dep.12[[#This Row],[Giá trị còn lại 31/12/25]]+Data_Dep.12[[#This Row],[KH LK 2026]]</f>
        <v>618931869.25954199</v>
      </c>
    </row>
    <row r="296" spans="1:42" x14ac:dyDescent="0.3">
      <c r="A296" s="169"/>
      <c r="B296" s="169"/>
      <c r="C296" s="170" t="s">
        <v>355</v>
      </c>
      <c r="D296" s="169" t="str">
        <f>_xlfn.XLOOKUP(Data_Dep.12[[#This Row],[Nhóm tài sản]],MD_Account_Asset_Type[Nhóm tài sản],MD_Account_Asset_Type[Tên Nhóm tài sản])</f>
        <v>TSCĐ thuê TC: Máy móc, thiết bị - SX 627</v>
      </c>
      <c r="E296" s="171" t="s">
        <v>1160</v>
      </c>
      <c r="F296" s="170" t="s">
        <v>793</v>
      </c>
      <c r="G296" s="169" t="s">
        <v>1161</v>
      </c>
      <c r="H296" s="170" t="s">
        <v>52</v>
      </c>
      <c r="I296" s="170" t="str">
        <f>_xlfn.XLOOKUP(Data_Dep.12[[#This Row],[Cost center]],MD_Cost_Center[Mã Cost Center],MD_Cost_Center[Tên Cost Center])</f>
        <v>Máy tạo hạt PET HTL+máy kết tinh TKN</v>
      </c>
      <c r="J296" s="172" t="str">
        <f>_xlfn.XLOOKUP(Data_Dep.12[[#This Row],[Cost center]],MD_Cost_Center[Mã Cost Center],MD_Cost_Center[Work center],"Check")</f>
        <v>OSAK-01</v>
      </c>
      <c r="K296" s="169" t="str">
        <f>_xlfn.XLOOKUP(Data_Dep.12[[#This Row],[Nhóm tài sản]],MD_Account_Asset_Type[Nhóm tài sản],MD_Account_Asset_Type[Tài khoản KH],"Check")</f>
        <v>6274001903</v>
      </c>
      <c r="L296" s="173">
        <v>45627</v>
      </c>
      <c r="M296" s="174">
        <f>EDATE(Data_Dep.12[[#This Row],[Ngày bắt đầu KH]],Data_Dep.12[[#This Row],[T/G Khấu hao]])</f>
        <v>46813</v>
      </c>
      <c r="N296" s="175">
        <v>39</v>
      </c>
      <c r="O296" s="175">
        <v>904469422</v>
      </c>
      <c r="P296" s="176">
        <v>-231915237</v>
      </c>
      <c r="Q296" s="175">
        <f>Data_Dep.12[[#This Row],[Nguyên giá]]+Data_Dep.12[[#This Row],[KH lũy kế]]</f>
        <v>672554185</v>
      </c>
      <c r="R296" s="177">
        <v>-23191523</v>
      </c>
      <c r="S296" s="177">
        <v>-23191524</v>
      </c>
      <c r="T296" s="177">
        <v>-23191524</v>
      </c>
      <c r="U296" s="177">
        <f>SUM(Data_Dep.12[[#This Row],[KH_2510]:[KH_2512]])</f>
        <v>-69574571</v>
      </c>
      <c r="V296" s="175">
        <f>Data_Dep.12[[#This Row],[Nguyên giá]]+Data_Dep.12[[#This Row],[KH lũy kế]]+Data_Dep.12[[#This Row],[KH_Q4.25]]</f>
        <v>602979614</v>
      </c>
      <c r="W296" s="178">
        <f>ROUND(Data_Dep.12[[#This Row],[T/G Khấu hao]]-Data_Dep.12[[#This Row],[Giá trị còn lại 31/12/25]]/Data_Dep.12[[#This Row],[Nguyên giá]]*Data_Dep.12[[#This Row],[T/G Khấu hao]],0)</f>
        <v>13</v>
      </c>
      <c r="X296" s="179">
        <v>105</v>
      </c>
      <c r="Y296" s="175">
        <f>Data_Dep.12[[#This Row],[T/G Khấu hao]]+Data_Dep.12[[#This Row],[Điều chỉnh]]</f>
        <v>144</v>
      </c>
      <c r="Z296" s="180">
        <f>EDATE(Data_Dep.12[[#This Row],[Ngày bắt đầu KH]],Data_Dep.12[[#This Row],[T/G điều chỉnh]])</f>
        <v>50010</v>
      </c>
      <c r="AA296" s="175">
        <f>Data_Dep.12[[#This Row],[T/G điều chỉnh]]-Data_Dep.12[[#This Row],[Số kỳ đã khấu hao]]</f>
        <v>131</v>
      </c>
      <c r="AB296" s="175">
        <f>IFERROR(-Data_Dep.12[[#This Row],[Giá trị còn lại 31/12/25]]/(Data_Dep.12[[#This Row],[T/G điều chỉnh]]-Data_Dep.12[[#This Row],[Số kỳ đã khấu hao]]),0)</f>
        <v>-4602897.8167938935</v>
      </c>
      <c r="AC296" s="181">
        <v>-4602897.8167938935</v>
      </c>
      <c r="AD296" s="181">
        <v>-4602897.8167938935</v>
      </c>
      <c r="AE296" s="181">
        <v>-4602897.8167938935</v>
      </c>
      <c r="AF296" s="181">
        <v>-4602897.8167938935</v>
      </c>
      <c r="AG296" s="181">
        <v>-4602897.8167938935</v>
      </c>
      <c r="AH296" s="181">
        <v>-4602897.8167938935</v>
      </c>
      <c r="AI296" s="181">
        <v>-4602897.8167938935</v>
      </c>
      <c r="AJ296" s="181">
        <v>-4602897.8167938935</v>
      </c>
      <c r="AK296" s="181">
        <v>-4602897.8167938935</v>
      </c>
      <c r="AL296" s="181">
        <v>-4602897.8167938935</v>
      </c>
      <c r="AM296" s="181">
        <v>-4602897.8167938935</v>
      </c>
      <c r="AN296" s="181">
        <v>-4602897.8167938935</v>
      </c>
      <c r="AO296" s="175">
        <f>SUM(Data_Dep.12[[#This Row],[KH_2601]:[KH_2612]])</f>
        <v>-55234773.801526733</v>
      </c>
      <c r="AP296" s="175">
        <f>Data_Dep.12[[#This Row],[Giá trị còn lại 31/12/25]]+Data_Dep.12[[#This Row],[KH LK 2026]]</f>
        <v>547744840.19847322</v>
      </c>
    </row>
    <row r="297" spans="1:42" x14ac:dyDescent="0.3">
      <c r="A297" s="169"/>
      <c r="B297" s="169"/>
      <c r="C297" s="170" t="s">
        <v>355</v>
      </c>
      <c r="D297" s="169" t="str">
        <f>_xlfn.XLOOKUP(Data_Dep.12[[#This Row],[Nhóm tài sản]],MD_Account_Asset_Type[Nhóm tài sản],MD_Account_Asset_Type[Tên Nhóm tài sản])</f>
        <v>TSCĐ thuê TC: Máy móc, thiết bị - SX 627</v>
      </c>
      <c r="E297" s="171" t="s">
        <v>1162</v>
      </c>
      <c r="F297" s="170" t="s">
        <v>794</v>
      </c>
      <c r="G297" s="169" t="s">
        <v>1161</v>
      </c>
      <c r="H297" s="170" t="s">
        <v>52</v>
      </c>
      <c r="I297" s="170" t="str">
        <f>_xlfn.XLOOKUP(Data_Dep.12[[#This Row],[Cost center]],MD_Cost_Center[Mã Cost Center],MD_Cost_Center[Tên Cost Center])</f>
        <v>Máy tạo hạt PET HTL+máy kết tinh TKN</v>
      </c>
      <c r="J297" s="172" t="str">
        <f>_xlfn.XLOOKUP(Data_Dep.12[[#This Row],[Cost center]],MD_Cost_Center[Mã Cost Center],MD_Cost_Center[Work center],"Check")</f>
        <v>OSAK-01</v>
      </c>
      <c r="K297" s="169" t="str">
        <f>_xlfn.XLOOKUP(Data_Dep.12[[#This Row],[Nhóm tài sản]],MD_Account_Asset_Type[Nhóm tài sản],MD_Account_Asset_Type[Tài khoản KH],"Check")</f>
        <v>6274001903</v>
      </c>
      <c r="L297" s="173">
        <v>45627</v>
      </c>
      <c r="M297" s="174">
        <f>EDATE(Data_Dep.12[[#This Row],[Ngày bắt đầu KH]],Data_Dep.12[[#This Row],[T/G Khấu hao]])</f>
        <v>46874</v>
      </c>
      <c r="N297" s="175">
        <v>41</v>
      </c>
      <c r="O297" s="175">
        <v>222233555</v>
      </c>
      <c r="P297" s="176">
        <v>-54203306</v>
      </c>
      <c r="Q297" s="175">
        <f>Data_Dep.12[[#This Row],[Nguyên giá]]+Data_Dep.12[[#This Row],[KH lũy kế]]</f>
        <v>168030249</v>
      </c>
      <c r="R297" s="177">
        <v>-5420331</v>
      </c>
      <c r="S297" s="177">
        <v>-5420331</v>
      </c>
      <c r="T297" s="177">
        <v>-5420330</v>
      </c>
      <c r="U297" s="177">
        <f>SUM(Data_Dep.12[[#This Row],[KH_2510]:[KH_2512]])</f>
        <v>-16260992</v>
      </c>
      <c r="V297" s="175">
        <f>Data_Dep.12[[#This Row],[Nguyên giá]]+Data_Dep.12[[#This Row],[KH lũy kế]]+Data_Dep.12[[#This Row],[KH_Q4.25]]</f>
        <v>151769257</v>
      </c>
      <c r="W297" s="178">
        <f>ROUND(Data_Dep.12[[#This Row],[T/G Khấu hao]]-Data_Dep.12[[#This Row],[Giá trị còn lại 31/12/25]]/Data_Dep.12[[#This Row],[Nguyên giá]]*Data_Dep.12[[#This Row],[T/G Khấu hao]],0)</f>
        <v>13</v>
      </c>
      <c r="X297" s="179">
        <v>103</v>
      </c>
      <c r="Y297" s="175">
        <f>Data_Dep.12[[#This Row],[T/G Khấu hao]]+Data_Dep.12[[#This Row],[Điều chỉnh]]</f>
        <v>144</v>
      </c>
      <c r="Z297" s="180">
        <f>EDATE(Data_Dep.12[[#This Row],[Ngày bắt đầu KH]],Data_Dep.12[[#This Row],[T/G điều chỉnh]])</f>
        <v>50010</v>
      </c>
      <c r="AA297" s="175">
        <f>Data_Dep.12[[#This Row],[T/G điều chỉnh]]-Data_Dep.12[[#This Row],[Số kỳ đã khấu hao]]</f>
        <v>131</v>
      </c>
      <c r="AB297" s="175">
        <f>IFERROR(-Data_Dep.12[[#This Row],[Giá trị còn lại 31/12/25]]/(Data_Dep.12[[#This Row],[T/G điều chỉnh]]-Data_Dep.12[[#This Row],[Số kỳ đã khấu hao]]),0)</f>
        <v>-1158543.9465648856</v>
      </c>
      <c r="AC297" s="181">
        <v>-1158543.9465648856</v>
      </c>
      <c r="AD297" s="181">
        <v>-1158543.9465648856</v>
      </c>
      <c r="AE297" s="181">
        <v>-1158543.9465648856</v>
      </c>
      <c r="AF297" s="181">
        <v>-1158543.9465648856</v>
      </c>
      <c r="AG297" s="181">
        <v>-1158543.9465648856</v>
      </c>
      <c r="AH297" s="181">
        <v>-1158543.9465648856</v>
      </c>
      <c r="AI297" s="181">
        <v>-1158543.9465648856</v>
      </c>
      <c r="AJ297" s="181">
        <v>-1158543.9465648856</v>
      </c>
      <c r="AK297" s="181">
        <v>-1158543.9465648856</v>
      </c>
      <c r="AL297" s="181">
        <v>-1158543.9465648856</v>
      </c>
      <c r="AM297" s="181">
        <v>-1158543.9465648856</v>
      </c>
      <c r="AN297" s="181">
        <v>-1158543.9465648856</v>
      </c>
      <c r="AO297" s="175">
        <f>SUM(Data_Dep.12[[#This Row],[KH_2601]:[KH_2612]])</f>
        <v>-13902527.358778624</v>
      </c>
      <c r="AP297" s="175">
        <f>Data_Dep.12[[#This Row],[Giá trị còn lại 31/12/25]]+Data_Dep.12[[#This Row],[KH LK 2026]]</f>
        <v>137866729.64122137</v>
      </c>
    </row>
    <row r="298" spans="1:42" x14ac:dyDescent="0.3">
      <c r="A298" s="169"/>
      <c r="B298" s="169"/>
      <c r="C298" s="170" t="s">
        <v>355</v>
      </c>
      <c r="D298" s="169" t="str">
        <f>_xlfn.XLOOKUP(Data_Dep.12[[#This Row],[Nhóm tài sản]],MD_Account_Asset_Type[Nhóm tài sản],MD_Account_Asset_Type[Tên Nhóm tài sản])</f>
        <v>TSCĐ thuê TC: Máy móc, thiết bị - SX 627</v>
      </c>
      <c r="E298" s="171" t="s">
        <v>1163</v>
      </c>
      <c r="F298" s="170" t="s">
        <v>795</v>
      </c>
      <c r="G298" s="169" t="s">
        <v>1161</v>
      </c>
      <c r="H298" s="170" t="s">
        <v>57</v>
      </c>
      <c r="I298" s="170" t="str">
        <f>_xlfn.XLOOKUP(Data_Dep.12[[#This Row],[Cost center]],MD_Cost_Center[Mã Cost Center],MD_Cost_Center[Tên Cost Center])</f>
        <v>Máy Tách màu Taiho + máy trộn MI</v>
      </c>
      <c r="J298" s="172" t="str">
        <f>_xlfn.XLOOKUP(Data_Dep.12[[#This Row],[Cost center]],MD_Cost_Center[Mã Cost Center],MD_Cost_Center[Work center],"Check")</f>
        <v>TAIH-01</v>
      </c>
      <c r="K298" s="169" t="str">
        <f>_xlfn.XLOOKUP(Data_Dep.12[[#This Row],[Nhóm tài sản]],MD_Account_Asset_Type[Nhóm tài sản],MD_Account_Asset_Type[Tài khoản KH],"Check")</f>
        <v>6274001903</v>
      </c>
      <c r="L298" s="173">
        <v>45627</v>
      </c>
      <c r="M298" s="174">
        <f>EDATE(Data_Dep.12[[#This Row],[Ngày bắt đầu KH]],Data_Dep.12[[#This Row],[T/G Khấu hao]])</f>
        <v>47150</v>
      </c>
      <c r="N298" s="175">
        <v>50</v>
      </c>
      <c r="O298" s="175">
        <v>1081360419</v>
      </c>
      <c r="P298" s="176">
        <v>-216272083</v>
      </c>
      <c r="Q298" s="175">
        <f>Data_Dep.12[[#This Row],[Nguyên giá]]+Data_Dep.12[[#This Row],[KH lũy kế]]</f>
        <v>865088336</v>
      </c>
      <c r="R298" s="177">
        <v>-21627209</v>
      </c>
      <c r="S298" s="177">
        <v>-21627208</v>
      </c>
      <c r="T298" s="177">
        <v>-21627209</v>
      </c>
      <c r="U298" s="177">
        <f>SUM(Data_Dep.12[[#This Row],[KH_2510]:[KH_2512]])</f>
        <v>-64881626</v>
      </c>
      <c r="V298" s="175">
        <f>Data_Dep.12[[#This Row],[Nguyên giá]]+Data_Dep.12[[#This Row],[KH lũy kế]]+Data_Dep.12[[#This Row],[KH_Q4.25]]</f>
        <v>800206710</v>
      </c>
      <c r="W298" s="178">
        <f>ROUND(Data_Dep.12[[#This Row],[T/G Khấu hao]]-Data_Dep.12[[#This Row],[Giá trị còn lại 31/12/25]]/Data_Dep.12[[#This Row],[Nguyên giá]]*Data_Dep.12[[#This Row],[T/G Khấu hao]],0)</f>
        <v>13</v>
      </c>
      <c r="X298" s="179">
        <v>94</v>
      </c>
      <c r="Y298" s="175">
        <f>Data_Dep.12[[#This Row],[T/G Khấu hao]]+Data_Dep.12[[#This Row],[Điều chỉnh]]</f>
        <v>144</v>
      </c>
      <c r="Z298" s="180">
        <f>EDATE(Data_Dep.12[[#This Row],[Ngày bắt đầu KH]],Data_Dep.12[[#This Row],[T/G điều chỉnh]])</f>
        <v>50010</v>
      </c>
      <c r="AA298" s="175">
        <f>Data_Dep.12[[#This Row],[T/G điều chỉnh]]-Data_Dep.12[[#This Row],[Số kỳ đã khấu hao]]</f>
        <v>131</v>
      </c>
      <c r="AB298" s="175">
        <f>IFERROR(-Data_Dep.12[[#This Row],[Giá trị còn lại 31/12/25]]/(Data_Dep.12[[#This Row],[T/G điều chỉnh]]-Data_Dep.12[[#This Row],[Số kỳ đã khấu hao]]),0)</f>
        <v>-6108448.1679389309</v>
      </c>
      <c r="AC298" s="181">
        <v>-6108448.1679389309</v>
      </c>
      <c r="AD298" s="181">
        <v>-6108448.1679389309</v>
      </c>
      <c r="AE298" s="181">
        <v>-6108448.1679389309</v>
      </c>
      <c r="AF298" s="181">
        <v>-6108448.1679389309</v>
      </c>
      <c r="AG298" s="181">
        <v>-6108448.1679389309</v>
      </c>
      <c r="AH298" s="181">
        <v>-6108448.1679389309</v>
      </c>
      <c r="AI298" s="181">
        <v>-6108448.1679389309</v>
      </c>
      <c r="AJ298" s="181">
        <v>-6108448.1679389309</v>
      </c>
      <c r="AK298" s="181">
        <v>-6108448.1679389309</v>
      </c>
      <c r="AL298" s="181">
        <v>-6108448.1679389309</v>
      </c>
      <c r="AM298" s="181">
        <v>-6108448.1679389309</v>
      </c>
      <c r="AN298" s="181">
        <v>-6108448.1679389309</v>
      </c>
      <c r="AO298" s="175">
        <f>SUM(Data_Dep.12[[#This Row],[KH_2601]:[KH_2612]])</f>
        <v>-73301378.015267178</v>
      </c>
      <c r="AP298" s="175">
        <f>Data_Dep.12[[#This Row],[Giá trị còn lại 31/12/25]]+Data_Dep.12[[#This Row],[KH LK 2026]]</f>
        <v>726905331.98473287</v>
      </c>
    </row>
    <row r="299" spans="1:42" x14ac:dyDescent="0.3">
      <c r="A299" s="169"/>
      <c r="B299" s="169"/>
      <c r="C299" s="170" t="s">
        <v>355</v>
      </c>
      <c r="D299" s="169" t="str">
        <f>_xlfn.XLOOKUP(Data_Dep.12[[#This Row],[Nhóm tài sản]],MD_Account_Asset_Type[Nhóm tài sản],MD_Account_Asset_Type[Tên Nhóm tài sản])</f>
        <v>TSCĐ thuê TC: Máy móc, thiết bị - SX 627</v>
      </c>
      <c r="E299" s="171" t="s">
        <v>1164</v>
      </c>
      <c r="F299" s="170" t="s">
        <v>796</v>
      </c>
      <c r="G299" s="169" t="s">
        <v>1161</v>
      </c>
      <c r="H299" s="170" t="s">
        <v>58</v>
      </c>
      <c r="I299" s="170" t="str">
        <f>_xlfn.XLOOKUP(Data_Dep.12[[#This Row],[Cost center]],MD_Cost_Center[Mã Cost Center],MD_Cost_Center[Tên Cost Center])</f>
        <v>Máy trộn hạt nhựa rPET</v>
      </c>
      <c r="J299" s="172" t="str">
        <f>_xlfn.XLOOKUP(Data_Dep.12[[#This Row],[Cost center]],MD_Cost_Center[Mã Cost Center],MD_Cost_Center[Work center],"Check")</f>
        <v>MIX-01</v>
      </c>
      <c r="K299" s="169" t="str">
        <f>_xlfn.XLOOKUP(Data_Dep.12[[#This Row],[Nhóm tài sản]],MD_Account_Asset_Type[Nhóm tài sản],MD_Account_Asset_Type[Tài khoản KH],"Check")</f>
        <v>6274001903</v>
      </c>
      <c r="L299" s="173">
        <v>45627</v>
      </c>
      <c r="M299" s="174">
        <f>EDATE(Data_Dep.12[[#This Row],[Ngày bắt đầu KH]],Data_Dep.12[[#This Row],[T/G Khấu hao]])</f>
        <v>47331</v>
      </c>
      <c r="N299" s="175">
        <v>56</v>
      </c>
      <c r="O299" s="175">
        <v>170777778</v>
      </c>
      <c r="P299" s="176">
        <v>-30496032</v>
      </c>
      <c r="Q299" s="175">
        <f>Data_Dep.12[[#This Row],[Nguyên giá]]+Data_Dep.12[[#This Row],[KH lũy kế]]</f>
        <v>140281746</v>
      </c>
      <c r="R299" s="177">
        <v>-3049603</v>
      </c>
      <c r="S299" s="177">
        <v>-3049603</v>
      </c>
      <c r="T299" s="177">
        <v>-3049603</v>
      </c>
      <c r="U299" s="177">
        <f>SUM(Data_Dep.12[[#This Row],[KH_2510]:[KH_2512]])</f>
        <v>-9148809</v>
      </c>
      <c r="V299" s="175">
        <f>Data_Dep.12[[#This Row],[Nguyên giá]]+Data_Dep.12[[#This Row],[KH lũy kế]]+Data_Dep.12[[#This Row],[KH_Q4.25]]</f>
        <v>131132937</v>
      </c>
      <c r="W299" s="178">
        <f>ROUND(Data_Dep.12[[#This Row],[T/G Khấu hao]]-Data_Dep.12[[#This Row],[Giá trị còn lại 31/12/25]]/Data_Dep.12[[#This Row],[Nguyên giá]]*Data_Dep.12[[#This Row],[T/G Khấu hao]],0)</f>
        <v>13</v>
      </c>
      <c r="X299" s="179">
        <v>88</v>
      </c>
      <c r="Y299" s="175">
        <f>Data_Dep.12[[#This Row],[T/G Khấu hao]]+Data_Dep.12[[#This Row],[Điều chỉnh]]</f>
        <v>144</v>
      </c>
      <c r="Z299" s="180">
        <f>EDATE(Data_Dep.12[[#This Row],[Ngày bắt đầu KH]],Data_Dep.12[[#This Row],[T/G điều chỉnh]])</f>
        <v>50010</v>
      </c>
      <c r="AA299" s="175">
        <f>Data_Dep.12[[#This Row],[T/G điều chỉnh]]-Data_Dep.12[[#This Row],[Số kỳ đã khấu hao]]</f>
        <v>131</v>
      </c>
      <c r="AB299" s="175">
        <f>IFERROR(-Data_Dep.12[[#This Row],[Giá trị còn lại 31/12/25]]/(Data_Dep.12[[#This Row],[T/G điều chỉnh]]-Data_Dep.12[[#This Row],[Số kỳ đã khấu hao]]),0)</f>
        <v>-1001014.786259542</v>
      </c>
      <c r="AC299" s="181">
        <v>-1001014.786259542</v>
      </c>
      <c r="AD299" s="181">
        <v>-1001014.786259542</v>
      </c>
      <c r="AE299" s="181">
        <v>-1001014.786259542</v>
      </c>
      <c r="AF299" s="181">
        <v>-1001014.786259542</v>
      </c>
      <c r="AG299" s="181">
        <v>-1001014.786259542</v>
      </c>
      <c r="AH299" s="181">
        <v>-1001014.786259542</v>
      </c>
      <c r="AI299" s="181">
        <v>-1001014.786259542</v>
      </c>
      <c r="AJ299" s="181">
        <v>-1001014.786259542</v>
      </c>
      <c r="AK299" s="181">
        <v>-1001014.786259542</v>
      </c>
      <c r="AL299" s="181">
        <v>-1001014.786259542</v>
      </c>
      <c r="AM299" s="181">
        <v>-1001014.786259542</v>
      </c>
      <c r="AN299" s="181">
        <v>-1001014.786259542</v>
      </c>
      <c r="AO299" s="175">
        <f>SUM(Data_Dep.12[[#This Row],[KH_2601]:[KH_2612]])</f>
        <v>-12012177.435114503</v>
      </c>
      <c r="AP299" s="175">
        <f>Data_Dep.12[[#This Row],[Giá trị còn lại 31/12/25]]+Data_Dep.12[[#This Row],[KH LK 2026]]</f>
        <v>119120759.5648855</v>
      </c>
    </row>
    <row r="300" spans="1:42" x14ac:dyDescent="0.3">
      <c r="A300" s="169"/>
      <c r="B300" s="169"/>
      <c r="C300" s="170" t="s">
        <v>355</v>
      </c>
      <c r="D300" s="169" t="str">
        <f>_xlfn.XLOOKUP(Data_Dep.12[[#This Row],[Nhóm tài sản]],MD_Account_Asset_Type[Nhóm tài sản],MD_Account_Asset_Type[Tên Nhóm tài sản])</f>
        <v>TSCĐ thuê TC: Máy móc, thiết bị - SX 627</v>
      </c>
      <c r="E300" s="171" t="s">
        <v>1165</v>
      </c>
      <c r="F300" s="170" t="s">
        <v>797</v>
      </c>
      <c r="G300" s="169" t="s">
        <v>1161</v>
      </c>
      <c r="H300" s="170" t="s">
        <v>46</v>
      </c>
      <c r="I300" s="170" t="str">
        <f>_xlfn.XLOOKUP(Data_Dep.12[[#This Row],[Cost center]],MD_Cost_Center[Mã Cost Center],MD_Cost_Center[Tên Cost Center])</f>
        <v>Kiểm soát chất lượng</v>
      </c>
      <c r="J300" s="172">
        <f>_xlfn.XLOOKUP(Data_Dep.12[[#This Row],[Cost center]],MD_Cost_Center[Mã Cost Center],MD_Cost_Center[Work center],"Check")</f>
        <v>0</v>
      </c>
      <c r="K300" s="169" t="str">
        <f>_xlfn.XLOOKUP(Data_Dep.12[[#This Row],[Nhóm tài sản]],MD_Account_Asset_Type[Nhóm tài sản],MD_Account_Asset_Type[Tài khoản KH],"Check")</f>
        <v>6274001903</v>
      </c>
      <c r="L300" s="173">
        <v>45627</v>
      </c>
      <c r="M300" s="174">
        <f>EDATE(Data_Dep.12[[#This Row],[Ngày bắt đầu KH]],Data_Dep.12[[#This Row],[T/G Khấu hao]])</f>
        <v>46539</v>
      </c>
      <c r="N300" s="175">
        <v>30</v>
      </c>
      <c r="O300" s="175">
        <v>172120000</v>
      </c>
      <c r="P300" s="176">
        <v>-57373333</v>
      </c>
      <c r="Q300" s="175">
        <f>Data_Dep.12[[#This Row],[Nguyên giá]]+Data_Dep.12[[#This Row],[KH lũy kế]]</f>
        <v>114746667</v>
      </c>
      <c r="R300" s="177">
        <v>-5737333</v>
      </c>
      <c r="S300" s="177">
        <v>-5737334</v>
      </c>
      <c r="T300" s="177">
        <v>-5737333</v>
      </c>
      <c r="U300" s="177">
        <f>SUM(Data_Dep.12[[#This Row],[KH_2510]:[KH_2512]])</f>
        <v>-17212000</v>
      </c>
      <c r="V300" s="175">
        <f>Data_Dep.12[[#This Row],[Nguyên giá]]+Data_Dep.12[[#This Row],[KH lũy kế]]+Data_Dep.12[[#This Row],[KH_Q4.25]]</f>
        <v>97534667</v>
      </c>
      <c r="W300" s="178">
        <f>ROUND(Data_Dep.12[[#This Row],[T/G Khấu hao]]-Data_Dep.12[[#This Row],[Giá trị còn lại 31/12/25]]/Data_Dep.12[[#This Row],[Nguyên giá]]*Data_Dep.12[[#This Row],[T/G Khấu hao]],0)</f>
        <v>13</v>
      </c>
      <c r="X300" s="179">
        <v>114</v>
      </c>
      <c r="Y300" s="175">
        <f>Data_Dep.12[[#This Row],[T/G Khấu hao]]+Data_Dep.12[[#This Row],[Điều chỉnh]]</f>
        <v>144</v>
      </c>
      <c r="Z300" s="180">
        <f>EDATE(Data_Dep.12[[#This Row],[Ngày bắt đầu KH]],Data_Dep.12[[#This Row],[T/G điều chỉnh]])</f>
        <v>50010</v>
      </c>
      <c r="AA300" s="175">
        <f>Data_Dep.12[[#This Row],[T/G điều chỉnh]]-Data_Dep.12[[#This Row],[Số kỳ đã khấu hao]]</f>
        <v>131</v>
      </c>
      <c r="AB300" s="175">
        <f>IFERROR(-Data_Dep.12[[#This Row],[Giá trị còn lại 31/12/25]]/(Data_Dep.12[[#This Row],[T/G điều chỉnh]]-Data_Dep.12[[#This Row],[Số kỳ đã khấu hao]]),0)</f>
        <v>-744539.44274809165</v>
      </c>
      <c r="AC300" s="181">
        <v>-744539.44274809165</v>
      </c>
      <c r="AD300" s="181">
        <v>-744539.44274809165</v>
      </c>
      <c r="AE300" s="181">
        <v>-744539.44274809165</v>
      </c>
      <c r="AF300" s="181">
        <v>-744539.44274809165</v>
      </c>
      <c r="AG300" s="181">
        <v>-744539.44274809165</v>
      </c>
      <c r="AH300" s="181">
        <v>-744539.44274809165</v>
      </c>
      <c r="AI300" s="181">
        <v>-744539.44274809165</v>
      </c>
      <c r="AJ300" s="181">
        <v>-744539.44274809165</v>
      </c>
      <c r="AK300" s="181">
        <v>-744539.44274809165</v>
      </c>
      <c r="AL300" s="181">
        <v>-744539.44274809165</v>
      </c>
      <c r="AM300" s="181">
        <v>-744539.44274809165</v>
      </c>
      <c r="AN300" s="181">
        <v>-744539.44274809165</v>
      </c>
      <c r="AO300" s="175">
        <f>SUM(Data_Dep.12[[#This Row],[KH_2601]:[KH_2612]])</f>
        <v>-8934473.3129771017</v>
      </c>
      <c r="AP300" s="175">
        <f>Data_Dep.12[[#This Row],[Giá trị còn lại 31/12/25]]+Data_Dep.12[[#This Row],[KH LK 2026]]</f>
        <v>88600193.687022895</v>
      </c>
    </row>
    <row r="301" spans="1:42" x14ac:dyDescent="0.3">
      <c r="A301" s="169"/>
      <c r="B301" s="169"/>
      <c r="C301" s="170" t="s">
        <v>355</v>
      </c>
      <c r="D301" s="169" t="str">
        <f>_xlfn.XLOOKUP(Data_Dep.12[[#This Row],[Nhóm tài sản]],MD_Account_Asset_Type[Nhóm tài sản],MD_Account_Asset_Type[Tên Nhóm tài sản])</f>
        <v>TSCĐ thuê TC: Máy móc, thiết bị - SX 627</v>
      </c>
      <c r="E301" s="171" t="s">
        <v>1166</v>
      </c>
      <c r="F301" s="170" t="s">
        <v>798</v>
      </c>
      <c r="G301" s="169" t="s">
        <v>1161</v>
      </c>
      <c r="H301" s="170" t="s">
        <v>46</v>
      </c>
      <c r="I301" s="170" t="str">
        <f>_xlfn.XLOOKUP(Data_Dep.12[[#This Row],[Cost center]],MD_Cost_Center[Mã Cost Center],MD_Cost_Center[Tên Cost Center])</f>
        <v>Kiểm soát chất lượng</v>
      </c>
      <c r="J301" s="172">
        <f>_xlfn.XLOOKUP(Data_Dep.12[[#This Row],[Cost center]],MD_Cost_Center[Mã Cost Center],MD_Cost_Center[Work center],"Check")</f>
        <v>0</v>
      </c>
      <c r="K301" s="169" t="str">
        <f>_xlfn.XLOOKUP(Data_Dep.12[[#This Row],[Nhóm tài sản]],MD_Account_Asset_Type[Nhóm tài sản],MD_Account_Asset_Type[Tài khoản KH],"Check")</f>
        <v>6274001903</v>
      </c>
      <c r="L301" s="173">
        <v>45627</v>
      </c>
      <c r="M301" s="174">
        <f>EDATE(Data_Dep.12[[#This Row],[Ngày bắt đầu KH]],Data_Dep.12[[#This Row],[T/G Khấu hao]])</f>
        <v>46539</v>
      </c>
      <c r="N301" s="175">
        <v>30</v>
      </c>
      <c r="O301" s="175">
        <v>133781334</v>
      </c>
      <c r="P301" s="176">
        <v>-44593778</v>
      </c>
      <c r="Q301" s="175">
        <f>Data_Dep.12[[#This Row],[Nguyên giá]]+Data_Dep.12[[#This Row],[KH lũy kế]]</f>
        <v>89187556</v>
      </c>
      <c r="R301" s="177">
        <v>-4459378</v>
      </c>
      <c r="S301" s="177">
        <v>-4459378</v>
      </c>
      <c r="T301" s="177">
        <v>-4459378</v>
      </c>
      <c r="U301" s="177">
        <f>SUM(Data_Dep.12[[#This Row],[KH_2510]:[KH_2512]])</f>
        <v>-13378134</v>
      </c>
      <c r="V301" s="175">
        <f>Data_Dep.12[[#This Row],[Nguyên giá]]+Data_Dep.12[[#This Row],[KH lũy kế]]+Data_Dep.12[[#This Row],[KH_Q4.25]]</f>
        <v>75809422</v>
      </c>
      <c r="W301" s="178">
        <f>ROUND(Data_Dep.12[[#This Row],[T/G Khấu hao]]-Data_Dep.12[[#This Row],[Giá trị còn lại 31/12/25]]/Data_Dep.12[[#This Row],[Nguyên giá]]*Data_Dep.12[[#This Row],[T/G Khấu hao]],0)</f>
        <v>13</v>
      </c>
      <c r="X301" s="179">
        <v>114</v>
      </c>
      <c r="Y301" s="175">
        <f>Data_Dep.12[[#This Row],[T/G Khấu hao]]+Data_Dep.12[[#This Row],[Điều chỉnh]]</f>
        <v>144</v>
      </c>
      <c r="Z301" s="180">
        <f>EDATE(Data_Dep.12[[#This Row],[Ngày bắt đầu KH]],Data_Dep.12[[#This Row],[T/G điều chỉnh]])</f>
        <v>50010</v>
      </c>
      <c r="AA301" s="175">
        <f>Data_Dep.12[[#This Row],[T/G điều chỉnh]]-Data_Dep.12[[#This Row],[Số kỳ đã khấu hao]]</f>
        <v>131</v>
      </c>
      <c r="AB301" s="175">
        <f>IFERROR(-Data_Dep.12[[#This Row],[Giá trị còn lại 31/12/25]]/(Data_Dep.12[[#This Row],[T/G điều chỉnh]]-Data_Dep.12[[#This Row],[Số kỳ đã khấu hao]]),0)</f>
        <v>-578697.87786259537</v>
      </c>
      <c r="AC301" s="181">
        <v>-578697.87786259537</v>
      </c>
      <c r="AD301" s="181">
        <v>-578697.87786259537</v>
      </c>
      <c r="AE301" s="181">
        <v>-578697.87786259537</v>
      </c>
      <c r="AF301" s="181">
        <v>-578697.87786259537</v>
      </c>
      <c r="AG301" s="181">
        <v>-578697.87786259537</v>
      </c>
      <c r="AH301" s="181">
        <v>-578697.87786259537</v>
      </c>
      <c r="AI301" s="181">
        <v>-578697.87786259537</v>
      </c>
      <c r="AJ301" s="181">
        <v>-578697.87786259537</v>
      </c>
      <c r="AK301" s="181">
        <v>-578697.87786259537</v>
      </c>
      <c r="AL301" s="181">
        <v>-578697.87786259537</v>
      </c>
      <c r="AM301" s="181">
        <v>-578697.87786259537</v>
      </c>
      <c r="AN301" s="181">
        <v>-578697.87786259537</v>
      </c>
      <c r="AO301" s="175">
        <f>SUM(Data_Dep.12[[#This Row],[KH_2601]:[KH_2612]])</f>
        <v>-6944374.5343511431</v>
      </c>
      <c r="AP301" s="175">
        <f>Data_Dep.12[[#This Row],[Giá trị còn lại 31/12/25]]+Data_Dep.12[[#This Row],[KH LK 2026]]</f>
        <v>68865047.46564886</v>
      </c>
    </row>
    <row r="302" spans="1:42" x14ac:dyDescent="0.3">
      <c r="A302" s="169"/>
      <c r="B302" s="169"/>
      <c r="C302" s="170" t="s">
        <v>355</v>
      </c>
      <c r="D302" s="169" t="str">
        <f>_xlfn.XLOOKUP(Data_Dep.12[[#This Row],[Nhóm tài sản]],MD_Account_Asset_Type[Nhóm tài sản],MD_Account_Asset_Type[Tên Nhóm tài sản])</f>
        <v>TSCĐ thuê TC: Máy móc, thiết bị - SX 627</v>
      </c>
      <c r="E302" s="171" t="s">
        <v>1167</v>
      </c>
      <c r="F302" s="170" t="s">
        <v>799</v>
      </c>
      <c r="G302" s="169" t="s">
        <v>1161</v>
      </c>
      <c r="H302" s="170" t="s">
        <v>46</v>
      </c>
      <c r="I302" s="170" t="str">
        <f>_xlfn.XLOOKUP(Data_Dep.12[[#This Row],[Cost center]],MD_Cost_Center[Mã Cost Center],MD_Cost_Center[Tên Cost Center])</f>
        <v>Kiểm soát chất lượng</v>
      </c>
      <c r="J302" s="172">
        <f>_xlfn.XLOOKUP(Data_Dep.12[[#This Row],[Cost center]],MD_Cost_Center[Mã Cost Center],MD_Cost_Center[Work center],"Check")</f>
        <v>0</v>
      </c>
      <c r="K302" s="169" t="str">
        <f>_xlfn.XLOOKUP(Data_Dep.12[[#This Row],[Nhóm tài sản]],MD_Account_Asset_Type[Nhóm tài sản],MD_Account_Asset_Type[Tài khoản KH],"Check")</f>
        <v>6274001903</v>
      </c>
      <c r="L302" s="173">
        <v>45627</v>
      </c>
      <c r="M302" s="174">
        <f>EDATE(Data_Dep.12[[#This Row],[Ngày bắt đầu KH]],Data_Dep.12[[#This Row],[T/G Khấu hao]])</f>
        <v>48366</v>
      </c>
      <c r="N302" s="175">
        <v>90</v>
      </c>
      <c r="O302" s="175">
        <v>814583334</v>
      </c>
      <c r="P302" s="176">
        <v>-90509259</v>
      </c>
      <c r="Q302" s="175">
        <f>Data_Dep.12[[#This Row],[Nguyên giá]]+Data_Dep.12[[#This Row],[KH lũy kế]]</f>
        <v>724074075</v>
      </c>
      <c r="R302" s="177">
        <v>-9050926</v>
      </c>
      <c r="S302" s="177">
        <v>-9050926</v>
      </c>
      <c r="T302" s="177">
        <v>-9050926</v>
      </c>
      <c r="U302" s="177">
        <f>SUM(Data_Dep.12[[#This Row],[KH_2510]:[KH_2512]])</f>
        <v>-27152778</v>
      </c>
      <c r="V302" s="175">
        <f>Data_Dep.12[[#This Row],[Nguyên giá]]+Data_Dep.12[[#This Row],[KH lũy kế]]+Data_Dep.12[[#This Row],[KH_Q4.25]]</f>
        <v>696921297</v>
      </c>
      <c r="W302" s="178">
        <f>ROUND(Data_Dep.12[[#This Row],[T/G Khấu hao]]-Data_Dep.12[[#This Row],[Giá trị còn lại 31/12/25]]/Data_Dep.12[[#This Row],[Nguyên giá]]*Data_Dep.12[[#This Row],[T/G Khấu hao]],0)</f>
        <v>13</v>
      </c>
      <c r="X302" s="179">
        <v>54</v>
      </c>
      <c r="Y302" s="175">
        <f>Data_Dep.12[[#This Row],[T/G Khấu hao]]+Data_Dep.12[[#This Row],[Điều chỉnh]]</f>
        <v>144</v>
      </c>
      <c r="Z302" s="180">
        <f>EDATE(Data_Dep.12[[#This Row],[Ngày bắt đầu KH]],Data_Dep.12[[#This Row],[T/G điều chỉnh]])</f>
        <v>50010</v>
      </c>
      <c r="AA302" s="175">
        <f>Data_Dep.12[[#This Row],[T/G điều chỉnh]]-Data_Dep.12[[#This Row],[Số kỳ đã khấu hao]]</f>
        <v>131</v>
      </c>
      <c r="AB302" s="175">
        <f>IFERROR(-Data_Dep.12[[#This Row],[Giá trị còn lại 31/12/25]]/(Data_Dep.12[[#This Row],[T/G điều chỉnh]]-Data_Dep.12[[#This Row],[Số kỳ đã khấu hao]]),0)</f>
        <v>-5320009.9007633589</v>
      </c>
      <c r="AC302" s="181">
        <v>-5320009.9007633589</v>
      </c>
      <c r="AD302" s="181">
        <v>-5320009.9007633589</v>
      </c>
      <c r="AE302" s="181">
        <v>-5320009.9007633589</v>
      </c>
      <c r="AF302" s="181">
        <v>-5320009.9007633589</v>
      </c>
      <c r="AG302" s="181">
        <v>-5320009.9007633589</v>
      </c>
      <c r="AH302" s="181">
        <v>-5320009.9007633589</v>
      </c>
      <c r="AI302" s="181">
        <v>-5320009.9007633589</v>
      </c>
      <c r="AJ302" s="181">
        <v>-5320009.9007633589</v>
      </c>
      <c r="AK302" s="181">
        <v>-5320009.9007633589</v>
      </c>
      <c r="AL302" s="181">
        <v>-5320009.9007633589</v>
      </c>
      <c r="AM302" s="181">
        <v>-5320009.9007633589</v>
      </c>
      <c r="AN302" s="181">
        <v>-5320009.9007633589</v>
      </c>
      <c r="AO302" s="175">
        <f>SUM(Data_Dep.12[[#This Row],[KH_2601]:[KH_2612]])</f>
        <v>-63840118.809160322</v>
      </c>
      <c r="AP302" s="175">
        <f>Data_Dep.12[[#This Row],[Giá trị còn lại 31/12/25]]+Data_Dep.12[[#This Row],[KH LK 2026]]</f>
        <v>633081178.19083965</v>
      </c>
    </row>
    <row r="303" spans="1:42" x14ac:dyDescent="0.3">
      <c r="A303" s="169"/>
      <c r="B303" s="169"/>
      <c r="C303" s="170" t="s">
        <v>355</v>
      </c>
      <c r="D303" s="169" t="str">
        <f>_xlfn.XLOOKUP(Data_Dep.12[[#This Row],[Nhóm tài sản]],MD_Account_Asset_Type[Nhóm tài sản],MD_Account_Asset_Type[Tên Nhóm tài sản])</f>
        <v>TSCĐ thuê TC: Máy móc, thiết bị - SX 627</v>
      </c>
      <c r="E303" s="171" t="s">
        <v>1168</v>
      </c>
      <c r="F303" s="170" t="s">
        <v>800</v>
      </c>
      <c r="G303" s="169" t="s">
        <v>1161</v>
      </c>
      <c r="H303" s="170" t="s">
        <v>60</v>
      </c>
      <c r="I303" s="170" t="str">
        <f>_xlfn.XLOOKUP(Data_Dep.12[[#This Row],[Cost center]],MD_Cost_Center[Mã Cost Center],MD_Cost_Center[Tên Cost Center])</f>
        <v>Máy Polistar - HD03</v>
      </c>
      <c r="J303" s="172" t="str">
        <f>_xlfn.XLOOKUP(Data_Dep.12[[#This Row],[Cost center]],MD_Cost_Center[Mã Cost Center],MD_Cost_Center[Work center],"Check")</f>
        <v>POLY-01</v>
      </c>
      <c r="K303" s="169" t="str">
        <f>_xlfn.XLOOKUP(Data_Dep.12[[#This Row],[Nhóm tài sản]],MD_Account_Asset_Type[Nhóm tài sản],MD_Account_Asset_Type[Tài khoản KH],"Check")</f>
        <v>6274001903</v>
      </c>
      <c r="L303" s="173">
        <v>45627</v>
      </c>
      <c r="M303" s="174">
        <f>EDATE(Data_Dep.12[[#This Row],[Ngày bắt đầu KH]],Data_Dep.12[[#This Row],[T/G Khấu hao]])</f>
        <v>48427</v>
      </c>
      <c r="N303" s="175">
        <v>92</v>
      </c>
      <c r="O303" s="175">
        <v>1107892413</v>
      </c>
      <c r="P303" s="176">
        <v>-120423089</v>
      </c>
      <c r="Q303" s="175">
        <f>Data_Dep.12[[#This Row],[Nguyên giá]]+Data_Dep.12[[#This Row],[KH lũy kế]]</f>
        <v>987469324</v>
      </c>
      <c r="R303" s="177">
        <v>-12042308</v>
      </c>
      <c r="S303" s="177">
        <v>-12042309</v>
      </c>
      <c r="T303" s="177">
        <v>-12042309</v>
      </c>
      <c r="U303" s="177">
        <f>SUM(Data_Dep.12[[#This Row],[KH_2510]:[KH_2512]])</f>
        <v>-36126926</v>
      </c>
      <c r="V303" s="175">
        <f>Data_Dep.12[[#This Row],[Nguyên giá]]+Data_Dep.12[[#This Row],[KH lũy kế]]+Data_Dep.12[[#This Row],[KH_Q4.25]]</f>
        <v>951342398</v>
      </c>
      <c r="W303" s="178">
        <f>ROUND(Data_Dep.12[[#This Row],[T/G Khấu hao]]-Data_Dep.12[[#This Row],[Giá trị còn lại 31/12/25]]/Data_Dep.12[[#This Row],[Nguyên giá]]*Data_Dep.12[[#This Row],[T/G Khấu hao]],0)</f>
        <v>13</v>
      </c>
      <c r="X303" s="179">
        <v>52</v>
      </c>
      <c r="Y303" s="175">
        <f>Data_Dep.12[[#This Row],[T/G Khấu hao]]+Data_Dep.12[[#This Row],[Điều chỉnh]]</f>
        <v>144</v>
      </c>
      <c r="Z303" s="180">
        <f>EDATE(Data_Dep.12[[#This Row],[Ngày bắt đầu KH]],Data_Dep.12[[#This Row],[T/G điều chỉnh]])</f>
        <v>50010</v>
      </c>
      <c r="AA303" s="175">
        <f>Data_Dep.12[[#This Row],[T/G điều chỉnh]]-Data_Dep.12[[#This Row],[Số kỳ đã khấu hao]]</f>
        <v>131</v>
      </c>
      <c r="AB303" s="175">
        <f>IFERROR(-Data_Dep.12[[#This Row],[Giá trị còn lại 31/12/25]]/(Data_Dep.12[[#This Row],[T/G điều chỉnh]]-Data_Dep.12[[#This Row],[Số kỳ đã khấu hao]]),0)</f>
        <v>-7262155.7099236641</v>
      </c>
      <c r="AC303" s="181">
        <v>-7262155.7099236641</v>
      </c>
      <c r="AD303" s="181">
        <v>-7262155.7099236641</v>
      </c>
      <c r="AE303" s="181">
        <v>-7262155.7099236641</v>
      </c>
      <c r="AF303" s="181">
        <v>-7262155.7099236641</v>
      </c>
      <c r="AG303" s="181">
        <v>-7262155.7099236641</v>
      </c>
      <c r="AH303" s="181">
        <v>-7262155.7099236641</v>
      </c>
      <c r="AI303" s="181">
        <v>-7262155.7099236641</v>
      </c>
      <c r="AJ303" s="181">
        <v>-7262155.7099236641</v>
      </c>
      <c r="AK303" s="181">
        <v>-7262155.7099236641</v>
      </c>
      <c r="AL303" s="181">
        <v>-7262155.7099236641</v>
      </c>
      <c r="AM303" s="181">
        <v>-7262155.7099236641</v>
      </c>
      <c r="AN303" s="181">
        <v>-7262155.7099236641</v>
      </c>
      <c r="AO303" s="175">
        <f>SUM(Data_Dep.12[[#This Row],[KH_2601]:[KH_2612]])</f>
        <v>-87145868.519083977</v>
      </c>
      <c r="AP303" s="175">
        <f>Data_Dep.12[[#This Row],[Giá trị còn lại 31/12/25]]+Data_Dep.12[[#This Row],[KH LK 2026]]</f>
        <v>864196529.48091602</v>
      </c>
    </row>
    <row r="304" spans="1:42" x14ac:dyDescent="0.3">
      <c r="A304" s="169"/>
      <c r="B304" s="169"/>
      <c r="C304" s="170" t="s">
        <v>355</v>
      </c>
      <c r="D304" s="169" t="str">
        <f>_xlfn.XLOOKUP(Data_Dep.12[[#This Row],[Nhóm tài sản]],MD_Account_Asset_Type[Nhóm tài sản],MD_Account_Asset_Type[Tên Nhóm tài sản])</f>
        <v>TSCĐ thuê TC: Máy móc, thiết bị - SX 627</v>
      </c>
      <c r="E304" s="171" t="s">
        <v>1169</v>
      </c>
      <c r="F304" s="170" t="s">
        <v>801</v>
      </c>
      <c r="G304" s="169" t="s">
        <v>1161</v>
      </c>
      <c r="H304" s="170" t="s">
        <v>90</v>
      </c>
      <c r="I304" s="170" t="str">
        <f>_xlfn.XLOOKUP(Data_Dep.12[[#This Row],[Cost center]],MD_Cost_Center[Mã Cost Center],MD_Cost_Center[Tên Cost Center])</f>
        <v>Khối SX - Xưởng 4</v>
      </c>
      <c r="J304" s="172">
        <f>_xlfn.XLOOKUP(Data_Dep.12[[#This Row],[Cost center]],MD_Cost_Center[Mã Cost Center],MD_Cost_Center[Work center],"Check")</f>
        <v>0</v>
      </c>
      <c r="K304" s="169" t="str">
        <f>_xlfn.XLOOKUP(Data_Dep.12[[#This Row],[Nhóm tài sản]],MD_Account_Asset_Type[Nhóm tài sản],MD_Account_Asset_Type[Tài khoản KH],"Check")</f>
        <v>6274001903</v>
      </c>
      <c r="L304" s="173">
        <v>45627</v>
      </c>
      <c r="M304" s="174">
        <f>EDATE(Data_Dep.12[[#This Row],[Ngày bắt đầu KH]],Data_Dep.12[[#This Row],[T/G Khấu hao]])</f>
        <v>46722</v>
      </c>
      <c r="N304" s="175">
        <v>36</v>
      </c>
      <c r="O304" s="175">
        <v>596077747</v>
      </c>
      <c r="P304" s="176">
        <v>-165577152</v>
      </c>
      <c r="Q304" s="175">
        <f>Data_Dep.12[[#This Row],[Nguyên giá]]+Data_Dep.12[[#This Row],[KH lũy kế]]</f>
        <v>430500595</v>
      </c>
      <c r="R304" s="177">
        <v>-16557715</v>
      </c>
      <c r="S304" s="177">
        <v>-16557715</v>
      </c>
      <c r="T304" s="177">
        <v>-16557715</v>
      </c>
      <c r="U304" s="177">
        <f>SUM(Data_Dep.12[[#This Row],[KH_2510]:[KH_2512]])</f>
        <v>-49673145</v>
      </c>
      <c r="V304" s="175">
        <f>Data_Dep.12[[#This Row],[Nguyên giá]]+Data_Dep.12[[#This Row],[KH lũy kế]]+Data_Dep.12[[#This Row],[KH_Q4.25]]</f>
        <v>380827450</v>
      </c>
      <c r="W304" s="178">
        <f>ROUND(Data_Dep.12[[#This Row],[T/G Khấu hao]]-Data_Dep.12[[#This Row],[Giá trị còn lại 31/12/25]]/Data_Dep.12[[#This Row],[Nguyên giá]]*Data_Dep.12[[#This Row],[T/G Khấu hao]],0)</f>
        <v>13</v>
      </c>
      <c r="X304" s="179">
        <v>108</v>
      </c>
      <c r="Y304" s="175">
        <f>Data_Dep.12[[#This Row],[T/G Khấu hao]]+Data_Dep.12[[#This Row],[Điều chỉnh]]</f>
        <v>144</v>
      </c>
      <c r="Z304" s="180">
        <f>EDATE(Data_Dep.12[[#This Row],[Ngày bắt đầu KH]],Data_Dep.12[[#This Row],[T/G điều chỉnh]])</f>
        <v>50010</v>
      </c>
      <c r="AA304" s="175">
        <f>Data_Dep.12[[#This Row],[T/G điều chỉnh]]-Data_Dep.12[[#This Row],[Số kỳ đã khấu hao]]</f>
        <v>131</v>
      </c>
      <c r="AB304" s="175">
        <f>IFERROR(-Data_Dep.12[[#This Row],[Giá trị còn lại 31/12/25]]/(Data_Dep.12[[#This Row],[T/G điều chỉnh]]-Data_Dep.12[[#This Row],[Số kỳ đã khấu hao]]),0)</f>
        <v>-2907079.7709923666</v>
      </c>
      <c r="AC304" s="181">
        <v>-2907079.7709923666</v>
      </c>
      <c r="AD304" s="181">
        <v>-2907079.7709923666</v>
      </c>
      <c r="AE304" s="181">
        <v>-2907079.7709923666</v>
      </c>
      <c r="AF304" s="181">
        <v>-2907079.7709923666</v>
      </c>
      <c r="AG304" s="181">
        <v>-2907079.7709923666</v>
      </c>
      <c r="AH304" s="181">
        <v>-2907079.7709923666</v>
      </c>
      <c r="AI304" s="181">
        <v>-2907079.7709923666</v>
      </c>
      <c r="AJ304" s="181">
        <v>-2907079.7709923666</v>
      </c>
      <c r="AK304" s="181">
        <v>-2907079.7709923666</v>
      </c>
      <c r="AL304" s="181">
        <v>-2907079.7709923666</v>
      </c>
      <c r="AM304" s="181">
        <v>-2907079.7709923666</v>
      </c>
      <c r="AN304" s="181">
        <v>-2907079.7709923666</v>
      </c>
      <c r="AO304" s="175">
        <f>SUM(Data_Dep.12[[#This Row],[KH_2601]:[KH_2612]])</f>
        <v>-34884957.251908407</v>
      </c>
      <c r="AP304" s="175">
        <f>Data_Dep.12[[#This Row],[Giá trị còn lại 31/12/25]]+Data_Dep.12[[#This Row],[KH LK 2026]]</f>
        <v>345942492.74809158</v>
      </c>
    </row>
    <row r="305" spans="1:42" x14ac:dyDescent="0.3">
      <c r="A305" s="169"/>
      <c r="B305" s="169"/>
      <c r="C305" s="170" t="s">
        <v>355</v>
      </c>
      <c r="D305" s="169" t="str">
        <f>_xlfn.XLOOKUP(Data_Dep.12[[#This Row],[Nhóm tài sản]],MD_Account_Asset_Type[Nhóm tài sản],MD_Account_Asset_Type[Tên Nhóm tài sản])</f>
        <v>TSCĐ thuê TC: Máy móc, thiết bị - SX 627</v>
      </c>
      <c r="E305" s="171" t="s">
        <v>1170</v>
      </c>
      <c r="F305" s="170" t="s">
        <v>802</v>
      </c>
      <c r="G305" s="169" t="s">
        <v>1161</v>
      </c>
      <c r="H305" s="170" t="s">
        <v>63</v>
      </c>
      <c r="I305" s="170" t="str">
        <f>_xlfn.XLOOKUP(Data_Dep.12[[#This Row],[Cost center]],MD_Cost_Center[Mã Cost Center],MD_Cost_Center[Tên Cost Center])</f>
        <v>Chuyền băm chai PET Active</v>
      </c>
      <c r="J305" s="172" t="str">
        <f>_xlfn.XLOOKUP(Data_Dep.12[[#This Row],[Cost center]],MD_Cost_Center[Mã Cost Center],MD_Cost_Center[Work center],"Check")</f>
        <v>ACTI-B01</v>
      </c>
      <c r="K305" s="169" t="str">
        <f>_xlfn.XLOOKUP(Data_Dep.12[[#This Row],[Nhóm tài sản]],MD_Account_Asset_Type[Nhóm tài sản],MD_Account_Asset_Type[Tài khoản KH],"Check")</f>
        <v>6274001903</v>
      </c>
      <c r="L305" s="173">
        <v>45627</v>
      </c>
      <c r="M305" s="174">
        <f>EDATE(Data_Dep.12[[#This Row],[Ngày bắt đầu KH]],Data_Dep.12[[#This Row],[T/G Khấu hao]])</f>
        <v>46753</v>
      </c>
      <c r="N305" s="175">
        <v>37</v>
      </c>
      <c r="O305" s="175">
        <v>2648137998</v>
      </c>
      <c r="P305" s="176">
        <v>-715712972</v>
      </c>
      <c r="Q305" s="175">
        <f>Data_Dep.12[[#This Row],[Nguyên giá]]+Data_Dep.12[[#This Row],[KH lũy kế]]</f>
        <v>1932425026</v>
      </c>
      <c r="R305" s="177">
        <v>-71571298</v>
      </c>
      <c r="S305" s="177">
        <v>-71571297</v>
      </c>
      <c r="T305" s="177">
        <v>-71571297</v>
      </c>
      <c r="U305" s="177">
        <f>SUM(Data_Dep.12[[#This Row],[KH_2510]:[KH_2512]])</f>
        <v>-214713892</v>
      </c>
      <c r="V305" s="175">
        <f>Data_Dep.12[[#This Row],[Nguyên giá]]+Data_Dep.12[[#This Row],[KH lũy kế]]+Data_Dep.12[[#This Row],[KH_Q4.25]]</f>
        <v>1717711134</v>
      </c>
      <c r="W305" s="178">
        <f>ROUND(Data_Dep.12[[#This Row],[T/G Khấu hao]]-Data_Dep.12[[#This Row],[Giá trị còn lại 31/12/25]]/Data_Dep.12[[#This Row],[Nguyên giá]]*Data_Dep.12[[#This Row],[T/G Khấu hao]],0)</f>
        <v>13</v>
      </c>
      <c r="X305" s="179">
        <v>107</v>
      </c>
      <c r="Y305" s="175">
        <f>Data_Dep.12[[#This Row],[T/G Khấu hao]]+Data_Dep.12[[#This Row],[Điều chỉnh]]</f>
        <v>144</v>
      </c>
      <c r="Z305" s="180">
        <f>EDATE(Data_Dep.12[[#This Row],[Ngày bắt đầu KH]],Data_Dep.12[[#This Row],[T/G điều chỉnh]])</f>
        <v>50010</v>
      </c>
      <c r="AA305" s="175">
        <f>Data_Dep.12[[#This Row],[T/G điều chỉnh]]-Data_Dep.12[[#This Row],[Số kỳ đã khấu hao]]</f>
        <v>131</v>
      </c>
      <c r="AB305" s="175">
        <f>IFERROR(-Data_Dep.12[[#This Row],[Giá trị còn lại 31/12/25]]/(Data_Dep.12[[#This Row],[T/G điều chỉnh]]-Data_Dep.12[[#This Row],[Số kỳ đã khấu hao]]),0)</f>
        <v>-13112298.732824428</v>
      </c>
      <c r="AC305" s="181">
        <v>-13112298.732824428</v>
      </c>
      <c r="AD305" s="181">
        <v>-13112298.732824428</v>
      </c>
      <c r="AE305" s="181">
        <v>-13112298.732824428</v>
      </c>
      <c r="AF305" s="181">
        <v>-13112298.732824428</v>
      </c>
      <c r="AG305" s="181">
        <v>-13112298.732824428</v>
      </c>
      <c r="AH305" s="181">
        <v>-13112298.732824428</v>
      </c>
      <c r="AI305" s="181">
        <v>-13112298.732824428</v>
      </c>
      <c r="AJ305" s="181">
        <v>-13112298.732824428</v>
      </c>
      <c r="AK305" s="181">
        <v>-13112298.732824428</v>
      </c>
      <c r="AL305" s="181">
        <v>-13112298.732824428</v>
      </c>
      <c r="AM305" s="181">
        <v>-13112298.732824428</v>
      </c>
      <c r="AN305" s="181">
        <v>-13112298.732824428</v>
      </c>
      <c r="AO305" s="175">
        <f>SUM(Data_Dep.12[[#This Row],[KH_2601]:[KH_2612]])</f>
        <v>-157347584.79389313</v>
      </c>
      <c r="AP305" s="175">
        <f>Data_Dep.12[[#This Row],[Giá trị còn lại 31/12/25]]+Data_Dep.12[[#This Row],[KH LK 2026]]</f>
        <v>1560363549.2061069</v>
      </c>
    </row>
    <row r="306" spans="1:42" x14ac:dyDescent="0.3">
      <c r="A306" s="169"/>
      <c r="B306" s="169"/>
      <c r="C306" s="170" t="s">
        <v>357</v>
      </c>
      <c r="D306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06" s="171" t="s">
        <v>1185</v>
      </c>
      <c r="F306" s="170" t="s">
        <v>803</v>
      </c>
      <c r="G306" s="169" t="s">
        <v>1161</v>
      </c>
      <c r="H306" s="170" t="s">
        <v>48</v>
      </c>
      <c r="I306" s="170" t="str">
        <f>_xlfn.XLOOKUP(Data_Dep.12[[#This Row],[Cost center]],MD_Cost_Center[Mã Cost Center],MD_Cost_Center[Tên Cost Center])</f>
        <v>Xưởng sản xuất PET</v>
      </c>
      <c r="J306" s="172">
        <f>_xlfn.XLOOKUP(Data_Dep.12[[#This Row],[Cost center]],MD_Cost_Center[Mã Cost Center],MD_Cost_Center[Work center],"Check")</f>
        <v>0</v>
      </c>
      <c r="K306" s="169" t="str">
        <f>_xlfn.XLOOKUP(Data_Dep.12[[#This Row],[Nhóm tài sản]],MD_Account_Asset_Type[Nhóm tài sản],MD_Account_Asset_Type[Tài khoản KH],"Check")</f>
        <v>6274001905</v>
      </c>
      <c r="L306" s="173">
        <v>45627</v>
      </c>
      <c r="M306" s="174">
        <f>EDATE(Data_Dep.12[[#This Row],[Ngày bắt đầu KH]],Data_Dep.12[[#This Row],[T/G Khấu hao]])</f>
        <v>46054</v>
      </c>
      <c r="N306" s="175">
        <v>14</v>
      </c>
      <c r="O306" s="175">
        <v>210526315</v>
      </c>
      <c r="P306" s="176">
        <v>-150375939</v>
      </c>
      <c r="Q306" s="175">
        <f>Data_Dep.12[[#This Row],[Nguyên giá]]+Data_Dep.12[[#This Row],[KH lũy kế]]</f>
        <v>60150376</v>
      </c>
      <c r="R306" s="177">
        <v>-15037594</v>
      </c>
      <c r="S306" s="177">
        <v>-15037594</v>
      </c>
      <c r="T306" s="177">
        <v>-15037594</v>
      </c>
      <c r="U306" s="177">
        <f>SUM(Data_Dep.12[[#This Row],[KH_2510]:[KH_2512]])</f>
        <v>-45112782</v>
      </c>
      <c r="V306" s="175">
        <f>Data_Dep.12[[#This Row],[Nguyên giá]]+Data_Dep.12[[#This Row],[KH lũy kế]]+Data_Dep.12[[#This Row],[KH_Q4.25]]</f>
        <v>15037594</v>
      </c>
      <c r="W306" s="178">
        <f>ROUND(Data_Dep.12[[#This Row],[T/G Khấu hao]]-Data_Dep.12[[#This Row],[Giá trị còn lại 31/12/25]]/Data_Dep.12[[#This Row],[Nguyên giá]]*Data_Dep.12[[#This Row],[T/G Khấu hao]],0)</f>
        <v>13</v>
      </c>
      <c r="X306" s="179">
        <v>106</v>
      </c>
      <c r="Y306" s="175">
        <f>Data_Dep.12[[#This Row],[T/G Khấu hao]]+Data_Dep.12[[#This Row],[Điều chỉnh]]</f>
        <v>120</v>
      </c>
      <c r="Z306" s="180">
        <f>EDATE(Data_Dep.12[[#This Row],[Ngày bắt đầu KH]],Data_Dep.12[[#This Row],[T/G điều chỉnh]])</f>
        <v>49279</v>
      </c>
      <c r="AA306" s="175">
        <f>Data_Dep.12[[#This Row],[T/G điều chỉnh]]-Data_Dep.12[[#This Row],[Số kỳ đã khấu hao]]</f>
        <v>107</v>
      </c>
      <c r="AB306" s="175">
        <f>IFERROR(-Data_Dep.12[[#This Row],[Giá trị còn lại 31/12/25]]/(Data_Dep.12[[#This Row],[T/G điều chỉnh]]-Data_Dep.12[[#This Row],[Số kỳ đã khấu hao]]),0)</f>
        <v>-140538.261682243</v>
      </c>
      <c r="AC306" s="181">
        <v>-140538.261682243</v>
      </c>
      <c r="AD306" s="181">
        <v>-140538.261682243</v>
      </c>
      <c r="AE306" s="181">
        <v>-140538.261682243</v>
      </c>
      <c r="AF306" s="181">
        <v>-140538.261682243</v>
      </c>
      <c r="AG306" s="181">
        <v>-140538.261682243</v>
      </c>
      <c r="AH306" s="181">
        <v>-140538.261682243</v>
      </c>
      <c r="AI306" s="181">
        <v>-140538.261682243</v>
      </c>
      <c r="AJ306" s="181">
        <v>-140538.261682243</v>
      </c>
      <c r="AK306" s="181">
        <v>-140538.261682243</v>
      </c>
      <c r="AL306" s="181">
        <v>-140538.261682243</v>
      </c>
      <c r="AM306" s="181">
        <v>-140538.261682243</v>
      </c>
      <c r="AN306" s="181">
        <v>-140538.261682243</v>
      </c>
      <c r="AO306" s="175">
        <f>SUM(Data_Dep.12[[#This Row],[KH_2601]:[KH_2612]])</f>
        <v>-1686459.1401869163</v>
      </c>
      <c r="AP306" s="175">
        <f>Data_Dep.12[[#This Row],[Giá trị còn lại 31/12/25]]+Data_Dep.12[[#This Row],[KH LK 2026]]</f>
        <v>13351134.859813083</v>
      </c>
    </row>
    <row r="307" spans="1:42" x14ac:dyDescent="0.3">
      <c r="A307" s="169"/>
      <c r="B307" s="169"/>
      <c r="C307" s="170" t="s">
        <v>357</v>
      </c>
      <c r="D307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07" s="171" t="s">
        <v>1186</v>
      </c>
      <c r="F307" s="170" t="s">
        <v>804</v>
      </c>
      <c r="G307" s="169" t="s">
        <v>1161</v>
      </c>
      <c r="H307" s="170" t="s">
        <v>48</v>
      </c>
      <c r="I307" s="170" t="str">
        <f>_xlfn.XLOOKUP(Data_Dep.12[[#This Row],[Cost center]],MD_Cost_Center[Mã Cost Center],MD_Cost_Center[Tên Cost Center])</f>
        <v>Xưởng sản xuất PET</v>
      </c>
      <c r="J307" s="172">
        <f>_xlfn.XLOOKUP(Data_Dep.12[[#This Row],[Cost center]],MD_Cost_Center[Mã Cost Center],MD_Cost_Center[Work center],"Check")</f>
        <v>0</v>
      </c>
      <c r="K307" s="169" t="str">
        <f>_xlfn.XLOOKUP(Data_Dep.12[[#This Row],[Nhóm tài sản]],MD_Account_Asset_Type[Nhóm tài sản],MD_Account_Asset_Type[Tài khoản KH],"Check")</f>
        <v>6274001905</v>
      </c>
      <c r="L307" s="173">
        <v>45627</v>
      </c>
      <c r="M307" s="174">
        <f>EDATE(Data_Dep.12[[#This Row],[Ngày bắt đầu KH]],Data_Dep.12[[#This Row],[T/G Khấu hao]])</f>
        <v>46784</v>
      </c>
      <c r="N307" s="175">
        <v>38</v>
      </c>
      <c r="O307" s="175">
        <v>292916667</v>
      </c>
      <c r="P307" s="176">
        <v>-77083333</v>
      </c>
      <c r="Q307" s="175">
        <f>Data_Dep.12[[#This Row],[Nguyên giá]]+Data_Dep.12[[#This Row],[KH lũy kế]]</f>
        <v>215833334</v>
      </c>
      <c r="R307" s="177">
        <v>-7708334</v>
      </c>
      <c r="S307" s="177">
        <v>-7708333</v>
      </c>
      <c r="T307" s="177">
        <v>-7708333</v>
      </c>
      <c r="U307" s="177">
        <f>SUM(Data_Dep.12[[#This Row],[KH_2510]:[KH_2512]])</f>
        <v>-23125000</v>
      </c>
      <c r="V307" s="175">
        <f>Data_Dep.12[[#This Row],[Nguyên giá]]+Data_Dep.12[[#This Row],[KH lũy kế]]+Data_Dep.12[[#This Row],[KH_Q4.25]]</f>
        <v>192708334</v>
      </c>
      <c r="W307" s="178">
        <f>ROUND(Data_Dep.12[[#This Row],[T/G Khấu hao]]-Data_Dep.12[[#This Row],[Giá trị còn lại 31/12/25]]/Data_Dep.12[[#This Row],[Nguyên giá]]*Data_Dep.12[[#This Row],[T/G Khấu hao]],0)</f>
        <v>13</v>
      </c>
      <c r="X307" s="179">
        <v>82</v>
      </c>
      <c r="Y307" s="175">
        <f>Data_Dep.12[[#This Row],[T/G Khấu hao]]+Data_Dep.12[[#This Row],[Điều chỉnh]]</f>
        <v>120</v>
      </c>
      <c r="Z307" s="180">
        <f>EDATE(Data_Dep.12[[#This Row],[Ngày bắt đầu KH]],Data_Dep.12[[#This Row],[T/G điều chỉnh]])</f>
        <v>49279</v>
      </c>
      <c r="AA307" s="175">
        <f>Data_Dep.12[[#This Row],[T/G điều chỉnh]]-Data_Dep.12[[#This Row],[Số kỳ đã khấu hao]]</f>
        <v>107</v>
      </c>
      <c r="AB307" s="175">
        <f>IFERROR(-Data_Dep.12[[#This Row],[Giá trị còn lại 31/12/25]]/(Data_Dep.12[[#This Row],[T/G điều chỉnh]]-Data_Dep.12[[#This Row],[Số kỳ đã khấu hao]]),0)</f>
        <v>-1801012.4672897197</v>
      </c>
      <c r="AC307" s="181">
        <v>-1801012.4672897197</v>
      </c>
      <c r="AD307" s="181">
        <v>-1801012.4672897197</v>
      </c>
      <c r="AE307" s="181">
        <v>-1801012.4672897197</v>
      </c>
      <c r="AF307" s="181">
        <v>-1801012.4672897197</v>
      </c>
      <c r="AG307" s="181">
        <v>-1801012.4672897197</v>
      </c>
      <c r="AH307" s="181">
        <v>-1801012.4672897197</v>
      </c>
      <c r="AI307" s="181">
        <v>-1801012.4672897197</v>
      </c>
      <c r="AJ307" s="181">
        <v>-1801012.4672897197</v>
      </c>
      <c r="AK307" s="181">
        <v>-1801012.4672897197</v>
      </c>
      <c r="AL307" s="181">
        <v>-1801012.4672897197</v>
      </c>
      <c r="AM307" s="181">
        <v>-1801012.4672897197</v>
      </c>
      <c r="AN307" s="181">
        <v>-1801012.4672897197</v>
      </c>
      <c r="AO307" s="175">
        <f>SUM(Data_Dep.12[[#This Row],[KH_2601]:[KH_2612]])</f>
        <v>-21612149.607476637</v>
      </c>
      <c r="AP307" s="175">
        <f>Data_Dep.12[[#This Row],[Giá trị còn lại 31/12/25]]+Data_Dep.12[[#This Row],[KH LK 2026]]</f>
        <v>171096184.39252335</v>
      </c>
    </row>
    <row r="308" spans="1:42" x14ac:dyDescent="0.3">
      <c r="A308" s="169"/>
      <c r="B308" s="169"/>
      <c r="C308" s="170" t="s">
        <v>357</v>
      </c>
      <c r="D308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08" s="171" t="s">
        <v>1187</v>
      </c>
      <c r="F308" s="170" t="s">
        <v>805</v>
      </c>
      <c r="G308" s="169" t="s">
        <v>1161</v>
      </c>
      <c r="H308" s="170" t="s">
        <v>48</v>
      </c>
      <c r="I308" s="170" t="str">
        <f>_xlfn.XLOOKUP(Data_Dep.12[[#This Row],[Cost center]],MD_Cost_Center[Mã Cost Center],MD_Cost_Center[Tên Cost Center])</f>
        <v>Xưởng sản xuất PET</v>
      </c>
      <c r="J308" s="172">
        <f>_xlfn.XLOOKUP(Data_Dep.12[[#This Row],[Cost center]],MD_Cost_Center[Mã Cost Center],MD_Cost_Center[Work center],"Check")</f>
        <v>0</v>
      </c>
      <c r="K308" s="169" t="str">
        <f>_xlfn.XLOOKUP(Data_Dep.12[[#This Row],[Nhóm tài sản]],MD_Account_Asset_Type[Nhóm tài sản],MD_Account_Asset_Type[Tài khoản KH],"Check")</f>
        <v>6274001905</v>
      </c>
      <c r="L308" s="173">
        <v>45627</v>
      </c>
      <c r="M308" s="174">
        <f>EDATE(Data_Dep.12[[#This Row],[Ngày bắt đầu KH]],Data_Dep.12[[#This Row],[T/G Khấu hao]])</f>
        <v>46844</v>
      </c>
      <c r="N308" s="175">
        <v>40</v>
      </c>
      <c r="O308" s="175">
        <v>301000000</v>
      </c>
      <c r="P308" s="176">
        <v>-75250000</v>
      </c>
      <c r="Q308" s="175">
        <f>Data_Dep.12[[#This Row],[Nguyên giá]]+Data_Dep.12[[#This Row],[KH lũy kế]]</f>
        <v>225750000</v>
      </c>
      <c r="R308" s="177">
        <v>-7525000</v>
      </c>
      <c r="S308" s="177">
        <v>-7525000</v>
      </c>
      <c r="T308" s="177">
        <v>-7525000</v>
      </c>
      <c r="U308" s="177">
        <f>SUM(Data_Dep.12[[#This Row],[KH_2510]:[KH_2512]])</f>
        <v>-22575000</v>
      </c>
      <c r="V308" s="175">
        <f>Data_Dep.12[[#This Row],[Nguyên giá]]+Data_Dep.12[[#This Row],[KH lũy kế]]+Data_Dep.12[[#This Row],[KH_Q4.25]]</f>
        <v>203175000</v>
      </c>
      <c r="W308" s="178">
        <f>ROUND(Data_Dep.12[[#This Row],[T/G Khấu hao]]-Data_Dep.12[[#This Row],[Giá trị còn lại 31/12/25]]/Data_Dep.12[[#This Row],[Nguyên giá]]*Data_Dep.12[[#This Row],[T/G Khấu hao]],0)</f>
        <v>13</v>
      </c>
      <c r="X308" s="179">
        <v>80</v>
      </c>
      <c r="Y308" s="175">
        <f>Data_Dep.12[[#This Row],[T/G Khấu hao]]+Data_Dep.12[[#This Row],[Điều chỉnh]]</f>
        <v>120</v>
      </c>
      <c r="Z308" s="180">
        <f>EDATE(Data_Dep.12[[#This Row],[Ngày bắt đầu KH]],Data_Dep.12[[#This Row],[T/G điều chỉnh]])</f>
        <v>49279</v>
      </c>
      <c r="AA308" s="175">
        <f>Data_Dep.12[[#This Row],[T/G điều chỉnh]]-Data_Dep.12[[#This Row],[Số kỳ đã khấu hao]]</f>
        <v>107</v>
      </c>
      <c r="AB308" s="175">
        <f>IFERROR(-Data_Dep.12[[#This Row],[Giá trị còn lại 31/12/25]]/(Data_Dep.12[[#This Row],[T/G điều chỉnh]]-Data_Dep.12[[#This Row],[Số kỳ đã khấu hao]]),0)</f>
        <v>-1898831.7757009345</v>
      </c>
      <c r="AC308" s="181">
        <v>-1898831.7757009345</v>
      </c>
      <c r="AD308" s="181">
        <v>-1898831.7757009345</v>
      </c>
      <c r="AE308" s="181">
        <v>-1898831.7757009345</v>
      </c>
      <c r="AF308" s="181">
        <v>-1898831.7757009345</v>
      </c>
      <c r="AG308" s="181">
        <v>-1898831.7757009345</v>
      </c>
      <c r="AH308" s="181">
        <v>-1898831.7757009345</v>
      </c>
      <c r="AI308" s="181">
        <v>-1898831.7757009345</v>
      </c>
      <c r="AJ308" s="181">
        <v>-1898831.7757009345</v>
      </c>
      <c r="AK308" s="181">
        <v>-1898831.7757009345</v>
      </c>
      <c r="AL308" s="181">
        <v>-1898831.7757009345</v>
      </c>
      <c r="AM308" s="181">
        <v>-1898831.7757009345</v>
      </c>
      <c r="AN308" s="181">
        <v>-1898831.7757009345</v>
      </c>
      <c r="AO308" s="175">
        <f>SUM(Data_Dep.12[[#This Row],[KH_2601]:[KH_2612]])</f>
        <v>-22785981.308411215</v>
      </c>
      <c r="AP308" s="175">
        <f>Data_Dep.12[[#This Row],[Giá trị còn lại 31/12/25]]+Data_Dep.12[[#This Row],[KH LK 2026]]</f>
        <v>180389018.69158879</v>
      </c>
    </row>
    <row r="309" spans="1:42" x14ac:dyDescent="0.3">
      <c r="A309" s="169"/>
      <c r="B309" s="169"/>
      <c r="C309" s="170" t="s">
        <v>357</v>
      </c>
      <c r="D309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09" s="171" t="s">
        <v>1188</v>
      </c>
      <c r="F309" s="170" t="s">
        <v>806</v>
      </c>
      <c r="G309" s="169" t="s">
        <v>1161</v>
      </c>
      <c r="H309" s="170" t="s">
        <v>48</v>
      </c>
      <c r="I309" s="170" t="str">
        <f>_xlfn.XLOOKUP(Data_Dep.12[[#This Row],[Cost center]],MD_Cost_Center[Mã Cost Center],MD_Cost_Center[Tên Cost Center])</f>
        <v>Xưởng sản xuất PET</v>
      </c>
      <c r="J309" s="172">
        <f>_xlfn.XLOOKUP(Data_Dep.12[[#This Row],[Cost center]],MD_Cost_Center[Mã Cost Center],MD_Cost_Center[Work center],"Check")</f>
        <v>0</v>
      </c>
      <c r="K309" s="169" t="str">
        <f>_xlfn.XLOOKUP(Data_Dep.12[[#This Row],[Nhóm tài sản]],MD_Account_Asset_Type[Nhóm tài sản],MD_Account_Asset_Type[Tài khoản KH],"Check")</f>
        <v>6274001905</v>
      </c>
      <c r="L309" s="173">
        <v>45627</v>
      </c>
      <c r="M309" s="174">
        <f>EDATE(Data_Dep.12[[#This Row],[Ngày bắt đầu KH]],Data_Dep.12[[#This Row],[T/G Khấu hao]])</f>
        <v>46905</v>
      </c>
      <c r="N309" s="175">
        <v>42</v>
      </c>
      <c r="O309" s="175">
        <v>177833334</v>
      </c>
      <c r="P309" s="176">
        <v>-42341270</v>
      </c>
      <c r="Q309" s="175">
        <f>Data_Dep.12[[#This Row],[Nguyên giá]]+Data_Dep.12[[#This Row],[KH lũy kế]]</f>
        <v>135492064</v>
      </c>
      <c r="R309" s="177">
        <v>-4234127</v>
      </c>
      <c r="S309" s="177">
        <v>-4234127</v>
      </c>
      <c r="T309" s="177">
        <v>-4234127</v>
      </c>
      <c r="U309" s="177">
        <f>SUM(Data_Dep.12[[#This Row],[KH_2510]:[KH_2512]])</f>
        <v>-12702381</v>
      </c>
      <c r="V309" s="175">
        <f>Data_Dep.12[[#This Row],[Nguyên giá]]+Data_Dep.12[[#This Row],[KH lũy kế]]+Data_Dep.12[[#This Row],[KH_Q4.25]]</f>
        <v>122789683</v>
      </c>
      <c r="W309" s="178">
        <f>ROUND(Data_Dep.12[[#This Row],[T/G Khấu hao]]-Data_Dep.12[[#This Row],[Giá trị còn lại 31/12/25]]/Data_Dep.12[[#This Row],[Nguyên giá]]*Data_Dep.12[[#This Row],[T/G Khấu hao]],0)</f>
        <v>13</v>
      </c>
      <c r="X309" s="179">
        <v>78</v>
      </c>
      <c r="Y309" s="175">
        <f>Data_Dep.12[[#This Row],[T/G Khấu hao]]+Data_Dep.12[[#This Row],[Điều chỉnh]]</f>
        <v>120</v>
      </c>
      <c r="Z309" s="180">
        <f>EDATE(Data_Dep.12[[#This Row],[Ngày bắt đầu KH]],Data_Dep.12[[#This Row],[T/G điều chỉnh]])</f>
        <v>49279</v>
      </c>
      <c r="AA309" s="175">
        <f>Data_Dep.12[[#This Row],[T/G điều chỉnh]]-Data_Dep.12[[#This Row],[Số kỳ đã khấu hao]]</f>
        <v>107</v>
      </c>
      <c r="AB309" s="175">
        <f>IFERROR(-Data_Dep.12[[#This Row],[Giá trị còn lại 31/12/25]]/(Data_Dep.12[[#This Row],[T/G điều chỉnh]]-Data_Dep.12[[#This Row],[Số kỳ đã khấu hao]]),0)</f>
        <v>-1147567.1308411215</v>
      </c>
      <c r="AC309" s="181">
        <v>-1147567.1308411215</v>
      </c>
      <c r="AD309" s="181">
        <v>-1147567.1308411215</v>
      </c>
      <c r="AE309" s="181">
        <v>-1147567.1308411215</v>
      </c>
      <c r="AF309" s="181">
        <v>-1147567.1308411215</v>
      </c>
      <c r="AG309" s="181">
        <v>-1147567.1308411215</v>
      </c>
      <c r="AH309" s="181">
        <v>-1147567.1308411215</v>
      </c>
      <c r="AI309" s="181">
        <v>-1147567.1308411215</v>
      </c>
      <c r="AJ309" s="181">
        <v>-1147567.1308411215</v>
      </c>
      <c r="AK309" s="181">
        <v>-1147567.1308411215</v>
      </c>
      <c r="AL309" s="181">
        <v>-1147567.1308411215</v>
      </c>
      <c r="AM309" s="181">
        <v>-1147567.1308411215</v>
      </c>
      <c r="AN309" s="181">
        <v>-1147567.1308411215</v>
      </c>
      <c r="AO309" s="175">
        <f>SUM(Data_Dep.12[[#This Row],[KH_2601]:[KH_2612]])</f>
        <v>-13770805.570093455</v>
      </c>
      <c r="AP309" s="175">
        <f>Data_Dep.12[[#This Row],[Giá trị còn lại 31/12/25]]+Data_Dep.12[[#This Row],[KH LK 2026]]</f>
        <v>109018877.42990655</v>
      </c>
    </row>
    <row r="310" spans="1:42" x14ac:dyDescent="0.3">
      <c r="A310" s="169"/>
      <c r="B310" s="169"/>
      <c r="C310" s="170" t="s">
        <v>357</v>
      </c>
      <c r="D310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0" s="171" t="s">
        <v>1189</v>
      </c>
      <c r="F310" s="170" t="s">
        <v>807</v>
      </c>
      <c r="G310" s="169" t="s">
        <v>1161</v>
      </c>
      <c r="H310" s="170" t="s">
        <v>48</v>
      </c>
      <c r="I310" s="170" t="str">
        <f>_xlfn.XLOOKUP(Data_Dep.12[[#This Row],[Cost center]],MD_Cost_Center[Mã Cost Center],MD_Cost_Center[Tên Cost Center])</f>
        <v>Xưởng sản xuất PET</v>
      </c>
      <c r="J310" s="172">
        <f>_xlfn.XLOOKUP(Data_Dep.12[[#This Row],[Cost center]],MD_Cost_Center[Mã Cost Center],MD_Cost_Center[Work center],"Check")</f>
        <v>0</v>
      </c>
      <c r="K310" s="169" t="str">
        <f>_xlfn.XLOOKUP(Data_Dep.12[[#This Row],[Nhóm tài sản]],MD_Account_Asset_Type[Nhóm tài sản],MD_Account_Asset_Type[Tài khoản KH],"Check")</f>
        <v>6274001905</v>
      </c>
      <c r="L310" s="173">
        <v>45627</v>
      </c>
      <c r="M310" s="174">
        <f>EDATE(Data_Dep.12[[#This Row],[Ngày bắt đầu KH]],Data_Dep.12[[#This Row],[T/G Khấu hao]])</f>
        <v>46905</v>
      </c>
      <c r="N310" s="175">
        <v>42</v>
      </c>
      <c r="O310" s="175">
        <v>287222223</v>
      </c>
      <c r="P310" s="176">
        <v>-68386243</v>
      </c>
      <c r="Q310" s="175">
        <f>Data_Dep.12[[#This Row],[Nguyên giá]]+Data_Dep.12[[#This Row],[KH lũy kế]]</f>
        <v>218835980</v>
      </c>
      <c r="R310" s="177">
        <v>-6838625</v>
      </c>
      <c r="S310" s="177">
        <v>-6838624</v>
      </c>
      <c r="T310" s="177">
        <v>-6838624</v>
      </c>
      <c r="U310" s="177">
        <f>SUM(Data_Dep.12[[#This Row],[KH_2510]:[KH_2512]])</f>
        <v>-20515873</v>
      </c>
      <c r="V310" s="175">
        <f>Data_Dep.12[[#This Row],[Nguyên giá]]+Data_Dep.12[[#This Row],[KH lũy kế]]+Data_Dep.12[[#This Row],[KH_Q4.25]]</f>
        <v>198320107</v>
      </c>
      <c r="W310" s="178">
        <f>ROUND(Data_Dep.12[[#This Row],[T/G Khấu hao]]-Data_Dep.12[[#This Row],[Giá trị còn lại 31/12/25]]/Data_Dep.12[[#This Row],[Nguyên giá]]*Data_Dep.12[[#This Row],[T/G Khấu hao]],0)</f>
        <v>13</v>
      </c>
      <c r="X310" s="179">
        <v>78</v>
      </c>
      <c r="Y310" s="175">
        <f>Data_Dep.12[[#This Row],[T/G Khấu hao]]+Data_Dep.12[[#This Row],[Điều chỉnh]]</f>
        <v>120</v>
      </c>
      <c r="Z310" s="180">
        <f>EDATE(Data_Dep.12[[#This Row],[Ngày bắt đầu KH]],Data_Dep.12[[#This Row],[T/G điều chỉnh]])</f>
        <v>49279</v>
      </c>
      <c r="AA310" s="175">
        <f>Data_Dep.12[[#This Row],[T/G điều chỉnh]]-Data_Dep.12[[#This Row],[Số kỳ đã khấu hao]]</f>
        <v>107</v>
      </c>
      <c r="AB310" s="175">
        <f>IFERROR(-Data_Dep.12[[#This Row],[Giá trị còn lại 31/12/25]]/(Data_Dep.12[[#This Row],[T/G điều chỉnh]]-Data_Dep.12[[#This Row],[Số kỳ đã khấu hao]]),0)</f>
        <v>-1853458.9439252336</v>
      </c>
      <c r="AC310" s="181">
        <v>-1853458.9439252336</v>
      </c>
      <c r="AD310" s="181">
        <v>-1853458.9439252336</v>
      </c>
      <c r="AE310" s="181">
        <v>-1853458.9439252336</v>
      </c>
      <c r="AF310" s="181">
        <v>-1853458.9439252336</v>
      </c>
      <c r="AG310" s="181">
        <v>-1853458.9439252336</v>
      </c>
      <c r="AH310" s="181">
        <v>-1853458.9439252336</v>
      </c>
      <c r="AI310" s="181">
        <v>-1853458.9439252336</v>
      </c>
      <c r="AJ310" s="181">
        <v>-1853458.9439252336</v>
      </c>
      <c r="AK310" s="181">
        <v>-1853458.9439252336</v>
      </c>
      <c r="AL310" s="181">
        <v>-1853458.9439252336</v>
      </c>
      <c r="AM310" s="181">
        <v>-1853458.9439252336</v>
      </c>
      <c r="AN310" s="181">
        <v>-1853458.9439252336</v>
      </c>
      <c r="AO310" s="175">
        <f>SUM(Data_Dep.12[[#This Row],[KH_2601]:[KH_2612]])</f>
        <v>-22241507.327102803</v>
      </c>
      <c r="AP310" s="175">
        <f>Data_Dep.12[[#This Row],[Giá trị còn lại 31/12/25]]+Data_Dep.12[[#This Row],[KH LK 2026]]</f>
        <v>176078599.67289719</v>
      </c>
    </row>
    <row r="311" spans="1:42" x14ac:dyDescent="0.3">
      <c r="A311" s="169"/>
      <c r="B311" s="169"/>
      <c r="C311" s="170" t="s">
        <v>357</v>
      </c>
      <c r="D311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1" s="171" t="s">
        <v>1190</v>
      </c>
      <c r="F311" s="170" t="s">
        <v>808</v>
      </c>
      <c r="G311" s="169" t="s">
        <v>1161</v>
      </c>
      <c r="H311" s="170" t="s">
        <v>48</v>
      </c>
      <c r="I311" s="170" t="str">
        <f>_xlfn.XLOOKUP(Data_Dep.12[[#This Row],[Cost center]],MD_Cost_Center[Mã Cost Center],MD_Cost_Center[Tên Cost Center])</f>
        <v>Xưởng sản xuất PET</v>
      </c>
      <c r="J311" s="172">
        <f>_xlfn.XLOOKUP(Data_Dep.12[[#This Row],[Cost center]],MD_Cost_Center[Mã Cost Center],MD_Cost_Center[Work center],"Check")</f>
        <v>0</v>
      </c>
      <c r="K311" s="169" t="str">
        <f>_xlfn.XLOOKUP(Data_Dep.12[[#This Row],[Nhóm tài sản]],MD_Account_Asset_Type[Nhóm tài sản],MD_Account_Asset_Type[Tài khoản KH],"Check")</f>
        <v>6274001905</v>
      </c>
      <c r="L311" s="173">
        <v>45627</v>
      </c>
      <c r="M311" s="174">
        <f>EDATE(Data_Dep.12[[#This Row],[Ngày bắt đầu KH]],Data_Dep.12[[#This Row],[T/G Khấu hao]])</f>
        <v>46600</v>
      </c>
      <c r="N311" s="175">
        <v>32</v>
      </c>
      <c r="O311" s="175">
        <v>497068134</v>
      </c>
      <c r="P311" s="176">
        <v>-155333792</v>
      </c>
      <c r="Q311" s="175">
        <f>Data_Dep.12[[#This Row],[Nguyên giá]]+Data_Dep.12[[#This Row],[KH lũy kế]]</f>
        <v>341734342</v>
      </c>
      <c r="R311" s="177">
        <v>-15533379</v>
      </c>
      <c r="S311" s="177">
        <v>-15533379</v>
      </c>
      <c r="T311" s="177">
        <v>-15533379</v>
      </c>
      <c r="U311" s="177">
        <f>SUM(Data_Dep.12[[#This Row],[KH_2510]:[KH_2512]])</f>
        <v>-46600137</v>
      </c>
      <c r="V311" s="175">
        <f>Data_Dep.12[[#This Row],[Nguyên giá]]+Data_Dep.12[[#This Row],[KH lũy kế]]+Data_Dep.12[[#This Row],[KH_Q4.25]]</f>
        <v>295134205</v>
      </c>
      <c r="W311" s="178">
        <f>ROUND(Data_Dep.12[[#This Row],[T/G Khấu hao]]-Data_Dep.12[[#This Row],[Giá trị còn lại 31/12/25]]/Data_Dep.12[[#This Row],[Nguyên giá]]*Data_Dep.12[[#This Row],[T/G Khấu hao]],0)</f>
        <v>13</v>
      </c>
      <c r="X311" s="179">
        <v>88</v>
      </c>
      <c r="Y311" s="175">
        <f>Data_Dep.12[[#This Row],[T/G Khấu hao]]+Data_Dep.12[[#This Row],[Điều chỉnh]]</f>
        <v>120</v>
      </c>
      <c r="Z311" s="180">
        <f>EDATE(Data_Dep.12[[#This Row],[Ngày bắt đầu KH]],Data_Dep.12[[#This Row],[T/G điều chỉnh]])</f>
        <v>49279</v>
      </c>
      <c r="AA311" s="175">
        <f>Data_Dep.12[[#This Row],[T/G điều chỉnh]]-Data_Dep.12[[#This Row],[Số kỳ đã khấu hao]]</f>
        <v>107</v>
      </c>
      <c r="AB311" s="175">
        <f>IFERROR(-Data_Dep.12[[#This Row],[Giá trị còn lại 31/12/25]]/(Data_Dep.12[[#This Row],[T/G điều chỉnh]]-Data_Dep.12[[#This Row],[Số kỳ đã khấu hao]]),0)</f>
        <v>-2758263.5981308413</v>
      </c>
      <c r="AC311" s="181">
        <v>-2758263.5981308413</v>
      </c>
      <c r="AD311" s="181">
        <v>-2758263.5981308413</v>
      </c>
      <c r="AE311" s="181">
        <v>-2758263.5981308413</v>
      </c>
      <c r="AF311" s="181">
        <v>-2758263.5981308413</v>
      </c>
      <c r="AG311" s="181">
        <v>-2758263.5981308413</v>
      </c>
      <c r="AH311" s="181">
        <v>-2758263.5981308413</v>
      </c>
      <c r="AI311" s="181">
        <v>-2758263.5981308413</v>
      </c>
      <c r="AJ311" s="181">
        <v>-2758263.5981308413</v>
      </c>
      <c r="AK311" s="181">
        <v>-2758263.5981308413</v>
      </c>
      <c r="AL311" s="181">
        <v>-2758263.5981308413</v>
      </c>
      <c r="AM311" s="181">
        <v>-2758263.5981308413</v>
      </c>
      <c r="AN311" s="181">
        <v>-2758263.5981308413</v>
      </c>
      <c r="AO311" s="175">
        <f>SUM(Data_Dep.12[[#This Row],[KH_2601]:[KH_2612]])</f>
        <v>-33099163.177570093</v>
      </c>
      <c r="AP311" s="175">
        <f>Data_Dep.12[[#This Row],[Giá trị còn lại 31/12/25]]+Data_Dep.12[[#This Row],[KH LK 2026]]</f>
        <v>262035041.8224299</v>
      </c>
    </row>
    <row r="312" spans="1:42" x14ac:dyDescent="0.3">
      <c r="A312" s="169"/>
      <c r="B312" s="169"/>
      <c r="C312" s="170" t="s">
        <v>357</v>
      </c>
      <c r="D312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2" s="171" t="s">
        <v>1191</v>
      </c>
      <c r="F312" s="170" t="s">
        <v>809</v>
      </c>
      <c r="G312" s="169" t="s">
        <v>1161</v>
      </c>
      <c r="H312" s="170" t="s">
        <v>88</v>
      </c>
      <c r="I312" s="170" t="str">
        <f>_xlfn.XLOOKUP(Data_Dep.12[[#This Row],[Cost center]],MD_Cost_Center[Mã Cost Center],MD_Cost_Center[Tên Cost Center])</f>
        <v>Khối SX - Xưởng 1</v>
      </c>
      <c r="J312" s="172">
        <f>_xlfn.XLOOKUP(Data_Dep.12[[#This Row],[Cost center]],MD_Cost_Center[Mã Cost Center],MD_Cost_Center[Work center],"Check")</f>
        <v>0</v>
      </c>
      <c r="K312" s="169" t="str">
        <f>_xlfn.XLOOKUP(Data_Dep.12[[#This Row],[Nhóm tài sản]],MD_Account_Asset_Type[Nhóm tài sản],MD_Account_Asset_Type[Tài khoản KH],"Check")</f>
        <v>6274001905</v>
      </c>
      <c r="L312" s="173">
        <v>45627</v>
      </c>
      <c r="M312" s="174">
        <f>EDATE(Data_Dep.12[[#This Row],[Ngày bắt đầu KH]],Data_Dep.12[[#This Row],[T/G Khấu hao]])</f>
        <v>46692</v>
      </c>
      <c r="N312" s="175">
        <v>35</v>
      </c>
      <c r="O312" s="175">
        <v>308333333</v>
      </c>
      <c r="P312" s="176">
        <v>-88095238</v>
      </c>
      <c r="Q312" s="175">
        <f>Data_Dep.12[[#This Row],[Nguyên giá]]+Data_Dep.12[[#This Row],[KH lũy kế]]</f>
        <v>220238095</v>
      </c>
      <c r="R312" s="177">
        <v>-8809524</v>
      </c>
      <c r="S312" s="177">
        <v>-8809524</v>
      </c>
      <c r="T312" s="177">
        <v>-8809524</v>
      </c>
      <c r="U312" s="177">
        <f>SUM(Data_Dep.12[[#This Row],[KH_2510]:[KH_2512]])</f>
        <v>-26428572</v>
      </c>
      <c r="V312" s="175">
        <f>Data_Dep.12[[#This Row],[Nguyên giá]]+Data_Dep.12[[#This Row],[KH lũy kế]]+Data_Dep.12[[#This Row],[KH_Q4.25]]</f>
        <v>193809523</v>
      </c>
      <c r="W312" s="178">
        <f>ROUND(Data_Dep.12[[#This Row],[T/G Khấu hao]]-Data_Dep.12[[#This Row],[Giá trị còn lại 31/12/25]]/Data_Dep.12[[#This Row],[Nguyên giá]]*Data_Dep.12[[#This Row],[T/G Khấu hao]],0)</f>
        <v>13</v>
      </c>
      <c r="X312" s="179">
        <v>85</v>
      </c>
      <c r="Y312" s="175">
        <f>Data_Dep.12[[#This Row],[T/G Khấu hao]]+Data_Dep.12[[#This Row],[Điều chỉnh]]</f>
        <v>120</v>
      </c>
      <c r="Z312" s="180">
        <f>EDATE(Data_Dep.12[[#This Row],[Ngày bắt đầu KH]],Data_Dep.12[[#This Row],[T/G điều chỉnh]])</f>
        <v>49279</v>
      </c>
      <c r="AA312" s="175">
        <f>Data_Dep.12[[#This Row],[T/G điều chỉnh]]-Data_Dep.12[[#This Row],[Số kỳ đã khấu hao]]</f>
        <v>107</v>
      </c>
      <c r="AB312" s="175">
        <f>IFERROR(-Data_Dep.12[[#This Row],[Giá trị còn lại 31/12/25]]/(Data_Dep.12[[#This Row],[T/G điều chỉnh]]-Data_Dep.12[[#This Row],[Số kỳ đã khấu hao]]),0)</f>
        <v>-1811303.9532710281</v>
      </c>
      <c r="AC312" s="181">
        <v>-1811303.9532710281</v>
      </c>
      <c r="AD312" s="181">
        <v>-1811303.9532710281</v>
      </c>
      <c r="AE312" s="181">
        <v>-1811303.9532710281</v>
      </c>
      <c r="AF312" s="181">
        <v>-1811303.9532710281</v>
      </c>
      <c r="AG312" s="181">
        <v>-1811303.9532710281</v>
      </c>
      <c r="AH312" s="181">
        <v>-1811303.9532710281</v>
      </c>
      <c r="AI312" s="181">
        <v>-1811303.9532710281</v>
      </c>
      <c r="AJ312" s="181">
        <v>-1811303.9532710281</v>
      </c>
      <c r="AK312" s="181">
        <v>-1811303.9532710281</v>
      </c>
      <c r="AL312" s="181">
        <v>-1811303.9532710281</v>
      </c>
      <c r="AM312" s="181">
        <v>-1811303.9532710281</v>
      </c>
      <c r="AN312" s="181">
        <v>-1811303.9532710281</v>
      </c>
      <c r="AO312" s="175">
        <f>SUM(Data_Dep.12[[#This Row],[KH_2601]:[KH_2612]])</f>
        <v>-21735647.439252336</v>
      </c>
      <c r="AP312" s="175">
        <f>Data_Dep.12[[#This Row],[Giá trị còn lại 31/12/25]]+Data_Dep.12[[#This Row],[KH LK 2026]]</f>
        <v>172073875.56074765</v>
      </c>
    </row>
    <row r="313" spans="1:42" x14ac:dyDescent="0.3">
      <c r="A313" s="169"/>
      <c r="B313" s="169"/>
      <c r="C313" s="170" t="s">
        <v>357</v>
      </c>
      <c r="D313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3" s="171" t="s">
        <v>1192</v>
      </c>
      <c r="F313" s="170" t="s">
        <v>810</v>
      </c>
      <c r="G313" s="169" t="s">
        <v>1161</v>
      </c>
      <c r="H313" s="170" t="s">
        <v>88</v>
      </c>
      <c r="I313" s="170" t="str">
        <f>_xlfn.XLOOKUP(Data_Dep.12[[#This Row],[Cost center]],MD_Cost_Center[Mã Cost Center],MD_Cost_Center[Tên Cost Center])</f>
        <v>Khối SX - Xưởng 1</v>
      </c>
      <c r="J313" s="172">
        <f>_xlfn.XLOOKUP(Data_Dep.12[[#This Row],[Cost center]],MD_Cost_Center[Mã Cost Center],MD_Cost_Center[Work center],"Check")</f>
        <v>0</v>
      </c>
      <c r="K313" s="169" t="str">
        <f>_xlfn.XLOOKUP(Data_Dep.12[[#This Row],[Nhóm tài sản]],MD_Account_Asset_Type[Nhóm tài sản],MD_Account_Asset_Type[Tài khoản KH],"Check")</f>
        <v>6274001905</v>
      </c>
      <c r="L313" s="173">
        <v>45627</v>
      </c>
      <c r="M313" s="174">
        <f>EDATE(Data_Dep.12[[#This Row],[Ngày bắt đầu KH]],Data_Dep.12[[#This Row],[T/G Khấu hao]])</f>
        <v>46692</v>
      </c>
      <c r="N313" s="175">
        <v>35</v>
      </c>
      <c r="O313" s="175">
        <v>296000000</v>
      </c>
      <c r="P313" s="176">
        <v>-84571429</v>
      </c>
      <c r="Q313" s="175">
        <f>Data_Dep.12[[#This Row],[Nguyên giá]]+Data_Dep.12[[#This Row],[KH lũy kế]]</f>
        <v>211428571</v>
      </c>
      <c r="R313" s="177">
        <v>-8457143</v>
      </c>
      <c r="S313" s="177">
        <v>-8457142</v>
      </c>
      <c r="T313" s="177">
        <v>-8457143</v>
      </c>
      <c r="U313" s="177">
        <f>SUM(Data_Dep.12[[#This Row],[KH_2510]:[KH_2512]])</f>
        <v>-25371428</v>
      </c>
      <c r="V313" s="175">
        <f>Data_Dep.12[[#This Row],[Nguyên giá]]+Data_Dep.12[[#This Row],[KH lũy kế]]+Data_Dep.12[[#This Row],[KH_Q4.25]]</f>
        <v>186057143</v>
      </c>
      <c r="W313" s="178">
        <f>ROUND(Data_Dep.12[[#This Row],[T/G Khấu hao]]-Data_Dep.12[[#This Row],[Giá trị còn lại 31/12/25]]/Data_Dep.12[[#This Row],[Nguyên giá]]*Data_Dep.12[[#This Row],[T/G Khấu hao]],0)</f>
        <v>13</v>
      </c>
      <c r="X313" s="179">
        <v>85</v>
      </c>
      <c r="Y313" s="175">
        <f>Data_Dep.12[[#This Row],[T/G Khấu hao]]+Data_Dep.12[[#This Row],[Điều chỉnh]]</f>
        <v>120</v>
      </c>
      <c r="Z313" s="180">
        <f>EDATE(Data_Dep.12[[#This Row],[Ngày bắt đầu KH]],Data_Dep.12[[#This Row],[T/G điều chỉnh]])</f>
        <v>49279</v>
      </c>
      <c r="AA313" s="175">
        <f>Data_Dep.12[[#This Row],[T/G điều chỉnh]]-Data_Dep.12[[#This Row],[Số kỳ đã khấu hao]]</f>
        <v>107</v>
      </c>
      <c r="AB313" s="175">
        <f>IFERROR(-Data_Dep.12[[#This Row],[Giá trị còn lại 31/12/25]]/(Data_Dep.12[[#This Row],[T/G điều chỉnh]]-Data_Dep.12[[#This Row],[Số kỳ đã khấu hao]]),0)</f>
        <v>-1738851.8037383177</v>
      </c>
      <c r="AC313" s="181">
        <v>-1738851.8037383177</v>
      </c>
      <c r="AD313" s="181">
        <v>-1738851.8037383177</v>
      </c>
      <c r="AE313" s="181">
        <v>-1738851.8037383177</v>
      </c>
      <c r="AF313" s="181">
        <v>-1738851.8037383177</v>
      </c>
      <c r="AG313" s="181">
        <v>-1738851.8037383177</v>
      </c>
      <c r="AH313" s="181">
        <v>-1738851.8037383177</v>
      </c>
      <c r="AI313" s="181">
        <v>-1738851.8037383177</v>
      </c>
      <c r="AJ313" s="181">
        <v>-1738851.8037383177</v>
      </c>
      <c r="AK313" s="181">
        <v>-1738851.8037383177</v>
      </c>
      <c r="AL313" s="181">
        <v>-1738851.8037383177</v>
      </c>
      <c r="AM313" s="181">
        <v>-1738851.8037383177</v>
      </c>
      <c r="AN313" s="181">
        <v>-1738851.8037383177</v>
      </c>
      <c r="AO313" s="175">
        <f>SUM(Data_Dep.12[[#This Row],[KH_2601]:[KH_2612]])</f>
        <v>-20866221.644859817</v>
      </c>
      <c r="AP313" s="175">
        <f>Data_Dep.12[[#This Row],[Giá trị còn lại 31/12/25]]+Data_Dep.12[[#This Row],[KH LK 2026]]</f>
        <v>165190921.35514018</v>
      </c>
    </row>
    <row r="314" spans="1:42" x14ac:dyDescent="0.3">
      <c r="A314" s="169"/>
      <c r="B314" s="169"/>
      <c r="C314" s="170" t="s">
        <v>357</v>
      </c>
      <c r="D314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4" s="171" t="s">
        <v>1193</v>
      </c>
      <c r="F314" s="170" t="s">
        <v>811</v>
      </c>
      <c r="G314" s="169" t="s">
        <v>1161</v>
      </c>
      <c r="H314" s="170" t="s">
        <v>48</v>
      </c>
      <c r="I314" s="170" t="str">
        <f>_xlfn.XLOOKUP(Data_Dep.12[[#This Row],[Cost center]],MD_Cost_Center[Mã Cost Center],MD_Cost_Center[Tên Cost Center])</f>
        <v>Xưởng sản xuất PET</v>
      </c>
      <c r="J314" s="172">
        <f>_xlfn.XLOOKUP(Data_Dep.12[[#This Row],[Cost center]],MD_Cost_Center[Mã Cost Center],MD_Cost_Center[Work center],"Check")</f>
        <v>0</v>
      </c>
      <c r="K314" s="169" t="str">
        <f>_xlfn.XLOOKUP(Data_Dep.12[[#This Row],[Nhóm tài sản]],MD_Account_Asset_Type[Nhóm tài sản],MD_Account_Asset_Type[Tài khoản KH],"Check")</f>
        <v>6274001905</v>
      </c>
      <c r="L314" s="173">
        <v>45627</v>
      </c>
      <c r="M314" s="174">
        <f>EDATE(Data_Dep.12[[#This Row],[Ngày bắt đầu KH]],Data_Dep.12[[#This Row],[T/G Khấu hao]])</f>
        <v>46722</v>
      </c>
      <c r="N314" s="175">
        <v>36</v>
      </c>
      <c r="O314" s="175">
        <v>285000000</v>
      </c>
      <c r="P314" s="176">
        <v>-79166667</v>
      </c>
      <c r="Q314" s="175">
        <f>Data_Dep.12[[#This Row],[Nguyên giá]]+Data_Dep.12[[#This Row],[KH lũy kế]]</f>
        <v>205833333</v>
      </c>
      <c r="R314" s="177">
        <v>-7916667</v>
      </c>
      <c r="S314" s="177">
        <v>-7916666</v>
      </c>
      <c r="T314" s="177">
        <v>-7916667</v>
      </c>
      <c r="U314" s="177">
        <f>SUM(Data_Dep.12[[#This Row],[KH_2510]:[KH_2512]])</f>
        <v>-23750000</v>
      </c>
      <c r="V314" s="175">
        <f>Data_Dep.12[[#This Row],[Nguyên giá]]+Data_Dep.12[[#This Row],[KH lũy kế]]+Data_Dep.12[[#This Row],[KH_Q4.25]]</f>
        <v>182083333</v>
      </c>
      <c r="W314" s="178">
        <f>ROUND(Data_Dep.12[[#This Row],[T/G Khấu hao]]-Data_Dep.12[[#This Row],[Giá trị còn lại 31/12/25]]/Data_Dep.12[[#This Row],[Nguyên giá]]*Data_Dep.12[[#This Row],[T/G Khấu hao]],0)</f>
        <v>13</v>
      </c>
      <c r="X314" s="179">
        <v>84</v>
      </c>
      <c r="Y314" s="175">
        <f>Data_Dep.12[[#This Row],[T/G Khấu hao]]+Data_Dep.12[[#This Row],[Điều chỉnh]]</f>
        <v>120</v>
      </c>
      <c r="Z314" s="180">
        <f>EDATE(Data_Dep.12[[#This Row],[Ngày bắt đầu KH]],Data_Dep.12[[#This Row],[T/G điều chỉnh]])</f>
        <v>49279</v>
      </c>
      <c r="AA314" s="175">
        <f>Data_Dep.12[[#This Row],[T/G điều chỉnh]]-Data_Dep.12[[#This Row],[Số kỳ đã khấu hao]]</f>
        <v>107</v>
      </c>
      <c r="AB314" s="175">
        <f>IFERROR(-Data_Dep.12[[#This Row],[Giá trị còn lại 31/12/25]]/(Data_Dep.12[[#This Row],[T/G điều chỉnh]]-Data_Dep.12[[#This Row],[Số kỳ đã khấu hao]]),0)</f>
        <v>-1701713.3925233644</v>
      </c>
      <c r="AC314" s="181">
        <v>-1701713.3925233644</v>
      </c>
      <c r="AD314" s="181">
        <v>-1701713.3925233644</v>
      </c>
      <c r="AE314" s="181">
        <v>-1701713.3925233644</v>
      </c>
      <c r="AF314" s="181">
        <v>-1701713.3925233644</v>
      </c>
      <c r="AG314" s="181">
        <v>-1701713.3925233644</v>
      </c>
      <c r="AH314" s="181">
        <v>-1701713.3925233644</v>
      </c>
      <c r="AI314" s="181">
        <v>-1701713.3925233644</v>
      </c>
      <c r="AJ314" s="181">
        <v>-1701713.3925233644</v>
      </c>
      <c r="AK314" s="181">
        <v>-1701713.3925233644</v>
      </c>
      <c r="AL314" s="181">
        <v>-1701713.3925233644</v>
      </c>
      <c r="AM314" s="181">
        <v>-1701713.3925233644</v>
      </c>
      <c r="AN314" s="181">
        <v>-1701713.3925233644</v>
      </c>
      <c r="AO314" s="175">
        <f>SUM(Data_Dep.12[[#This Row],[KH_2601]:[KH_2612]])</f>
        <v>-20420560.710280374</v>
      </c>
      <c r="AP314" s="175">
        <f>Data_Dep.12[[#This Row],[Giá trị còn lại 31/12/25]]+Data_Dep.12[[#This Row],[KH LK 2026]]</f>
        <v>161662772.28971964</v>
      </c>
    </row>
    <row r="315" spans="1:42" x14ac:dyDescent="0.3">
      <c r="A315" s="169"/>
      <c r="B315" s="169"/>
      <c r="C315" s="170" t="s">
        <v>357</v>
      </c>
      <c r="D315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5" s="171" t="s">
        <v>1194</v>
      </c>
      <c r="F315" s="170" t="s">
        <v>812</v>
      </c>
      <c r="G315" s="169" t="s">
        <v>1161</v>
      </c>
      <c r="H315" s="170" t="s">
        <v>48</v>
      </c>
      <c r="I315" s="170" t="str">
        <f>_xlfn.XLOOKUP(Data_Dep.12[[#This Row],[Cost center]],MD_Cost_Center[Mã Cost Center],MD_Cost_Center[Tên Cost Center])</f>
        <v>Xưởng sản xuất PET</v>
      </c>
      <c r="J315" s="172">
        <f>_xlfn.XLOOKUP(Data_Dep.12[[#This Row],[Cost center]],MD_Cost_Center[Mã Cost Center],MD_Cost_Center[Work center],"Check")</f>
        <v>0</v>
      </c>
      <c r="K315" s="169" t="str">
        <f>_xlfn.XLOOKUP(Data_Dep.12[[#This Row],[Nhóm tài sản]],MD_Account_Asset_Type[Nhóm tài sản],MD_Account_Asset_Type[Tài khoản KH],"Check")</f>
        <v>6274001905</v>
      </c>
      <c r="L315" s="173">
        <v>45627</v>
      </c>
      <c r="M315" s="174">
        <f>EDATE(Data_Dep.12[[#This Row],[Ngày bắt đầu KH]],Data_Dep.12[[#This Row],[T/G Khấu hao]])</f>
        <v>46784</v>
      </c>
      <c r="N315" s="175">
        <v>38</v>
      </c>
      <c r="O315" s="175">
        <v>300000000</v>
      </c>
      <c r="P315" s="176">
        <v>-78947369</v>
      </c>
      <c r="Q315" s="175">
        <f>Data_Dep.12[[#This Row],[Nguyên giá]]+Data_Dep.12[[#This Row],[KH lũy kế]]</f>
        <v>221052631</v>
      </c>
      <c r="R315" s="177">
        <v>-7894736</v>
      </c>
      <c r="S315" s="177">
        <v>-7894737</v>
      </c>
      <c r="T315" s="177">
        <v>-7894737</v>
      </c>
      <c r="U315" s="177">
        <f>SUM(Data_Dep.12[[#This Row],[KH_2510]:[KH_2512]])</f>
        <v>-23684210</v>
      </c>
      <c r="V315" s="175">
        <f>Data_Dep.12[[#This Row],[Nguyên giá]]+Data_Dep.12[[#This Row],[KH lũy kế]]+Data_Dep.12[[#This Row],[KH_Q4.25]]</f>
        <v>197368421</v>
      </c>
      <c r="W315" s="178">
        <f>ROUND(Data_Dep.12[[#This Row],[T/G Khấu hao]]-Data_Dep.12[[#This Row],[Giá trị còn lại 31/12/25]]/Data_Dep.12[[#This Row],[Nguyên giá]]*Data_Dep.12[[#This Row],[T/G Khấu hao]],0)</f>
        <v>13</v>
      </c>
      <c r="X315" s="179">
        <v>82</v>
      </c>
      <c r="Y315" s="175">
        <f>Data_Dep.12[[#This Row],[T/G Khấu hao]]+Data_Dep.12[[#This Row],[Điều chỉnh]]</f>
        <v>120</v>
      </c>
      <c r="Z315" s="180">
        <f>EDATE(Data_Dep.12[[#This Row],[Ngày bắt đầu KH]],Data_Dep.12[[#This Row],[T/G điều chỉnh]])</f>
        <v>49279</v>
      </c>
      <c r="AA315" s="175">
        <f>Data_Dep.12[[#This Row],[T/G điều chỉnh]]-Data_Dep.12[[#This Row],[Số kỳ đã khấu hao]]</f>
        <v>107</v>
      </c>
      <c r="AB315" s="175">
        <f>IFERROR(-Data_Dep.12[[#This Row],[Giá trị còn lại 31/12/25]]/(Data_Dep.12[[#This Row],[T/G điều chỉnh]]-Data_Dep.12[[#This Row],[Số kỳ đã khấu hao]]),0)</f>
        <v>-1844564.6822429907</v>
      </c>
      <c r="AC315" s="181">
        <v>-1844564.6822429907</v>
      </c>
      <c r="AD315" s="181">
        <v>-1844564.6822429907</v>
      </c>
      <c r="AE315" s="181">
        <v>-1844564.6822429907</v>
      </c>
      <c r="AF315" s="181">
        <v>-1844564.6822429907</v>
      </c>
      <c r="AG315" s="181">
        <v>-1844564.6822429907</v>
      </c>
      <c r="AH315" s="181">
        <v>-1844564.6822429907</v>
      </c>
      <c r="AI315" s="181">
        <v>-1844564.6822429907</v>
      </c>
      <c r="AJ315" s="181">
        <v>-1844564.6822429907</v>
      </c>
      <c r="AK315" s="181">
        <v>-1844564.6822429907</v>
      </c>
      <c r="AL315" s="181">
        <v>-1844564.6822429907</v>
      </c>
      <c r="AM315" s="181">
        <v>-1844564.6822429907</v>
      </c>
      <c r="AN315" s="181">
        <v>-1844564.6822429907</v>
      </c>
      <c r="AO315" s="175">
        <f>SUM(Data_Dep.12[[#This Row],[KH_2601]:[KH_2612]])</f>
        <v>-22134776.186915889</v>
      </c>
      <c r="AP315" s="175">
        <f>Data_Dep.12[[#This Row],[Giá trị còn lại 31/12/25]]+Data_Dep.12[[#This Row],[KH LK 2026]]</f>
        <v>175233644.81308413</v>
      </c>
    </row>
    <row r="316" spans="1:42" x14ac:dyDescent="0.3">
      <c r="A316" s="169"/>
      <c r="B316" s="169"/>
      <c r="C316" s="170" t="s">
        <v>357</v>
      </c>
      <c r="D316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6" s="171" t="s">
        <v>1195</v>
      </c>
      <c r="F316" s="170" t="s">
        <v>813</v>
      </c>
      <c r="G316" s="169" t="s">
        <v>1161</v>
      </c>
      <c r="H316" s="170" t="s">
        <v>48</v>
      </c>
      <c r="I316" s="170" t="str">
        <f>_xlfn.XLOOKUP(Data_Dep.12[[#This Row],[Cost center]],MD_Cost_Center[Mã Cost Center],MD_Cost_Center[Tên Cost Center])</f>
        <v>Xưởng sản xuất PET</v>
      </c>
      <c r="J316" s="172">
        <f>_xlfn.XLOOKUP(Data_Dep.12[[#This Row],[Cost center]],MD_Cost_Center[Mã Cost Center],MD_Cost_Center[Work center],"Check")</f>
        <v>0</v>
      </c>
      <c r="K316" s="169" t="str">
        <f>_xlfn.XLOOKUP(Data_Dep.12[[#This Row],[Nhóm tài sản]],MD_Account_Asset_Type[Nhóm tài sản],MD_Account_Asset_Type[Tài khoản KH],"Check")</f>
        <v>6274001905</v>
      </c>
      <c r="L316" s="173">
        <v>45627</v>
      </c>
      <c r="M316" s="174">
        <f>EDATE(Data_Dep.12[[#This Row],[Ngày bắt đầu KH]],Data_Dep.12[[#This Row],[T/G Khấu hao]])</f>
        <v>46844</v>
      </c>
      <c r="N316" s="175">
        <v>40</v>
      </c>
      <c r="O316" s="175">
        <v>341326607</v>
      </c>
      <c r="P316" s="176">
        <v>-85331652</v>
      </c>
      <c r="Q316" s="175">
        <f>Data_Dep.12[[#This Row],[Nguyên giá]]+Data_Dep.12[[#This Row],[KH lũy kế]]</f>
        <v>255994955</v>
      </c>
      <c r="R316" s="177">
        <v>-8533165</v>
      </c>
      <c r="S316" s="177">
        <v>-8533165</v>
      </c>
      <c r="T316" s="177">
        <v>-8533165</v>
      </c>
      <c r="U316" s="177">
        <f>SUM(Data_Dep.12[[#This Row],[KH_2510]:[KH_2512]])</f>
        <v>-25599495</v>
      </c>
      <c r="V316" s="175">
        <f>Data_Dep.12[[#This Row],[Nguyên giá]]+Data_Dep.12[[#This Row],[KH lũy kế]]+Data_Dep.12[[#This Row],[KH_Q4.25]]</f>
        <v>230395460</v>
      </c>
      <c r="W316" s="178">
        <f>ROUND(Data_Dep.12[[#This Row],[T/G Khấu hao]]-Data_Dep.12[[#This Row],[Giá trị còn lại 31/12/25]]/Data_Dep.12[[#This Row],[Nguyên giá]]*Data_Dep.12[[#This Row],[T/G Khấu hao]],0)</f>
        <v>13</v>
      </c>
      <c r="X316" s="179">
        <v>80</v>
      </c>
      <c r="Y316" s="175">
        <f>Data_Dep.12[[#This Row],[T/G Khấu hao]]+Data_Dep.12[[#This Row],[Điều chỉnh]]</f>
        <v>120</v>
      </c>
      <c r="Z316" s="180">
        <f>EDATE(Data_Dep.12[[#This Row],[Ngày bắt đầu KH]],Data_Dep.12[[#This Row],[T/G điều chỉnh]])</f>
        <v>49279</v>
      </c>
      <c r="AA316" s="175">
        <f>Data_Dep.12[[#This Row],[T/G điều chỉnh]]-Data_Dep.12[[#This Row],[Số kỳ đã khấu hao]]</f>
        <v>107</v>
      </c>
      <c r="AB316" s="175">
        <f>IFERROR(-Data_Dep.12[[#This Row],[Giá trị còn lại 31/12/25]]/(Data_Dep.12[[#This Row],[T/G điều chỉnh]]-Data_Dep.12[[#This Row],[Số kỳ đã khấu hao]]),0)</f>
        <v>-2153228.5981308413</v>
      </c>
      <c r="AC316" s="181">
        <v>-2153228.5981308413</v>
      </c>
      <c r="AD316" s="181">
        <v>-2153228.5981308413</v>
      </c>
      <c r="AE316" s="181">
        <v>-2153228.5981308413</v>
      </c>
      <c r="AF316" s="181">
        <v>-2153228.5981308413</v>
      </c>
      <c r="AG316" s="181">
        <v>-2153228.5981308413</v>
      </c>
      <c r="AH316" s="181">
        <v>-2153228.5981308413</v>
      </c>
      <c r="AI316" s="181">
        <v>-2153228.5981308413</v>
      </c>
      <c r="AJ316" s="181">
        <v>-2153228.5981308413</v>
      </c>
      <c r="AK316" s="181">
        <v>-2153228.5981308413</v>
      </c>
      <c r="AL316" s="181">
        <v>-2153228.5981308413</v>
      </c>
      <c r="AM316" s="181">
        <v>-2153228.5981308413</v>
      </c>
      <c r="AN316" s="181">
        <v>-2153228.5981308413</v>
      </c>
      <c r="AO316" s="175">
        <f>SUM(Data_Dep.12[[#This Row],[KH_2601]:[KH_2612]])</f>
        <v>-25838743.177570093</v>
      </c>
      <c r="AP316" s="175">
        <f>Data_Dep.12[[#This Row],[Giá trị còn lại 31/12/25]]+Data_Dep.12[[#This Row],[KH LK 2026]]</f>
        <v>204556716.8224299</v>
      </c>
    </row>
    <row r="317" spans="1:42" x14ac:dyDescent="0.3">
      <c r="A317" s="169"/>
      <c r="B317" s="169"/>
      <c r="C317" s="170" t="s">
        <v>357</v>
      </c>
      <c r="D317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7" s="171" t="s">
        <v>1196</v>
      </c>
      <c r="F317" s="170" t="s">
        <v>814</v>
      </c>
      <c r="G317" s="169" t="s">
        <v>1161</v>
      </c>
      <c r="H317" s="170" t="s">
        <v>48</v>
      </c>
      <c r="I317" s="170" t="str">
        <f>_xlfn.XLOOKUP(Data_Dep.12[[#This Row],[Cost center]],MD_Cost_Center[Mã Cost Center],MD_Cost_Center[Tên Cost Center])</f>
        <v>Xưởng sản xuất PET</v>
      </c>
      <c r="J317" s="172">
        <f>_xlfn.XLOOKUP(Data_Dep.12[[#This Row],[Cost center]],MD_Cost_Center[Mã Cost Center],MD_Cost_Center[Work center],"Check")</f>
        <v>0</v>
      </c>
      <c r="K317" s="169" t="str">
        <f>_xlfn.XLOOKUP(Data_Dep.12[[#This Row],[Nhóm tài sản]],MD_Account_Asset_Type[Nhóm tài sản],MD_Account_Asset_Type[Tài khoản KH],"Check")</f>
        <v>6274001905</v>
      </c>
      <c r="L317" s="173">
        <v>45627</v>
      </c>
      <c r="M317" s="174">
        <f>EDATE(Data_Dep.12[[#This Row],[Ngày bắt đầu KH]],Data_Dep.12[[#This Row],[T/G Khấu hao]])</f>
        <v>47119</v>
      </c>
      <c r="N317" s="175">
        <v>49</v>
      </c>
      <c r="O317" s="175">
        <v>69105000</v>
      </c>
      <c r="P317" s="176">
        <v>-14103061</v>
      </c>
      <c r="Q317" s="175">
        <f>Data_Dep.12[[#This Row],[Nguyên giá]]+Data_Dep.12[[#This Row],[KH lũy kế]]</f>
        <v>55001939</v>
      </c>
      <c r="R317" s="177">
        <v>-1410306</v>
      </c>
      <c r="S317" s="177">
        <v>-1410306</v>
      </c>
      <c r="T317" s="177">
        <v>-1410307</v>
      </c>
      <c r="U317" s="177">
        <f>SUM(Data_Dep.12[[#This Row],[KH_2510]:[KH_2512]])</f>
        <v>-4230919</v>
      </c>
      <c r="V317" s="175">
        <f>Data_Dep.12[[#This Row],[Nguyên giá]]+Data_Dep.12[[#This Row],[KH lũy kế]]+Data_Dep.12[[#This Row],[KH_Q4.25]]</f>
        <v>50771020</v>
      </c>
      <c r="W317" s="178">
        <f>ROUND(Data_Dep.12[[#This Row],[T/G Khấu hao]]-Data_Dep.12[[#This Row],[Giá trị còn lại 31/12/25]]/Data_Dep.12[[#This Row],[Nguyên giá]]*Data_Dep.12[[#This Row],[T/G Khấu hao]],0)</f>
        <v>13</v>
      </c>
      <c r="X317" s="179">
        <v>71</v>
      </c>
      <c r="Y317" s="175">
        <f>Data_Dep.12[[#This Row],[T/G Khấu hao]]+Data_Dep.12[[#This Row],[Điều chỉnh]]</f>
        <v>120</v>
      </c>
      <c r="Z317" s="180">
        <f>EDATE(Data_Dep.12[[#This Row],[Ngày bắt đầu KH]],Data_Dep.12[[#This Row],[T/G điều chỉnh]])</f>
        <v>49279</v>
      </c>
      <c r="AA317" s="175">
        <f>Data_Dep.12[[#This Row],[T/G điều chỉnh]]-Data_Dep.12[[#This Row],[Số kỳ đã khấu hao]]</f>
        <v>107</v>
      </c>
      <c r="AB317" s="175">
        <f>IFERROR(-Data_Dep.12[[#This Row],[Giá trị còn lại 31/12/25]]/(Data_Dep.12[[#This Row],[T/G điều chỉnh]]-Data_Dep.12[[#This Row],[Số kỳ đã khấu hao]]),0)</f>
        <v>-474495.51401869161</v>
      </c>
      <c r="AC317" s="181">
        <v>-474495.51401869161</v>
      </c>
      <c r="AD317" s="181">
        <v>-474495.51401869161</v>
      </c>
      <c r="AE317" s="181">
        <v>-474495.51401869161</v>
      </c>
      <c r="AF317" s="181">
        <v>-474495.51401869161</v>
      </c>
      <c r="AG317" s="181">
        <v>-474495.51401869161</v>
      </c>
      <c r="AH317" s="181">
        <v>-474495.51401869161</v>
      </c>
      <c r="AI317" s="181">
        <v>-474495.51401869161</v>
      </c>
      <c r="AJ317" s="181">
        <v>-474495.51401869161</v>
      </c>
      <c r="AK317" s="181">
        <v>-474495.51401869161</v>
      </c>
      <c r="AL317" s="181">
        <v>-474495.51401869161</v>
      </c>
      <c r="AM317" s="181">
        <v>-474495.51401869161</v>
      </c>
      <c r="AN317" s="181">
        <v>-474495.51401869161</v>
      </c>
      <c r="AO317" s="175">
        <f>SUM(Data_Dep.12[[#This Row],[KH_2601]:[KH_2612]])</f>
        <v>-5693946.1682243012</v>
      </c>
      <c r="AP317" s="175">
        <f>Data_Dep.12[[#This Row],[Giá trị còn lại 31/12/25]]+Data_Dep.12[[#This Row],[KH LK 2026]]</f>
        <v>45077073.831775695</v>
      </c>
    </row>
    <row r="318" spans="1:42" x14ac:dyDescent="0.3">
      <c r="A318" s="169"/>
      <c r="B318" s="169"/>
      <c r="C318" s="170" t="s">
        <v>357</v>
      </c>
      <c r="D318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8" s="171" t="s">
        <v>1197</v>
      </c>
      <c r="F318" s="170" t="s">
        <v>815</v>
      </c>
      <c r="G318" s="169" t="s">
        <v>1161</v>
      </c>
      <c r="H318" s="170" t="s">
        <v>48</v>
      </c>
      <c r="I318" s="170" t="str">
        <f>_xlfn.XLOOKUP(Data_Dep.12[[#This Row],[Cost center]],MD_Cost_Center[Mã Cost Center],MD_Cost_Center[Tên Cost Center])</f>
        <v>Xưởng sản xuất PET</v>
      </c>
      <c r="J318" s="172">
        <f>_xlfn.XLOOKUP(Data_Dep.12[[#This Row],[Cost center]],MD_Cost_Center[Mã Cost Center],MD_Cost_Center[Work center],"Check")</f>
        <v>0</v>
      </c>
      <c r="K318" s="169" t="str">
        <f>_xlfn.XLOOKUP(Data_Dep.12[[#This Row],[Nhóm tài sản]],MD_Account_Asset_Type[Nhóm tài sản],MD_Account_Asset_Type[Tài khoản KH],"Check")</f>
        <v>6274001905</v>
      </c>
      <c r="L318" s="173">
        <v>45627</v>
      </c>
      <c r="M318" s="174">
        <f>EDATE(Data_Dep.12[[#This Row],[Ngày bắt đầu KH]],Data_Dep.12[[#This Row],[T/G Khấu hao]])</f>
        <v>47270</v>
      </c>
      <c r="N318" s="175">
        <v>54</v>
      </c>
      <c r="O318" s="175">
        <v>35432099</v>
      </c>
      <c r="P318" s="176">
        <v>-6561500</v>
      </c>
      <c r="Q318" s="175">
        <f>Data_Dep.12[[#This Row],[Nguyên giá]]+Data_Dep.12[[#This Row],[KH lũy kế]]</f>
        <v>28870599</v>
      </c>
      <c r="R318" s="177">
        <v>-656150</v>
      </c>
      <c r="S318" s="177">
        <v>-656150</v>
      </c>
      <c r="T318" s="177">
        <v>-656150</v>
      </c>
      <c r="U318" s="177">
        <f>SUM(Data_Dep.12[[#This Row],[KH_2510]:[KH_2512]])</f>
        <v>-1968450</v>
      </c>
      <c r="V318" s="175">
        <f>Data_Dep.12[[#This Row],[Nguyên giá]]+Data_Dep.12[[#This Row],[KH lũy kế]]+Data_Dep.12[[#This Row],[KH_Q4.25]]</f>
        <v>26902149</v>
      </c>
      <c r="W318" s="178">
        <f>ROUND(Data_Dep.12[[#This Row],[T/G Khấu hao]]-Data_Dep.12[[#This Row],[Giá trị còn lại 31/12/25]]/Data_Dep.12[[#This Row],[Nguyên giá]]*Data_Dep.12[[#This Row],[T/G Khấu hao]],0)</f>
        <v>13</v>
      </c>
      <c r="X318" s="179">
        <v>66</v>
      </c>
      <c r="Y318" s="175">
        <f>Data_Dep.12[[#This Row],[T/G Khấu hao]]+Data_Dep.12[[#This Row],[Điều chỉnh]]</f>
        <v>120</v>
      </c>
      <c r="Z318" s="180">
        <f>EDATE(Data_Dep.12[[#This Row],[Ngày bắt đầu KH]],Data_Dep.12[[#This Row],[T/G điều chỉnh]])</f>
        <v>49279</v>
      </c>
      <c r="AA318" s="175">
        <f>Data_Dep.12[[#This Row],[T/G điều chỉnh]]-Data_Dep.12[[#This Row],[Số kỳ đã khấu hao]]</f>
        <v>107</v>
      </c>
      <c r="AB318" s="175">
        <f>IFERROR(-Data_Dep.12[[#This Row],[Giá trị còn lại 31/12/25]]/(Data_Dep.12[[#This Row],[T/G điều chỉnh]]-Data_Dep.12[[#This Row],[Số kỳ đã khấu hao]]),0)</f>
        <v>-251421.95327102803</v>
      </c>
      <c r="AC318" s="181">
        <v>-251421.95327102803</v>
      </c>
      <c r="AD318" s="181">
        <v>-251421.95327102803</v>
      </c>
      <c r="AE318" s="181">
        <v>-251421.95327102803</v>
      </c>
      <c r="AF318" s="181">
        <v>-251421.95327102803</v>
      </c>
      <c r="AG318" s="181">
        <v>-251421.95327102803</v>
      </c>
      <c r="AH318" s="181">
        <v>-251421.95327102803</v>
      </c>
      <c r="AI318" s="181">
        <v>-251421.95327102803</v>
      </c>
      <c r="AJ318" s="181">
        <v>-251421.95327102803</v>
      </c>
      <c r="AK318" s="181">
        <v>-251421.95327102803</v>
      </c>
      <c r="AL318" s="181">
        <v>-251421.95327102803</v>
      </c>
      <c r="AM318" s="181">
        <v>-251421.95327102803</v>
      </c>
      <c r="AN318" s="181">
        <v>-251421.95327102803</v>
      </c>
      <c r="AO318" s="175">
        <f>SUM(Data_Dep.12[[#This Row],[KH_2601]:[KH_2612]])</f>
        <v>-3017063.439252337</v>
      </c>
      <c r="AP318" s="175">
        <f>Data_Dep.12[[#This Row],[Giá trị còn lại 31/12/25]]+Data_Dep.12[[#This Row],[KH LK 2026]]</f>
        <v>23885085.560747664</v>
      </c>
    </row>
    <row r="319" spans="1:42" x14ac:dyDescent="0.3">
      <c r="A319" s="169"/>
      <c r="B319" s="169"/>
      <c r="C319" s="170" t="s">
        <v>357</v>
      </c>
      <c r="D319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19" s="171" t="s">
        <v>1198</v>
      </c>
      <c r="F319" s="170" t="s">
        <v>816</v>
      </c>
      <c r="G319" s="169" t="s">
        <v>1161</v>
      </c>
      <c r="H319" s="170" t="s">
        <v>48</v>
      </c>
      <c r="I319" s="170" t="str">
        <f>_xlfn.XLOOKUP(Data_Dep.12[[#This Row],[Cost center]],MD_Cost_Center[Mã Cost Center],MD_Cost_Center[Tên Cost Center])</f>
        <v>Xưởng sản xuất PET</v>
      </c>
      <c r="J319" s="172">
        <f>_xlfn.XLOOKUP(Data_Dep.12[[#This Row],[Cost center]],MD_Cost_Center[Mã Cost Center],MD_Cost_Center[Work center],"Check")</f>
        <v>0</v>
      </c>
      <c r="K319" s="169" t="str">
        <f>_xlfn.XLOOKUP(Data_Dep.12[[#This Row],[Nhóm tài sản]],MD_Account_Asset_Type[Nhóm tài sản],MD_Account_Asset_Type[Tài khoản KH],"Check")</f>
        <v>6274001905</v>
      </c>
      <c r="L319" s="173">
        <v>45627</v>
      </c>
      <c r="M319" s="174">
        <f>EDATE(Data_Dep.12[[#This Row],[Ngày bắt đầu KH]],Data_Dep.12[[#This Row],[T/G Khấu hao]])</f>
        <v>47270</v>
      </c>
      <c r="N319" s="175">
        <v>54</v>
      </c>
      <c r="O319" s="175">
        <v>35432099</v>
      </c>
      <c r="P319" s="176">
        <v>-6561500</v>
      </c>
      <c r="Q319" s="175">
        <f>Data_Dep.12[[#This Row],[Nguyên giá]]+Data_Dep.12[[#This Row],[KH lũy kế]]</f>
        <v>28870599</v>
      </c>
      <c r="R319" s="177">
        <v>-656150</v>
      </c>
      <c r="S319" s="177">
        <v>-656150</v>
      </c>
      <c r="T319" s="177">
        <v>-656150</v>
      </c>
      <c r="U319" s="177">
        <f>SUM(Data_Dep.12[[#This Row],[KH_2510]:[KH_2512]])</f>
        <v>-1968450</v>
      </c>
      <c r="V319" s="175">
        <f>Data_Dep.12[[#This Row],[Nguyên giá]]+Data_Dep.12[[#This Row],[KH lũy kế]]+Data_Dep.12[[#This Row],[KH_Q4.25]]</f>
        <v>26902149</v>
      </c>
      <c r="W319" s="178">
        <f>ROUND(Data_Dep.12[[#This Row],[T/G Khấu hao]]-Data_Dep.12[[#This Row],[Giá trị còn lại 31/12/25]]/Data_Dep.12[[#This Row],[Nguyên giá]]*Data_Dep.12[[#This Row],[T/G Khấu hao]],0)</f>
        <v>13</v>
      </c>
      <c r="X319" s="179">
        <v>66</v>
      </c>
      <c r="Y319" s="175">
        <f>Data_Dep.12[[#This Row],[T/G Khấu hao]]+Data_Dep.12[[#This Row],[Điều chỉnh]]</f>
        <v>120</v>
      </c>
      <c r="Z319" s="180">
        <f>EDATE(Data_Dep.12[[#This Row],[Ngày bắt đầu KH]],Data_Dep.12[[#This Row],[T/G điều chỉnh]])</f>
        <v>49279</v>
      </c>
      <c r="AA319" s="175">
        <f>Data_Dep.12[[#This Row],[T/G điều chỉnh]]-Data_Dep.12[[#This Row],[Số kỳ đã khấu hao]]</f>
        <v>107</v>
      </c>
      <c r="AB319" s="175">
        <f>IFERROR(-Data_Dep.12[[#This Row],[Giá trị còn lại 31/12/25]]/(Data_Dep.12[[#This Row],[T/G điều chỉnh]]-Data_Dep.12[[#This Row],[Số kỳ đã khấu hao]]),0)</f>
        <v>-251421.95327102803</v>
      </c>
      <c r="AC319" s="181">
        <v>-251421.95327102803</v>
      </c>
      <c r="AD319" s="181">
        <v>-251421.95327102803</v>
      </c>
      <c r="AE319" s="181">
        <v>-251421.95327102803</v>
      </c>
      <c r="AF319" s="181">
        <v>-251421.95327102803</v>
      </c>
      <c r="AG319" s="181">
        <v>-251421.95327102803</v>
      </c>
      <c r="AH319" s="181">
        <v>-251421.95327102803</v>
      </c>
      <c r="AI319" s="181">
        <v>-251421.95327102803</v>
      </c>
      <c r="AJ319" s="181">
        <v>-251421.95327102803</v>
      </c>
      <c r="AK319" s="181">
        <v>-251421.95327102803</v>
      </c>
      <c r="AL319" s="181">
        <v>-251421.95327102803</v>
      </c>
      <c r="AM319" s="181">
        <v>-251421.95327102803</v>
      </c>
      <c r="AN319" s="181">
        <v>-251421.95327102803</v>
      </c>
      <c r="AO319" s="175">
        <f>SUM(Data_Dep.12[[#This Row],[KH_2601]:[KH_2612]])</f>
        <v>-3017063.439252337</v>
      </c>
      <c r="AP319" s="175">
        <f>Data_Dep.12[[#This Row],[Giá trị còn lại 31/12/25]]+Data_Dep.12[[#This Row],[KH LK 2026]]</f>
        <v>23885085.560747664</v>
      </c>
    </row>
    <row r="320" spans="1:42" x14ac:dyDescent="0.3">
      <c r="A320" s="169"/>
      <c r="B320" s="169"/>
      <c r="C320" s="170" t="s">
        <v>357</v>
      </c>
      <c r="D320" s="169" t="str">
        <f>_xlfn.XLOOKUP(Data_Dep.12[[#This Row],[Nhóm tài sản]],MD_Account_Asset_Type[Nhóm tài sản],MD_Account_Asset_Type[Tên Nhóm tài sản])</f>
        <v>TSCĐ thuê TC: Phương tiện vận tải, truyền dẫn - SX 627</v>
      </c>
      <c r="E320" s="171" t="s">
        <v>1199</v>
      </c>
      <c r="F320" s="170" t="s">
        <v>817</v>
      </c>
      <c r="G320" s="169" t="s">
        <v>1161</v>
      </c>
      <c r="H320" s="170" t="s">
        <v>48</v>
      </c>
      <c r="I320" s="170" t="str">
        <f>_xlfn.XLOOKUP(Data_Dep.12[[#This Row],[Cost center]],MD_Cost_Center[Mã Cost Center],MD_Cost_Center[Tên Cost Center])</f>
        <v>Xưởng sản xuất PET</v>
      </c>
      <c r="J320" s="172">
        <f>_xlfn.XLOOKUP(Data_Dep.12[[#This Row],[Cost center]],MD_Cost_Center[Mã Cost Center],MD_Cost_Center[Work center],"Check")</f>
        <v>0</v>
      </c>
      <c r="K320" s="169" t="str">
        <f>_xlfn.XLOOKUP(Data_Dep.12[[#This Row],[Nhóm tài sản]],MD_Account_Asset_Type[Nhóm tài sản],MD_Account_Asset_Type[Tài khoản KH],"Check")</f>
        <v>6274001905</v>
      </c>
      <c r="L320" s="173">
        <v>45627</v>
      </c>
      <c r="M320" s="174">
        <f>EDATE(Data_Dep.12[[#This Row],[Ngày bắt đầu KH]],Data_Dep.12[[#This Row],[T/G Khấu hao]])</f>
        <v>47239</v>
      </c>
      <c r="N320" s="175">
        <v>53</v>
      </c>
      <c r="O320" s="175">
        <v>34799383</v>
      </c>
      <c r="P320" s="176">
        <v>-6565921</v>
      </c>
      <c r="Q320" s="175">
        <f>Data_Dep.12[[#This Row],[Nguyên giá]]+Data_Dep.12[[#This Row],[KH lũy kế]]</f>
        <v>28233462</v>
      </c>
      <c r="R320" s="177">
        <v>-656592</v>
      </c>
      <c r="S320" s="177">
        <v>-656592</v>
      </c>
      <c r="T320" s="177">
        <v>-656593</v>
      </c>
      <c r="U320" s="177">
        <f>SUM(Data_Dep.12[[#This Row],[KH_2510]:[KH_2512]])</f>
        <v>-1969777</v>
      </c>
      <c r="V320" s="175">
        <f>Data_Dep.12[[#This Row],[Nguyên giá]]+Data_Dep.12[[#This Row],[KH lũy kế]]+Data_Dep.12[[#This Row],[KH_Q4.25]]</f>
        <v>26263685</v>
      </c>
      <c r="W320" s="178">
        <f>ROUND(Data_Dep.12[[#This Row],[T/G Khấu hao]]-Data_Dep.12[[#This Row],[Giá trị còn lại 31/12/25]]/Data_Dep.12[[#This Row],[Nguyên giá]]*Data_Dep.12[[#This Row],[T/G Khấu hao]],0)</f>
        <v>13</v>
      </c>
      <c r="X320" s="179">
        <v>67</v>
      </c>
      <c r="Y320" s="175">
        <f>Data_Dep.12[[#This Row],[T/G Khấu hao]]+Data_Dep.12[[#This Row],[Điều chỉnh]]</f>
        <v>120</v>
      </c>
      <c r="Z320" s="180">
        <f>EDATE(Data_Dep.12[[#This Row],[Ngày bắt đầu KH]],Data_Dep.12[[#This Row],[T/G điều chỉnh]])</f>
        <v>49279</v>
      </c>
      <c r="AA320" s="175">
        <f>Data_Dep.12[[#This Row],[T/G điều chỉnh]]-Data_Dep.12[[#This Row],[Số kỳ đã khấu hao]]</f>
        <v>107</v>
      </c>
      <c r="AB320" s="175">
        <f>IFERROR(-Data_Dep.12[[#This Row],[Giá trị còn lại 31/12/25]]/(Data_Dep.12[[#This Row],[T/G điều chỉnh]]-Data_Dep.12[[#This Row],[Số kỳ đã khấu hao]]),0)</f>
        <v>-245455</v>
      </c>
      <c r="AC320" s="181">
        <v>-245455</v>
      </c>
      <c r="AD320" s="181">
        <v>-245455</v>
      </c>
      <c r="AE320" s="181">
        <v>-245455</v>
      </c>
      <c r="AF320" s="181">
        <v>-245455</v>
      </c>
      <c r="AG320" s="181">
        <v>-245455</v>
      </c>
      <c r="AH320" s="181">
        <v>-245455</v>
      </c>
      <c r="AI320" s="181">
        <v>-245455</v>
      </c>
      <c r="AJ320" s="181">
        <v>-245455</v>
      </c>
      <c r="AK320" s="181">
        <v>-245455</v>
      </c>
      <c r="AL320" s="181">
        <v>-245455</v>
      </c>
      <c r="AM320" s="181">
        <v>-245455</v>
      </c>
      <c r="AN320" s="181">
        <v>-245455</v>
      </c>
      <c r="AO320" s="175">
        <f>SUM(Data_Dep.12[[#This Row],[KH_2601]:[KH_2612]])</f>
        <v>-2945460</v>
      </c>
      <c r="AP320" s="175">
        <f>Data_Dep.12[[#This Row],[Giá trị còn lại 31/12/25]]+Data_Dep.12[[#This Row],[KH LK 2026]]</f>
        <v>23318225</v>
      </c>
    </row>
    <row r="321" spans="1:42" x14ac:dyDescent="0.3">
      <c r="A321" s="169"/>
      <c r="B321" s="169"/>
      <c r="C321" s="170" t="s">
        <v>371</v>
      </c>
      <c r="D321" s="169" t="str">
        <f>_xlfn.XLOOKUP(Data_Dep.12[[#This Row],[Nhóm tài sản]],MD_Account_Asset_Type[Nhóm tài sản],MD_Account_Asset_Type[Tên Nhóm tài sản])</f>
        <v>TSCĐ thuê TC: Phương tiện vận tải, truyền dẫn - BH 641</v>
      </c>
      <c r="E321" s="171" t="s">
        <v>1200</v>
      </c>
      <c r="F321" s="170" t="s">
        <v>818</v>
      </c>
      <c r="G321" s="169" t="s">
        <v>1161</v>
      </c>
      <c r="H321" s="170" t="s">
        <v>40</v>
      </c>
      <c r="I321" s="170" t="str">
        <f>_xlfn.XLOOKUP(Data_Dep.12[[#This Row],[Cost center]],MD_Cost_Center[Mã Cost Center],MD_Cost_Center[Tên Cost Center])</f>
        <v>Kinh doanh</v>
      </c>
      <c r="J321" s="172">
        <f>_xlfn.XLOOKUP(Data_Dep.12[[#This Row],[Cost center]],MD_Cost_Center[Mã Cost Center],MD_Cost_Center[Work center],"Check")</f>
        <v>0</v>
      </c>
      <c r="K321" s="169" t="str">
        <f>_xlfn.XLOOKUP(Data_Dep.12[[#This Row],[Nhóm tài sản]],MD_Account_Asset_Type[Nhóm tài sản],MD_Account_Asset_Type[Tài khoản KH],"Check")</f>
        <v>6414001905</v>
      </c>
      <c r="L321" s="173">
        <v>45627</v>
      </c>
      <c r="M321" s="174">
        <f>EDATE(Data_Dep.12[[#This Row],[Ngày bắt đầu KH]],Data_Dep.12[[#This Row],[T/G Khấu hao]])</f>
        <v>46508</v>
      </c>
      <c r="N321" s="175">
        <v>29</v>
      </c>
      <c r="O321" s="175">
        <v>201500000</v>
      </c>
      <c r="P321" s="176">
        <v>-69482759</v>
      </c>
      <c r="Q321" s="175">
        <f>Data_Dep.12[[#This Row],[Nguyên giá]]+Data_Dep.12[[#This Row],[KH lũy kế]]</f>
        <v>132017241</v>
      </c>
      <c r="R321" s="177">
        <v>-6948276</v>
      </c>
      <c r="S321" s="177">
        <v>-6948275</v>
      </c>
      <c r="T321" s="177">
        <v>-6948276</v>
      </c>
      <c r="U321" s="177">
        <f>SUM(Data_Dep.12[[#This Row],[KH_2510]:[KH_2512]])</f>
        <v>-20844827</v>
      </c>
      <c r="V321" s="175">
        <f>Data_Dep.12[[#This Row],[Nguyên giá]]+Data_Dep.12[[#This Row],[KH lũy kế]]+Data_Dep.12[[#This Row],[KH_Q4.25]]</f>
        <v>111172414</v>
      </c>
      <c r="W321" s="178">
        <f>ROUND(Data_Dep.12[[#This Row],[T/G Khấu hao]]-Data_Dep.12[[#This Row],[Giá trị còn lại 31/12/25]]/Data_Dep.12[[#This Row],[Nguyên giá]]*Data_Dep.12[[#This Row],[T/G Khấu hao]],0)</f>
        <v>13</v>
      </c>
      <c r="X321" s="179">
        <v>91</v>
      </c>
      <c r="Y321" s="175">
        <f>Data_Dep.12[[#This Row],[T/G Khấu hao]]+Data_Dep.12[[#This Row],[Điều chỉnh]]</f>
        <v>120</v>
      </c>
      <c r="Z321" s="180">
        <f>EDATE(Data_Dep.12[[#This Row],[Ngày bắt đầu KH]],Data_Dep.12[[#This Row],[T/G điều chỉnh]])</f>
        <v>49279</v>
      </c>
      <c r="AA321" s="175">
        <f>Data_Dep.12[[#This Row],[T/G điều chỉnh]]-Data_Dep.12[[#This Row],[Số kỳ đã khấu hao]]</f>
        <v>107</v>
      </c>
      <c r="AB321" s="175">
        <f>IFERROR(-Data_Dep.12[[#This Row],[Giá trị còn lại 31/12/25]]/(Data_Dep.12[[#This Row],[T/G điều chỉnh]]-Data_Dep.12[[#This Row],[Số kỳ đã khấu hao]]),0)</f>
        <v>-1038994.5233644859</v>
      </c>
      <c r="AC321" s="181">
        <v>-1038994.5233644859</v>
      </c>
      <c r="AD321" s="181">
        <v>-1038994.5233644859</v>
      </c>
      <c r="AE321" s="181">
        <v>-1038994.5233644859</v>
      </c>
      <c r="AF321" s="181">
        <v>-1038994.5233644859</v>
      </c>
      <c r="AG321" s="181">
        <v>-1038994.5233644859</v>
      </c>
      <c r="AH321" s="181">
        <v>-1038994.5233644859</v>
      </c>
      <c r="AI321" s="181">
        <v>-1038994.5233644859</v>
      </c>
      <c r="AJ321" s="181">
        <v>-1038994.5233644859</v>
      </c>
      <c r="AK321" s="181">
        <v>-1038994.5233644859</v>
      </c>
      <c r="AL321" s="181">
        <v>-1038994.5233644859</v>
      </c>
      <c r="AM321" s="181">
        <v>-1038994.5233644859</v>
      </c>
      <c r="AN321" s="181">
        <v>-1038994.5233644859</v>
      </c>
      <c r="AO321" s="175">
        <f>SUM(Data_Dep.12[[#This Row],[KH_2601]:[KH_2612]])</f>
        <v>-12467934.280373832</v>
      </c>
      <c r="AP321" s="175">
        <f>Data_Dep.12[[#This Row],[Giá trị còn lại 31/12/25]]+Data_Dep.12[[#This Row],[KH LK 2026]]</f>
        <v>98704479.719626173</v>
      </c>
    </row>
    <row r="322" spans="1:42" x14ac:dyDescent="0.3">
      <c r="A322" s="169"/>
      <c r="B322" s="169"/>
      <c r="C322" s="170" t="s">
        <v>405</v>
      </c>
      <c r="D322" s="169" t="str">
        <f>_xlfn.XLOOKUP(Data_Dep.12[[#This Row],[Nhóm tài sản]],MD_Account_Asset_Type[Nhóm tài sản],MD_Account_Asset_Type[Tên Nhóm tài sản])</f>
        <v>Phần mềm máy vi tính - QL 642</v>
      </c>
      <c r="E322" s="171" t="s">
        <v>1207</v>
      </c>
      <c r="F322" s="170" t="s">
        <v>819</v>
      </c>
      <c r="G322" s="169" t="s">
        <v>830</v>
      </c>
      <c r="H322" s="170" t="s">
        <v>41</v>
      </c>
      <c r="I322" s="170" t="str">
        <f>_xlfn.XLOOKUP(Data_Dep.12[[#This Row],[Cost center]],MD_Cost_Center[Mã Cost Center],MD_Cost_Center[Tên Cost Center])</f>
        <v>Cung ứng</v>
      </c>
      <c r="J322" s="172">
        <f>_xlfn.XLOOKUP(Data_Dep.12[[#This Row],[Cost center]],MD_Cost_Center[Mã Cost Center],MD_Cost_Center[Work center],"Check")</f>
        <v>0</v>
      </c>
      <c r="K322" s="169" t="str">
        <f>_xlfn.XLOOKUP(Data_Dep.12[[#This Row],[Nhóm tài sản]],MD_Account_Asset_Type[Nhóm tài sản],MD_Account_Asset_Type[Tài khoản KH],"Check")</f>
        <v>6424001907</v>
      </c>
      <c r="L322" s="173">
        <v>45748</v>
      </c>
      <c r="M322" s="174">
        <f>EDATE(Data_Dep.12[[#This Row],[Ngày bắt đầu KH]],Data_Dep.12[[#This Row],[T/G Khấu hao]])</f>
        <v>46844</v>
      </c>
      <c r="N322" s="175">
        <v>36</v>
      </c>
      <c r="O322" s="175">
        <v>487610783</v>
      </c>
      <c r="P322" s="176">
        <v>-81268464</v>
      </c>
      <c r="Q322" s="175">
        <f>Data_Dep.12[[#This Row],[Nguyên giá]]+Data_Dep.12[[#This Row],[KH lũy kế]]</f>
        <v>406342319</v>
      </c>
      <c r="R322" s="177">
        <v>-13544744</v>
      </c>
      <c r="S322" s="177">
        <v>-13544744</v>
      </c>
      <c r="T322" s="177">
        <v>-13544744</v>
      </c>
      <c r="U322" s="177">
        <f>SUM(Data_Dep.12[[#This Row],[KH_2510]:[KH_2512]])</f>
        <v>-40634232</v>
      </c>
      <c r="V322" s="175">
        <f>Data_Dep.12[[#This Row],[Nguyên giá]]+Data_Dep.12[[#This Row],[KH lũy kế]]+Data_Dep.12[[#This Row],[KH_Q4.25]]</f>
        <v>365708087</v>
      </c>
      <c r="W322" s="178">
        <f>ROUND(Data_Dep.12[[#This Row],[T/G Khấu hao]]-Data_Dep.12[[#This Row],[Giá trị còn lại 31/12/25]]/Data_Dep.12[[#This Row],[Nguyên giá]]*Data_Dep.12[[#This Row],[T/G Khấu hao]],0)</f>
        <v>9</v>
      </c>
      <c r="X322" s="179">
        <v>60</v>
      </c>
      <c r="Y322" s="175">
        <f>Data_Dep.12[[#This Row],[T/G Khấu hao]]+Data_Dep.12[[#This Row],[Điều chỉnh]]</f>
        <v>96</v>
      </c>
      <c r="Z322" s="180">
        <f>EDATE(Data_Dep.12[[#This Row],[Ngày bắt đầu KH]],Data_Dep.12[[#This Row],[T/G điều chỉnh]])</f>
        <v>48670</v>
      </c>
      <c r="AA322" s="175">
        <f>Data_Dep.12[[#This Row],[T/G điều chỉnh]]-Data_Dep.12[[#This Row],[Số kỳ đã khấu hao]]</f>
        <v>87</v>
      </c>
      <c r="AB322" s="175">
        <f>IFERROR(-Data_Dep.12[[#This Row],[Giá trị còn lại 31/12/25]]/(Data_Dep.12[[#This Row],[T/G điều chỉnh]]-Data_Dep.12[[#This Row],[Số kỳ đã khấu hao]]),0)</f>
        <v>-4203541.2298850575</v>
      </c>
      <c r="AC322" s="181">
        <v>-4203541.2298850575</v>
      </c>
      <c r="AD322" s="181">
        <v>-4203541.2298850575</v>
      </c>
      <c r="AE322" s="181">
        <v>-4203541.2298850575</v>
      </c>
      <c r="AF322" s="181">
        <v>-4203541.2298850575</v>
      </c>
      <c r="AG322" s="181">
        <v>-4203541.2298850575</v>
      </c>
      <c r="AH322" s="181">
        <v>-4203541.2298850575</v>
      </c>
      <c r="AI322" s="181">
        <v>-4203541.2298850575</v>
      </c>
      <c r="AJ322" s="181">
        <v>-4203541.2298850575</v>
      </c>
      <c r="AK322" s="181">
        <v>-4203541.2298850575</v>
      </c>
      <c r="AL322" s="181">
        <v>-4203541.2298850575</v>
      </c>
      <c r="AM322" s="181">
        <v>-4203541.2298850575</v>
      </c>
      <c r="AN322" s="181">
        <v>-4203541.2298850575</v>
      </c>
      <c r="AO322" s="175">
        <f>SUM(Data_Dep.12[[#This Row],[KH_2601]:[KH_2612]])</f>
        <v>-50442494.758620687</v>
      </c>
      <c r="AP322" s="175">
        <f>Data_Dep.12[[#This Row],[Giá trị còn lại 31/12/25]]+Data_Dep.12[[#This Row],[KH LK 2026]]</f>
        <v>315265592.24137932</v>
      </c>
    </row>
    <row r="323" spans="1:42" x14ac:dyDescent="0.3">
      <c r="A323" s="169"/>
      <c r="B323" s="169"/>
      <c r="C323" s="170" t="s">
        <v>404</v>
      </c>
      <c r="D323" s="169" t="str">
        <f>_xlfn.XLOOKUP(Data_Dep.12[[#This Row],[Nhóm tài sản]],MD_Account_Asset_Type[Nhóm tài sản],MD_Account_Asset_Type[Tên Nhóm tài sản])</f>
        <v>Phần mềm máy vi tính - SX 627</v>
      </c>
      <c r="E323" s="171" t="s">
        <v>1201</v>
      </c>
      <c r="F323" s="170" t="s">
        <v>820</v>
      </c>
      <c r="G323" s="169" t="s">
        <v>830</v>
      </c>
      <c r="H323" s="170" t="s">
        <v>45</v>
      </c>
      <c r="I323" s="170" t="str">
        <f>_xlfn.XLOOKUP(Data_Dep.12[[#This Row],[Cost center]],MD_Cost_Center[Mã Cost Center],MD_Cost_Center[Tên Cost Center])</f>
        <v>Kỹ thuật</v>
      </c>
      <c r="J323" s="172">
        <f>_xlfn.XLOOKUP(Data_Dep.12[[#This Row],[Cost center]],MD_Cost_Center[Mã Cost Center],MD_Cost_Center[Work center],"Check")</f>
        <v>0</v>
      </c>
      <c r="K323" s="169" t="str">
        <f>_xlfn.XLOOKUP(Data_Dep.12[[#This Row],[Nhóm tài sản]],MD_Account_Asset_Type[Nhóm tài sản],MD_Account_Asset_Type[Tài khoản KH],"Check")</f>
        <v>6274001907</v>
      </c>
      <c r="L323" s="173">
        <v>45139</v>
      </c>
      <c r="M323" s="174">
        <f>EDATE(Data_Dep.12[[#This Row],[Ngày bắt đầu KH]],Data_Dep.12[[#This Row],[T/G Khấu hao]])</f>
        <v>46784</v>
      </c>
      <c r="N323" s="175">
        <v>54</v>
      </c>
      <c r="O323" s="175">
        <v>53870000</v>
      </c>
      <c r="P323" s="176">
        <v>-25937407</v>
      </c>
      <c r="Q323" s="175">
        <f>Data_Dep.12[[#This Row],[Nguyên giá]]+Data_Dep.12[[#This Row],[KH lũy kế]]</f>
        <v>27932593</v>
      </c>
      <c r="R323" s="177">
        <v>-997593</v>
      </c>
      <c r="S323" s="177">
        <v>-997593</v>
      </c>
      <c r="T323" s="177">
        <v>-997592</v>
      </c>
      <c r="U323" s="177">
        <f>SUM(Data_Dep.12[[#This Row],[KH_2510]:[KH_2512]])</f>
        <v>-2992778</v>
      </c>
      <c r="V323" s="175">
        <f>Data_Dep.12[[#This Row],[Nguyên giá]]+Data_Dep.12[[#This Row],[KH lũy kế]]+Data_Dep.12[[#This Row],[KH_Q4.25]]</f>
        <v>24939815</v>
      </c>
      <c r="W323" s="178">
        <f>ROUND(Data_Dep.12[[#This Row],[T/G Khấu hao]]-Data_Dep.12[[#This Row],[Giá trị còn lại 31/12/25]]/Data_Dep.12[[#This Row],[Nguyên giá]]*Data_Dep.12[[#This Row],[T/G Khấu hao]],0)</f>
        <v>29</v>
      </c>
      <c r="X323" s="179">
        <v>42</v>
      </c>
      <c r="Y323" s="175">
        <f>Data_Dep.12[[#This Row],[T/G Khấu hao]]+Data_Dep.12[[#This Row],[Điều chỉnh]]</f>
        <v>96</v>
      </c>
      <c r="Z323" s="180">
        <f>EDATE(Data_Dep.12[[#This Row],[Ngày bắt đầu KH]],Data_Dep.12[[#This Row],[T/G điều chỉnh]])</f>
        <v>48061</v>
      </c>
      <c r="AA323" s="175">
        <f>Data_Dep.12[[#This Row],[T/G điều chỉnh]]-Data_Dep.12[[#This Row],[Số kỳ đã khấu hao]]</f>
        <v>67</v>
      </c>
      <c r="AB323" s="175">
        <f>IFERROR(-Data_Dep.12[[#This Row],[Giá trị còn lại 31/12/25]]/(Data_Dep.12[[#This Row],[T/G điều chỉnh]]-Data_Dep.12[[#This Row],[Số kỳ đã khấu hao]]),0)</f>
        <v>-372236.04477611941</v>
      </c>
      <c r="AC323" s="181">
        <v>-372236.04477611941</v>
      </c>
      <c r="AD323" s="181">
        <v>-372236.04477611941</v>
      </c>
      <c r="AE323" s="181">
        <v>-372236.04477611941</v>
      </c>
      <c r="AF323" s="181">
        <v>-372236.04477611941</v>
      </c>
      <c r="AG323" s="181">
        <v>-372236.04477611941</v>
      </c>
      <c r="AH323" s="181">
        <v>-372236.04477611941</v>
      </c>
      <c r="AI323" s="181">
        <v>-372236.04477611941</v>
      </c>
      <c r="AJ323" s="181">
        <v>-372236.04477611941</v>
      </c>
      <c r="AK323" s="181">
        <v>-372236.04477611941</v>
      </c>
      <c r="AL323" s="181">
        <v>-372236.04477611941</v>
      </c>
      <c r="AM323" s="181">
        <v>-372236.04477611941</v>
      </c>
      <c r="AN323" s="181">
        <v>-372236.04477611941</v>
      </c>
      <c r="AO323" s="175">
        <f>SUM(Data_Dep.12[[#This Row],[KH_2601]:[KH_2612]])</f>
        <v>-4466832.5373134324</v>
      </c>
      <c r="AP323" s="175">
        <f>Data_Dep.12[[#This Row],[Giá trị còn lại 31/12/25]]+Data_Dep.12[[#This Row],[KH LK 2026]]</f>
        <v>20472982.462686568</v>
      </c>
    </row>
    <row r="324" spans="1:42" x14ac:dyDescent="0.3">
      <c r="A324" s="169"/>
      <c r="B324" s="169"/>
      <c r="C324" s="170" t="s">
        <v>406</v>
      </c>
      <c r="D324" s="169" t="str">
        <f>_xlfn.XLOOKUP(Data_Dep.12[[#This Row],[Nhóm tài sản]],MD_Account_Asset_Type[Nhóm tài sản],MD_Account_Asset_Type[Tên Nhóm tài sản])</f>
        <v>Phần mềm máy vi tính - BH 641</v>
      </c>
      <c r="E324" s="171" t="s">
        <v>1206</v>
      </c>
      <c r="F324" s="170" t="s">
        <v>821</v>
      </c>
      <c r="G324" s="169" t="s">
        <v>830</v>
      </c>
      <c r="H324" s="170" t="s">
        <v>40</v>
      </c>
      <c r="I324" s="170" t="str">
        <f>_xlfn.XLOOKUP(Data_Dep.12[[#This Row],[Cost center]],MD_Cost_Center[Mã Cost Center],MD_Cost_Center[Tên Cost Center])</f>
        <v>Kinh doanh</v>
      </c>
      <c r="J324" s="172">
        <f>_xlfn.XLOOKUP(Data_Dep.12[[#This Row],[Cost center]],MD_Cost_Center[Mã Cost Center],MD_Cost_Center[Work center],"Check")</f>
        <v>0</v>
      </c>
      <c r="K324" s="169" t="str">
        <f>_xlfn.XLOOKUP(Data_Dep.12[[#This Row],[Nhóm tài sản]],MD_Account_Asset_Type[Nhóm tài sản],MD_Account_Asset_Type[Tài khoản KH],"Check")</f>
        <v>6414001907</v>
      </c>
      <c r="L324" s="173">
        <v>45931</v>
      </c>
      <c r="M324" s="174">
        <f>EDATE(Data_Dep.12[[#This Row],[Ngày bắt đầu KH]],Data_Dep.12[[#This Row],[T/G Khấu hao]])</f>
        <v>47392</v>
      </c>
      <c r="N324" s="175">
        <v>48</v>
      </c>
      <c r="O324" s="175">
        <v>1938493958</v>
      </c>
      <c r="P324" s="176">
        <v>0</v>
      </c>
      <c r="Q324" s="175">
        <f>Data_Dep.12[[#This Row],[Nguyên giá]]+Data_Dep.12[[#This Row],[KH lũy kế]]</f>
        <v>1938493958</v>
      </c>
      <c r="R324" s="177">
        <v>-40385291</v>
      </c>
      <c r="S324" s="177">
        <v>-40385291</v>
      </c>
      <c r="T324" s="177">
        <v>-40385290</v>
      </c>
      <c r="U324" s="177">
        <f>SUM(Data_Dep.12[[#This Row],[KH_2510]:[KH_2512]])</f>
        <v>-121155872</v>
      </c>
      <c r="V324" s="175">
        <f>Data_Dep.12[[#This Row],[Nguyên giá]]+Data_Dep.12[[#This Row],[KH lũy kế]]+Data_Dep.12[[#This Row],[KH_Q4.25]]</f>
        <v>1817338086</v>
      </c>
      <c r="W324" s="178">
        <f>ROUND(Data_Dep.12[[#This Row],[T/G Khấu hao]]-Data_Dep.12[[#This Row],[Giá trị còn lại 31/12/25]]/Data_Dep.12[[#This Row],[Nguyên giá]]*Data_Dep.12[[#This Row],[T/G Khấu hao]],0)</f>
        <v>3</v>
      </c>
      <c r="X324" s="179">
        <v>48</v>
      </c>
      <c r="Y324" s="175">
        <f>Data_Dep.12[[#This Row],[T/G Khấu hao]]+Data_Dep.12[[#This Row],[Điều chỉnh]]</f>
        <v>96</v>
      </c>
      <c r="Z324" s="180">
        <f>EDATE(Data_Dep.12[[#This Row],[Ngày bắt đầu KH]],Data_Dep.12[[#This Row],[T/G điều chỉnh]])</f>
        <v>48853</v>
      </c>
      <c r="AA324" s="175">
        <f>Data_Dep.12[[#This Row],[T/G điều chỉnh]]-Data_Dep.12[[#This Row],[Số kỳ đã khấu hao]]</f>
        <v>93</v>
      </c>
      <c r="AB324" s="175">
        <f>IFERROR(-Data_Dep.12[[#This Row],[Giá trị còn lại 31/12/25]]/(Data_Dep.12[[#This Row],[T/G điều chỉnh]]-Data_Dep.12[[#This Row],[Số kỳ đã khấu hao]]),0)</f>
        <v>-19541269.741935484</v>
      </c>
      <c r="AC324" s="181">
        <v>-19541269.741935484</v>
      </c>
      <c r="AD324" s="181">
        <v>-19541269.741935484</v>
      </c>
      <c r="AE324" s="181">
        <v>-19541269.741935484</v>
      </c>
      <c r="AF324" s="181">
        <v>-19541269.741935484</v>
      </c>
      <c r="AG324" s="181">
        <v>-19541269.741935484</v>
      </c>
      <c r="AH324" s="181">
        <v>-19541269.741935484</v>
      </c>
      <c r="AI324" s="181">
        <v>-19541269.741935484</v>
      </c>
      <c r="AJ324" s="181">
        <v>-19541269.741935484</v>
      </c>
      <c r="AK324" s="181">
        <v>-19541269.741935484</v>
      </c>
      <c r="AL324" s="181">
        <v>-19541269.741935484</v>
      </c>
      <c r="AM324" s="181">
        <v>-19541269.741935484</v>
      </c>
      <c r="AN324" s="181">
        <v>-19541269.741935484</v>
      </c>
      <c r="AO324" s="175">
        <f>SUM(Data_Dep.12[[#This Row],[KH_2601]:[KH_2612]])</f>
        <v>-234495236.90322587</v>
      </c>
      <c r="AP324" s="175">
        <f>Data_Dep.12[[#This Row],[Giá trị còn lại 31/12/25]]+Data_Dep.12[[#This Row],[KH LK 2026]]</f>
        <v>1582842849.0967741</v>
      </c>
    </row>
    <row r="325" spans="1:42" x14ac:dyDescent="0.3">
      <c r="A325" s="169"/>
      <c r="B325" s="169"/>
      <c r="C325" s="170" t="s">
        <v>409</v>
      </c>
      <c r="D325" s="169" t="str">
        <f>_xlfn.XLOOKUP(Data_Dep.12[[#This Row],[Nhóm tài sản]],MD_Account_Asset_Type[Nhóm tài sản],MD_Account_Asset_Type[Tên Nhóm tài sản])</f>
        <v>TSCĐ vô hình khác - QL 642</v>
      </c>
      <c r="E325" s="171" t="s">
        <v>1209</v>
      </c>
      <c r="F325" s="170" t="s">
        <v>822</v>
      </c>
      <c r="G325" s="169" t="s">
        <v>830</v>
      </c>
      <c r="H325" s="170" t="s">
        <v>33</v>
      </c>
      <c r="I325" s="170" t="str">
        <f>_xlfn.XLOOKUP(Data_Dep.12[[#This Row],[Cost center]],MD_Cost_Center[Mã Cost Center],MD_Cost_Center[Tên Cost Center])</f>
        <v>Ban giám đốc</v>
      </c>
      <c r="J325" s="172">
        <f>_xlfn.XLOOKUP(Data_Dep.12[[#This Row],[Cost center]],MD_Cost_Center[Mã Cost Center],MD_Cost_Center[Work center],"Check")</f>
        <v>0</v>
      </c>
      <c r="K325" s="169" t="str">
        <f>_xlfn.XLOOKUP(Data_Dep.12[[#This Row],[Nhóm tài sản]],MD_Account_Asset_Type[Nhóm tài sản],MD_Account_Asset_Type[Tài khoản KH],"Check")</f>
        <v>6424001915</v>
      </c>
      <c r="L325" s="173">
        <v>44438</v>
      </c>
      <c r="M325" s="174">
        <f>EDATE(Data_Dep.12[[#This Row],[Ngày bắt đầu KH]],Data_Dep.12[[#This Row],[T/G Khấu hao]])</f>
        <v>46264</v>
      </c>
      <c r="N325" s="175">
        <v>60</v>
      </c>
      <c r="O325" s="175">
        <v>468054545</v>
      </c>
      <c r="P325" s="176">
        <v>-390045454</v>
      </c>
      <c r="Q325" s="175">
        <f>Data_Dep.12[[#This Row],[Nguyên giá]]+Data_Dep.12[[#This Row],[KH lũy kế]]</f>
        <v>78009091</v>
      </c>
      <c r="R325" s="177">
        <v>-7800909</v>
      </c>
      <c r="S325" s="177">
        <v>-7800909</v>
      </c>
      <c r="T325" s="177">
        <v>-7800909</v>
      </c>
      <c r="U325" s="177">
        <f>SUM(Data_Dep.12[[#This Row],[KH_2510]:[KH_2512]])</f>
        <v>-23402727</v>
      </c>
      <c r="V325" s="175">
        <f>Data_Dep.12[[#This Row],[Nguyên giá]]+Data_Dep.12[[#This Row],[KH lũy kế]]+Data_Dep.12[[#This Row],[KH_Q4.25]]</f>
        <v>54606364</v>
      </c>
      <c r="W325" s="178">
        <f>ROUND(Data_Dep.12[[#This Row],[T/G Khấu hao]]-Data_Dep.12[[#This Row],[Giá trị còn lại 31/12/25]]/Data_Dep.12[[#This Row],[Nguyên giá]]*Data_Dep.12[[#This Row],[T/G Khấu hao]],0)</f>
        <v>53</v>
      </c>
      <c r="X325" s="179">
        <v>36</v>
      </c>
      <c r="Y325" s="175">
        <f>Data_Dep.12[[#This Row],[T/G Khấu hao]]+Data_Dep.12[[#This Row],[Điều chỉnh]]</f>
        <v>96</v>
      </c>
      <c r="Z325" s="180">
        <f>EDATE(Data_Dep.12[[#This Row],[Ngày bắt đầu KH]],Data_Dep.12[[#This Row],[T/G điều chỉnh]])</f>
        <v>47360</v>
      </c>
      <c r="AA325" s="175">
        <f>Data_Dep.12[[#This Row],[T/G điều chỉnh]]-Data_Dep.12[[#This Row],[Số kỳ đã khấu hao]]</f>
        <v>43</v>
      </c>
      <c r="AB325" s="175">
        <f>IFERROR(-Data_Dep.12[[#This Row],[Giá trị còn lại 31/12/25]]/(Data_Dep.12[[#This Row],[T/G điều chỉnh]]-Data_Dep.12[[#This Row],[Số kỳ đã khấu hao]]),0)</f>
        <v>-1269915.4418604651</v>
      </c>
      <c r="AC325" s="181">
        <v>-1269915.4418604651</v>
      </c>
      <c r="AD325" s="181">
        <v>-1269915.4418604651</v>
      </c>
      <c r="AE325" s="181">
        <v>-1269915.4418604651</v>
      </c>
      <c r="AF325" s="181">
        <v>-1269915.4418604651</v>
      </c>
      <c r="AG325" s="181">
        <v>-1269915.4418604651</v>
      </c>
      <c r="AH325" s="181">
        <v>-1269915.4418604651</v>
      </c>
      <c r="AI325" s="181">
        <v>-1269915.4418604651</v>
      </c>
      <c r="AJ325" s="181">
        <v>-1269915.4418604651</v>
      </c>
      <c r="AK325" s="181">
        <v>-1269915.4418604651</v>
      </c>
      <c r="AL325" s="181">
        <v>-1269915.4418604651</v>
      </c>
      <c r="AM325" s="181">
        <v>-1269915.4418604651</v>
      </c>
      <c r="AN325" s="181">
        <v>-1269915.4418604651</v>
      </c>
      <c r="AO325" s="175">
        <f>SUM(Data_Dep.12[[#This Row],[KH_2601]:[KH_2612]])</f>
        <v>-15238985.302325582</v>
      </c>
      <c r="AP325" s="175">
        <f>Data_Dep.12[[#This Row],[Giá trị còn lại 31/12/25]]+Data_Dep.12[[#This Row],[KH LK 2026]]</f>
        <v>39367378.697674416</v>
      </c>
    </row>
    <row r="326" spans="1:42" x14ac:dyDescent="0.3">
      <c r="A326" s="169"/>
      <c r="B326" s="169"/>
      <c r="C326" s="170" t="s">
        <v>409</v>
      </c>
      <c r="D326" s="169" t="str">
        <f>_xlfn.XLOOKUP(Data_Dep.12[[#This Row],[Nhóm tài sản]],MD_Account_Asset_Type[Nhóm tài sản],MD_Account_Asset_Type[Tên Nhóm tài sản])</f>
        <v>TSCĐ vô hình khác - QL 642</v>
      </c>
      <c r="E326" s="171" t="s">
        <v>1212</v>
      </c>
      <c r="F326" s="170" t="s">
        <v>823</v>
      </c>
      <c r="G326" s="169" t="s">
        <v>830</v>
      </c>
      <c r="H326" s="170" t="s">
        <v>38</v>
      </c>
      <c r="I326" s="170" t="str">
        <f>_xlfn.XLOOKUP(Data_Dep.12[[#This Row],[Cost center]],MD_Cost_Center[Mã Cost Center],MD_Cost_Center[Tên Cost Center])</f>
        <v>Kế toán</v>
      </c>
      <c r="J326" s="172">
        <f>_xlfn.XLOOKUP(Data_Dep.12[[#This Row],[Cost center]],MD_Cost_Center[Mã Cost Center],MD_Cost_Center[Work center],"Check")</f>
        <v>0</v>
      </c>
      <c r="K326" s="169" t="str">
        <f>_xlfn.XLOOKUP(Data_Dep.12[[#This Row],[Nhóm tài sản]],MD_Account_Asset_Type[Nhóm tài sản],MD_Account_Asset_Type[Tài khoản KH],"Check")</f>
        <v>6424001915</v>
      </c>
      <c r="L326" s="173">
        <v>44819</v>
      </c>
      <c r="M326" s="174">
        <f>EDATE(Data_Dep.12[[#This Row],[Ngày bắt đầu KH]],Data_Dep.12[[#This Row],[T/G Khấu hao]])</f>
        <v>46645</v>
      </c>
      <c r="N326" s="175">
        <v>60</v>
      </c>
      <c r="O326" s="175">
        <v>215935347</v>
      </c>
      <c r="P326" s="176">
        <v>-133160130</v>
      </c>
      <c r="Q326" s="175">
        <f>Data_Dep.12[[#This Row],[Nguyên giá]]+Data_Dep.12[[#This Row],[KH lũy kế]]</f>
        <v>82775217</v>
      </c>
      <c r="R326" s="177">
        <v>-3598923</v>
      </c>
      <c r="S326" s="177">
        <v>-3598922</v>
      </c>
      <c r="T326" s="177">
        <v>-3598923</v>
      </c>
      <c r="U326" s="177">
        <f>SUM(Data_Dep.12[[#This Row],[KH_2510]:[KH_2512]])</f>
        <v>-10796768</v>
      </c>
      <c r="V326" s="175">
        <f>Data_Dep.12[[#This Row],[Nguyên giá]]+Data_Dep.12[[#This Row],[KH lũy kế]]+Data_Dep.12[[#This Row],[KH_Q4.25]]</f>
        <v>71978449</v>
      </c>
      <c r="W326" s="178">
        <f>ROUND(Data_Dep.12[[#This Row],[T/G Khấu hao]]-Data_Dep.12[[#This Row],[Giá trị còn lại 31/12/25]]/Data_Dep.12[[#This Row],[Nguyên giá]]*Data_Dep.12[[#This Row],[T/G Khấu hao]],0)</f>
        <v>40</v>
      </c>
      <c r="X326" s="179">
        <v>36</v>
      </c>
      <c r="Y326" s="175">
        <f>Data_Dep.12[[#This Row],[T/G Khấu hao]]+Data_Dep.12[[#This Row],[Điều chỉnh]]</f>
        <v>96</v>
      </c>
      <c r="Z326" s="180">
        <f>EDATE(Data_Dep.12[[#This Row],[Ngày bắt đầu KH]],Data_Dep.12[[#This Row],[T/G điều chỉnh]])</f>
        <v>47741</v>
      </c>
      <c r="AA326" s="175">
        <f>Data_Dep.12[[#This Row],[T/G điều chỉnh]]-Data_Dep.12[[#This Row],[Số kỳ đã khấu hao]]</f>
        <v>56</v>
      </c>
      <c r="AB326" s="175">
        <f>IFERROR(-Data_Dep.12[[#This Row],[Giá trị còn lại 31/12/25]]/(Data_Dep.12[[#This Row],[T/G điều chỉnh]]-Data_Dep.12[[#This Row],[Số kỳ đã khấu hao]]),0)</f>
        <v>-1285329.4464285714</v>
      </c>
      <c r="AC326" s="181">
        <v>-1285329.4464285714</v>
      </c>
      <c r="AD326" s="181">
        <v>-1285329.4464285714</v>
      </c>
      <c r="AE326" s="181">
        <v>-1285329.4464285714</v>
      </c>
      <c r="AF326" s="181">
        <v>-1285329.4464285714</v>
      </c>
      <c r="AG326" s="181">
        <v>-1285329.4464285714</v>
      </c>
      <c r="AH326" s="181">
        <v>-1285329.4464285714</v>
      </c>
      <c r="AI326" s="181">
        <v>-1285329.4464285714</v>
      </c>
      <c r="AJ326" s="181">
        <v>-1285329.4464285714</v>
      </c>
      <c r="AK326" s="181">
        <v>-1285329.4464285714</v>
      </c>
      <c r="AL326" s="181">
        <v>-1285329.4464285714</v>
      </c>
      <c r="AM326" s="181">
        <v>-1285329.4464285714</v>
      </c>
      <c r="AN326" s="181">
        <v>-1285329.4464285714</v>
      </c>
      <c r="AO326" s="175">
        <f>SUM(Data_Dep.12[[#This Row],[KH_2601]:[KH_2612]])</f>
        <v>-15423953.357142853</v>
      </c>
      <c r="AP326" s="175">
        <f>Data_Dep.12[[#This Row],[Giá trị còn lại 31/12/25]]+Data_Dep.12[[#This Row],[KH LK 2026]]</f>
        <v>56554495.642857149</v>
      </c>
    </row>
    <row r="327" spans="1:42" x14ac:dyDescent="0.3">
      <c r="A327" s="169"/>
      <c r="B327" s="169"/>
      <c r="C327" s="170" t="s">
        <v>409</v>
      </c>
      <c r="D327" s="169" t="str">
        <f>_xlfn.XLOOKUP(Data_Dep.12[[#This Row],[Nhóm tài sản]],MD_Account_Asset_Type[Nhóm tài sản],MD_Account_Asset_Type[Tên Nhóm tài sản])</f>
        <v>TSCĐ vô hình khác - QL 642</v>
      </c>
      <c r="E327" s="171" t="s">
        <v>1213</v>
      </c>
      <c r="F327" s="170" t="s">
        <v>824</v>
      </c>
      <c r="G327" s="169" t="s">
        <v>830</v>
      </c>
      <c r="H327" s="170" t="s">
        <v>36</v>
      </c>
      <c r="I327" s="170" t="str">
        <f>_xlfn.XLOOKUP(Data_Dep.12[[#This Row],[Cost center]],MD_Cost_Center[Mã Cost Center],MD_Cost_Center[Tên Cost Center])</f>
        <v>Hành chánh nhân sự</v>
      </c>
      <c r="J327" s="172">
        <f>_xlfn.XLOOKUP(Data_Dep.12[[#This Row],[Cost center]],MD_Cost_Center[Mã Cost Center],MD_Cost_Center[Work center],"Check")</f>
        <v>0</v>
      </c>
      <c r="K327" s="169" t="str">
        <f>_xlfn.XLOOKUP(Data_Dep.12[[#This Row],[Nhóm tài sản]],MD_Account_Asset_Type[Nhóm tài sản],MD_Account_Asset_Type[Tài khoản KH],"Check")</f>
        <v>6424001915</v>
      </c>
      <c r="L327" s="173">
        <v>44819</v>
      </c>
      <c r="M327" s="174">
        <f>EDATE(Data_Dep.12[[#This Row],[Ngày bắt đầu KH]],Data_Dep.12[[#This Row],[T/G Khấu hao]])</f>
        <v>46645</v>
      </c>
      <c r="N327" s="175">
        <v>60</v>
      </c>
      <c r="O327" s="175">
        <v>303920466</v>
      </c>
      <c r="P327" s="176">
        <v>-187417620</v>
      </c>
      <c r="Q327" s="175">
        <f>Data_Dep.12[[#This Row],[Nguyên giá]]+Data_Dep.12[[#This Row],[KH lũy kế]]</f>
        <v>116502846</v>
      </c>
      <c r="R327" s="177">
        <v>-5065341</v>
      </c>
      <c r="S327" s="177">
        <v>-5065341</v>
      </c>
      <c r="T327" s="177">
        <v>-5065342</v>
      </c>
      <c r="U327" s="177">
        <f>SUM(Data_Dep.12[[#This Row],[KH_2510]:[KH_2512]])</f>
        <v>-15196024</v>
      </c>
      <c r="V327" s="175">
        <f>Data_Dep.12[[#This Row],[Nguyên giá]]+Data_Dep.12[[#This Row],[KH lũy kế]]+Data_Dep.12[[#This Row],[KH_Q4.25]]</f>
        <v>101306822</v>
      </c>
      <c r="W327" s="178">
        <f>ROUND(Data_Dep.12[[#This Row],[T/G Khấu hao]]-Data_Dep.12[[#This Row],[Giá trị còn lại 31/12/25]]/Data_Dep.12[[#This Row],[Nguyên giá]]*Data_Dep.12[[#This Row],[T/G Khấu hao]],0)</f>
        <v>40</v>
      </c>
      <c r="X327" s="179">
        <v>36</v>
      </c>
      <c r="Y327" s="175">
        <f>Data_Dep.12[[#This Row],[T/G Khấu hao]]+Data_Dep.12[[#This Row],[Điều chỉnh]]</f>
        <v>96</v>
      </c>
      <c r="Z327" s="180">
        <f>EDATE(Data_Dep.12[[#This Row],[Ngày bắt đầu KH]],Data_Dep.12[[#This Row],[T/G điều chỉnh]])</f>
        <v>47741</v>
      </c>
      <c r="AA327" s="175">
        <f>Data_Dep.12[[#This Row],[T/G điều chỉnh]]-Data_Dep.12[[#This Row],[Số kỳ đã khấu hao]]</f>
        <v>56</v>
      </c>
      <c r="AB327" s="175">
        <f>IFERROR(-Data_Dep.12[[#This Row],[Giá trị còn lại 31/12/25]]/(Data_Dep.12[[#This Row],[T/G điều chỉnh]]-Data_Dep.12[[#This Row],[Số kỳ đã khấu hao]]),0)</f>
        <v>-1809050.392857143</v>
      </c>
      <c r="AC327" s="181">
        <v>-1809050.392857143</v>
      </c>
      <c r="AD327" s="181">
        <v>-1809050.392857143</v>
      </c>
      <c r="AE327" s="181">
        <v>-1809050.392857143</v>
      </c>
      <c r="AF327" s="181">
        <v>-1809050.392857143</v>
      </c>
      <c r="AG327" s="181">
        <v>-1809050.392857143</v>
      </c>
      <c r="AH327" s="181">
        <v>-1809050.392857143</v>
      </c>
      <c r="AI327" s="181">
        <v>-1809050.392857143</v>
      </c>
      <c r="AJ327" s="181">
        <v>-1809050.392857143</v>
      </c>
      <c r="AK327" s="181">
        <v>-1809050.392857143</v>
      </c>
      <c r="AL327" s="181">
        <v>-1809050.392857143</v>
      </c>
      <c r="AM327" s="181">
        <v>-1809050.392857143</v>
      </c>
      <c r="AN327" s="181">
        <v>-1809050.392857143</v>
      </c>
      <c r="AO327" s="175">
        <f>SUM(Data_Dep.12[[#This Row],[KH_2601]:[KH_2612]])</f>
        <v>-21708604.714285716</v>
      </c>
      <c r="AP327" s="175">
        <f>Data_Dep.12[[#This Row],[Giá trị còn lại 31/12/25]]+Data_Dep.12[[#This Row],[KH LK 2026]]</f>
        <v>79598217.285714284</v>
      </c>
    </row>
    <row r="328" spans="1:42" x14ac:dyDescent="0.3">
      <c r="A328" s="169"/>
      <c r="B328" s="169"/>
      <c r="C328" s="170" t="s">
        <v>409</v>
      </c>
      <c r="D328" s="169" t="str">
        <f>_xlfn.XLOOKUP(Data_Dep.12[[#This Row],[Nhóm tài sản]],MD_Account_Asset_Type[Nhóm tài sản],MD_Account_Asset_Type[Tên Nhóm tài sản])</f>
        <v>TSCĐ vô hình khác - QL 642</v>
      </c>
      <c r="E328" s="171" t="s">
        <v>1214</v>
      </c>
      <c r="F328" s="170" t="s">
        <v>825</v>
      </c>
      <c r="G328" s="169" t="s">
        <v>830</v>
      </c>
      <c r="H328" s="170" t="s">
        <v>38</v>
      </c>
      <c r="I328" s="170" t="str">
        <f>_xlfn.XLOOKUP(Data_Dep.12[[#This Row],[Cost center]],MD_Cost_Center[Mã Cost Center],MD_Cost_Center[Tên Cost Center])</f>
        <v>Kế toán</v>
      </c>
      <c r="J328" s="172">
        <f>_xlfn.XLOOKUP(Data_Dep.12[[#This Row],[Cost center]],MD_Cost_Center[Mã Cost Center],MD_Cost_Center[Work center],"Check")</f>
        <v>0</v>
      </c>
      <c r="K328" s="169" t="str">
        <f>_xlfn.XLOOKUP(Data_Dep.12[[#This Row],[Nhóm tài sản]],MD_Account_Asset_Type[Nhóm tài sản],MD_Account_Asset_Type[Tài khoản KH],"Check")</f>
        <v>6424001915</v>
      </c>
      <c r="L328" s="173">
        <v>44819</v>
      </c>
      <c r="M328" s="174">
        <f>EDATE(Data_Dep.12[[#This Row],[Ngày bắt đầu KH]],Data_Dep.12[[#This Row],[T/G Khấu hao]])</f>
        <v>47741</v>
      </c>
      <c r="N328" s="175">
        <v>96</v>
      </c>
      <c r="O328" s="175">
        <v>987208013</v>
      </c>
      <c r="P328" s="176">
        <v>-380486422</v>
      </c>
      <c r="Q328" s="175">
        <f>Data_Dep.12[[#This Row],[Nguyên giá]]+Data_Dep.12[[#This Row],[KH lũy kế]]</f>
        <v>606721591</v>
      </c>
      <c r="R328" s="177">
        <v>-10283417</v>
      </c>
      <c r="S328" s="177">
        <v>-10283417</v>
      </c>
      <c r="T328" s="177">
        <v>-10283417</v>
      </c>
      <c r="U328" s="177">
        <f>SUM(Data_Dep.12[[#This Row],[KH_2510]:[KH_2512]])</f>
        <v>-30850251</v>
      </c>
      <c r="V328" s="175">
        <f>Data_Dep.12[[#This Row],[Nguyên giá]]+Data_Dep.12[[#This Row],[KH lũy kế]]+Data_Dep.12[[#This Row],[KH_Q4.25]]</f>
        <v>575871340</v>
      </c>
      <c r="W328" s="178">
        <f>ROUND(Data_Dep.12[[#This Row],[T/G Khấu hao]]-Data_Dep.12[[#This Row],[Giá trị còn lại 31/12/25]]/Data_Dep.12[[#This Row],[Nguyên giá]]*Data_Dep.12[[#This Row],[T/G Khấu hao]],0)</f>
        <v>40</v>
      </c>
      <c r="X328" s="179">
        <v>0</v>
      </c>
      <c r="Y328" s="175">
        <f>Data_Dep.12[[#This Row],[T/G Khấu hao]]+Data_Dep.12[[#This Row],[Điều chỉnh]]</f>
        <v>96</v>
      </c>
      <c r="Z328" s="180">
        <f>EDATE(Data_Dep.12[[#This Row],[Ngày bắt đầu KH]],Data_Dep.12[[#This Row],[T/G điều chỉnh]])</f>
        <v>47741</v>
      </c>
      <c r="AA328" s="175">
        <f>Data_Dep.12[[#This Row],[T/G điều chỉnh]]-Data_Dep.12[[#This Row],[Số kỳ đã khấu hao]]</f>
        <v>56</v>
      </c>
      <c r="AB328" s="175">
        <f>IFERROR(-Data_Dep.12[[#This Row],[Giá trị còn lại 31/12/25]]/(Data_Dep.12[[#This Row],[T/G điều chỉnh]]-Data_Dep.12[[#This Row],[Số kỳ đã khấu hao]]),0)</f>
        <v>-10283416.785714285</v>
      </c>
      <c r="AC328" s="181">
        <v>-10283416.785714285</v>
      </c>
      <c r="AD328" s="181">
        <v>-10283416.785714285</v>
      </c>
      <c r="AE328" s="181">
        <v>-10283416.785714285</v>
      </c>
      <c r="AF328" s="181">
        <v>-10283416.785714285</v>
      </c>
      <c r="AG328" s="181">
        <v>-10283416.785714285</v>
      </c>
      <c r="AH328" s="181">
        <v>-10283416.785714285</v>
      </c>
      <c r="AI328" s="181">
        <v>-10283416.785714285</v>
      </c>
      <c r="AJ328" s="181">
        <v>-10283416.785714285</v>
      </c>
      <c r="AK328" s="181">
        <v>-10283416.785714285</v>
      </c>
      <c r="AL328" s="181">
        <v>-10283416.785714285</v>
      </c>
      <c r="AM328" s="181">
        <v>-10283416.785714285</v>
      </c>
      <c r="AN328" s="181">
        <v>-10283416.785714285</v>
      </c>
      <c r="AO328" s="175">
        <f>SUM(Data_Dep.12[[#This Row],[KH_2601]:[KH_2612]])</f>
        <v>-123401001.42857142</v>
      </c>
      <c r="AP328" s="175">
        <f>Data_Dep.12[[#This Row],[Giá trị còn lại 31/12/25]]+Data_Dep.12[[#This Row],[KH LK 2026]]</f>
        <v>452470338.5714286</v>
      </c>
    </row>
    <row r="329" spans="1:42" x14ac:dyDescent="0.3">
      <c r="A329" s="169"/>
      <c r="B329" s="169"/>
      <c r="C329" s="170" t="s">
        <v>409</v>
      </c>
      <c r="D329" s="169" t="str">
        <f>_xlfn.XLOOKUP(Data_Dep.12[[#This Row],[Nhóm tài sản]],MD_Account_Asset_Type[Nhóm tài sản],MD_Account_Asset_Type[Tên Nhóm tài sản])</f>
        <v>TSCĐ vô hình khác - QL 642</v>
      </c>
      <c r="E329" s="171" t="s">
        <v>1215</v>
      </c>
      <c r="F329" s="170" t="s">
        <v>826</v>
      </c>
      <c r="G329" s="169" t="s">
        <v>502</v>
      </c>
      <c r="H329" s="170" t="s">
        <v>36</v>
      </c>
      <c r="I329" s="170" t="str">
        <f>_xlfn.XLOOKUP(Data_Dep.12[[#This Row],[Cost center]],MD_Cost_Center[Mã Cost Center],MD_Cost_Center[Tên Cost Center])</f>
        <v>Hành chánh nhân sự</v>
      </c>
      <c r="J329" s="172">
        <f>_xlfn.XLOOKUP(Data_Dep.12[[#This Row],[Cost center]],MD_Cost_Center[Mã Cost Center],MD_Cost_Center[Work center],"Check")</f>
        <v>0</v>
      </c>
      <c r="K329" s="169" t="str">
        <f>_xlfn.XLOOKUP(Data_Dep.12[[#This Row],[Nhóm tài sản]],MD_Account_Asset_Type[Nhóm tài sản],MD_Account_Asset_Type[Tài khoản KH],"Check")</f>
        <v>6424001915</v>
      </c>
      <c r="L329" s="173">
        <v>45383</v>
      </c>
      <c r="M329" s="174">
        <f>EDATE(Data_Dep.12[[#This Row],[Ngày bắt đầu KH]],Data_Dep.12[[#This Row],[T/G Khấu hao]])</f>
        <v>46478</v>
      </c>
      <c r="N329" s="175">
        <v>36</v>
      </c>
      <c r="O329" s="175">
        <v>431300039</v>
      </c>
      <c r="P329" s="176">
        <v>-215650020</v>
      </c>
      <c r="Q329" s="175">
        <f>Data_Dep.12[[#This Row],[Nguyên giá]]+Data_Dep.12[[#This Row],[KH lũy kế]]</f>
        <v>215650019</v>
      </c>
      <c r="R329" s="177">
        <v>-11980556</v>
      </c>
      <c r="S329" s="177">
        <v>-11980557</v>
      </c>
      <c r="T329" s="177">
        <v>-11980557</v>
      </c>
      <c r="U329" s="177">
        <f>SUM(Data_Dep.12[[#This Row],[KH_2510]:[KH_2512]])</f>
        <v>-35941670</v>
      </c>
      <c r="V329" s="175">
        <f>Data_Dep.12[[#This Row],[Nguyên giá]]+Data_Dep.12[[#This Row],[KH lũy kế]]+Data_Dep.12[[#This Row],[KH_Q4.25]]</f>
        <v>179708349</v>
      </c>
      <c r="W329" s="178">
        <f>ROUND(Data_Dep.12[[#This Row],[T/G Khấu hao]]-Data_Dep.12[[#This Row],[Giá trị còn lại 31/12/25]]/Data_Dep.12[[#This Row],[Nguyên giá]]*Data_Dep.12[[#This Row],[T/G Khấu hao]],0)</f>
        <v>21</v>
      </c>
      <c r="X329" s="179">
        <v>60</v>
      </c>
      <c r="Y329" s="175">
        <f>Data_Dep.12[[#This Row],[T/G Khấu hao]]+Data_Dep.12[[#This Row],[Điều chỉnh]]</f>
        <v>96</v>
      </c>
      <c r="Z329" s="180">
        <f>EDATE(Data_Dep.12[[#This Row],[Ngày bắt đầu KH]],Data_Dep.12[[#This Row],[T/G điều chỉnh]])</f>
        <v>48305</v>
      </c>
      <c r="AA329" s="175">
        <f>Data_Dep.12[[#This Row],[T/G điều chỉnh]]-Data_Dep.12[[#This Row],[Số kỳ đã khấu hao]]</f>
        <v>75</v>
      </c>
      <c r="AB329" s="175">
        <f>IFERROR(-Data_Dep.12[[#This Row],[Giá trị còn lại 31/12/25]]/(Data_Dep.12[[#This Row],[T/G điều chỉnh]]-Data_Dep.12[[#This Row],[Số kỳ đã khấu hao]]),0)</f>
        <v>-2396111.3199999998</v>
      </c>
      <c r="AC329" s="181">
        <v>-2396111.3199999998</v>
      </c>
      <c r="AD329" s="181">
        <v>-2396111.3199999998</v>
      </c>
      <c r="AE329" s="181">
        <v>-2396111.3199999998</v>
      </c>
      <c r="AF329" s="181">
        <v>-2396111.3199999998</v>
      </c>
      <c r="AG329" s="181">
        <v>-2396111.3199999998</v>
      </c>
      <c r="AH329" s="181">
        <v>-2396111.3199999998</v>
      </c>
      <c r="AI329" s="181">
        <v>-2396111.3199999998</v>
      </c>
      <c r="AJ329" s="181">
        <v>-2396111.3199999998</v>
      </c>
      <c r="AK329" s="181">
        <v>-2396111.3199999998</v>
      </c>
      <c r="AL329" s="181">
        <v>-2396111.3199999998</v>
      </c>
      <c r="AM329" s="181">
        <v>-2396111.3199999998</v>
      </c>
      <c r="AN329" s="181">
        <v>-2396111.3199999998</v>
      </c>
      <c r="AO329" s="175">
        <f>SUM(Data_Dep.12[[#This Row],[KH_2601]:[KH_2612]])</f>
        <v>-28753335.84</v>
      </c>
      <c r="AP329" s="175">
        <f>Data_Dep.12[[#This Row],[Giá trị còn lại 31/12/25]]+Data_Dep.12[[#This Row],[KH LK 2026]]</f>
        <v>150955013.16</v>
      </c>
    </row>
    <row r="330" spans="1:42" x14ac:dyDescent="0.3">
      <c r="A330" s="169"/>
      <c r="B330" s="169"/>
      <c r="C330" s="170" t="s">
        <v>409</v>
      </c>
      <c r="D330" s="169" t="str">
        <f>_xlfn.XLOOKUP(Data_Dep.12[[#This Row],[Nhóm tài sản]],MD_Account_Asset_Type[Nhóm tài sản],MD_Account_Asset_Type[Tên Nhóm tài sản])</f>
        <v>TSCĐ vô hình khác - QL 642</v>
      </c>
      <c r="E330" s="171" t="s">
        <v>1216</v>
      </c>
      <c r="F330" s="170" t="s">
        <v>827</v>
      </c>
      <c r="G330" s="169" t="s">
        <v>830</v>
      </c>
      <c r="H330" s="170" t="s">
        <v>36</v>
      </c>
      <c r="I330" s="170" t="str">
        <f>_xlfn.XLOOKUP(Data_Dep.12[[#This Row],[Cost center]],MD_Cost_Center[Mã Cost Center],MD_Cost_Center[Tên Cost Center])</f>
        <v>Hành chánh nhân sự</v>
      </c>
      <c r="J330" s="172">
        <f>_xlfn.XLOOKUP(Data_Dep.12[[#This Row],[Cost center]],MD_Cost_Center[Mã Cost Center],MD_Cost_Center[Work center],"Check")</f>
        <v>0</v>
      </c>
      <c r="K330" s="169" t="str">
        <f>_xlfn.XLOOKUP(Data_Dep.12[[#This Row],[Nhóm tài sản]],MD_Account_Asset_Type[Nhóm tài sản],MD_Account_Asset_Type[Tài khoản KH],"Check")</f>
        <v>6424001915</v>
      </c>
      <c r="L330" s="173">
        <v>45658</v>
      </c>
      <c r="M330" s="174">
        <f>EDATE(Data_Dep.12[[#This Row],[Ngày bắt đầu KH]],Data_Dep.12[[#This Row],[T/G Khấu hao]])</f>
        <v>46753</v>
      </c>
      <c r="N330" s="175">
        <v>36</v>
      </c>
      <c r="O330" s="175">
        <v>529122899</v>
      </c>
      <c r="P330" s="176">
        <v>-132280725</v>
      </c>
      <c r="Q330" s="175">
        <f>Data_Dep.12[[#This Row],[Nguyên giá]]+Data_Dep.12[[#This Row],[KH lũy kế]]</f>
        <v>396842174</v>
      </c>
      <c r="R330" s="177">
        <v>-14697858</v>
      </c>
      <c r="S330" s="177">
        <v>-14697858</v>
      </c>
      <c r="T330" s="177">
        <v>-14697859</v>
      </c>
      <c r="U330" s="177">
        <f>SUM(Data_Dep.12[[#This Row],[KH_2510]:[KH_2512]])</f>
        <v>-44093575</v>
      </c>
      <c r="V330" s="175">
        <f>Data_Dep.12[[#This Row],[Nguyên giá]]+Data_Dep.12[[#This Row],[KH lũy kế]]+Data_Dep.12[[#This Row],[KH_Q4.25]]</f>
        <v>352748599</v>
      </c>
      <c r="W330" s="178">
        <f>ROUND(Data_Dep.12[[#This Row],[T/G Khấu hao]]-Data_Dep.12[[#This Row],[Giá trị còn lại 31/12/25]]/Data_Dep.12[[#This Row],[Nguyên giá]]*Data_Dep.12[[#This Row],[T/G Khấu hao]],0)</f>
        <v>12</v>
      </c>
      <c r="X330" s="179">
        <v>60</v>
      </c>
      <c r="Y330" s="175">
        <f>Data_Dep.12[[#This Row],[T/G Khấu hao]]+Data_Dep.12[[#This Row],[Điều chỉnh]]</f>
        <v>96</v>
      </c>
      <c r="Z330" s="180">
        <f>EDATE(Data_Dep.12[[#This Row],[Ngày bắt đầu KH]],Data_Dep.12[[#This Row],[T/G điều chỉnh]])</f>
        <v>48580</v>
      </c>
      <c r="AA330" s="175">
        <f>Data_Dep.12[[#This Row],[T/G điều chỉnh]]-Data_Dep.12[[#This Row],[Số kỳ đã khấu hao]]</f>
        <v>84</v>
      </c>
      <c r="AB330" s="175">
        <f>IFERROR(-Data_Dep.12[[#This Row],[Giá trị còn lại 31/12/25]]/(Data_Dep.12[[#This Row],[T/G điều chỉnh]]-Data_Dep.12[[#This Row],[Số kỳ đã khấu hao]]),0)</f>
        <v>-4199388.083333333</v>
      </c>
      <c r="AC330" s="181">
        <v>-4199388.083333333</v>
      </c>
      <c r="AD330" s="181">
        <v>-4199388.083333333</v>
      </c>
      <c r="AE330" s="181">
        <v>-4199388.083333333</v>
      </c>
      <c r="AF330" s="181">
        <v>-4199388.083333333</v>
      </c>
      <c r="AG330" s="181">
        <v>-4199388.083333333</v>
      </c>
      <c r="AH330" s="181">
        <v>-4199388.083333333</v>
      </c>
      <c r="AI330" s="181">
        <v>-4199388.083333333</v>
      </c>
      <c r="AJ330" s="181">
        <v>-4199388.083333333</v>
      </c>
      <c r="AK330" s="181">
        <v>-4199388.083333333</v>
      </c>
      <c r="AL330" s="181">
        <v>-4199388.083333333</v>
      </c>
      <c r="AM330" s="181">
        <v>-4199388.083333333</v>
      </c>
      <c r="AN330" s="181">
        <v>-4199388.083333333</v>
      </c>
      <c r="AO330" s="175">
        <f>SUM(Data_Dep.12[[#This Row],[KH_2601]:[KH_2612]])</f>
        <v>-50392657.000000007</v>
      </c>
      <c r="AP330" s="175">
        <f>Data_Dep.12[[#This Row],[Giá trị còn lại 31/12/25]]+Data_Dep.12[[#This Row],[KH LK 2026]]</f>
        <v>302355942</v>
      </c>
    </row>
    <row r="331" spans="1:42" x14ac:dyDescent="0.3">
      <c r="A331" s="169"/>
      <c r="B331" s="169"/>
      <c r="C331" s="182" t="s">
        <v>338</v>
      </c>
      <c r="D331" s="169" t="str">
        <f>_xlfn.XLOOKUP(Data_Dep.12[[#This Row],[Nhóm tài sản]],MD_Account_Asset_Type[Nhóm tài sản],MD_Account_Asset_Type[Tên Nhóm tài sản])</f>
        <v>Máy móc, thiết bị - SX 627</v>
      </c>
      <c r="E331" s="171" t="s">
        <v>855</v>
      </c>
      <c r="F331" s="170" t="s">
        <v>856</v>
      </c>
      <c r="G331" s="169" t="s">
        <v>830</v>
      </c>
      <c r="H331" s="170" t="s">
        <v>46</v>
      </c>
      <c r="I331" s="170" t="str">
        <f>_xlfn.XLOOKUP(Data_Dep.12[[#This Row],[Cost center]],MD_Cost_Center[Mã Cost Center],MD_Cost_Center[Tên Cost Center])</f>
        <v>Kiểm soát chất lượng</v>
      </c>
      <c r="J331" s="172">
        <f>_xlfn.XLOOKUP(Data_Dep.12[[#This Row],[Cost center]],MD_Cost_Center[Mã Cost Center],MD_Cost_Center[Work center],"Check")</f>
        <v>0</v>
      </c>
      <c r="K331" s="169" t="str">
        <f>_xlfn.XLOOKUP(Data_Dep.12[[#This Row],[Nhóm tài sản]],MD_Account_Asset_Type[Nhóm tài sản],MD_Account_Asset_Type[Tài khoản KH],"Check")</f>
        <v>6274001903</v>
      </c>
      <c r="L331" s="173">
        <v>44683</v>
      </c>
      <c r="M331" s="174">
        <f>EDATE(Data_Dep.12[[#This Row],[Ngày bắt đầu KH]],Data_Dep.12[[#This Row],[T/G Khấu hao]])</f>
        <v>45779</v>
      </c>
      <c r="N331" s="175">
        <v>36</v>
      </c>
      <c r="O331" s="175">
        <v>33250000</v>
      </c>
      <c r="P331" s="175">
        <v>-33250000</v>
      </c>
      <c r="Q331" s="175">
        <f>Data_Dep.12[[#This Row],[Nguyên giá]]+Data_Dep.12[[#This Row],[KH lũy kế]]</f>
        <v>0</v>
      </c>
      <c r="R331" s="177"/>
      <c r="S331" s="177"/>
      <c r="T331" s="177"/>
      <c r="U331" s="177">
        <f>SUM(Data_Dep.12[[#This Row],[KH_2510]:[KH_2512]])</f>
        <v>0</v>
      </c>
      <c r="V331" s="175">
        <f>Data_Dep.12[[#This Row],[Nguyên giá]]+Data_Dep.12[[#This Row],[KH lũy kế]]+Data_Dep.12[[#This Row],[KH_Q4.25]]</f>
        <v>0</v>
      </c>
      <c r="W331" s="175">
        <f>ROUND(Data_Dep.12[[#This Row],[T/G Khấu hao]]-Data_Dep.12[[#This Row],[Giá trị còn lại 31/12/25]]/Data_Dep.12[[#This Row],[Nguyên giá]]*Data_Dep.12[[#This Row],[T/G Khấu hao]],0)</f>
        <v>36</v>
      </c>
      <c r="X331" s="179"/>
      <c r="Y331" s="175">
        <f>Data_Dep.12[[#This Row],[T/G Khấu hao]]+Data_Dep.12[[#This Row],[Điều chỉnh]]</f>
        <v>36</v>
      </c>
      <c r="Z331" s="180">
        <f>EDATE(Data_Dep.12[[#This Row],[Ngày bắt đầu KH]],Data_Dep.12[[#This Row],[T/G điều chỉnh]])</f>
        <v>45779</v>
      </c>
      <c r="AA331" s="175">
        <f>Data_Dep.12[[#This Row],[T/G điều chỉnh]]-Data_Dep.12[[#This Row],[Số kỳ đã khấu hao]]</f>
        <v>0</v>
      </c>
      <c r="AB331" s="175">
        <f>IFERROR(-Data_Dep.12[[#This Row],[Giá trị còn lại 31/12/25]]/(Data_Dep.12[[#This Row],[T/G điều chỉnh]]-Data_Dep.12[[#This Row],[Số kỳ đã khấu hao]]),0)</f>
        <v>0</v>
      </c>
      <c r="AC331" s="181"/>
      <c r="AD331" s="181"/>
      <c r="AE331" s="181"/>
      <c r="AF331" s="181"/>
      <c r="AG331" s="181"/>
      <c r="AH331" s="181"/>
      <c r="AI331" s="181"/>
      <c r="AJ331" s="181"/>
      <c r="AK331" s="181"/>
      <c r="AL331" s="181"/>
      <c r="AM331" s="181"/>
      <c r="AN331" s="181"/>
      <c r="AO331" s="175">
        <f>SUM(Data_Dep.12[[#This Row],[KH_2601]:[KH_2612]])</f>
        <v>0</v>
      </c>
      <c r="AP331" s="175">
        <f>Data_Dep.12[[#This Row],[Giá trị còn lại 31/12/25]]+Data_Dep.12[[#This Row],[KH LK 2026]]</f>
        <v>0</v>
      </c>
    </row>
    <row r="332" spans="1:42" x14ac:dyDescent="0.3">
      <c r="A332" s="169"/>
      <c r="B332" s="169"/>
      <c r="C332" s="182" t="s">
        <v>338</v>
      </c>
      <c r="D332" s="169" t="str">
        <f>_xlfn.XLOOKUP(Data_Dep.12[[#This Row],[Nhóm tài sản]],MD_Account_Asset_Type[Nhóm tài sản],MD_Account_Asset_Type[Tên Nhóm tài sản])</f>
        <v>Máy móc, thiết bị - SX 627</v>
      </c>
      <c r="E332" s="171" t="s">
        <v>859</v>
      </c>
      <c r="F332" s="170" t="s">
        <v>860</v>
      </c>
      <c r="G332" s="169" t="s">
        <v>830</v>
      </c>
      <c r="H332" s="170" t="s">
        <v>48</v>
      </c>
      <c r="I332" s="170" t="str">
        <f>_xlfn.XLOOKUP(Data_Dep.12[[#This Row],[Cost center]],MD_Cost_Center[Mã Cost Center],MD_Cost_Center[Tên Cost Center])</f>
        <v>Xưởng sản xuất PET</v>
      </c>
      <c r="J332" s="172">
        <f>_xlfn.XLOOKUP(Data_Dep.12[[#This Row],[Cost center]],MD_Cost_Center[Mã Cost Center],MD_Cost_Center[Work center],"Check")</f>
        <v>0</v>
      </c>
      <c r="K332" s="169" t="str">
        <f>_xlfn.XLOOKUP(Data_Dep.12[[#This Row],[Nhóm tài sản]],MD_Account_Asset_Type[Nhóm tài sản],MD_Account_Asset_Type[Tài khoản KH],"Check")</f>
        <v>6274001903</v>
      </c>
      <c r="L332" s="173">
        <v>44722</v>
      </c>
      <c r="M332" s="174">
        <f>EDATE(Data_Dep.12[[#This Row],[Ngày bắt đầu KH]],Data_Dep.12[[#This Row],[T/G Khấu hao]])</f>
        <v>45818</v>
      </c>
      <c r="N332" s="175">
        <v>36</v>
      </c>
      <c r="O332" s="175">
        <v>65500000</v>
      </c>
      <c r="P332" s="175">
        <v>-65500000</v>
      </c>
      <c r="Q332" s="175">
        <f>Data_Dep.12[[#This Row],[Nguyên giá]]+Data_Dep.12[[#This Row],[KH lũy kế]]</f>
        <v>0</v>
      </c>
      <c r="R332" s="177"/>
      <c r="S332" s="177"/>
      <c r="T332" s="177"/>
      <c r="U332" s="177">
        <f>SUM(Data_Dep.12[[#This Row],[KH_2510]:[KH_2512]])</f>
        <v>0</v>
      </c>
      <c r="V332" s="175">
        <f>Data_Dep.12[[#This Row],[Nguyên giá]]+Data_Dep.12[[#This Row],[KH lũy kế]]+Data_Dep.12[[#This Row],[KH_Q4.25]]</f>
        <v>0</v>
      </c>
      <c r="W332" s="175">
        <f>ROUND(Data_Dep.12[[#This Row],[T/G Khấu hao]]-Data_Dep.12[[#This Row],[Giá trị còn lại 31/12/25]]/Data_Dep.12[[#This Row],[Nguyên giá]]*Data_Dep.12[[#This Row],[T/G Khấu hao]],0)</f>
        <v>36</v>
      </c>
      <c r="X332" s="179"/>
      <c r="Y332" s="175">
        <f>Data_Dep.12[[#This Row],[T/G Khấu hao]]+Data_Dep.12[[#This Row],[Điều chỉnh]]</f>
        <v>36</v>
      </c>
      <c r="Z332" s="180">
        <f>EDATE(Data_Dep.12[[#This Row],[Ngày bắt đầu KH]],Data_Dep.12[[#This Row],[T/G điều chỉnh]])</f>
        <v>45818</v>
      </c>
      <c r="AA332" s="175">
        <f>Data_Dep.12[[#This Row],[T/G điều chỉnh]]-Data_Dep.12[[#This Row],[Số kỳ đã khấu hao]]</f>
        <v>0</v>
      </c>
      <c r="AB332" s="175">
        <f>IFERROR(-Data_Dep.12[[#This Row],[Giá trị còn lại 31/12/25]]/(Data_Dep.12[[#This Row],[T/G điều chỉnh]]-Data_Dep.12[[#This Row],[Số kỳ đã khấu hao]]),0)</f>
        <v>0</v>
      </c>
      <c r="AC332" s="181"/>
      <c r="AD332" s="181"/>
      <c r="AE332" s="181"/>
      <c r="AF332" s="181"/>
      <c r="AG332" s="181"/>
      <c r="AH332" s="181"/>
      <c r="AI332" s="181"/>
      <c r="AJ332" s="181"/>
      <c r="AK332" s="181"/>
      <c r="AL332" s="181"/>
      <c r="AM332" s="181"/>
      <c r="AN332" s="181"/>
      <c r="AO332" s="175">
        <f>SUM(Data_Dep.12[[#This Row],[KH_2601]:[KH_2612]])</f>
        <v>0</v>
      </c>
      <c r="AP332" s="175">
        <f>Data_Dep.12[[#This Row],[Giá trị còn lại 31/12/25]]+Data_Dep.12[[#This Row],[KH LK 2026]]</f>
        <v>0</v>
      </c>
    </row>
    <row r="333" spans="1:42" x14ac:dyDescent="0.3">
      <c r="A333" s="169"/>
      <c r="B333" s="169"/>
      <c r="C333" s="182" t="s">
        <v>338</v>
      </c>
      <c r="D333" s="169" t="str">
        <f>_xlfn.XLOOKUP(Data_Dep.12[[#This Row],[Nhóm tài sản]],MD_Account_Asset_Type[Nhóm tài sản],MD_Account_Asset_Type[Tên Nhóm tài sản])</f>
        <v>Máy móc, thiết bị - SX 627</v>
      </c>
      <c r="E333" s="171" t="s">
        <v>862</v>
      </c>
      <c r="F333" s="170" t="s">
        <v>863</v>
      </c>
      <c r="G333" s="169" t="s">
        <v>830</v>
      </c>
      <c r="H333" s="170" t="s">
        <v>48</v>
      </c>
      <c r="I333" s="170" t="str">
        <f>_xlfn.XLOOKUP(Data_Dep.12[[#This Row],[Cost center]],MD_Cost_Center[Mã Cost Center],MD_Cost_Center[Tên Cost Center])</f>
        <v>Xưởng sản xuất PET</v>
      </c>
      <c r="J333" s="172">
        <f>_xlfn.XLOOKUP(Data_Dep.12[[#This Row],[Cost center]],MD_Cost_Center[Mã Cost Center],MD_Cost_Center[Work center],"Check")</f>
        <v>0</v>
      </c>
      <c r="K333" s="169" t="str">
        <f>_xlfn.XLOOKUP(Data_Dep.12[[#This Row],[Nhóm tài sản]],MD_Account_Asset_Type[Nhóm tài sản],MD_Account_Asset_Type[Tài khoản KH],"Check")</f>
        <v>6274001903</v>
      </c>
      <c r="L333" s="173">
        <v>44757</v>
      </c>
      <c r="M333" s="174">
        <f>EDATE(Data_Dep.12[[#This Row],[Ngày bắt đầu KH]],Data_Dep.12[[#This Row],[T/G Khấu hao]])</f>
        <v>45853</v>
      </c>
      <c r="N333" s="175">
        <v>36</v>
      </c>
      <c r="O333" s="175">
        <v>76000000</v>
      </c>
      <c r="P333" s="175">
        <v>-76000000</v>
      </c>
      <c r="Q333" s="175">
        <f>Data_Dep.12[[#This Row],[Nguyên giá]]+Data_Dep.12[[#This Row],[KH lũy kế]]</f>
        <v>0</v>
      </c>
      <c r="R333" s="177"/>
      <c r="S333" s="177"/>
      <c r="T333" s="177"/>
      <c r="U333" s="177">
        <f>SUM(Data_Dep.12[[#This Row],[KH_2510]:[KH_2512]])</f>
        <v>0</v>
      </c>
      <c r="V333" s="175">
        <f>Data_Dep.12[[#This Row],[Nguyên giá]]+Data_Dep.12[[#This Row],[KH lũy kế]]+Data_Dep.12[[#This Row],[KH_Q4.25]]</f>
        <v>0</v>
      </c>
      <c r="W333" s="175">
        <f>ROUND(Data_Dep.12[[#This Row],[T/G Khấu hao]]-Data_Dep.12[[#This Row],[Giá trị còn lại 31/12/25]]/Data_Dep.12[[#This Row],[Nguyên giá]]*Data_Dep.12[[#This Row],[T/G Khấu hao]],0)</f>
        <v>36</v>
      </c>
      <c r="X333" s="179"/>
      <c r="Y333" s="175">
        <f>Data_Dep.12[[#This Row],[T/G Khấu hao]]+Data_Dep.12[[#This Row],[Điều chỉnh]]</f>
        <v>36</v>
      </c>
      <c r="Z333" s="180">
        <f>EDATE(Data_Dep.12[[#This Row],[Ngày bắt đầu KH]],Data_Dep.12[[#This Row],[T/G điều chỉnh]])</f>
        <v>45853</v>
      </c>
      <c r="AA333" s="175">
        <f>Data_Dep.12[[#This Row],[T/G điều chỉnh]]-Data_Dep.12[[#This Row],[Số kỳ đã khấu hao]]</f>
        <v>0</v>
      </c>
      <c r="AB333" s="175">
        <f>IFERROR(-Data_Dep.12[[#This Row],[Giá trị còn lại 31/12/25]]/(Data_Dep.12[[#This Row],[T/G điều chỉnh]]-Data_Dep.12[[#This Row],[Số kỳ đã khấu hao]]),0)</f>
        <v>0</v>
      </c>
      <c r="AC333" s="181"/>
      <c r="AD333" s="181"/>
      <c r="AE333" s="181"/>
      <c r="AF333" s="181"/>
      <c r="AG333" s="181"/>
      <c r="AH333" s="181"/>
      <c r="AI333" s="181"/>
      <c r="AJ333" s="181"/>
      <c r="AK333" s="181"/>
      <c r="AL333" s="181"/>
      <c r="AM333" s="181"/>
      <c r="AN333" s="181"/>
      <c r="AO333" s="175">
        <f>SUM(Data_Dep.12[[#This Row],[KH_2601]:[KH_2612]])</f>
        <v>0</v>
      </c>
      <c r="AP333" s="175">
        <f>Data_Dep.12[[#This Row],[Giá trị còn lại 31/12/25]]+Data_Dep.12[[#This Row],[KH LK 2026]]</f>
        <v>0</v>
      </c>
    </row>
    <row r="334" spans="1:42" x14ac:dyDescent="0.3">
      <c r="A334" s="169"/>
      <c r="B334" s="169"/>
      <c r="C334" s="182" t="s">
        <v>338</v>
      </c>
      <c r="D334" s="169" t="str">
        <f>_xlfn.XLOOKUP(Data_Dep.12[[#This Row],[Nhóm tài sản]],MD_Account_Asset_Type[Nhóm tài sản],MD_Account_Asset_Type[Tên Nhóm tài sản])</f>
        <v>Máy móc, thiết bị - SX 627</v>
      </c>
      <c r="E334" s="171" t="s">
        <v>872</v>
      </c>
      <c r="F334" s="170" t="s">
        <v>873</v>
      </c>
      <c r="G334" s="169" t="s">
        <v>830</v>
      </c>
      <c r="H334" s="170" t="s">
        <v>48</v>
      </c>
      <c r="I334" s="170" t="str">
        <f>_xlfn.XLOOKUP(Data_Dep.12[[#This Row],[Cost center]],MD_Cost_Center[Mã Cost Center],MD_Cost_Center[Tên Cost Center])</f>
        <v>Xưởng sản xuất PET</v>
      </c>
      <c r="J334" s="172">
        <f>_xlfn.XLOOKUP(Data_Dep.12[[#This Row],[Cost center]],MD_Cost_Center[Mã Cost Center],MD_Cost_Center[Work center],"Check")</f>
        <v>0</v>
      </c>
      <c r="K334" s="169" t="str">
        <f>_xlfn.XLOOKUP(Data_Dep.12[[#This Row],[Nhóm tài sản]],MD_Account_Asset_Type[Nhóm tài sản],MD_Account_Asset_Type[Tài khoản KH],"Check")</f>
        <v>6274001903</v>
      </c>
      <c r="L334" s="173">
        <v>45017</v>
      </c>
      <c r="M334" s="174">
        <f>EDATE(Data_Dep.12[[#This Row],[Ngày bắt đầu KH]],Data_Dep.12[[#This Row],[T/G Khấu hao]])</f>
        <v>45383</v>
      </c>
      <c r="N334" s="175">
        <v>12</v>
      </c>
      <c r="O334" s="175">
        <v>904588000</v>
      </c>
      <c r="P334" s="175">
        <v>-904588000</v>
      </c>
      <c r="Q334" s="175">
        <f>Data_Dep.12[[#This Row],[Nguyên giá]]+Data_Dep.12[[#This Row],[KH lũy kế]]</f>
        <v>0</v>
      </c>
      <c r="R334" s="177"/>
      <c r="S334" s="177"/>
      <c r="T334" s="177"/>
      <c r="U334" s="177">
        <f>SUM(Data_Dep.12[[#This Row],[KH_2510]:[KH_2512]])</f>
        <v>0</v>
      </c>
      <c r="V334" s="175">
        <f>Data_Dep.12[[#This Row],[Nguyên giá]]+Data_Dep.12[[#This Row],[KH lũy kế]]+Data_Dep.12[[#This Row],[KH_Q4.25]]</f>
        <v>0</v>
      </c>
      <c r="W334" s="175">
        <f>ROUND(Data_Dep.12[[#This Row],[T/G Khấu hao]]-Data_Dep.12[[#This Row],[Giá trị còn lại 31/12/25]]/Data_Dep.12[[#This Row],[Nguyên giá]]*Data_Dep.12[[#This Row],[T/G Khấu hao]],0)</f>
        <v>12</v>
      </c>
      <c r="X334" s="179"/>
      <c r="Y334" s="175">
        <f>Data_Dep.12[[#This Row],[T/G Khấu hao]]+Data_Dep.12[[#This Row],[Điều chỉnh]]</f>
        <v>12</v>
      </c>
      <c r="Z334" s="180">
        <f>EDATE(Data_Dep.12[[#This Row],[Ngày bắt đầu KH]],Data_Dep.12[[#This Row],[T/G điều chỉnh]])</f>
        <v>45383</v>
      </c>
      <c r="AA334" s="175">
        <f>Data_Dep.12[[#This Row],[T/G điều chỉnh]]-Data_Dep.12[[#This Row],[Số kỳ đã khấu hao]]</f>
        <v>0</v>
      </c>
      <c r="AB334" s="175">
        <f>IFERROR(-Data_Dep.12[[#This Row],[Giá trị còn lại 31/12/25]]/(Data_Dep.12[[#This Row],[T/G điều chỉnh]]-Data_Dep.12[[#This Row],[Số kỳ đã khấu hao]]),0)</f>
        <v>0</v>
      </c>
      <c r="AC334" s="181"/>
      <c r="AD334" s="181"/>
      <c r="AE334" s="181"/>
      <c r="AF334" s="181"/>
      <c r="AG334" s="181"/>
      <c r="AH334" s="181"/>
      <c r="AI334" s="181"/>
      <c r="AJ334" s="181"/>
      <c r="AK334" s="181"/>
      <c r="AL334" s="181"/>
      <c r="AM334" s="181"/>
      <c r="AN334" s="181"/>
      <c r="AO334" s="175">
        <f>SUM(Data_Dep.12[[#This Row],[KH_2601]:[KH_2612]])</f>
        <v>0</v>
      </c>
      <c r="AP334" s="175">
        <f>Data_Dep.12[[#This Row],[Giá trị còn lại 31/12/25]]+Data_Dep.12[[#This Row],[KH LK 2026]]</f>
        <v>0</v>
      </c>
    </row>
    <row r="335" spans="1:42" x14ac:dyDescent="0.3">
      <c r="A335" s="169"/>
      <c r="B335" s="169"/>
      <c r="C335" s="182" t="s">
        <v>338</v>
      </c>
      <c r="D335" s="169" t="str">
        <f>_xlfn.XLOOKUP(Data_Dep.12[[#This Row],[Nhóm tài sản]],MD_Account_Asset_Type[Nhóm tài sản],MD_Account_Asset_Type[Tên Nhóm tài sản])</f>
        <v>Máy móc, thiết bị - SX 627</v>
      </c>
      <c r="E335" s="171" t="s">
        <v>878</v>
      </c>
      <c r="F335" s="170" t="s">
        <v>879</v>
      </c>
      <c r="G335" s="169" t="s">
        <v>830</v>
      </c>
      <c r="H335" s="170" t="s">
        <v>46</v>
      </c>
      <c r="I335" s="170" t="str">
        <f>_xlfn.XLOOKUP(Data_Dep.12[[#This Row],[Cost center]],MD_Cost_Center[Mã Cost Center],MD_Cost_Center[Tên Cost Center])</f>
        <v>Kiểm soát chất lượng</v>
      </c>
      <c r="J335" s="172">
        <f>_xlfn.XLOOKUP(Data_Dep.12[[#This Row],[Cost center]],MD_Cost_Center[Mã Cost Center],MD_Cost_Center[Work center],"Check")</f>
        <v>0</v>
      </c>
      <c r="K335" s="169" t="str">
        <f>_xlfn.XLOOKUP(Data_Dep.12[[#This Row],[Nhóm tài sản]],MD_Account_Asset_Type[Nhóm tài sản],MD_Account_Asset_Type[Tài khoản KH],"Check")</f>
        <v>6274001903</v>
      </c>
      <c r="L335" s="173">
        <v>45139</v>
      </c>
      <c r="M335" s="174">
        <f>EDATE(Data_Dep.12[[#This Row],[Ngày bắt đầu KH]],Data_Dep.12[[#This Row],[T/G Khấu hao]])</f>
        <v>45870</v>
      </c>
      <c r="N335" s="175">
        <v>24</v>
      </c>
      <c r="O335" s="175">
        <v>8144000</v>
      </c>
      <c r="P335" s="175">
        <v>-8144000</v>
      </c>
      <c r="Q335" s="175">
        <f>Data_Dep.12[[#This Row],[Nguyên giá]]+Data_Dep.12[[#This Row],[KH lũy kế]]</f>
        <v>0</v>
      </c>
      <c r="R335" s="177"/>
      <c r="S335" s="177"/>
      <c r="T335" s="177"/>
      <c r="U335" s="177">
        <f>SUM(Data_Dep.12[[#This Row],[KH_2510]:[KH_2512]])</f>
        <v>0</v>
      </c>
      <c r="V335" s="175">
        <f>Data_Dep.12[[#This Row],[Nguyên giá]]+Data_Dep.12[[#This Row],[KH lũy kế]]+Data_Dep.12[[#This Row],[KH_Q4.25]]</f>
        <v>0</v>
      </c>
      <c r="W335" s="175">
        <f>ROUND(Data_Dep.12[[#This Row],[T/G Khấu hao]]-Data_Dep.12[[#This Row],[Giá trị còn lại 31/12/25]]/Data_Dep.12[[#This Row],[Nguyên giá]]*Data_Dep.12[[#This Row],[T/G Khấu hao]],0)</f>
        <v>24</v>
      </c>
      <c r="X335" s="179"/>
      <c r="Y335" s="175">
        <f>Data_Dep.12[[#This Row],[T/G Khấu hao]]+Data_Dep.12[[#This Row],[Điều chỉnh]]</f>
        <v>24</v>
      </c>
      <c r="Z335" s="180">
        <f>EDATE(Data_Dep.12[[#This Row],[Ngày bắt đầu KH]],Data_Dep.12[[#This Row],[T/G điều chỉnh]])</f>
        <v>45870</v>
      </c>
      <c r="AA335" s="175">
        <f>Data_Dep.12[[#This Row],[T/G điều chỉnh]]-Data_Dep.12[[#This Row],[Số kỳ đã khấu hao]]</f>
        <v>0</v>
      </c>
      <c r="AB335" s="175">
        <f>IFERROR(-Data_Dep.12[[#This Row],[Giá trị còn lại 31/12/25]]/(Data_Dep.12[[#This Row],[T/G điều chỉnh]]-Data_Dep.12[[#This Row],[Số kỳ đã khấu hao]]),0)</f>
        <v>0</v>
      </c>
      <c r="AC335" s="181"/>
      <c r="AD335" s="181"/>
      <c r="AE335" s="181"/>
      <c r="AF335" s="181"/>
      <c r="AG335" s="181"/>
      <c r="AH335" s="181"/>
      <c r="AI335" s="181"/>
      <c r="AJ335" s="181"/>
      <c r="AK335" s="181"/>
      <c r="AL335" s="181"/>
      <c r="AM335" s="181"/>
      <c r="AN335" s="181"/>
      <c r="AO335" s="175">
        <f>SUM(Data_Dep.12[[#This Row],[KH_2601]:[KH_2612]])</f>
        <v>0</v>
      </c>
      <c r="AP335" s="175">
        <f>Data_Dep.12[[#This Row],[Giá trị còn lại 31/12/25]]+Data_Dep.12[[#This Row],[KH LK 2026]]</f>
        <v>0</v>
      </c>
    </row>
    <row r="336" spans="1:42" x14ac:dyDescent="0.3">
      <c r="A336" s="169"/>
      <c r="B336" s="169"/>
      <c r="C336" s="182" t="s">
        <v>337</v>
      </c>
      <c r="D336" s="169" t="str">
        <f>_xlfn.XLOOKUP(Data_Dep.12[[#This Row],[Nhóm tài sản]],MD_Account_Asset_Type[Nhóm tài sản],MD_Account_Asset_Type[Tên Nhóm tài sản])</f>
        <v>Máy móc, thiết bị phụ - SX 627</v>
      </c>
      <c r="E336" s="171" t="s">
        <v>953</v>
      </c>
      <c r="F336" s="170" t="s">
        <v>954</v>
      </c>
      <c r="G336" s="169" t="s">
        <v>830</v>
      </c>
      <c r="H336" s="170" t="s">
        <v>51</v>
      </c>
      <c r="I336" s="170" t="str">
        <f>_xlfn.XLOOKUP(Data_Dep.12[[#This Row],[Cost center]],MD_Cost_Center[Mã Cost Center],MD_Cost_Center[Tên Cost Center])</f>
        <v>Chuyền máy tạo vảy PET CW+Tomra</v>
      </c>
      <c r="J336" s="172" t="str">
        <f>_xlfn.XLOOKUP(Data_Dep.12[[#This Row],[Cost center]],MD_Cost_Center[Mã Cost Center],MD_Cost_Center[Work center],"Check")</f>
        <v>CHWO-R01</v>
      </c>
      <c r="K336" s="169" t="str">
        <f>_xlfn.XLOOKUP(Data_Dep.12[[#This Row],[Nhóm tài sản]],MD_Account_Asset_Type[Nhóm tài sản],MD_Account_Asset_Type[Tài khoản KH],"Check")</f>
        <v>6274001906</v>
      </c>
      <c r="L336" s="173">
        <v>44322</v>
      </c>
      <c r="M336" s="174">
        <f>EDATE(Data_Dep.12[[#This Row],[Ngày bắt đầu KH]],Data_Dep.12[[#This Row],[T/G Khấu hao]])</f>
        <v>45418</v>
      </c>
      <c r="N336" s="175">
        <v>36</v>
      </c>
      <c r="O336" s="175">
        <v>60000000</v>
      </c>
      <c r="P336" s="175">
        <v>-60000000</v>
      </c>
      <c r="Q336" s="175">
        <f>Data_Dep.12[[#This Row],[Nguyên giá]]+Data_Dep.12[[#This Row],[KH lũy kế]]</f>
        <v>0</v>
      </c>
      <c r="R336" s="177"/>
      <c r="S336" s="177"/>
      <c r="T336" s="177"/>
      <c r="U336" s="177">
        <f>SUM(Data_Dep.12[[#This Row],[KH_2510]:[KH_2512]])</f>
        <v>0</v>
      </c>
      <c r="V336" s="175">
        <f>Data_Dep.12[[#This Row],[Nguyên giá]]+Data_Dep.12[[#This Row],[KH lũy kế]]+Data_Dep.12[[#This Row],[KH_Q4.25]]</f>
        <v>0</v>
      </c>
      <c r="W336" s="175">
        <f>ROUND(Data_Dep.12[[#This Row],[T/G Khấu hao]]-Data_Dep.12[[#This Row],[Giá trị còn lại 31/12/25]]/Data_Dep.12[[#This Row],[Nguyên giá]]*Data_Dep.12[[#This Row],[T/G Khấu hao]],0)</f>
        <v>36</v>
      </c>
      <c r="X336" s="179"/>
      <c r="Y336" s="175">
        <f>Data_Dep.12[[#This Row],[T/G Khấu hao]]+Data_Dep.12[[#This Row],[Điều chỉnh]]</f>
        <v>36</v>
      </c>
      <c r="Z336" s="180">
        <f>EDATE(Data_Dep.12[[#This Row],[Ngày bắt đầu KH]],Data_Dep.12[[#This Row],[T/G điều chỉnh]])</f>
        <v>45418</v>
      </c>
      <c r="AA336" s="175">
        <f>Data_Dep.12[[#This Row],[T/G điều chỉnh]]-Data_Dep.12[[#This Row],[Số kỳ đã khấu hao]]</f>
        <v>0</v>
      </c>
      <c r="AB336" s="175">
        <f>IFERROR(-Data_Dep.12[[#This Row],[Giá trị còn lại 31/12/25]]/(Data_Dep.12[[#This Row],[T/G điều chỉnh]]-Data_Dep.12[[#This Row],[Số kỳ đã khấu hao]]),0)</f>
        <v>0</v>
      </c>
      <c r="AC336" s="181"/>
      <c r="AD336" s="181"/>
      <c r="AE336" s="181"/>
      <c r="AF336" s="181"/>
      <c r="AG336" s="181"/>
      <c r="AH336" s="181"/>
      <c r="AI336" s="181"/>
      <c r="AJ336" s="181"/>
      <c r="AK336" s="181"/>
      <c r="AL336" s="181"/>
      <c r="AM336" s="181"/>
      <c r="AN336" s="181"/>
      <c r="AO336" s="175">
        <f>SUM(Data_Dep.12[[#This Row],[KH_2601]:[KH_2612]])</f>
        <v>0</v>
      </c>
      <c r="AP336" s="175">
        <f>Data_Dep.12[[#This Row],[Giá trị còn lại 31/12/25]]+Data_Dep.12[[#This Row],[KH LK 2026]]</f>
        <v>0</v>
      </c>
    </row>
    <row r="337" spans="1:42" x14ac:dyDescent="0.3">
      <c r="A337" s="169"/>
      <c r="B337" s="169"/>
      <c r="C337" s="182" t="s">
        <v>337</v>
      </c>
      <c r="D337" s="169" t="str">
        <f>_xlfn.XLOOKUP(Data_Dep.12[[#This Row],[Nhóm tài sản]],MD_Account_Asset_Type[Nhóm tài sản],MD_Account_Asset_Type[Tên Nhóm tài sản])</f>
        <v>Máy móc, thiết bị phụ - SX 627</v>
      </c>
      <c r="E337" s="171" t="s">
        <v>964</v>
      </c>
      <c r="F337" s="170" t="s">
        <v>965</v>
      </c>
      <c r="G337" s="169" t="s">
        <v>830</v>
      </c>
      <c r="H337" s="170" t="s">
        <v>51</v>
      </c>
      <c r="I337" s="170" t="str">
        <f>_xlfn.XLOOKUP(Data_Dep.12[[#This Row],[Cost center]],MD_Cost_Center[Mã Cost Center],MD_Cost_Center[Tên Cost Center])</f>
        <v>Chuyền máy tạo vảy PET CW+Tomra</v>
      </c>
      <c r="J337" s="172" t="str">
        <f>_xlfn.XLOOKUP(Data_Dep.12[[#This Row],[Cost center]],MD_Cost_Center[Mã Cost Center],MD_Cost_Center[Work center],"Check")</f>
        <v>CHWO-R01</v>
      </c>
      <c r="K337" s="169" t="str">
        <f>_xlfn.XLOOKUP(Data_Dep.12[[#This Row],[Nhóm tài sản]],MD_Account_Asset_Type[Nhóm tài sản],MD_Account_Asset_Type[Tài khoản KH],"Check")</f>
        <v>6274001906</v>
      </c>
      <c r="L337" s="173">
        <v>44440</v>
      </c>
      <c r="M337" s="174">
        <f>EDATE(Data_Dep.12[[#This Row],[Ngày bắt đầu KH]],Data_Dep.12[[#This Row],[T/G Khấu hao]])</f>
        <v>45536</v>
      </c>
      <c r="N337" s="175">
        <v>36</v>
      </c>
      <c r="O337" s="175">
        <v>76120000</v>
      </c>
      <c r="P337" s="175">
        <v>-76120000</v>
      </c>
      <c r="Q337" s="175">
        <f>Data_Dep.12[[#This Row],[Nguyên giá]]+Data_Dep.12[[#This Row],[KH lũy kế]]</f>
        <v>0</v>
      </c>
      <c r="R337" s="177"/>
      <c r="S337" s="177"/>
      <c r="T337" s="177"/>
      <c r="U337" s="177">
        <f>SUM(Data_Dep.12[[#This Row],[KH_2510]:[KH_2512]])</f>
        <v>0</v>
      </c>
      <c r="V337" s="175">
        <f>Data_Dep.12[[#This Row],[Nguyên giá]]+Data_Dep.12[[#This Row],[KH lũy kế]]+Data_Dep.12[[#This Row],[KH_Q4.25]]</f>
        <v>0</v>
      </c>
      <c r="W337" s="175">
        <f>ROUND(Data_Dep.12[[#This Row],[T/G Khấu hao]]-Data_Dep.12[[#This Row],[Giá trị còn lại 31/12/25]]/Data_Dep.12[[#This Row],[Nguyên giá]]*Data_Dep.12[[#This Row],[T/G Khấu hao]],0)</f>
        <v>36</v>
      </c>
      <c r="X337" s="179"/>
      <c r="Y337" s="175">
        <f>Data_Dep.12[[#This Row],[T/G Khấu hao]]+Data_Dep.12[[#This Row],[Điều chỉnh]]</f>
        <v>36</v>
      </c>
      <c r="Z337" s="180">
        <f>EDATE(Data_Dep.12[[#This Row],[Ngày bắt đầu KH]],Data_Dep.12[[#This Row],[T/G điều chỉnh]])</f>
        <v>45536</v>
      </c>
      <c r="AA337" s="175">
        <f>Data_Dep.12[[#This Row],[T/G điều chỉnh]]-Data_Dep.12[[#This Row],[Số kỳ đã khấu hao]]</f>
        <v>0</v>
      </c>
      <c r="AB337" s="175">
        <f>IFERROR(-Data_Dep.12[[#This Row],[Giá trị còn lại 31/12/25]]/(Data_Dep.12[[#This Row],[T/G điều chỉnh]]-Data_Dep.12[[#This Row],[Số kỳ đã khấu hao]]),0)</f>
        <v>0</v>
      </c>
      <c r="AC337" s="181"/>
      <c r="AD337" s="181"/>
      <c r="AE337" s="181"/>
      <c r="AF337" s="181"/>
      <c r="AG337" s="181"/>
      <c r="AH337" s="181"/>
      <c r="AI337" s="181"/>
      <c r="AJ337" s="181"/>
      <c r="AK337" s="181"/>
      <c r="AL337" s="181"/>
      <c r="AM337" s="181"/>
      <c r="AN337" s="181"/>
      <c r="AO337" s="175">
        <f>SUM(Data_Dep.12[[#This Row],[KH_2601]:[KH_2612]])</f>
        <v>0</v>
      </c>
      <c r="AP337" s="175">
        <f>Data_Dep.12[[#This Row],[Giá trị còn lại 31/12/25]]+Data_Dep.12[[#This Row],[KH LK 2026]]</f>
        <v>0</v>
      </c>
    </row>
    <row r="338" spans="1:42" x14ac:dyDescent="0.3">
      <c r="A338" s="169"/>
      <c r="B338" s="169"/>
      <c r="C338" s="182" t="s">
        <v>337</v>
      </c>
      <c r="D338" s="169" t="str">
        <f>_xlfn.XLOOKUP(Data_Dep.12[[#This Row],[Nhóm tài sản]],MD_Account_Asset_Type[Nhóm tài sản],MD_Account_Asset_Type[Tên Nhóm tài sản])</f>
        <v>Máy móc, thiết bị phụ - SX 627</v>
      </c>
      <c r="E338" s="171" t="s">
        <v>967</v>
      </c>
      <c r="F338" s="170" t="s">
        <v>968</v>
      </c>
      <c r="G338" s="169" t="s">
        <v>830</v>
      </c>
      <c r="H338" s="170" t="s">
        <v>48</v>
      </c>
      <c r="I338" s="170" t="str">
        <f>_xlfn.XLOOKUP(Data_Dep.12[[#This Row],[Cost center]],MD_Cost_Center[Mã Cost Center],MD_Cost_Center[Tên Cost Center])</f>
        <v>Xưởng sản xuất PET</v>
      </c>
      <c r="J338" s="172">
        <f>_xlfn.XLOOKUP(Data_Dep.12[[#This Row],[Cost center]],MD_Cost_Center[Mã Cost Center],MD_Cost_Center[Work center],"Check")</f>
        <v>0</v>
      </c>
      <c r="K338" s="169" t="str">
        <f>_xlfn.XLOOKUP(Data_Dep.12[[#This Row],[Nhóm tài sản]],MD_Account_Asset_Type[Nhóm tài sản],MD_Account_Asset_Type[Tài khoản KH],"Check")</f>
        <v>6274001906</v>
      </c>
      <c r="L338" s="173">
        <v>44532</v>
      </c>
      <c r="M338" s="174">
        <f>EDATE(Data_Dep.12[[#This Row],[Ngày bắt đầu KH]],Data_Dep.12[[#This Row],[T/G Khấu hao]])</f>
        <v>45628</v>
      </c>
      <c r="N338" s="175">
        <v>36</v>
      </c>
      <c r="O338" s="175">
        <v>66378000</v>
      </c>
      <c r="P338" s="175">
        <v>-66378000</v>
      </c>
      <c r="Q338" s="175">
        <f>Data_Dep.12[[#This Row],[Nguyên giá]]+Data_Dep.12[[#This Row],[KH lũy kế]]</f>
        <v>0</v>
      </c>
      <c r="R338" s="177"/>
      <c r="S338" s="177"/>
      <c r="T338" s="177"/>
      <c r="U338" s="177">
        <f>SUM(Data_Dep.12[[#This Row],[KH_2510]:[KH_2512]])</f>
        <v>0</v>
      </c>
      <c r="V338" s="175">
        <f>Data_Dep.12[[#This Row],[Nguyên giá]]+Data_Dep.12[[#This Row],[KH lũy kế]]+Data_Dep.12[[#This Row],[KH_Q4.25]]</f>
        <v>0</v>
      </c>
      <c r="W338" s="175">
        <f>ROUND(Data_Dep.12[[#This Row],[T/G Khấu hao]]-Data_Dep.12[[#This Row],[Giá trị còn lại 31/12/25]]/Data_Dep.12[[#This Row],[Nguyên giá]]*Data_Dep.12[[#This Row],[T/G Khấu hao]],0)</f>
        <v>36</v>
      </c>
      <c r="X338" s="179"/>
      <c r="Y338" s="175">
        <f>Data_Dep.12[[#This Row],[T/G Khấu hao]]+Data_Dep.12[[#This Row],[Điều chỉnh]]</f>
        <v>36</v>
      </c>
      <c r="Z338" s="180">
        <f>EDATE(Data_Dep.12[[#This Row],[Ngày bắt đầu KH]],Data_Dep.12[[#This Row],[T/G điều chỉnh]])</f>
        <v>45628</v>
      </c>
      <c r="AA338" s="175">
        <f>Data_Dep.12[[#This Row],[T/G điều chỉnh]]-Data_Dep.12[[#This Row],[Số kỳ đã khấu hao]]</f>
        <v>0</v>
      </c>
      <c r="AB338" s="175">
        <f>IFERROR(-Data_Dep.12[[#This Row],[Giá trị còn lại 31/12/25]]/(Data_Dep.12[[#This Row],[T/G điều chỉnh]]-Data_Dep.12[[#This Row],[Số kỳ đã khấu hao]]),0)</f>
        <v>0</v>
      </c>
      <c r="AC338" s="181"/>
      <c r="AD338" s="181"/>
      <c r="AE338" s="181"/>
      <c r="AF338" s="181"/>
      <c r="AG338" s="181"/>
      <c r="AH338" s="181"/>
      <c r="AI338" s="181"/>
      <c r="AJ338" s="181"/>
      <c r="AK338" s="181"/>
      <c r="AL338" s="181"/>
      <c r="AM338" s="181"/>
      <c r="AN338" s="181"/>
      <c r="AO338" s="175">
        <f>SUM(Data_Dep.12[[#This Row],[KH_2601]:[KH_2612]])</f>
        <v>0</v>
      </c>
      <c r="AP338" s="175">
        <f>Data_Dep.12[[#This Row],[Giá trị còn lại 31/12/25]]+Data_Dep.12[[#This Row],[KH LK 2026]]</f>
        <v>0</v>
      </c>
    </row>
    <row r="339" spans="1:42" x14ac:dyDescent="0.3">
      <c r="A339" s="169"/>
      <c r="B339" s="169"/>
      <c r="C339" s="182" t="s">
        <v>337</v>
      </c>
      <c r="D339" s="169" t="str">
        <f>_xlfn.XLOOKUP(Data_Dep.12[[#This Row],[Nhóm tài sản]],MD_Account_Asset_Type[Nhóm tài sản],MD_Account_Asset_Type[Tên Nhóm tài sản])</f>
        <v>Máy móc, thiết bị phụ - SX 627</v>
      </c>
      <c r="E339" s="171" t="s">
        <v>969</v>
      </c>
      <c r="F339" s="170" t="s">
        <v>970</v>
      </c>
      <c r="G339" s="169" t="s">
        <v>830</v>
      </c>
      <c r="H339" s="170" t="s">
        <v>51</v>
      </c>
      <c r="I339" s="170" t="str">
        <f>_xlfn.XLOOKUP(Data_Dep.12[[#This Row],[Cost center]],MD_Cost_Center[Mã Cost Center],MD_Cost_Center[Tên Cost Center])</f>
        <v>Chuyền máy tạo vảy PET CW+Tomra</v>
      </c>
      <c r="J339" s="172" t="str">
        <f>_xlfn.XLOOKUP(Data_Dep.12[[#This Row],[Cost center]],MD_Cost_Center[Mã Cost Center],MD_Cost_Center[Work center],"Check")</f>
        <v>CHWO-R01</v>
      </c>
      <c r="K339" s="169" t="str">
        <f>_xlfn.XLOOKUP(Data_Dep.12[[#This Row],[Nhóm tài sản]],MD_Account_Asset_Type[Nhóm tài sản],MD_Account_Asset_Type[Tài khoản KH],"Check")</f>
        <v>6274001906</v>
      </c>
      <c r="L339" s="173">
        <v>44593</v>
      </c>
      <c r="M339" s="174">
        <f>EDATE(Data_Dep.12[[#This Row],[Ngày bắt đầu KH]],Data_Dep.12[[#This Row],[T/G Khấu hao]])</f>
        <v>45689</v>
      </c>
      <c r="N339" s="175">
        <v>36</v>
      </c>
      <c r="O339" s="175">
        <v>53000000</v>
      </c>
      <c r="P339" s="175">
        <v>-53000000</v>
      </c>
      <c r="Q339" s="175">
        <f>Data_Dep.12[[#This Row],[Nguyên giá]]+Data_Dep.12[[#This Row],[KH lũy kế]]</f>
        <v>0</v>
      </c>
      <c r="R339" s="177"/>
      <c r="S339" s="177"/>
      <c r="T339" s="177"/>
      <c r="U339" s="177">
        <f>SUM(Data_Dep.12[[#This Row],[KH_2510]:[KH_2512]])</f>
        <v>0</v>
      </c>
      <c r="V339" s="175">
        <f>Data_Dep.12[[#This Row],[Nguyên giá]]+Data_Dep.12[[#This Row],[KH lũy kế]]+Data_Dep.12[[#This Row],[KH_Q4.25]]</f>
        <v>0</v>
      </c>
      <c r="W339" s="175">
        <f>ROUND(Data_Dep.12[[#This Row],[T/G Khấu hao]]-Data_Dep.12[[#This Row],[Giá trị còn lại 31/12/25]]/Data_Dep.12[[#This Row],[Nguyên giá]]*Data_Dep.12[[#This Row],[T/G Khấu hao]],0)</f>
        <v>36</v>
      </c>
      <c r="X339" s="179"/>
      <c r="Y339" s="175">
        <f>Data_Dep.12[[#This Row],[T/G Khấu hao]]+Data_Dep.12[[#This Row],[Điều chỉnh]]</f>
        <v>36</v>
      </c>
      <c r="Z339" s="180">
        <f>EDATE(Data_Dep.12[[#This Row],[Ngày bắt đầu KH]],Data_Dep.12[[#This Row],[T/G điều chỉnh]])</f>
        <v>45689</v>
      </c>
      <c r="AA339" s="175">
        <f>Data_Dep.12[[#This Row],[T/G điều chỉnh]]-Data_Dep.12[[#This Row],[Số kỳ đã khấu hao]]</f>
        <v>0</v>
      </c>
      <c r="AB339" s="175">
        <f>IFERROR(-Data_Dep.12[[#This Row],[Giá trị còn lại 31/12/25]]/(Data_Dep.12[[#This Row],[T/G điều chỉnh]]-Data_Dep.12[[#This Row],[Số kỳ đã khấu hao]]),0)</f>
        <v>0</v>
      </c>
      <c r="AC339" s="181"/>
      <c r="AD339" s="181"/>
      <c r="AE339" s="181"/>
      <c r="AF339" s="181"/>
      <c r="AG339" s="181"/>
      <c r="AH339" s="181"/>
      <c r="AI339" s="181"/>
      <c r="AJ339" s="181"/>
      <c r="AK339" s="181"/>
      <c r="AL339" s="181"/>
      <c r="AM339" s="181"/>
      <c r="AN339" s="181"/>
      <c r="AO339" s="175">
        <f>SUM(Data_Dep.12[[#This Row],[KH_2601]:[KH_2612]])</f>
        <v>0</v>
      </c>
      <c r="AP339" s="175">
        <f>Data_Dep.12[[#This Row],[Giá trị còn lại 31/12/25]]+Data_Dep.12[[#This Row],[KH LK 2026]]</f>
        <v>0</v>
      </c>
    </row>
    <row r="340" spans="1:42" x14ac:dyDescent="0.3">
      <c r="A340" s="169"/>
      <c r="B340" s="169"/>
      <c r="C340" s="182" t="s">
        <v>337</v>
      </c>
      <c r="D340" s="169" t="str">
        <f>_xlfn.XLOOKUP(Data_Dep.12[[#This Row],[Nhóm tài sản]],MD_Account_Asset_Type[Nhóm tài sản],MD_Account_Asset_Type[Tên Nhóm tài sản])</f>
        <v>Máy móc, thiết bị phụ - SX 627</v>
      </c>
      <c r="E340" s="171" t="s">
        <v>976</v>
      </c>
      <c r="F340" s="170" t="s">
        <v>977</v>
      </c>
      <c r="G340" s="169" t="s">
        <v>830</v>
      </c>
      <c r="H340" s="170" t="s">
        <v>56</v>
      </c>
      <c r="I340" s="170" t="str">
        <f>_xlfn.XLOOKUP(Data_Dep.12[[#This Row],[Cost center]],MD_Cost_Center[Mã Cost Center],MD_Cost_Center[Tên Cost Center])</f>
        <v>Máy tạo vảy - Carno</v>
      </c>
      <c r="J340" s="172" t="str">
        <f>_xlfn.XLOOKUP(Data_Dep.12[[#This Row],[Cost center]],MD_Cost_Center[Mã Cost Center],MD_Cost_Center[Work center],"Check")</f>
        <v>CARN-01 | CARN-02 | CARN-03 | CARN-04</v>
      </c>
      <c r="K340" s="169" t="str">
        <f>_xlfn.XLOOKUP(Data_Dep.12[[#This Row],[Nhóm tài sản]],MD_Account_Asset_Type[Nhóm tài sản],MD_Account_Asset_Type[Tài khoản KH],"Check")</f>
        <v>6274001906</v>
      </c>
      <c r="L340" s="173">
        <v>44713</v>
      </c>
      <c r="M340" s="174">
        <f>EDATE(Data_Dep.12[[#This Row],[Ngày bắt đầu KH]],Data_Dep.12[[#This Row],[T/G Khấu hao]])</f>
        <v>45809</v>
      </c>
      <c r="N340" s="175">
        <v>36</v>
      </c>
      <c r="O340" s="175">
        <v>72000000</v>
      </c>
      <c r="P340" s="175">
        <v>-72000000</v>
      </c>
      <c r="Q340" s="175">
        <f>Data_Dep.12[[#This Row],[Nguyên giá]]+Data_Dep.12[[#This Row],[KH lũy kế]]</f>
        <v>0</v>
      </c>
      <c r="R340" s="177"/>
      <c r="S340" s="177"/>
      <c r="T340" s="177"/>
      <c r="U340" s="177">
        <f>SUM(Data_Dep.12[[#This Row],[KH_2510]:[KH_2512]])</f>
        <v>0</v>
      </c>
      <c r="V340" s="175">
        <f>Data_Dep.12[[#This Row],[Nguyên giá]]+Data_Dep.12[[#This Row],[KH lũy kế]]+Data_Dep.12[[#This Row],[KH_Q4.25]]</f>
        <v>0</v>
      </c>
      <c r="W340" s="175">
        <f>ROUND(Data_Dep.12[[#This Row],[T/G Khấu hao]]-Data_Dep.12[[#This Row],[Giá trị còn lại 31/12/25]]/Data_Dep.12[[#This Row],[Nguyên giá]]*Data_Dep.12[[#This Row],[T/G Khấu hao]],0)</f>
        <v>36</v>
      </c>
      <c r="X340" s="179"/>
      <c r="Y340" s="175">
        <f>Data_Dep.12[[#This Row],[T/G Khấu hao]]+Data_Dep.12[[#This Row],[Điều chỉnh]]</f>
        <v>36</v>
      </c>
      <c r="Z340" s="180">
        <f>EDATE(Data_Dep.12[[#This Row],[Ngày bắt đầu KH]],Data_Dep.12[[#This Row],[T/G điều chỉnh]])</f>
        <v>45809</v>
      </c>
      <c r="AA340" s="175">
        <f>Data_Dep.12[[#This Row],[T/G điều chỉnh]]-Data_Dep.12[[#This Row],[Số kỳ đã khấu hao]]</f>
        <v>0</v>
      </c>
      <c r="AB340" s="175">
        <f>IFERROR(-Data_Dep.12[[#This Row],[Giá trị còn lại 31/12/25]]/(Data_Dep.12[[#This Row],[T/G điều chỉnh]]-Data_Dep.12[[#This Row],[Số kỳ đã khấu hao]]),0)</f>
        <v>0</v>
      </c>
      <c r="AC340" s="181"/>
      <c r="AD340" s="181"/>
      <c r="AE340" s="181"/>
      <c r="AF340" s="181"/>
      <c r="AG340" s="181"/>
      <c r="AH340" s="181"/>
      <c r="AI340" s="181"/>
      <c r="AJ340" s="181"/>
      <c r="AK340" s="181"/>
      <c r="AL340" s="181"/>
      <c r="AM340" s="181"/>
      <c r="AN340" s="181"/>
      <c r="AO340" s="175">
        <f>SUM(Data_Dep.12[[#This Row],[KH_2601]:[KH_2612]])</f>
        <v>0</v>
      </c>
      <c r="AP340" s="175">
        <f>Data_Dep.12[[#This Row],[Giá trị còn lại 31/12/25]]+Data_Dep.12[[#This Row],[KH LK 2026]]</f>
        <v>0</v>
      </c>
    </row>
    <row r="341" spans="1:42" x14ac:dyDescent="0.3">
      <c r="A341" s="169"/>
      <c r="B341" s="169"/>
      <c r="C341" s="182" t="s">
        <v>337</v>
      </c>
      <c r="D341" s="169" t="str">
        <f>_xlfn.XLOOKUP(Data_Dep.12[[#This Row],[Nhóm tài sản]],MD_Account_Asset_Type[Nhóm tài sản],MD_Account_Asset_Type[Tên Nhóm tài sản])</f>
        <v>Máy móc, thiết bị phụ - SX 627</v>
      </c>
      <c r="E341" s="171" t="s">
        <v>980</v>
      </c>
      <c r="F341" s="170" t="s">
        <v>981</v>
      </c>
      <c r="G341" s="169" t="s">
        <v>830</v>
      </c>
      <c r="H341" s="170" t="s">
        <v>46</v>
      </c>
      <c r="I341" s="170" t="str">
        <f>_xlfn.XLOOKUP(Data_Dep.12[[#This Row],[Cost center]],MD_Cost_Center[Mã Cost Center],MD_Cost_Center[Tên Cost Center])</f>
        <v>Kiểm soát chất lượng</v>
      </c>
      <c r="J341" s="172">
        <f>_xlfn.XLOOKUP(Data_Dep.12[[#This Row],[Cost center]],MD_Cost_Center[Mã Cost Center],MD_Cost_Center[Work center],"Check")</f>
        <v>0</v>
      </c>
      <c r="K341" s="169" t="str">
        <f>_xlfn.XLOOKUP(Data_Dep.12[[#This Row],[Nhóm tài sản]],MD_Account_Asset_Type[Nhóm tài sản],MD_Account_Asset_Type[Tài khoản KH],"Check")</f>
        <v>6274001906</v>
      </c>
      <c r="L341" s="173">
        <v>44835</v>
      </c>
      <c r="M341" s="174">
        <f>EDATE(Data_Dep.12[[#This Row],[Ngày bắt đầu KH]],Data_Dep.12[[#This Row],[T/G Khấu hao]])</f>
        <v>45931</v>
      </c>
      <c r="N341" s="175">
        <v>36</v>
      </c>
      <c r="O341" s="175">
        <v>49000000</v>
      </c>
      <c r="P341" s="175">
        <v>-49000000</v>
      </c>
      <c r="Q341" s="175">
        <f>Data_Dep.12[[#This Row],[Nguyên giá]]+Data_Dep.12[[#This Row],[KH lũy kế]]</f>
        <v>0</v>
      </c>
      <c r="R341" s="177"/>
      <c r="S341" s="177"/>
      <c r="T341" s="177"/>
      <c r="U341" s="177">
        <f>SUM(Data_Dep.12[[#This Row],[KH_2510]:[KH_2512]])</f>
        <v>0</v>
      </c>
      <c r="V341" s="175">
        <f>Data_Dep.12[[#This Row],[Nguyên giá]]+Data_Dep.12[[#This Row],[KH lũy kế]]+Data_Dep.12[[#This Row],[KH_Q4.25]]</f>
        <v>0</v>
      </c>
      <c r="W341" s="175">
        <f>ROUND(Data_Dep.12[[#This Row],[T/G Khấu hao]]-Data_Dep.12[[#This Row],[Giá trị còn lại 31/12/25]]/Data_Dep.12[[#This Row],[Nguyên giá]]*Data_Dep.12[[#This Row],[T/G Khấu hao]],0)</f>
        <v>36</v>
      </c>
      <c r="X341" s="179"/>
      <c r="Y341" s="175">
        <f>Data_Dep.12[[#This Row],[T/G Khấu hao]]+Data_Dep.12[[#This Row],[Điều chỉnh]]</f>
        <v>36</v>
      </c>
      <c r="Z341" s="180">
        <f>EDATE(Data_Dep.12[[#This Row],[Ngày bắt đầu KH]],Data_Dep.12[[#This Row],[T/G điều chỉnh]])</f>
        <v>45931</v>
      </c>
      <c r="AA341" s="175">
        <f>Data_Dep.12[[#This Row],[T/G điều chỉnh]]-Data_Dep.12[[#This Row],[Số kỳ đã khấu hao]]</f>
        <v>0</v>
      </c>
      <c r="AB341" s="175">
        <f>IFERROR(-Data_Dep.12[[#This Row],[Giá trị còn lại 31/12/25]]/(Data_Dep.12[[#This Row],[T/G điều chỉnh]]-Data_Dep.12[[#This Row],[Số kỳ đã khấu hao]]),0)</f>
        <v>0</v>
      </c>
      <c r="AC341" s="181"/>
      <c r="AD341" s="181"/>
      <c r="AE341" s="181"/>
      <c r="AF341" s="181"/>
      <c r="AG341" s="181"/>
      <c r="AH341" s="181"/>
      <c r="AI341" s="181"/>
      <c r="AJ341" s="181"/>
      <c r="AK341" s="181"/>
      <c r="AL341" s="181"/>
      <c r="AM341" s="181"/>
      <c r="AN341" s="181"/>
      <c r="AO341" s="175">
        <f>SUM(Data_Dep.12[[#This Row],[KH_2601]:[KH_2612]])</f>
        <v>0</v>
      </c>
      <c r="AP341" s="175">
        <f>Data_Dep.12[[#This Row],[Giá trị còn lại 31/12/25]]+Data_Dep.12[[#This Row],[KH LK 2026]]</f>
        <v>0</v>
      </c>
    </row>
    <row r="342" spans="1:42" x14ac:dyDescent="0.3">
      <c r="A342" s="169"/>
      <c r="B342" s="169"/>
      <c r="C342" s="182" t="s">
        <v>337</v>
      </c>
      <c r="D342" s="169" t="str">
        <f>_xlfn.XLOOKUP(Data_Dep.12[[#This Row],[Nhóm tài sản]],MD_Account_Asset_Type[Nhóm tài sản],MD_Account_Asset_Type[Tên Nhóm tài sản])</f>
        <v>Máy móc, thiết bị phụ - SX 627</v>
      </c>
      <c r="E342" s="171" t="s">
        <v>1000</v>
      </c>
      <c r="F342" s="170" t="s">
        <v>1001</v>
      </c>
      <c r="G342" s="169" t="s">
        <v>830</v>
      </c>
      <c r="H342" s="170" t="s">
        <v>48</v>
      </c>
      <c r="I342" s="170" t="str">
        <f>_xlfn.XLOOKUP(Data_Dep.12[[#This Row],[Cost center]],MD_Cost_Center[Mã Cost Center],MD_Cost_Center[Tên Cost Center])</f>
        <v>Xưởng sản xuất PET</v>
      </c>
      <c r="J342" s="172">
        <f>_xlfn.XLOOKUP(Data_Dep.12[[#This Row],[Cost center]],MD_Cost_Center[Mã Cost Center],MD_Cost_Center[Work center],"Check")</f>
        <v>0</v>
      </c>
      <c r="K342" s="169" t="str">
        <f>_xlfn.XLOOKUP(Data_Dep.12[[#This Row],[Nhóm tài sản]],MD_Account_Asset_Type[Nhóm tài sản],MD_Account_Asset_Type[Tài khoản KH],"Check")</f>
        <v>6274001906</v>
      </c>
      <c r="L342" s="173">
        <v>44986</v>
      </c>
      <c r="M342" s="174">
        <f>EDATE(Data_Dep.12[[#This Row],[Ngày bắt đầu KH]],Data_Dep.12[[#This Row],[T/G Khấu hao]])</f>
        <v>45717</v>
      </c>
      <c r="N342" s="175">
        <v>24</v>
      </c>
      <c r="O342" s="175">
        <v>422500000</v>
      </c>
      <c r="P342" s="175">
        <v>-422500000</v>
      </c>
      <c r="Q342" s="175">
        <f>Data_Dep.12[[#This Row],[Nguyên giá]]+Data_Dep.12[[#This Row],[KH lũy kế]]</f>
        <v>0</v>
      </c>
      <c r="R342" s="177"/>
      <c r="S342" s="177"/>
      <c r="T342" s="177"/>
      <c r="U342" s="177">
        <f>SUM(Data_Dep.12[[#This Row],[KH_2510]:[KH_2512]])</f>
        <v>0</v>
      </c>
      <c r="V342" s="175">
        <f>Data_Dep.12[[#This Row],[Nguyên giá]]+Data_Dep.12[[#This Row],[KH lũy kế]]+Data_Dep.12[[#This Row],[KH_Q4.25]]</f>
        <v>0</v>
      </c>
      <c r="W342" s="175">
        <f>ROUND(Data_Dep.12[[#This Row],[T/G Khấu hao]]-Data_Dep.12[[#This Row],[Giá trị còn lại 31/12/25]]/Data_Dep.12[[#This Row],[Nguyên giá]]*Data_Dep.12[[#This Row],[T/G Khấu hao]],0)</f>
        <v>24</v>
      </c>
      <c r="X342" s="179"/>
      <c r="Y342" s="175">
        <f>Data_Dep.12[[#This Row],[T/G Khấu hao]]+Data_Dep.12[[#This Row],[Điều chỉnh]]</f>
        <v>24</v>
      </c>
      <c r="Z342" s="180">
        <f>EDATE(Data_Dep.12[[#This Row],[Ngày bắt đầu KH]],Data_Dep.12[[#This Row],[T/G điều chỉnh]])</f>
        <v>45717</v>
      </c>
      <c r="AA342" s="175">
        <f>Data_Dep.12[[#This Row],[T/G điều chỉnh]]-Data_Dep.12[[#This Row],[Số kỳ đã khấu hao]]</f>
        <v>0</v>
      </c>
      <c r="AB342" s="175">
        <f>IFERROR(-Data_Dep.12[[#This Row],[Giá trị còn lại 31/12/25]]/(Data_Dep.12[[#This Row],[T/G điều chỉnh]]-Data_Dep.12[[#This Row],[Số kỳ đã khấu hao]]),0)</f>
        <v>0</v>
      </c>
      <c r="AC342" s="181"/>
      <c r="AD342" s="181"/>
      <c r="AE342" s="181"/>
      <c r="AF342" s="181"/>
      <c r="AG342" s="181"/>
      <c r="AH342" s="181"/>
      <c r="AI342" s="181"/>
      <c r="AJ342" s="181"/>
      <c r="AK342" s="181"/>
      <c r="AL342" s="181"/>
      <c r="AM342" s="181"/>
      <c r="AN342" s="181"/>
      <c r="AO342" s="175">
        <f>SUM(Data_Dep.12[[#This Row],[KH_2601]:[KH_2612]])</f>
        <v>0</v>
      </c>
      <c r="AP342" s="175">
        <f>Data_Dep.12[[#This Row],[Giá trị còn lại 31/12/25]]+Data_Dep.12[[#This Row],[KH LK 2026]]</f>
        <v>0</v>
      </c>
    </row>
    <row r="343" spans="1:42" x14ac:dyDescent="0.3">
      <c r="A343" s="169"/>
      <c r="B343" s="169"/>
      <c r="C343" s="182" t="s">
        <v>341</v>
      </c>
      <c r="D343" s="169" t="str">
        <f>_xlfn.XLOOKUP(Data_Dep.12[[#This Row],[Nhóm tài sản]],MD_Account_Asset_Type[Nhóm tài sản],MD_Account_Asset_Type[Tên Nhóm tài sản])</f>
        <v>Máy móc, thiết bị - QL 642</v>
      </c>
      <c r="E343" s="171" t="s">
        <v>1056</v>
      </c>
      <c r="F343" s="170" t="s">
        <v>1057</v>
      </c>
      <c r="G343" s="169" t="s">
        <v>830</v>
      </c>
      <c r="H343" s="170" t="s">
        <v>36</v>
      </c>
      <c r="I343" s="170" t="str">
        <f>_xlfn.XLOOKUP(Data_Dep.12[[#This Row],[Cost center]],MD_Cost_Center[Mã Cost Center],MD_Cost_Center[Tên Cost Center])</f>
        <v>Hành chánh nhân sự</v>
      </c>
      <c r="J343" s="172">
        <f>_xlfn.XLOOKUP(Data_Dep.12[[#This Row],[Cost center]],MD_Cost_Center[Mã Cost Center],MD_Cost_Center[Work center],"Check")</f>
        <v>0</v>
      </c>
      <c r="K343" s="169" t="str">
        <f>_xlfn.XLOOKUP(Data_Dep.12[[#This Row],[Nhóm tài sản]],MD_Account_Asset_Type[Nhóm tài sản],MD_Account_Asset_Type[Tài khoản KH],"Check")</f>
        <v>6424001903</v>
      </c>
      <c r="L343" s="173">
        <v>43843</v>
      </c>
      <c r="M343" s="174">
        <f>EDATE(Data_Dep.12[[#This Row],[Ngày bắt đầu KH]],Data_Dep.12[[#This Row],[T/G Khấu hao]])</f>
        <v>45670</v>
      </c>
      <c r="N343" s="175">
        <v>60</v>
      </c>
      <c r="O343" s="175">
        <v>57000000</v>
      </c>
      <c r="P343" s="175">
        <v>-57000000</v>
      </c>
      <c r="Q343" s="175">
        <f>Data_Dep.12[[#This Row],[Nguyên giá]]+Data_Dep.12[[#This Row],[KH lũy kế]]</f>
        <v>0</v>
      </c>
      <c r="R343" s="177"/>
      <c r="S343" s="177"/>
      <c r="T343" s="177"/>
      <c r="U343" s="177">
        <f>SUM(Data_Dep.12[[#This Row],[KH_2510]:[KH_2512]])</f>
        <v>0</v>
      </c>
      <c r="V343" s="175">
        <f>Data_Dep.12[[#This Row],[Nguyên giá]]+Data_Dep.12[[#This Row],[KH lũy kế]]+Data_Dep.12[[#This Row],[KH_Q4.25]]</f>
        <v>0</v>
      </c>
      <c r="W343" s="175">
        <f>ROUND(Data_Dep.12[[#This Row],[T/G Khấu hao]]-Data_Dep.12[[#This Row],[Giá trị còn lại 31/12/25]]/Data_Dep.12[[#This Row],[Nguyên giá]]*Data_Dep.12[[#This Row],[T/G Khấu hao]],0)</f>
        <v>60</v>
      </c>
      <c r="X343" s="179"/>
      <c r="Y343" s="175">
        <f>Data_Dep.12[[#This Row],[T/G Khấu hao]]+Data_Dep.12[[#This Row],[Điều chỉnh]]</f>
        <v>60</v>
      </c>
      <c r="Z343" s="180">
        <f>EDATE(Data_Dep.12[[#This Row],[Ngày bắt đầu KH]],Data_Dep.12[[#This Row],[T/G điều chỉnh]])</f>
        <v>45670</v>
      </c>
      <c r="AA343" s="175">
        <f>Data_Dep.12[[#This Row],[T/G điều chỉnh]]-Data_Dep.12[[#This Row],[Số kỳ đã khấu hao]]</f>
        <v>0</v>
      </c>
      <c r="AB343" s="175">
        <f>IFERROR(-Data_Dep.12[[#This Row],[Giá trị còn lại 31/12/25]]/(Data_Dep.12[[#This Row],[T/G điều chỉnh]]-Data_Dep.12[[#This Row],[Số kỳ đã khấu hao]]),0)</f>
        <v>0</v>
      </c>
      <c r="AC343" s="181"/>
      <c r="AD343" s="181"/>
      <c r="AE343" s="181"/>
      <c r="AF343" s="181"/>
      <c r="AG343" s="181"/>
      <c r="AH343" s="181"/>
      <c r="AI343" s="181"/>
      <c r="AJ343" s="181"/>
      <c r="AK343" s="181"/>
      <c r="AL343" s="181"/>
      <c r="AM343" s="181"/>
      <c r="AN343" s="181"/>
      <c r="AO343" s="175">
        <f>SUM(Data_Dep.12[[#This Row],[KH_2601]:[KH_2612]])</f>
        <v>0</v>
      </c>
      <c r="AP343" s="175">
        <f>Data_Dep.12[[#This Row],[Giá trị còn lại 31/12/25]]+Data_Dep.12[[#This Row],[KH LK 2026]]</f>
        <v>0</v>
      </c>
    </row>
    <row r="344" spans="1:42" x14ac:dyDescent="0.3">
      <c r="A344" s="169"/>
      <c r="B344" s="169"/>
      <c r="C344" s="182" t="s">
        <v>341</v>
      </c>
      <c r="D344" s="169" t="str">
        <f>_xlfn.XLOOKUP(Data_Dep.12[[#This Row],[Nhóm tài sản]],MD_Account_Asset_Type[Nhóm tài sản],MD_Account_Asset_Type[Tên Nhóm tài sản])</f>
        <v>Máy móc, thiết bị - QL 642</v>
      </c>
      <c r="E344" s="171" t="s">
        <v>1058</v>
      </c>
      <c r="F344" s="170" t="s">
        <v>1059</v>
      </c>
      <c r="G344" s="169" t="s">
        <v>830</v>
      </c>
      <c r="H344" s="170" t="s">
        <v>36</v>
      </c>
      <c r="I344" s="170" t="str">
        <f>_xlfn.XLOOKUP(Data_Dep.12[[#This Row],[Cost center]],MD_Cost_Center[Mã Cost Center],MD_Cost_Center[Tên Cost Center])</f>
        <v>Hành chánh nhân sự</v>
      </c>
      <c r="J344" s="172">
        <f>_xlfn.XLOOKUP(Data_Dep.12[[#This Row],[Cost center]],MD_Cost_Center[Mã Cost Center],MD_Cost_Center[Work center],"Check")</f>
        <v>0</v>
      </c>
      <c r="K344" s="169" t="str">
        <f>_xlfn.XLOOKUP(Data_Dep.12[[#This Row],[Nhóm tài sản]],MD_Account_Asset_Type[Nhóm tài sản],MD_Account_Asset_Type[Tài khoản KH],"Check")</f>
        <v>6424001903</v>
      </c>
      <c r="L344" s="173">
        <v>44299</v>
      </c>
      <c r="M344" s="174">
        <f>EDATE(Data_Dep.12[[#This Row],[Ngày bắt đầu KH]],Data_Dep.12[[#This Row],[T/G Khấu hao]])</f>
        <v>45395</v>
      </c>
      <c r="N344" s="175">
        <v>36</v>
      </c>
      <c r="O344" s="175">
        <v>72000000</v>
      </c>
      <c r="P344" s="175">
        <v>-72000000</v>
      </c>
      <c r="Q344" s="175">
        <f>Data_Dep.12[[#This Row],[Nguyên giá]]+Data_Dep.12[[#This Row],[KH lũy kế]]</f>
        <v>0</v>
      </c>
      <c r="R344" s="177"/>
      <c r="S344" s="177"/>
      <c r="T344" s="177"/>
      <c r="U344" s="177">
        <f>SUM(Data_Dep.12[[#This Row],[KH_2510]:[KH_2512]])</f>
        <v>0</v>
      </c>
      <c r="V344" s="175">
        <f>Data_Dep.12[[#This Row],[Nguyên giá]]+Data_Dep.12[[#This Row],[KH lũy kế]]+Data_Dep.12[[#This Row],[KH_Q4.25]]</f>
        <v>0</v>
      </c>
      <c r="W344" s="175">
        <f>ROUND(Data_Dep.12[[#This Row],[T/G Khấu hao]]-Data_Dep.12[[#This Row],[Giá trị còn lại 31/12/25]]/Data_Dep.12[[#This Row],[Nguyên giá]]*Data_Dep.12[[#This Row],[T/G Khấu hao]],0)</f>
        <v>36</v>
      </c>
      <c r="X344" s="179"/>
      <c r="Y344" s="175">
        <f>Data_Dep.12[[#This Row],[T/G Khấu hao]]+Data_Dep.12[[#This Row],[Điều chỉnh]]</f>
        <v>36</v>
      </c>
      <c r="Z344" s="180">
        <f>EDATE(Data_Dep.12[[#This Row],[Ngày bắt đầu KH]],Data_Dep.12[[#This Row],[T/G điều chỉnh]])</f>
        <v>45395</v>
      </c>
      <c r="AA344" s="175">
        <f>Data_Dep.12[[#This Row],[T/G điều chỉnh]]-Data_Dep.12[[#This Row],[Số kỳ đã khấu hao]]</f>
        <v>0</v>
      </c>
      <c r="AB344" s="175">
        <f>IFERROR(-Data_Dep.12[[#This Row],[Giá trị còn lại 31/12/25]]/(Data_Dep.12[[#This Row],[T/G điều chỉnh]]-Data_Dep.12[[#This Row],[Số kỳ đã khấu hao]]),0)</f>
        <v>0</v>
      </c>
      <c r="AC344" s="181"/>
      <c r="AD344" s="181"/>
      <c r="AE344" s="181"/>
      <c r="AF344" s="181"/>
      <c r="AG344" s="181"/>
      <c r="AH344" s="181"/>
      <c r="AI344" s="181"/>
      <c r="AJ344" s="181"/>
      <c r="AK344" s="181"/>
      <c r="AL344" s="181"/>
      <c r="AM344" s="181"/>
      <c r="AN344" s="181"/>
      <c r="AO344" s="175">
        <f>SUM(Data_Dep.12[[#This Row],[KH_2601]:[KH_2612]])</f>
        <v>0</v>
      </c>
      <c r="AP344" s="175">
        <f>Data_Dep.12[[#This Row],[Giá trị còn lại 31/12/25]]+Data_Dep.12[[#This Row],[KH LK 2026]]</f>
        <v>0</v>
      </c>
    </row>
    <row r="345" spans="1:42" x14ac:dyDescent="0.3">
      <c r="A345" s="169"/>
      <c r="B345" s="169"/>
      <c r="C345" s="182" t="s">
        <v>342</v>
      </c>
      <c r="D345" s="169" t="str">
        <f>_xlfn.XLOOKUP(Data_Dep.12[[#This Row],[Nhóm tài sản]],MD_Account_Asset_Type[Nhóm tài sản],MD_Account_Asset_Type[Tên Nhóm tài sản])</f>
        <v>Phương tiện vận tải , truyền dẫn - SX 627</v>
      </c>
      <c r="E345" s="171" t="s">
        <v>1066</v>
      </c>
      <c r="F345" s="170" t="s">
        <v>1067</v>
      </c>
      <c r="G345" s="169" t="s">
        <v>830</v>
      </c>
      <c r="H345" s="170" t="s">
        <v>48</v>
      </c>
      <c r="I345" s="170" t="str">
        <f>_xlfn.XLOOKUP(Data_Dep.12[[#This Row],[Cost center]],MD_Cost_Center[Mã Cost Center],MD_Cost_Center[Tên Cost Center])</f>
        <v>Xưởng sản xuất PET</v>
      </c>
      <c r="J345" s="172">
        <f>_xlfn.XLOOKUP(Data_Dep.12[[#This Row],[Cost center]],MD_Cost_Center[Mã Cost Center],MD_Cost_Center[Work center],"Check")</f>
        <v>0</v>
      </c>
      <c r="K345" s="169" t="str">
        <f>_xlfn.XLOOKUP(Data_Dep.12[[#This Row],[Nhóm tài sản]],MD_Account_Asset_Type[Nhóm tài sản],MD_Account_Asset_Type[Tài khoản KH],"Check")</f>
        <v>6274001905</v>
      </c>
      <c r="L345" s="173">
        <v>44118</v>
      </c>
      <c r="M345" s="174">
        <f>EDATE(Data_Dep.12[[#This Row],[Ngày bắt đầu KH]],Data_Dep.12[[#This Row],[T/G Khấu hao]])</f>
        <v>45944</v>
      </c>
      <c r="N345" s="175">
        <v>60</v>
      </c>
      <c r="O345" s="175">
        <v>380000000</v>
      </c>
      <c r="P345" s="175">
        <v>-380000000</v>
      </c>
      <c r="Q345" s="175">
        <f>Data_Dep.12[[#This Row],[Nguyên giá]]+Data_Dep.12[[#This Row],[KH lũy kế]]</f>
        <v>0</v>
      </c>
      <c r="R345" s="177"/>
      <c r="S345" s="177"/>
      <c r="T345" s="177"/>
      <c r="U345" s="177">
        <f>SUM(Data_Dep.12[[#This Row],[KH_2510]:[KH_2512]])</f>
        <v>0</v>
      </c>
      <c r="V345" s="175">
        <f>Data_Dep.12[[#This Row],[Nguyên giá]]+Data_Dep.12[[#This Row],[KH lũy kế]]+Data_Dep.12[[#This Row],[KH_Q4.25]]</f>
        <v>0</v>
      </c>
      <c r="W345" s="175">
        <f>ROUND(Data_Dep.12[[#This Row],[T/G Khấu hao]]-Data_Dep.12[[#This Row],[Giá trị còn lại 31/12/25]]/Data_Dep.12[[#This Row],[Nguyên giá]]*Data_Dep.12[[#This Row],[T/G Khấu hao]],0)</f>
        <v>60</v>
      </c>
      <c r="X345" s="179"/>
      <c r="Y345" s="175">
        <f>Data_Dep.12[[#This Row],[T/G Khấu hao]]+Data_Dep.12[[#This Row],[Điều chỉnh]]</f>
        <v>60</v>
      </c>
      <c r="Z345" s="180">
        <f>EDATE(Data_Dep.12[[#This Row],[Ngày bắt đầu KH]],Data_Dep.12[[#This Row],[T/G điều chỉnh]])</f>
        <v>45944</v>
      </c>
      <c r="AA345" s="175">
        <f>Data_Dep.12[[#This Row],[T/G điều chỉnh]]-Data_Dep.12[[#This Row],[Số kỳ đã khấu hao]]</f>
        <v>0</v>
      </c>
      <c r="AB345" s="175">
        <f>IFERROR(-Data_Dep.12[[#This Row],[Giá trị còn lại 31/12/25]]/(Data_Dep.12[[#This Row],[T/G điều chỉnh]]-Data_Dep.12[[#This Row],[Số kỳ đã khấu hao]]),0)</f>
        <v>0</v>
      </c>
      <c r="AC345" s="181"/>
      <c r="AD345" s="181"/>
      <c r="AE345" s="181"/>
      <c r="AF345" s="181"/>
      <c r="AG345" s="181"/>
      <c r="AH345" s="181"/>
      <c r="AI345" s="181"/>
      <c r="AJ345" s="181"/>
      <c r="AK345" s="181"/>
      <c r="AL345" s="181"/>
      <c r="AM345" s="181"/>
      <c r="AN345" s="181"/>
      <c r="AO345" s="175">
        <f>SUM(Data_Dep.12[[#This Row],[KH_2601]:[KH_2612]])</f>
        <v>0</v>
      </c>
      <c r="AP345" s="175">
        <f>Data_Dep.12[[#This Row],[Giá trị còn lại 31/12/25]]+Data_Dep.12[[#This Row],[KH LK 2026]]</f>
        <v>0</v>
      </c>
    </row>
    <row r="346" spans="1:42" x14ac:dyDescent="0.3">
      <c r="A346" s="169"/>
      <c r="B346" s="169"/>
      <c r="C346" s="182" t="s">
        <v>345</v>
      </c>
      <c r="D346" s="169" t="str">
        <f>_xlfn.XLOOKUP(Data_Dep.12[[#This Row],[Nhóm tài sản]],MD_Account_Asset_Type[Nhóm tài sản],MD_Account_Asset_Type[Tên Nhóm tài sản])</f>
        <v>Thiết bị, dụng cụ quản lý - SX 627</v>
      </c>
      <c r="E346" s="171" t="s">
        <v>1099</v>
      </c>
      <c r="F346" s="170" t="s">
        <v>1100</v>
      </c>
      <c r="G346" s="169" t="s">
        <v>830</v>
      </c>
      <c r="H346" s="170" t="s">
        <v>48</v>
      </c>
      <c r="I346" s="170" t="str">
        <f>_xlfn.XLOOKUP(Data_Dep.12[[#This Row],[Cost center]],MD_Cost_Center[Mã Cost Center],MD_Cost_Center[Tên Cost Center])</f>
        <v>Xưởng sản xuất PET</v>
      </c>
      <c r="J346" s="172">
        <f>_xlfn.XLOOKUP(Data_Dep.12[[#This Row],[Cost center]],MD_Cost_Center[Mã Cost Center],MD_Cost_Center[Work center],"Check")</f>
        <v>0</v>
      </c>
      <c r="K346" s="169" t="str">
        <f>_xlfn.XLOOKUP(Data_Dep.12[[#This Row],[Nhóm tài sản]],MD_Account_Asset_Type[Nhóm tài sản],MD_Account_Asset_Type[Tài khoản KH],"Check")</f>
        <v>6274001904</v>
      </c>
      <c r="L346" s="173">
        <v>44564</v>
      </c>
      <c r="M346" s="174">
        <f>EDATE(Data_Dep.12[[#This Row],[Ngày bắt đầu KH]],Data_Dep.12[[#This Row],[T/G Khấu hao]])</f>
        <v>45660</v>
      </c>
      <c r="N346" s="175">
        <v>36</v>
      </c>
      <c r="O346" s="175">
        <v>42000000</v>
      </c>
      <c r="P346" s="175">
        <v>-42000000</v>
      </c>
      <c r="Q346" s="175">
        <f>Data_Dep.12[[#This Row],[Nguyên giá]]+Data_Dep.12[[#This Row],[KH lũy kế]]</f>
        <v>0</v>
      </c>
      <c r="R346" s="177"/>
      <c r="S346" s="177"/>
      <c r="T346" s="177"/>
      <c r="U346" s="177">
        <f>SUM(Data_Dep.12[[#This Row],[KH_2510]:[KH_2512]])</f>
        <v>0</v>
      </c>
      <c r="V346" s="175">
        <f>Data_Dep.12[[#This Row],[Nguyên giá]]+Data_Dep.12[[#This Row],[KH lũy kế]]+Data_Dep.12[[#This Row],[KH_Q4.25]]</f>
        <v>0</v>
      </c>
      <c r="W346" s="175">
        <f>ROUND(Data_Dep.12[[#This Row],[T/G Khấu hao]]-Data_Dep.12[[#This Row],[Giá trị còn lại 31/12/25]]/Data_Dep.12[[#This Row],[Nguyên giá]]*Data_Dep.12[[#This Row],[T/G Khấu hao]],0)</f>
        <v>36</v>
      </c>
      <c r="X346" s="179"/>
      <c r="Y346" s="175">
        <f>Data_Dep.12[[#This Row],[T/G Khấu hao]]+Data_Dep.12[[#This Row],[Điều chỉnh]]</f>
        <v>36</v>
      </c>
      <c r="Z346" s="180">
        <f>EDATE(Data_Dep.12[[#This Row],[Ngày bắt đầu KH]],Data_Dep.12[[#This Row],[T/G điều chỉnh]])</f>
        <v>45660</v>
      </c>
      <c r="AA346" s="175">
        <f>Data_Dep.12[[#This Row],[T/G điều chỉnh]]-Data_Dep.12[[#This Row],[Số kỳ đã khấu hao]]</f>
        <v>0</v>
      </c>
      <c r="AB346" s="175">
        <f>IFERROR(-Data_Dep.12[[#This Row],[Giá trị còn lại 31/12/25]]/(Data_Dep.12[[#This Row],[T/G điều chỉnh]]-Data_Dep.12[[#This Row],[Số kỳ đã khấu hao]]),0)</f>
        <v>0</v>
      </c>
      <c r="AC346" s="181"/>
      <c r="AD346" s="181"/>
      <c r="AE346" s="181"/>
      <c r="AF346" s="181"/>
      <c r="AG346" s="181"/>
      <c r="AH346" s="181"/>
      <c r="AI346" s="181"/>
      <c r="AJ346" s="181"/>
      <c r="AK346" s="181"/>
      <c r="AL346" s="181"/>
      <c r="AM346" s="181"/>
      <c r="AN346" s="181"/>
      <c r="AO346" s="175">
        <f>SUM(Data_Dep.12[[#This Row],[KH_2601]:[KH_2612]])</f>
        <v>0</v>
      </c>
      <c r="AP346" s="175">
        <f>Data_Dep.12[[#This Row],[Giá trị còn lại 31/12/25]]+Data_Dep.12[[#This Row],[KH LK 2026]]</f>
        <v>0</v>
      </c>
    </row>
    <row r="347" spans="1:42" x14ac:dyDescent="0.3">
      <c r="A347" s="169"/>
      <c r="B347" s="169"/>
      <c r="C347" s="182" t="s">
        <v>347</v>
      </c>
      <c r="D347" s="169" t="str">
        <f>_xlfn.XLOOKUP(Data_Dep.12[[#This Row],[Nhóm tài sản]],MD_Account_Asset_Type[Nhóm tài sản],MD_Account_Asset_Type[Tên Nhóm tài sản])</f>
        <v>Thiết bị, dụng cụ quản lý - QL 642</v>
      </c>
      <c r="E347" s="171" t="s">
        <v>1106</v>
      </c>
      <c r="F347" s="170" t="s">
        <v>1107</v>
      </c>
      <c r="G347" s="169" t="s">
        <v>830</v>
      </c>
      <c r="H347" s="170" t="s">
        <v>36</v>
      </c>
      <c r="I347" s="170" t="str">
        <f>_xlfn.XLOOKUP(Data_Dep.12[[#This Row],[Cost center]],MD_Cost_Center[Mã Cost Center],MD_Cost_Center[Tên Cost Center])</f>
        <v>Hành chánh nhân sự</v>
      </c>
      <c r="J347" s="172">
        <f>_xlfn.XLOOKUP(Data_Dep.12[[#This Row],[Cost center]],MD_Cost_Center[Mã Cost Center],MD_Cost_Center[Work center],"Check")</f>
        <v>0</v>
      </c>
      <c r="K347" s="169" t="str">
        <f>_xlfn.XLOOKUP(Data_Dep.12[[#This Row],[Nhóm tài sản]],MD_Account_Asset_Type[Nhóm tài sản],MD_Account_Asset_Type[Tài khoản KH],"Check")</f>
        <v>6424001904</v>
      </c>
      <c r="L347" s="173">
        <v>44368</v>
      </c>
      <c r="M347" s="174">
        <f>EDATE(Data_Dep.12[[#This Row],[Ngày bắt đầu KH]],Data_Dep.12[[#This Row],[T/G Khấu hao]])</f>
        <v>45464</v>
      </c>
      <c r="N347" s="175">
        <v>36</v>
      </c>
      <c r="O347" s="175">
        <v>52516000</v>
      </c>
      <c r="P347" s="175">
        <v>-52516000</v>
      </c>
      <c r="Q347" s="175">
        <f>Data_Dep.12[[#This Row],[Nguyên giá]]+Data_Dep.12[[#This Row],[KH lũy kế]]</f>
        <v>0</v>
      </c>
      <c r="R347" s="177"/>
      <c r="S347" s="177"/>
      <c r="T347" s="177"/>
      <c r="U347" s="177">
        <f>SUM(Data_Dep.12[[#This Row],[KH_2510]:[KH_2512]])</f>
        <v>0</v>
      </c>
      <c r="V347" s="175">
        <f>Data_Dep.12[[#This Row],[Nguyên giá]]+Data_Dep.12[[#This Row],[KH lũy kế]]+Data_Dep.12[[#This Row],[KH_Q4.25]]</f>
        <v>0</v>
      </c>
      <c r="W347" s="175">
        <f>ROUND(Data_Dep.12[[#This Row],[T/G Khấu hao]]-Data_Dep.12[[#This Row],[Giá trị còn lại 31/12/25]]/Data_Dep.12[[#This Row],[Nguyên giá]]*Data_Dep.12[[#This Row],[T/G Khấu hao]],0)</f>
        <v>36</v>
      </c>
      <c r="X347" s="179"/>
      <c r="Y347" s="175">
        <f>Data_Dep.12[[#This Row],[T/G Khấu hao]]+Data_Dep.12[[#This Row],[Điều chỉnh]]</f>
        <v>36</v>
      </c>
      <c r="Z347" s="180">
        <f>EDATE(Data_Dep.12[[#This Row],[Ngày bắt đầu KH]],Data_Dep.12[[#This Row],[T/G điều chỉnh]])</f>
        <v>45464</v>
      </c>
      <c r="AA347" s="175">
        <f>Data_Dep.12[[#This Row],[T/G điều chỉnh]]-Data_Dep.12[[#This Row],[Số kỳ đã khấu hao]]</f>
        <v>0</v>
      </c>
      <c r="AB347" s="175">
        <f>IFERROR(-Data_Dep.12[[#This Row],[Giá trị còn lại 31/12/25]]/(Data_Dep.12[[#This Row],[T/G điều chỉnh]]-Data_Dep.12[[#This Row],[Số kỳ đã khấu hao]]),0)</f>
        <v>0</v>
      </c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  <c r="AO347" s="175">
        <f>SUM(Data_Dep.12[[#This Row],[KH_2601]:[KH_2612]])</f>
        <v>0</v>
      </c>
      <c r="AP347" s="175">
        <f>Data_Dep.12[[#This Row],[Giá trị còn lại 31/12/25]]+Data_Dep.12[[#This Row],[KH LK 2026]]</f>
        <v>0</v>
      </c>
    </row>
    <row r="348" spans="1:42" x14ac:dyDescent="0.3">
      <c r="A348" s="169"/>
      <c r="B348" s="169"/>
      <c r="C348" s="182" t="s">
        <v>347</v>
      </c>
      <c r="D348" s="169" t="str">
        <f>_xlfn.XLOOKUP(Data_Dep.12[[#This Row],[Nhóm tài sản]],MD_Account_Asset_Type[Nhóm tài sản],MD_Account_Asset_Type[Tên Nhóm tài sản])</f>
        <v>Thiết bị, dụng cụ quản lý - QL 642</v>
      </c>
      <c r="E348" s="171" t="s">
        <v>1108</v>
      </c>
      <c r="F348" s="170" t="s">
        <v>1109</v>
      </c>
      <c r="G348" s="169" t="s">
        <v>830</v>
      </c>
      <c r="H348" s="170" t="s">
        <v>41</v>
      </c>
      <c r="I348" s="170" t="str">
        <f>_xlfn.XLOOKUP(Data_Dep.12[[#This Row],[Cost center]],MD_Cost_Center[Mã Cost Center],MD_Cost_Center[Tên Cost Center])</f>
        <v>Cung ứng</v>
      </c>
      <c r="J348" s="172">
        <f>_xlfn.XLOOKUP(Data_Dep.12[[#This Row],[Cost center]],MD_Cost_Center[Mã Cost Center],MD_Cost_Center[Work center],"Check")</f>
        <v>0</v>
      </c>
      <c r="K348" s="169" t="str">
        <f>_xlfn.XLOOKUP(Data_Dep.12[[#This Row],[Nhóm tài sản]],MD_Account_Asset_Type[Nhóm tài sản],MD_Account_Asset_Type[Tài khoản KH],"Check")</f>
        <v>6424001904</v>
      </c>
      <c r="L348" s="173">
        <v>44680</v>
      </c>
      <c r="M348" s="174">
        <f>EDATE(Data_Dep.12[[#This Row],[Ngày bắt đầu KH]],Data_Dep.12[[#This Row],[T/G Khấu hao]])</f>
        <v>45045</v>
      </c>
      <c r="N348" s="175">
        <v>12</v>
      </c>
      <c r="O348" s="175">
        <v>7520000</v>
      </c>
      <c r="P348" s="175">
        <v>-7520000</v>
      </c>
      <c r="Q348" s="175">
        <f>Data_Dep.12[[#This Row],[Nguyên giá]]+Data_Dep.12[[#This Row],[KH lũy kế]]</f>
        <v>0</v>
      </c>
      <c r="R348" s="177"/>
      <c r="S348" s="177"/>
      <c r="T348" s="177"/>
      <c r="U348" s="177">
        <f>SUM(Data_Dep.12[[#This Row],[KH_2510]:[KH_2512]])</f>
        <v>0</v>
      </c>
      <c r="V348" s="175">
        <f>Data_Dep.12[[#This Row],[Nguyên giá]]+Data_Dep.12[[#This Row],[KH lũy kế]]+Data_Dep.12[[#This Row],[KH_Q4.25]]</f>
        <v>0</v>
      </c>
      <c r="W348" s="175">
        <f>ROUND(Data_Dep.12[[#This Row],[T/G Khấu hao]]-Data_Dep.12[[#This Row],[Giá trị còn lại 31/12/25]]/Data_Dep.12[[#This Row],[Nguyên giá]]*Data_Dep.12[[#This Row],[T/G Khấu hao]],0)</f>
        <v>12</v>
      </c>
      <c r="X348" s="179"/>
      <c r="Y348" s="175">
        <f>Data_Dep.12[[#This Row],[T/G Khấu hao]]+Data_Dep.12[[#This Row],[Điều chỉnh]]</f>
        <v>12</v>
      </c>
      <c r="Z348" s="180">
        <f>EDATE(Data_Dep.12[[#This Row],[Ngày bắt đầu KH]],Data_Dep.12[[#This Row],[T/G điều chỉnh]])</f>
        <v>45045</v>
      </c>
      <c r="AA348" s="175">
        <f>Data_Dep.12[[#This Row],[T/G điều chỉnh]]-Data_Dep.12[[#This Row],[Số kỳ đã khấu hao]]</f>
        <v>0</v>
      </c>
      <c r="AB348" s="175">
        <f>IFERROR(-Data_Dep.12[[#This Row],[Giá trị còn lại 31/12/25]]/(Data_Dep.12[[#This Row],[T/G điều chỉnh]]-Data_Dep.12[[#This Row],[Số kỳ đã khấu hao]]),0)</f>
        <v>0</v>
      </c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  <c r="AO348" s="175">
        <f>SUM(Data_Dep.12[[#This Row],[KH_2601]:[KH_2612]])</f>
        <v>0</v>
      </c>
      <c r="AP348" s="175">
        <f>Data_Dep.12[[#This Row],[Giá trị còn lại 31/12/25]]+Data_Dep.12[[#This Row],[KH LK 2026]]</f>
        <v>0</v>
      </c>
    </row>
    <row r="349" spans="1:42" x14ac:dyDescent="0.3">
      <c r="A349" s="169"/>
      <c r="B349" s="169"/>
      <c r="C349" s="182" t="s">
        <v>347</v>
      </c>
      <c r="D349" s="169" t="str">
        <f>_xlfn.XLOOKUP(Data_Dep.12[[#This Row],[Nhóm tài sản]],MD_Account_Asset_Type[Nhóm tài sản],MD_Account_Asset_Type[Tên Nhóm tài sản])</f>
        <v>Thiết bị, dụng cụ quản lý - QL 642</v>
      </c>
      <c r="E349" s="171" t="s">
        <v>1110</v>
      </c>
      <c r="F349" s="170" t="s">
        <v>1111</v>
      </c>
      <c r="G349" s="169" t="s">
        <v>830</v>
      </c>
      <c r="H349" s="170" t="s">
        <v>36</v>
      </c>
      <c r="I349" s="170" t="str">
        <f>_xlfn.XLOOKUP(Data_Dep.12[[#This Row],[Cost center]],MD_Cost_Center[Mã Cost Center],MD_Cost_Center[Tên Cost Center])</f>
        <v>Hành chánh nhân sự</v>
      </c>
      <c r="J349" s="172">
        <f>_xlfn.XLOOKUP(Data_Dep.12[[#This Row],[Cost center]],MD_Cost_Center[Mã Cost Center],MD_Cost_Center[Work center],"Check")</f>
        <v>0</v>
      </c>
      <c r="K349" s="169" t="str">
        <f>_xlfn.XLOOKUP(Data_Dep.12[[#This Row],[Nhóm tài sản]],MD_Account_Asset_Type[Nhóm tài sản],MD_Account_Asset_Type[Tài khoản KH],"Check")</f>
        <v>6424001904</v>
      </c>
      <c r="L349" s="173">
        <v>44728</v>
      </c>
      <c r="M349" s="174">
        <f>EDATE(Data_Dep.12[[#This Row],[Ngày bắt đầu KH]],Data_Dep.12[[#This Row],[T/G Khấu hao]])</f>
        <v>45824</v>
      </c>
      <c r="N349" s="175">
        <v>36</v>
      </c>
      <c r="O349" s="175">
        <v>46318182</v>
      </c>
      <c r="P349" s="175">
        <v>-46318182</v>
      </c>
      <c r="Q349" s="175">
        <f>Data_Dep.12[[#This Row],[Nguyên giá]]+Data_Dep.12[[#This Row],[KH lũy kế]]</f>
        <v>0</v>
      </c>
      <c r="R349" s="177"/>
      <c r="S349" s="177"/>
      <c r="T349" s="177"/>
      <c r="U349" s="177">
        <f>SUM(Data_Dep.12[[#This Row],[KH_2510]:[KH_2512]])</f>
        <v>0</v>
      </c>
      <c r="V349" s="175">
        <f>Data_Dep.12[[#This Row],[Nguyên giá]]+Data_Dep.12[[#This Row],[KH lũy kế]]+Data_Dep.12[[#This Row],[KH_Q4.25]]</f>
        <v>0</v>
      </c>
      <c r="W349" s="175">
        <f>ROUND(Data_Dep.12[[#This Row],[T/G Khấu hao]]-Data_Dep.12[[#This Row],[Giá trị còn lại 31/12/25]]/Data_Dep.12[[#This Row],[Nguyên giá]]*Data_Dep.12[[#This Row],[T/G Khấu hao]],0)</f>
        <v>36</v>
      </c>
      <c r="X349" s="179"/>
      <c r="Y349" s="175">
        <f>Data_Dep.12[[#This Row],[T/G Khấu hao]]+Data_Dep.12[[#This Row],[Điều chỉnh]]</f>
        <v>36</v>
      </c>
      <c r="Z349" s="180">
        <f>EDATE(Data_Dep.12[[#This Row],[Ngày bắt đầu KH]],Data_Dep.12[[#This Row],[T/G điều chỉnh]])</f>
        <v>45824</v>
      </c>
      <c r="AA349" s="175">
        <f>Data_Dep.12[[#This Row],[T/G điều chỉnh]]-Data_Dep.12[[#This Row],[Số kỳ đã khấu hao]]</f>
        <v>0</v>
      </c>
      <c r="AB349" s="175">
        <f>IFERROR(-Data_Dep.12[[#This Row],[Giá trị còn lại 31/12/25]]/(Data_Dep.12[[#This Row],[T/G điều chỉnh]]-Data_Dep.12[[#This Row],[Số kỳ đã khấu hao]]),0)</f>
        <v>0</v>
      </c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  <c r="AO349" s="175">
        <f>SUM(Data_Dep.12[[#This Row],[KH_2601]:[KH_2612]])</f>
        <v>0</v>
      </c>
      <c r="AP349" s="175">
        <f>Data_Dep.12[[#This Row],[Giá trị còn lại 31/12/25]]+Data_Dep.12[[#This Row],[KH LK 2026]]</f>
        <v>0</v>
      </c>
    </row>
    <row r="350" spans="1:42" x14ac:dyDescent="0.3">
      <c r="A350" s="169"/>
      <c r="B350" s="169"/>
      <c r="C350" s="182" t="s">
        <v>347</v>
      </c>
      <c r="D350" s="169" t="str">
        <f>_xlfn.XLOOKUP(Data_Dep.12[[#This Row],[Nhóm tài sản]],MD_Account_Asset_Type[Nhóm tài sản],MD_Account_Asset_Type[Tên Nhóm tài sản])</f>
        <v>Thiết bị, dụng cụ quản lý - QL 642</v>
      </c>
      <c r="E350" s="171" t="s">
        <v>1112</v>
      </c>
      <c r="F350" s="170" t="s">
        <v>1113</v>
      </c>
      <c r="G350" s="169" t="s">
        <v>830</v>
      </c>
      <c r="H350" s="170" t="s">
        <v>36</v>
      </c>
      <c r="I350" s="170" t="str">
        <f>_xlfn.XLOOKUP(Data_Dep.12[[#This Row],[Cost center]],MD_Cost_Center[Mã Cost Center],MD_Cost_Center[Tên Cost Center])</f>
        <v>Hành chánh nhân sự</v>
      </c>
      <c r="J350" s="172">
        <f>_xlfn.XLOOKUP(Data_Dep.12[[#This Row],[Cost center]],MD_Cost_Center[Mã Cost Center],MD_Cost_Center[Work center],"Check")</f>
        <v>0</v>
      </c>
      <c r="K350" s="169" t="str">
        <f>_xlfn.XLOOKUP(Data_Dep.12[[#This Row],[Nhóm tài sản]],MD_Account_Asset_Type[Nhóm tài sản],MD_Account_Asset_Type[Tài khoản KH],"Check")</f>
        <v>6424001904</v>
      </c>
      <c r="L350" s="173">
        <v>44728</v>
      </c>
      <c r="M350" s="174">
        <f>EDATE(Data_Dep.12[[#This Row],[Ngày bắt đầu KH]],Data_Dep.12[[#This Row],[T/G Khấu hao]])</f>
        <v>45824</v>
      </c>
      <c r="N350" s="175">
        <v>36</v>
      </c>
      <c r="O350" s="175">
        <v>46318182</v>
      </c>
      <c r="P350" s="175">
        <v>-46318182</v>
      </c>
      <c r="Q350" s="175">
        <f>Data_Dep.12[[#This Row],[Nguyên giá]]+Data_Dep.12[[#This Row],[KH lũy kế]]</f>
        <v>0</v>
      </c>
      <c r="R350" s="177"/>
      <c r="S350" s="177"/>
      <c r="T350" s="177"/>
      <c r="U350" s="177">
        <f>SUM(Data_Dep.12[[#This Row],[KH_2510]:[KH_2512]])</f>
        <v>0</v>
      </c>
      <c r="V350" s="175">
        <f>Data_Dep.12[[#This Row],[Nguyên giá]]+Data_Dep.12[[#This Row],[KH lũy kế]]+Data_Dep.12[[#This Row],[KH_Q4.25]]</f>
        <v>0</v>
      </c>
      <c r="W350" s="175">
        <f>ROUND(Data_Dep.12[[#This Row],[T/G Khấu hao]]-Data_Dep.12[[#This Row],[Giá trị còn lại 31/12/25]]/Data_Dep.12[[#This Row],[Nguyên giá]]*Data_Dep.12[[#This Row],[T/G Khấu hao]],0)</f>
        <v>36</v>
      </c>
      <c r="X350" s="179"/>
      <c r="Y350" s="175">
        <f>Data_Dep.12[[#This Row],[T/G Khấu hao]]+Data_Dep.12[[#This Row],[Điều chỉnh]]</f>
        <v>36</v>
      </c>
      <c r="Z350" s="180">
        <f>EDATE(Data_Dep.12[[#This Row],[Ngày bắt đầu KH]],Data_Dep.12[[#This Row],[T/G điều chỉnh]])</f>
        <v>45824</v>
      </c>
      <c r="AA350" s="175">
        <f>Data_Dep.12[[#This Row],[T/G điều chỉnh]]-Data_Dep.12[[#This Row],[Số kỳ đã khấu hao]]</f>
        <v>0</v>
      </c>
      <c r="AB350" s="175">
        <f>IFERROR(-Data_Dep.12[[#This Row],[Giá trị còn lại 31/12/25]]/(Data_Dep.12[[#This Row],[T/G điều chỉnh]]-Data_Dep.12[[#This Row],[Số kỳ đã khấu hao]]),0)</f>
        <v>0</v>
      </c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  <c r="AO350" s="175">
        <f>SUM(Data_Dep.12[[#This Row],[KH_2601]:[KH_2612]])</f>
        <v>0</v>
      </c>
      <c r="AP350" s="175">
        <f>Data_Dep.12[[#This Row],[Giá trị còn lại 31/12/25]]+Data_Dep.12[[#This Row],[KH LK 2026]]</f>
        <v>0</v>
      </c>
    </row>
    <row r="351" spans="1:42" x14ac:dyDescent="0.3">
      <c r="A351" s="169"/>
      <c r="B351" s="169"/>
      <c r="C351" s="182" t="s">
        <v>347</v>
      </c>
      <c r="D351" s="169" t="str">
        <f>_xlfn.XLOOKUP(Data_Dep.12[[#This Row],[Nhóm tài sản]],MD_Account_Asset_Type[Nhóm tài sản],MD_Account_Asset_Type[Tên Nhóm tài sản])</f>
        <v>Thiết bị, dụng cụ quản lý - QL 642</v>
      </c>
      <c r="E351" s="171" t="s">
        <v>1115</v>
      </c>
      <c r="F351" s="170" t="s">
        <v>1116</v>
      </c>
      <c r="G351" s="169" t="s">
        <v>830</v>
      </c>
      <c r="H351" s="170" t="s">
        <v>33</v>
      </c>
      <c r="I351" s="170" t="str">
        <f>_xlfn.XLOOKUP(Data_Dep.12[[#This Row],[Cost center]],MD_Cost_Center[Mã Cost Center],MD_Cost_Center[Tên Cost Center])</f>
        <v>Ban giám đốc</v>
      </c>
      <c r="J351" s="172">
        <f>_xlfn.XLOOKUP(Data_Dep.12[[#This Row],[Cost center]],MD_Cost_Center[Mã Cost Center],MD_Cost_Center[Work center],"Check")</f>
        <v>0</v>
      </c>
      <c r="K351" s="169" t="str">
        <f>_xlfn.XLOOKUP(Data_Dep.12[[#This Row],[Nhóm tài sản]],MD_Account_Asset_Type[Nhóm tài sản],MD_Account_Asset_Type[Tài khoản KH],"Check")</f>
        <v>6424001904</v>
      </c>
      <c r="L351" s="173">
        <v>44765</v>
      </c>
      <c r="M351" s="174">
        <f>EDATE(Data_Dep.12[[#This Row],[Ngày bắt đầu KH]],Data_Dep.12[[#This Row],[T/G Khấu hao]])</f>
        <v>45130</v>
      </c>
      <c r="N351" s="175">
        <v>12</v>
      </c>
      <c r="O351" s="175">
        <v>43445455</v>
      </c>
      <c r="P351" s="175">
        <v>-43445455</v>
      </c>
      <c r="Q351" s="175">
        <f>Data_Dep.12[[#This Row],[Nguyên giá]]+Data_Dep.12[[#This Row],[KH lũy kế]]</f>
        <v>0</v>
      </c>
      <c r="R351" s="177"/>
      <c r="S351" s="177"/>
      <c r="T351" s="177"/>
      <c r="U351" s="177">
        <f>SUM(Data_Dep.12[[#This Row],[KH_2510]:[KH_2512]])</f>
        <v>0</v>
      </c>
      <c r="V351" s="175">
        <f>Data_Dep.12[[#This Row],[Nguyên giá]]+Data_Dep.12[[#This Row],[KH lũy kế]]+Data_Dep.12[[#This Row],[KH_Q4.25]]</f>
        <v>0</v>
      </c>
      <c r="W351" s="175">
        <f>ROUND(Data_Dep.12[[#This Row],[T/G Khấu hao]]-Data_Dep.12[[#This Row],[Giá trị còn lại 31/12/25]]/Data_Dep.12[[#This Row],[Nguyên giá]]*Data_Dep.12[[#This Row],[T/G Khấu hao]],0)</f>
        <v>12</v>
      </c>
      <c r="X351" s="179"/>
      <c r="Y351" s="175">
        <f>Data_Dep.12[[#This Row],[T/G Khấu hao]]+Data_Dep.12[[#This Row],[Điều chỉnh]]</f>
        <v>12</v>
      </c>
      <c r="Z351" s="180">
        <f>EDATE(Data_Dep.12[[#This Row],[Ngày bắt đầu KH]],Data_Dep.12[[#This Row],[T/G điều chỉnh]])</f>
        <v>45130</v>
      </c>
      <c r="AA351" s="175">
        <f>Data_Dep.12[[#This Row],[T/G điều chỉnh]]-Data_Dep.12[[#This Row],[Số kỳ đã khấu hao]]</f>
        <v>0</v>
      </c>
      <c r="AB351" s="175">
        <f>IFERROR(-Data_Dep.12[[#This Row],[Giá trị còn lại 31/12/25]]/(Data_Dep.12[[#This Row],[T/G điều chỉnh]]-Data_Dep.12[[#This Row],[Số kỳ đã khấu hao]]),0)</f>
        <v>0</v>
      </c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  <c r="AO351" s="175">
        <f>SUM(Data_Dep.12[[#This Row],[KH_2601]:[KH_2612]])</f>
        <v>0</v>
      </c>
      <c r="AP351" s="175">
        <f>Data_Dep.12[[#This Row],[Giá trị còn lại 31/12/25]]+Data_Dep.12[[#This Row],[KH LK 2026]]</f>
        <v>0</v>
      </c>
    </row>
    <row r="352" spans="1:42" x14ac:dyDescent="0.3">
      <c r="A352" s="169"/>
      <c r="B352" s="169"/>
      <c r="C352" s="182" t="s">
        <v>347</v>
      </c>
      <c r="D352" s="169" t="str">
        <f>_xlfn.XLOOKUP(Data_Dep.12[[#This Row],[Nhóm tài sản]],MD_Account_Asset_Type[Nhóm tài sản],MD_Account_Asset_Type[Tên Nhóm tài sản])</f>
        <v>Thiết bị, dụng cụ quản lý - QL 642</v>
      </c>
      <c r="E352" s="171" t="s">
        <v>1117</v>
      </c>
      <c r="F352" s="170" t="s">
        <v>1118</v>
      </c>
      <c r="G352" s="169" t="s">
        <v>830</v>
      </c>
      <c r="H352" s="170" t="s">
        <v>36</v>
      </c>
      <c r="I352" s="170" t="str">
        <f>_xlfn.XLOOKUP(Data_Dep.12[[#This Row],[Cost center]],MD_Cost_Center[Mã Cost Center],MD_Cost_Center[Tên Cost Center])</f>
        <v>Hành chánh nhân sự</v>
      </c>
      <c r="J352" s="172">
        <f>_xlfn.XLOOKUP(Data_Dep.12[[#This Row],[Cost center]],MD_Cost_Center[Mã Cost Center],MD_Cost_Center[Work center],"Check")</f>
        <v>0</v>
      </c>
      <c r="K352" s="169" t="str">
        <f>_xlfn.XLOOKUP(Data_Dep.12[[#This Row],[Nhóm tài sản]],MD_Account_Asset_Type[Nhóm tài sản],MD_Account_Asset_Type[Tài khoản KH],"Check")</f>
        <v>6424001904</v>
      </c>
      <c r="L352" s="173">
        <v>44986</v>
      </c>
      <c r="M352" s="174">
        <f>EDATE(Data_Dep.12[[#This Row],[Ngày bắt đầu KH]],Data_Dep.12[[#This Row],[T/G Khấu hao]])</f>
        <v>45352</v>
      </c>
      <c r="N352" s="175">
        <v>12</v>
      </c>
      <c r="O352" s="175">
        <v>53420000</v>
      </c>
      <c r="P352" s="175">
        <v>-53420000</v>
      </c>
      <c r="Q352" s="175">
        <f>Data_Dep.12[[#This Row],[Nguyên giá]]+Data_Dep.12[[#This Row],[KH lũy kế]]</f>
        <v>0</v>
      </c>
      <c r="R352" s="177"/>
      <c r="S352" s="177"/>
      <c r="T352" s="177"/>
      <c r="U352" s="177">
        <f>SUM(Data_Dep.12[[#This Row],[KH_2510]:[KH_2512]])</f>
        <v>0</v>
      </c>
      <c r="V352" s="175">
        <f>Data_Dep.12[[#This Row],[Nguyên giá]]+Data_Dep.12[[#This Row],[KH lũy kế]]+Data_Dep.12[[#This Row],[KH_Q4.25]]</f>
        <v>0</v>
      </c>
      <c r="W352" s="175">
        <f>ROUND(Data_Dep.12[[#This Row],[T/G Khấu hao]]-Data_Dep.12[[#This Row],[Giá trị còn lại 31/12/25]]/Data_Dep.12[[#This Row],[Nguyên giá]]*Data_Dep.12[[#This Row],[T/G Khấu hao]],0)</f>
        <v>12</v>
      </c>
      <c r="X352" s="179"/>
      <c r="Y352" s="175">
        <f>Data_Dep.12[[#This Row],[T/G Khấu hao]]+Data_Dep.12[[#This Row],[Điều chỉnh]]</f>
        <v>12</v>
      </c>
      <c r="Z352" s="180">
        <f>EDATE(Data_Dep.12[[#This Row],[Ngày bắt đầu KH]],Data_Dep.12[[#This Row],[T/G điều chỉnh]])</f>
        <v>45352</v>
      </c>
      <c r="AA352" s="175">
        <f>Data_Dep.12[[#This Row],[T/G điều chỉnh]]-Data_Dep.12[[#This Row],[Số kỳ đã khấu hao]]</f>
        <v>0</v>
      </c>
      <c r="AB352" s="175">
        <f>IFERROR(-Data_Dep.12[[#This Row],[Giá trị còn lại 31/12/25]]/(Data_Dep.12[[#This Row],[T/G điều chỉnh]]-Data_Dep.12[[#This Row],[Số kỳ đã khấu hao]]),0)</f>
        <v>0</v>
      </c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  <c r="AO352" s="175">
        <f>SUM(Data_Dep.12[[#This Row],[KH_2601]:[KH_2612]])</f>
        <v>0</v>
      </c>
      <c r="AP352" s="175">
        <f>Data_Dep.12[[#This Row],[Giá trị còn lại 31/12/25]]+Data_Dep.12[[#This Row],[KH LK 2026]]</f>
        <v>0</v>
      </c>
    </row>
    <row r="353" spans="1:42" x14ac:dyDescent="0.3">
      <c r="A353" s="169"/>
      <c r="B353" s="169"/>
      <c r="C353" s="182" t="s">
        <v>350</v>
      </c>
      <c r="D353" s="169" t="str">
        <f>_xlfn.XLOOKUP(Data_Dep.12[[#This Row],[Nhóm tài sản]],MD_Account_Asset_Type[Nhóm tài sản],MD_Account_Asset_Type[Tên Nhóm tài sản])</f>
        <v>TSCĐ khác - SX 627</v>
      </c>
      <c r="E353" s="171" t="s">
        <v>1131</v>
      </c>
      <c r="F353" s="170" t="s">
        <v>1132</v>
      </c>
      <c r="G353" s="169" t="s">
        <v>830</v>
      </c>
      <c r="H353" s="170" t="s">
        <v>48</v>
      </c>
      <c r="I353" s="170" t="str">
        <f>_xlfn.XLOOKUP(Data_Dep.12[[#This Row],[Cost center]],MD_Cost_Center[Mã Cost Center],MD_Cost_Center[Tên Cost Center])</f>
        <v>Xưởng sản xuất PET</v>
      </c>
      <c r="J353" s="172">
        <f>_xlfn.XLOOKUP(Data_Dep.12[[#This Row],[Cost center]],MD_Cost_Center[Mã Cost Center],MD_Cost_Center[Work center],"Check")</f>
        <v>0</v>
      </c>
      <c r="K353" s="169" t="str">
        <f>_xlfn.XLOOKUP(Data_Dep.12[[#This Row],[Nhóm tài sản]],MD_Account_Asset_Type[Nhóm tài sản],MD_Account_Asset_Type[Tài khoản KH],"Check")</f>
        <v>6274001909</v>
      </c>
      <c r="L353" s="173">
        <v>44740</v>
      </c>
      <c r="M353" s="174">
        <f>EDATE(Data_Dep.12[[#This Row],[Ngày bắt đầu KH]],Data_Dep.12[[#This Row],[T/G Khấu hao]])</f>
        <v>45654</v>
      </c>
      <c r="N353" s="175">
        <v>30</v>
      </c>
      <c r="O353" s="175">
        <v>60800000</v>
      </c>
      <c r="P353" s="175">
        <v>-60800000</v>
      </c>
      <c r="Q353" s="175">
        <f>Data_Dep.12[[#This Row],[Nguyên giá]]+Data_Dep.12[[#This Row],[KH lũy kế]]</f>
        <v>0</v>
      </c>
      <c r="R353" s="177"/>
      <c r="S353" s="177"/>
      <c r="T353" s="177"/>
      <c r="U353" s="177">
        <f>SUM(Data_Dep.12[[#This Row],[KH_2510]:[KH_2512]])</f>
        <v>0</v>
      </c>
      <c r="V353" s="175">
        <f>Data_Dep.12[[#This Row],[Nguyên giá]]+Data_Dep.12[[#This Row],[KH lũy kế]]+Data_Dep.12[[#This Row],[KH_Q4.25]]</f>
        <v>0</v>
      </c>
      <c r="W353" s="175">
        <f>ROUND(Data_Dep.12[[#This Row],[T/G Khấu hao]]-Data_Dep.12[[#This Row],[Giá trị còn lại 31/12/25]]/Data_Dep.12[[#This Row],[Nguyên giá]]*Data_Dep.12[[#This Row],[T/G Khấu hao]],0)</f>
        <v>30</v>
      </c>
      <c r="X353" s="179"/>
      <c r="Y353" s="175">
        <f>Data_Dep.12[[#This Row],[T/G Khấu hao]]+Data_Dep.12[[#This Row],[Điều chỉnh]]</f>
        <v>30</v>
      </c>
      <c r="Z353" s="180">
        <f>EDATE(Data_Dep.12[[#This Row],[Ngày bắt đầu KH]],Data_Dep.12[[#This Row],[T/G điều chỉnh]])</f>
        <v>45654</v>
      </c>
      <c r="AA353" s="175">
        <f>Data_Dep.12[[#This Row],[T/G điều chỉnh]]-Data_Dep.12[[#This Row],[Số kỳ đã khấu hao]]</f>
        <v>0</v>
      </c>
      <c r="AB353" s="175">
        <f>IFERROR(-Data_Dep.12[[#This Row],[Giá trị còn lại 31/12/25]]/(Data_Dep.12[[#This Row],[T/G điều chỉnh]]-Data_Dep.12[[#This Row],[Số kỳ đã khấu hao]]),0)</f>
        <v>0</v>
      </c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  <c r="AO353" s="175">
        <f>SUM(Data_Dep.12[[#This Row],[KH_2601]:[KH_2612]])</f>
        <v>0</v>
      </c>
      <c r="AP353" s="175">
        <f>Data_Dep.12[[#This Row],[Giá trị còn lại 31/12/25]]+Data_Dep.12[[#This Row],[KH LK 2026]]</f>
        <v>0</v>
      </c>
    </row>
    <row r="354" spans="1:42" x14ac:dyDescent="0.3">
      <c r="A354" s="169"/>
      <c r="B354" s="169"/>
      <c r="C354" s="182" t="s">
        <v>406</v>
      </c>
      <c r="D354" s="169" t="str">
        <f>_xlfn.XLOOKUP(Data_Dep.12[[#This Row],[Nhóm tài sản]],MD_Account_Asset_Type[Nhóm tài sản],MD_Account_Asset_Type[Tên Nhóm tài sản])</f>
        <v>Phần mềm máy vi tính - BH 641</v>
      </c>
      <c r="E354" s="171" t="s">
        <v>1202</v>
      </c>
      <c r="F354" s="170" t="s">
        <v>1203</v>
      </c>
      <c r="G354" s="169" t="s">
        <v>830</v>
      </c>
      <c r="H354" s="170" t="s">
        <v>38</v>
      </c>
      <c r="I354" s="170" t="str">
        <f>_xlfn.XLOOKUP(Data_Dep.12[[#This Row],[Cost center]],MD_Cost_Center[Mã Cost Center],MD_Cost_Center[Tên Cost Center])</f>
        <v>Kế toán</v>
      </c>
      <c r="J354" s="172">
        <f>_xlfn.XLOOKUP(Data_Dep.12[[#This Row],[Cost center]],MD_Cost_Center[Mã Cost Center],MD_Cost_Center[Work center],"Check")</f>
        <v>0</v>
      </c>
      <c r="K354" s="169" t="str">
        <f>_xlfn.XLOOKUP(Data_Dep.12[[#This Row],[Nhóm tài sản]],MD_Account_Asset_Type[Nhóm tài sản],MD_Account_Asset_Type[Tài khoản KH],"Check")</f>
        <v>6414001907</v>
      </c>
      <c r="L354" s="173">
        <v>40175</v>
      </c>
      <c r="M354" s="174">
        <f>EDATE(Data_Dep.12[[#This Row],[Ngày bắt đầu KH]],Data_Dep.12[[#This Row],[T/G Khấu hao]])</f>
        <v>41271</v>
      </c>
      <c r="N354" s="175">
        <v>36</v>
      </c>
      <c r="O354" s="175">
        <v>77554250</v>
      </c>
      <c r="P354" s="175">
        <v>-77554250</v>
      </c>
      <c r="Q354" s="175">
        <f>Data_Dep.12[[#This Row],[Nguyên giá]]+Data_Dep.12[[#This Row],[KH lũy kế]]</f>
        <v>0</v>
      </c>
      <c r="R354" s="177"/>
      <c r="S354" s="177"/>
      <c r="T354" s="177"/>
      <c r="U354" s="177">
        <f>SUM(Data_Dep.12[[#This Row],[KH_2510]:[KH_2512]])</f>
        <v>0</v>
      </c>
      <c r="V354" s="175">
        <f>Data_Dep.12[[#This Row],[Nguyên giá]]+Data_Dep.12[[#This Row],[KH lũy kế]]+Data_Dep.12[[#This Row],[KH_Q4.25]]</f>
        <v>0</v>
      </c>
      <c r="W354" s="175">
        <f>ROUND(Data_Dep.12[[#This Row],[T/G Khấu hao]]-Data_Dep.12[[#This Row],[Giá trị còn lại 31/12/25]]/Data_Dep.12[[#This Row],[Nguyên giá]]*Data_Dep.12[[#This Row],[T/G Khấu hao]],0)</f>
        <v>36</v>
      </c>
      <c r="X354" s="179"/>
      <c r="Y354" s="175">
        <f>Data_Dep.12[[#This Row],[T/G Khấu hao]]+Data_Dep.12[[#This Row],[Điều chỉnh]]</f>
        <v>36</v>
      </c>
      <c r="Z354" s="180">
        <f>EDATE(Data_Dep.12[[#This Row],[Ngày bắt đầu KH]],Data_Dep.12[[#This Row],[T/G điều chỉnh]])</f>
        <v>41271</v>
      </c>
      <c r="AA354" s="175">
        <f>Data_Dep.12[[#This Row],[T/G điều chỉnh]]-Data_Dep.12[[#This Row],[Số kỳ đã khấu hao]]</f>
        <v>0</v>
      </c>
      <c r="AB354" s="175">
        <f>IFERROR(-Data_Dep.12[[#This Row],[Giá trị còn lại 31/12/25]]/(Data_Dep.12[[#This Row],[T/G điều chỉnh]]-Data_Dep.12[[#This Row],[Số kỳ đã khấu hao]]),0)</f>
        <v>0</v>
      </c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  <c r="AO354" s="175">
        <f>SUM(Data_Dep.12[[#This Row],[KH_2601]:[KH_2612]])</f>
        <v>0</v>
      </c>
      <c r="AP354" s="175">
        <f>Data_Dep.12[[#This Row],[Giá trị còn lại 31/12/25]]+Data_Dep.12[[#This Row],[KH LK 2026]]</f>
        <v>0</v>
      </c>
    </row>
    <row r="355" spans="1:42" x14ac:dyDescent="0.3">
      <c r="A355" s="169"/>
      <c r="B355" s="169"/>
      <c r="C355" s="182" t="s">
        <v>406</v>
      </c>
      <c r="D355" s="169" t="str">
        <f>_xlfn.XLOOKUP(Data_Dep.12[[#This Row],[Nhóm tài sản]],MD_Account_Asset_Type[Nhóm tài sản],MD_Account_Asset_Type[Tên Nhóm tài sản])</f>
        <v>Phần mềm máy vi tính - BH 641</v>
      </c>
      <c r="E355" s="171" t="s">
        <v>1204</v>
      </c>
      <c r="F355" s="170" t="s">
        <v>1205</v>
      </c>
      <c r="G355" s="169" t="s">
        <v>830</v>
      </c>
      <c r="H355" s="170" t="s">
        <v>36</v>
      </c>
      <c r="I355" s="170" t="str">
        <f>_xlfn.XLOOKUP(Data_Dep.12[[#This Row],[Cost center]],MD_Cost_Center[Mã Cost Center],MD_Cost_Center[Tên Cost Center])</f>
        <v>Hành chánh nhân sự</v>
      </c>
      <c r="J355" s="172">
        <f>_xlfn.XLOOKUP(Data_Dep.12[[#This Row],[Cost center]],MD_Cost_Center[Mã Cost Center],MD_Cost_Center[Work center],"Check")</f>
        <v>0</v>
      </c>
      <c r="K355" s="169" t="str">
        <f>_xlfn.XLOOKUP(Data_Dep.12[[#This Row],[Nhóm tài sản]],MD_Account_Asset_Type[Nhóm tài sản],MD_Account_Asset_Type[Tài khoản KH],"Check")</f>
        <v>6414001907</v>
      </c>
      <c r="L355" s="173">
        <v>44684</v>
      </c>
      <c r="M355" s="174">
        <f>EDATE(Data_Dep.12[[#This Row],[Ngày bắt đầu KH]],Data_Dep.12[[#This Row],[T/G Khấu hao]])</f>
        <v>45049</v>
      </c>
      <c r="N355" s="175">
        <v>12</v>
      </c>
      <c r="O355" s="175">
        <v>211690000</v>
      </c>
      <c r="P355" s="175">
        <v>-211690000</v>
      </c>
      <c r="Q355" s="175">
        <f>Data_Dep.12[[#This Row],[Nguyên giá]]+Data_Dep.12[[#This Row],[KH lũy kế]]</f>
        <v>0</v>
      </c>
      <c r="R355" s="177"/>
      <c r="S355" s="177"/>
      <c r="T355" s="177"/>
      <c r="U355" s="177">
        <f>SUM(Data_Dep.12[[#This Row],[KH_2510]:[KH_2512]])</f>
        <v>0</v>
      </c>
      <c r="V355" s="175">
        <f>Data_Dep.12[[#This Row],[Nguyên giá]]+Data_Dep.12[[#This Row],[KH lũy kế]]+Data_Dep.12[[#This Row],[KH_Q4.25]]</f>
        <v>0</v>
      </c>
      <c r="W355" s="175">
        <f>ROUND(Data_Dep.12[[#This Row],[T/G Khấu hao]]-Data_Dep.12[[#This Row],[Giá trị còn lại 31/12/25]]/Data_Dep.12[[#This Row],[Nguyên giá]]*Data_Dep.12[[#This Row],[T/G Khấu hao]],0)</f>
        <v>12</v>
      </c>
      <c r="X355" s="179"/>
      <c r="Y355" s="175">
        <f>Data_Dep.12[[#This Row],[T/G Khấu hao]]+Data_Dep.12[[#This Row],[Điều chỉnh]]</f>
        <v>12</v>
      </c>
      <c r="Z355" s="180">
        <f>EDATE(Data_Dep.12[[#This Row],[Ngày bắt đầu KH]],Data_Dep.12[[#This Row],[T/G điều chỉnh]])</f>
        <v>45049</v>
      </c>
      <c r="AA355" s="175">
        <f>Data_Dep.12[[#This Row],[T/G điều chỉnh]]-Data_Dep.12[[#This Row],[Số kỳ đã khấu hao]]</f>
        <v>0</v>
      </c>
      <c r="AB355" s="175">
        <f>IFERROR(-Data_Dep.12[[#This Row],[Giá trị còn lại 31/12/25]]/(Data_Dep.12[[#This Row],[T/G điều chỉnh]]-Data_Dep.12[[#This Row],[Số kỳ đã khấu hao]]),0)</f>
        <v>0</v>
      </c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  <c r="AO355" s="175">
        <f>SUM(Data_Dep.12[[#This Row],[KH_2601]:[KH_2612]])</f>
        <v>0</v>
      </c>
      <c r="AP355" s="175">
        <f>Data_Dep.12[[#This Row],[Giá trị còn lại 31/12/25]]+Data_Dep.12[[#This Row],[KH LK 2026]]</f>
        <v>0</v>
      </c>
    </row>
    <row r="356" spans="1:42" x14ac:dyDescent="0.3">
      <c r="A356" s="169"/>
      <c r="B356" s="169"/>
      <c r="C356" s="182" t="s">
        <v>409</v>
      </c>
      <c r="D356" s="169" t="str">
        <f>_xlfn.XLOOKUP(Data_Dep.12[[#This Row],[Nhóm tài sản]],MD_Account_Asset_Type[Nhóm tài sản],MD_Account_Asset_Type[Tên Nhóm tài sản])</f>
        <v>TSCĐ vô hình khác - QL 642</v>
      </c>
      <c r="E356" s="171" t="s">
        <v>1210</v>
      </c>
      <c r="F356" s="170" t="s">
        <v>1211</v>
      </c>
      <c r="G356" s="169" t="s">
        <v>830</v>
      </c>
      <c r="H356" s="170" t="s">
        <v>36</v>
      </c>
      <c r="I356" s="170" t="str">
        <f>_xlfn.XLOOKUP(Data_Dep.12[[#This Row],[Cost center]],MD_Cost_Center[Mã Cost Center],MD_Cost_Center[Tên Cost Center])</f>
        <v>Hành chánh nhân sự</v>
      </c>
      <c r="J356" s="172">
        <f>_xlfn.XLOOKUP(Data_Dep.12[[#This Row],[Cost center]],MD_Cost_Center[Mã Cost Center],MD_Cost_Center[Work center],"Check")</f>
        <v>0</v>
      </c>
      <c r="K356" s="169" t="str">
        <f>_xlfn.XLOOKUP(Data_Dep.12[[#This Row],[Nhóm tài sản]],MD_Account_Asset_Type[Nhóm tài sản],MD_Account_Asset_Type[Tài khoản KH],"Check")</f>
        <v>6424001915</v>
      </c>
      <c r="L356" s="173">
        <v>44819</v>
      </c>
      <c r="M356" s="174">
        <f>EDATE(Data_Dep.12[[#This Row],[Ngày bắt đầu KH]],Data_Dep.12[[#This Row],[T/G Khấu hao]])</f>
        <v>45915</v>
      </c>
      <c r="N356" s="175">
        <v>36</v>
      </c>
      <c r="O356" s="175">
        <v>52602439</v>
      </c>
      <c r="P356" s="175">
        <v>-52602439</v>
      </c>
      <c r="Q356" s="175">
        <f>Data_Dep.12[[#This Row],[Nguyên giá]]+Data_Dep.12[[#This Row],[KH lũy kế]]</f>
        <v>0</v>
      </c>
      <c r="R356" s="177"/>
      <c r="S356" s="177"/>
      <c r="T356" s="177"/>
      <c r="U356" s="177">
        <f>SUM(Data_Dep.12[[#This Row],[KH_2510]:[KH_2512]])</f>
        <v>0</v>
      </c>
      <c r="V356" s="175">
        <f>Data_Dep.12[[#This Row],[Nguyên giá]]+Data_Dep.12[[#This Row],[KH lũy kế]]+Data_Dep.12[[#This Row],[KH_Q4.25]]</f>
        <v>0</v>
      </c>
      <c r="W356" s="175">
        <f>ROUND(Data_Dep.12[[#This Row],[T/G Khấu hao]]-Data_Dep.12[[#This Row],[Giá trị còn lại 31/12/25]]/Data_Dep.12[[#This Row],[Nguyên giá]]*Data_Dep.12[[#This Row],[T/G Khấu hao]],0)</f>
        <v>36</v>
      </c>
      <c r="X356" s="179"/>
      <c r="Y356" s="175">
        <f>Data_Dep.12[[#This Row],[T/G Khấu hao]]+Data_Dep.12[[#This Row],[Điều chỉnh]]</f>
        <v>36</v>
      </c>
      <c r="Z356" s="180">
        <f>EDATE(Data_Dep.12[[#This Row],[Ngày bắt đầu KH]],Data_Dep.12[[#This Row],[T/G điều chỉnh]])</f>
        <v>45915</v>
      </c>
      <c r="AA356" s="175">
        <f>Data_Dep.12[[#This Row],[T/G điều chỉnh]]-Data_Dep.12[[#This Row],[Số kỳ đã khấu hao]]</f>
        <v>0</v>
      </c>
      <c r="AB356" s="175">
        <f>IFERROR(-Data_Dep.12[[#This Row],[Giá trị còn lại 31/12/25]]/(Data_Dep.12[[#This Row],[T/G điều chỉnh]]-Data_Dep.12[[#This Row],[Số kỳ đã khấu hao]]),0)</f>
        <v>0</v>
      </c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75">
        <f>SUM(Data_Dep.12[[#This Row],[KH_2601]:[KH_2612]])</f>
        <v>0</v>
      </c>
      <c r="AP356" s="175">
        <f>Data_Dep.12[[#This Row],[Giá trị còn lại 31/12/25]]+Data_Dep.12[[#This Row],[KH LK 2026]]</f>
        <v>0</v>
      </c>
    </row>
    <row r="357" spans="1:42" x14ac:dyDescent="0.3">
      <c r="A357" s="169"/>
      <c r="B357" s="169"/>
      <c r="C357" s="170" t="s">
        <v>319</v>
      </c>
      <c r="D357" s="169" t="str">
        <f>_xlfn.XLOOKUP(Data_Dep.12[[#This Row],[Nhóm tài sản]],MD_Account_Asset_Type[Nhóm tài sản],MD_Account_Asset_Type[Tên Nhóm tài sản])</f>
        <v>Nhà cửa, vật kiến trúc - SX 627</v>
      </c>
      <c r="E357" s="171" t="s">
        <v>1563</v>
      </c>
      <c r="F357" s="170" t="s">
        <v>1220</v>
      </c>
      <c r="G357" s="169" t="s">
        <v>830</v>
      </c>
      <c r="H357" s="170" t="s">
        <v>92</v>
      </c>
      <c r="I357" s="170" t="str">
        <f>_xlfn.XLOOKUP(Data_Dep.12[[#This Row],[Cost center]],MD_Cost_Center[Mã Cost Center],MD_Cost_Center[Tên Cost Center])</f>
        <v>Kho</v>
      </c>
      <c r="J357" s="172">
        <f>_xlfn.XLOOKUP(Data_Dep.12[[#This Row],[Cost center]],MD_Cost_Center[Mã Cost Center],MD_Cost_Center[Work center],"Check")</f>
        <v>0</v>
      </c>
      <c r="K357" s="169" t="str">
        <f>_xlfn.XLOOKUP(Data_Dep.12[[#This Row],[Nhóm tài sản]],MD_Account_Asset_Type[Nhóm tài sản],MD_Account_Asset_Type[Tài khoản KH],"Check")</f>
        <v>6274001901</v>
      </c>
      <c r="L357" s="173">
        <v>45962</v>
      </c>
      <c r="M357" s="174">
        <f>EDATE(Data_Dep.12[[#This Row],[Ngày bắt đầu KH]],Data_Dep.12[[#This Row],[T/G Khấu hao]])</f>
        <v>47788</v>
      </c>
      <c r="N357" s="175">
        <v>60</v>
      </c>
      <c r="O357" s="175">
        <v>723140800</v>
      </c>
      <c r="P357" s="175"/>
      <c r="Q357" s="183"/>
      <c r="R357" s="177"/>
      <c r="S357" s="177">
        <v>-12052347</v>
      </c>
      <c r="T357" s="177">
        <v>-12052346</v>
      </c>
      <c r="U357" s="177">
        <f>SUM(Data_Dep.12[[#This Row],[KH_2510]:[KH_2512]])</f>
        <v>-24104693</v>
      </c>
      <c r="V357" s="193">
        <f>Data_Dep.12[[#This Row],[Nguyên giá]]+Data_Dep.12[[#This Row],[KH lũy kế]]+Data_Dep.12[[#This Row],[KH_Q4.25]]</f>
        <v>699036107</v>
      </c>
      <c r="W357" s="175">
        <f>ROUND(Data_Dep.12[[#This Row],[T/G Khấu hao]]-Data_Dep.12[[#This Row],[Giá trị còn lại 31/12/25]]/Data_Dep.12[[#This Row],[Nguyên giá]]*Data_Dep.12[[#This Row],[T/G Khấu hao]],0)</f>
        <v>2</v>
      </c>
      <c r="X357" s="179">
        <v>240</v>
      </c>
      <c r="Y357" s="175">
        <f>Data_Dep.12[[#This Row],[T/G Khấu hao]]+Data_Dep.12[[#This Row],[Điều chỉnh]]</f>
        <v>300</v>
      </c>
      <c r="Z357" s="180">
        <f>EDATE(Data_Dep.12[[#This Row],[Ngày bắt đầu KH]],Data_Dep.12[[#This Row],[T/G điều chỉnh]])</f>
        <v>55093</v>
      </c>
      <c r="AA357" s="175">
        <f>Data_Dep.12[[#This Row],[T/G điều chỉnh]]-Data_Dep.12[[#This Row],[Số kỳ đã khấu hao]]</f>
        <v>298</v>
      </c>
      <c r="AB357" s="175">
        <f>IFERROR(-Data_Dep.12[[#This Row],[Giá trị còn lại 31/12/25]]/(Data_Dep.12[[#This Row],[T/G điều chỉnh]]-Data_Dep.12[[#This Row],[Số kỳ đã khấu hao]]),0)</f>
        <v>-2345758.7483221479</v>
      </c>
      <c r="AC357" s="181">
        <v>-2345759</v>
      </c>
      <c r="AD357" s="181">
        <v>-2345759</v>
      </c>
      <c r="AE357" s="181">
        <v>-2345759</v>
      </c>
      <c r="AF357" s="181">
        <v>-2345759</v>
      </c>
      <c r="AG357" s="181">
        <v>-2345759</v>
      </c>
      <c r="AH357" s="181">
        <v>-2345759</v>
      </c>
      <c r="AI357" s="181">
        <v>-2345759</v>
      </c>
      <c r="AJ357" s="181">
        <v>-2345759</v>
      </c>
      <c r="AK357" s="181">
        <v>-2345759</v>
      </c>
      <c r="AL357" s="181">
        <v>-2345759</v>
      </c>
      <c r="AM357" s="181">
        <v>-2345759</v>
      </c>
      <c r="AN357" s="181">
        <v>-2345759</v>
      </c>
      <c r="AO357" s="175">
        <f>SUM(Data_Dep.12[[#This Row],[KH_2601]:[KH_2612]])</f>
        <v>-28149108</v>
      </c>
      <c r="AP357" s="175">
        <f>Data_Dep.12[[#This Row],[Giá trị còn lại 31/12/25]]+Data_Dep.12[[#This Row],[KH LK 2026]]</f>
        <v>670886999</v>
      </c>
    </row>
    <row r="358" spans="1:42" x14ac:dyDescent="0.3">
      <c r="A358" s="169"/>
      <c r="B358" s="169"/>
      <c r="C358" s="170" t="s">
        <v>337</v>
      </c>
      <c r="D358" s="169" t="str">
        <f>_xlfn.XLOOKUP(Data_Dep.12[[#This Row],[Nhóm tài sản]],MD_Account_Asset_Type[Nhóm tài sản],MD_Account_Asset_Type[Tên Nhóm tài sản])</f>
        <v>Máy móc, thiết bị phụ - SX 627</v>
      </c>
      <c r="E358" s="171" t="s">
        <v>1467</v>
      </c>
      <c r="F358" s="170" t="s">
        <v>1221</v>
      </c>
      <c r="G358" s="169" t="s">
        <v>830</v>
      </c>
      <c r="H358" s="170" t="s">
        <v>45</v>
      </c>
      <c r="I358" s="170" t="str">
        <f>_xlfn.XLOOKUP(Data_Dep.12[[#This Row],[Cost center]],MD_Cost_Center[Mã Cost Center],MD_Cost_Center[Tên Cost Center])</f>
        <v>Kỹ thuật</v>
      </c>
      <c r="J358" s="172">
        <f>_xlfn.XLOOKUP(Data_Dep.12[[#This Row],[Cost center]],MD_Cost_Center[Mã Cost Center],MD_Cost_Center[Work center],"Check")</f>
        <v>0</v>
      </c>
      <c r="K358" s="169" t="str">
        <f>_xlfn.XLOOKUP(Data_Dep.12[[#This Row],[Nhóm tài sản]],MD_Account_Asset_Type[Nhóm tài sản],MD_Account_Asset_Type[Tài khoản KH],"Check")</f>
        <v>6274001906</v>
      </c>
      <c r="L358" s="173">
        <v>45962</v>
      </c>
      <c r="M358" s="174">
        <f>EDATE(Data_Dep.12[[#This Row],[Ngày bắt đầu KH]],Data_Dep.12[[#This Row],[T/G Khấu hao]])</f>
        <v>50345</v>
      </c>
      <c r="N358" s="175">
        <v>144</v>
      </c>
      <c r="O358" s="175">
        <v>680000000</v>
      </c>
      <c r="P358" s="184"/>
      <c r="Q358" s="183"/>
      <c r="R358" s="177"/>
      <c r="S358" s="177">
        <v>-4722222</v>
      </c>
      <c r="T358" s="177">
        <v>-4722222</v>
      </c>
      <c r="U358" s="177">
        <f>SUM(Data_Dep.12[[#This Row],[KH_2510]:[KH_2512]])</f>
        <v>-9444444</v>
      </c>
      <c r="V358" s="193">
        <f>Data_Dep.12[[#This Row],[Nguyên giá]]+Data_Dep.12[[#This Row],[KH lũy kế]]+Data_Dep.12[[#This Row],[KH_Q4.25]]</f>
        <v>670555556</v>
      </c>
      <c r="W358" s="175">
        <f>ROUND(Data_Dep.12[[#This Row],[T/G Khấu hao]]-Data_Dep.12[[#This Row],[Giá trị còn lại 31/12/25]]/Data_Dep.12[[#This Row],[Nguyên giá]]*Data_Dep.12[[#This Row],[T/G Khấu hao]],0)</f>
        <v>2</v>
      </c>
      <c r="X358" s="179"/>
      <c r="Y358" s="175">
        <f>Data_Dep.12[[#This Row],[T/G Khấu hao]]+Data_Dep.12[[#This Row],[Điều chỉnh]]</f>
        <v>144</v>
      </c>
      <c r="Z358" s="180">
        <f>EDATE(Data_Dep.12[[#This Row],[Ngày bắt đầu KH]],Data_Dep.12[[#This Row],[T/G điều chỉnh]])</f>
        <v>50345</v>
      </c>
      <c r="AA358" s="175">
        <f>Data_Dep.12[[#This Row],[T/G điều chỉnh]]-Data_Dep.12[[#This Row],[Số kỳ đã khấu hao]]</f>
        <v>142</v>
      </c>
      <c r="AB358" s="175">
        <f>IFERROR(-Data_Dep.12[[#This Row],[Giá trị còn lại 31/12/25]]/(Data_Dep.12[[#This Row],[T/G điều chỉnh]]-Data_Dep.12[[#This Row],[Số kỳ đã khấu hao]]),0)</f>
        <v>-4722222.2253521131</v>
      </c>
      <c r="AC358" s="181">
        <v>-4722222</v>
      </c>
      <c r="AD358" s="181">
        <v>-4722222</v>
      </c>
      <c r="AE358" s="181">
        <v>-4722222</v>
      </c>
      <c r="AF358" s="181">
        <v>-4722222</v>
      </c>
      <c r="AG358" s="181">
        <v>-4722222</v>
      </c>
      <c r="AH358" s="181">
        <v>-4722222</v>
      </c>
      <c r="AI358" s="181">
        <v>-4722222</v>
      </c>
      <c r="AJ358" s="181">
        <v>-4722222</v>
      </c>
      <c r="AK358" s="181">
        <v>-4722222</v>
      </c>
      <c r="AL358" s="181">
        <v>-4722222</v>
      </c>
      <c r="AM358" s="181">
        <v>-4722222</v>
      </c>
      <c r="AN358" s="181">
        <v>-4722222</v>
      </c>
      <c r="AO358" s="175">
        <f>SUM(Data_Dep.12[[#This Row],[KH_2601]:[KH_2612]])</f>
        <v>-56666664</v>
      </c>
      <c r="AP358" s="175">
        <f>Data_Dep.12[[#This Row],[Giá trị còn lại 31/12/25]]+Data_Dep.12[[#This Row],[KH LK 2026]]</f>
        <v>613888892</v>
      </c>
    </row>
    <row r="359" spans="1:42" x14ac:dyDescent="0.3">
      <c r="A359" s="169"/>
      <c r="B359" s="169"/>
      <c r="C359" s="170" t="s">
        <v>337</v>
      </c>
      <c r="D359" s="169" t="str">
        <f>_xlfn.XLOOKUP(Data_Dep.12[[#This Row],[Nhóm tài sản]],MD_Account_Asset_Type[Nhóm tài sản],MD_Account_Asset_Type[Tên Nhóm tài sản])</f>
        <v>Máy móc, thiết bị phụ - SX 627</v>
      </c>
      <c r="E359" s="171" t="s">
        <v>1047</v>
      </c>
      <c r="F359" s="170" t="s">
        <v>1048</v>
      </c>
      <c r="G359" s="169" t="s">
        <v>830</v>
      </c>
      <c r="H359" s="170" t="s">
        <v>47</v>
      </c>
      <c r="I359" s="170" t="str">
        <f>_xlfn.XLOOKUP(Data_Dep.12[[#This Row],[Cost center]],MD_Cost_Center[Mã Cost Center],MD_Cost_Center[Tên Cost Center])</f>
        <v>Nghiên Cứu &amp; Phát Triển</v>
      </c>
      <c r="J359" s="172">
        <f>_xlfn.XLOOKUP(Data_Dep.12[[#This Row],[Cost center]],MD_Cost_Center[Mã Cost Center],MD_Cost_Center[Work center],"Check")</f>
        <v>0</v>
      </c>
      <c r="K359" s="169" t="str">
        <f>_xlfn.XLOOKUP(Data_Dep.12[[#This Row],[Nhóm tài sản]],MD_Account_Asset_Type[Nhóm tài sản],MD_Account_Asset_Type[Tài khoản KH],"Check")</f>
        <v>6274001906</v>
      </c>
      <c r="L359" s="173">
        <v>45962</v>
      </c>
      <c r="M359" s="174">
        <f>EDATE(Data_Dep.12[[#This Row],[Ngày bắt đầu KH]],Data_Dep.12[[#This Row],[T/G Khấu hao]])</f>
        <v>47788</v>
      </c>
      <c r="N359" s="175">
        <v>60</v>
      </c>
      <c r="O359" s="175">
        <v>30000000</v>
      </c>
      <c r="P359" s="184"/>
      <c r="Q359" s="183"/>
      <c r="R359" s="177"/>
      <c r="S359" s="177">
        <v>-500000</v>
      </c>
      <c r="T359" s="177">
        <v>-500000</v>
      </c>
      <c r="U359" s="177">
        <f>SUM(Data_Dep.12[[#This Row],[KH_2510]:[KH_2512]])</f>
        <v>-1000000</v>
      </c>
      <c r="V359" s="193">
        <f>Data_Dep.12[[#This Row],[Nguyên giá]]+Data_Dep.12[[#This Row],[KH lũy kế]]+Data_Dep.12[[#This Row],[KH_Q4.25]]</f>
        <v>29000000</v>
      </c>
      <c r="W359" s="175">
        <f>ROUND(Data_Dep.12[[#This Row],[T/G Khấu hao]]-Data_Dep.12[[#This Row],[Giá trị còn lại 31/12/25]]/Data_Dep.12[[#This Row],[Nguyên giá]]*Data_Dep.12[[#This Row],[T/G Khấu hao]],0)</f>
        <v>2</v>
      </c>
      <c r="X359" s="179"/>
      <c r="Y359" s="175">
        <f>Data_Dep.12[[#This Row],[T/G Khấu hao]]+Data_Dep.12[[#This Row],[Điều chỉnh]]</f>
        <v>60</v>
      </c>
      <c r="Z359" s="180">
        <f>EDATE(Data_Dep.12[[#This Row],[Ngày bắt đầu KH]],Data_Dep.12[[#This Row],[T/G điều chỉnh]])</f>
        <v>47788</v>
      </c>
      <c r="AA359" s="175">
        <f>Data_Dep.12[[#This Row],[T/G điều chỉnh]]-Data_Dep.12[[#This Row],[Số kỳ đã khấu hao]]</f>
        <v>58</v>
      </c>
      <c r="AB359" s="175">
        <f>IFERROR(-Data_Dep.12[[#This Row],[Giá trị còn lại 31/12/25]]/(Data_Dep.12[[#This Row],[T/G điều chỉnh]]-Data_Dep.12[[#This Row],[Số kỳ đã khấu hao]]),0)</f>
        <v>-500000</v>
      </c>
      <c r="AC359" s="181">
        <v>-500000</v>
      </c>
      <c r="AD359" s="181">
        <v>-500000</v>
      </c>
      <c r="AE359" s="181">
        <v>-500000</v>
      </c>
      <c r="AF359" s="181">
        <v>-500000</v>
      </c>
      <c r="AG359" s="181">
        <v>-500000</v>
      </c>
      <c r="AH359" s="181">
        <v>-500000</v>
      </c>
      <c r="AI359" s="181">
        <v>-500000</v>
      </c>
      <c r="AJ359" s="181">
        <v>-500000</v>
      </c>
      <c r="AK359" s="181">
        <v>-500000</v>
      </c>
      <c r="AL359" s="181">
        <v>-500000</v>
      </c>
      <c r="AM359" s="181">
        <v>-500000</v>
      </c>
      <c r="AN359" s="181">
        <v>-500000</v>
      </c>
      <c r="AO359" s="175">
        <f>SUM(Data_Dep.12[[#This Row],[KH_2601]:[KH_2612]])</f>
        <v>-6000000</v>
      </c>
      <c r="AP359" s="175">
        <f>Data_Dep.12[[#This Row],[Giá trị còn lại 31/12/25]]+Data_Dep.12[[#This Row],[KH LK 2026]]</f>
        <v>23000000</v>
      </c>
    </row>
    <row r="360" spans="1:42" x14ac:dyDescent="0.3">
      <c r="A360" s="169"/>
      <c r="B360" s="169"/>
      <c r="C360" s="170" t="s">
        <v>338</v>
      </c>
      <c r="D360" s="169" t="str">
        <f>_xlfn.XLOOKUP(Data_Dep.12[[#This Row],[Nhóm tài sản]],MD_Account_Asset_Type[Nhóm tài sản],MD_Account_Asset_Type[Tên Nhóm tài sản])</f>
        <v>Máy móc, thiết bị - SX 627</v>
      </c>
      <c r="E360" s="171" t="s">
        <v>1505</v>
      </c>
      <c r="F360" s="170" t="s">
        <v>1506</v>
      </c>
      <c r="G360" s="169" t="s">
        <v>830</v>
      </c>
      <c r="H360" s="171" t="s">
        <v>106</v>
      </c>
      <c r="I360" s="170" t="str">
        <f>_xlfn.XLOOKUP(Data_Dep.12[[#This Row],[Cost center]],MD_Cost_Center[Mã Cost Center],MD_Cost_Center[Tên Cost Center])</f>
        <v>Máy Trộn PET Piovan 22 Tấn MIX-09</v>
      </c>
      <c r="J360" s="172" t="str">
        <f>_xlfn.XLOOKUP(Data_Dep.12[[#This Row],[Cost center]],MD_Cost_Center[Mã Cost Center],MD_Cost_Center[Work center],"Check")</f>
        <v>MIX-09</v>
      </c>
      <c r="K360" s="169" t="str">
        <f>_xlfn.XLOOKUP(Data_Dep.12[[#This Row],[Nhóm tài sản]],MD_Account_Asset_Type[Nhóm tài sản],MD_Account_Asset_Type[Tài khoản KH],"Check")</f>
        <v>6274001903</v>
      </c>
      <c r="L360" s="173">
        <v>45962</v>
      </c>
      <c r="M360" s="174">
        <f>EDATE(Data_Dep.12[[#This Row],[Ngày bắt đầu KH]],Data_Dep.12[[#This Row],[T/G Khấu hao]])</f>
        <v>50345</v>
      </c>
      <c r="N360" s="175">
        <v>144</v>
      </c>
      <c r="O360" s="175">
        <v>162982346</v>
      </c>
      <c r="P360" s="184"/>
      <c r="Q360" s="183"/>
      <c r="R360" s="177"/>
      <c r="S360" s="177">
        <v>-1131822</v>
      </c>
      <c r="T360" s="177">
        <v>-1131822</v>
      </c>
      <c r="U360" s="177">
        <f>SUM(Data_Dep.12[[#This Row],[KH_2510]:[KH_2512]])</f>
        <v>-2263644</v>
      </c>
      <c r="V360" s="193">
        <f>Data_Dep.12[[#This Row],[Nguyên giá]]+Data_Dep.12[[#This Row],[KH lũy kế]]+Data_Dep.12[[#This Row],[KH_Q4.25]]</f>
        <v>160718702</v>
      </c>
      <c r="W360" s="175">
        <f>ROUND(Data_Dep.12[[#This Row],[T/G Khấu hao]]-Data_Dep.12[[#This Row],[Giá trị còn lại 31/12/25]]/Data_Dep.12[[#This Row],[Nguyên giá]]*Data_Dep.12[[#This Row],[T/G Khấu hao]],0)</f>
        <v>2</v>
      </c>
      <c r="X360" s="179"/>
      <c r="Y360" s="175">
        <f>Data_Dep.12[[#This Row],[T/G Khấu hao]]+Data_Dep.12[[#This Row],[Điều chỉnh]]</f>
        <v>144</v>
      </c>
      <c r="Z360" s="180">
        <f>EDATE(Data_Dep.12[[#This Row],[Ngày bắt đầu KH]],Data_Dep.12[[#This Row],[T/G điều chỉnh]])</f>
        <v>50345</v>
      </c>
      <c r="AA360" s="175">
        <f>Data_Dep.12[[#This Row],[T/G điều chỉnh]]-Data_Dep.12[[#This Row],[Số kỳ đã khấu hao]]</f>
        <v>142</v>
      </c>
      <c r="AB360" s="175">
        <f>IFERROR(-Data_Dep.12[[#This Row],[Giá trị còn lại 31/12/25]]/(Data_Dep.12[[#This Row],[T/G điều chỉnh]]-Data_Dep.12[[#This Row],[Số kỳ đã khấu hao]]),0)</f>
        <v>-1131821.8450704226</v>
      </c>
      <c r="AC360" s="181">
        <v>-1131822</v>
      </c>
      <c r="AD360" s="181">
        <v>-1131822</v>
      </c>
      <c r="AE360" s="181">
        <v>-1131822</v>
      </c>
      <c r="AF360" s="181">
        <v>-1131822</v>
      </c>
      <c r="AG360" s="181">
        <v>-1131822</v>
      </c>
      <c r="AH360" s="181">
        <v>-1131822</v>
      </c>
      <c r="AI360" s="181">
        <v>-1131822</v>
      </c>
      <c r="AJ360" s="181">
        <v>-1131822</v>
      </c>
      <c r="AK360" s="181">
        <v>-1131822</v>
      </c>
      <c r="AL360" s="181">
        <v>-1131822</v>
      </c>
      <c r="AM360" s="181">
        <v>-1131822</v>
      </c>
      <c r="AN360" s="181">
        <v>-1131822</v>
      </c>
      <c r="AO360" s="175">
        <f>SUM(Data_Dep.12[[#This Row],[KH_2601]:[KH_2612]])</f>
        <v>-13581864</v>
      </c>
      <c r="AP360" s="175">
        <f>Data_Dep.12[[#This Row],[Giá trị còn lại 31/12/25]]+Data_Dep.12[[#This Row],[KH LK 2026]]</f>
        <v>147136838</v>
      </c>
    </row>
    <row r="361" spans="1:42" x14ac:dyDescent="0.3">
      <c r="A361" s="169"/>
      <c r="B361" s="169"/>
      <c r="C361" s="170" t="s">
        <v>337</v>
      </c>
      <c r="D361" s="169" t="str">
        <f>_xlfn.XLOOKUP(Data_Dep.12[[#This Row],[Nhóm tài sản]],MD_Account_Asset_Type[Nhóm tài sản],MD_Account_Asset_Type[Tên Nhóm tài sản])</f>
        <v>Máy móc, thiết bị phụ - SX 627</v>
      </c>
      <c r="E361" s="171" t="s">
        <v>1507</v>
      </c>
      <c r="F361" s="170" t="s">
        <v>1508</v>
      </c>
      <c r="G361" s="169" t="s">
        <v>830</v>
      </c>
      <c r="H361" s="171" t="s">
        <v>45</v>
      </c>
      <c r="I361" s="170" t="str">
        <f>_xlfn.XLOOKUP(Data_Dep.12[[#This Row],[Cost center]],MD_Cost_Center[Mã Cost Center],MD_Cost_Center[Tên Cost Center])</f>
        <v>Kỹ thuật</v>
      </c>
      <c r="J361" s="172">
        <f>_xlfn.XLOOKUP(Data_Dep.12[[#This Row],[Cost center]],MD_Cost_Center[Mã Cost Center],MD_Cost_Center[Work center],"Check")</f>
        <v>0</v>
      </c>
      <c r="K361" s="169" t="str">
        <f>_xlfn.XLOOKUP(Data_Dep.12[[#This Row],[Nhóm tài sản]],MD_Account_Asset_Type[Nhóm tài sản],MD_Account_Asset_Type[Tài khoản KH],"Check")</f>
        <v>6274001906</v>
      </c>
      <c r="L361" s="173">
        <v>45962</v>
      </c>
      <c r="M361" s="174">
        <f>EDATE(Data_Dep.12[[#This Row],[Ngày bắt đầu KH]],Data_Dep.12[[#This Row],[T/G Khấu hao]])</f>
        <v>50345</v>
      </c>
      <c r="N361" s="175">
        <v>144</v>
      </c>
      <c r="O361" s="175">
        <v>1195290458</v>
      </c>
      <c r="P361" s="184"/>
      <c r="Q361" s="183"/>
      <c r="R361" s="177"/>
      <c r="S361" s="177">
        <v>-8300628</v>
      </c>
      <c r="T361" s="177">
        <v>-8300628</v>
      </c>
      <c r="U361" s="177">
        <f>SUM(Data_Dep.12[[#This Row],[KH_2510]:[KH_2512]])</f>
        <v>-16601256</v>
      </c>
      <c r="V361" s="193">
        <f>Data_Dep.12[[#This Row],[Nguyên giá]]+Data_Dep.12[[#This Row],[KH lũy kế]]+Data_Dep.12[[#This Row],[KH_Q4.25]]</f>
        <v>1178689202</v>
      </c>
      <c r="W361" s="175">
        <f>ROUND(Data_Dep.12[[#This Row],[T/G Khấu hao]]-Data_Dep.12[[#This Row],[Giá trị còn lại 31/12/25]]/Data_Dep.12[[#This Row],[Nguyên giá]]*Data_Dep.12[[#This Row],[T/G Khấu hao]],0)</f>
        <v>2</v>
      </c>
      <c r="X361" s="179"/>
      <c r="Y361" s="175">
        <f>Data_Dep.12[[#This Row],[T/G Khấu hao]]+Data_Dep.12[[#This Row],[Điều chỉnh]]</f>
        <v>144</v>
      </c>
      <c r="Z361" s="180">
        <f>EDATE(Data_Dep.12[[#This Row],[Ngày bắt đầu KH]],Data_Dep.12[[#This Row],[T/G điều chỉnh]])</f>
        <v>50345</v>
      </c>
      <c r="AA361" s="175">
        <f>Data_Dep.12[[#This Row],[T/G điều chỉnh]]-Data_Dep.12[[#This Row],[Số kỳ đã khấu hao]]</f>
        <v>142</v>
      </c>
      <c r="AB361" s="175">
        <f>IFERROR(-Data_Dep.12[[#This Row],[Giá trị còn lại 31/12/25]]/(Data_Dep.12[[#This Row],[T/G điều chỉnh]]-Data_Dep.12[[#This Row],[Số kỳ đã khấu hao]]),0)</f>
        <v>-8300628.1830985919</v>
      </c>
      <c r="AC361" s="181">
        <v>-8300628</v>
      </c>
      <c r="AD361" s="181">
        <v>-8300628</v>
      </c>
      <c r="AE361" s="181">
        <v>-8300628</v>
      </c>
      <c r="AF361" s="181">
        <v>-8300628</v>
      </c>
      <c r="AG361" s="181">
        <v>-8300628</v>
      </c>
      <c r="AH361" s="181">
        <v>-8300628</v>
      </c>
      <c r="AI361" s="181">
        <v>-8300628</v>
      </c>
      <c r="AJ361" s="181">
        <v>-8300628</v>
      </c>
      <c r="AK361" s="181">
        <v>-8300628</v>
      </c>
      <c r="AL361" s="181">
        <v>-8300628</v>
      </c>
      <c r="AM361" s="181">
        <v>-8300628</v>
      </c>
      <c r="AN361" s="181">
        <v>-8300628</v>
      </c>
      <c r="AO361" s="175">
        <f>SUM(Data_Dep.12[[#This Row],[KH_2601]:[KH_2612]])</f>
        <v>-99607536</v>
      </c>
      <c r="AP361" s="175">
        <f>Data_Dep.12[[#This Row],[Giá trị còn lại 31/12/25]]+Data_Dep.12[[#This Row],[KH LK 2026]]</f>
        <v>1079081666</v>
      </c>
    </row>
    <row r="362" spans="1:42" x14ac:dyDescent="0.3">
      <c r="A362" s="169"/>
      <c r="B362" s="169"/>
      <c r="C362" s="170" t="s">
        <v>337</v>
      </c>
      <c r="D362" s="169" t="str">
        <f>_xlfn.XLOOKUP(Data_Dep.12[[#This Row],[Nhóm tài sản]],MD_Account_Asset_Type[Nhóm tài sản],MD_Account_Asset_Type[Tên Nhóm tài sản])</f>
        <v>Máy móc, thiết bị phụ - SX 627</v>
      </c>
      <c r="E362" s="171" t="s">
        <v>1044</v>
      </c>
      <c r="F362" s="170" t="s">
        <v>1045</v>
      </c>
      <c r="G362" s="169" t="s">
        <v>830</v>
      </c>
      <c r="H362" s="171" t="s">
        <v>48</v>
      </c>
      <c r="I362" s="170" t="str">
        <f>_xlfn.XLOOKUP(Data_Dep.12[[#This Row],[Cost center]],MD_Cost_Center[Mã Cost Center],MD_Cost_Center[Tên Cost Center])</f>
        <v>Xưởng sản xuất PET</v>
      </c>
      <c r="J362" s="172">
        <f>_xlfn.XLOOKUP(Data_Dep.12[[#This Row],[Cost center]],MD_Cost_Center[Mã Cost Center],MD_Cost_Center[Work center],"Check")</f>
        <v>0</v>
      </c>
      <c r="K362" s="169" t="str">
        <f>_xlfn.XLOOKUP(Data_Dep.12[[#This Row],[Nhóm tài sản]],MD_Account_Asset_Type[Nhóm tài sản],MD_Account_Asset_Type[Tài khoản KH],"Check")</f>
        <v>6274001906</v>
      </c>
      <c r="L362" s="173">
        <v>45962</v>
      </c>
      <c r="M362" s="174">
        <f>EDATE(Data_Dep.12[[#This Row],[Ngày bắt đầu KH]],Data_Dep.12[[#This Row],[T/G Khấu hao]])</f>
        <v>47788</v>
      </c>
      <c r="N362" s="175">
        <v>60</v>
      </c>
      <c r="O362" s="175">
        <v>81000000</v>
      </c>
      <c r="P362" s="184"/>
      <c r="Q362" s="183"/>
      <c r="R362" s="177"/>
      <c r="S362" s="177">
        <v>-1350000</v>
      </c>
      <c r="T362" s="177">
        <v>-1350000</v>
      </c>
      <c r="U362" s="177">
        <f>SUM(Data_Dep.12[[#This Row],[KH_2510]:[KH_2512]])</f>
        <v>-2700000</v>
      </c>
      <c r="V362" s="193">
        <f>Data_Dep.12[[#This Row],[Nguyên giá]]+Data_Dep.12[[#This Row],[KH lũy kế]]+Data_Dep.12[[#This Row],[KH_Q4.25]]</f>
        <v>78300000</v>
      </c>
      <c r="W362" s="175">
        <f>ROUND(Data_Dep.12[[#This Row],[T/G Khấu hao]]-Data_Dep.12[[#This Row],[Giá trị còn lại 31/12/25]]/Data_Dep.12[[#This Row],[Nguyên giá]]*Data_Dep.12[[#This Row],[T/G Khấu hao]],0)</f>
        <v>2</v>
      </c>
      <c r="X362" s="179">
        <v>84</v>
      </c>
      <c r="Y362" s="175">
        <f>Data_Dep.12[[#This Row],[T/G Khấu hao]]+Data_Dep.12[[#This Row],[Điều chỉnh]]</f>
        <v>144</v>
      </c>
      <c r="Z362" s="180">
        <f>EDATE(Data_Dep.12[[#This Row],[Ngày bắt đầu KH]],Data_Dep.12[[#This Row],[T/G điều chỉnh]])</f>
        <v>50345</v>
      </c>
      <c r="AA362" s="175">
        <f>Data_Dep.12[[#This Row],[T/G điều chỉnh]]-Data_Dep.12[[#This Row],[Số kỳ đã khấu hao]]</f>
        <v>142</v>
      </c>
      <c r="AB362" s="175">
        <f>IFERROR(-Data_Dep.12[[#This Row],[Giá trị còn lại 31/12/25]]/(Data_Dep.12[[#This Row],[T/G điều chỉnh]]-Data_Dep.12[[#This Row],[Số kỳ đã khấu hao]]),0)</f>
        <v>-551408.45070422534</v>
      </c>
      <c r="AC362" s="181">
        <v>-551408</v>
      </c>
      <c r="AD362" s="181">
        <v>-551408</v>
      </c>
      <c r="AE362" s="181">
        <v>-551408</v>
      </c>
      <c r="AF362" s="181">
        <v>-551408</v>
      </c>
      <c r="AG362" s="181">
        <v>-551408</v>
      </c>
      <c r="AH362" s="181">
        <v>-551408</v>
      </c>
      <c r="AI362" s="181">
        <v>-551408</v>
      </c>
      <c r="AJ362" s="181">
        <v>-551408</v>
      </c>
      <c r="AK362" s="181">
        <v>-551408</v>
      </c>
      <c r="AL362" s="181">
        <v>-551408</v>
      </c>
      <c r="AM362" s="181">
        <v>-551408</v>
      </c>
      <c r="AN362" s="181">
        <v>-551408</v>
      </c>
      <c r="AO362" s="175">
        <f>SUM(Data_Dep.12[[#This Row],[KH_2601]:[KH_2612]])</f>
        <v>-6616896</v>
      </c>
      <c r="AP362" s="175">
        <f>Data_Dep.12[[#This Row],[Giá trị còn lại 31/12/25]]+Data_Dep.12[[#This Row],[KH LK 2026]]</f>
        <v>71683104</v>
      </c>
    </row>
    <row r="363" spans="1:42" x14ac:dyDescent="0.3">
      <c r="A363" s="169"/>
      <c r="B363" s="169"/>
      <c r="C363" s="170" t="s">
        <v>336</v>
      </c>
      <c r="D363" s="169" t="str">
        <f>_xlfn.XLOOKUP(Data_Dep.12[[#This Row],[Nhóm tài sản]],MD_Account_Asset_Type[Nhóm tài sản],MD_Account_Asset_Type[Tên Nhóm tài sản])</f>
        <v>Nhà cửa, vật kiến trúc - QL 642</v>
      </c>
      <c r="E363" s="171" t="s">
        <v>1469</v>
      </c>
      <c r="F363" s="170" t="s">
        <v>1468</v>
      </c>
      <c r="G363" s="169" t="s">
        <v>830</v>
      </c>
      <c r="H363" s="170" t="s">
        <v>38</v>
      </c>
      <c r="I363" s="170" t="str">
        <f>_xlfn.XLOOKUP(Data_Dep.12[[#This Row],[Cost center]],MD_Cost_Center[Mã Cost Center],MD_Cost_Center[Tên Cost Center])</f>
        <v>Kế toán</v>
      </c>
      <c r="J363" s="172">
        <f>_xlfn.XLOOKUP(Data_Dep.12[[#This Row],[Cost center]],MD_Cost_Center[Mã Cost Center],MD_Cost_Center[Work center],"Check")</f>
        <v>0</v>
      </c>
      <c r="K363" s="169" t="str">
        <f>_xlfn.XLOOKUP(Data_Dep.12[[#This Row],[Nhóm tài sản]],MD_Account_Asset_Type[Nhóm tài sản],MD_Account_Asset_Type[Tài khoản KH],"Check")</f>
        <v>6424001901</v>
      </c>
      <c r="L363" s="173">
        <v>45992</v>
      </c>
      <c r="M363" s="174">
        <f>EDATE(Data_Dep.12[[#This Row],[Ngày bắt đầu KH]],Data_Dep.12[[#This Row],[T/G Khấu hao]])</f>
        <v>55123</v>
      </c>
      <c r="N363" s="175">
        <v>300</v>
      </c>
      <c r="O363" s="175">
        <v>250000000</v>
      </c>
      <c r="P363" s="184"/>
      <c r="Q363" s="183"/>
      <c r="R363" s="177"/>
      <c r="S363" s="177"/>
      <c r="T363" s="177">
        <v>-833333</v>
      </c>
      <c r="U363" s="177">
        <f>SUM(Data_Dep.12[[#This Row],[KH_2510]:[KH_2512]])</f>
        <v>-833333</v>
      </c>
      <c r="V363" s="193">
        <f>Data_Dep.12[[#This Row],[Nguyên giá]]+Data_Dep.12[[#This Row],[KH lũy kế]]+Data_Dep.12[[#This Row],[KH_Q4.25]]</f>
        <v>249166667</v>
      </c>
      <c r="W363" s="175">
        <f>ROUND(Data_Dep.12[[#This Row],[T/G Khấu hao]]-Data_Dep.12[[#This Row],[Giá trị còn lại 31/12/25]]/Data_Dep.12[[#This Row],[Nguyên giá]]*Data_Dep.12[[#This Row],[T/G Khấu hao]],0)</f>
        <v>1</v>
      </c>
      <c r="X363" s="179"/>
      <c r="Y363" s="175">
        <f>Data_Dep.12[[#This Row],[T/G Khấu hao]]+Data_Dep.12[[#This Row],[Điều chỉnh]]</f>
        <v>300</v>
      </c>
      <c r="Z363" s="180">
        <f>EDATE(Data_Dep.12[[#This Row],[Ngày bắt đầu KH]],Data_Dep.12[[#This Row],[T/G điều chỉnh]])</f>
        <v>55123</v>
      </c>
      <c r="AA363" s="175">
        <f>Data_Dep.12[[#This Row],[T/G điều chỉnh]]-Data_Dep.12[[#This Row],[Số kỳ đã khấu hao]]</f>
        <v>299</v>
      </c>
      <c r="AB363" s="175">
        <f>IFERROR(-Data_Dep.12[[#This Row],[Giá trị còn lại 31/12/25]]/(Data_Dep.12[[#This Row],[T/G điều chỉnh]]-Data_Dep.12[[#This Row],[Số kỳ đã khấu hao]]),0)</f>
        <v>-833333.33444816049</v>
      </c>
      <c r="AC363" s="181">
        <v>-833333</v>
      </c>
      <c r="AD363" s="181">
        <v>-833333</v>
      </c>
      <c r="AE363" s="181">
        <v>-833333</v>
      </c>
      <c r="AF363" s="181">
        <v>-833333</v>
      </c>
      <c r="AG363" s="181">
        <v>-833333</v>
      </c>
      <c r="AH363" s="181">
        <v>-833333</v>
      </c>
      <c r="AI363" s="181">
        <v>-833333</v>
      </c>
      <c r="AJ363" s="181">
        <v>-833333</v>
      </c>
      <c r="AK363" s="181">
        <v>-833333</v>
      </c>
      <c r="AL363" s="181">
        <v>-833333</v>
      </c>
      <c r="AM363" s="181">
        <v>-833333</v>
      </c>
      <c r="AN363" s="181">
        <v>-833333</v>
      </c>
      <c r="AO363" s="175">
        <f>SUM(Data_Dep.12[[#This Row],[KH_2601]:[KH_2612]])</f>
        <v>-9999996</v>
      </c>
      <c r="AP363" s="175">
        <f>Data_Dep.12[[#This Row],[Giá trị còn lại 31/12/25]]+Data_Dep.12[[#This Row],[KH LK 2026]]</f>
        <v>239166671</v>
      </c>
    </row>
    <row r="364" spans="1:42" x14ac:dyDescent="0.3">
      <c r="A364" s="169"/>
      <c r="B364" s="169"/>
      <c r="C364" s="170" t="s">
        <v>347</v>
      </c>
      <c r="D364" s="169" t="str">
        <f>_xlfn.XLOOKUP(Data_Dep.12[[#This Row],[Nhóm tài sản]],MD_Account_Asset_Type[Nhóm tài sản],MD_Account_Asset_Type[Tên Nhóm tài sản])</f>
        <v>Thiết bị, dụng cụ quản lý - QL 642</v>
      </c>
      <c r="E364" s="171" t="s">
        <v>1471</v>
      </c>
      <c r="F364" s="170" t="s">
        <v>1472</v>
      </c>
      <c r="G364" s="169" t="s">
        <v>830</v>
      </c>
      <c r="H364" s="170" t="s">
        <v>36</v>
      </c>
      <c r="I364" s="170" t="str">
        <f>_xlfn.XLOOKUP(Data_Dep.12[[#This Row],[Cost center]],MD_Cost_Center[Mã Cost Center],MD_Cost_Center[Tên Cost Center])</f>
        <v>Hành chánh nhân sự</v>
      </c>
      <c r="J364" s="172">
        <f>_xlfn.XLOOKUP(Data_Dep.12[[#This Row],[Cost center]],MD_Cost_Center[Mã Cost Center],MD_Cost_Center[Work center],"Check")</f>
        <v>0</v>
      </c>
      <c r="K364" s="169" t="str">
        <f>_xlfn.XLOOKUP(Data_Dep.12[[#This Row],[Nhóm tài sản]],MD_Account_Asset_Type[Nhóm tài sản],MD_Account_Asset_Type[Tài khoản KH],"Check")</f>
        <v>6424001904</v>
      </c>
      <c r="L364" s="173">
        <v>46023</v>
      </c>
      <c r="M364" s="174">
        <f>EDATE(Data_Dep.12[[#This Row],[Ngày bắt đầu KH]],Data_Dep.12[[#This Row],[T/G Khấu hao]])</f>
        <v>49675</v>
      </c>
      <c r="N364" s="175">
        <v>120</v>
      </c>
      <c r="O364" s="175">
        <f>4180*26000</f>
        <v>108680000</v>
      </c>
      <c r="P364" s="184"/>
      <c r="Q364" s="183"/>
      <c r="R364" s="177"/>
      <c r="S364" s="177"/>
      <c r="T364" s="177"/>
      <c r="U364" s="177">
        <f>SUM(Data_Dep.12[[#This Row],[KH_2510]:[KH_2512]])</f>
        <v>0</v>
      </c>
      <c r="V364" s="193">
        <f>Data_Dep.12[[#This Row],[Nguyên giá]]+Data_Dep.12[[#This Row],[KH lũy kế]]+Data_Dep.12[[#This Row],[KH_Q4.25]]</f>
        <v>108680000</v>
      </c>
      <c r="W364" s="175">
        <f>ROUND(Data_Dep.12[[#This Row],[T/G Khấu hao]]-Data_Dep.12[[#This Row],[Giá trị còn lại 31/12/25]]/Data_Dep.12[[#This Row],[Nguyên giá]]*Data_Dep.12[[#This Row],[T/G Khấu hao]],0)</f>
        <v>0</v>
      </c>
      <c r="X364" s="179"/>
      <c r="Y364" s="175">
        <f>Data_Dep.12[[#This Row],[T/G Khấu hao]]+Data_Dep.12[[#This Row],[Điều chỉnh]]</f>
        <v>120</v>
      </c>
      <c r="Z364" s="180">
        <f>EDATE(Data_Dep.12[[#This Row],[Ngày bắt đầu KH]],Data_Dep.12[[#This Row],[T/G điều chỉnh]])</f>
        <v>49675</v>
      </c>
      <c r="AA364" s="175">
        <f>Data_Dep.12[[#This Row],[T/G điều chỉnh]]-Data_Dep.12[[#This Row],[Số kỳ đã khấu hao]]</f>
        <v>120</v>
      </c>
      <c r="AB364" s="175">
        <f>IFERROR(-Data_Dep.12[[#This Row],[Giá trị còn lại 31/12/25]]/(Data_Dep.12[[#This Row],[T/G điều chỉnh]]-Data_Dep.12[[#This Row],[Số kỳ đã khấu hao]]),0)</f>
        <v>-905666.66666666663</v>
      </c>
      <c r="AC364" s="181">
        <v>-905667</v>
      </c>
      <c r="AD364" s="181">
        <v>-905667</v>
      </c>
      <c r="AE364" s="181">
        <v>-905667</v>
      </c>
      <c r="AF364" s="181">
        <v>-905667</v>
      </c>
      <c r="AG364" s="181">
        <v>-905667</v>
      </c>
      <c r="AH364" s="181">
        <v>-905667</v>
      </c>
      <c r="AI364" s="181">
        <v>-905667</v>
      </c>
      <c r="AJ364" s="181">
        <v>-905667</v>
      </c>
      <c r="AK364" s="181">
        <v>-905667</v>
      </c>
      <c r="AL364" s="181">
        <v>-905667</v>
      </c>
      <c r="AM364" s="181">
        <v>-905667</v>
      </c>
      <c r="AN364" s="181">
        <v>-905667</v>
      </c>
      <c r="AO364" s="175">
        <f>SUM(Data_Dep.12[[#This Row],[KH_2601]:[KH_2612]])</f>
        <v>-10868004</v>
      </c>
      <c r="AP364" s="175">
        <f>Data_Dep.12[[#This Row],[Giá trị còn lại 31/12/25]]+Data_Dep.12[[#This Row],[KH LK 2026]]</f>
        <v>97811996</v>
      </c>
    </row>
    <row r="365" spans="1:42" x14ac:dyDescent="0.3">
      <c r="A365" s="169"/>
      <c r="B365" s="169"/>
      <c r="C365" s="170" t="s">
        <v>337</v>
      </c>
      <c r="D365" s="169" t="str">
        <f>_xlfn.XLOOKUP(Data_Dep.12[[#This Row],[Nhóm tài sản]],MD_Account_Asset_Type[Nhóm tài sản],MD_Account_Asset_Type[Tên Nhóm tài sản])</f>
        <v>Máy móc, thiết bị phụ - SX 627</v>
      </c>
      <c r="E365" s="171" t="s">
        <v>1473</v>
      </c>
      <c r="F365" s="170" t="s">
        <v>1475</v>
      </c>
      <c r="G365" s="169" t="s">
        <v>830</v>
      </c>
      <c r="H365" s="170" t="s">
        <v>48</v>
      </c>
      <c r="I365" s="170" t="str">
        <f>_xlfn.XLOOKUP(Data_Dep.12[[#This Row],[Cost center]],MD_Cost_Center[Mã Cost Center],MD_Cost_Center[Tên Cost Center])</f>
        <v>Xưởng sản xuất PET</v>
      </c>
      <c r="J365" s="172">
        <f>_xlfn.XLOOKUP(Data_Dep.12[[#This Row],[Cost center]],MD_Cost_Center[Mã Cost Center],MD_Cost_Center[Work center],"Check")</f>
        <v>0</v>
      </c>
      <c r="K365" s="169" t="str">
        <f>_xlfn.XLOOKUP(Data_Dep.12[[#This Row],[Nhóm tài sản]],MD_Account_Asset_Type[Nhóm tài sản],MD_Account_Asset_Type[Tài khoản KH],"Check")</f>
        <v>6274001906</v>
      </c>
      <c r="L365" s="173">
        <v>46023</v>
      </c>
      <c r="M365" s="174">
        <f>EDATE(Data_Dep.12[[#This Row],[Ngày bắt đầu KH]],Data_Dep.12[[#This Row],[T/G Khấu hao]])</f>
        <v>50406</v>
      </c>
      <c r="N365" s="175">
        <v>144</v>
      </c>
      <c r="O365" s="175">
        <v>81000000</v>
      </c>
      <c r="P365" s="184"/>
      <c r="Q365" s="183"/>
      <c r="R365" s="177"/>
      <c r="S365" s="177"/>
      <c r="T365" s="177"/>
      <c r="U365" s="177">
        <f>SUM(Data_Dep.12[[#This Row],[KH_2510]:[KH_2512]])</f>
        <v>0</v>
      </c>
      <c r="V365" s="193">
        <f>Data_Dep.12[[#This Row],[Nguyên giá]]+Data_Dep.12[[#This Row],[KH lũy kế]]+Data_Dep.12[[#This Row],[KH_Q4.25]]</f>
        <v>81000000</v>
      </c>
      <c r="W365" s="175">
        <f>ROUND(Data_Dep.12[[#This Row],[T/G Khấu hao]]-Data_Dep.12[[#This Row],[Giá trị còn lại 31/12/25]]/Data_Dep.12[[#This Row],[Nguyên giá]]*Data_Dep.12[[#This Row],[T/G Khấu hao]],0)</f>
        <v>0</v>
      </c>
      <c r="X365" s="179"/>
      <c r="Y365" s="175">
        <f>Data_Dep.12[[#This Row],[T/G Khấu hao]]+Data_Dep.12[[#This Row],[Điều chỉnh]]</f>
        <v>144</v>
      </c>
      <c r="Z365" s="180">
        <f>EDATE(Data_Dep.12[[#This Row],[Ngày bắt đầu KH]],Data_Dep.12[[#This Row],[T/G điều chỉnh]])</f>
        <v>50406</v>
      </c>
      <c r="AA365" s="175">
        <f>Data_Dep.12[[#This Row],[T/G điều chỉnh]]-Data_Dep.12[[#This Row],[Số kỳ đã khấu hao]]</f>
        <v>144</v>
      </c>
      <c r="AB365" s="175">
        <f>IFERROR(-Data_Dep.12[[#This Row],[Giá trị còn lại 31/12/25]]/(Data_Dep.12[[#This Row],[T/G điều chỉnh]]-Data_Dep.12[[#This Row],[Số kỳ đã khấu hao]]),0)</f>
        <v>-562500</v>
      </c>
      <c r="AC365" s="181">
        <v>-562500</v>
      </c>
      <c r="AD365" s="181">
        <v>-562500</v>
      </c>
      <c r="AE365" s="181">
        <v>-562500</v>
      </c>
      <c r="AF365" s="181">
        <v>-562500</v>
      </c>
      <c r="AG365" s="181">
        <v>-562500</v>
      </c>
      <c r="AH365" s="181">
        <v>-562500</v>
      </c>
      <c r="AI365" s="181">
        <v>-562500</v>
      </c>
      <c r="AJ365" s="181">
        <v>-562500</v>
      </c>
      <c r="AK365" s="181">
        <v>-562500</v>
      </c>
      <c r="AL365" s="181">
        <v>-562500</v>
      </c>
      <c r="AM365" s="181">
        <v>-562500</v>
      </c>
      <c r="AN365" s="181">
        <v>-562500</v>
      </c>
      <c r="AO365" s="175">
        <f>SUM(Data_Dep.12[[#This Row],[KH_2601]:[KH_2612]])</f>
        <v>-6750000</v>
      </c>
      <c r="AP365" s="175">
        <f>Data_Dep.12[[#This Row],[Giá trị còn lại 31/12/25]]+Data_Dep.12[[#This Row],[KH LK 2026]]</f>
        <v>74250000</v>
      </c>
    </row>
    <row r="366" spans="1:42" x14ac:dyDescent="0.3">
      <c r="A366" s="169"/>
      <c r="B366" s="169"/>
      <c r="C366" s="170" t="s">
        <v>350</v>
      </c>
      <c r="D366" s="169" t="str">
        <f>_xlfn.XLOOKUP(Data_Dep.12[[#This Row],[Nhóm tài sản]],MD_Account_Asset_Type[Nhóm tài sản],MD_Account_Asset_Type[Tên Nhóm tài sản])</f>
        <v>TSCĐ khác - SX 627</v>
      </c>
      <c r="E366" s="171" t="s">
        <v>1478</v>
      </c>
      <c r="F366" s="170" t="s">
        <v>1476</v>
      </c>
      <c r="G366" s="169" t="s">
        <v>830</v>
      </c>
      <c r="H366" s="170" t="s">
        <v>92</v>
      </c>
      <c r="I366" s="170" t="str">
        <f>_xlfn.XLOOKUP(Data_Dep.12[[#This Row],[Cost center]],MD_Cost_Center[Mã Cost Center],MD_Cost_Center[Tên Cost Center])</f>
        <v>Kho</v>
      </c>
      <c r="J366" s="172">
        <f>_xlfn.XLOOKUP(Data_Dep.12[[#This Row],[Cost center]],MD_Cost_Center[Mã Cost Center],MD_Cost_Center[Work center],"Check")</f>
        <v>0</v>
      </c>
      <c r="K366" s="169" t="str">
        <f>_xlfn.XLOOKUP(Data_Dep.12[[#This Row],[Nhóm tài sản]],MD_Account_Asset_Type[Nhóm tài sản],MD_Account_Asset_Type[Tài khoản KH],"Check")</f>
        <v>6274001909</v>
      </c>
      <c r="L366" s="173">
        <v>46023</v>
      </c>
      <c r="M366" s="174">
        <f>EDATE(Data_Dep.12[[#This Row],[Ngày bắt đầu KH]],Data_Dep.12[[#This Row],[T/G Khấu hao]])</f>
        <v>49675</v>
      </c>
      <c r="N366" s="175">
        <v>120</v>
      </c>
      <c r="O366" s="175">
        <v>74000000</v>
      </c>
      <c r="P366" s="184"/>
      <c r="Q366" s="183"/>
      <c r="R366" s="177"/>
      <c r="S366" s="177"/>
      <c r="T366" s="177"/>
      <c r="U366" s="177">
        <f>SUM(Data_Dep.12[[#This Row],[KH_2510]:[KH_2512]])</f>
        <v>0</v>
      </c>
      <c r="V366" s="193">
        <f>Data_Dep.12[[#This Row],[Nguyên giá]]+Data_Dep.12[[#This Row],[KH lũy kế]]+Data_Dep.12[[#This Row],[KH_Q4.25]]</f>
        <v>74000000</v>
      </c>
      <c r="W366" s="175">
        <f>ROUND(Data_Dep.12[[#This Row],[T/G Khấu hao]]-Data_Dep.12[[#This Row],[Giá trị còn lại 31/12/25]]/Data_Dep.12[[#This Row],[Nguyên giá]]*Data_Dep.12[[#This Row],[T/G Khấu hao]],0)</f>
        <v>0</v>
      </c>
      <c r="X366" s="179"/>
      <c r="Y366" s="175">
        <f>Data_Dep.12[[#This Row],[T/G Khấu hao]]+Data_Dep.12[[#This Row],[Điều chỉnh]]</f>
        <v>120</v>
      </c>
      <c r="Z366" s="180">
        <f>EDATE(Data_Dep.12[[#This Row],[Ngày bắt đầu KH]],Data_Dep.12[[#This Row],[T/G điều chỉnh]])</f>
        <v>49675</v>
      </c>
      <c r="AA366" s="175">
        <f>Data_Dep.12[[#This Row],[T/G điều chỉnh]]-Data_Dep.12[[#This Row],[Số kỳ đã khấu hao]]</f>
        <v>120</v>
      </c>
      <c r="AB366" s="175">
        <f>IFERROR(-Data_Dep.12[[#This Row],[Giá trị còn lại 31/12/25]]/(Data_Dep.12[[#This Row],[T/G điều chỉnh]]-Data_Dep.12[[#This Row],[Số kỳ đã khấu hao]]),0)</f>
        <v>-616666.66666666663</v>
      </c>
      <c r="AC366" s="181">
        <v>-616666</v>
      </c>
      <c r="AD366" s="181">
        <v>-616666</v>
      </c>
      <c r="AE366" s="181">
        <v>-616666</v>
      </c>
      <c r="AF366" s="181">
        <v>-616666</v>
      </c>
      <c r="AG366" s="181">
        <v>-616666</v>
      </c>
      <c r="AH366" s="181">
        <v>-616666</v>
      </c>
      <c r="AI366" s="181">
        <v>-616666</v>
      </c>
      <c r="AJ366" s="181">
        <v>-616666</v>
      </c>
      <c r="AK366" s="181">
        <v>-616666</v>
      </c>
      <c r="AL366" s="181">
        <v>-616666</v>
      </c>
      <c r="AM366" s="181">
        <v>-616666</v>
      </c>
      <c r="AN366" s="181">
        <v>-616666</v>
      </c>
      <c r="AO366" s="175">
        <f>SUM(Data_Dep.12[[#This Row],[KH_2601]:[KH_2612]])</f>
        <v>-7399992</v>
      </c>
      <c r="AP366" s="175">
        <f>Data_Dep.12[[#This Row],[Giá trị còn lại 31/12/25]]+Data_Dep.12[[#This Row],[KH LK 2026]]</f>
        <v>66600008</v>
      </c>
    </row>
    <row r="367" spans="1:42" x14ac:dyDescent="0.3">
      <c r="A367" s="169"/>
      <c r="B367" s="169"/>
      <c r="C367" s="170" t="s">
        <v>337</v>
      </c>
      <c r="D367" s="169" t="str">
        <f>_xlfn.XLOOKUP(Data_Dep.12[[#This Row],[Nhóm tài sản]],MD_Account_Asset_Type[Nhóm tài sản],MD_Account_Asset_Type[Tên Nhóm tài sản])</f>
        <v>Máy móc, thiết bị phụ - SX 627</v>
      </c>
      <c r="E367" s="171" t="s">
        <v>1479</v>
      </c>
      <c r="F367" s="170" t="s">
        <v>1477</v>
      </c>
      <c r="G367" s="169" t="s">
        <v>830</v>
      </c>
      <c r="H367" s="170" t="s">
        <v>48</v>
      </c>
      <c r="I367" s="170" t="str">
        <f>_xlfn.XLOOKUP(Data_Dep.12[[#This Row],[Cost center]],MD_Cost_Center[Mã Cost Center],MD_Cost_Center[Tên Cost Center])</f>
        <v>Xưởng sản xuất PET</v>
      </c>
      <c r="J367" s="172">
        <f>_xlfn.XLOOKUP(Data_Dep.12[[#This Row],[Cost center]],MD_Cost_Center[Mã Cost Center],MD_Cost_Center[Work center],"Check")</f>
        <v>0</v>
      </c>
      <c r="K367" s="169" t="str">
        <f>_xlfn.XLOOKUP(Data_Dep.12[[#This Row],[Nhóm tài sản]],MD_Account_Asset_Type[Nhóm tài sản],MD_Account_Asset_Type[Tài khoản KH],"Check")</f>
        <v>6274001906</v>
      </c>
      <c r="L367" s="173">
        <v>46023</v>
      </c>
      <c r="M367" s="174">
        <f>EDATE(Data_Dep.12[[#This Row],[Ngày bắt đầu KH]],Data_Dep.12[[#This Row],[T/G Khấu hao]])</f>
        <v>49675</v>
      </c>
      <c r="N367" s="175">
        <v>120</v>
      </c>
      <c r="O367" s="175">
        <v>150000000</v>
      </c>
      <c r="P367" s="184"/>
      <c r="Q367" s="183"/>
      <c r="R367" s="177"/>
      <c r="S367" s="177"/>
      <c r="T367" s="177"/>
      <c r="U367" s="177">
        <f>SUM(Data_Dep.12[[#This Row],[KH_2510]:[KH_2512]])</f>
        <v>0</v>
      </c>
      <c r="V367" s="193">
        <f>Data_Dep.12[[#This Row],[Nguyên giá]]+Data_Dep.12[[#This Row],[KH lũy kế]]+Data_Dep.12[[#This Row],[KH_Q4.25]]</f>
        <v>150000000</v>
      </c>
      <c r="W367" s="175">
        <f>ROUND(Data_Dep.12[[#This Row],[T/G Khấu hao]]-Data_Dep.12[[#This Row],[Giá trị còn lại 31/12/25]]/Data_Dep.12[[#This Row],[Nguyên giá]]*Data_Dep.12[[#This Row],[T/G Khấu hao]],0)</f>
        <v>0</v>
      </c>
      <c r="X367" s="179"/>
      <c r="Y367" s="175">
        <f>Data_Dep.12[[#This Row],[T/G Khấu hao]]+Data_Dep.12[[#This Row],[Điều chỉnh]]</f>
        <v>120</v>
      </c>
      <c r="Z367" s="180">
        <f>EDATE(Data_Dep.12[[#This Row],[Ngày bắt đầu KH]],Data_Dep.12[[#This Row],[T/G điều chỉnh]])</f>
        <v>49675</v>
      </c>
      <c r="AA367" s="175">
        <f>Data_Dep.12[[#This Row],[T/G điều chỉnh]]-Data_Dep.12[[#This Row],[Số kỳ đã khấu hao]]</f>
        <v>120</v>
      </c>
      <c r="AB367" s="175">
        <f>IFERROR(-Data_Dep.12[[#This Row],[Giá trị còn lại 31/12/25]]/(Data_Dep.12[[#This Row],[T/G điều chỉnh]]-Data_Dep.12[[#This Row],[Số kỳ đã khấu hao]]),0)</f>
        <v>-1250000</v>
      </c>
      <c r="AC367" s="181">
        <v>-1250000</v>
      </c>
      <c r="AD367" s="181">
        <v>-1250000</v>
      </c>
      <c r="AE367" s="181">
        <v>-1250000</v>
      </c>
      <c r="AF367" s="181">
        <v>-1250000</v>
      </c>
      <c r="AG367" s="181">
        <v>-1250000</v>
      </c>
      <c r="AH367" s="181">
        <v>-1250000</v>
      </c>
      <c r="AI367" s="181">
        <v>-1250000</v>
      </c>
      <c r="AJ367" s="181">
        <v>-1250000</v>
      </c>
      <c r="AK367" s="181">
        <v>-1250000</v>
      </c>
      <c r="AL367" s="181">
        <v>-1250000</v>
      </c>
      <c r="AM367" s="181">
        <v>-1250000</v>
      </c>
      <c r="AN367" s="181">
        <v>-1250000</v>
      </c>
      <c r="AO367" s="175">
        <f>SUM(Data_Dep.12[[#This Row],[KH_2601]:[KH_2612]])</f>
        <v>-15000000</v>
      </c>
      <c r="AP367" s="175">
        <f>Data_Dep.12[[#This Row],[Giá trị còn lại 31/12/25]]+Data_Dep.12[[#This Row],[KH LK 2026]]</f>
        <v>135000000</v>
      </c>
    </row>
    <row r="368" spans="1:42" x14ac:dyDescent="0.3">
      <c r="A368" s="169"/>
      <c r="B368" s="169"/>
      <c r="C368" s="170" t="s">
        <v>338</v>
      </c>
      <c r="D368" s="169" t="str">
        <f>_xlfn.XLOOKUP(Data_Dep.12[[#This Row],[Nhóm tài sản]],MD_Account_Asset_Type[Nhóm tài sản],MD_Account_Asset_Type[Tên Nhóm tài sản])</f>
        <v>Máy móc, thiết bị - SX 627</v>
      </c>
      <c r="E368" s="171" t="s">
        <v>1480</v>
      </c>
      <c r="F368" s="170" t="s">
        <v>1219</v>
      </c>
      <c r="G368" s="169" t="s">
        <v>830</v>
      </c>
      <c r="H368" s="170" t="s">
        <v>1365</v>
      </c>
      <c r="I368" s="170" t="str">
        <f>_xlfn.XLOOKUP(Data_Dep.12[[#This Row],[Cost center]],MD_Cost_Center[Mã Cost Center],MD_Cost_Center[Tên Cost Center])</f>
        <v>Chuyền Rửa Vảy PET 5</v>
      </c>
      <c r="J368" s="172" t="str">
        <f>_xlfn.XLOOKUP(Data_Dep.12[[#This Row],[Cost center]],MD_Cost_Center[Mã Cost Center],MD_Cost_Center[Work center],"Check")</f>
        <v>BORE-R03</v>
      </c>
      <c r="K368" s="169" t="str">
        <f>_xlfn.XLOOKUP(Data_Dep.12[[#This Row],[Nhóm tài sản]],MD_Account_Asset_Type[Nhóm tài sản],MD_Account_Asset_Type[Tài khoản KH],"Check")</f>
        <v>6274001903</v>
      </c>
      <c r="L368" s="173">
        <v>45992</v>
      </c>
      <c r="M368" s="174">
        <f>EDATE(Data_Dep.12[[#This Row],[Ngày bắt đầu KH]],Data_Dep.12[[#This Row],[T/G Khấu hao]])</f>
        <v>50375</v>
      </c>
      <c r="N368" s="175">
        <v>144</v>
      </c>
      <c r="O368" s="175">
        <v>19602646108</v>
      </c>
      <c r="P368" s="184"/>
      <c r="Q368" s="183"/>
      <c r="R368" s="177"/>
      <c r="S368" s="177"/>
      <c r="T368" s="177">
        <v>-136129487</v>
      </c>
      <c r="U368" s="177">
        <f>SUM(Data_Dep.12[[#This Row],[KH_2510]:[KH_2512]])</f>
        <v>-136129487</v>
      </c>
      <c r="V368" s="193">
        <f>Data_Dep.12[[#This Row],[Nguyên giá]]+Data_Dep.12[[#This Row],[KH lũy kế]]+Data_Dep.12[[#This Row],[KH_Q4.25]]</f>
        <v>19466516621</v>
      </c>
      <c r="W368" s="175">
        <f>ROUND(Data_Dep.12[[#This Row],[T/G Khấu hao]]-Data_Dep.12[[#This Row],[Giá trị còn lại 31/12/25]]/Data_Dep.12[[#This Row],[Nguyên giá]]*Data_Dep.12[[#This Row],[T/G Khấu hao]],0)</f>
        <v>1</v>
      </c>
      <c r="X368" s="179"/>
      <c r="Y368" s="175">
        <f>Data_Dep.12[[#This Row],[T/G Khấu hao]]+Data_Dep.12[[#This Row],[Điều chỉnh]]</f>
        <v>144</v>
      </c>
      <c r="Z368" s="180">
        <f>EDATE(Data_Dep.12[[#This Row],[Ngày bắt đầu KH]],Data_Dep.12[[#This Row],[T/G điều chỉnh]])</f>
        <v>50375</v>
      </c>
      <c r="AA368" s="175">
        <f>Data_Dep.12[[#This Row],[T/G điều chỉnh]]-Data_Dep.12[[#This Row],[Số kỳ đã khấu hao]]</f>
        <v>143</v>
      </c>
      <c r="AB368" s="175">
        <f>IFERROR(-Data_Dep.12[[#This Row],[Giá trị còn lại 31/12/25]]/(Data_Dep.12[[#This Row],[T/G điều chỉnh]]-Data_Dep.12[[#This Row],[Số kỳ đã khấu hao]]),0)</f>
        <v>-136129486.86013985</v>
      </c>
      <c r="AC368" s="181">
        <v>-136129486.86013985</v>
      </c>
      <c r="AD368" s="181">
        <v>-136129486.86013985</v>
      </c>
      <c r="AE368" s="181">
        <v>-136129486.86013985</v>
      </c>
      <c r="AF368" s="181">
        <v>-136129486.86013985</v>
      </c>
      <c r="AG368" s="181">
        <v>-136129486.86013985</v>
      </c>
      <c r="AH368" s="181">
        <v>-136129486.86013985</v>
      </c>
      <c r="AI368" s="181">
        <v>-136129486.86013985</v>
      </c>
      <c r="AJ368" s="181">
        <v>-136129486.86013985</v>
      </c>
      <c r="AK368" s="181">
        <v>-136129486.86013985</v>
      </c>
      <c r="AL368" s="181">
        <v>-136129486.86013985</v>
      </c>
      <c r="AM368" s="181">
        <v>-136129486.86013985</v>
      </c>
      <c r="AN368" s="181">
        <v>-136129486.86013985</v>
      </c>
      <c r="AO368" s="175">
        <f>SUM(Data_Dep.12[[#This Row],[KH_2601]:[KH_2612]])</f>
        <v>-1633553842.3216782</v>
      </c>
      <c r="AP368" s="175">
        <f>Data_Dep.12[[#This Row],[Giá trị còn lại 31/12/25]]+Data_Dep.12[[#This Row],[KH LK 2026]]</f>
        <v>17832962778.678322</v>
      </c>
    </row>
    <row r="369" spans="1:42" x14ac:dyDescent="0.3">
      <c r="A369" s="169"/>
      <c r="B369" s="169"/>
      <c r="C369" s="170" t="s">
        <v>338</v>
      </c>
      <c r="D369" s="169" t="str">
        <f>_xlfn.XLOOKUP(Data_Dep.12[[#This Row],[Nhóm tài sản]],MD_Account_Asset_Type[Nhóm tài sản],MD_Account_Asset_Type[Tên Nhóm tài sản])</f>
        <v>Máy móc, thiết bị - SX 627</v>
      </c>
      <c r="E369" s="171" t="s">
        <v>1516</v>
      </c>
      <c r="F369" s="170" t="s">
        <v>1509</v>
      </c>
      <c r="G369" s="169" t="s">
        <v>830</v>
      </c>
      <c r="H369" s="170" t="s">
        <v>51</v>
      </c>
      <c r="I369" s="170" t="str">
        <f>_xlfn.XLOOKUP(Data_Dep.12[[#This Row],[Cost center]],MD_Cost_Center[Mã Cost Center],MD_Cost_Center[Tên Cost Center])</f>
        <v>Chuyền máy tạo vảy PET CW+Tomra</v>
      </c>
      <c r="J369" s="172" t="str">
        <f>_xlfn.XLOOKUP(Data_Dep.12[[#This Row],[Cost center]],MD_Cost_Center[Mã Cost Center],MD_Cost_Center[Work center],"Check")</f>
        <v>CHWO-R01</v>
      </c>
      <c r="K369" s="169" t="str">
        <f>_xlfn.XLOOKUP(Data_Dep.12[[#This Row],[Nhóm tài sản]],MD_Account_Asset_Type[Nhóm tài sản],MD_Account_Asset_Type[Tài khoản KH],"Check")</f>
        <v>6274001903</v>
      </c>
      <c r="L369" s="173">
        <v>45992</v>
      </c>
      <c r="M369" s="174">
        <f>EDATE(Data_Dep.12[[#This Row],[Ngày bắt đầu KH]],Data_Dep.12[[#This Row],[T/G Khấu hao]])</f>
        <v>50375</v>
      </c>
      <c r="N369" s="175">
        <v>144</v>
      </c>
      <c r="O369" s="175">
        <v>1750000000</v>
      </c>
      <c r="P369" s="184"/>
      <c r="Q369" s="183"/>
      <c r="R369" s="177"/>
      <c r="S369" s="177"/>
      <c r="T369" s="177">
        <v>-12152778</v>
      </c>
      <c r="U369" s="177">
        <f>SUM(Data_Dep.12[[#This Row],[KH_2510]:[KH_2512]])</f>
        <v>-12152778</v>
      </c>
      <c r="V369" s="193">
        <f>Data_Dep.12[[#This Row],[Nguyên giá]]+Data_Dep.12[[#This Row],[KH lũy kế]]+Data_Dep.12[[#This Row],[KH_Q4.25]]</f>
        <v>1737847222</v>
      </c>
      <c r="W369" s="175">
        <f>ROUND(Data_Dep.12[[#This Row],[T/G Khấu hao]]-Data_Dep.12[[#This Row],[Giá trị còn lại 31/12/25]]/Data_Dep.12[[#This Row],[Nguyên giá]]*Data_Dep.12[[#This Row],[T/G Khấu hao]],0)</f>
        <v>1</v>
      </c>
      <c r="X369" s="179"/>
      <c r="Y369" s="175">
        <f>Data_Dep.12[[#This Row],[T/G Khấu hao]]+Data_Dep.12[[#This Row],[Điều chỉnh]]</f>
        <v>144</v>
      </c>
      <c r="Z369" s="180">
        <f>EDATE(Data_Dep.12[[#This Row],[Ngày bắt đầu KH]],Data_Dep.12[[#This Row],[T/G điều chỉnh]])</f>
        <v>50375</v>
      </c>
      <c r="AA369" s="175">
        <f>Data_Dep.12[[#This Row],[T/G điều chỉnh]]-Data_Dep.12[[#This Row],[Số kỳ đã khấu hao]]</f>
        <v>143</v>
      </c>
      <c r="AB369" s="175">
        <f>IFERROR(-Data_Dep.12[[#This Row],[Giá trị còn lại 31/12/25]]/(Data_Dep.12[[#This Row],[T/G điều chỉnh]]-Data_Dep.12[[#This Row],[Số kỳ đã khấu hao]]),0)</f>
        <v>-12152777.776223777</v>
      </c>
      <c r="AC369" s="181">
        <v>-12152778</v>
      </c>
      <c r="AD369" s="181">
        <v>-12152778</v>
      </c>
      <c r="AE369" s="181">
        <v>-12152778</v>
      </c>
      <c r="AF369" s="181">
        <v>-12152778</v>
      </c>
      <c r="AG369" s="181">
        <v>-12152778</v>
      </c>
      <c r="AH369" s="181">
        <v>-12152778</v>
      </c>
      <c r="AI369" s="181">
        <v>-12152778</v>
      </c>
      <c r="AJ369" s="181">
        <v>-12152778</v>
      </c>
      <c r="AK369" s="181">
        <v>-12152778</v>
      </c>
      <c r="AL369" s="181">
        <v>-12152778</v>
      </c>
      <c r="AM369" s="181">
        <v>-12152778</v>
      </c>
      <c r="AN369" s="181">
        <v>-12152778</v>
      </c>
      <c r="AO369" s="175">
        <f>SUM(Data_Dep.12[[#This Row],[KH_2601]:[KH_2612]])</f>
        <v>-145833336</v>
      </c>
      <c r="AP369" s="175">
        <f>Data_Dep.12[[#This Row],[Giá trị còn lại 31/12/25]]+Data_Dep.12[[#This Row],[KH LK 2026]]</f>
        <v>1592013886</v>
      </c>
    </row>
    <row r="370" spans="1:42" x14ac:dyDescent="0.3">
      <c r="A370" s="169"/>
      <c r="B370" s="169"/>
      <c r="C370" s="170" t="s">
        <v>338</v>
      </c>
      <c r="D370" s="169" t="str">
        <f>_xlfn.XLOOKUP(Data_Dep.12[[#This Row],[Nhóm tài sản]],MD_Account_Asset_Type[Nhóm tài sản],MD_Account_Asset_Type[Tên Nhóm tài sản])</f>
        <v>Máy móc, thiết bị - SX 627</v>
      </c>
      <c r="E370" s="171" t="s">
        <v>1517</v>
      </c>
      <c r="F370" s="170" t="s">
        <v>1510</v>
      </c>
      <c r="G370" s="169" t="s">
        <v>830</v>
      </c>
      <c r="H370" s="170" t="s">
        <v>64</v>
      </c>
      <c r="I370" s="170" t="str">
        <f>_xlfn.XLOOKUP(Data_Dep.12[[#This Row],[Cost center]],MD_Cost_Center[Mã Cost Center],MD_Cost_Center[Tên Cost Center])</f>
        <v>Chuyền rửa vảy PET  số 2</v>
      </c>
      <c r="J370" s="172" t="str">
        <f>_xlfn.XLOOKUP(Data_Dep.12[[#This Row],[Cost center]],MD_Cost_Center[Mã Cost Center],MD_Cost_Center[Work center],"Check")</f>
        <v>CHWO-R02</v>
      </c>
      <c r="K370" s="169" t="str">
        <f>_xlfn.XLOOKUP(Data_Dep.12[[#This Row],[Nhóm tài sản]],MD_Account_Asset_Type[Nhóm tài sản],MD_Account_Asset_Type[Tài khoản KH],"Check")</f>
        <v>6274001903</v>
      </c>
      <c r="L370" s="173">
        <v>45992</v>
      </c>
      <c r="M370" s="174">
        <f>EDATE(Data_Dep.12[[#This Row],[Ngày bắt đầu KH]],Data_Dep.12[[#This Row],[T/G Khấu hao]])</f>
        <v>50375</v>
      </c>
      <c r="N370" s="175">
        <v>144</v>
      </c>
      <c r="O370" s="175">
        <v>1750000000</v>
      </c>
      <c r="P370" s="184"/>
      <c r="Q370" s="183"/>
      <c r="R370" s="177"/>
      <c r="S370" s="177"/>
      <c r="T370" s="177">
        <v>-12152778</v>
      </c>
      <c r="U370" s="177">
        <f>SUM(Data_Dep.12[[#This Row],[KH_2510]:[KH_2512]])</f>
        <v>-12152778</v>
      </c>
      <c r="V370" s="193">
        <f>Data_Dep.12[[#This Row],[Nguyên giá]]+Data_Dep.12[[#This Row],[KH lũy kế]]+Data_Dep.12[[#This Row],[KH_Q4.25]]</f>
        <v>1737847222</v>
      </c>
      <c r="W370" s="175">
        <f>ROUND(Data_Dep.12[[#This Row],[T/G Khấu hao]]-Data_Dep.12[[#This Row],[Giá trị còn lại 31/12/25]]/Data_Dep.12[[#This Row],[Nguyên giá]]*Data_Dep.12[[#This Row],[T/G Khấu hao]],0)</f>
        <v>1</v>
      </c>
      <c r="X370" s="179"/>
      <c r="Y370" s="175">
        <f>Data_Dep.12[[#This Row],[T/G Khấu hao]]+Data_Dep.12[[#This Row],[Điều chỉnh]]</f>
        <v>144</v>
      </c>
      <c r="Z370" s="180">
        <f>EDATE(Data_Dep.12[[#This Row],[Ngày bắt đầu KH]],Data_Dep.12[[#This Row],[T/G điều chỉnh]])</f>
        <v>50375</v>
      </c>
      <c r="AA370" s="175">
        <f>Data_Dep.12[[#This Row],[T/G điều chỉnh]]-Data_Dep.12[[#This Row],[Số kỳ đã khấu hao]]</f>
        <v>143</v>
      </c>
      <c r="AB370" s="175">
        <f>IFERROR(-Data_Dep.12[[#This Row],[Giá trị còn lại 31/12/25]]/(Data_Dep.12[[#This Row],[T/G điều chỉnh]]-Data_Dep.12[[#This Row],[Số kỳ đã khấu hao]]),0)</f>
        <v>-12152777.776223777</v>
      </c>
      <c r="AC370" s="181">
        <v>-12152778</v>
      </c>
      <c r="AD370" s="181">
        <v>-12152778</v>
      </c>
      <c r="AE370" s="181">
        <v>-12152778</v>
      </c>
      <c r="AF370" s="181">
        <v>-12152778</v>
      </c>
      <c r="AG370" s="181">
        <v>-12152778</v>
      </c>
      <c r="AH370" s="181">
        <v>-12152778</v>
      </c>
      <c r="AI370" s="181">
        <v>-12152778</v>
      </c>
      <c r="AJ370" s="181">
        <v>-12152778</v>
      </c>
      <c r="AK370" s="181">
        <v>-12152778</v>
      </c>
      <c r="AL370" s="181">
        <v>-12152778</v>
      </c>
      <c r="AM370" s="181">
        <v>-12152778</v>
      </c>
      <c r="AN370" s="181">
        <v>-12152778</v>
      </c>
      <c r="AO370" s="175">
        <f>SUM(Data_Dep.12[[#This Row],[KH_2601]:[KH_2612]])</f>
        <v>-145833336</v>
      </c>
      <c r="AP370" s="175">
        <f>Data_Dep.12[[#This Row],[Giá trị còn lại 31/12/25]]+Data_Dep.12[[#This Row],[KH LK 2026]]</f>
        <v>1592013886</v>
      </c>
    </row>
    <row r="371" spans="1:42" x14ac:dyDescent="0.3">
      <c r="A371" s="169"/>
      <c r="B371" s="169"/>
      <c r="C371" s="170" t="s">
        <v>338</v>
      </c>
      <c r="D371" s="169" t="str">
        <f>_xlfn.XLOOKUP(Data_Dep.12[[#This Row],[Nhóm tài sản]],MD_Account_Asset_Type[Nhóm tài sản],MD_Account_Asset_Type[Tên Nhóm tài sản])</f>
        <v>Máy móc, thiết bị - SX 627</v>
      </c>
      <c r="E371" s="171" t="s">
        <v>1518</v>
      </c>
      <c r="F371" s="170" t="s">
        <v>1511</v>
      </c>
      <c r="G371" s="169" t="s">
        <v>830</v>
      </c>
      <c r="H371" s="170" t="s">
        <v>71</v>
      </c>
      <c r="I371" s="170" t="str">
        <f>_xlfn.XLOOKUP(Data_Dep.12[[#This Row],[Cost center]],MD_Cost_Center[Mã Cost Center],MD_Cost_Center[Tên Cost Center])</f>
        <v>Chuyền rửa vảy PET số 3 ( Boretech)</v>
      </c>
      <c r="J371" s="172" t="str">
        <f>_xlfn.XLOOKUP(Data_Dep.12[[#This Row],[Cost center]],MD_Cost_Center[Mã Cost Center],MD_Cost_Center[Work center],"Check")</f>
        <v>BORE-R01</v>
      </c>
      <c r="K371" s="169" t="str">
        <f>_xlfn.XLOOKUP(Data_Dep.12[[#This Row],[Nhóm tài sản]],MD_Account_Asset_Type[Nhóm tài sản],MD_Account_Asset_Type[Tài khoản KH],"Check")</f>
        <v>6274001903</v>
      </c>
      <c r="L371" s="173">
        <v>45992</v>
      </c>
      <c r="M371" s="174">
        <f>EDATE(Data_Dep.12[[#This Row],[Ngày bắt đầu KH]],Data_Dep.12[[#This Row],[T/G Khấu hao]])</f>
        <v>50375</v>
      </c>
      <c r="N371" s="175">
        <v>144</v>
      </c>
      <c r="O371" s="175">
        <v>1750000000</v>
      </c>
      <c r="P371" s="184"/>
      <c r="Q371" s="183"/>
      <c r="R371" s="177"/>
      <c r="S371" s="177"/>
      <c r="T371" s="177">
        <v>-12152778</v>
      </c>
      <c r="U371" s="177">
        <f>SUM(Data_Dep.12[[#This Row],[KH_2510]:[KH_2512]])</f>
        <v>-12152778</v>
      </c>
      <c r="V371" s="193">
        <f>Data_Dep.12[[#This Row],[Nguyên giá]]+Data_Dep.12[[#This Row],[KH lũy kế]]+Data_Dep.12[[#This Row],[KH_Q4.25]]</f>
        <v>1737847222</v>
      </c>
      <c r="W371" s="175">
        <f>ROUND(Data_Dep.12[[#This Row],[T/G Khấu hao]]-Data_Dep.12[[#This Row],[Giá trị còn lại 31/12/25]]/Data_Dep.12[[#This Row],[Nguyên giá]]*Data_Dep.12[[#This Row],[T/G Khấu hao]],0)</f>
        <v>1</v>
      </c>
      <c r="X371" s="179"/>
      <c r="Y371" s="175">
        <f>Data_Dep.12[[#This Row],[T/G Khấu hao]]+Data_Dep.12[[#This Row],[Điều chỉnh]]</f>
        <v>144</v>
      </c>
      <c r="Z371" s="180">
        <f>EDATE(Data_Dep.12[[#This Row],[Ngày bắt đầu KH]],Data_Dep.12[[#This Row],[T/G điều chỉnh]])</f>
        <v>50375</v>
      </c>
      <c r="AA371" s="175">
        <f>Data_Dep.12[[#This Row],[T/G điều chỉnh]]-Data_Dep.12[[#This Row],[Số kỳ đã khấu hao]]</f>
        <v>143</v>
      </c>
      <c r="AB371" s="175">
        <f>IFERROR(-Data_Dep.12[[#This Row],[Giá trị còn lại 31/12/25]]/(Data_Dep.12[[#This Row],[T/G điều chỉnh]]-Data_Dep.12[[#This Row],[Số kỳ đã khấu hao]]),0)</f>
        <v>-12152777.776223777</v>
      </c>
      <c r="AC371" s="181">
        <v>-12152778</v>
      </c>
      <c r="AD371" s="181">
        <v>-12152778</v>
      </c>
      <c r="AE371" s="181">
        <v>-12152778</v>
      </c>
      <c r="AF371" s="181">
        <v>-12152778</v>
      </c>
      <c r="AG371" s="181">
        <v>-12152778</v>
      </c>
      <c r="AH371" s="181">
        <v>-12152778</v>
      </c>
      <c r="AI371" s="181">
        <v>-12152778</v>
      </c>
      <c r="AJ371" s="181">
        <v>-12152778</v>
      </c>
      <c r="AK371" s="181">
        <v>-12152778</v>
      </c>
      <c r="AL371" s="181">
        <v>-12152778</v>
      </c>
      <c r="AM371" s="181">
        <v>-12152778</v>
      </c>
      <c r="AN371" s="181">
        <v>-12152778</v>
      </c>
      <c r="AO371" s="175">
        <f>SUM(Data_Dep.12[[#This Row],[KH_2601]:[KH_2612]])</f>
        <v>-145833336</v>
      </c>
      <c r="AP371" s="175">
        <f>Data_Dep.12[[#This Row],[Giá trị còn lại 31/12/25]]+Data_Dep.12[[#This Row],[KH LK 2026]]</f>
        <v>1592013886</v>
      </c>
    </row>
    <row r="372" spans="1:42" x14ac:dyDescent="0.3">
      <c r="A372" s="169"/>
      <c r="B372" s="169"/>
      <c r="C372" s="170" t="s">
        <v>338</v>
      </c>
      <c r="D372" s="169" t="str">
        <f>_xlfn.XLOOKUP(Data_Dep.12[[#This Row],[Nhóm tài sản]],MD_Account_Asset_Type[Nhóm tài sản],MD_Account_Asset_Type[Tên Nhóm tài sản])</f>
        <v>Máy móc, thiết bị - SX 627</v>
      </c>
      <c r="E372" s="171" t="s">
        <v>1519</v>
      </c>
      <c r="F372" s="170" t="s">
        <v>1512</v>
      </c>
      <c r="G372" s="169" t="s">
        <v>830</v>
      </c>
      <c r="H372" s="170" t="s">
        <v>51</v>
      </c>
      <c r="I372" s="170" t="str">
        <f>_xlfn.XLOOKUP(Data_Dep.12[[#This Row],[Cost center]],MD_Cost_Center[Mã Cost Center],MD_Cost_Center[Tên Cost Center])</f>
        <v>Chuyền máy tạo vảy PET CW+Tomra</v>
      </c>
      <c r="J372" s="172" t="str">
        <f>_xlfn.XLOOKUP(Data_Dep.12[[#This Row],[Cost center]],MD_Cost_Center[Mã Cost Center],MD_Cost_Center[Work center],"Check")</f>
        <v>CHWO-R01</v>
      </c>
      <c r="K372" s="169" t="str">
        <f>_xlfn.XLOOKUP(Data_Dep.12[[#This Row],[Nhóm tài sản]],MD_Account_Asset_Type[Nhóm tài sản],MD_Account_Asset_Type[Tài khoản KH],"Check")</f>
        <v>6274001903</v>
      </c>
      <c r="L372" s="173">
        <v>45992</v>
      </c>
      <c r="M372" s="174">
        <f>EDATE(Data_Dep.12[[#This Row],[Ngày bắt đầu KH]],Data_Dep.12[[#This Row],[T/G Khấu hao]])</f>
        <v>50375</v>
      </c>
      <c r="N372" s="175">
        <v>144</v>
      </c>
      <c r="O372" s="175">
        <v>373575000</v>
      </c>
      <c r="P372" s="184"/>
      <c r="Q372" s="183"/>
      <c r="R372" s="177"/>
      <c r="S372" s="177"/>
      <c r="T372" s="177">
        <v>-2594271</v>
      </c>
      <c r="U372" s="177">
        <f>SUM(Data_Dep.12[[#This Row],[KH_2510]:[KH_2512]])</f>
        <v>-2594271</v>
      </c>
      <c r="V372" s="193">
        <f>Data_Dep.12[[#This Row],[Nguyên giá]]+Data_Dep.12[[#This Row],[KH lũy kế]]+Data_Dep.12[[#This Row],[KH_Q4.25]]</f>
        <v>370980729</v>
      </c>
      <c r="W372" s="175">
        <f>ROUND(Data_Dep.12[[#This Row],[T/G Khấu hao]]-Data_Dep.12[[#This Row],[Giá trị còn lại 31/12/25]]/Data_Dep.12[[#This Row],[Nguyên giá]]*Data_Dep.12[[#This Row],[T/G Khấu hao]],0)</f>
        <v>1</v>
      </c>
      <c r="X372" s="179"/>
      <c r="Y372" s="175">
        <f>Data_Dep.12[[#This Row],[T/G Khấu hao]]+Data_Dep.12[[#This Row],[Điều chỉnh]]</f>
        <v>144</v>
      </c>
      <c r="Z372" s="180">
        <f>EDATE(Data_Dep.12[[#This Row],[Ngày bắt đầu KH]],Data_Dep.12[[#This Row],[T/G điều chỉnh]])</f>
        <v>50375</v>
      </c>
      <c r="AA372" s="175">
        <f>Data_Dep.12[[#This Row],[T/G điều chỉnh]]-Data_Dep.12[[#This Row],[Số kỳ đã khấu hao]]</f>
        <v>143</v>
      </c>
      <c r="AB372" s="175">
        <f>IFERROR(-Data_Dep.12[[#This Row],[Giá trị còn lại 31/12/25]]/(Data_Dep.12[[#This Row],[T/G điều chỉnh]]-Data_Dep.12[[#This Row],[Số kỳ đã khấu hao]]),0)</f>
        <v>-2594270.8321678322</v>
      </c>
      <c r="AC372" s="181">
        <v>-2594271</v>
      </c>
      <c r="AD372" s="181">
        <v>-2594271</v>
      </c>
      <c r="AE372" s="181">
        <v>-2594271</v>
      </c>
      <c r="AF372" s="181">
        <v>-2594271</v>
      </c>
      <c r="AG372" s="181">
        <v>-2594271</v>
      </c>
      <c r="AH372" s="181">
        <v>-2594271</v>
      </c>
      <c r="AI372" s="181">
        <v>-2594271</v>
      </c>
      <c r="AJ372" s="181">
        <v>-2594271</v>
      </c>
      <c r="AK372" s="181">
        <v>-2594271</v>
      </c>
      <c r="AL372" s="181">
        <v>-2594271</v>
      </c>
      <c r="AM372" s="181">
        <v>-2594271</v>
      </c>
      <c r="AN372" s="181">
        <v>-2594271</v>
      </c>
      <c r="AO372" s="175">
        <f>SUM(Data_Dep.12[[#This Row],[KH_2601]:[KH_2612]])</f>
        <v>-31131252</v>
      </c>
      <c r="AP372" s="175">
        <f>Data_Dep.12[[#This Row],[Giá trị còn lại 31/12/25]]+Data_Dep.12[[#This Row],[KH LK 2026]]</f>
        <v>339849477</v>
      </c>
    </row>
    <row r="373" spans="1:42" x14ac:dyDescent="0.3">
      <c r="A373" s="169"/>
      <c r="B373" s="169"/>
      <c r="C373" s="170" t="s">
        <v>338</v>
      </c>
      <c r="D373" s="169" t="str">
        <f>_xlfn.XLOOKUP(Data_Dep.12[[#This Row],[Nhóm tài sản]],MD_Account_Asset_Type[Nhóm tài sản],MD_Account_Asset_Type[Tên Nhóm tài sản])</f>
        <v>Máy móc, thiết bị - SX 627</v>
      </c>
      <c r="E373" s="171" t="s">
        <v>1520</v>
      </c>
      <c r="F373" s="170" t="s">
        <v>1513</v>
      </c>
      <c r="G373" s="169" t="s">
        <v>830</v>
      </c>
      <c r="H373" s="170" t="s">
        <v>64</v>
      </c>
      <c r="I373" s="170" t="str">
        <f>_xlfn.XLOOKUP(Data_Dep.12[[#This Row],[Cost center]],MD_Cost_Center[Mã Cost Center],MD_Cost_Center[Tên Cost Center])</f>
        <v>Chuyền rửa vảy PET  số 2</v>
      </c>
      <c r="J373" s="172" t="str">
        <f>_xlfn.XLOOKUP(Data_Dep.12[[#This Row],[Cost center]],MD_Cost_Center[Mã Cost Center],MD_Cost_Center[Work center],"Check")</f>
        <v>CHWO-R02</v>
      </c>
      <c r="K373" s="169" t="str">
        <f>_xlfn.XLOOKUP(Data_Dep.12[[#This Row],[Nhóm tài sản]],MD_Account_Asset_Type[Nhóm tài sản],MD_Account_Asset_Type[Tài khoản KH],"Check")</f>
        <v>6274001903</v>
      </c>
      <c r="L373" s="173">
        <v>45992</v>
      </c>
      <c r="M373" s="174">
        <f>EDATE(Data_Dep.12[[#This Row],[Ngày bắt đầu KH]],Data_Dep.12[[#This Row],[T/G Khấu hao]])</f>
        <v>50375</v>
      </c>
      <c r="N373" s="175">
        <v>144</v>
      </c>
      <c r="O373" s="175">
        <v>373575000</v>
      </c>
      <c r="P373" s="184"/>
      <c r="Q373" s="183"/>
      <c r="R373" s="177"/>
      <c r="S373" s="177"/>
      <c r="T373" s="177">
        <v>-2594271</v>
      </c>
      <c r="U373" s="177">
        <f>SUM(Data_Dep.12[[#This Row],[KH_2510]:[KH_2512]])</f>
        <v>-2594271</v>
      </c>
      <c r="V373" s="193">
        <f>Data_Dep.12[[#This Row],[Nguyên giá]]+Data_Dep.12[[#This Row],[KH lũy kế]]+Data_Dep.12[[#This Row],[KH_Q4.25]]</f>
        <v>370980729</v>
      </c>
      <c r="W373" s="175">
        <f>ROUND(Data_Dep.12[[#This Row],[T/G Khấu hao]]-Data_Dep.12[[#This Row],[Giá trị còn lại 31/12/25]]/Data_Dep.12[[#This Row],[Nguyên giá]]*Data_Dep.12[[#This Row],[T/G Khấu hao]],0)</f>
        <v>1</v>
      </c>
      <c r="X373" s="179"/>
      <c r="Y373" s="175">
        <f>Data_Dep.12[[#This Row],[T/G Khấu hao]]+Data_Dep.12[[#This Row],[Điều chỉnh]]</f>
        <v>144</v>
      </c>
      <c r="Z373" s="180">
        <f>EDATE(Data_Dep.12[[#This Row],[Ngày bắt đầu KH]],Data_Dep.12[[#This Row],[T/G điều chỉnh]])</f>
        <v>50375</v>
      </c>
      <c r="AA373" s="175">
        <f>Data_Dep.12[[#This Row],[T/G điều chỉnh]]-Data_Dep.12[[#This Row],[Số kỳ đã khấu hao]]</f>
        <v>143</v>
      </c>
      <c r="AB373" s="175">
        <f>IFERROR(-Data_Dep.12[[#This Row],[Giá trị còn lại 31/12/25]]/(Data_Dep.12[[#This Row],[T/G điều chỉnh]]-Data_Dep.12[[#This Row],[Số kỳ đã khấu hao]]),0)</f>
        <v>-2594270.8321678322</v>
      </c>
      <c r="AC373" s="181">
        <v>-2594271</v>
      </c>
      <c r="AD373" s="181">
        <v>-2594271</v>
      </c>
      <c r="AE373" s="181">
        <v>-2594271</v>
      </c>
      <c r="AF373" s="181">
        <v>-2594271</v>
      </c>
      <c r="AG373" s="181">
        <v>-2594271</v>
      </c>
      <c r="AH373" s="181">
        <v>-2594271</v>
      </c>
      <c r="AI373" s="181">
        <v>-2594271</v>
      </c>
      <c r="AJ373" s="181">
        <v>-2594271</v>
      </c>
      <c r="AK373" s="181">
        <v>-2594271</v>
      </c>
      <c r="AL373" s="181">
        <v>-2594271</v>
      </c>
      <c r="AM373" s="181">
        <v>-2594271</v>
      </c>
      <c r="AN373" s="181">
        <v>-2594271</v>
      </c>
      <c r="AO373" s="175">
        <f>SUM(Data_Dep.12[[#This Row],[KH_2601]:[KH_2612]])</f>
        <v>-31131252</v>
      </c>
      <c r="AP373" s="175">
        <f>Data_Dep.12[[#This Row],[Giá trị còn lại 31/12/25]]+Data_Dep.12[[#This Row],[KH LK 2026]]</f>
        <v>339849477</v>
      </c>
    </row>
    <row r="374" spans="1:42" x14ac:dyDescent="0.3">
      <c r="A374" s="169"/>
      <c r="B374" s="169"/>
      <c r="C374" s="170" t="s">
        <v>338</v>
      </c>
      <c r="D374" s="169" t="str">
        <f>_xlfn.XLOOKUP(Data_Dep.12[[#This Row],[Nhóm tài sản]],MD_Account_Asset_Type[Nhóm tài sản],MD_Account_Asset_Type[Tên Nhóm tài sản])</f>
        <v>Máy móc, thiết bị - SX 627</v>
      </c>
      <c r="E374" s="171" t="s">
        <v>1521</v>
      </c>
      <c r="F374" s="170" t="s">
        <v>1514</v>
      </c>
      <c r="G374" s="169" t="s">
        <v>830</v>
      </c>
      <c r="H374" s="170" t="s">
        <v>100</v>
      </c>
      <c r="I374" s="170" t="str">
        <f>_xlfn.XLOOKUP(Data_Dep.12[[#This Row],[Cost center]],MD_Cost_Center[Mã Cost Center],MD_Cost_Center[Tên Cost Center])</f>
        <v>Chuyền Rửa Vảy PET BORE-R02</v>
      </c>
      <c r="J374" s="172" t="str">
        <f>_xlfn.XLOOKUP(Data_Dep.12[[#This Row],[Cost center]],MD_Cost_Center[Mã Cost Center],MD_Cost_Center[Work center],"Check")</f>
        <v>BORE-R02</v>
      </c>
      <c r="K374" s="169" t="str">
        <f>_xlfn.XLOOKUP(Data_Dep.12[[#This Row],[Nhóm tài sản]],MD_Account_Asset_Type[Nhóm tài sản],MD_Account_Asset_Type[Tài khoản KH],"Check")</f>
        <v>6274001903</v>
      </c>
      <c r="L374" s="173">
        <v>45992</v>
      </c>
      <c r="M374" s="174">
        <f>EDATE(Data_Dep.12[[#This Row],[Ngày bắt đầu KH]],Data_Dep.12[[#This Row],[T/G Khấu hao]])</f>
        <v>50375</v>
      </c>
      <c r="N374" s="175">
        <v>144</v>
      </c>
      <c r="O374" s="175">
        <v>373575000</v>
      </c>
      <c r="P374" s="184"/>
      <c r="Q374" s="183"/>
      <c r="R374" s="177"/>
      <c r="S374" s="177"/>
      <c r="T374" s="177">
        <v>-2594271</v>
      </c>
      <c r="U374" s="177">
        <f>SUM(Data_Dep.12[[#This Row],[KH_2510]:[KH_2512]])</f>
        <v>-2594271</v>
      </c>
      <c r="V374" s="193">
        <f>Data_Dep.12[[#This Row],[Nguyên giá]]+Data_Dep.12[[#This Row],[KH lũy kế]]+Data_Dep.12[[#This Row],[KH_Q4.25]]</f>
        <v>370980729</v>
      </c>
      <c r="W374" s="175">
        <f>ROUND(Data_Dep.12[[#This Row],[T/G Khấu hao]]-Data_Dep.12[[#This Row],[Giá trị còn lại 31/12/25]]/Data_Dep.12[[#This Row],[Nguyên giá]]*Data_Dep.12[[#This Row],[T/G Khấu hao]],0)</f>
        <v>1</v>
      </c>
      <c r="X374" s="179"/>
      <c r="Y374" s="175">
        <f>Data_Dep.12[[#This Row],[T/G Khấu hao]]+Data_Dep.12[[#This Row],[Điều chỉnh]]</f>
        <v>144</v>
      </c>
      <c r="Z374" s="180">
        <f>EDATE(Data_Dep.12[[#This Row],[Ngày bắt đầu KH]],Data_Dep.12[[#This Row],[T/G điều chỉnh]])</f>
        <v>50375</v>
      </c>
      <c r="AA374" s="175">
        <f>Data_Dep.12[[#This Row],[T/G điều chỉnh]]-Data_Dep.12[[#This Row],[Số kỳ đã khấu hao]]</f>
        <v>143</v>
      </c>
      <c r="AB374" s="175">
        <f>IFERROR(-Data_Dep.12[[#This Row],[Giá trị còn lại 31/12/25]]/(Data_Dep.12[[#This Row],[T/G điều chỉnh]]-Data_Dep.12[[#This Row],[Số kỳ đã khấu hao]]),0)</f>
        <v>-2594270.8321678322</v>
      </c>
      <c r="AC374" s="181">
        <v>-2594271</v>
      </c>
      <c r="AD374" s="181">
        <v>-2594271</v>
      </c>
      <c r="AE374" s="181">
        <v>-2594271</v>
      </c>
      <c r="AF374" s="181">
        <v>-2594271</v>
      </c>
      <c r="AG374" s="181">
        <v>-2594271</v>
      </c>
      <c r="AH374" s="181">
        <v>-2594271</v>
      </c>
      <c r="AI374" s="181">
        <v>-2594271</v>
      </c>
      <c r="AJ374" s="181">
        <v>-2594271</v>
      </c>
      <c r="AK374" s="181">
        <v>-2594271</v>
      </c>
      <c r="AL374" s="181">
        <v>-2594271</v>
      </c>
      <c r="AM374" s="181">
        <v>-2594271</v>
      </c>
      <c r="AN374" s="181">
        <v>-2594271</v>
      </c>
      <c r="AO374" s="175">
        <f>SUM(Data_Dep.12[[#This Row],[KH_2601]:[KH_2612]])</f>
        <v>-31131252</v>
      </c>
      <c r="AP374" s="175">
        <f>Data_Dep.12[[#This Row],[Giá trị còn lại 31/12/25]]+Data_Dep.12[[#This Row],[KH LK 2026]]</f>
        <v>339849477</v>
      </c>
    </row>
    <row r="375" spans="1:42" x14ac:dyDescent="0.3">
      <c r="A375" s="169"/>
      <c r="B375" s="169"/>
      <c r="C375" s="170" t="s">
        <v>337</v>
      </c>
      <c r="D375" s="169" t="str">
        <f>_xlfn.XLOOKUP(Data_Dep.12[[#This Row],[Nhóm tài sản]],MD_Account_Asset_Type[Nhóm tài sản],MD_Account_Asset_Type[Tên Nhóm tài sản])</f>
        <v>Máy móc, thiết bị phụ - SX 627</v>
      </c>
      <c r="E375" s="171" t="s">
        <v>1522</v>
      </c>
      <c r="F375" s="170" t="s">
        <v>1515</v>
      </c>
      <c r="G375" s="169" t="s">
        <v>830</v>
      </c>
      <c r="H375" s="170" t="s">
        <v>45</v>
      </c>
      <c r="I375" s="170" t="str">
        <f>_xlfn.XLOOKUP(Data_Dep.12[[#This Row],[Cost center]],MD_Cost_Center[Mã Cost Center],MD_Cost_Center[Tên Cost Center])</f>
        <v>Kỹ thuật</v>
      </c>
      <c r="J375" s="172">
        <f>_xlfn.XLOOKUP(Data_Dep.12[[#This Row],[Cost center]],MD_Cost_Center[Mã Cost Center],MD_Cost_Center[Work center],"Check")</f>
        <v>0</v>
      </c>
      <c r="K375" s="169" t="str">
        <f>_xlfn.XLOOKUP(Data_Dep.12[[#This Row],[Nhóm tài sản]],MD_Account_Asset_Type[Nhóm tài sản],MD_Account_Asset_Type[Tài khoản KH],"Check")</f>
        <v>6274001906</v>
      </c>
      <c r="L375" s="173">
        <v>45992</v>
      </c>
      <c r="M375" s="174">
        <f>EDATE(Data_Dep.12[[#This Row],[Ngày bắt đầu KH]],Data_Dep.12[[#This Row],[T/G Khấu hao]])</f>
        <v>50375</v>
      </c>
      <c r="N375" s="175">
        <v>144</v>
      </c>
      <c r="O375" s="175">
        <v>333234000</v>
      </c>
      <c r="P375" s="184"/>
      <c r="Q375" s="183"/>
      <c r="R375" s="177"/>
      <c r="S375" s="177"/>
      <c r="T375" s="177">
        <v>-2314125</v>
      </c>
      <c r="U375" s="177">
        <f>SUM(Data_Dep.12[[#This Row],[KH_2510]:[KH_2512]])</f>
        <v>-2314125</v>
      </c>
      <c r="V375" s="193">
        <f>Data_Dep.12[[#This Row],[Nguyên giá]]+Data_Dep.12[[#This Row],[KH lũy kế]]+Data_Dep.12[[#This Row],[KH_Q4.25]]</f>
        <v>330919875</v>
      </c>
      <c r="W375" s="175">
        <f>ROUND(Data_Dep.12[[#This Row],[T/G Khấu hao]]-Data_Dep.12[[#This Row],[Giá trị còn lại 31/12/25]]/Data_Dep.12[[#This Row],[Nguyên giá]]*Data_Dep.12[[#This Row],[T/G Khấu hao]],0)</f>
        <v>1</v>
      </c>
      <c r="X375" s="179"/>
      <c r="Y375" s="175">
        <f>Data_Dep.12[[#This Row],[T/G Khấu hao]]+Data_Dep.12[[#This Row],[Điều chỉnh]]</f>
        <v>144</v>
      </c>
      <c r="Z375" s="180">
        <f>EDATE(Data_Dep.12[[#This Row],[Ngày bắt đầu KH]],Data_Dep.12[[#This Row],[T/G điều chỉnh]])</f>
        <v>50375</v>
      </c>
      <c r="AA375" s="175">
        <f>Data_Dep.12[[#This Row],[T/G điều chỉnh]]-Data_Dep.12[[#This Row],[Số kỳ đã khấu hao]]</f>
        <v>143</v>
      </c>
      <c r="AB375" s="175">
        <f>IFERROR(-Data_Dep.12[[#This Row],[Giá trị còn lại 31/12/25]]/(Data_Dep.12[[#This Row],[T/G điều chỉnh]]-Data_Dep.12[[#This Row],[Số kỳ đã khấu hao]]),0)</f>
        <v>-2314125</v>
      </c>
      <c r="AC375" s="181">
        <v>-2314125</v>
      </c>
      <c r="AD375" s="181">
        <v>-2314125</v>
      </c>
      <c r="AE375" s="181">
        <v>-2314125</v>
      </c>
      <c r="AF375" s="181">
        <v>-2314125</v>
      </c>
      <c r="AG375" s="181">
        <v>-2314125</v>
      </c>
      <c r="AH375" s="181">
        <v>-2314125</v>
      </c>
      <c r="AI375" s="181">
        <v>-2314125</v>
      </c>
      <c r="AJ375" s="181">
        <v>-2314125</v>
      </c>
      <c r="AK375" s="181">
        <v>-2314125</v>
      </c>
      <c r="AL375" s="181">
        <v>-2314125</v>
      </c>
      <c r="AM375" s="181">
        <v>-2314125</v>
      </c>
      <c r="AN375" s="181">
        <v>-2314125</v>
      </c>
      <c r="AO375" s="175">
        <f>SUM(Data_Dep.12[[#This Row],[KH_2601]:[KH_2612]])</f>
        <v>-27769500</v>
      </c>
      <c r="AP375" s="175">
        <f>Data_Dep.12[[#This Row],[Giá trị còn lại 31/12/25]]+Data_Dep.12[[#This Row],[KH LK 2026]]</f>
        <v>303150375</v>
      </c>
    </row>
    <row r="376" spans="1:42" x14ac:dyDescent="0.3">
      <c r="A376" s="169"/>
      <c r="B376" s="169"/>
      <c r="C376" s="170" t="s">
        <v>342</v>
      </c>
      <c r="D376" s="169" t="str">
        <f>_xlfn.XLOOKUP(Data_Dep.12[[#This Row],[Nhóm tài sản]],MD_Account_Asset_Type[Nhóm tài sản],MD_Account_Asset_Type[Tên Nhóm tài sản])</f>
        <v>Phương tiện vận tải , truyền dẫn - SX 627</v>
      </c>
      <c r="E376" s="171" t="s">
        <v>1523</v>
      </c>
      <c r="F376" s="170" t="s">
        <v>1524</v>
      </c>
      <c r="G376" s="169" t="s">
        <v>830</v>
      </c>
      <c r="H376" s="170" t="s">
        <v>41</v>
      </c>
      <c r="I376" s="170" t="str">
        <f>_xlfn.XLOOKUP(Data_Dep.12[[#This Row],[Cost center]],MD_Cost_Center[Mã Cost Center],MD_Cost_Center[Tên Cost Center])</f>
        <v>Cung ứng</v>
      </c>
      <c r="J376" s="172">
        <f>_xlfn.XLOOKUP(Data_Dep.12[[#This Row],[Cost center]],MD_Cost_Center[Mã Cost Center],MD_Cost_Center[Work center],"Check")</f>
        <v>0</v>
      </c>
      <c r="K376" s="169" t="str">
        <f>_xlfn.XLOOKUP(Data_Dep.12[[#This Row],[Nhóm tài sản]],MD_Account_Asset_Type[Nhóm tài sản],MD_Account_Asset_Type[Tài khoản KH],"Check")</f>
        <v>6274001905</v>
      </c>
      <c r="L376" s="173">
        <v>45992</v>
      </c>
      <c r="M376" s="174">
        <f>EDATE(Data_Dep.12[[#This Row],[Ngày bắt đầu KH]],Data_Dep.12[[#This Row],[T/G Khấu hao]])</f>
        <v>49644</v>
      </c>
      <c r="N376" s="175">
        <v>120</v>
      </c>
      <c r="O376" s="175">
        <v>1555000000</v>
      </c>
      <c r="P376" s="184"/>
      <c r="Q376" s="183"/>
      <c r="R376" s="177"/>
      <c r="S376" s="177"/>
      <c r="T376" s="177">
        <v>-12958333</v>
      </c>
      <c r="U376" s="177">
        <f>SUM(Data_Dep.12[[#This Row],[KH_2510]:[KH_2512]])</f>
        <v>-12958333</v>
      </c>
      <c r="V376" s="193">
        <f>Data_Dep.12[[#This Row],[Nguyên giá]]+Data_Dep.12[[#This Row],[KH lũy kế]]+Data_Dep.12[[#This Row],[KH_Q4.25]]</f>
        <v>1542041667</v>
      </c>
      <c r="W376" s="175">
        <f>ROUND(Data_Dep.12[[#This Row],[T/G Khấu hao]]-Data_Dep.12[[#This Row],[Giá trị còn lại 31/12/25]]/Data_Dep.12[[#This Row],[Nguyên giá]]*Data_Dep.12[[#This Row],[T/G Khấu hao]],0)</f>
        <v>1</v>
      </c>
      <c r="X376" s="179"/>
      <c r="Y376" s="175">
        <f>Data_Dep.12[[#This Row],[T/G Khấu hao]]+Data_Dep.12[[#This Row],[Điều chỉnh]]</f>
        <v>120</v>
      </c>
      <c r="Z376" s="180">
        <f>EDATE(Data_Dep.12[[#This Row],[Ngày bắt đầu KH]],Data_Dep.12[[#This Row],[T/G điều chỉnh]])</f>
        <v>49644</v>
      </c>
      <c r="AA376" s="175">
        <f>Data_Dep.12[[#This Row],[T/G điều chỉnh]]-Data_Dep.12[[#This Row],[Số kỳ đã khấu hao]]</f>
        <v>119</v>
      </c>
      <c r="AB376" s="175">
        <f>IFERROR(-Data_Dep.12[[#This Row],[Giá trị còn lại 31/12/25]]/(Data_Dep.12[[#This Row],[T/G điều chỉnh]]-Data_Dep.12[[#This Row],[Số kỳ đã khấu hao]]),0)</f>
        <v>-12958333.336134454</v>
      </c>
      <c r="AC376" s="181">
        <v>-12958333</v>
      </c>
      <c r="AD376" s="181">
        <v>-12958333</v>
      </c>
      <c r="AE376" s="181">
        <v>-12958333</v>
      </c>
      <c r="AF376" s="181">
        <v>-12958333</v>
      </c>
      <c r="AG376" s="181">
        <v>-12958333</v>
      </c>
      <c r="AH376" s="181">
        <v>-12958333</v>
      </c>
      <c r="AI376" s="181">
        <v>-12958333</v>
      </c>
      <c r="AJ376" s="181">
        <v>-12958333</v>
      </c>
      <c r="AK376" s="181">
        <v>-12958333</v>
      </c>
      <c r="AL376" s="181">
        <v>-12958333</v>
      </c>
      <c r="AM376" s="181">
        <v>-12958333</v>
      </c>
      <c r="AN376" s="181">
        <v>-12958333</v>
      </c>
      <c r="AO376" s="175">
        <f>SUM(Data_Dep.12[[#This Row],[KH_2601]:[KH_2612]])</f>
        <v>-155499996</v>
      </c>
      <c r="AP376" s="175">
        <f>Data_Dep.12[[#This Row],[Giá trị còn lại 31/12/25]]+Data_Dep.12[[#This Row],[KH LK 2026]]</f>
        <v>1386541671</v>
      </c>
    </row>
    <row r="377" spans="1:42" x14ac:dyDescent="0.3">
      <c r="A377" s="169"/>
      <c r="B377" s="169"/>
      <c r="C377" s="170" t="s">
        <v>342</v>
      </c>
      <c r="D377" s="169" t="str">
        <f>_xlfn.XLOOKUP(Data_Dep.12[[#This Row],[Nhóm tài sản]],MD_Account_Asset_Type[Nhóm tài sản],MD_Account_Asset_Type[Tên Nhóm tài sản])</f>
        <v>Phương tiện vận tải , truyền dẫn - SX 627</v>
      </c>
      <c r="E377" s="171" t="s">
        <v>1527</v>
      </c>
      <c r="F377" s="170" t="s">
        <v>1525</v>
      </c>
      <c r="G377" s="169" t="s">
        <v>830</v>
      </c>
      <c r="H377" s="170" t="s">
        <v>41</v>
      </c>
      <c r="I377" s="170" t="str">
        <f>_xlfn.XLOOKUP(Data_Dep.12[[#This Row],[Cost center]],MD_Cost_Center[Mã Cost Center],MD_Cost_Center[Tên Cost Center])</f>
        <v>Cung ứng</v>
      </c>
      <c r="J377" s="172">
        <f>_xlfn.XLOOKUP(Data_Dep.12[[#This Row],[Cost center]],MD_Cost_Center[Mã Cost Center],MD_Cost_Center[Work center],"Check")</f>
        <v>0</v>
      </c>
      <c r="K377" s="169" t="str">
        <f>_xlfn.XLOOKUP(Data_Dep.12[[#This Row],[Nhóm tài sản]],MD_Account_Asset_Type[Nhóm tài sản],MD_Account_Asset_Type[Tài khoản KH],"Check")</f>
        <v>6274001905</v>
      </c>
      <c r="L377" s="173">
        <v>45992</v>
      </c>
      <c r="M377" s="174">
        <f>EDATE(Data_Dep.12[[#This Row],[Ngày bắt đầu KH]],Data_Dep.12[[#This Row],[T/G Khấu hao]])</f>
        <v>49644</v>
      </c>
      <c r="N377" s="175">
        <v>120</v>
      </c>
      <c r="O377" s="175">
        <v>1555000000</v>
      </c>
      <c r="P377" s="184"/>
      <c r="Q377" s="183"/>
      <c r="R377" s="177"/>
      <c r="S377" s="177"/>
      <c r="T377" s="177">
        <v>-12958333</v>
      </c>
      <c r="U377" s="177">
        <f>SUM(Data_Dep.12[[#This Row],[KH_2510]:[KH_2512]])</f>
        <v>-12958333</v>
      </c>
      <c r="V377" s="193">
        <f>Data_Dep.12[[#This Row],[Nguyên giá]]+Data_Dep.12[[#This Row],[KH lũy kế]]+Data_Dep.12[[#This Row],[KH_Q4.25]]</f>
        <v>1542041667</v>
      </c>
      <c r="W377" s="175">
        <f>ROUND(Data_Dep.12[[#This Row],[T/G Khấu hao]]-Data_Dep.12[[#This Row],[Giá trị còn lại 31/12/25]]/Data_Dep.12[[#This Row],[Nguyên giá]]*Data_Dep.12[[#This Row],[T/G Khấu hao]],0)</f>
        <v>1</v>
      </c>
      <c r="X377" s="179"/>
      <c r="Y377" s="175">
        <f>Data_Dep.12[[#This Row],[T/G Khấu hao]]+Data_Dep.12[[#This Row],[Điều chỉnh]]</f>
        <v>120</v>
      </c>
      <c r="Z377" s="180">
        <f>EDATE(Data_Dep.12[[#This Row],[Ngày bắt đầu KH]],Data_Dep.12[[#This Row],[T/G điều chỉnh]])</f>
        <v>49644</v>
      </c>
      <c r="AA377" s="175">
        <f>Data_Dep.12[[#This Row],[T/G điều chỉnh]]-Data_Dep.12[[#This Row],[Số kỳ đã khấu hao]]</f>
        <v>119</v>
      </c>
      <c r="AB377" s="175">
        <f>IFERROR(-Data_Dep.12[[#This Row],[Giá trị còn lại 31/12/25]]/(Data_Dep.12[[#This Row],[T/G điều chỉnh]]-Data_Dep.12[[#This Row],[Số kỳ đã khấu hao]]),0)</f>
        <v>-12958333.336134454</v>
      </c>
      <c r="AC377" s="181">
        <v>-12958333</v>
      </c>
      <c r="AD377" s="181">
        <v>-12958333</v>
      </c>
      <c r="AE377" s="181">
        <v>-12958333</v>
      </c>
      <c r="AF377" s="181">
        <v>-12958333</v>
      </c>
      <c r="AG377" s="181">
        <v>-12958333</v>
      </c>
      <c r="AH377" s="181">
        <v>-12958333</v>
      </c>
      <c r="AI377" s="181">
        <v>-12958333</v>
      </c>
      <c r="AJ377" s="181">
        <v>-12958333</v>
      </c>
      <c r="AK377" s="181">
        <v>-12958333</v>
      </c>
      <c r="AL377" s="181">
        <v>-12958333</v>
      </c>
      <c r="AM377" s="181">
        <v>-12958333</v>
      </c>
      <c r="AN377" s="181">
        <v>-12958333</v>
      </c>
      <c r="AO377" s="175">
        <f>SUM(Data_Dep.12[[#This Row],[KH_2601]:[KH_2612]])</f>
        <v>-155499996</v>
      </c>
      <c r="AP377" s="175">
        <f>Data_Dep.12[[#This Row],[Giá trị còn lại 31/12/25]]+Data_Dep.12[[#This Row],[KH LK 2026]]</f>
        <v>1386541671</v>
      </c>
    </row>
    <row r="378" spans="1:42" x14ac:dyDescent="0.3">
      <c r="A378" s="169"/>
      <c r="B378" s="169"/>
      <c r="C378" s="170" t="s">
        <v>342</v>
      </c>
      <c r="D378" s="169" t="str">
        <f>_xlfn.XLOOKUP(Data_Dep.12[[#This Row],[Nhóm tài sản]],MD_Account_Asset_Type[Nhóm tài sản],MD_Account_Asset_Type[Tên Nhóm tài sản])</f>
        <v>Phương tiện vận tải , truyền dẫn - SX 627</v>
      </c>
      <c r="E378" s="171" t="s">
        <v>1528</v>
      </c>
      <c r="F378" s="170" t="s">
        <v>1526</v>
      </c>
      <c r="G378" s="169" t="s">
        <v>830</v>
      </c>
      <c r="H378" s="170" t="s">
        <v>41</v>
      </c>
      <c r="I378" s="170" t="str">
        <f>_xlfn.XLOOKUP(Data_Dep.12[[#This Row],[Cost center]],MD_Cost_Center[Mã Cost Center],MD_Cost_Center[Tên Cost Center])</f>
        <v>Cung ứng</v>
      </c>
      <c r="J378" s="172">
        <f>_xlfn.XLOOKUP(Data_Dep.12[[#This Row],[Cost center]],MD_Cost_Center[Mã Cost Center],MD_Cost_Center[Work center],"Check")</f>
        <v>0</v>
      </c>
      <c r="K378" s="169" t="str">
        <f>_xlfn.XLOOKUP(Data_Dep.12[[#This Row],[Nhóm tài sản]],MD_Account_Asset_Type[Nhóm tài sản],MD_Account_Asset_Type[Tài khoản KH],"Check")</f>
        <v>6274001905</v>
      </c>
      <c r="L378" s="173">
        <v>45992</v>
      </c>
      <c r="M378" s="174">
        <f>EDATE(Data_Dep.12[[#This Row],[Ngày bắt đầu KH]],Data_Dep.12[[#This Row],[T/G Khấu hao]])</f>
        <v>49644</v>
      </c>
      <c r="N378" s="175">
        <v>120</v>
      </c>
      <c r="O378" s="175">
        <v>1555000000</v>
      </c>
      <c r="P378" s="184"/>
      <c r="Q378" s="183"/>
      <c r="R378" s="177"/>
      <c r="S378" s="177"/>
      <c r="T378" s="177">
        <v>-12958333</v>
      </c>
      <c r="U378" s="177">
        <f>SUM(Data_Dep.12[[#This Row],[KH_2510]:[KH_2512]])</f>
        <v>-12958333</v>
      </c>
      <c r="V378" s="193">
        <f>Data_Dep.12[[#This Row],[Nguyên giá]]+Data_Dep.12[[#This Row],[KH lũy kế]]+Data_Dep.12[[#This Row],[KH_Q4.25]]</f>
        <v>1542041667</v>
      </c>
      <c r="W378" s="175">
        <f>ROUND(Data_Dep.12[[#This Row],[T/G Khấu hao]]-Data_Dep.12[[#This Row],[Giá trị còn lại 31/12/25]]/Data_Dep.12[[#This Row],[Nguyên giá]]*Data_Dep.12[[#This Row],[T/G Khấu hao]],0)</f>
        <v>1</v>
      </c>
      <c r="X378" s="179"/>
      <c r="Y378" s="175">
        <f>Data_Dep.12[[#This Row],[T/G Khấu hao]]+Data_Dep.12[[#This Row],[Điều chỉnh]]</f>
        <v>120</v>
      </c>
      <c r="Z378" s="180">
        <f>EDATE(Data_Dep.12[[#This Row],[Ngày bắt đầu KH]],Data_Dep.12[[#This Row],[T/G điều chỉnh]])</f>
        <v>49644</v>
      </c>
      <c r="AA378" s="175">
        <f>Data_Dep.12[[#This Row],[T/G điều chỉnh]]-Data_Dep.12[[#This Row],[Số kỳ đã khấu hao]]</f>
        <v>119</v>
      </c>
      <c r="AB378" s="175">
        <f>IFERROR(-Data_Dep.12[[#This Row],[Giá trị còn lại 31/12/25]]/(Data_Dep.12[[#This Row],[T/G điều chỉnh]]-Data_Dep.12[[#This Row],[Số kỳ đã khấu hao]]),0)</f>
        <v>-12958333.336134454</v>
      </c>
      <c r="AC378" s="181">
        <v>-12958333</v>
      </c>
      <c r="AD378" s="181">
        <v>-12958333</v>
      </c>
      <c r="AE378" s="181">
        <v>-12958333</v>
      </c>
      <c r="AF378" s="181">
        <v>-12958333</v>
      </c>
      <c r="AG378" s="181">
        <v>-12958333</v>
      </c>
      <c r="AH378" s="181">
        <v>-12958333</v>
      </c>
      <c r="AI378" s="181">
        <v>-12958333</v>
      </c>
      <c r="AJ378" s="181">
        <v>-12958333</v>
      </c>
      <c r="AK378" s="181">
        <v>-12958333</v>
      </c>
      <c r="AL378" s="181">
        <v>-12958333</v>
      </c>
      <c r="AM378" s="181">
        <v>-12958333</v>
      </c>
      <c r="AN378" s="181">
        <v>-12958333</v>
      </c>
      <c r="AO378" s="175">
        <f>SUM(Data_Dep.12[[#This Row],[KH_2601]:[KH_2612]])</f>
        <v>-155499996</v>
      </c>
      <c r="AP378" s="175">
        <f>Data_Dep.12[[#This Row],[Giá trị còn lại 31/12/25]]+Data_Dep.12[[#This Row],[KH LK 2026]]</f>
        <v>1386541671</v>
      </c>
    </row>
    <row r="379" spans="1:42" x14ac:dyDescent="0.3">
      <c r="A379" s="169"/>
      <c r="B379" s="169"/>
      <c r="C379" s="170" t="s">
        <v>338</v>
      </c>
      <c r="D379" s="169" t="str">
        <f>_xlfn.XLOOKUP(Data_Dep.12[[#This Row],[Nhóm tài sản]],MD_Account_Asset_Type[Nhóm tài sản],MD_Account_Asset_Type[Tên Nhóm tài sản])</f>
        <v>Máy móc, thiết bị - SX 627</v>
      </c>
      <c r="E379" s="171" t="s">
        <v>1529</v>
      </c>
      <c r="F379" s="170" t="s">
        <v>1223</v>
      </c>
      <c r="G379" s="169" t="s">
        <v>830</v>
      </c>
      <c r="H379" s="170" t="s">
        <v>1553</v>
      </c>
      <c r="I379" s="170" t="str">
        <f>_xlfn.XLOOKUP(Data_Dep.12[[#This Row],[Cost center]],MD_Cost_Center[Mã Cost Center],MD_Cost_Center[Tên Cost Center])</f>
        <v>Chuyền tạo hạt Erema 2318T 1500M (F2)</v>
      </c>
      <c r="J379" s="172" t="str">
        <f>_xlfn.XLOOKUP(Data_Dep.12[[#This Row],[Cost center]],MD_Cost_Center[Mã Cost Center],MD_Cost_Center[Work center],"Check")</f>
        <v>EREMA-01</v>
      </c>
      <c r="K379" s="169" t="str">
        <f>_xlfn.XLOOKUP(Data_Dep.12[[#This Row],[Nhóm tài sản]],MD_Account_Asset_Type[Nhóm tài sản],MD_Account_Asset_Type[Tài khoản KH],"Check")</f>
        <v>6274001903</v>
      </c>
      <c r="L379" s="173">
        <v>46388</v>
      </c>
      <c r="M379" s="174">
        <f>EDATE(Data_Dep.12[[#This Row],[Ngày bắt đầu KH]],Data_Dep.12[[#This Row],[T/G Khấu hao]])</f>
        <v>50771</v>
      </c>
      <c r="N379" s="175">
        <v>144</v>
      </c>
      <c r="O379" s="175">
        <v>242676000000</v>
      </c>
      <c r="P379" s="184"/>
      <c r="Q379" s="183"/>
      <c r="R379" s="177"/>
      <c r="S379" s="177"/>
      <c r="T379" s="177"/>
      <c r="U379" s="177">
        <f>SUM(Data_Dep.12[[#This Row],[KH_2510]:[KH_2512]])</f>
        <v>0</v>
      </c>
      <c r="V379" s="194"/>
      <c r="W379" s="175">
        <f>ROUND(Data_Dep.12[[#This Row],[T/G Khấu hao]]-Data_Dep.12[[#This Row],[Giá trị còn lại 31/12/25]]/Data_Dep.12[[#This Row],[Nguyên giá]]*Data_Dep.12[[#This Row],[T/G Khấu hao]],0)</f>
        <v>144</v>
      </c>
      <c r="X379" s="179"/>
      <c r="Y379" s="175">
        <f>Data_Dep.12[[#This Row],[T/G Khấu hao]]+Data_Dep.12[[#This Row],[Điều chỉnh]]</f>
        <v>144</v>
      </c>
      <c r="Z379" s="180">
        <f>EDATE(Data_Dep.12[[#This Row],[Ngày bắt đầu KH]],Data_Dep.12[[#This Row],[T/G điều chỉnh]])</f>
        <v>50771</v>
      </c>
      <c r="AA379" s="175">
        <f>Data_Dep.12[[#This Row],[T/G điều chỉnh]]-Data_Dep.12[[#This Row],[Số kỳ đã khấu hao]]</f>
        <v>0</v>
      </c>
      <c r="AB379" s="175">
        <f>IFERROR(-Data_Dep.12[[#This Row],[Giá trị còn lại 31/12/25]]/(Data_Dep.12[[#This Row],[T/G điều chỉnh]]-Data_Dep.12[[#This Row],[Số kỳ đã khấu hao]]),0)</f>
        <v>0</v>
      </c>
      <c r="AC379" s="181">
        <v>0</v>
      </c>
      <c r="AD379" s="181">
        <v>0</v>
      </c>
      <c r="AE379" s="181">
        <v>0</v>
      </c>
      <c r="AF379" s="181">
        <v>0</v>
      </c>
      <c r="AG379" s="181">
        <v>0</v>
      </c>
      <c r="AH379" s="181">
        <v>0</v>
      </c>
      <c r="AI379" s="181">
        <v>0</v>
      </c>
      <c r="AJ379" s="181">
        <v>0</v>
      </c>
      <c r="AK379" s="181">
        <v>0</v>
      </c>
      <c r="AL379" s="181">
        <v>0</v>
      </c>
      <c r="AM379" s="181">
        <v>0</v>
      </c>
      <c r="AN379" s="181">
        <v>0</v>
      </c>
      <c r="AO379" s="175">
        <f>SUM(Data_Dep.12[[#This Row],[KH_2601]:[KH_2612]])</f>
        <v>0</v>
      </c>
      <c r="AP379" s="198">
        <v>242676000000</v>
      </c>
    </row>
    <row r="380" spans="1:42" x14ac:dyDescent="0.3">
      <c r="A380" s="169"/>
      <c r="B380" s="169"/>
      <c r="C380" s="170" t="s">
        <v>338</v>
      </c>
      <c r="D380" s="169" t="str">
        <f>_xlfn.XLOOKUP(Data_Dep.12[[#This Row],[Nhóm tài sản]],MD_Account_Asset_Type[Nhóm tài sản],MD_Account_Asset_Type[Tên Nhóm tài sản])</f>
        <v>Máy móc, thiết bị - SX 627</v>
      </c>
      <c r="E380" s="171" t="s">
        <v>1539</v>
      </c>
      <c r="F380" s="170" t="s">
        <v>1530</v>
      </c>
      <c r="G380" s="169" t="s">
        <v>830</v>
      </c>
      <c r="H380" s="170" t="s">
        <v>62</v>
      </c>
      <c r="I380" s="170" t="str">
        <f>_xlfn.XLOOKUP(Data_Dep.12[[#This Row],[Cost center]],MD_Cost_Center[Mã Cost Center],MD_Cost_Center[Tên Cost Center])</f>
        <v>Máy tạo hạt PET 03 Starlinger 2</v>
      </c>
      <c r="J380" s="172" t="str">
        <f>_xlfn.XLOOKUP(Data_Dep.12[[#This Row],[Cost center]],MD_Cost_Center[Mã Cost Center],MD_Cost_Center[Work center],"Check")</f>
        <v>STAR-02</v>
      </c>
      <c r="K380" s="169" t="str">
        <f>_xlfn.XLOOKUP(Data_Dep.12[[#This Row],[Nhóm tài sản]],MD_Account_Asset_Type[Nhóm tài sản],MD_Account_Asset_Type[Tài khoản KH],"Check")</f>
        <v>6274001903</v>
      </c>
      <c r="L380" s="173">
        <v>46143</v>
      </c>
      <c r="M380" s="174">
        <f>EDATE(Data_Dep.12[[#This Row],[Ngày bắt đầu KH]],Data_Dep.12[[#This Row],[T/G Khấu hao]])</f>
        <v>50526</v>
      </c>
      <c r="N380" s="175">
        <v>144</v>
      </c>
      <c r="O380" s="175">
        <v>13358384000</v>
      </c>
      <c r="P380" s="184"/>
      <c r="Q380" s="183"/>
      <c r="R380" s="177"/>
      <c r="S380" s="177"/>
      <c r="T380" s="177"/>
      <c r="U380" s="177">
        <f>SUM(Data_Dep.12[[#This Row],[KH_2510]:[KH_2512]])</f>
        <v>0</v>
      </c>
      <c r="V380" s="194"/>
      <c r="W380" s="175">
        <f>ROUND(Data_Dep.12[[#This Row],[T/G Khấu hao]]-Data_Dep.12[[#This Row],[Giá trị còn lại 31/12/25]]/Data_Dep.12[[#This Row],[Nguyên giá]]*Data_Dep.12[[#This Row],[T/G Khấu hao]],0)</f>
        <v>144</v>
      </c>
      <c r="X380" s="179"/>
      <c r="Y380" s="175">
        <f>Data_Dep.12[[#This Row],[T/G Khấu hao]]+Data_Dep.12[[#This Row],[Điều chỉnh]]</f>
        <v>144</v>
      </c>
      <c r="Z380" s="180">
        <f>EDATE(Data_Dep.12[[#This Row],[Ngày bắt đầu KH]],Data_Dep.12[[#This Row],[T/G điều chỉnh]])</f>
        <v>50526</v>
      </c>
      <c r="AA380" s="175">
        <f>Data_Dep.12[[#This Row],[T/G điều chỉnh]]-Data_Dep.12[[#This Row],[Số kỳ đã khấu hao]]</f>
        <v>0</v>
      </c>
      <c r="AB380" s="175">
        <f>IFERROR(-Data_Dep.12[[#This Row],[Giá trị còn lại 31/12/25]]/(Data_Dep.12[[#This Row],[T/G điều chỉnh]]-Data_Dep.12[[#This Row],[Số kỳ đã khấu hao]]),0)</f>
        <v>0</v>
      </c>
      <c r="AC380" s="181">
        <v>-92766556</v>
      </c>
      <c r="AD380" s="181">
        <v>-92766556</v>
      </c>
      <c r="AE380" s="181">
        <v>-92766556</v>
      </c>
      <c r="AF380" s="181">
        <v>-92766556</v>
      </c>
      <c r="AG380" s="181">
        <v>-92766556</v>
      </c>
      <c r="AH380" s="181">
        <v>-92766556</v>
      </c>
      <c r="AI380" s="181">
        <v>-92766556</v>
      </c>
      <c r="AJ380" s="181">
        <v>-92766556</v>
      </c>
      <c r="AK380" s="181">
        <v>-92766556</v>
      </c>
      <c r="AL380" s="181">
        <v>-92766556</v>
      </c>
      <c r="AM380" s="181">
        <v>-92766556</v>
      </c>
      <c r="AN380" s="181">
        <v>-92766556</v>
      </c>
      <c r="AO380" s="175">
        <f>SUM(Data_Dep.12[[#This Row],[KH_2601]:[KH_2612]])</f>
        <v>-1113198672</v>
      </c>
      <c r="AP380" s="198">
        <v>12245185328</v>
      </c>
    </row>
    <row r="381" spans="1:42" x14ac:dyDescent="0.3">
      <c r="A381" s="169"/>
      <c r="B381" s="169"/>
      <c r="C381" s="170" t="s">
        <v>350</v>
      </c>
      <c r="D381" s="169" t="str">
        <f>_xlfn.XLOOKUP(Data_Dep.12[[#This Row],[Nhóm tài sản]],MD_Account_Asset_Type[Nhóm tài sản],MD_Account_Asset_Type[Tên Nhóm tài sản])</f>
        <v>TSCĐ khác - SX 627</v>
      </c>
      <c r="E381" s="171" t="s">
        <v>1540</v>
      </c>
      <c r="F381" s="170" t="s">
        <v>1531</v>
      </c>
      <c r="G381" s="169" t="s">
        <v>830</v>
      </c>
      <c r="H381" s="170" t="s">
        <v>45</v>
      </c>
      <c r="I381" s="170" t="str">
        <f>_xlfn.XLOOKUP(Data_Dep.12[[#This Row],[Cost center]],MD_Cost_Center[Mã Cost Center],MD_Cost_Center[Tên Cost Center])</f>
        <v>Kỹ thuật</v>
      </c>
      <c r="J381" s="172">
        <f>_xlfn.XLOOKUP(Data_Dep.12[[#This Row],[Cost center]],MD_Cost_Center[Mã Cost Center],MD_Cost_Center[Work center],"Check")</f>
        <v>0</v>
      </c>
      <c r="K381" s="169" t="str">
        <f>_xlfn.XLOOKUP(Data_Dep.12[[#This Row],[Nhóm tài sản]],MD_Account_Asset_Type[Nhóm tài sản],MD_Account_Asset_Type[Tài khoản KH],"Check")</f>
        <v>6274001909</v>
      </c>
      <c r="L381" s="173">
        <v>46054</v>
      </c>
      <c r="M381" s="174">
        <f>EDATE(Data_Dep.12[[#This Row],[Ngày bắt đầu KH]],Data_Dep.12[[#This Row],[T/G Khấu hao]])</f>
        <v>50437</v>
      </c>
      <c r="N381" s="175">
        <v>144</v>
      </c>
      <c r="O381" s="175">
        <v>54374640000</v>
      </c>
      <c r="P381" s="184"/>
      <c r="Q381" s="183"/>
      <c r="R381" s="177"/>
      <c r="S381" s="177"/>
      <c r="T381" s="177"/>
      <c r="U381" s="177">
        <f>SUM(Data_Dep.12[[#This Row],[KH_2510]:[KH_2512]])</f>
        <v>0</v>
      </c>
      <c r="V381" s="194"/>
      <c r="W381" s="175">
        <f>ROUND(Data_Dep.12[[#This Row],[T/G Khấu hao]]-Data_Dep.12[[#This Row],[Giá trị còn lại 31/12/25]]/Data_Dep.12[[#This Row],[Nguyên giá]]*Data_Dep.12[[#This Row],[T/G Khấu hao]],0)</f>
        <v>144</v>
      </c>
      <c r="X381" s="179"/>
      <c r="Y381" s="175">
        <f>Data_Dep.12[[#This Row],[T/G Khấu hao]]+Data_Dep.12[[#This Row],[Điều chỉnh]]</f>
        <v>144</v>
      </c>
      <c r="Z381" s="180">
        <f>EDATE(Data_Dep.12[[#This Row],[Ngày bắt đầu KH]],Data_Dep.12[[#This Row],[T/G điều chỉnh]])</f>
        <v>50437</v>
      </c>
      <c r="AA381" s="175">
        <f>Data_Dep.12[[#This Row],[T/G điều chỉnh]]-Data_Dep.12[[#This Row],[Số kỳ đã khấu hao]]</f>
        <v>0</v>
      </c>
      <c r="AB381" s="175">
        <f>IFERROR(-Data_Dep.12[[#This Row],[Giá trị còn lại 31/12/25]]/(Data_Dep.12[[#This Row],[T/G điều chỉnh]]-Data_Dep.12[[#This Row],[Số kỳ đã khấu hao]]),0)</f>
        <v>0</v>
      </c>
      <c r="AC381" s="181"/>
      <c r="AD381" s="181">
        <v>-377601667</v>
      </c>
      <c r="AE381" s="181">
        <v>-377601667</v>
      </c>
      <c r="AF381" s="181">
        <v>-377601667</v>
      </c>
      <c r="AG381" s="181">
        <v>-377601667</v>
      </c>
      <c r="AH381" s="181">
        <v>-377601667</v>
      </c>
      <c r="AI381" s="181">
        <v>-377601667</v>
      </c>
      <c r="AJ381" s="181">
        <v>-377601667</v>
      </c>
      <c r="AK381" s="181">
        <v>-377601667</v>
      </c>
      <c r="AL381" s="181">
        <v>-377601667</v>
      </c>
      <c r="AM381" s="181">
        <v>-377601667</v>
      </c>
      <c r="AN381" s="181">
        <v>-377601667</v>
      </c>
      <c r="AO381" s="175">
        <f>SUM(Data_Dep.12[[#This Row],[KH_2601]:[KH_2612]])</f>
        <v>-4153618337</v>
      </c>
      <c r="AP381" s="198">
        <v>50221021663</v>
      </c>
    </row>
    <row r="382" spans="1:42" x14ac:dyDescent="0.3">
      <c r="A382" s="169"/>
      <c r="B382" s="169"/>
      <c r="C382" s="170" t="s">
        <v>338</v>
      </c>
      <c r="D382" s="169" t="str">
        <f>_xlfn.XLOOKUP(Data_Dep.12[[#This Row],[Nhóm tài sản]],MD_Account_Asset_Type[Nhóm tài sản],MD_Account_Asset_Type[Tên Nhóm tài sản])</f>
        <v>Máy móc, thiết bị - SX 627</v>
      </c>
      <c r="E382" s="171" t="s">
        <v>1541</v>
      </c>
      <c r="F382" s="170" t="s">
        <v>1559</v>
      </c>
      <c r="G382" s="169" t="s">
        <v>830</v>
      </c>
      <c r="H382" s="170" t="s">
        <v>61</v>
      </c>
      <c r="I382" s="170" t="str">
        <f>_xlfn.XLOOKUP(Data_Dep.12[[#This Row],[Cost center]],MD_Cost_Center[Mã Cost Center],MD_Cost_Center[Tên Cost Center])</f>
        <v>Chuyền băm chai PET</v>
      </c>
      <c r="J382" s="172" t="str">
        <f>_xlfn.XLOOKUP(Data_Dep.12[[#This Row],[Cost center]],MD_Cost_Center[Mã Cost Center],MD_Cost_Center[Work center],"Check")</f>
        <v>CHWO-B01</v>
      </c>
      <c r="K382" s="169" t="str">
        <f>_xlfn.XLOOKUP(Data_Dep.12[[#This Row],[Nhóm tài sản]],MD_Account_Asset_Type[Nhóm tài sản],MD_Account_Asset_Type[Tài khoản KH],"Check")</f>
        <v>6274001903</v>
      </c>
      <c r="L382" s="173">
        <v>46023</v>
      </c>
      <c r="M382" s="174">
        <f>EDATE(Data_Dep.12[[#This Row],[Ngày bắt đầu KH]],Data_Dep.12[[#This Row],[T/G Khấu hao]])</f>
        <v>50406</v>
      </c>
      <c r="N382" s="175">
        <v>144</v>
      </c>
      <c r="O382" s="175">
        <v>792000000</v>
      </c>
      <c r="P382" s="184"/>
      <c r="Q382" s="183"/>
      <c r="R382" s="177"/>
      <c r="S382" s="177"/>
      <c r="T382" s="177"/>
      <c r="U382" s="177">
        <f>SUM(Data_Dep.12[[#This Row],[KH_2510]:[KH_2512]])</f>
        <v>0</v>
      </c>
      <c r="V382" s="193">
        <f>Data_Dep.12[[#This Row],[Nguyên giá]]+Data_Dep.12[[#This Row],[KH lũy kế]]+Data_Dep.12[[#This Row],[KH_Q4.25]]</f>
        <v>792000000</v>
      </c>
      <c r="W382" s="175">
        <f>ROUND(Data_Dep.12[[#This Row],[T/G Khấu hao]]-Data_Dep.12[[#This Row],[Giá trị còn lại 31/12/25]]/Data_Dep.12[[#This Row],[Nguyên giá]]*Data_Dep.12[[#This Row],[T/G Khấu hao]],0)</f>
        <v>0</v>
      </c>
      <c r="X382" s="179"/>
      <c r="Y382" s="175">
        <f>Data_Dep.12[[#This Row],[T/G Khấu hao]]+Data_Dep.12[[#This Row],[Điều chỉnh]]</f>
        <v>144</v>
      </c>
      <c r="Z382" s="180">
        <f>EDATE(Data_Dep.12[[#This Row],[Ngày bắt đầu KH]],Data_Dep.12[[#This Row],[T/G điều chỉnh]])</f>
        <v>50406</v>
      </c>
      <c r="AA382" s="175">
        <f>Data_Dep.12[[#This Row],[T/G điều chỉnh]]-Data_Dep.12[[#This Row],[Số kỳ đã khấu hao]]</f>
        <v>144</v>
      </c>
      <c r="AB382" s="175">
        <f>IFERROR(-Data_Dep.12[[#This Row],[Giá trị còn lại 31/12/25]]/(Data_Dep.12[[#This Row],[T/G điều chỉnh]]-Data_Dep.12[[#This Row],[Số kỳ đã khấu hao]]),0)</f>
        <v>-5500000</v>
      </c>
      <c r="AC382" s="181">
        <v>-5500000</v>
      </c>
      <c r="AD382" s="181">
        <v>-5500000</v>
      </c>
      <c r="AE382" s="181">
        <v>-5500000</v>
      </c>
      <c r="AF382" s="181">
        <v>-5500000</v>
      </c>
      <c r="AG382" s="181">
        <v>-5500000</v>
      </c>
      <c r="AH382" s="181">
        <v>-5500000</v>
      </c>
      <c r="AI382" s="181">
        <v>-5500000</v>
      </c>
      <c r="AJ382" s="181">
        <v>-5500000</v>
      </c>
      <c r="AK382" s="181">
        <v>-5500000</v>
      </c>
      <c r="AL382" s="181">
        <v>-5500000</v>
      </c>
      <c r="AM382" s="181">
        <v>-5500000</v>
      </c>
      <c r="AN382" s="181">
        <v>-5500000</v>
      </c>
      <c r="AO382" s="175">
        <f>SUM(Data_Dep.12[[#This Row],[KH_2601]:[KH_2612]])</f>
        <v>-66000000</v>
      </c>
      <c r="AP382" s="175">
        <f>Data_Dep.12[[#This Row],[Giá trị còn lại 31/12/25]]+Data_Dep.12[[#This Row],[KH LK 2026]]</f>
        <v>726000000</v>
      </c>
    </row>
    <row r="383" spans="1:42" x14ac:dyDescent="0.3">
      <c r="A383" s="169"/>
      <c r="B383" s="169"/>
      <c r="C383" s="170" t="s">
        <v>338</v>
      </c>
      <c r="D383" s="169" t="str">
        <f>_xlfn.XLOOKUP(Data_Dep.12[[#This Row],[Nhóm tài sản]],MD_Account_Asset_Type[Nhóm tài sản],MD_Account_Asset_Type[Tên Nhóm tài sản])</f>
        <v>Máy móc, thiết bị - SX 627</v>
      </c>
      <c r="E383" s="171" t="s">
        <v>1542</v>
      </c>
      <c r="F383" s="170" t="s">
        <v>1560</v>
      </c>
      <c r="G383" s="169" t="s">
        <v>830</v>
      </c>
      <c r="H383" s="170" t="s">
        <v>70</v>
      </c>
      <c r="I383" s="170" t="str">
        <f>_xlfn.XLOOKUP(Data_Dep.12[[#This Row],[Cost center]],MD_Cost_Center[Mã Cost Center],MD_Cost_Center[Tên Cost Center])</f>
        <v>Chuyền băm chai PET số 3 (Boretech)</v>
      </c>
      <c r="J383" s="172" t="str">
        <f>_xlfn.XLOOKUP(Data_Dep.12[[#This Row],[Cost center]],MD_Cost_Center[Mã Cost Center],MD_Cost_Center[Work center],"Check")</f>
        <v>BORE-B01</v>
      </c>
      <c r="K383" s="169" t="str">
        <f>_xlfn.XLOOKUP(Data_Dep.12[[#This Row],[Nhóm tài sản]],MD_Account_Asset_Type[Nhóm tài sản],MD_Account_Asset_Type[Tài khoản KH],"Check")</f>
        <v>6274001903</v>
      </c>
      <c r="L383" s="173">
        <v>46023</v>
      </c>
      <c r="M383" s="174">
        <f>EDATE(Data_Dep.12[[#This Row],[Ngày bắt đầu KH]],Data_Dep.12[[#This Row],[T/G Khấu hao]])</f>
        <v>50406</v>
      </c>
      <c r="N383" s="175">
        <v>144</v>
      </c>
      <c r="O383" s="175">
        <v>792000000</v>
      </c>
      <c r="P383" s="184"/>
      <c r="Q383" s="183"/>
      <c r="R383" s="177"/>
      <c r="S383" s="177"/>
      <c r="T383" s="177"/>
      <c r="U383" s="177">
        <f>SUM(Data_Dep.12[[#This Row],[KH_2510]:[KH_2512]])</f>
        <v>0</v>
      </c>
      <c r="V383" s="193">
        <f>Data_Dep.12[[#This Row],[Nguyên giá]]+Data_Dep.12[[#This Row],[KH lũy kế]]+Data_Dep.12[[#This Row],[KH_Q4.25]]</f>
        <v>792000000</v>
      </c>
      <c r="W383" s="175">
        <f>ROUND(Data_Dep.12[[#This Row],[T/G Khấu hao]]-Data_Dep.12[[#This Row],[Giá trị còn lại 31/12/25]]/Data_Dep.12[[#This Row],[Nguyên giá]]*Data_Dep.12[[#This Row],[T/G Khấu hao]],0)</f>
        <v>0</v>
      </c>
      <c r="X383" s="179"/>
      <c r="Y383" s="175">
        <f>Data_Dep.12[[#This Row],[T/G Khấu hao]]+Data_Dep.12[[#This Row],[Điều chỉnh]]</f>
        <v>144</v>
      </c>
      <c r="Z383" s="180">
        <f>EDATE(Data_Dep.12[[#This Row],[Ngày bắt đầu KH]],Data_Dep.12[[#This Row],[T/G điều chỉnh]])</f>
        <v>50406</v>
      </c>
      <c r="AA383" s="175">
        <f>Data_Dep.12[[#This Row],[T/G điều chỉnh]]-Data_Dep.12[[#This Row],[Số kỳ đã khấu hao]]</f>
        <v>144</v>
      </c>
      <c r="AB383" s="175">
        <f>IFERROR(-Data_Dep.12[[#This Row],[Giá trị còn lại 31/12/25]]/(Data_Dep.12[[#This Row],[T/G điều chỉnh]]-Data_Dep.12[[#This Row],[Số kỳ đã khấu hao]]),0)</f>
        <v>-5500000</v>
      </c>
      <c r="AC383" s="181">
        <v>-5500000</v>
      </c>
      <c r="AD383" s="181">
        <v>-5500000</v>
      </c>
      <c r="AE383" s="181">
        <v>-5500000</v>
      </c>
      <c r="AF383" s="181">
        <v>-5500000</v>
      </c>
      <c r="AG383" s="181">
        <v>-5500000</v>
      </c>
      <c r="AH383" s="181">
        <v>-5500000</v>
      </c>
      <c r="AI383" s="181">
        <v>-5500000</v>
      </c>
      <c r="AJ383" s="181">
        <v>-5500000</v>
      </c>
      <c r="AK383" s="181">
        <v>-5500000</v>
      </c>
      <c r="AL383" s="181">
        <v>-5500000</v>
      </c>
      <c r="AM383" s="181">
        <v>-5500000</v>
      </c>
      <c r="AN383" s="181">
        <v>-5500000</v>
      </c>
      <c r="AO383" s="175">
        <f>SUM(Data_Dep.12[[#This Row],[KH_2601]:[KH_2612]])</f>
        <v>-66000000</v>
      </c>
      <c r="AP383" s="175">
        <f>Data_Dep.12[[#This Row],[Giá trị còn lại 31/12/25]]+Data_Dep.12[[#This Row],[KH LK 2026]]</f>
        <v>726000000</v>
      </c>
    </row>
    <row r="384" spans="1:42" x14ac:dyDescent="0.3">
      <c r="A384" s="169"/>
      <c r="B384" s="169"/>
      <c r="C384" s="170" t="s">
        <v>338</v>
      </c>
      <c r="D384" s="169" t="str">
        <f>_xlfn.XLOOKUP(Data_Dep.12[[#This Row],[Nhóm tài sản]],MD_Account_Asset_Type[Nhóm tài sản],MD_Account_Asset_Type[Tên Nhóm tài sản])</f>
        <v>Máy móc, thiết bị - SX 627</v>
      </c>
      <c r="E384" s="171" t="s">
        <v>1543</v>
      </c>
      <c r="F384" s="170" t="s">
        <v>1561</v>
      </c>
      <c r="G384" s="169" t="s">
        <v>830</v>
      </c>
      <c r="H384" s="170" t="s">
        <v>71</v>
      </c>
      <c r="I384" s="170" t="str">
        <f>_xlfn.XLOOKUP(Data_Dep.12[[#This Row],[Cost center]],MD_Cost_Center[Mã Cost Center],MD_Cost_Center[Tên Cost Center])</f>
        <v>Chuyền rửa vảy PET số 3 ( Boretech)</v>
      </c>
      <c r="J384" s="172" t="str">
        <f>_xlfn.XLOOKUP(Data_Dep.12[[#This Row],[Cost center]],MD_Cost_Center[Mã Cost Center],MD_Cost_Center[Work center],"Check")</f>
        <v>BORE-R01</v>
      </c>
      <c r="K384" s="169" t="str">
        <f>_xlfn.XLOOKUP(Data_Dep.12[[#This Row],[Nhóm tài sản]],MD_Account_Asset_Type[Nhóm tài sản],MD_Account_Asset_Type[Tài khoản KH],"Check")</f>
        <v>6274001903</v>
      </c>
      <c r="L384" s="173">
        <v>46023</v>
      </c>
      <c r="M384" s="174">
        <f>EDATE(Data_Dep.12[[#This Row],[Ngày bắt đầu KH]],Data_Dep.12[[#This Row],[T/G Khấu hao]])</f>
        <v>50406</v>
      </c>
      <c r="N384" s="175">
        <v>144</v>
      </c>
      <c r="O384" s="175">
        <v>792000000</v>
      </c>
      <c r="P384" s="184"/>
      <c r="Q384" s="183"/>
      <c r="R384" s="177"/>
      <c r="S384" s="177"/>
      <c r="T384" s="177"/>
      <c r="U384" s="177">
        <f>SUM(Data_Dep.12[[#This Row],[KH_2510]:[KH_2512]])</f>
        <v>0</v>
      </c>
      <c r="V384" s="193">
        <f>Data_Dep.12[[#This Row],[Nguyên giá]]+Data_Dep.12[[#This Row],[KH lũy kế]]+Data_Dep.12[[#This Row],[KH_Q4.25]]</f>
        <v>792000000</v>
      </c>
      <c r="W384" s="175">
        <f>ROUND(Data_Dep.12[[#This Row],[T/G Khấu hao]]-Data_Dep.12[[#This Row],[Giá trị còn lại 31/12/25]]/Data_Dep.12[[#This Row],[Nguyên giá]]*Data_Dep.12[[#This Row],[T/G Khấu hao]],0)</f>
        <v>0</v>
      </c>
      <c r="X384" s="179"/>
      <c r="Y384" s="175">
        <f>Data_Dep.12[[#This Row],[T/G Khấu hao]]+Data_Dep.12[[#This Row],[Điều chỉnh]]</f>
        <v>144</v>
      </c>
      <c r="Z384" s="180">
        <f>EDATE(Data_Dep.12[[#This Row],[Ngày bắt đầu KH]],Data_Dep.12[[#This Row],[T/G điều chỉnh]])</f>
        <v>50406</v>
      </c>
      <c r="AA384" s="175">
        <f>Data_Dep.12[[#This Row],[T/G điều chỉnh]]-Data_Dep.12[[#This Row],[Số kỳ đã khấu hao]]</f>
        <v>144</v>
      </c>
      <c r="AB384" s="175">
        <f>IFERROR(-Data_Dep.12[[#This Row],[Giá trị còn lại 31/12/25]]/(Data_Dep.12[[#This Row],[T/G điều chỉnh]]-Data_Dep.12[[#This Row],[Số kỳ đã khấu hao]]),0)</f>
        <v>-5500000</v>
      </c>
      <c r="AC384" s="181">
        <v>-5500000</v>
      </c>
      <c r="AD384" s="181">
        <v>-5500000</v>
      </c>
      <c r="AE384" s="181">
        <v>-5500000</v>
      </c>
      <c r="AF384" s="181">
        <v>-5500000</v>
      </c>
      <c r="AG384" s="181">
        <v>-5500000</v>
      </c>
      <c r="AH384" s="181">
        <v>-5500000</v>
      </c>
      <c r="AI384" s="181">
        <v>-5500000</v>
      </c>
      <c r="AJ384" s="181">
        <v>-5500000</v>
      </c>
      <c r="AK384" s="181">
        <v>-5500000</v>
      </c>
      <c r="AL384" s="181">
        <v>-5500000</v>
      </c>
      <c r="AM384" s="181">
        <v>-5500000</v>
      </c>
      <c r="AN384" s="181">
        <v>-5500000</v>
      </c>
      <c r="AO384" s="175">
        <f>SUM(Data_Dep.12[[#This Row],[KH_2601]:[KH_2612]])</f>
        <v>-66000000</v>
      </c>
      <c r="AP384" s="175">
        <f>Data_Dep.12[[#This Row],[Giá trị còn lại 31/12/25]]+Data_Dep.12[[#This Row],[KH LK 2026]]</f>
        <v>726000000</v>
      </c>
    </row>
    <row r="385" spans="1:42" x14ac:dyDescent="0.3">
      <c r="A385" s="169"/>
      <c r="B385" s="169"/>
      <c r="C385" s="170" t="s">
        <v>338</v>
      </c>
      <c r="D385" s="169" t="str">
        <f>_xlfn.XLOOKUP(Data_Dep.12[[#This Row],[Nhóm tài sản]],MD_Account_Asset_Type[Nhóm tài sản],MD_Account_Asset_Type[Tên Nhóm tài sản])</f>
        <v>Máy móc, thiết bị - SX 627</v>
      </c>
      <c r="E385" s="171" t="s">
        <v>1544</v>
      </c>
      <c r="F385" s="170" t="s">
        <v>1554</v>
      </c>
      <c r="G385" s="169" t="s">
        <v>830</v>
      </c>
      <c r="H385" s="170" t="s">
        <v>54</v>
      </c>
      <c r="I385" s="170" t="str">
        <f>_xlfn.XLOOKUP(Data_Dep.12[[#This Row],[Cost center]],MD_Cost_Center[Mã Cost Center],MD_Cost_Center[Tên Cost Center])</f>
        <v>Máy tạo hạt PET Starlinger</v>
      </c>
      <c r="J385" s="172" t="str">
        <f>_xlfn.XLOOKUP(Data_Dep.12[[#This Row],[Cost center]],MD_Cost_Center[Mã Cost Center],MD_Cost_Center[Work center],"Check")</f>
        <v>STAR-01</v>
      </c>
      <c r="K385" s="169" t="str">
        <f>_xlfn.XLOOKUP(Data_Dep.12[[#This Row],[Nhóm tài sản]],MD_Account_Asset_Type[Nhóm tài sản],MD_Account_Asset_Type[Tài khoản KH],"Check")</f>
        <v>6274001903</v>
      </c>
      <c r="L385" s="173">
        <v>45992</v>
      </c>
      <c r="M385" s="174">
        <f>EDATE(Data_Dep.12[[#This Row],[Ngày bắt đầu KH]],Data_Dep.12[[#This Row],[T/G Khấu hao]])</f>
        <v>50375</v>
      </c>
      <c r="N385" s="175">
        <v>144</v>
      </c>
      <c r="O385" s="175">
        <v>651133333</v>
      </c>
      <c r="P385" s="175"/>
      <c r="Q385" s="183"/>
      <c r="R385" s="177"/>
      <c r="S385" s="177"/>
      <c r="T385" s="177">
        <v>-4521759</v>
      </c>
      <c r="U385" s="177">
        <f>SUM(Data_Dep.12[[#This Row],[KH_2510]:[KH_2512]])</f>
        <v>-4521759</v>
      </c>
      <c r="V385" s="193">
        <f>Data_Dep.12[[#This Row],[Nguyên giá]]+Data_Dep.12[[#This Row],[KH lũy kế]]+Data_Dep.12[[#This Row],[KH_Q4.25]]</f>
        <v>646611574</v>
      </c>
      <c r="W385" s="175">
        <f>ROUND(Data_Dep.12[[#This Row],[T/G Khấu hao]]-Data_Dep.12[[#This Row],[Giá trị còn lại 31/12/25]]/Data_Dep.12[[#This Row],[Nguyên giá]]*Data_Dep.12[[#This Row],[T/G Khấu hao]],0)</f>
        <v>1</v>
      </c>
      <c r="X385" s="179"/>
      <c r="Y385" s="175">
        <f>Data_Dep.12[[#This Row],[T/G Khấu hao]]+Data_Dep.12[[#This Row],[Điều chỉnh]]</f>
        <v>144</v>
      </c>
      <c r="Z385" s="180">
        <f>EDATE(Data_Dep.12[[#This Row],[Ngày bắt đầu KH]],Data_Dep.12[[#This Row],[T/G điều chỉnh]])</f>
        <v>50375</v>
      </c>
      <c r="AA385" s="175">
        <f>Data_Dep.12[[#This Row],[T/G điều chỉnh]]-Data_Dep.12[[#This Row],[Số kỳ đã khấu hao]]</f>
        <v>143</v>
      </c>
      <c r="AB385" s="175">
        <f>IFERROR(-Data_Dep.12[[#This Row],[Giá trị còn lại 31/12/25]]/(Data_Dep.12[[#This Row],[T/G điều chỉnh]]-Data_Dep.12[[#This Row],[Số kỳ đã khấu hao]]),0)</f>
        <v>-4521759.2587412586</v>
      </c>
      <c r="AC385" s="181">
        <v>-4521759</v>
      </c>
      <c r="AD385" s="181">
        <v>-4521759</v>
      </c>
      <c r="AE385" s="181">
        <v>-4521759</v>
      </c>
      <c r="AF385" s="181">
        <v>-4521759</v>
      </c>
      <c r="AG385" s="181">
        <v>-4521759</v>
      </c>
      <c r="AH385" s="181">
        <v>-4521759</v>
      </c>
      <c r="AI385" s="181">
        <v>-4521759</v>
      </c>
      <c r="AJ385" s="181">
        <v>-4521759</v>
      </c>
      <c r="AK385" s="181">
        <v>-4521759</v>
      </c>
      <c r="AL385" s="181">
        <v>-4521759</v>
      </c>
      <c r="AM385" s="181">
        <v>-4521759</v>
      </c>
      <c r="AN385" s="181">
        <v>-4521759</v>
      </c>
      <c r="AO385" s="175">
        <f>SUM(Data_Dep.12[[#This Row],[KH_2601]:[KH_2612]])</f>
        <v>-54261108</v>
      </c>
      <c r="AP385" s="175">
        <f>Data_Dep.12[[#This Row],[Giá trị còn lại 31/12/25]]+Data_Dep.12[[#This Row],[KH LK 2026]]</f>
        <v>592350466</v>
      </c>
    </row>
    <row r="386" spans="1:42" x14ac:dyDescent="0.3">
      <c r="A386" s="169"/>
      <c r="B386" s="169"/>
      <c r="C386" s="170" t="s">
        <v>338</v>
      </c>
      <c r="D386" s="169" t="str">
        <f>_xlfn.XLOOKUP(Data_Dep.12[[#This Row],[Nhóm tài sản]],MD_Account_Asset_Type[Nhóm tài sản],MD_Account_Asset_Type[Tên Nhóm tài sản])</f>
        <v>Máy móc, thiết bị - SX 627</v>
      </c>
      <c r="E386" s="171" t="s">
        <v>1545</v>
      </c>
      <c r="F386" s="170" t="s">
        <v>1555</v>
      </c>
      <c r="G386" s="169" t="s">
        <v>830</v>
      </c>
      <c r="H386" s="170" t="s">
        <v>62</v>
      </c>
      <c r="I386" s="170" t="str">
        <f>_xlfn.XLOOKUP(Data_Dep.12[[#This Row],[Cost center]],MD_Cost_Center[Mã Cost Center],MD_Cost_Center[Tên Cost Center])</f>
        <v>Máy tạo hạt PET 03 Starlinger 2</v>
      </c>
      <c r="J386" s="172" t="str">
        <f>_xlfn.XLOOKUP(Data_Dep.12[[#This Row],[Cost center]],MD_Cost_Center[Mã Cost Center],MD_Cost_Center[Work center],"Check")</f>
        <v>STAR-02</v>
      </c>
      <c r="K386" s="169" t="str">
        <f>_xlfn.XLOOKUP(Data_Dep.12[[#This Row],[Nhóm tài sản]],MD_Account_Asset_Type[Nhóm tài sản],MD_Account_Asset_Type[Tài khoản KH],"Check")</f>
        <v>6274001903</v>
      </c>
      <c r="L386" s="173">
        <v>45992</v>
      </c>
      <c r="M386" s="174">
        <f>EDATE(Data_Dep.12[[#This Row],[Ngày bắt đầu KH]],Data_Dep.12[[#This Row],[T/G Khấu hao]])</f>
        <v>50375</v>
      </c>
      <c r="N386" s="175">
        <v>144</v>
      </c>
      <c r="O386" s="175">
        <v>651133333</v>
      </c>
      <c r="P386" s="175"/>
      <c r="Q386" s="183"/>
      <c r="R386" s="177"/>
      <c r="S386" s="177"/>
      <c r="T386" s="177">
        <v>-4521759</v>
      </c>
      <c r="U386" s="177">
        <f>SUM(Data_Dep.12[[#This Row],[KH_2510]:[KH_2512]])</f>
        <v>-4521759</v>
      </c>
      <c r="V386" s="193">
        <f>Data_Dep.12[[#This Row],[Nguyên giá]]+Data_Dep.12[[#This Row],[KH lũy kế]]+Data_Dep.12[[#This Row],[KH_Q4.25]]</f>
        <v>646611574</v>
      </c>
      <c r="W386" s="175">
        <f>ROUND(Data_Dep.12[[#This Row],[T/G Khấu hao]]-Data_Dep.12[[#This Row],[Giá trị còn lại 31/12/25]]/Data_Dep.12[[#This Row],[Nguyên giá]]*Data_Dep.12[[#This Row],[T/G Khấu hao]],0)</f>
        <v>1</v>
      </c>
      <c r="X386" s="179"/>
      <c r="Y386" s="175">
        <f>Data_Dep.12[[#This Row],[T/G Khấu hao]]+Data_Dep.12[[#This Row],[Điều chỉnh]]</f>
        <v>144</v>
      </c>
      <c r="Z386" s="180">
        <f>EDATE(Data_Dep.12[[#This Row],[Ngày bắt đầu KH]],Data_Dep.12[[#This Row],[T/G điều chỉnh]])</f>
        <v>50375</v>
      </c>
      <c r="AA386" s="175">
        <f>Data_Dep.12[[#This Row],[T/G điều chỉnh]]-Data_Dep.12[[#This Row],[Số kỳ đã khấu hao]]</f>
        <v>143</v>
      </c>
      <c r="AB386" s="175">
        <f>IFERROR(-Data_Dep.12[[#This Row],[Giá trị còn lại 31/12/25]]/(Data_Dep.12[[#This Row],[T/G điều chỉnh]]-Data_Dep.12[[#This Row],[Số kỳ đã khấu hao]]),0)</f>
        <v>-4521759.2587412586</v>
      </c>
      <c r="AC386" s="181">
        <v>-4521759</v>
      </c>
      <c r="AD386" s="181">
        <v>-4521759</v>
      </c>
      <c r="AE386" s="181">
        <v>-4521759</v>
      </c>
      <c r="AF386" s="181">
        <v>-4521759</v>
      </c>
      <c r="AG386" s="181">
        <v>-4521759</v>
      </c>
      <c r="AH386" s="181">
        <v>-4521759</v>
      </c>
      <c r="AI386" s="181">
        <v>-4521759</v>
      </c>
      <c r="AJ386" s="181">
        <v>-4521759</v>
      </c>
      <c r="AK386" s="181">
        <v>-4521759</v>
      </c>
      <c r="AL386" s="181">
        <v>-4521759</v>
      </c>
      <c r="AM386" s="181">
        <v>-4521759</v>
      </c>
      <c r="AN386" s="181">
        <v>-4521759</v>
      </c>
      <c r="AO386" s="175">
        <f>SUM(Data_Dep.12[[#This Row],[KH_2601]:[KH_2612]])</f>
        <v>-54261108</v>
      </c>
      <c r="AP386" s="175">
        <f>Data_Dep.12[[#This Row],[Giá trị còn lại 31/12/25]]+Data_Dep.12[[#This Row],[KH LK 2026]]</f>
        <v>592350466</v>
      </c>
    </row>
    <row r="387" spans="1:42" x14ac:dyDescent="0.3">
      <c r="A387" s="169"/>
      <c r="B387" s="169"/>
      <c r="C387" s="170" t="s">
        <v>338</v>
      </c>
      <c r="D387" s="169" t="str">
        <f>_xlfn.XLOOKUP(Data_Dep.12[[#This Row],[Nhóm tài sản]],MD_Account_Asset_Type[Nhóm tài sản],MD_Account_Asset_Type[Tên Nhóm tài sản])</f>
        <v>Máy móc, thiết bị - SX 627</v>
      </c>
      <c r="E387" s="171" t="s">
        <v>1546</v>
      </c>
      <c r="F387" s="170" t="s">
        <v>1556</v>
      </c>
      <c r="G387" s="169" t="s">
        <v>830</v>
      </c>
      <c r="H387" s="170" t="s">
        <v>79</v>
      </c>
      <c r="I387" s="170" t="str">
        <f>_xlfn.XLOOKUP(Data_Dep.12[[#This Row],[Cost center]],MD_Cost_Center[Mã Cost Center],MD_Cost_Center[Tên Cost Center])</f>
        <v>Chuyền tạo hạt rPET starlinger 330</v>
      </c>
      <c r="J387" s="172" t="str">
        <f>_xlfn.XLOOKUP(Data_Dep.12[[#This Row],[Cost center]],MD_Cost_Center[Mã Cost Center],MD_Cost_Center[Work center],"Check")</f>
        <v>STAR-03</v>
      </c>
      <c r="K387" s="169" t="str">
        <f>_xlfn.XLOOKUP(Data_Dep.12[[#This Row],[Nhóm tài sản]],MD_Account_Asset_Type[Nhóm tài sản],MD_Account_Asset_Type[Tài khoản KH],"Check")</f>
        <v>6274001903</v>
      </c>
      <c r="L387" s="173">
        <v>45992</v>
      </c>
      <c r="M387" s="174">
        <f>EDATE(Data_Dep.12[[#This Row],[Ngày bắt đầu KH]],Data_Dep.12[[#This Row],[T/G Khấu hao]])</f>
        <v>50375</v>
      </c>
      <c r="N387" s="175">
        <v>144</v>
      </c>
      <c r="O387" s="175">
        <v>651133334</v>
      </c>
      <c r="P387" s="175"/>
      <c r="Q387" s="183"/>
      <c r="R387" s="177"/>
      <c r="S387" s="177"/>
      <c r="T387" s="177">
        <v>-4521759</v>
      </c>
      <c r="U387" s="177">
        <f>SUM(Data_Dep.12[[#This Row],[KH_2510]:[KH_2512]])</f>
        <v>-4521759</v>
      </c>
      <c r="V387" s="193">
        <f>Data_Dep.12[[#This Row],[Nguyên giá]]+Data_Dep.12[[#This Row],[KH lũy kế]]+Data_Dep.12[[#This Row],[KH_Q4.25]]</f>
        <v>646611575</v>
      </c>
      <c r="W387" s="175">
        <f>ROUND(Data_Dep.12[[#This Row],[T/G Khấu hao]]-Data_Dep.12[[#This Row],[Giá trị còn lại 31/12/25]]/Data_Dep.12[[#This Row],[Nguyên giá]]*Data_Dep.12[[#This Row],[T/G Khấu hao]],0)</f>
        <v>1</v>
      </c>
      <c r="X387" s="179"/>
      <c r="Y387" s="175">
        <f>Data_Dep.12[[#This Row],[T/G Khấu hao]]+Data_Dep.12[[#This Row],[Điều chỉnh]]</f>
        <v>144</v>
      </c>
      <c r="Z387" s="180">
        <f>EDATE(Data_Dep.12[[#This Row],[Ngày bắt đầu KH]],Data_Dep.12[[#This Row],[T/G điều chỉnh]])</f>
        <v>50375</v>
      </c>
      <c r="AA387" s="175">
        <f>Data_Dep.12[[#This Row],[T/G điều chỉnh]]-Data_Dep.12[[#This Row],[Số kỳ đã khấu hao]]</f>
        <v>143</v>
      </c>
      <c r="AB387" s="175">
        <f>IFERROR(-Data_Dep.12[[#This Row],[Giá trị còn lại 31/12/25]]/(Data_Dep.12[[#This Row],[T/G điều chỉnh]]-Data_Dep.12[[#This Row],[Số kỳ đã khấu hao]]),0)</f>
        <v>-4521759.2657342656</v>
      </c>
      <c r="AC387" s="181">
        <v>-4521759</v>
      </c>
      <c r="AD387" s="181">
        <v>-4521759</v>
      </c>
      <c r="AE387" s="181">
        <v>-4521759</v>
      </c>
      <c r="AF387" s="181">
        <v>-4521759</v>
      </c>
      <c r="AG387" s="181">
        <v>-4521759</v>
      </c>
      <c r="AH387" s="181">
        <v>-4521759</v>
      </c>
      <c r="AI387" s="181">
        <v>-4521759</v>
      </c>
      <c r="AJ387" s="181">
        <v>-4521759</v>
      </c>
      <c r="AK387" s="181">
        <v>-4521759</v>
      </c>
      <c r="AL387" s="181">
        <v>-4521759</v>
      </c>
      <c r="AM387" s="181">
        <v>-4521759</v>
      </c>
      <c r="AN387" s="181">
        <v>-4521759</v>
      </c>
      <c r="AO387" s="175">
        <f>SUM(Data_Dep.12[[#This Row],[KH_2601]:[KH_2612]])</f>
        <v>-54261108</v>
      </c>
      <c r="AP387" s="175">
        <f>Data_Dep.12[[#This Row],[Giá trị còn lại 31/12/25]]+Data_Dep.12[[#This Row],[KH LK 2026]]</f>
        <v>592350467</v>
      </c>
    </row>
    <row r="388" spans="1:42" x14ac:dyDescent="0.3">
      <c r="A388" s="169"/>
      <c r="B388" s="169"/>
      <c r="C388" s="170" t="s">
        <v>338</v>
      </c>
      <c r="D388" s="169" t="str">
        <f>_xlfn.XLOOKUP(Data_Dep.12[[#This Row],[Nhóm tài sản]],MD_Account_Asset_Type[Nhóm tài sản],MD_Account_Asset_Type[Tên Nhóm tài sản])</f>
        <v>Máy móc, thiết bị - SX 627</v>
      </c>
      <c r="E388" s="171" t="s">
        <v>1547</v>
      </c>
      <c r="F388" s="170" t="s">
        <v>1532</v>
      </c>
      <c r="G388" s="169" t="s">
        <v>830</v>
      </c>
      <c r="H388" s="170" t="s">
        <v>61</v>
      </c>
      <c r="I388" s="170" t="str">
        <f>_xlfn.XLOOKUP(Data_Dep.12[[#This Row],[Cost center]],MD_Cost_Center[Mã Cost Center],MD_Cost_Center[Tên Cost Center])</f>
        <v>Chuyền băm chai PET</v>
      </c>
      <c r="J388" s="172" t="str">
        <f>_xlfn.XLOOKUP(Data_Dep.12[[#This Row],[Cost center]],MD_Cost_Center[Mã Cost Center],MD_Cost_Center[Work center],"Check")</f>
        <v>CHWO-B01</v>
      </c>
      <c r="K388" s="169" t="str">
        <f>_xlfn.XLOOKUP(Data_Dep.12[[#This Row],[Nhóm tài sản]],MD_Account_Asset_Type[Nhóm tài sản],MD_Account_Asset_Type[Tài khoản KH],"Check")</f>
        <v>6274001903</v>
      </c>
      <c r="L388" s="173">
        <v>45992</v>
      </c>
      <c r="M388" s="174">
        <f>EDATE(Data_Dep.12[[#This Row],[Ngày bắt đầu KH]],Data_Dep.12[[#This Row],[T/G Khấu hao]])</f>
        <v>50375</v>
      </c>
      <c r="N388" s="175">
        <v>144</v>
      </c>
      <c r="O388" s="175">
        <v>1008000000</v>
      </c>
      <c r="P388" s="175"/>
      <c r="Q388" s="183"/>
      <c r="R388" s="177"/>
      <c r="S388" s="177"/>
      <c r="T388" s="177">
        <v>-7000000</v>
      </c>
      <c r="U388" s="177">
        <f>SUM(Data_Dep.12[[#This Row],[KH_2510]:[KH_2512]])</f>
        <v>-7000000</v>
      </c>
      <c r="V388" s="193">
        <f>Data_Dep.12[[#This Row],[Nguyên giá]]+Data_Dep.12[[#This Row],[KH lũy kế]]+Data_Dep.12[[#This Row],[KH_Q4.25]]</f>
        <v>1001000000</v>
      </c>
      <c r="W388" s="175">
        <f>ROUND(Data_Dep.12[[#This Row],[T/G Khấu hao]]-Data_Dep.12[[#This Row],[Giá trị còn lại 31/12/25]]/Data_Dep.12[[#This Row],[Nguyên giá]]*Data_Dep.12[[#This Row],[T/G Khấu hao]],0)</f>
        <v>1</v>
      </c>
      <c r="X388" s="179"/>
      <c r="Y388" s="175">
        <f>Data_Dep.12[[#This Row],[T/G Khấu hao]]+Data_Dep.12[[#This Row],[Điều chỉnh]]</f>
        <v>144</v>
      </c>
      <c r="Z388" s="180">
        <f>EDATE(Data_Dep.12[[#This Row],[Ngày bắt đầu KH]],Data_Dep.12[[#This Row],[T/G điều chỉnh]])</f>
        <v>50375</v>
      </c>
      <c r="AA388" s="175">
        <f>Data_Dep.12[[#This Row],[T/G điều chỉnh]]-Data_Dep.12[[#This Row],[Số kỳ đã khấu hao]]</f>
        <v>143</v>
      </c>
      <c r="AB388" s="175">
        <f>IFERROR(-Data_Dep.12[[#This Row],[Giá trị còn lại 31/12/25]]/(Data_Dep.12[[#This Row],[T/G điều chỉnh]]-Data_Dep.12[[#This Row],[Số kỳ đã khấu hao]]),0)</f>
        <v>-7000000</v>
      </c>
      <c r="AC388" s="181">
        <v>-7000000</v>
      </c>
      <c r="AD388" s="181">
        <v>-7000000</v>
      </c>
      <c r="AE388" s="181">
        <v>-7000000</v>
      </c>
      <c r="AF388" s="181">
        <v>-7000000</v>
      </c>
      <c r="AG388" s="181">
        <v>-7000000</v>
      </c>
      <c r="AH388" s="181">
        <v>-7000000</v>
      </c>
      <c r="AI388" s="181">
        <v>-7000000</v>
      </c>
      <c r="AJ388" s="181">
        <v>-7000000</v>
      </c>
      <c r="AK388" s="181">
        <v>-7000000</v>
      </c>
      <c r="AL388" s="181">
        <v>-7000000</v>
      </c>
      <c r="AM388" s="181">
        <v>-7000000</v>
      </c>
      <c r="AN388" s="181">
        <v>-7000000</v>
      </c>
      <c r="AO388" s="175">
        <f>SUM(Data_Dep.12[[#This Row],[KH_2601]:[KH_2612]])</f>
        <v>-84000000</v>
      </c>
      <c r="AP388" s="175">
        <f>Data_Dep.12[[#This Row],[Giá trị còn lại 31/12/25]]+Data_Dep.12[[#This Row],[KH LK 2026]]</f>
        <v>917000000</v>
      </c>
    </row>
    <row r="389" spans="1:42" x14ac:dyDescent="0.3">
      <c r="A389" s="169"/>
      <c r="B389" s="169"/>
      <c r="C389" s="170" t="s">
        <v>338</v>
      </c>
      <c r="D389" s="169" t="str">
        <f>_xlfn.XLOOKUP(Data_Dep.12[[#This Row],[Nhóm tài sản]],MD_Account_Asset_Type[Nhóm tài sản],MD_Account_Asset_Type[Tên Nhóm tài sản])</f>
        <v>Máy móc, thiết bị - SX 627</v>
      </c>
      <c r="E389" s="171" t="s">
        <v>1548</v>
      </c>
      <c r="F389" s="170" t="s">
        <v>1533</v>
      </c>
      <c r="G389" s="169" t="s">
        <v>830</v>
      </c>
      <c r="H389" s="170" t="s">
        <v>70</v>
      </c>
      <c r="I389" s="170" t="str">
        <f>_xlfn.XLOOKUP(Data_Dep.12[[#This Row],[Cost center]],MD_Cost_Center[Mã Cost Center],MD_Cost_Center[Tên Cost Center])</f>
        <v>Chuyền băm chai PET số 3 (Boretech)</v>
      </c>
      <c r="J389" s="172" t="str">
        <f>_xlfn.XLOOKUP(Data_Dep.12[[#This Row],[Cost center]],MD_Cost_Center[Mã Cost Center],MD_Cost_Center[Work center],"Check")</f>
        <v>BORE-B01</v>
      </c>
      <c r="K389" s="169" t="str">
        <f>_xlfn.XLOOKUP(Data_Dep.12[[#This Row],[Nhóm tài sản]],MD_Account_Asset_Type[Nhóm tài sản],MD_Account_Asset_Type[Tài khoản KH],"Check")</f>
        <v>6274001903</v>
      </c>
      <c r="L389" s="173">
        <v>45992</v>
      </c>
      <c r="M389" s="174">
        <f>EDATE(Data_Dep.12[[#This Row],[Ngày bắt đầu KH]],Data_Dep.12[[#This Row],[T/G Khấu hao]])</f>
        <v>50375</v>
      </c>
      <c r="N389" s="175">
        <v>144</v>
      </c>
      <c r="O389" s="175">
        <v>1008000000</v>
      </c>
      <c r="P389" s="175"/>
      <c r="Q389" s="183"/>
      <c r="R389" s="177"/>
      <c r="S389" s="177"/>
      <c r="T389" s="177">
        <v>-7000000</v>
      </c>
      <c r="U389" s="177">
        <f>SUM(Data_Dep.12[[#This Row],[KH_2510]:[KH_2512]])</f>
        <v>-7000000</v>
      </c>
      <c r="V389" s="193">
        <f>Data_Dep.12[[#This Row],[Nguyên giá]]+Data_Dep.12[[#This Row],[KH lũy kế]]+Data_Dep.12[[#This Row],[KH_Q4.25]]</f>
        <v>1001000000</v>
      </c>
      <c r="W389" s="175">
        <f>ROUND(Data_Dep.12[[#This Row],[T/G Khấu hao]]-Data_Dep.12[[#This Row],[Giá trị còn lại 31/12/25]]/Data_Dep.12[[#This Row],[Nguyên giá]]*Data_Dep.12[[#This Row],[T/G Khấu hao]],0)</f>
        <v>1</v>
      </c>
      <c r="X389" s="179"/>
      <c r="Y389" s="175">
        <f>Data_Dep.12[[#This Row],[T/G Khấu hao]]+Data_Dep.12[[#This Row],[Điều chỉnh]]</f>
        <v>144</v>
      </c>
      <c r="Z389" s="180">
        <f>EDATE(Data_Dep.12[[#This Row],[Ngày bắt đầu KH]],Data_Dep.12[[#This Row],[T/G điều chỉnh]])</f>
        <v>50375</v>
      </c>
      <c r="AA389" s="175">
        <f>Data_Dep.12[[#This Row],[T/G điều chỉnh]]-Data_Dep.12[[#This Row],[Số kỳ đã khấu hao]]</f>
        <v>143</v>
      </c>
      <c r="AB389" s="175">
        <f>IFERROR(-Data_Dep.12[[#This Row],[Giá trị còn lại 31/12/25]]/(Data_Dep.12[[#This Row],[T/G điều chỉnh]]-Data_Dep.12[[#This Row],[Số kỳ đã khấu hao]]),0)</f>
        <v>-7000000</v>
      </c>
      <c r="AC389" s="181">
        <v>-7000000</v>
      </c>
      <c r="AD389" s="181">
        <v>-7000000</v>
      </c>
      <c r="AE389" s="181">
        <v>-7000000</v>
      </c>
      <c r="AF389" s="181">
        <v>-7000000</v>
      </c>
      <c r="AG389" s="181">
        <v>-7000000</v>
      </c>
      <c r="AH389" s="181">
        <v>-7000000</v>
      </c>
      <c r="AI389" s="181">
        <v>-7000000</v>
      </c>
      <c r="AJ389" s="181">
        <v>-7000000</v>
      </c>
      <c r="AK389" s="181">
        <v>-7000000</v>
      </c>
      <c r="AL389" s="181">
        <v>-7000000</v>
      </c>
      <c r="AM389" s="181">
        <v>-7000000</v>
      </c>
      <c r="AN389" s="181">
        <v>-7000000</v>
      </c>
      <c r="AO389" s="175">
        <f>SUM(Data_Dep.12[[#This Row],[KH_2601]:[KH_2612]])</f>
        <v>-84000000</v>
      </c>
      <c r="AP389" s="175">
        <f>Data_Dep.12[[#This Row],[Giá trị còn lại 31/12/25]]+Data_Dep.12[[#This Row],[KH LK 2026]]</f>
        <v>917000000</v>
      </c>
    </row>
    <row r="390" spans="1:42" x14ac:dyDescent="0.3">
      <c r="A390" s="169"/>
      <c r="B390" s="169"/>
      <c r="C390" s="170" t="s">
        <v>338</v>
      </c>
      <c r="D390" s="169" t="str">
        <f>_xlfn.XLOOKUP(Data_Dep.12[[#This Row],[Nhóm tài sản]],MD_Account_Asset_Type[Nhóm tài sản],MD_Account_Asset_Type[Tên Nhóm tài sản])</f>
        <v>Máy móc, thiết bị - SX 627</v>
      </c>
      <c r="E390" s="171" t="s">
        <v>1549</v>
      </c>
      <c r="F390" s="170" t="s">
        <v>1534</v>
      </c>
      <c r="G390" s="169" t="s">
        <v>830</v>
      </c>
      <c r="H390" s="170" t="s">
        <v>54</v>
      </c>
      <c r="I390" s="170" t="str">
        <f>_xlfn.XLOOKUP(Data_Dep.12[[#This Row],[Cost center]],MD_Cost_Center[Mã Cost Center],MD_Cost_Center[Tên Cost Center])</f>
        <v>Máy tạo hạt PET Starlinger</v>
      </c>
      <c r="J390" s="172" t="str">
        <f>_xlfn.XLOOKUP(Data_Dep.12[[#This Row],[Cost center]],MD_Cost_Center[Mã Cost Center],MD_Cost_Center[Work center],"Check")</f>
        <v>STAR-01</v>
      </c>
      <c r="K390" s="169" t="str">
        <f>_xlfn.XLOOKUP(Data_Dep.12[[#This Row],[Nhóm tài sản]],MD_Account_Asset_Type[Nhóm tài sản],MD_Account_Asset_Type[Tài khoản KH],"Check")</f>
        <v>6274001903</v>
      </c>
      <c r="L390" s="173">
        <v>46023</v>
      </c>
      <c r="M390" s="174">
        <f>EDATE(Data_Dep.12[[#This Row],[Ngày bắt đầu KH]],Data_Dep.12[[#This Row],[T/G Khấu hao]])</f>
        <v>50406</v>
      </c>
      <c r="N390" s="175">
        <v>144</v>
      </c>
      <c r="O390" s="175">
        <v>1828961333.3333333</v>
      </c>
      <c r="P390" s="184"/>
      <c r="Q390" s="183"/>
      <c r="R390" s="177"/>
      <c r="S390" s="177"/>
      <c r="T390" s="177"/>
      <c r="U390" s="177">
        <f>SUM(Data_Dep.12[[#This Row],[KH_2510]:[KH_2512]])</f>
        <v>0</v>
      </c>
      <c r="V390" s="193">
        <f>Data_Dep.12[[#This Row],[Nguyên giá]]+Data_Dep.12[[#This Row],[KH lũy kế]]+Data_Dep.12[[#This Row],[KH_Q4.25]]</f>
        <v>1828961333.3333333</v>
      </c>
      <c r="W390" s="175">
        <f>ROUND(Data_Dep.12[[#This Row],[T/G Khấu hao]]-Data_Dep.12[[#This Row],[Giá trị còn lại 31/12/25]]/Data_Dep.12[[#This Row],[Nguyên giá]]*Data_Dep.12[[#This Row],[T/G Khấu hao]],0)</f>
        <v>0</v>
      </c>
      <c r="X390" s="179"/>
      <c r="Y390" s="175">
        <f>Data_Dep.12[[#This Row],[T/G Khấu hao]]+Data_Dep.12[[#This Row],[Điều chỉnh]]</f>
        <v>144</v>
      </c>
      <c r="Z390" s="180">
        <f>EDATE(Data_Dep.12[[#This Row],[Ngày bắt đầu KH]],Data_Dep.12[[#This Row],[T/G điều chỉnh]])</f>
        <v>50406</v>
      </c>
      <c r="AA390" s="175">
        <f>Data_Dep.12[[#This Row],[T/G điều chỉnh]]-Data_Dep.12[[#This Row],[Số kỳ đã khấu hao]]</f>
        <v>144</v>
      </c>
      <c r="AB390" s="175">
        <f>IFERROR(-Data_Dep.12[[#This Row],[Giá trị còn lại 31/12/25]]/(Data_Dep.12[[#This Row],[T/G điều chỉnh]]-Data_Dep.12[[#This Row],[Số kỳ đã khấu hao]]),0)</f>
        <v>-12701120.370370369</v>
      </c>
      <c r="AC390" s="181">
        <v>-12701120</v>
      </c>
      <c r="AD390" s="181">
        <v>-12701120</v>
      </c>
      <c r="AE390" s="181">
        <v>-12701120</v>
      </c>
      <c r="AF390" s="181">
        <v>-12701120</v>
      </c>
      <c r="AG390" s="181">
        <v>-12701120</v>
      </c>
      <c r="AH390" s="181">
        <v>-12701120</v>
      </c>
      <c r="AI390" s="181">
        <v>-12701120</v>
      </c>
      <c r="AJ390" s="181">
        <v>-12701120</v>
      </c>
      <c r="AK390" s="181">
        <v>-12701120</v>
      </c>
      <c r="AL390" s="181">
        <v>-12701120</v>
      </c>
      <c r="AM390" s="181">
        <v>-12701120</v>
      </c>
      <c r="AN390" s="181">
        <v>-12701120</v>
      </c>
      <c r="AO390" s="175">
        <f>SUM(Data_Dep.12[[#This Row],[KH_2601]:[KH_2612]])</f>
        <v>-152413440</v>
      </c>
      <c r="AP390" s="175">
        <f>Data_Dep.12[[#This Row],[Giá trị còn lại 31/12/25]]+Data_Dep.12[[#This Row],[KH LK 2026]]</f>
        <v>1676547893.3333333</v>
      </c>
    </row>
    <row r="391" spans="1:42" x14ac:dyDescent="0.3">
      <c r="A391" s="169"/>
      <c r="B391" s="169"/>
      <c r="C391" s="170" t="s">
        <v>338</v>
      </c>
      <c r="D391" s="169" t="str">
        <f>_xlfn.XLOOKUP(Data_Dep.12[[#This Row],[Nhóm tài sản]],MD_Account_Asset_Type[Nhóm tài sản],MD_Account_Asset_Type[Tên Nhóm tài sản])</f>
        <v>Máy móc, thiết bị - SX 627</v>
      </c>
      <c r="E391" s="171" t="s">
        <v>1550</v>
      </c>
      <c r="F391" s="170" t="s">
        <v>1535</v>
      </c>
      <c r="G391" s="169" t="s">
        <v>830</v>
      </c>
      <c r="H391" s="170" t="s">
        <v>79</v>
      </c>
      <c r="I391" s="170" t="str">
        <f>_xlfn.XLOOKUP(Data_Dep.12[[#This Row],[Cost center]],MD_Cost_Center[Mã Cost Center],MD_Cost_Center[Tên Cost Center])</f>
        <v>Chuyền tạo hạt rPET starlinger 330</v>
      </c>
      <c r="J391" s="172" t="str">
        <f>_xlfn.XLOOKUP(Data_Dep.12[[#This Row],[Cost center]],MD_Cost_Center[Mã Cost Center],MD_Cost_Center[Work center],"Check")</f>
        <v>STAR-03</v>
      </c>
      <c r="K391" s="169" t="str">
        <f>_xlfn.XLOOKUP(Data_Dep.12[[#This Row],[Nhóm tài sản]],MD_Account_Asset_Type[Nhóm tài sản],MD_Account_Asset_Type[Tài khoản KH],"Check")</f>
        <v>6274001903</v>
      </c>
      <c r="L391" s="173">
        <v>46023</v>
      </c>
      <c r="M391" s="174">
        <f>EDATE(Data_Dep.12[[#This Row],[Ngày bắt đầu KH]],Data_Dep.12[[#This Row],[T/G Khấu hao]])</f>
        <v>50406</v>
      </c>
      <c r="N391" s="175">
        <v>144</v>
      </c>
      <c r="O391" s="175">
        <v>3657922666.6666665</v>
      </c>
      <c r="P391" s="184"/>
      <c r="Q391" s="183"/>
      <c r="R391" s="177"/>
      <c r="S391" s="177"/>
      <c r="T391" s="177"/>
      <c r="U391" s="177">
        <f>SUM(Data_Dep.12[[#This Row],[KH_2510]:[KH_2512]])</f>
        <v>0</v>
      </c>
      <c r="V391" s="193">
        <f>Data_Dep.12[[#This Row],[Nguyên giá]]+Data_Dep.12[[#This Row],[KH lũy kế]]+Data_Dep.12[[#This Row],[KH_Q4.25]]</f>
        <v>3657922666.6666665</v>
      </c>
      <c r="W391" s="175">
        <f>ROUND(Data_Dep.12[[#This Row],[T/G Khấu hao]]-Data_Dep.12[[#This Row],[Giá trị còn lại 31/12/25]]/Data_Dep.12[[#This Row],[Nguyên giá]]*Data_Dep.12[[#This Row],[T/G Khấu hao]],0)</f>
        <v>0</v>
      </c>
      <c r="X391" s="179"/>
      <c r="Y391" s="175">
        <f>Data_Dep.12[[#This Row],[T/G Khấu hao]]+Data_Dep.12[[#This Row],[Điều chỉnh]]</f>
        <v>144</v>
      </c>
      <c r="Z391" s="180">
        <f>EDATE(Data_Dep.12[[#This Row],[Ngày bắt đầu KH]],Data_Dep.12[[#This Row],[T/G điều chỉnh]])</f>
        <v>50406</v>
      </c>
      <c r="AA391" s="175">
        <f>Data_Dep.12[[#This Row],[T/G điều chỉnh]]-Data_Dep.12[[#This Row],[Số kỳ đã khấu hao]]</f>
        <v>144</v>
      </c>
      <c r="AB391" s="175">
        <f>IFERROR(-Data_Dep.12[[#This Row],[Giá trị còn lại 31/12/25]]/(Data_Dep.12[[#This Row],[T/G điều chỉnh]]-Data_Dep.12[[#This Row],[Số kỳ đã khấu hao]]),0)</f>
        <v>-25402240.740740739</v>
      </c>
      <c r="AC391" s="181">
        <v>-25402241</v>
      </c>
      <c r="AD391" s="181">
        <v>-25402241</v>
      </c>
      <c r="AE391" s="181">
        <v>-25402241</v>
      </c>
      <c r="AF391" s="181">
        <v>-25402241</v>
      </c>
      <c r="AG391" s="181">
        <v>-25402241</v>
      </c>
      <c r="AH391" s="181">
        <v>-25402241</v>
      </c>
      <c r="AI391" s="181">
        <v>-25402241</v>
      </c>
      <c r="AJ391" s="181">
        <v>-25402241</v>
      </c>
      <c r="AK391" s="181">
        <v>-25402241</v>
      </c>
      <c r="AL391" s="181">
        <v>-25402241</v>
      </c>
      <c r="AM391" s="181">
        <v>-25402241</v>
      </c>
      <c r="AN391" s="181">
        <v>-25402241</v>
      </c>
      <c r="AO391" s="175">
        <f>SUM(Data_Dep.12[[#This Row],[KH_2601]:[KH_2612]])</f>
        <v>-304826892</v>
      </c>
      <c r="AP391" s="175">
        <f>Data_Dep.12[[#This Row],[Giá trị còn lại 31/12/25]]+Data_Dep.12[[#This Row],[KH LK 2026]]</f>
        <v>3353095774.6666665</v>
      </c>
    </row>
    <row r="392" spans="1:42" x14ac:dyDescent="0.3">
      <c r="A392" s="169"/>
      <c r="B392" s="169"/>
      <c r="C392" s="170" t="s">
        <v>338</v>
      </c>
      <c r="D392" s="169" t="str">
        <f>_xlfn.XLOOKUP(Data_Dep.12[[#This Row],[Nhóm tài sản]],MD_Account_Asset_Type[Nhóm tài sản],MD_Account_Asset_Type[Tên Nhóm tài sản])</f>
        <v>Máy móc, thiết bị - SX 627</v>
      </c>
      <c r="E392" s="171" t="s">
        <v>1551</v>
      </c>
      <c r="F392" s="170" t="s">
        <v>1536</v>
      </c>
      <c r="G392" s="169" t="s">
        <v>830</v>
      </c>
      <c r="H392" s="170" t="s">
        <v>69</v>
      </c>
      <c r="I392" s="170" t="str">
        <f>_xlfn.XLOOKUP(Data_Dep.12[[#This Row],[Cost center]],MD_Cost_Center[Mã Cost Center],MD_Cost_Center[Tên Cost Center])</f>
        <v>Máy trộn hạt nhựa rPET 3</v>
      </c>
      <c r="J392" s="172" t="str">
        <f>_xlfn.XLOOKUP(Data_Dep.12[[#This Row],[Cost center]],MD_Cost_Center[Mã Cost Center],MD_Cost_Center[Work center],"Check")</f>
        <v>MIX-03</v>
      </c>
      <c r="K392" s="169" t="str">
        <f>_xlfn.XLOOKUP(Data_Dep.12[[#This Row],[Nhóm tài sản]],MD_Account_Asset_Type[Nhóm tài sản],MD_Account_Asset_Type[Tài khoản KH],"Check")</f>
        <v>6274001903</v>
      </c>
      <c r="L392" s="173">
        <v>46023</v>
      </c>
      <c r="M392" s="174">
        <f>EDATE(Data_Dep.12[[#This Row],[Ngày bắt đầu KH]],Data_Dep.12[[#This Row],[T/G Khấu hao]])</f>
        <v>50406</v>
      </c>
      <c r="N392" s="175">
        <v>144</v>
      </c>
      <c r="O392" s="175">
        <v>225000000</v>
      </c>
      <c r="P392" s="184"/>
      <c r="Q392" s="183"/>
      <c r="R392" s="177"/>
      <c r="S392" s="177"/>
      <c r="T392" s="177"/>
      <c r="U392" s="177">
        <f>SUM(Data_Dep.12[[#This Row],[KH_2510]:[KH_2512]])</f>
        <v>0</v>
      </c>
      <c r="V392" s="193">
        <f>Data_Dep.12[[#This Row],[Nguyên giá]]+Data_Dep.12[[#This Row],[KH lũy kế]]+Data_Dep.12[[#This Row],[KH_Q4.25]]</f>
        <v>225000000</v>
      </c>
      <c r="W392" s="175">
        <f>ROUND(Data_Dep.12[[#This Row],[T/G Khấu hao]]-Data_Dep.12[[#This Row],[Giá trị còn lại 31/12/25]]/Data_Dep.12[[#This Row],[Nguyên giá]]*Data_Dep.12[[#This Row],[T/G Khấu hao]],0)</f>
        <v>0</v>
      </c>
      <c r="X392" s="179"/>
      <c r="Y392" s="175">
        <f>Data_Dep.12[[#This Row],[T/G Khấu hao]]+Data_Dep.12[[#This Row],[Điều chỉnh]]</f>
        <v>144</v>
      </c>
      <c r="Z392" s="180">
        <f>EDATE(Data_Dep.12[[#This Row],[Ngày bắt đầu KH]],Data_Dep.12[[#This Row],[T/G điều chỉnh]])</f>
        <v>50406</v>
      </c>
      <c r="AA392" s="175">
        <f>Data_Dep.12[[#This Row],[T/G điều chỉnh]]-Data_Dep.12[[#This Row],[Số kỳ đã khấu hao]]</f>
        <v>144</v>
      </c>
      <c r="AB392" s="175">
        <f>IFERROR(-Data_Dep.12[[#This Row],[Giá trị còn lại 31/12/25]]/(Data_Dep.12[[#This Row],[T/G điều chỉnh]]-Data_Dep.12[[#This Row],[Số kỳ đã khấu hao]]),0)</f>
        <v>-1562500</v>
      </c>
      <c r="AC392" s="181">
        <v>-1562500</v>
      </c>
      <c r="AD392" s="181">
        <v>-1562500</v>
      </c>
      <c r="AE392" s="181">
        <v>-1562500</v>
      </c>
      <c r="AF392" s="181">
        <v>-1562500</v>
      </c>
      <c r="AG392" s="181">
        <v>-1562500</v>
      </c>
      <c r="AH392" s="181">
        <v>-1562500</v>
      </c>
      <c r="AI392" s="181">
        <v>-1562500</v>
      </c>
      <c r="AJ392" s="181">
        <v>-1562500</v>
      </c>
      <c r="AK392" s="181">
        <v>-1562500</v>
      </c>
      <c r="AL392" s="181">
        <v>-1562500</v>
      </c>
      <c r="AM392" s="181">
        <v>-1562500</v>
      </c>
      <c r="AN392" s="181">
        <v>-1562500</v>
      </c>
      <c r="AO392" s="175">
        <f>SUM(Data_Dep.12[[#This Row],[KH_2601]:[KH_2612]])</f>
        <v>-18750000</v>
      </c>
      <c r="AP392" s="175">
        <f>Data_Dep.12[[#This Row],[Giá trị còn lại 31/12/25]]+Data_Dep.12[[#This Row],[KH LK 2026]]</f>
        <v>206250000</v>
      </c>
    </row>
    <row r="393" spans="1:42" x14ac:dyDescent="0.3">
      <c r="A393" s="169"/>
      <c r="B393" s="169"/>
      <c r="C393" s="170" t="s">
        <v>338</v>
      </c>
      <c r="D393" s="169" t="str">
        <f>_xlfn.XLOOKUP(Data_Dep.12[[#This Row],[Nhóm tài sản]],MD_Account_Asset_Type[Nhóm tài sản],MD_Account_Asset_Type[Tên Nhóm tài sản])</f>
        <v>Máy móc, thiết bị - SX 627</v>
      </c>
      <c r="E393" s="171" t="s">
        <v>1552</v>
      </c>
      <c r="F393" s="170" t="s">
        <v>1537</v>
      </c>
      <c r="G393" s="169" t="s">
        <v>830</v>
      </c>
      <c r="H393" s="170" t="s">
        <v>87</v>
      </c>
      <c r="I393" s="170" t="str">
        <f>_xlfn.XLOOKUP(Data_Dep.12[[#This Row],[Cost center]],MD_Cost_Center[Mã Cost Center],MD_Cost_Center[Tên Cost Center])</f>
        <v>Máy tách hạt Meyer - MEYE-01</v>
      </c>
      <c r="J393" s="172" t="str">
        <f>_xlfn.XLOOKUP(Data_Dep.12[[#This Row],[Cost center]],MD_Cost_Center[Mã Cost Center],MD_Cost_Center[Work center],"Check")</f>
        <v>MEYE-01</v>
      </c>
      <c r="K393" s="169" t="str">
        <f>_xlfn.XLOOKUP(Data_Dep.12[[#This Row],[Nhóm tài sản]],MD_Account_Asset_Type[Nhóm tài sản],MD_Account_Asset_Type[Tài khoản KH],"Check")</f>
        <v>6274001903</v>
      </c>
      <c r="L393" s="173">
        <v>46023</v>
      </c>
      <c r="M393" s="174">
        <f>EDATE(Data_Dep.12[[#This Row],[Ngày bắt đầu KH]],Data_Dep.12[[#This Row],[T/G Khấu hao]])</f>
        <v>50406</v>
      </c>
      <c r="N393" s="175">
        <v>144</v>
      </c>
      <c r="O393" s="175">
        <v>225000000</v>
      </c>
      <c r="P393" s="184"/>
      <c r="Q393" s="183"/>
      <c r="R393" s="177"/>
      <c r="S393" s="177"/>
      <c r="T393" s="177"/>
      <c r="U393" s="177">
        <f>SUM(Data_Dep.12[[#This Row],[KH_2510]:[KH_2512]])</f>
        <v>0</v>
      </c>
      <c r="V393" s="193">
        <f>Data_Dep.12[[#This Row],[Nguyên giá]]+Data_Dep.12[[#This Row],[KH lũy kế]]+Data_Dep.12[[#This Row],[KH_Q4.25]]</f>
        <v>225000000</v>
      </c>
      <c r="W393" s="175">
        <f>ROUND(Data_Dep.12[[#This Row],[T/G Khấu hao]]-Data_Dep.12[[#This Row],[Giá trị còn lại 31/12/25]]/Data_Dep.12[[#This Row],[Nguyên giá]]*Data_Dep.12[[#This Row],[T/G Khấu hao]],0)</f>
        <v>0</v>
      </c>
      <c r="X393" s="179"/>
      <c r="Y393" s="175">
        <f>Data_Dep.12[[#This Row],[T/G Khấu hao]]+Data_Dep.12[[#This Row],[Điều chỉnh]]</f>
        <v>144</v>
      </c>
      <c r="Z393" s="180">
        <f>EDATE(Data_Dep.12[[#This Row],[Ngày bắt đầu KH]],Data_Dep.12[[#This Row],[T/G điều chỉnh]])</f>
        <v>50406</v>
      </c>
      <c r="AA393" s="175">
        <f>Data_Dep.12[[#This Row],[T/G điều chỉnh]]-Data_Dep.12[[#This Row],[Số kỳ đã khấu hao]]</f>
        <v>144</v>
      </c>
      <c r="AB393" s="175">
        <f>IFERROR(-Data_Dep.12[[#This Row],[Giá trị còn lại 31/12/25]]/(Data_Dep.12[[#This Row],[T/G điều chỉnh]]-Data_Dep.12[[#This Row],[Số kỳ đã khấu hao]]),0)</f>
        <v>-1562500</v>
      </c>
      <c r="AC393" s="181">
        <v>-1562500</v>
      </c>
      <c r="AD393" s="181">
        <v>-1562500</v>
      </c>
      <c r="AE393" s="181">
        <v>-1562500</v>
      </c>
      <c r="AF393" s="181">
        <v>-1562500</v>
      </c>
      <c r="AG393" s="181">
        <v>-1562500</v>
      </c>
      <c r="AH393" s="181">
        <v>-1562500</v>
      </c>
      <c r="AI393" s="181">
        <v>-1562500</v>
      </c>
      <c r="AJ393" s="181">
        <v>-1562500</v>
      </c>
      <c r="AK393" s="181">
        <v>-1562500</v>
      </c>
      <c r="AL393" s="181">
        <v>-1562500</v>
      </c>
      <c r="AM393" s="181">
        <v>-1562500</v>
      </c>
      <c r="AN393" s="181">
        <v>-1562500</v>
      </c>
      <c r="AO393" s="175">
        <f>SUM(Data_Dep.12[[#This Row],[KH_2601]:[KH_2612]])</f>
        <v>-18750000</v>
      </c>
      <c r="AP393" s="175">
        <f>Data_Dep.12[[#This Row],[Giá trị còn lại 31/12/25]]+Data_Dep.12[[#This Row],[KH LK 2026]]</f>
        <v>206250000</v>
      </c>
    </row>
    <row r="394" spans="1:42" x14ac:dyDescent="0.3">
      <c r="A394" s="169"/>
      <c r="B394" s="169"/>
      <c r="C394" s="170" t="s">
        <v>319</v>
      </c>
      <c r="D394" s="169" t="str">
        <f>_xlfn.XLOOKUP(Data_Dep.12[[#This Row],[Nhóm tài sản]],MD_Account_Asset_Type[Nhóm tài sản],MD_Account_Asset_Type[Tên Nhóm tài sản])</f>
        <v>Nhà cửa, vật kiến trúc - SX 627</v>
      </c>
      <c r="E394" s="171" t="s">
        <v>1558</v>
      </c>
      <c r="F394" s="170" t="s">
        <v>1538</v>
      </c>
      <c r="G394" s="169" t="s">
        <v>830</v>
      </c>
      <c r="H394" s="170" t="s">
        <v>45</v>
      </c>
      <c r="I394" s="170" t="str">
        <f>_xlfn.XLOOKUP(Data_Dep.12[[#This Row],[Cost center]],MD_Cost_Center[Mã Cost Center],MD_Cost_Center[Tên Cost Center])</f>
        <v>Kỹ thuật</v>
      </c>
      <c r="J394" s="172">
        <f>_xlfn.XLOOKUP(Data_Dep.12[[#This Row],[Cost center]],MD_Cost_Center[Mã Cost Center],MD_Cost_Center[Work center],"Check")</f>
        <v>0</v>
      </c>
      <c r="K394" s="169" t="str">
        <f>_xlfn.XLOOKUP(Data_Dep.12[[#This Row],[Nhóm tài sản]],MD_Account_Asset_Type[Nhóm tài sản],MD_Account_Asset_Type[Tài khoản KH],"Check")</f>
        <v>6274001901</v>
      </c>
      <c r="L394" s="173">
        <v>45992</v>
      </c>
      <c r="M394" s="174">
        <f>EDATE(Data_Dep.12[[#This Row],[Ngày bắt đầu KH]],Data_Dep.12[[#This Row],[T/G Khấu hao]])</f>
        <v>49644</v>
      </c>
      <c r="N394" s="175">
        <v>120</v>
      </c>
      <c r="O394" s="175">
        <v>770789269</v>
      </c>
      <c r="P394" s="175"/>
      <c r="Q394" s="183"/>
      <c r="R394" s="177"/>
      <c r="S394" s="177"/>
      <c r="T394" s="177">
        <v>-6423244</v>
      </c>
      <c r="U394" s="177">
        <f>SUM(Data_Dep.12[[#This Row],[KH_2510]:[KH_2512]])</f>
        <v>-6423244</v>
      </c>
      <c r="V394" s="193">
        <f>Data_Dep.12[[#This Row],[Nguyên giá]]+Data_Dep.12[[#This Row],[KH lũy kế]]+Data_Dep.12[[#This Row],[KH_Q4.25]]</f>
        <v>764366025</v>
      </c>
      <c r="W394" s="175">
        <f>ROUND(Data_Dep.12[[#This Row],[T/G Khấu hao]]-Data_Dep.12[[#This Row],[Giá trị còn lại 31/12/25]]/Data_Dep.12[[#This Row],[Nguyên giá]]*Data_Dep.12[[#This Row],[T/G Khấu hao]],0)</f>
        <v>1</v>
      </c>
      <c r="X394" s="179"/>
      <c r="Y394" s="175">
        <f>Data_Dep.12[[#This Row],[T/G Khấu hao]]+Data_Dep.12[[#This Row],[Điều chỉnh]]</f>
        <v>120</v>
      </c>
      <c r="Z394" s="180">
        <f>EDATE(Data_Dep.12[[#This Row],[Ngày bắt đầu KH]],Data_Dep.12[[#This Row],[T/G điều chỉnh]])</f>
        <v>49644</v>
      </c>
      <c r="AA394" s="175">
        <f>Data_Dep.12[[#This Row],[T/G điều chỉnh]]-Data_Dep.12[[#This Row],[Số kỳ đã khấu hao]]</f>
        <v>119</v>
      </c>
      <c r="AB394" s="175">
        <f>IFERROR(-Data_Dep.12[[#This Row],[Giá trị còn lại 31/12/25]]/(Data_Dep.12[[#This Row],[T/G điều chỉnh]]-Data_Dep.12[[#This Row],[Số kỳ đã khấu hao]]),0)</f>
        <v>-6423243.9075630251</v>
      </c>
      <c r="AC394" s="181">
        <v>-6423244</v>
      </c>
      <c r="AD394" s="181">
        <v>-6423244</v>
      </c>
      <c r="AE394" s="181">
        <v>-6423244</v>
      </c>
      <c r="AF394" s="181">
        <v>-6423244</v>
      </c>
      <c r="AG394" s="181">
        <v>-6423244</v>
      </c>
      <c r="AH394" s="181">
        <v>-6423244</v>
      </c>
      <c r="AI394" s="181">
        <v>-6423244</v>
      </c>
      <c r="AJ394" s="181">
        <v>-6423244</v>
      </c>
      <c r="AK394" s="181">
        <v>-6423244</v>
      </c>
      <c r="AL394" s="181">
        <v>-6423244</v>
      </c>
      <c r="AM394" s="181">
        <v>-6423244</v>
      </c>
      <c r="AN394" s="181">
        <v>-6423244</v>
      </c>
      <c r="AO394" s="175">
        <f>SUM(Data_Dep.12[[#This Row],[KH_2601]:[KH_2612]])</f>
        <v>-77078928</v>
      </c>
      <c r="AP394" s="175">
        <f>Data_Dep.12[[#This Row],[Giá trị còn lại 31/12/25]]+Data_Dep.12[[#This Row],[KH LK 2026]]</f>
        <v>687287097</v>
      </c>
    </row>
    <row r="395" spans="1:42" x14ac:dyDescent="0.3">
      <c r="A395" s="169"/>
      <c r="B395" s="169"/>
      <c r="C395" s="170" t="s">
        <v>337</v>
      </c>
      <c r="D395" s="169" t="str">
        <f>_xlfn.XLOOKUP(Data_Dep.12[[#This Row],[Nhóm tài sản]],MD_Account_Asset_Type[Nhóm tài sản],MD_Account_Asset_Type[Tên Nhóm tài sản])</f>
        <v>Máy móc, thiết bị phụ - SX 627</v>
      </c>
      <c r="E395" s="171" t="s">
        <v>1562</v>
      </c>
      <c r="F395" s="170" t="s">
        <v>1217</v>
      </c>
      <c r="G395" s="169" t="s">
        <v>830</v>
      </c>
      <c r="H395" s="170" t="s">
        <v>46</v>
      </c>
      <c r="I395" s="170" t="str">
        <f>_xlfn.XLOOKUP(Data_Dep.12[[#This Row],[Cost center]],MD_Cost_Center[Mã Cost Center],MD_Cost_Center[Tên Cost Center])</f>
        <v>Kiểm soát chất lượng</v>
      </c>
      <c r="J395" s="172">
        <f>_xlfn.XLOOKUP(Data_Dep.12[[#This Row],[Cost center]],MD_Cost_Center[Mã Cost Center],MD_Cost_Center[Work center],"Check")</f>
        <v>0</v>
      </c>
      <c r="K395" s="169" t="str">
        <f>_xlfn.XLOOKUP(Data_Dep.12[[#This Row],[Nhóm tài sản]],MD_Account_Asset_Type[Nhóm tài sản],MD_Account_Asset_Type[Tài khoản KH],"Check")</f>
        <v>6274001906</v>
      </c>
      <c r="L395" s="173">
        <v>45992</v>
      </c>
      <c r="M395" s="174">
        <f>EDATE(Data_Dep.12[[#This Row],[Ngày bắt đầu KH]],Data_Dep.12[[#This Row],[T/G Khấu hao]])</f>
        <v>47818</v>
      </c>
      <c r="N395" s="175">
        <v>60</v>
      </c>
      <c r="O395" s="175">
        <v>478336607</v>
      </c>
      <c r="P395" s="184"/>
      <c r="Q395" s="183"/>
      <c r="R395" s="177"/>
      <c r="S395" s="177"/>
      <c r="T395" s="177">
        <v>-7972277</v>
      </c>
      <c r="U395" s="177">
        <f>SUM(Data_Dep.12[[#This Row],[KH_2510]:[KH_2512]])</f>
        <v>-7972277</v>
      </c>
      <c r="V395" s="193">
        <f>Data_Dep.12[[#This Row],[Nguyên giá]]+Data_Dep.12[[#This Row],[KH lũy kế]]+Data_Dep.12[[#This Row],[KH_Q4.25]]</f>
        <v>470364330</v>
      </c>
      <c r="W395" s="175">
        <f>ROUND(Data_Dep.12[[#This Row],[T/G Khấu hao]]-Data_Dep.12[[#This Row],[Giá trị còn lại 31/12/25]]/Data_Dep.12[[#This Row],[Nguyên giá]]*Data_Dep.12[[#This Row],[T/G Khấu hao]],0)</f>
        <v>1</v>
      </c>
      <c r="X395" s="179">
        <v>84</v>
      </c>
      <c r="Y395" s="175">
        <f>Data_Dep.12[[#This Row],[T/G Khấu hao]]+Data_Dep.12[[#This Row],[Điều chỉnh]]</f>
        <v>144</v>
      </c>
      <c r="Z395" s="180">
        <f>EDATE(Data_Dep.12[[#This Row],[Ngày bắt đầu KH]],Data_Dep.12[[#This Row],[T/G điều chỉnh]])</f>
        <v>50375</v>
      </c>
      <c r="AA395" s="175">
        <f>Data_Dep.12[[#This Row],[T/G điều chỉnh]]-Data_Dep.12[[#This Row],[Số kỳ đã khấu hao]]</f>
        <v>143</v>
      </c>
      <c r="AB395" s="175">
        <f>IFERROR(-Data_Dep.12[[#This Row],[Giá trị còn lại 31/12/25]]/(Data_Dep.12[[#This Row],[T/G điều chỉnh]]-Data_Dep.12[[#This Row],[Số kỳ đã khấu hao]]),0)</f>
        <v>-3289261.0489510489</v>
      </c>
      <c r="AC395" s="181">
        <v>-3289261</v>
      </c>
      <c r="AD395" s="181">
        <v>-3289261</v>
      </c>
      <c r="AE395" s="181">
        <v>-3289261</v>
      </c>
      <c r="AF395" s="181">
        <v>-3289261</v>
      </c>
      <c r="AG395" s="181">
        <v>-3289261</v>
      </c>
      <c r="AH395" s="181">
        <v>-3289261</v>
      </c>
      <c r="AI395" s="181">
        <v>-3289261</v>
      </c>
      <c r="AJ395" s="181">
        <v>-3289261</v>
      </c>
      <c r="AK395" s="181">
        <v>-3289261</v>
      </c>
      <c r="AL395" s="181">
        <v>-3289261</v>
      </c>
      <c r="AM395" s="181">
        <v>-3289261</v>
      </c>
      <c r="AN395" s="181">
        <v>-3289261</v>
      </c>
      <c r="AO395" s="175">
        <f>SUM(Data_Dep.12[[#This Row],[KH_2601]:[KH_2612]])</f>
        <v>-39471132</v>
      </c>
      <c r="AP395" s="175">
        <f>Data_Dep.12[[#This Row],[Giá trị còn lại 31/12/25]]+Data_Dep.12[[#This Row],[KH LK 2026]]</f>
        <v>430893198</v>
      </c>
    </row>
    <row r="396" spans="1:42" x14ac:dyDescent="0.3">
      <c r="A396" s="169"/>
      <c r="B396" s="169"/>
      <c r="C396" s="170" t="s">
        <v>337</v>
      </c>
      <c r="D396" s="169" t="str">
        <f>_xlfn.XLOOKUP(Data_Dep.12[[#This Row],[Nhóm tài sản]],MD_Account_Asset_Type[Nhóm tài sản],MD_Account_Asset_Type[Tên Nhóm tài sản])</f>
        <v>Máy móc, thiết bị phụ - SX 627</v>
      </c>
      <c r="E396" s="171" t="s">
        <v>1564</v>
      </c>
      <c r="F396" s="170" t="s">
        <v>1222</v>
      </c>
      <c r="G396" s="169" t="s">
        <v>830</v>
      </c>
      <c r="H396" s="170" t="s">
        <v>48</v>
      </c>
      <c r="I396" s="170" t="str">
        <f>_xlfn.XLOOKUP(Data_Dep.12[[#This Row],[Cost center]],MD_Cost_Center[Mã Cost Center],MD_Cost_Center[Tên Cost Center])</f>
        <v>Xưởng sản xuất PET</v>
      </c>
      <c r="J396" s="172">
        <f>_xlfn.XLOOKUP(Data_Dep.12[[#This Row],[Cost center]],MD_Cost_Center[Mã Cost Center],MD_Cost_Center[Work center],"Check")</f>
        <v>0</v>
      </c>
      <c r="K396" s="169" t="str">
        <f>_xlfn.XLOOKUP(Data_Dep.12[[#This Row],[Nhóm tài sản]],MD_Account_Asset_Type[Nhóm tài sản],MD_Account_Asset_Type[Tài khoản KH],"Check")</f>
        <v>6274001906</v>
      </c>
      <c r="L396" s="173">
        <v>45962</v>
      </c>
      <c r="M396" s="174">
        <f>EDATE(Data_Dep.12[[#This Row],[Ngày bắt đầu KH]],Data_Dep.12[[#This Row],[T/G Khấu hao]])</f>
        <v>47788</v>
      </c>
      <c r="N396" s="175">
        <v>60</v>
      </c>
      <c r="O396" s="175">
        <v>738317830</v>
      </c>
      <c r="P396" s="184"/>
      <c r="Q396" s="183"/>
      <c r="R396" s="177"/>
      <c r="S396" s="177">
        <v>-12305297</v>
      </c>
      <c r="T396" s="177">
        <v>-12305297</v>
      </c>
      <c r="U396" s="177">
        <f>SUM(Data_Dep.12[[#This Row],[KH_2510]:[KH_2512]])</f>
        <v>-24610594</v>
      </c>
      <c r="V396" s="193">
        <f>Data_Dep.12[[#This Row],[Nguyên giá]]+Data_Dep.12[[#This Row],[KH lũy kế]]+Data_Dep.12[[#This Row],[KH_Q4.25]]</f>
        <v>713707236</v>
      </c>
      <c r="W396" s="175">
        <f>ROUND(Data_Dep.12[[#This Row],[T/G Khấu hao]]-Data_Dep.12[[#This Row],[Giá trị còn lại 31/12/25]]/Data_Dep.12[[#This Row],[Nguyên giá]]*Data_Dep.12[[#This Row],[T/G Khấu hao]],0)</f>
        <v>2</v>
      </c>
      <c r="X396" s="179">
        <v>84</v>
      </c>
      <c r="Y396" s="175">
        <f>Data_Dep.12[[#This Row],[T/G Khấu hao]]+Data_Dep.12[[#This Row],[Điều chỉnh]]</f>
        <v>144</v>
      </c>
      <c r="Z396" s="180">
        <f>EDATE(Data_Dep.12[[#This Row],[Ngày bắt đầu KH]],Data_Dep.12[[#This Row],[T/G điều chỉnh]])</f>
        <v>50345</v>
      </c>
      <c r="AA396" s="175">
        <f>Data_Dep.12[[#This Row],[T/G điều chỉnh]]-Data_Dep.12[[#This Row],[Số kỳ đã khấu hao]]</f>
        <v>142</v>
      </c>
      <c r="AB396" s="175">
        <f>IFERROR(-Data_Dep.12[[#This Row],[Giá trị còn lại 31/12/25]]/(Data_Dep.12[[#This Row],[T/G điều chỉnh]]-Data_Dep.12[[#This Row],[Số kỳ đã khấu hao]]),0)</f>
        <v>-5026107.295774648</v>
      </c>
      <c r="AC396" s="181">
        <v>-5026107</v>
      </c>
      <c r="AD396" s="181">
        <v>-5026107</v>
      </c>
      <c r="AE396" s="181">
        <v>-5026107</v>
      </c>
      <c r="AF396" s="181">
        <v>-5026107</v>
      </c>
      <c r="AG396" s="181">
        <v>-5026107</v>
      </c>
      <c r="AH396" s="181">
        <v>-5026107</v>
      </c>
      <c r="AI396" s="181">
        <v>-5026107</v>
      </c>
      <c r="AJ396" s="181">
        <v>-5026107</v>
      </c>
      <c r="AK396" s="181">
        <v>-5026107</v>
      </c>
      <c r="AL396" s="181">
        <v>-5026107</v>
      </c>
      <c r="AM396" s="181">
        <v>-5026107</v>
      </c>
      <c r="AN396" s="181">
        <v>-5026107</v>
      </c>
      <c r="AO396" s="175">
        <f>SUM(Data_Dep.12[[#This Row],[KH_2601]:[KH_2612]])</f>
        <v>-60313284</v>
      </c>
      <c r="AP396" s="175">
        <f>Data_Dep.12[[#This Row],[Giá trị còn lại 31/12/25]]+Data_Dep.12[[#This Row],[KH LK 2026]]</f>
        <v>653393952</v>
      </c>
    </row>
    <row r="397" spans="1:42" x14ac:dyDescent="0.3">
      <c r="A397" s="169"/>
      <c r="B397" s="169"/>
      <c r="C397" s="170" t="s">
        <v>337</v>
      </c>
      <c r="D397" s="169" t="str">
        <f>_xlfn.XLOOKUP(Data_Dep.12[[#This Row],[Nhóm tài sản]],MD_Account_Asset_Type[Nhóm tài sản],MD_Account_Asset_Type[Tên Nhóm tài sản])</f>
        <v>Máy móc, thiết bị phụ - SX 627</v>
      </c>
      <c r="E397" s="171" t="s">
        <v>1565</v>
      </c>
      <c r="F397" s="170" t="s">
        <v>1224</v>
      </c>
      <c r="G397" s="169" t="s">
        <v>830</v>
      </c>
      <c r="H397" s="170" t="s">
        <v>46</v>
      </c>
      <c r="I397" s="170" t="str">
        <f>_xlfn.XLOOKUP(Data_Dep.12[[#This Row],[Cost center]],MD_Cost_Center[Mã Cost Center],MD_Cost_Center[Tên Cost Center])</f>
        <v>Kiểm soát chất lượng</v>
      </c>
      <c r="J397" s="172">
        <f>_xlfn.XLOOKUP(Data_Dep.12[[#This Row],[Cost center]],MD_Cost_Center[Mã Cost Center],MD_Cost_Center[Work center],"Check")</f>
        <v>0</v>
      </c>
      <c r="K397" s="169" t="str">
        <f>_xlfn.XLOOKUP(Data_Dep.12[[#This Row],[Nhóm tài sản]],MD_Account_Asset_Type[Nhóm tài sản],MD_Account_Asset_Type[Tài khoản KH],"Check")</f>
        <v>6274001906</v>
      </c>
      <c r="L397" s="173">
        <v>45962</v>
      </c>
      <c r="M397" s="174">
        <f>EDATE(Data_Dep.12[[#This Row],[Ngày bắt đầu KH]],Data_Dep.12[[#This Row],[T/G Khấu hao]])</f>
        <v>47788</v>
      </c>
      <c r="N397" s="175">
        <v>60</v>
      </c>
      <c r="O397" s="175">
        <v>34000000</v>
      </c>
      <c r="P397" s="184"/>
      <c r="Q397" s="183"/>
      <c r="R397" s="177"/>
      <c r="S397" s="177">
        <v>-566667</v>
      </c>
      <c r="T397" s="177">
        <v>-566667</v>
      </c>
      <c r="U397" s="177">
        <f>SUM(Data_Dep.12[[#This Row],[KH_2510]:[KH_2512]])</f>
        <v>-1133334</v>
      </c>
      <c r="V397" s="193">
        <f>Data_Dep.12[[#This Row],[Nguyên giá]]+Data_Dep.12[[#This Row],[KH lũy kế]]+Data_Dep.12[[#This Row],[KH_Q4.25]]</f>
        <v>32866666</v>
      </c>
      <c r="W397" s="175">
        <f>ROUND(Data_Dep.12[[#This Row],[T/G Khấu hao]]-Data_Dep.12[[#This Row],[Giá trị còn lại 31/12/25]]/Data_Dep.12[[#This Row],[Nguyên giá]]*Data_Dep.12[[#This Row],[T/G Khấu hao]],0)</f>
        <v>2</v>
      </c>
      <c r="X397" s="179">
        <v>84</v>
      </c>
      <c r="Y397" s="175">
        <f>Data_Dep.12[[#This Row],[T/G Khấu hao]]+Data_Dep.12[[#This Row],[Điều chỉnh]]</f>
        <v>144</v>
      </c>
      <c r="Z397" s="180">
        <f>EDATE(Data_Dep.12[[#This Row],[Ngày bắt đầu KH]],Data_Dep.12[[#This Row],[T/G điều chỉnh]])</f>
        <v>50345</v>
      </c>
      <c r="AA397" s="175">
        <f>Data_Dep.12[[#This Row],[T/G điều chỉnh]]-Data_Dep.12[[#This Row],[Số kỳ đã khấu hao]]</f>
        <v>142</v>
      </c>
      <c r="AB397" s="175">
        <f>IFERROR(-Data_Dep.12[[#This Row],[Giá trị còn lại 31/12/25]]/(Data_Dep.12[[#This Row],[T/G điều chỉnh]]-Data_Dep.12[[#This Row],[Số kỳ đã khấu hao]]),0)</f>
        <v>-231455.39436619717</v>
      </c>
      <c r="AC397" s="181">
        <v>-231455</v>
      </c>
      <c r="AD397" s="181">
        <v>-231455</v>
      </c>
      <c r="AE397" s="181">
        <v>-231455</v>
      </c>
      <c r="AF397" s="181">
        <v>-231455</v>
      </c>
      <c r="AG397" s="181">
        <v>-231455</v>
      </c>
      <c r="AH397" s="181">
        <v>-231455</v>
      </c>
      <c r="AI397" s="181">
        <v>-231455</v>
      </c>
      <c r="AJ397" s="181">
        <v>-231455</v>
      </c>
      <c r="AK397" s="181">
        <v>-231455</v>
      </c>
      <c r="AL397" s="181">
        <v>-231455</v>
      </c>
      <c r="AM397" s="181">
        <v>-231455</v>
      </c>
      <c r="AN397" s="181">
        <v>-231455</v>
      </c>
      <c r="AO397" s="175">
        <f>SUM(Data_Dep.12[[#This Row],[KH_2601]:[KH_2612]])</f>
        <v>-2777460</v>
      </c>
      <c r="AP397" s="175">
        <f>Data_Dep.12[[#This Row],[Giá trị còn lại 31/12/25]]+Data_Dep.12[[#This Row],[KH LK 2026]]</f>
        <v>30089206</v>
      </c>
    </row>
    <row r="398" spans="1:42" x14ac:dyDescent="0.3">
      <c r="A398" s="169"/>
      <c r="B398" s="169"/>
      <c r="C398" s="170" t="s">
        <v>319</v>
      </c>
      <c r="D398" s="169" t="str">
        <f>_xlfn.XLOOKUP(Data_Dep.12[[#This Row],[Nhóm tài sản]],MD_Account_Asset_Type[Nhóm tài sản],MD_Account_Asset_Type[Tên Nhóm tài sản])</f>
        <v>Nhà cửa, vật kiến trúc - SX 627</v>
      </c>
      <c r="E398" s="171" t="s">
        <v>1566</v>
      </c>
      <c r="F398" s="170" t="s">
        <v>1225</v>
      </c>
      <c r="G398" s="169" t="s">
        <v>830</v>
      </c>
      <c r="H398" s="170" t="s">
        <v>48</v>
      </c>
      <c r="I398" s="170" t="str">
        <f>_xlfn.XLOOKUP(Data_Dep.12[[#This Row],[Cost center]],MD_Cost_Center[Mã Cost Center],MD_Cost_Center[Tên Cost Center])</f>
        <v>Xưởng sản xuất PET</v>
      </c>
      <c r="J398" s="172">
        <f>_xlfn.XLOOKUP(Data_Dep.12[[#This Row],[Cost center]],MD_Cost_Center[Mã Cost Center],MD_Cost_Center[Work center],"Check")</f>
        <v>0</v>
      </c>
      <c r="K398" s="169" t="str">
        <f>_xlfn.XLOOKUP(Data_Dep.12[[#This Row],[Nhóm tài sản]],MD_Account_Asset_Type[Nhóm tài sản],MD_Account_Asset_Type[Tài khoản KH],"Check")</f>
        <v>6274001901</v>
      </c>
      <c r="L398" s="173">
        <v>46023</v>
      </c>
      <c r="M398" s="174">
        <f>EDATE(Data_Dep.12[[#This Row],[Ngày bắt đầu KH]],Data_Dep.12[[#This Row],[T/G Khấu hao]])</f>
        <v>49675</v>
      </c>
      <c r="N398" s="175">
        <v>120</v>
      </c>
      <c r="O398" s="175">
        <v>308671649</v>
      </c>
      <c r="P398" s="184"/>
      <c r="Q398" s="183"/>
      <c r="R398" s="177"/>
      <c r="S398" s="177"/>
      <c r="T398" s="177"/>
      <c r="U398" s="177">
        <f>SUM(Data_Dep.12[[#This Row],[KH_2510]:[KH_2512]])</f>
        <v>0</v>
      </c>
      <c r="V398" s="193">
        <f>Data_Dep.12[[#This Row],[Nguyên giá]]+Data_Dep.12[[#This Row],[KH lũy kế]]+Data_Dep.12[[#This Row],[KH_Q4.25]]</f>
        <v>308671649</v>
      </c>
      <c r="W398" s="175">
        <f>ROUND(Data_Dep.12[[#This Row],[T/G Khấu hao]]-Data_Dep.12[[#This Row],[Giá trị còn lại 31/12/25]]/Data_Dep.12[[#This Row],[Nguyên giá]]*Data_Dep.12[[#This Row],[T/G Khấu hao]],0)</f>
        <v>0</v>
      </c>
      <c r="X398" s="179"/>
      <c r="Y398" s="175">
        <f>Data_Dep.12[[#This Row],[T/G Khấu hao]]+Data_Dep.12[[#This Row],[Điều chỉnh]]</f>
        <v>120</v>
      </c>
      <c r="Z398" s="180">
        <f>EDATE(Data_Dep.12[[#This Row],[Ngày bắt đầu KH]],Data_Dep.12[[#This Row],[T/G điều chỉnh]])</f>
        <v>49675</v>
      </c>
      <c r="AA398" s="175">
        <f>Data_Dep.12[[#This Row],[T/G điều chỉnh]]-Data_Dep.12[[#This Row],[Số kỳ đã khấu hao]]</f>
        <v>120</v>
      </c>
      <c r="AB398" s="175">
        <f>IFERROR(-Data_Dep.12[[#This Row],[Giá trị còn lại 31/12/25]]/(Data_Dep.12[[#This Row],[T/G điều chỉnh]]-Data_Dep.12[[#This Row],[Số kỳ đã khấu hao]]),0)</f>
        <v>-2572263.7416666667</v>
      </c>
      <c r="AC398" s="181">
        <v>-2572264</v>
      </c>
      <c r="AD398" s="181">
        <v>-2572264</v>
      </c>
      <c r="AE398" s="181">
        <v>-2572264</v>
      </c>
      <c r="AF398" s="181">
        <v>-2572264</v>
      </c>
      <c r="AG398" s="181">
        <v>-2572264</v>
      </c>
      <c r="AH398" s="181">
        <v>-2572264</v>
      </c>
      <c r="AI398" s="181">
        <v>-2572264</v>
      </c>
      <c r="AJ398" s="181">
        <v>-2572264</v>
      </c>
      <c r="AK398" s="181">
        <v>-2572264</v>
      </c>
      <c r="AL398" s="181">
        <v>-2572264</v>
      </c>
      <c r="AM398" s="181">
        <v>-2572264</v>
      </c>
      <c r="AN398" s="181">
        <v>-2572264</v>
      </c>
      <c r="AO398" s="175">
        <f>SUM(Data_Dep.12[[#This Row],[KH_2601]:[KH_2612]])</f>
        <v>-30867168</v>
      </c>
      <c r="AP398" s="175">
        <f>Data_Dep.12[[#This Row],[Giá trị còn lại 31/12/25]]+Data_Dep.12[[#This Row],[KH LK 2026]]</f>
        <v>277804481</v>
      </c>
    </row>
    <row r="399" spans="1:42" x14ac:dyDescent="0.3">
      <c r="A399" s="169"/>
      <c r="B399" s="169"/>
      <c r="C399" s="170" t="s">
        <v>347</v>
      </c>
      <c r="D399" s="169" t="str">
        <f>_xlfn.XLOOKUP(Data_Dep.12[[#This Row],[Nhóm tài sản]],MD_Account_Asset_Type[Nhóm tài sản],MD_Account_Asset_Type[Tên Nhóm tài sản])</f>
        <v>Thiết bị, dụng cụ quản lý - QL 642</v>
      </c>
      <c r="E399" s="171" t="s">
        <v>1568</v>
      </c>
      <c r="F399" s="170" t="s">
        <v>1567</v>
      </c>
      <c r="G399" s="169" t="s">
        <v>830</v>
      </c>
      <c r="H399" s="170" t="s">
        <v>36</v>
      </c>
      <c r="I399" s="170" t="str">
        <f>_xlfn.XLOOKUP(Data_Dep.12[[#This Row],[Cost center]],MD_Cost_Center[Mã Cost Center],MD_Cost_Center[Tên Cost Center])</f>
        <v>Hành chánh nhân sự</v>
      </c>
      <c r="J399" s="172">
        <f>_xlfn.XLOOKUP(Data_Dep.12[[#This Row],[Cost center]],MD_Cost_Center[Mã Cost Center],MD_Cost_Center[Work center],"Check")</f>
        <v>0</v>
      </c>
      <c r="K399" s="169" t="str">
        <f>_xlfn.XLOOKUP(Data_Dep.12[[#This Row],[Nhóm tài sản]],MD_Account_Asset_Type[Nhóm tài sản],MD_Account_Asset_Type[Tài khoản KH],"Check")</f>
        <v>6424001904</v>
      </c>
      <c r="L399" s="173">
        <v>45992</v>
      </c>
      <c r="M399" s="174">
        <f>EDATE(Data_Dep.12[[#This Row],[Ngày bắt đầu KH]],Data_Dep.12[[#This Row],[T/G Khấu hao]])</f>
        <v>47088</v>
      </c>
      <c r="N399" s="175">
        <v>36</v>
      </c>
      <c r="O399" s="175">
        <v>203801000</v>
      </c>
      <c r="P399" s="184"/>
      <c r="Q399" s="183"/>
      <c r="R399" s="177"/>
      <c r="S399" s="177"/>
      <c r="T399" s="177">
        <v>-5661139</v>
      </c>
      <c r="U399" s="177">
        <f>SUM(Data_Dep.12[[#This Row],[KH_2510]:[KH_2512]])</f>
        <v>-5661139</v>
      </c>
      <c r="V399" s="193">
        <f>Data_Dep.12[[#This Row],[Nguyên giá]]+Data_Dep.12[[#This Row],[KH lũy kế]]+Data_Dep.12[[#This Row],[KH_Q4.25]]</f>
        <v>198139861</v>
      </c>
      <c r="W399" s="175">
        <f>ROUND(Data_Dep.12[[#This Row],[T/G Khấu hao]]-Data_Dep.12[[#This Row],[Giá trị còn lại 31/12/25]]/Data_Dep.12[[#This Row],[Nguyên giá]]*Data_Dep.12[[#This Row],[T/G Khấu hao]],0)</f>
        <v>1</v>
      </c>
      <c r="X399" s="179">
        <v>84</v>
      </c>
      <c r="Y399" s="175">
        <f>Data_Dep.12[[#This Row],[T/G Khấu hao]]+Data_Dep.12[[#This Row],[Điều chỉnh]]</f>
        <v>120</v>
      </c>
      <c r="Z399" s="180">
        <f>EDATE(Data_Dep.12[[#This Row],[Ngày bắt đầu KH]],Data_Dep.12[[#This Row],[T/G điều chỉnh]])</f>
        <v>49644</v>
      </c>
      <c r="AA399" s="175">
        <f>Data_Dep.12[[#This Row],[T/G điều chỉnh]]-Data_Dep.12[[#This Row],[Số kỳ đã khấu hao]]</f>
        <v>119</v>
      </c>
      <c r="AB399" s="175">
        <f>IFERROR(-Data_Dep.12[[#This Row],[Giá trị còn lại 31/12/25]]/(Data_Dep.12[[#This Row],[T/G điều chỉnh]]-Data_Dep.12[[#This Row],[Số kỳ đã khấu hao]]),0)</f>
        <v>-1665040.8487394957</v>
      </c>
      <c r="AC399" s="181">
        <v>-1665041</v>
      </c>
      <c r="AD399" s="181">
        <v>-1665041</v>
      </c>
      <c r="AE399" s="181">
        <v>-1665041</v>
      </c>
      <c r="AF399" s="181">
        <v>-1665041</v>
      </c>
      <c r="AG399" s="181">
        <v>-1665041</v>
      </c>
      <c r="AH399" s="181">
        <v>-1665041</v>
      </c>
      <c r="AI399" s="181">
        <v>-1665041</v>
      </c>
      <c r="AJ399" s="181">
        <v>-1665041</v>
      </c>
      <c r="AK399" s="181">
        <v>-1665041</v>
      </c>
      <c r="AL399" s="181">
        <v>-1665041</v>
      </c>
      <c r="AM399" s="181">
        <v>-1665041</v>
      </c>
      <c r="AN399" s="181">
        <v>-1665041</v>
      </c>
      <c r="AO399" s="175">
        <f>SUM(Data_Dep.12[[#This Row],[KH_2601]:[KH_2612]])</f>
        <v>-19980492</v>
      </c>
      <c r="AP399" s="175">
        <f>Data_Dep.12[[#This Row],[Giá trị còn lại 31/12/25]]+Data_Dep.12[[#This Row],[KH LK 2026]]</f>
        <v>178159369</v>
      </c>
    </row>
    <row r="400" spans="1:42" ht="15" thickBot="1" x14ac:dyDescent="0.35">
      <c r="A400" s="185" t="s">
        <v>232</v>
      </c>
      <c r="B400" s="186"/>
      <c r="C400" s="186"/>
      <c r="D400" s="186"/>
      <c r="E400" s="186"/>
      <c r="F400" s="186"/>
      <c r="G400" s="186"/>
      <c r="H400" s="186"/>
      <c r="I400" s="186"/>
      <c r="J400" s="187"/>
      <c r="K400" s="186"/>
      <c r="L400" s="188"/>
      <c r="M400" s="188"/>
      <c r="N400" s="189"/>
      <c r="O400" s="189"/>
      <c r="P400" s="189"/>
      <c r="Q400" s="189"/>
      <c r="R400" s="189"/>
      <c r="S400" s="189"/>
      <c r="T400" s="189"/>
      <c r="U400" s="189"/>
      <c r="V400" s="189"/>
      <c r="W400" s="190"/>
      <c r="X400" s="191"/>
      <c r="Y400" s="189"/>
      <c r="Z400" s="192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89"/>
      <c r="AN400" s="189"/>
      <c r="AO400" s="189"/>
      <c r="AP400" s="189"/>
    </row>
    <row r="401" spans="14:36" ht="15" thickTop="1" x14ac:dyDescent="0.3"/>
    <row r="402" spans="14:36" x14ac:dyDescent="0.3">
      <c r="T402" s="61"/>
      <c r="U402" s="35"/>
    </row>
    <row r="403" spans="14:36" x14ac:dyDescent="0.3">
      <c r="O403" s="61"/>
    </row>
    <row r="404" spans="14:36" x14ac:dyDescent="0.3">
      <c r="O404" s="61"/>
      <c r="V404" s="61"/>
      <c r="W404" s="35"/>
    </row>
    <row r="405" spans="14:36" x14ac:dyDescent="0.3">
      <c r="O405" s="61"/>
      <c r="P405" s="35"/>
      <c r="R405" s="61"/>
      <c r="V405" s="61"/>
      <c r="W405" s="35"/>
    </row>
    <row r="406" spans="14:36" x14ac:dyDescent="0.3">
      <c r="N406" s="61"/>
      <c r="O406" s="61"/>
      <c r="P406" s="35"/>
      <c r="V406" s="61"/>
      <c r="W406" s="35"/>
    </row>
    <row r="407" spans="14:36" x14ac:dyDescent="0.3">
      <c r="N407" s="61"/>
      <c r="O407" s="61"/>
      <c r="P407" s="35"/>
      <c r="V407" s="61"/>
      <c r="W407" s="35"/>
    </row>
    <row r="408" spans="14:36" x14ac:dyDescent="0.3">
      <c r="N408" s="61"/>
      <c r="O408" s="61"/>
      <c r="P408" s="61"/>
      <c r="V408" s="61"/>
      <c r="W408" s="35"/>
      <c r="AH408" s="61"/>
      <c r="AI408" s="61"/>
      <c r="AJ408" s="61"/>
    </row>
    <row r="409" spans="14:36" x14ac:dyDescent="0.3">
      <c r="N409" s="61"/>
      <c r="O409" s="61"/>
      <c r="P409" s="61"/>
      <c r="V409" s="61"/>
      <c r="W409" s="35"/>
      <c r="AH409" s="61"/>
      <c r="AI409" s="61"/>
      <c r="AJ409" s="61"/>
    </row>
    <row r="410" spans="14:36" x14ac:dyDescent="0.3">
      <c r="N410" s="61"/>
      <c r="O410" s="61"/>
      <c r="P410" s="61"/>
      <c r="V410" s="61"/>
      <c r="W410" s="35"/>
      <c r="AH410" s="61"/>
      <c r="AI410" s="61"/>
      <c r="AJ410" s="61"/>
    </row>
    <row r="411" spans="14:36" x14ac:dyDescent="0.3">
      <c r="N411" s="61"/>
      <c r="O411" s="61"/>
      <c r="P411" s="61"/>
      <c r="V411" s="61"/>
      <c r="W411" s="35"/>
      <c r="AH411" s="61"/>
      <c r="AI411" s="61"/>
      <c r="AJ411" s="61"/>
    </row>
    <row r="412" spans="14:36" x14ac:dyDescent="0.3">
      <c r="AH412" s="61"/>
      <c r="AI412" s="61"/>
      <c r="AJ412" s="61"/>
    </row>
    <row r="413" spans="14:36" x14ac:dyDescent="0.3">
      <c r="AH413" s="61"/>
      <c r="AI413" s="61"/>
      <c r="AJ413" s="61"/>
    </row>
  </sheetData>
  <conditionalFormatting sqref="D1">
    <cfRule type="duplicateValues" dxfId="4" priority="3"/>
  </conditionalFormatting>
  <conditionalFormatting sqref="D1:D3">
    <cfRule type="containsText" dxfId="3" priority="4" operator="containsText" text="xxx">
      <formula>NOT(ISERROR(SEARCH("xxx",D1)))</formula>
    </cfRule>
  </conditionalFormatting>
  <conditionalFormatting sqref="D2">
    <cfRule type="duplicateValues" dxfId="2" priority="5"/>
  </conditionalFormatting>
  <conditionalFormatting sqref="D3">
    <cfRule type="duplicateValues" dxfId="1" priority="2"/>
  </conditionalFormatting>
  <conditionalFormatting sqref="AP9:AP400">
    <cfRule type="expression" dxfId="0" priority="1">
      <formula>AP9&lt;0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6B71-B746-49BE-89C1-8811BFDE65B0}">
  <sheetPr codeName="Sheet16"/>
  <dimension ref="A1:L339"/>
  <sheetViews>
    <sheetView topLeftCell="A307" zoomScale="70" zoomScaleNormal="70" workbookViewId="0">
      <selection activeCell="B332" sqref="A332:XFD332"/>
    </sheetView>
  </sheetViews>
  <sheetFormatPr defaultRowHeight="14.4" x14ac:dyDescent="0.3"/>
  <cols>
    <col min="1" max="1" width="8.5546875" style="121" bestFit="1" customWidth="1"/>
    <col min="2" max="2" width="9.21875" bestFit="1" customWidth="1"/>
    <col min="3" max="3" width="33.109375" style="69" customWidth="1"/>
    <col min="4" max="4" width="13.5546875" bestFit="1" customWidth="1"/>
    <col min="5" max="5" width="7.21875" customWidth="1"/>
    <col min="6" max="6" width="15.33203125" style="68" customWidth="1"/>
    <col min="7" max="7" width="10.77734375" customWidth="1"/>
    <col min="8" max="8" width="10.77734375" style="69" customWidth="1"/>
    <col min="9" max="9" width="15.109375" customWidth="1"/>
    <col min="10" max="10" width="16.44140625" style="68" bestFit="1" customWidth="1"/>
    <col min="11" max="11" width="14.77734375" style="68" bestFit="1" customWidth="1"/>
    <col min="12" max="12" width="15.5546875" style="68" customWidth="1"/>
  </cols>
  <sheetData>
    <row r="1" spans="1:12" ht="17.399999999999999" x14ac:dyDescent="0.3">
      <c r="C1" s="140" t="s">
        <v>1484</v>
      </c>
    </row>
    <row r="2" spans="1:12" ht="15.6" x14ac:dyDescent="0.3">
      <c r="A2" s="66"/>
      <c r="L2" s="141" t="s">
        <v>1485</v>
      </c>
    </row>
    <row r="3" spans="1:12" ht="43.5" customHeight="1" x14ac:dyDescent="0.3">
      <c r="A3" s="222" t="s">
        <v>1486</v>
      </c>
      <c r="B3" s="222" t="s">
        <v>290</v>
      </c>
      <c r="C3" s="221" t="s">
        <v>1487</v>
      </c>
      <c r="D3" s="221" t="s">
        <v>1488</v>
      </c>
      <c r="E3" s="221" t="s">
        <v>1489</v>
      </c>
      <c r="F3" s="225" t="s">
        <v>295</v>
      </c>
      <c r="G3" s="221" t="s">
        <v>1490</v>
      </c>
      <c r="H3" s="221" t="s">
        <v>1491</v>
      </c>
      <c r="I3" s="221" t="s">
        <v>1492</v>
      </c>
      <c r="J3" s="225" t="s">
        <v>1493</v>
      </c>
      <c r="K3" s="225" t="s">
        <v>1494</v>
      </c>
      <c r="L3" s="225" t="s">
        <v>1495</v>
      </c>
    </row>
    <row r="4" spans="1:12" ht="24" customHeight="1" x14ac:dyDescent="0.3">
      <c r="A4" s="223"/>
      <c r="B4" s="223"/>
      <c r="C4" s="221"/>
      <c r="D4" s="221"/>
      <c r="E4" s="221"/>
      <c r="F4" s="225"/>
      <c r="G4" s="221"/>
      <c r="H4" s="221"/>
      <c r="I4" s="221"/>
      <c r="J4" s="225"/>
      <c r="K4" s="225"/>
      <c r="L4" s="225"/>
    </row>
    <row r="5" spans="1:12" ht="16.2" x14ac:dyDescent="0.3">
      <c r="A5" s="70" t="s">
        <v>1384</v>
      </c>
      <c r="B5" s="71"/>
      <c r="C5" s="142" t="s">
        <v>1496</v>
      </c>
      <c r="D5" s="71"/>
      <c r="E5" s="73"/>
      <c r="F5" s="74"/>
      <c r="G5" s="75"/>
      <c r="H5" s="73"/>
      <c r="I5" s="75"/>
      <c r="J5" s="143"/>
      <c r="K5" s="143"/>
      <c r="L5" s="143"/>
    </row>
    <row r="6" spans="1:12" ht="15.6" x14ac:dyDescent="0.3">
      <c r="A6" s="144" t="s">
        <v>1386</v>
      </c>
      <c r="B6" s="145"/>
      <c r="C6" s="146" t="s">
        <v>1390</v>
      </c>
      <c r="D6" s="145"/>
      <c r="E6" s="100"/>
      <c r="F6" s="147"/>
      <c r="G6" s="105"/>
      <c r="H6" s="100"/>
      <c r="I6" s="105"/>
      <c r="J6" s="148"/>
      <c r="K6" s="148"/>
      <c r="L6" s="148"/>
    </row>
    <row r="7" spans="1:12" ht="15.6" x14ac:dyDescent="0.3">
      <c r="A7" s="85">
        <f>SUBTOTAL(3,$B$7:B7)</f>
        <v>1</v>
      </c>
      <c r="B7" s="86" t="s">
        <v>831</v>
      </c>
      <c r="C7" s="90" t="s">
        <v>515</v>
      </c>
      <c r="D7" s="87">
        <v>45261</v>
      </c>
      <c r="E7" s="80">
        <v>1</v>
      </c>
      <c r="F7" s="88">
        <v>958000000</v>
      </c>
      <c r="G7" s="82">
        <v>6</v>
      </c>
      <c r="H7" s="80">
        <v>10</v>
      </c>
      <c r="I7" s="84" t="s">
        <v>1392</v>
      </c>
      <c r="J7" s="88">
        <v>160000000</v>
      </c>
      <c r="K7" s="88">
        <v>96000000</v>
      </c>
      <c r="L7" s="88">
        <v>64000000</v>
      </c>
    </row>
    <row r="8" spans="1:12" ht="15.6" x14ac:dyDescent="0.3">
      <c r="A8" s="85">
        <f>SUBTOTAL(3,$B$7:B8)</f>
        <v>2</v>
      </c>
      <c r="B8" s="86" t="s">
        <v>833</v>
      </c>
      <c r="C8" s="90" t="s">
        <v>517</v>
      </c>
      <c r="D8" s="87">
        <v>45627</v>
      </c>
      <c r="E8" s="80">
        <v>1</v>
      </c>
      <c r="F8" s="88">
        <v>621000000</v>
      </c>
      <c r="G8" s="82">
        <v>3</v>
      </c>
      <c r="H8" s="80">
        <v>10</v>
      </c>
      <c r="I8" s="84" t="s">
        <v>1392</v>
      </c>
      <c r="J8" s="88">
        <v>207000000</v>
      </c>
      <c r="K8" s="88">
        <v>62000000</v>
      </c>
      <c r="L8" s="88">
        <v>145000000</v>
      </c>
    </row>
    <row r="9" spans="1:12" ht="15" customHeight="1" x14ac:dyDescent="0.3">
      <c r="A9" s="85">
        <f>SUBTOTAL(3,$B$7:B9)</f>
        <v>3</v>
      </c>
      <c r="B9" s="86" t="s">
        <v>1126</v>
      </c>
      <c r="C9" s="149" t="s">
        <v>747</v>
      </c>
      <c r="D9" s="87">
        <v>44896</v>
      </c>
      <c r="E9" s="80">
        <v>1</v>
      </c>
      <c r="F9" s="88">
        <v>323000000</v>
      </c>
      <c r="G9" s="82">
        <v>3</v>
      </c>
      <c r="H9" s="114">
        <v>10</v>
      </c>
      <c r="I9" s="83" t="s">
        <v>1392</v>
      </c>
      <c r="J9" s="88">
        <v>108000000</v>
      </c>
      <c r="K9" s="88">
        <v>22000000</v>
      </c>
      <c r="L9" s="88">
        <v>86000000</v>
      </c>
    </row>
    <row r="10" spans="1:12" ht="15.6" x14ac:dyDescent="0.3">
      <c r="A10" s="85">
        <f>SUBTOTAL(3,$B$7:B10)</f>
        <v>4</v>
      </c>
      <c r="B10" s="86" t="s">
        <v>837</v>
      </c>
      <c r="C10" s="90" t="s">
        <v>505</v>
      </c>
      <c r="D10" s="87">
        <v>45261</v>
      </c>
      <c r="E10" s="80">
        <v>1</v>
      </c>
      <c r="F10" s="88">
        <v>310000000</v>
      </c>
      <c r="G10" s="82">
        <v>3</v>
      </c>
      <c r="H10" s="80">
        <v>10</v>
      </c>
      <c r="I10" s="84" t="s">
        <v>1392</v>
      </c>
      <c r="J10" s="88">
        <v>103000000</v>
      </c>
      <c r="K10" s="88">
        <v>31000000</v>
      </c>
      <c r="L10" s="88">
        <v>72000000</v>
      </c>
    </row>
    <row r="11" spans="1:12" ht="31.2" x14ac:dyDescent="0.3">
      <c r="A11" s="85">
        <f>SUBTOTAL(3,$B$7:B11)</f>
        <v>5</v>
      </c>
      <c r="B11" s="86" t="s">
        <v>838</v>
      </c>
      <c r="C11" s="90" t="s">
        <v>506</v>
      </c>
      <c r="D11" s="87">
        <v>45261</v>
      </c>
      <c r="E11" s="80">
        <v>1</v>
      </c>
      <c r="F11" s="88">
        <v>278000000</v>
      </c>
      <c r="G11" s="82">
        <v>6</v>
      </c>
      <c r="H11" s="80">
        <v>10</v>
      </c>
      <c r="I11" s="84" t="s">
        <v>1392</v>
      </c>
      <c r="J11" s="88">
        <v>46000000</v>
      </c>
      <c r="K11" s="88">
        <v>28000000</v>
      </c>
      <c r="L11" s="88">
        <v>19000000</v>
      </c>
    </row>
    <row r="12" spans="1:12" ht="31.2" x14ac:dyDescent="0.3">
      <c r="A12" s="85">
        <f>SUBTOTAL(3,$B$7:B12)</f>
        <v>6</v>
      </c>
      <c r="B12" s="86" t="s">
        <v>836</v>
      </c>
      <c r="C12" s="90" t="s">
        <v>504</v>
      </c>
      <c r="D12" s="87">
        <v>45261</v>
      </c>
      <c r="E12" s="80">
        <v>1</v>
      </c>
      <c r="F12" s="88">
        <v>268000000</v>
      </c>
      <c r="G12" s="82">
        <v>6</v>
      </c>
      <c r="H12" s="80">
        <v>10</v>
      </c>
      <c r="I12" s="84" t="s">
        <v>1392</v>
      </c>
      <c r="J12" s="88">
        <v>45000000</v>
      </c>
      <c r="K12" s="88">
        <v>27000000</v>
      </c>
      <c r="L12" s="88">
        <v>18000000</v>
      </c>
    </row>
    <row r="13" spans="1:12" ht="15.6" x14ac:dyDescent="0.3">
      <c r="A13" s="85">
        <f>SUBTOTAL(3,$B$7:B13)</f>
        <v>7</v>
      </c>
      <c r="B13" s="86" t="s">
        <v>835</v>
      </c>
      <c r="C13" s="90" t="s">
        <v>503</v>
      </c>
      <c r="D13" s="87">
        <v>44986</v>
      </c>
      <c r="E13" s="80">
        <v>1</v>
      </c>
      <c r="F13" s="88">
        <v>185000000</v>
      </c>
      <c r="G13" s="82">
        <v>3</v>
      </c>
      <c r="H13" s="80">
        <v>10</v>
      </c>
      <c r="I13" s="84" t="s">
        <v>1392</v>
      </c>
      <c r="J13" s="88">
        <v>62000000</v>
      </c>
      <c r="K13" s="88">
        <v>18000000</v>
      </c>
      <c r="L13" s="88">
        <v>43000000</v>
      </c>
    </row>
    <row r="14" spans="1:12" ht="31.2" x14ac:dyDescent="0.3">
      <c r="A14" s="85">
        <f>SUBTOTAL(3,$B$7:B14)</f>
        <v>8</v>
      </c>
      <c r="B14" s="86" t="s">
        <v>834</v>
      </c>
      <c r="C14" s="90" t="s">
        <v>518</v>
      </c>
      <c r="D14" s="87">
        <v>45231</v>
      </c>
      <c r="E14" s="80">
        <v>1</v>
      </c>
      <c r="F14" s="88">
        <v>175000000</v>
      </c>
      <c r="G14" s="82">
        <v>2</v>
      </c>
      <c r="H14" s="80">
        <v>10</v>
      </c>
      <c r="I14" s="84" t="s">
        <v>1392</v>
      </c>
      <c r="J14" s="88">
        <v>87000000</v>
      </c>
      <c r="K14" s="88">
        <v>17000000</v>
      </c>
      <c r="L14" s="88">
        <v>70000000</v>
      </c>
    </row>
    <row r="15" spans="1:12" ht="15.6" x14ac:dyDescent="0.3">
      <c r="A15" s="85">
        <f>SUBTOTAL(3,$B$7:B15)</f>
        <v>9</v>
      </c>
      <c r="B15" s="86" t="s">
        <v>842</v>
      </c>
      <c r="C15" s="90" t="s">
        <v>510</v>
      </c>
      <c r="D15" s="87">
        <v>45413</v>
      </c>
      <c r="E15" s="80">
        <v>1</v>
      </c>
      <c r="F15" s="88">
        <v>161000000</v>
      </c>
      <c r="G15" s="82">
        <v>3</v>
      </c>
      <c r="H15" s="80">
        <v>10</v>
      </c>
      <c r="I15" s="84" t="s">
        <v>1392</v>
      </c>
      <c r="J15" s="88">
        <v>54000000</v>
      </c>
      <c r="K15" s="88">
        <v>16000000</v>
      </c>
      <c r="L15" s="88">
        <v>38000000</v>
      </c>
    </row>
    <row r="16" spans="1:12" ht="15.6" x14ac:dyDescent="0.3">
      <c r="A16" s="85">
        <f>SUBTOTAL(3,$B$7:B16)</f>
        <v>10</v>
      </c>
      <c r="B16" s="86" t="s">
        <v>844</v>
      </c>
      <c r="C16" s="90" t="s">
        <v>512</v>
      </c>
      <c r="D16" s="87">
        <v>45717</v>
      </c>
      <c r="E16" s="80">
        <v>1</v>
      </c>
      <c r="F16" s="88">
        <v>141000000</v>
      </c>
      <c r="G16" s="82">
        <v>3</v>
      </c>
      <c r="H16" s="80">
        <v>10</v>
      </c>
      <c r="I16" s="84" t="s">
        <v>1392</v>
      </c>
      <c r="J16" s="88">
        <v>47000000</v>
      </c>
      <c r="K16" s="88">
        <v>14000000</v>
      </c>
      <c r="L16" s="88">
        <v>33000000</v>
      </c>
    </row>
    <row r="17" spans="1:12" ht="15.6" x14ac:dyDescent="0.3">
      <c r="A17" s="85">
        <f>SUBTOTAL(3,$B$7:B17)</f>
        <v>11</v>
      </c>
      <c r="B17" s="86" t="s">
        <v>1069</v>
      </c>
      <c r="C17" s="150" t="s">
        <v>707</v>
      </c>
      <c r="D17" s="87">
        <v>44501</v>
      </c>
      <c r="E17" s="80">
        <v>1</v>
      </c>
      <c r="F17" s="88">
        <v>128000000</v>
      </c>
      <c r="G17" s="82">
        <v>6</v>
      </c>
      <c r="H17" s="80">
        <v>10</v>
      </c>
      <c r="I17" s="83" t="s">
        <v>1392</v>
      </c>
      <c r="J17" s="88">
        <v>21000000</v>
      </c>
      <c r="K17" s="88">
        <v>13000000</v>
      </c>
      <c r="L17" s="88">
        <v>9000000</v>
      </c>
    </row>
    <row r="18" spans="1:12" ht="15.6" x14ac:dyDescent="0.3">
      <c r="A18" s="85">
        <f>SUBTOTAL(3,$B$7:B18)</f>
        <v>12</v>
      </c>
      <c r="B18" s="86" t="s">
        <v>1068</v>
      </c>
      <c r="C18" s="150" t="s">
        <v>706</v>
      </c>
      <c r="D18" s="87">
        <v>44414</v>
      </c>
      <c r="E18" s="80">
        <v>1</v>
      </c>
      <c r="F18" s="88">
        <v>125000000</v>
      </c>
      <c r="G18" s="82">
        <v>5</v>
      </c>
      <c r="H18" s="80">
        <v>10</v>
      </c>
      <c r="I18" s="83" t="s">
        <v>1392</v>
      </c>
      <c r="J18" s="88">
        <v>25000000</v>
      </c>
      <c r="K18" s="88">
        <v>13000000</v>
      </c>
      <c r="L18" s="88">
        <v>13000000</v>
      </c>
    </row>
    <row r="19" spans="1:12" ht="15.6" x14ac:dyDescent="0.3">
      <c r="A19" s="85">
        <f>SUBTOTAL(3,$B$7:B19)</f>
        <v>13</v>
      </c>
      <c r="B19" s="86" t="s">
        <v>839</v>
      </c>
      <c r="C19" s="90" t="s">
        <v>507</v>
      </c>
      <c r="D19" s="87">
        <v>45261</v>
      </c>
      <c r="E19" s="80">
        <v>1</v>
      </c>
      <c r="F19" s="88">
        <v>119000000</v>
      </c>
      <c r="G19" s="82">
        <v>8</v>
      </c>
      <c r="H19" s="80">
        <v>10</v>
      </c>
      <c r="I19" s="84" t="s">
        <v>1392</v>
      </c>
      <c r="J19" s="88">
        <v>15000000</v>
      </c>
      <c r="K19" s="88">
        <v>12000000</v>
      </c>
      <c r="L19" s="88">
        <v>3000000</v>
      </c>
    </row>
    <row r="20" spans="1:12" ht="15.6" x14ac:dyDescent="0.3">
      <c r="A20" s="85">
        <f>SUBTOTAL(3,$B$7:B20)</f>
        <v>14</v>
      </c>
      <c r="B20" s="86" t="s">
        <v>840</v>
      </c>
      <c r="C20" s="90" t="s">
        <v>508</v>
      </c>
      <c r="D20" s="87">
        <v>45261</v>
      </c>
      <c r="E20" s="80">
        <v>1</v>
      </c>
      <c r="F20" s="88">
        <v>118000000</v>
      </c>
      <c r="G20" s="82">
        <v>6</v>
      </c>
      <c r="H20" s="80">
        <v>10</v>
      </c>
      <c r="I20" s="84" t="s">
        <v>1392</v>
      </c>
      <c r="J20" s="88">
        <v>20000000</v>
      </c>
      <c r="K20" s="88">
        <v>12000000</v>
      </c>
      <c r="L20" s="88">
        <v>8000000</v>
      </c>
    </row>
    <row r="21" spans="1:12" ht="29.1" customHeight="1" x14ac:dyDescent="0.3">
      <c r="A21" s="85">
        <f>SUBTOTAL(3,$B$7:B21)</f>
        <v>15</v>
      </c>
      <c r="B21" s="86" t="s">
        <v>1119</v>
      </c>
      <c r="C21" s="149" t="s">
        <v>734</v>
      </c>
      <c r="D21" s="87">
        <v>45017</v>
      </c>
      <c r="E21" s="80">
        <v>1</v>
      </c>
      <c r="F21" s="88">
        <v>110000000</v>
      </c>
      <c r="G21" s="82">
        <v>3</v>
      </c>
      <c r="H21" s="80">
        <v>10</v>
      </c>
      <c r="I21" s="83" t="s">
        <v>1392</v>
      </c>
      <c r="J21" s="88">
        <v>37000000</v>
      </c>
      <c r="K21" s="88">
        <v>11000000</v>
      </c>
      <c r="L21" s="88">
        <v>26000000</v>
      </c>
    </row>
    <row r="22" spans="1:12" ht="15.6" x14ac:dyDescent="0.3">
      <c r="A22" s="85">
        <f>SUBTOTAL(3,$B$7:B22)</f>
        <v>16</v>
      </c>
      <c r="B22" s="86" t="s">
        <v>846</v>
      </c>
      <c r="C22" s="90" t="s">
        <v>514</v>
      </c>
      <c r="D22" s="87">
        <v>45931</v>
      </c>
      <c r="E22" s="80">
        <v>1</v>
      </c>
      <c r="F22" s="88">
        <v>108000000</v>
      </c>
      <c r="G22" s="82">
        <v>6</v>
      </c>
      <c r="H22" s="80">
        <v>10</v>
      </c>
      <c r="I22" s="84" t="s">
        <v>1392</v>
      </c>
      <c r="J22" s="88">
        <v>18000000</v>
      </c>
      <c r="K22" s="88">
        <v>11000000</v>
      </c>
      <c r="L22" s="88">
        <v>7000000</v>
      </c>
    </row>
    <row r="23" spans="1:12" ht="31.2" x14ac:dyDescent="0.3">
      <c r="A23" s="85">
        <f>SUBTOTAL(3,$B$7:B23)</f>
        <v>17</v>
      </c>
      <c r="B23" s="86" t="s">
        <v>1151</v>
      </c>
      <c r="C23" s="149" t="s">
        <v>778</v>
      </c>
      <c r="D23" s="87">
        <v>45901</v>
      </c>
      <c r="E23" s="80">
        <v>1</v>
      </c>
      <c r="F23" s="88">
        <v>91000000</v>
      </c>
      <c r="G23" s="82">
        <v>4</v>
      </c>
      <c r="H23" s="80">
        <v>10</v>
      </c>
      <c r="I23" s="83" t="s">
        <v>1392</v>
      </c>
      <c r="J23" s="88">
        <v>23000000</v>
      </c>
      <c r="K23" s="88">
        <v>4000000</v>
      </c>
      <c r="L23" s="88">
        <v>19000000</v>
      </c>
    </row>
    <row r="24" spans="1:12" ht="15.6" x14ac:dyDescent="0.3">
      <c r="A24" s="85">
        <f>SUBTOTAL(3,$B$7:B24)</f>
        <v>18</v>
      </c>
      <c r="B24" s="86" t="s">
        <v>845</v>
      </c>
      <c r="C24" s="90" t="s">
        <v>513</v>
      </c>
      <c r="D24" s="87">
        <v>45809</v>
      </c>
      <c r="E24" s="80">
        <v>1</v>
      </c>
      <c r="F24" s="88">
        <v>72000000</v>
      </c>
      <c r="G24" s="82">
        <v>6</v>
      </c>
      <c r="H24" s="80">
        <v>10</v>
      </c>
      <c r="I24" s="84" t="s">
        <v>1392</v>
      </c>
      <c r="J24" s="88">
        <v>12000000</v>
      </c>
      <c r="K24" s="88">
        <v>7000000</v>
      </c>
      <c r="L24" s="88">
        <v>5000000</v>
      </c>
    </row>
    <row r="25" spans="1:12" ht="15.6" x14ac:dyDescent="0.3">
      <c r="A25" s="85">
        <f>SUBTOTAL(3,$B$7:B25)</f>
        <v>19</v>
      </c>
      <c r="B25" s="86" t="s">
        <v>843</v>
      </c>
      <c r="C25" s="90" t="s">
        <v>511</v>
      </c>
      <c r="D25" s="87">
        <v>45627</v>
      </c>
      <c r="E25" s="80">
        <v>1</v>
      </c>
      <c r="F25" s="88">
        <v>71000000</v>
      </c>
      <c r="G25" s="82">
        <v>3</v>
      </c>
      <c r="H25" s="80">
        <v>10</v>
      </c>
      <c r="I25" s="84" t="s">
        <v>1392</v>
      </c>
      <c r="J25" s="88">
        <v>24000000</v>
      </c>
      <c r="K25" s="88">
        <v>7000000</v>
      </c>
      <c r="L25" s="88">
        <v>17000000</v>
      </c>
    </row>
    <row r="26" spans="1:12" ht="31.2" x14ac:dyDescent="0.3">
      <c r="A26" s="85">
        <f>SUBTOTAL(3,$B$7:B26)</f>
        <v>20</v>
      </c>
      <c r="B26" s="86" t="s">
        <v>1154</v>
      </c>
      <c r="C26" s="149" t="s">
        <v>750</v>
      </c>
      <c r="D26" s="87">
        <v>45108</v>
      </c>
      <c r="E26" s="80">
        <v>1</v>
      </c>
      <c r="F26" s="88">
        <v>59000000</v>
      </c>
      <c r="G26" s="82">
        <v>3</v>
      </c>
      <c r="H26" s="80">
        <v>10</v>
      </c>
      <c r="I26" s="84" t="s">
        <v>1392</v>
      </c>
      <c r="J26" s="88">
        <v>20000000</v>
      </c>
      <c r="K26" s="88">
        <v>2000000</v>
      </c>
      <c r="L26" s="88">
        <v>17000000</v>
      </c>
    </row>
    <row r="27" spans="1:12" ht="15.6" x14ac:dyDescent="0.3">
      <c r="A27" s="85">
        <f>SUBTOTAL(3,$B$7:B27)</f>
        <v>21</v>
      </c>
      <c r="B27" s="86" t="s">
        <v>1135</v>
      </c>
      <c r="C27" s="149" t="s">
        <v>762</v>
      </c>
      <c r="D27" s="87">
        <v>45108</v>
      </c>
      <c r="E27" s="80">
        <v>1</v>
      </c>
      <c r="F27" s="88">
        <v>53000000</v>
      </c>
      <c r="G27" s="82">
        <v>3</v>
      </c>
      <c r="H27" s="80">
        <v>10</v>
      </c>
      <c r="I27" s="84" t="s">
        <v>1392</v>
      </c>
      <c r="J27" s="88">
        <v>18000000</v>
      </c>
      <c r="K27" s="88">
        <v>2000000</v>
      </c>
      <c r="L27" s="88">
        <v>16000000</v>
      </c>
    </row>
    <row r="28" spans="1:12" ht="15.6" x14ac:dyDescent="0.3">
      <c r="A28" s="85">
        <f>SUBTOTAL(3,$B$7:B28)</f>
        <v>22</v>
      </c>
      <c r="B28" s="86" t="s">
        <v>832</v>
      </c>
      <c r="C28" s="90" t="s">
        <v>516</v>
      </c>
      <c r="D28" s="87">
        <v>45383</v>
      </c>
      <c r="E28" s="80">
        <v>1</v>
      </c>
      <c r="F28" s="88">
        <v>34000000</v>
      </c>
      <c r="G28" s="82">
        <v>3</v>
      </c>
      <c r="H28" s="80">
        <v>10</v>
      </c>
      <c r="I28" s="84" t="s">
        <v>1392</v>
      </c>
      <c r="J28" s="88">
        <v>11000000</v>
      </c>
      <c r="K28" s="88">
        <v>3000000</v>
      </c>
      <c r="L28" s="88">
        <v>8000000</v>
      </c>
    </row>
    <row r="29" spans="1:12" ht="12.75" customHeight="1" x14ac:dyDescent="0.3">
      <c r="A29" s="85">
        <f>SUBTOTAL(3,$B$7:B29)</f>
        <v>23</v>
      </c>
      <c r="B29" s="86" t="s">
        <v>841</v>
      </c>
      <c r="C29" s="90" t="s">
        <v>509</v>
      </c>
      <c r="D29" s="87">
        <v>45261</v>
      </c>
      <c r="E29" s="80">
        <v>1</v>
      </c>
      <c r="F29" s="88">
        <v>31000000</v>
      </c>
      <c r="G29" s="82">
        <v>3</v>
      </c>
      <c r="H29" s="80">
        <v>10</v>
      </c>
      <c r="I29" s="84" t="s">
        <v>1392</v>
      </c>
      <c r="J29" s="88">
        <v>10000000</v>
      </c>
      <c r="K29" s="88">
        <v>3000000</v>
      </c>
      <c r="L29" s="88">
        <v>7000000</v>
      </c>
    </row>
    <row r="30" spans="1:12" ht="16.2" x14ac:dyDescent="0.3">
      <c r="A30" s="144" t="s">
        <v>1389</v>
      </c>
      <c r="B30" s="145"/>
      <c r="C30" s="151" t="s">
        <v>1497</v>
      </c>
      <c r="D30" s="145"/>
      <c r="E30" s="100"/>
      <c r="F30" s="147"/>
      <c r="G30" s="105"/>
      <c r="H30" s="100"/>
      <c r="I30" s="105"/>
      <c r="J30" s="148"/>
      <c r="K30" s="148"/>
      <c r="L30" s="148"/>
    </row>
    <row r="31" spans="1:12" ht="15.6" x14ac:dyDescent="0.3">
      <c r="A31" s="85">
        <v>1</v>
      </c>
      <c r="B31" s="86" t="s">
        <v>1142</v>
      </c>
      <c r="C31" s="149" t="s">
        <v>769</v>
      </c>
      <c r="D31" s="87">
        <v>45383</v>
      </c>
      <c r="E31" s="80">
        <v>1</v>
      </c>
      <c r="F31" s="88">
        <v>22958000000</v>
      </c>
      <c r="G31" s="82">
        <v>15</v>
      </c>
      <c r="H31" s="80">
        <v>20</v>
      </c>
      <c r="I31" s="83" t="s">
        <v>1498</v>
      </c>
      <c r="J31" s="88">
        <v>1531000000</v>
      </c>
      <c r="K31" s="88">
        <v>918000000</v>
      </c>
      <c r="L31" s="88">
        <v>612000000</v>
      </c>
    </row>
    <row r="32" spans="1:12" ht="15.6" x14ac:dyDescent="0.3">
      <c r="A32" s="85">
        <v>2</v>
      </c>
      <c r="B32" s="86" t="s">
        <v>1137</v>
      </c>
      <c r="C32" s="149" t="s">
        <v>764</v>
      </c>
      <c r="D32" s="87">
        <v>45170</v>
      </c>
      <c r="E32" s="80">
        <v>1</v>
      </c>
      <c r="F32" s="88">
        <v>6446000000</v>
      </c>
      <c r="G32" s="82">
        <v>15</v>
      </c>
      <c r="H32" s="80">
        <v>20</v>
      </c>
      <c r="I32" s="83" t="s">
        <v>1498</v>
      </c>
      <c r="J32" s="88">
        <v>430000000</v>
      </c>
      <c r="K32" s="88">
        <v>258000000</v>
      </c>
      <c r="L32" s="88">
        <v>172000000</v>
      </c>
    </row>
    <row r="33" spans="1:12" ht="15.6" x14ac:dyDescent="0.3">
      <c r="A33" s="85">
        <v>3</v>
      </c>
      <c r="B33" s="86" t="s">
        <v>1136</v>
      </c>
      <c r="C33" s="149" t="s">
        <v>763</v>
      </c>
      <c r="D33" s="87">
        <v>45141</v>
      </c>
      <c r="E33" s="80">
        <v>1</v>
      </c>
      <c r="F33" s="88">
        <v>81000000</v>
      </c>
      <c r="G33" s="82">
        <v>3</v>
      </c>
      <c r="H33" s="80">
        <v>20</v>
      </c>
      <c r="I33" s="83" t="s">
        <v>1498</v>
      </c>
      <c r="J33" s="88">
        <v>27000000</v>
      </c>
      <c r="K33" s="88">
        <v>3000000</v>
      </c>
      <c r="L33" s="88">
        <v>24000000</v>
      </c>
    </row>
    <row r="34" spans="1:12" ht="15.6" x14ac:dyDescent="0.3">
      <c r="A34" s="76" t="s">
        <v>1393</v>
      </c>
      <c r="B34" s="77"/>
      <c r="C34" s="100" t="s">
        <v>1499</v>
      </c>
      <c r="D34" s="79"/>
      <c r="E34" s="101"/>
      <c r="F34" s="102"/>
      <c r="G34" s="104"/>
      <c r="H34" s="101"/>
      <c r="I34" s="83"/>
      <c r="J34" s="152"/>
      <c r="K34" s="152"/>
      <c r="L34" s="152"/>
    </row>
    <row r="35" spans="1:12" ht="31.2" x14ac:dyDescent="0.3">
      <c r="A35" s="85">
        <v>1</v>
      </c>
      <c r="B35" s="86" t="s">
        <v>1153</v>
      </c>
      <c r="C35" s="149" t="s">
        <v>749</v>
      </c>
      <c r="D35" s="87">
        <v>45017</v>
      </c>
      <c r="E35" s="80">
        <v>1</v>
      </c>
      <c r="F35" s="88">
        <v>808000000</v>
      </c>
      <c r="G35" s="82">
        <v>3</v>
      </c>
      <c r="H35" s="80">
        <v>25</v>
      </c>
      <c r="I35" s="83" t="s">
        <v>1500</v>
      </c>
      <c r="J35" s="88">
        <v>269000000</v>
      </c>
      <c r="K35" s="88">
        <v>32000000</v>
      </c>
      <c r="L35" s="88">
        <v>237000000</v>
      </c>
    </row>
    <row r="36" spans="1:12" ht="32.4" x14ac:dyDescent="0.3">
      <c r="A36" s="92" t="s">
        <v>1411</v>
      </c>
      <c r="B36" s="93"/>
      <c r="C36" s="153" t="s">
        <v>1412</v>
      </c>
      <c r="D36" s="95"/>
      <c r="E36" s="96"/>
      <c r="F36" s="97"/>
      <c r="G36" s="98"/>
      <c r="H36" s="99"/>
      <c r="I36" s="98"/>
      <c r="J36" s="154"/>
      <c r="K36" s="154"/>
      <c r="L36" s="154"/>
    </row>
    <row r="37" spans="1:12" ht="15.6" x14ac:dyDescent="0.3">
      <c r="A37" s="76" t="s">
        <v>1413</v>
      </c>
      <c r="B37" s="77"/>
      <c r="C37" s="100" t="s">
        <v>1417</v>
      </c>
      <c r="D37" s="79"/>
      <c r="E37" s="101"/>
      <c r="F37" s="102"/>
      <c r="G37" s="104"/>
      <c r="H37" s="101"/>
      <c r="I37" s="104"/>
      <c r="J37" s="152"/>
      <c r="K37" s="152"/>
      <c r="L37" s="152"/>
    </row>
    <row r="38" spans="1:12" ht="15.6" x14ac:dyDescent="0.3">
      <c r="A38" s="85">
        <f>SUBTOTAL(3,$B$38:B38)</f>
        <v>1</v>
      </c>
      <c r="B38" s="86" t="s">
        <v>852</v>
      </c>
      <c r="C38" s="90" t="s">
        <v>625</v>
      </c>
      <c r="D38" s="87">
        <v>44417</v>
      </c>
      <c r="E38" s="80">
        <v>1</v>
      </c>
      <c r="F38" s="88">
        <v>42628000000</v>
      </c>
      <c r="G38" s="82">
        <v>10</v>
      </c>
      <c r="H38" s="101">
        <v>12</v>
      </c>
      <c r="I38" s="104" t="s">
        <v>1419</v>
      </c>
      <c r="J38" s="88">
        <v>4263000000</v>
      </c>
      <c r="K38" s="88">
        <v>3552000000</v>
      </c>
      <c r="L38" s="88">
        <v>710000000</v>
      </c>
    </row>
    <row r="39" spans="1:12" ht="15.6" x14ac:dyDescent="0.3">
      <c r="A39" s="85">
        <f>SUBTOTAL(3,$B$38:B39)</f>
        <v>2</v>
      </c>
      <c r="B39" s="86" t="s">
        <v>851</v>
      </c>
      <c r="C39" s="90" t="s">
        <v>624</v>
      </c>
      <c r="D39" s="87">
        <v>44417</v>
      </c>
      <c r="E39" s="80">
        <v>1</v>
      </c>
      <c r="F39" s="88">
        <v>40241000000</v>
      </c>
      <c r="G39" s="82">
        <v>10</v>
      </c>
      <c r="H39" s="101">
        <v>12</v>
      </c>
      <c r="I39" s="104" t="s">
        <v>1419</v>
      </c>
      <c r="J39" s="88">
        <v>4024000000</v>
      </c>
      <c r="K39" s="88">
        <v>3353000000</v>
      </c>
      <c r="L39" s="88">
        <v>671000000</v>
      </c>
    </row>
    <row r="40" spans="1:12" ht="15.6" x14ac:dyDescent="0.3">
      <c r="A40" s="85">
        <f>SUBTOTAL(3,$B$38:B40)</f>
        <v>3</v>
      </c>
      <c r="B40" s="86" t="s">
        <v>849</v>
      </c>
      <c r="C40" s="90" t="s">
        <v>623</v>
      </c>
      <c r="D40" s="87">
        <v>44417</v>
      </c>
      <c r="E40" s="80">
        <v>1</v>
      </c>
      <c r="F40" s="88">
        <v>37079000000</v>
      </c>
      <c r="G40" s="82">
        <v>10</v>
      </c>
      <c r="H40" s="101">
        <v>12</v>
      </c>
      <c r="I40" s="104" t="s">
        <v>1419</v>
      </c>
      <c r="J40" s="88">
        <v>3708000000</v>
      </c>
      <c r="K40" s="88">
        <v>3090000000</v>
      </c>
      <c r="L40" s="88">
        <v>618000000</v>
      </c>
    </row>
    <row r="41" spans="1:12" ht="31.2" x14ac:dyDescent="0.3">
      <c r="A41" s="85">
        <f>SUBTOTAL(3,$B$38:B41)</f>
        <v>4</v>
      </c>
      <c r="B41" s="86" t="s">
        <v>1049</v>
      </c>
      <c r="C41" s="90" t="s">
        <v>608</v>
      </c>
      <c r="D41" s="87">
        <v>45901</v>
      </c>
      <c r="E41" s="80">
        <v>1</v>
      </c>
      <c r="F41" s="88">
        <v>9194000000</v>
      </c>
      <c r="G41" s="82">
        <v>8</v>
      </c>
      <c r="H41" s="101">
        <v>12</v>
      </c>
      <c r="I41" s="104" t="s">
        <v>1419</v>
      </c>
      <c r="J41" s="88">
        <v>1149000000</v>
      </c>
      <c r="K41" s="88">
        <v>766000000</v>
      </c>
      <c r="L41" s="88">
        <v>383000000</v>
      </c>
    </row>
    <row r="42" spans="1:12" ht="31.2" x14ac:dyDescent="0.3">
      <c r="A42" s="85">
        <f>SUBTOTAL(3,$B$38:B42)</f>
        <v>5</v>
      </c>
      <c r="B42" s="86" t="s">
        <v>1050</v>
      </c>
      <c r="C42" s="90" t="s">
        <v>609</v>
      </c>
      <c r="D42" s="87">
        <v>45901</v>
      </c>
      <c r="E42" s="80">
        <v>1</v>
      </c>
      <c r="F42" s="88">
        <v>9194000000</v>
      </c>
      <c r="G42" s="82">
        <v>8</v>
      </c>
      <c r="H42" s="101">
        <v>12</v>
      </c>
      <c r="I42" s="104" t="s">
        <v>1419</v>
      </c>
      <c r="J42" s="88">
        <v>1149000000</v>
      </c>
      <c r="K42" s="88">
        <v>766000000</v>
      </c>
      <c r="L42" s="88">
        <v>383000000</v>
      </c>
    </row>
    <row r="43" spans="1:12" ht="15.6" x14ac:dyDescent="0.3">
      <c r="A43" s="85">
        <f>SUBTOTAL(3,$B$38:B43)</f>
        <v>6</v>
      </c>
      <c r="B43" s="86" t="s">
        <v>853</v>
      </c>
      <c r="C43" s="90" t="s">
        <v>626</v>
      </c>
      <c r="D43" s="87">
        <v>44417</v>
      </c>
      <c r="E43" s="80">
        <v>1</v>
      </c>
      <c r="F43" s="88">
        <v>8257000000</v>
      </c>
      <c r="G43" s="82">
        <v>10</v>
      </c>
      <c r="H43" s="101">
        <v>12</v>
      </c>
      <c r="I43" s="104" t="s">
        <v>1419</v>
      </c>
      <c r="J43" s="88">
        <v>826000000</v>
      </c>
      <c r="K43" s="88">
        <v>688000000</v>
      </c>
      <c r="L43" s="88">
        <v>138000000</v>
      </c>
    </row>
    <row r="44" spans="1:12" ht="31.2" x14ac:dyDescent="0.3">
      <c r="A44" s="85">
        <f>SUBTOTAL(3,$B$38:B44)</f>
        <v>7</v>
      </c>
      <c r="B44" s="86" t="s">
        <v>933</v>
      </c>
      <c r="C44" s="90" t="s">
        <v>695</v>
      </c>
      <c r="D44" s="87">
        <v>45627</v>
      </c>
      <c r="E44" s="80">
        <v>1</v>
      </c>
      <c r="F44" s="88">
        <v>8047000000</v>
      </c>
      <c r="G44" s="82">
        <v>8</v>
      </c>
      <c r="H44" s="101">
        <v>12</v>
      </c>
      <c r="I44" s="104" t="s">
        <v>1419</v>
      </c>
      <c r="J44" s="88">
        <v>1006000000</v>
      </c>
      <c r="K44" s="88">
        <v>671000000</v>
      </c>
      <c r="L44" s="88">
        <v>335000000</v>
      </c>
    </row>
    <row r="45" spans="1:12" ht="31.2" x14ac:dyDescent="0.3">
      <c r="A45" s="85">
        <f>SUBTOTAL(3,$B$38:B45)</f>
        <v>8</v>
      </c>
      <c r="B45" s="86" t="s">
        <v>934</v>
      </c>
      <c r="C45" s="90" t="s">
        <v>696</v>
      </c>
      <c r="D45" s="87">
        <v>45627</v>
      </c>
      <c r="E45" s="80">
        <v>1</v>
      </c>
      <c r="F45" s="88">
        <v>8047000000</v>
      </c>
      <c r="G45" s="82">
        <v>8</v>
      </c>
      <c r="H45" s="101">
        <v>12</v>
      </c>
      <c r="I45" s="104" t="s">
        <v>1419</v>
      </c>
      <c r="J45" s="88">
        <v>1006000000</v>
      </c>
      <c r="K45" s="88">
        <v>671000000</v>
      </c>
      <c r="L45" s="88">
        <v>335000000</v>
      </c>
    </row>
    <row r="46" spans="1:12" ht="15.6" x14ac:dyDescent="0.3">
      <c r="A46" s="85">
        <f>SUBTOTAL(3,$B$38:B46)</f>
        <v>9</v>
      </c>
      <c r="B46" s="86" t="s">
        <v>957</v>
      </c>
      <c r="C46" s="90" t="s">
        <v>533</v>
      </c>
      <c r="D46" s="87">
        <v>44417</v>
      </c>
      <c r="E46" s="80">
        <v>1</v>
      </c>
      <c r="F46" s="88">
        <v>7914000000</v>
      </c>
      <c r="G46" s="82">
        <v>10</v>
      </c>
      <c r="H46" s="101">
        <v>12</v>
      </c>
      <c r="I46" s="104" t="s">
        <v>1419</v>
      </c>
      <c r="J46" s="88">
        <v>791000000</v>
      </c>
      <c r="K46" s="88">
        <v>660000000</v>
      </c>
      <c r="L46" s="88">
        <v>132000000</v>
      </c>
    </row>
    <row r="47" spans="1:12" ht="15.6" x14ac:dyDescent="0.3">
      <c r="A47" s="85">
        <f>SUBTOTAL(3,$B$38:B47)</f>
        <v>10</v>
      </c>
      <c r="B47" s="86" t="s">
        <v>927</v>
      </c>
      <c r="C47" s="90" t="s">
        <v>689</v>
      </c>
      <c r="D47" s="87">
        <v>45536</v>
      </c>
      <c r="E47" s="80">
        <v>1</v>
      </c>
      <c r="F47" s="88">
        <v>7378000000</v>
      </c>
      <c r="G47" s="82">
        <v>8</v>
      </c>
      <c r="H47" s="101">
        <v>12</v>
      </c>
      <c r="I47" s="104" t="s">
        <v>1419</v>
      </c>
      <c r="J47" s="88">
        <v>922000000</v>
      </c>
      <c r="K47" s="88">
        <v>615000000</v>
      </c>
      <c r="L47" s="88">
        <v>307000000</v>
      </c>
    </row>
    <row r="48" spans="1:12" ht="31.2" x14ac:dyDescent="0.3">
      <c r="A48" s="85">
        <f>SUBTOTAL(3,$B$38:B48)</f>
        <v>11</v>
      </c>
      <c r="B48" s="86" t="s">
        <v>940</v>
      </c>
      <c r="C48" s="90" t="s">
        <v>702</v>
      </c>
      <c r="D48" s="87">
        <v>45748</v>
      </c>
      <c r="E48" s="80">
        <v>1</v>
      </c>
      <c r="F48" s="88">
        <v>6670000000</v>
      </c>
      <c r="G48" s="82">
        <v>8</v>
      </c>
      <c r="H48" s="101">
        <v>12</v>
      </c>
      <c r="I48" s="104" t="s">
        <v>1419</v>
      </c>
      <c r="J48" s="88">
        <v>834000000</v>
      </c>
      <c r="K48" s="88">
        <v>556000000</v>
      </c>
      <c r="L48" s="88">
        <v>278000000</v>
      </c>
    </row>
    <row r="49" spans="1:12" ht="15.6" x14ac:dyDescent="0.3">
      <c r="A49" s="85">
        <f>SUBTOTAL(3,$B$38:B49)</f>
        <v>12</v>
      </c>
      <c r="B49" s="86" t="s">
        <v>1176</v>
      </c>
      <c r="C49" s="90" t="s">
        <v>784</v>
      </c>
      <c r="D49" s="87">
        <v>45627</v>
      </c>
      <c r="E49" s="80">
        <v>1</v>
      </c>
      <c r="F49" s="88">
        <v>5107000000</v>
      </c>
      <c r="G49" s="82">
        <v>7</v>
      </c>
      <c r="H49" s="101">
        <v>12</v>
      </c>
      <c r="I49" s="104" t="s">
        <v>1419</v>
      </c>
      <c r="J49" s="88">
        <v>730000000</v>
      </c>
      <c r="K49" s="88">
        <v>426000000</v>
      </c>
      <c r="L49" s="88">
        <v>304000000</v>
      </c>
    </row>
    <row r="50" spans="1:12" ht="31.2" x14ac:dyDescent="0.3">
      <c r="A50" s="85">
        <f>SUBTOTAL(3,$B$38:B50)</f>
        <v>13</v>
      </c>
      <c r="B50" s="86" t="s">
        <v>870</v>
      </c>
      <c r="C50" s="90" t="s">
        <v>637</v>
      </c>
      <c r="D50" s="87">
        <v>44958</v>
      </c>
      <c r="E50" s="80">
        <v>1</v>
      </c>
      <c r="F50" s="88">
        <v>4460000000</v>
      </c>
      <c r="G50" s="82">
        <v>5</v>
      </c>
      <c r="H50" s="101">
        <v>12</v>
      </c>
      <c r="I50" s="104" t="s">
        <v>1419</v>
      </c>
      <c r="J50" s="88">
        <v>892000000</v>
      </c>
      <c r="K50" s="88">
        <v>372000000</v>
      </c>
      <c r="L50" s="88">
        <v>520000000</v>
      </c>
    </row>
    <row r="51" spans="1:12" ht="15.6" x14ac:dyDescent="0.3">
      <c r="A51" s="85">
        <f>SUBTOTAL(3,$B$38:B51)</f>
        <v>14</v>
      </c>
      <c r="B51" s="86" t="s">
        <v>898</v>
      </c>
      <c r="C51" s="90" t="s">
        <v>660</v>
      </c>
      <c r="D51" s="87">
        <v>45170</v>
      </c>
      <c r="E51" s="80">
        <v>1</v>
      </c>
      <c r="F51" s="88">
        <v>3033000000</v>
      </c>
      <c r="G51" s="82">
        <v>5</v>
      </c>
      <c r="H51" s="101">
        <v>12</v>
      </c>
      <c r="I51" s="104" t="s">
        <v>1419</v>
      </c>
      <c r="J51" s="88">
        <v>607000000</v>
      </c>
      <c r="K51" s="88">
        <v>253000000</v>
      </c>
      <c r="L51" s="88">
        <v>354000000</v>
      </c>
    </row>
    <row r="52" spans="1:12" ht="15.6" x14ac:dyDescent="0.3">
      <c r="A52" s="85">
        <f>SUBTOTAL(3,$B$38:B52)</f>
        <v>15</v>
      </c>
      <c r="B52" s="86" t="s">
        <v>936</v>
      </c>
      <c r="C52" s="90" t="s">
        <v>698</v>
      </c>
      <c r="D52" s="87">
        <v>45717</v>
      </c>
      <c r="E52" s="80">
        <v>1</v>
      </c>
      <c r="F52" s="88">
        <v>2746000000</v>
      </c>
      <c r="G52" s="82">
        <v>5</v>
      </c>
      <c r="H52" s="101">
        <v>12</v>
      </c>
      <c r="I52" s="104" t="s">
        <v>1419</v>
      </c>
      <c r="J52" s="88">
        <v>549000000</v>
      </c>
      <c r="K52" s="88">
        <v>229000000</v>
      </c>
      <c r="L52" s="88">
        <v>320000000</v>
      </c>
    </row>
    <row r="53" spans="1:12" ht="15.6" x14ac:dyDescent="0.3">
      <c r="A53" s="85">
        <f>SUBTOTAL(3,$B$38:B53)</f>
        <v>16</v>
      </c>
      <c r="B53" s="86" t="s">
        <v>1170</v>
      </c>
      <c r="C53" s="90" t="s">
        <v>802</v>
      </c>
      <c r="D53" s="87">
        <v>45627</v>
      </c>
      <c r="E53" s="80">
        <v>1</v>
      </c>
      <c r="F53" s="88">
        <v>2648000000</v>
      </c>
      <c r="G53" s="82">
        <v>3</v>
      </c>
      <c r="H53" s="101">
        <v>12</v>
      </c>
      <c r="I53" s="104" t="s">
        <v>1419</v>
      </c>
      <c r="J53" s="88">
        <v>883000000</v>
      </c>
      <c r="K53" s="88">
        <v>221000000</v>
      </c>
      <c r="L53" s="88">
        <v>662000000</v>
      </c>
    </row>
    <row r="54" spans="1:12" ht="15.6" x14ac:dyDescent="0.3">
      <c r="A54" s="85">
        <f>SUBTOTAL(3,$B$38:B54)</f>
        <v>17</v>
      </c>
      <c r="B54" s="86" t="s">
        <v>958</v>
      </c>
      <c r="C54" s="90" t="s">
        <v>534</v>
      </c>
      <c r="D54" s="87">
        <v>44438</v>
      </c>
      <c r="E54" s="80">
        <v>1</v>
      </c>
      <c r="F54" s="88">
        <v>2414000000</v>
      </c>
      <c r="G54" s="82">
        <v>10</v>
      </c>
      <c r="H54" s="101">
        <v>12</v>
      </c>
      <c r="I54" s="104" t="s">
        <v>1419</v>
      </c>
      <c r="J54" s="88">
        <v>241000000</v>
      </c>
      <c r="K54" s="88">
        <v>201000000</v>
      </c>
      <c r="L54" s="88">
        <v>40000000</v>
      </c>
    </row>
    <row r="55" spans="1:12" ht="15.6" x14ac:dyDescent="0.3">
      <c r="A55" s="85">
        <f>SUBTOTAL(3,$B$38:B55)</f>
        <v>18</v>
      </c>
      <c r="B55" s="86" t="s">
        <v>897</v>
      </c>
      <c r="C55" s="90" t="s">
        <v>659</v>
      </c>
      <c r="D55" s="87">
        <v>45170</v>
      </c>
      <c r="E55" s="80">
        <v>1</v>
      </c>
      <c r="F55" s="88">
        <v>2397000000</v>
      </c>
      <c r="G55" s="82">
        <v>5</v>
      </c>
      <c r="H55" s="101">
        <v>12</v>
      </c>
      <c r="I55" s="104" t="s">
        <v>1419</v>
      </c>
      <c r="J55" s="88">
        <v>479000000</v>
      </c>
      <c r="K55" s="88">
        <v>200000000</v>
      </c>
      <c r="L55" s="88">
        <v>280000000</v>
      </c>
    </row>
    <row r="56" spans="1:12" ht="15.6" x14ac:dyDescent="0.3">
      <c r="A56" s="85">
        <f>SUBTOTAL(3,$B$38:B56)</f>
        <v>19</v>
      </c>
      <c r="B56" s="86" t="s">
        <v>899</v>
      </c>
      <c r="C56" s="90" t="s">
        <v>661</v>
      </c>
      <c r="D56" s="87">
        <v>45170</v>
      </c>
      <c r="E56" s="80">
        <v>1</v>
      </c>
      <c r="F56" s="88">
        <v>2381000000</v>
      </c>
      <c r="G56" s="82">
        <v>5</v>
      </c>
      <c r="H56" s="101">
        <v>12</v>
      </c>
      <c r="I56" s="104" t="s">
        <v>1419</v>
      </c>
      <c r="J56" s="88">
        <v>476000000</v>
      </c>
      <c r="K56" s="88">
        <v>198000000</v>
      </c>
      <c r="L56" s="88">
        <v>278000000</v>
      </c>
    </row>
    <row r="57" spans="1:12" ht="31.2" x14ac:dyDescent="0.3">
      <c r="A57" s="85">
        <f>SUBTOTAL(3,$B$38:B57)</f>
        <v>20</v>
      </c>
      <c r="B57" s="86" t="s">
        <v>886</v>
      </c>
      <c r="C57" s="90" t="s">
        <v>648</v>
      </c>
      <c r="D57" s="87">
        <v>45110</v>
      </c>
      <c r="E57" s="80">
        <v>1</v>
      </c>
      <c r="F57" s="88">
        <v>2135000000</v>
      </c>
      <c r="G57" s="82">
        <v>5</v>
      </c>
      <c r="H57" s="101">
        <v>12</v>
      </c>
      <c r="I57" s="104" t="s">
        <v>1419</v>
      </c>
      <c r="J57" s="88">
        <v>427000000</v>
      </c>
      <c r="K57" s="88">
        <v>178000000</v>
      </c>
      <c r="L57" s="88">
        <v>249000000</v>
      </c>
    </row>
    <row r="58" spans="1:12" ht="15.6" x14ac:dyDescent="0.3">
      <c r="A58" s="85">
        <f>SUBTOTAL(3,$B$38:B58)</f>
        <v>21</v>
      </c>
      <c r="B58" s="86" t="s">
        <v>1060</v>
      </c>
      <c r="C58" s="90" t="s">
        <v>615</v>
      </c>
      <c r="D58" s="87">
        <v>44438</v>
      </c>
      <c r="E58" s="80">
        <v>1</v>
      </c>
      <c r="F58" s="88">
        <v>1972000000</v>
      </c>
      <c r="G58" s="82">
        <v>10</v>
      </c>
      <c r="H58" s="101">
        <v>12</v>
      </c>
      <c r="I58" s="104" t="s">
        <v>1419</v>
      </c>
      <c r="J58" s="88">
        <v>197000000</v>
      </c>
      <c r="K58" s="88">
        <v>164000000</v>
      </c>
      <c r="L58" s="88">
        <v>33000000</v>
      </c>
    </row>
    <row r="59" spans="1:12" ht="15.6" x14ac:dyDescent="0.3">
      <c r="A59" s="85">
        <f>SUBTOTAL(3,$B$38:B59)</f>
        <v>22</v>
      </c>
      <c r="B59" s="86" t="s">
        <v>926</v>
      </c>
      <c r="C59" s="90" t="s">
        <v>688</v>
      </c>
      <c r="D59" s="87">
        <v>45536</v>
      </c>
      <c r="E59" s="80">
        <v>1</v>
      </c>
      <c r="F59" s="88">
        <v>1897000000</v>
      </c>
      <c r="G59" s="82">
        <v>5</v>
      </c>
      <c r="H59" s="101">
        <v>12</v>
      </c>
      <c r="I59" s="104" t="s">
        <v>1419</v>
      </c>
      <c r="J59" s="88">
        <v>379000000</v>
      </c>
      <c r="K59" s="88">
        <v>158000000</v>
      </c>
      <c r="L59" s="88">
        <v>221000000</v>
      </c>
    </row>
    <row r="60" spans="1:12" ht="31.2" x14ac:dyDescent="0.3">
      <c r="A60" s="85">
        <f>SUBTOTAL(3,$B$38:B60)</f>
        <v>23</v>
      </c>
      <c r="B60" s="86" t="s">
        <v>875</v>
      </c>
      <c r="C60" s="90" t="s">
        <v>640</v>
      </c>
      <c r="D60" s="87">
        <v>45026</v>
      </c>
      <c r="E60" s="80">
        <v>1</v>
      </c>
      <c r="F60" s="88">
        <v>1886000000</v>
      </c>
      <c r="G60" s="82">
        <v>8</v>
      </c>
      <c r="H60" s="101">
        <v>12</v>
      </c>
      <c r="I60" s="104" t="s">
        <v>1419</v>
      </c>
      <c r="J60" s="88">
        <v>236000000</v>
      </c>
      <c r="K60" s="88">
        <v>157000000</v>
      </c>
      <c r="L60" s="88">
        <v>79000000</v>
      </c>
    </row>
    <row r="61" spans="1:12" ht="31.2" x14ac:dyDescent="0.3">
      <c r="A61" s="85">
        <f>SUBTOTAL(3,$B$38:B61)</f>
        <v>24</v>
      </c>
      <c r="B61" s="86" t="s">
        <v>871</v>
      </c>
      <c r="C61" s="90" t="s">
        <v>638</v>
      </c>
      <c r="D61" s="87">
        <v>44986</v>
      </c>
      <c r="E61" s="80">
        <v>1</v>
      </c>
      <c r="F61" s="88">
        <v>1857000000</v>
      </c>
      <c r="G61" s="82">
        <v>5</v>
      </c>
      <c r="H61" s="101">
        <v>12</v>
      </c>
      <c r="I61" s="104" t="s">
        <v>1419</v>
      </c>
      <c r="J61" s="88">
        <v>371000000</v>
      </c>
      <c r="K61" s="88">
        <v>155000000</v>
      </c>
      <c r="L61" s="88">
        <v>217000000</v>
      </c>
    </row>
    <row r="62" spans="1:12" ht="15.6" x14ac:dyDescent="0.3">
      <c r="A62" s="85">
        <f>SUBTOTAL(3,$B$38:B62)</f>
        <v>25</v>
      </c>
      <c r="B62" s="86" t="s">
        <v>882</v>
      </c>
      <c r="C62" s="90" t="s">
        <v>644</v>
      </c>
      <c r="D62" s="87">
        <v>45110</v>
      </c>
      <c r="E62" s="80">
        <v>1</v>
      </c>
      <c r="F62" s="88">
        <v>1849000000</v>
      </c>
      <c r="G62" s="82">
        <v>5</v>
      </c>
      <c r="H62" s="101">
        <v>12</v>
      </c>
      <c r="I62" s="104" t="s">
        <v>1419</v>
      </c>
      <c r="J62" s="88">
        <v>370000000</v>
      </c>
      <c r="K62" s="88">
        <v>154000000</v>
      </c>
      <c r="L62" s="88">
        <v>216000000</v>
      </c>
    </row>
    <row r="63" spans="1:12" ht="15.6" x14ac:dyDescent="0.3">
      <c r="A63" s="85">
        <f>SUBTOTAL(3,$B$38:B63)</f>
        <v>26</v>
      </c>
      <c r="B63" s="86" t="s">
        <v>910</v>
      </c>
      <c r="C63" s="90" t="s">
        <v>672</v>
      </c>
      <c r="D63" s="87">
        <v>45261</v>
      </c>
      <c r="E63" s="80">
        <v>1</v>
      </c>
      <c r="F63" s="88">
        <v>1799000000</v>
      </c>
      <c r="G63" s="82">
        <v>5</v>
      </c>
      <c r="H63" s="101">
        <v>12</v>
      </c>
      <c r="I63" s="104" t="s">
        <v>1419</v>
      </c>
      <c r="J63" s="88">
        <v>360000000</v>
      </c>
      <c r="K63" s="88">
        <v>150000000</v>
      </c>
      <c r="L63" s="88">
        <v>210000000</v>
      </c>
    </row>
    <row r="64" spans="1:12" ht="15.6" x14ac:dyDescent="0.3">
      <c r="A64" s="85">
        <f>SUBTOTAL(3,$B$38:B64)</f>
        <v>27</v>
      </c>
      <c r="B64" s="86" t="s">
        <v>1144</v>
      </c>
      <c r="C64" s="149" t="s">
        <v>771</v>
      </c>
      <c r="D64" s="87">
        <v>45413</v>
      </c>
      <c r="E64" s="80">
        <v>1</v>
      </c>
      <c r="F64" s="88">
        <v>1744000000</v>
      </c>
      <c r="G64" s="82">
        <v>5</v>
      </c>
      <c r="H64" s="80">
        <v>12</v>
      </c>
      <c r="I64" s="104" t="s">
        <v>1419</v>
      </c>
      <c r="J64" s="88">
        <v>349000000</v>
      </c>
      <c r="K64" s="88">
        <v>70000000</v>
      </c>
      <c r="L64" s="88">
        <v>279000000</v>
      </c>
    </row>
    <row r="65" spans="1:12" ht="15.6" x14ac:dyDescent="0.3">
      <c r="A65" s="85">
        <f>SUBTOTAL(3,$B$38:B65)</f>
        <v>28</v>
      </c>
      <c r="B65" s="86" t="s">
        <v>1023</v>
      </c>
      <c r="C65" s="90" t="s">
        <v>586</v>
      </c>
      <c r="D65" s="87">
        <v>45717</v>
      </c>
      <c r="E65" s="80">
        <v>1</v>
      </c>
      <c r="F65" s="88">
        <v>1590000000</v>
      </c>
      <c r="G65" s="82">
        <v>5</v>
      </c>
      <c r="H65" s="101">
        <v>12</v>
      </c>
      <c r="I65" s="104" t="s">
        <v>1419</v>
      </c>
      <c r="J65" s="88">
        <v>318000000</v>
      </c>
      <c r="K65" s="88">
        <v>133000000</v>
      </c>
      <c r="L65" s="88">
        <v>186000000</v>
      </c>
    </row>
    <row r="66" spans="1:12" ht="15.6" x14ac:dyDescent="0.3">
      <c r="A66" s="85">
        <f>SUBTOTAL(3,$B$38:B66)</f>
        <v>29</v>
      </c>
      <c r="B66" s="86" t="s">
        <v>960</v>
      </c>
      <c r="C66" s="90" t="s">
        <v>536</v>
      </c>
      <c r="D66" s="87">
        <v>44438</v>
      </c>
      <c r="E66" s="80">
        <v>1</v>
      </c>
      <c r="F66" s="88">
        <v>1577000000</v>
      </c>
      <c r="G66" s="82">
        <v>10</v>
      </c>
      <c r="H66" s="101">
        <v>12</v>
      </c>
      <c r="I66" s="104" t="s">
        <v>1419</v>
      </c>
      <c r="J66" s="88">
        <v>158000000</v>
      </c>
      <c r="K66" s="88">
        <v>131000000</v>
      </c>
      <c r="L66" s="88">
        <v>26000000</v>
      </c>
    </row>
    <row r="67" spans="1:12" ht="31.2" x14ac:dyDescent="0.3">
      <c r="A67" s="85">
        <f>SUBTOTAL(3,$B$38:B67)</f>
        <v>30</v>
      </c>
      <c r="B67" s="86" t="s">
        <v>1008</v>
      </c>
      <c r="C67" s="90" t="s">
        <v>571</v>
      </c>
      <c r="D67" s="87">
        <v>45383</v>
      </c>
      <c r="E67" s="80">
        <v>1</v>
      </c>
      <c r="F67" s="88">
        <v>1501000000</v>
      </c>
      <c r="G67" s="82">
        <v>5</v>
      </c>
      <c r="H67" s="101">
        <v>12</v>
      </c>
      <c r="I67" s="104" t="s">
        <v>1419</v>
      </c>
      <c r="J67" s="88">
        <v>300000000</v>
      </c>
      <c r="K67" s="88">
        <v>125000000</v>
      </c>
      <c r="L67" s="88">
        <v>175000000</v>
      </c>
    </row>
    <row r="68" spans="1:12" ht="15.6" x14ac:dyDescent="0.3">
      <c r="A68" s="85">
        <f>SUBTOTAL(3,$B$38:B68)</f>
        <v>31</v>
      </c>
      <c r="B68" s="86" t="s">
        <v>920</v>
      </c>
      <c r="C68" s="90" t="s">
        <v>682</v>
      </c>
      <c r="D68" s="87">
        <v>45413</v>
      </c>
      <c r="E68" s="80">
        <v>1</v>
      </c>
      <c r="F68" s="88">
        <v>1471000000</v>
      </c>
      <c r="G68" s="82">
        <v>5</v>
      </c>
      <c r="H68" s="101">
        <v>12</v>
      </c>
      <c r="I68" s="104" t="s">
        <v>1419</v>
      </c>
      <c r="J68" s="88">
        <v>294000000</v>
      </c>
      <c r="K68" s="88">
        <v>123000000</v>
      </c>
      <c r="L68" s="88">
        <v>172000000</v>
      </c>
    </row>
    <row r="69" spans="1:12" ht="31.2" x14ac:dyDescent="0.3">
      <c r="A69" s="85">
        <f>SUBTOTAL(3,$B$38:B69)</f>
        <v>32</v>
      </c>
      <c r="B69" s="86" t="s">
        <v>937</v>
      </c>
      <c r="C69" s="90" t="s">
        <v>699</v>
      </c>
      <c r="D69" s="87">
        <v>45717</v>
      </c>
      <c r="E69" s="80">
        <v>1</v>
      </c>
      <c r="F69" s="88">
        <v>1300000000</v>
      </c>
      <c r="G69" s="82">
        <v>5</v>
      </c>
      <c r="H69" s="101">
        <v>12</v>
      </c>
      <c r="I69" s="104" t="s">
        <v>1419</v>
      </c>
      <c r="J69" s="88">
        <v>260000000</v>
      </c>
      <c r="K69" s="88">
        <v>108000000</v>
      </c>
      <c r="L69" s="88">
        <v>152000000</v>
      </c>
    </row>
    <row r="70" spans="1:12" ht="15.6" x14ac:dyDescent="0.3">
      <c r="A70" s="85">
        <f>SUBTOTAL(3,$B$38:B70)</f>
        <v>33</v>
      </c>
      <c r="B70" s="86" t="s">
        <v>900</v>
      </c>
      <c r="C70" s="90" t="s">
        <v>662</v>
      </c>
      <c r="D70" s="87">
        <v>45170</v>
      </c>
      <c r="E70" s="80">
        <v>1</v>
      </c>
      <c r="F70" s="88">
        <v>1273000000</v>
      </c>
      <c r="G70" s="82">
        <v>5</v>
      </c>
      <c r="H70" s="101">
        <v>12</v>
      </c>
      <c r="I70" s="104" t="s">
        <v>1419</v>
      </c>
      <c r="J70" s="88">
        <v>255000000</v>
      </c>
      <c r="K70" s="88">
        <v>106000000</v>
      </c>
      <c r="L70" s="88">
        <v>148000000</v>
      </c>
    </row>
    <row r="71" spans="1:12" ht="31.2" x14ac:dyDescent="0.3">
      <c r="A71" s="85">
        <f>SUBTOTAL(3,$B$38:B71)</f>
        <v>34</v>
      </c>
      <c r="B71" s="86" t="s">
        <v>1016</v>
      </c>
      <c r="C71" s="90" t="s">
        <v>579</v>
      </c>
      <c r="D71" s="87">
        <v>45505</v>
      </c>
      <c r="E71" s="80">
        <v>1</v>
      </c>
      <c r="F71" s="88">
        <v>1256000000</v>
      </c>
      <c r="G71" s="82">
        <v>5</v>
      </c>
      <c r="H71" s="101">
        <v>12</v>
      </c>
      <c r="I71" s="104" t="s">
        <v>1419</v>
      </c>
      <c r="J71" s="88">
        <v>251000000</v>
      </c>
      <c r="K71" s="88">
        <v>105000000</v>
      </c>
      <c r="L71" s="88">
        <v>147000000</v>
      </c>
    </row>
    <row r="72" spans="1:12" ht="31.2" x14ac:dyDescent="0.3">
      <c r="A72" s="85">
        <f>SUBTOTAL(3,$B$38:B72)</f>
        <v>35</v>
      </c>
      <c r="B72" s="86" t="s">
        <v>1003</v>
      </c>
      <c r="C72" s="90" t="s">
        <v>566</v>
      </c>
      <c r="D72" s="87">
        <v>44986</v>
      </c>
      <c r="E72" s="80">
        <v>1</v>
      </c>
      <c r="F72" s="88">
        <v>1168000000</v>
      </c>
      <c r="G72" s="82">
        <v>5</v>
      </c>
      <c r="H72" s="101">
        <v>12</v>
      </c>
      <c r="I72" s="104" t="s">
        <v>1419</v>
      </c>
      <c r="J72" s="88">
        <v>234000000</v>
      </c>
      <c r="K72" s="88">
        <v>97000000</v>
      </c>
      <c r="L72" s="88">
        <v>136000000</v>
      </c>
    </row>
    <row r="73" spans="1:12" ht="15.6" x14ac:dyDescent="0.3">
      <c r="A73" s="85">
        <f>SUBTOTAL(3,$B$38:B73)</f>
        <v>36</v>
      </c>
      <c r="B73" s="86" t="s">
        <v>924</v>
      </c>
      <c r="C73" s="90" t="s">
        <v>686</v>
      </c>
      <c r="D73" s="87">
        <v>45536</v>
      </c>
      <c r="E73" s="80">
        <v>1</v>
      </c>
      <c r="F73" s="88">
        <v>1128000000</v>
      </c>
      <c r="G73" s="82">
        <v>5</v>
      </c>
      <c r="H73" s="101">
        <v>12</v>
      </c>
      <c r="I73" s="104" t="s">
        <v>1419</v>
      </c>
      <c r="J73" s="88">
        <v>226000000</v>
      </c>
      <c r="K73" s="88">
        <v>94000000</v>
      </c>
      <c r="L73" s="88">
        <v>132000000</v>
      </c>
    </row>
    <row r="74" spans="1:12" ht="15.6" x14ac:dyDescent="0.3">
      <c r="A74" s="85">
        <f>SUBTOTAL(3,$B$38:B74)</f>
        <v>37</v>
      </c>
      <c r="B74" s="86" t="s">
        <v>990</v>
      </c>
      <c r="C74" s="90" t="s">
        <v>555</v>
      </c>
      <c r="D74" s="87">
        <v>44896</v>
      </c>
      <c r="E74" s="80">
        <v>1</v>
      </c>
      <c r="F74" s="88">
        <v>1120000000</v>
      </c>
      <c r="G74" s="82">
        <v>5</v>
      </c>
      <c r="H74" s="101">
        <v>12</v>
      </c>
      <c r="I74" s="104" t="s">
        <v>1419</v>
      </c>
      <c r="J74" s="88">
        <v>224000000</v>
      </c>
      <c r="K74" s="88">
        <v>93000000</v>
      </c>
      <c r="L74" s="88">
        <v>131000000</v>
      </c>
    </row>
    <row r="75" spans="1:12" ht="15.6" x14ac:dyDescent="0.3">
      <c r="A75" s="85">
        <f>SUBTOTAL(3,$B$38:B75)</f>
        <v>38</v>
      </c>
      <c r="B75" s="86" t="s">
        <v>1168</v>
      </c>
      <c r="C75" s="90" t="s">
        <v>800</v>
      </c>
      <c r="D75" s="87">
        <v>45627</v>
      </c>
      <c r="E75" s="80">
        <v>1</v>
      </c>
      <c r="F75" s="88">
        <v>1108000000</v>
      </c>
      <c r="G75" s="82">
        <v>8</v>
      </c>
      <c r="H75" s="101">
        <v>12</v>
      </c>
      <c r="I75" s="104" t="s">
        <v>1419</v>
      </c>
      <c r="J75" s="88">
        <v>138000000</v>
      </c>
      <c r="K75" s="88">
        <v>92000000</v>
      </c>
      <c r="L75" s="88">
        <v>46000000</v>
      </c>
    </row>
    <row r="76" spans="1:12" ht="31.2" x14ac:dyDescent="0.3">
      <c r="A76" s="85">
        <f>SUBTOTAL(3,$B$38:B76)</f>
        <v>39</v>
      </c>
      <c r="B76" s="86" t="s">
        <v>1180</v>
      </c>
      <c r="C76" s="90" t="s">
        <v>788</v>
      </c>
      <c r="D76" s="87">
        <v>45627</v>
      </c>
      <c r="E76" s="80">
        <v>1</v>
      </c>
      <c r="F76" s="88">
        <v>1084000000</v>
      </c>
      <c r="G76" s="82">
        <v>3</v>
      </c>
      <c r="H76" s="101">
        <v>12</v>
      </c>
      <c r="I76" s="104" t="s">
        <v>1419</v>
      </c>
      <c r="J76" s="88">
        <v>361000000</v>
      </c>
      <c r="K76" s="88">
        <v>90000000</v>
      </c>
      <c r="L76" s="88">
        <v>271000000</v>
      </c>
    </row>
    <row r="77" spans="1:12" ht="15.6" x14ac:dyDescent="0.3">
      <c r="A77" s="85">
        <f>SUBTOTAL(3,$B$38:B77)</f>
        <v>40</v>
      </c>
      <c r="B77" s="86" t="s">
        <v>1163</v>
      </c>
      <c r="C77" s="90" t="s">
        <v>795</v>
      </c>
      <c r="D77" s="87">
        <v>45627</v>
      </c>
      <c r="E77" s="80">
        <v>1</v>
      </c>
      <c r="F77" s="88">
        <v>1081000000</v>
      </c>
      <c r="G77" s="82">
        <v>4</v>
      </c>
      <c r="H77" s="101">
        <v>12</v>
      </c>
      <c r="I77" s="104" t="s">
        <v>1419</v>
      </c>
      <c r="J77" s="88">
        <v>270000000</v>
      </c>
      <c r="K77" s="88">
        <v>90000000</v>
      </c>
      <c r="L77" s="88">
        <v>180000000</v>
      </c>
    </row>
    <row r="78" spans="1:12" ht="15.6" x14ac:dyDescent="0.3">
      <c r="A78" s="85">
        <f>SUBTOTAL(3,$B$38:B78)</f>
        <v>41</v>
      </c>
      <c r="B78" s="86" t="s">
        <v>984</v>
      </c>
      <c r="C78" s="90" t="s">
        <v>549</v>
      </c>
      <c r="D78" s="87">
        <v>44896</v>
      </c>
      <c r="E78" s="80">
        <v>1</v>
      </c>
      <c r="F78" s="88">
        <v>1067000000</v>
      </c>
      <c r="G78" s="82">
        <v>5</v>
      </c>
      <c r="H78" s="101">
        <v>12</v>
      </c>
      <c r="I78" s="104" t="s">
        <v>1419</v>
      </c>
      <c r="J78" s="88">
        <v>213000000</v>
      </c>
      <c r="K78" s="88">
        <v>89000000</v>
      </c>
      <c r="L78" s="88">
        <v>124000000</v>
      </c>
    </row>
    <row r="79" spans="1:12" ht="15.6" x14ac:dyDescent="0.3">
      <c r="A79" s="85">
        <f>SUBTOTAL(3,$B$38:B79)</f>
        <v>42</v>
      </c>
      <c r="B79" s="86" t="s">
        <v>1028</v>
      </c>
      <c r="C79" s="90" t="s">
        <v>591</v>
      </c>
      <c r="D79" s="87">
        <v>45717</v>
      </c>
      <c r="E79" s="80">
        <v>1</v>
      </c>
      <c r="F79" s="88">
        <v>1060000000</v>
      </c>
      <c r="G79" s="82">
        <v>5</v>
      </c>
      <c r="H79" s="101">
        <v>12</v>
      </c>
      <c r="I79" s="104" t="s">
        <v>1419</v>
      </c>
      <c r="J79" s="88">
        <v>212000000</v>
      </c>
      <c r="K79" s="88">
        <v>88000000</v>
      </c>
      <c r="L79" s="88">
        <v>124000000</v>
      </c>
    </row>
    <row r="80" spans="1:12" ht="31.2" x14ac:dyDescent="0.3">
      <c r="A80" s="85">
        <f>SUBTOTAL(3,$B$38:B80)</f>
        <v>43</v>
      </c>
      <c r="B80" s="86" t="s">
        <v>1173</v>
      </c>
      <c r="C80" s="90" t="s">
        <v>781</v>
      </c>
      <c r="D80" s="87">
        <v>45627</v>
      </c>
      <c r="E80" s="80">
        <v>1</v>
      </c>
      <c r="F80" s="88">
        <v>1051000000</v>
      </c>
      <c r="G80" s="82">
        <v>4</v>
      </c>
      <c r="H80" s="101">
        <v>12</v>
      </c>
      <c r="I80" s="104" t="s">
        <v>1419</v>
      </c>
      <c r="J80" s="88">
        <v>263000000</v>
      </c>
      <c r="K80" s="88">
        <v>88000000</v>
      </c>
      <c r="L80" s="88">
        <v>175000000</v>
      </c>
    </row>
    <row r="81" spans="1:12" ht="31.2" x14ac:dyDescent="0.3">
      <c r="A81" s="85">
        <f>SUBTOTAL(3,$B$38:B81)</f>
        <v>44</v>
      </c>
      <c r="B81" s="86" t="s">
        <v>1055</v>
      </c>
      <c r="C81" s="90" t="s">
        <v>614</v>
      </c>
      <c r="D81" s="87">
        <v>45901</v>
      </c>
      <c r="E81" s="80">
        <v>2</v>
      </c>
      <c r="F81" s="88">
        <v>1030000000</v>
      </c>
      <c r="G81" s="82">
        <v>5</v>
      </c>
      <c r="H81" s="101">
        <v>12</v>
      </c>
      <c r="I81" s="104" t="s">
        <v>1419</v>
      </c>
      <c r="J81" s="88">
        <v>206000000</v>
      </c>
      <c r="K81" s="88">
        <v>86000000</v>
      </c>
      <c r="L81" s="88">
        <v>120000000</v>
      </c>
    </row>
    <row r="82" spans="1:12" ht="15.6" x14ac:dyDescent="0.3">
      <c r="A82" s="85">
        <f>SUBTOTAL(3,$B$38:B82)</f>
        <v>45</v>
      </c>
      <c r="B82" s="86" t="s">
        <v>1183</v>
      </c>
      <c r="C82" s="90" t="s">
        <v>791</v>
      </c>
      <c r="D82" s="87">
        <v>45627</v>
      </c>
      <c r="E82" s="80">
        <v>1</v>
      </c>
      <c r="F82" s="88">
        <v>1022000000</v>
      </c>
      <c r="G82" s="82">
        <v>3</v>
      </c>
      <c r="H82" s="101">
        <v>12</v>
      </c>
      <c r="I82" s="104" t="s">
        <v>1419</v>
      </c>
      <c r="J82" s="88">
        <v>341000000</v>
      </c>
      <c r="K82" s="88">
        <v>85000000</v>
      </c>
      <c r="L82" s="88">
        <v>256000000</v>
      </c>
    </row>
    <row r="83" spans="1:12" ht="15.6" x14ac:dyDescent="0.3">
      <c r="A83" s="85">
        <f>SUBTOTAL(3,$B$38:B83)</f>
        <v>46</v>
      </c>
      <c r="B83" s="86" t="s">
        <v>1184</v>
      </c>
      <c r="C83" s="90" t="s">
        <v>792</v>
      </c>
      <c r="D83" s="87">
        <v>45627</v>
      </c>
      <c r="E83" s="80">
        <v>1</v>
      </c>
      <c r="F83" s="88">
        <v>1022000000</v>
      </c>
      <c r="G83" s="82">
        <v>3</v>
      </c>
      <c r="H83" s="101">
        <v>12</v>
      </c>
      <c r="I83" s="104" t="s">
        <v>1419</v>
      </c>
      <c r="J83" s="88">
        <v>341000000</v>
      </c>
      <c r="K83" s="88">
        <v>85000000</v>
      </c>
      <c r="L83" s="88">
        <v>256000000</v>
      </c>
    </row>
    <row r="84" spans="1:12" ht="31.2" x14ac:dyDescent="0.3">
      <c r="A84" s="85">
        <f>SUBTOTAL(3,$B$38:B84)</f>
        <v>47</v>
      </c>
      <c r="B84" s="86" t="s">
        <v>1046</v>
      </c>
      <c r="C84" s="90" t="s">
        <v>607</v>
      </c>
      <c r="D84" s="87">
        <v>45901</v>
      </c>
      <c r="E84" s="80">
        <v>1</v>
      </c>
      <c r="F84" s="88">
        <v>995000000</v>
      </c>
      <c r="G84" s="82">
        <v>5</v>
      </c>
      <c r="H84" s="101">
        <v>12</v>
      </c>
      <c r="I84" s="104" t="s">
        <v>1419</v>
      </c>
      <c r="J84" s="88">
        <v>199000000</v>
      </c>
      <c r="K84" s="88">
        <v>83000000</v>
      </c>
      <c r="L84" s="88">
        <v>116000000</v>
      </c>
    </row>
    <row r="85" spans="1:12" ht="15.6" x14ac:dyDescent="0.3">
      <c r="A85" s="85">
        <f>SUBTOTAL(3,$B$38:B85)</f>
        <v>48</v>
      </c>
      <c r="B85" s="86" t="s">
        <v>925</v>
      </c>
      <c r="C85" s="90" t="s">
        <v>687</v>
      </c>
      <c r="D85" s="87">
        <v>45536</v>
      </c>
      <c r="E85" s="80">
        <v>1</v>
      </c>
      <c r="F85" s="88">
        <v>936000000</v>
      </c>
      <c r="G85" s="82">
        <v>5</v>
      </c>
      <c r="H85" s="101">
        <v>12</v>
      </c>
      <c r="I85" s="104" t="s">
        <v>1419</v>
      </c>
      <c r="J85" s="88">
        <v>187000000</v>
      </c>
      <c r="K85" s="88">
        <v>78000000</v>
      </c>
      <c r="L85" s="88">
        <v>109000000</v>
      </c>
    </row>
    <row r="86" spans="1:12" ht="15.6" x14ac:dyDescent="0.3">
      <c r="A86" s="85">
        <f>SUBTOTAL(3,$B$38:B86)</f>
        <v>49</v>
      </c>
      <c r="B86" s="86" t="s">
        <v>1160</v>
      </c>
      <c r="C86" s="90" t="s">
        <v>793</v>
      </c>
      <c r="D86" s="87">
        <v>45627</v>
      </c>
      <c r="E86" s="80">
        <v>1</v>
      </c>
      <c r="F86" s="88">
        <v>904000000</v>
      </c>
      <c r="G86" s="82">
        <v>3</v>
      </c>
      <c r="H86" s="101">
        <v>12</v>
      </c>
      <c r="I86" s="104" t="s">
        <v>1419</v>
      </c>
      <c r="J86" s="88">
        <v>301000000</v>
      </c>
      <c r="K86" s="88">
        <v>75000000</v>
      </c>
      <c r="L86" s="88">
        <v>226000000</v>
      </c>
    </row>
    <row r="87" spans="1:12" ht="15.6" x14ac:dyDescent="0.3">
      <c r="A87" s="85">
        <f>SUBTOTAL(3,$B$38:B87)</f>
        <v>50</v>
      </c>
      <c r="B87" s="86" t="s">
        <v>1167</v>
      </c>
      <c r="C87" s="90" t="s">
        <v>799</v>
      </c>
      <c r="D87" s="87">
        <v>45627</v>
      </c>
      <c r="E87" s="80">
        <v>1</v>
      </c>
      <c r="F87" s="88">
        <v>815000000</v>
      </c>
      <c r="G87" s="82">
        <v>8</v>
      </c>
      <c r="H87" s="101">
        <v>12</v>
      </c>
      <c r="I87" s="104" t="s">
        <v>1419</v>
      </c>
      <c r="J87" s="88">
        <v>102000000</v>
      </c>
      <c r="K87" s="88">
        <v>68000000</v>
      </c>
      <c r="L87" s="88">
        <v>34000000</v>
      </c>
    </row>
    <row r="88" spans="1:12" ht="31.2" x14ac:dyDescent="0.3">
      <c r="A88" s="85">
        <f>SUBTOTAL(3,$B$38:B88)</f>
        <v>51</v>
      </c>
      <c r="B88" s="86" t="s">
        <v>1018</v>
      </c>
      <c r="C88" s="90" t="s">
        <v>581</v>
      </c>
      <c r="D88" s="87">
        <v>45658</v>
      </c>
      <c r="E88" s="80">
        <v>1</v>
      </c>
      <c r="F88" s="88">
        <v>765000000</v>
      </c>
      <c r="G88" s="82">
        <v>3</v>
      </c>
      <c r="H88" s="101">
        <v>12</v>
      </c>
      <c r="I88" s="104" t="s">
        <v>1419</v>
      </c>
      <c r="J88" s="88">
        <v>255000000</v>
      </c>
      <c r="K88" s="88">
        <v>64000000</v>
      </c>
      <c r="L88" s="88">
        <v>191000000</v>
      </c>
    </row>
    <row r="89" spans="1:12" ht="15.6" x14ac:dyDescent="0.3">
      <c r="A89" s="85">
        <f>SUBTOTAL(3,$B$38:B89)</f>
        <v>52</v>
      </c>
      <c r="B89" s="86" t="s">
        <v>916</v>
      </c>
      <c r="C89" s="90" t="s">
        <v>678</v>
      </c>
      <c r="D89" s="87">
        <v>45383</v>
      </c>
      <c r="E89" s="80">
        <v>2</v>
      </c>
      <c r="F89" s="88">
        <v>752000000</v>
      </c>
      <c r="G89" s="82">
        <v>5</v>
      </c>
      <c r="H89" s="101">
        <v>12</v>
      </c>
      <c r="I89" s="104" t="s">
        <v>1419</v>
      </c>
      <c r="J89" s="88">
        <v>150000000</v>
      </c>
      <c r="K89" s="88">
        <v>63000000</v>
      </c>
      <c r="L89" s="88">
        <v>88000000</v>
      </c>
    </row>
    <row r="90" spans="1:12" ht="31.2" x14ac:dyDescent="0.3">
      <c r="A90" s="85">
        <f>SUBTOTAL(3,$B$38:B90)</f>
        <v>53</v>
      </c>
      <c r="B90" s="86" t="s">
        <v>928</v>
      </c>
      <c r="C90" s="90" t="s">
        <v>690</v>
      </c>
      <c r="D90" s="87">
        <v>45627</v>
      </c>
      <c r="E90" s="80">
        <v>1</v>
      </c>
      <c r="F90" s="88">
        <v>738000000</v>
      </c>
      <c r="G90" s="82">
        <v>5</v>
      </c>
      <c r="H90" s="101">
        <v>12</v>
      </c>
      <c r="I90" s="104" t="s">
        <v>1419</v>
      </c>
      <c r="J90" s="88">
        <v>148000000</v>
      </c>
      <c r="K90" s="88">
        <v>61000000</v>
      </c>
      <c r="L90" s="88">
        <v>86000000</v>
      </c>
    </row>
    <row r="91" spans="1:12" ht="31.2" x14ac:dyDescent="0.3">
      <c r="A91" s="85">
        <f>SUBTOTAL(3,$B$38:B91)</f>
        <v>54</v>
      </c>
      <c r="B91" s="86" t="s">
        <v>893</v>
      </c>
      <c r="C91" s="90" t="s">
        <v>655</v>
      </c>
      <c r="D91" s="87">
        <v>45139</v>
      </c>
      <c r="E91" s="80">
        <v>1</v>
      </c>
      <c r="F91" s="88">
        <v>729000000</v>
      </c>
      <c r="G91" s="82">
        <v>3</v>
      </c>
      <c r="H91" s="101">
        <v>12</v>
      </c>
      <c r="I91" s="104" t="s">
        <v>1419</v>
      </c>
      <c r="J91" s="88">
        <v>243000000</v>
      </c>
      <c r="K91" s="88">
        <v>61000000</v>
      </c>
      <c r="L91" s="88">
        <v>182000000</v>
      </c>
    </row>
    <row r="92" spans="1:12" ht="31.2" x14ac:dyDescent="0.3">
      <c r="A92" s="85">
        <f>SUBTOTAL(3,$B$38:B92)</f>
        <v>55</v>
      </c>
      <c r="B92" s="86" t="s">
        <v>921</v>
      </c>
      <c r="C92" s="90" t="s">
        <v>683</v>
      </c>
      <c r="D92" s="87">
        <v>45474</v>
      </c>
      <c r="E92" s="80">
        <v>1</v>
      </c>
      <c r="F92" s="88">
        <v>700000000</v>
      </c>
      <c r="G92" s="82">
        <v>5</v>
      </c>
      <c r="H92" s="101">
        <v>12</v>
      </c>
      <c r="I92" s="104" t="s">
        <v>1419</v>
      </c>
      <c r="J92" s="88">
        <v>140000000</v>
      </c>
      <c r="K92" s="88">
        <v>58000000</v>
      </c>
      <c r="L92" s="88">
        <v>82000000</v>
      </c>
    </row>
    <row r="93" spans="1:12" ht="31.2" x14ac:dyDescent="0.3">
      <c r="A93" s="85">
        <f>SUBTOTAL(3,$B$38:B93)</f>
        <v>56</v>
      </c>
      <c r="B93" s="86" t="s">
        <v>1009</v>
      </c>
      <c r="C93" s="90" t="s">
        <v>572</v>
      </c>
      <c r="D93" s="87">
        <v>45597</v>
      </c>
      <c r="E93" s="80">
        <v>1</v>
      </c>
      <c r="F93" s="88">
        <v>694000000</v>
      </c>
      <c r="G93" s="82">
        <v>5</v>
      </c>
      <c r="H93" s="101">
        <v>12</v>
      </c>
      <c r="I93" s="104" t="s">
        <v>1419</v>
      </c>
      <c r="J93" s="88">
        <v>139000000</v>
      </c>
      <c r="K93" s="88">
        <v>58000000</v>
      </c>
      <c r="L93" s="88">
        <v>81000000</v>
      </c>
    </row>
    <row r="94" spans="1:12" ht="31.2" x14ac:dyDescent="0.3">
      <c r="A94" s="85">
        <f>SUBTOTAL(3,$B$38:B94)</f>
        <v>57</v>
      </c>
      <c r="B94" s="106" t="s">
        <v>908</v>
      </c>
      <c r="C94" s="90" t="s">
        <v>670</v>
      </c>
      <c r="D94" s="87">
        <v>45231</v>
      </c>
      <c r="E94" s="80">
        <v>1</v>
      </c>
      <c r="F94" s="88">
        <v>673000000</v>
      </c>
      <c r="G94" s="82">
        <v>8</v>
      </c>
      <c r="H94" s="101">
        <v>12</v>
      </c>
      <c r="I94" s="104" t="s">
        <v>1419</v>
      </c>
      <c r="J94" s="88">
        <v>84000000</v>
      </c>
      <c r="K94" s="88">
        <v>56000000</v>
      </c>
      <c r="L94" s="88">
        <v>28000000</v>
      </c>
    </row>
    <row r="95" spans="1:12" ht="31.2" x14ac:dyDescent="0.3">
      <c r="A95" s="85">
        <f>SUBTOTAL(3,$B$38:B95)</f>
        <v>58</v>
      </c>
      <c r="B95" s="86" t="s">
        <v>929</v>
      </c>
      <c r="C95" s="90" t="s">
        <v>691</v>
      </c>
      <c r="D95" s="87">
        <v>45627</v>
      </c>
      <c r="E95" s="80">
        <v>1</v>
      </c>
      <c r="F95" s="88">
        <v>622000000</v>
      </c>
      <c r="G95" s="82">
        <v>5</v>
      </c>
      <c r="H95" s="101">
        <v>12</v>
      </c>
      <c r="I95" s="104" t="s">
        <v>1419</v>
      </c>
      <c r="J95" s="88">
        <v>124000000</v>
      </c>
      <c r="K95" s="88">
        <v>52000000</v>
      </c>
      <c r="L95" s="88">
        <v>73000000</v>
      </c>
    </row>
    <row r="96" spans="1:12" ht="15.6" x14ac:dyDescent="0.3">
      <c r="A96" s="85">
        <f>SUBTOTAL(3,$B$38:B96)</f>
        <v>59</v>
      </c>
      <c r="B96" s="86" t="s">
        <v>1171</v>
      </c>
      <c r="C96" s="90" t="s">
        <v>779</v>
      </c>
      <c r="D96" s="87">
        <v>45627</v>
      </c>
      <c r="E96" s="80">
        <v>1</v>
      </c>
      <c r="F96" s="88">
        <v>615000000</v>
      </c>
      <c r="G96" s="82">
        <v>4</v>
      </c>
      <c r="H96" s="101">
        <v>12</v>
      </c>
      <c r="I96" s="104" t="s">
        <v>1419</v>
      </c>
      <c r="J96" s="88">
        <v>154000000</v>
      </c>
      <c r="K96" s="88">
        <v>51000000</v>
      </c>
      <c r="L96" s="88">
        <v>103000000</v>
      </c>
    </row>
    <row r="97" spans="1:12" ht="31.2" x14ac:dyDescent="0.3">
      <c r="A97" s="85">
        <f>SUBTOTAL(3,$B$38:B97)</f>
        <v>60</v>
      </c>
      <c r="B97" s="86" t="s">
        <v>1073</v>
      </c>
      <c r="C97" s="149" t="s">
        <v>711</v>
      </c>
      <c r="D97" s="87">
        <v>44673</v>
      </c>
      <c r="E97" s="80">
        <v>1</v>
      </c>
      <c r="F97" s="88">
        <v>600000000</v>
      </c>
      <c r="G97" s="82">
        <v>6</v>
      </c>
      <c r="H97" s="80">
        <v>12</v>
      </c>
      <c r="I97" s="104" t="s">
        <v>1419</v>
      </c>
      <c r="J97" s="88">
        <v>100000000</v>
      </c>
      <c r="K97" s="88">
        <v>60000000</v>
      </c>
      <c r="L97" s="88">
        <v>40000000</v>
      </c>
    </row>
    <row r="98" spans="1:12" ht="15.6" x14ac:dyDescent="0.3">
      <c r="A98" s="85">
        <f>SUBTOTAL(3,$B$38:B98)</f>
        <v>61</v>
      </c>
      <c r="B98" s="86" t="s">
        <v>906</v>
      </c>
      <c r="C98" s="90" t="s">
        <v>668</v>
      </c>
      <c r="D98" s="87">
        <v>45231</v>
      </c>
      <c r="E98" s="80">
        <v>2</v>
      </c>
      <c r="F98" s="88">
        <v>597000000</v>
      </c>
      <c r="G98" s="82">
        <v>5</v>
      </c>
      <c r="H98" s="101">
        <v>12</v>
      </c>
      <c r="I98" s="104" t="s">
        <v>1419</v>
      </c>
      <c r="J98" s="88">
        <v>119000000</v>
      </c>
      <c r="K98" s="88">
        <v>50000000</v>
      </c>
      <c r="L98" s="88">
        <v>70000000</v>
      </c>
    </row>
    <row r="99" spans="1:12" ht="31.2" x14ac:dyDescent="0.3">
      <c r="A99" s="85">
        <f>SUBTOTAL(3,$B$38:B99)</f>
        <v>62</v>
      </c>
      <c r="B99" s="86" t="s">
        <v>1169</v>
      </c>
      <c r="C99" s="90" t="s">
        <v>801</v>
      </c>
      <c r="D99" s="87">
        <v>45627</v>
      </c>
      <c r="E99" s="80">
        <v>1</v>
      </c>
      <c r="F99" s="88">
        <v>596000000</v>
      </c>
      <c r="G99" s="82">
        <v>3</v>
      </c>
      <c r="H99" s="101">
        <v>12</v>
      </c>
      <c r="I99" s="104" t="s">
        <v>1419</v>
      </c>
      <c r="J99" s="88">
        <v>199000000</v>
      </c>
      <c r="K99" s="88">
        <v>50000000</v>
      </c>
      <c r="L99" s="88">
        <v>149000000</v>
      </c>
    </row>
    <row r="100" spans="1:12" ht="31.2" x14ac:dyDescent="0.3">
      <c r="A100" s="85">
        <f>SUBTOTAL(3,$B$38:B100)</f>
        <v>63</v>
      </c>
      <c r="B100" s="86" t="s">
        <v>994</v>
      </c>
      <c r="C100" s="90" t="s">
        <v>559</v>
      </c>
      <c r="D100" s="87">
        <v>44927</v>
      </c>
      <c r="E100" s="80">
        <v>1</v>
      </c>
      <c r="F100" s="88">
        <v>560000000</v>
      </c>
      <c r="G100" s="82">
        <v>3</v>
      </c>
      <c r="H100" s="101">
        <v>12</v>
      </c>
      <c r="I100" s="104" t="s">
        <v>1419</v>
      </c>
      <c r="J100" s="88">
        <v>187000000</v>
      </c>
      <c r="K100" s="88">
        <v>47000000</v>
      </c>
      <c r="L100" s="88">
        <v>140000000</v>
      </c>
    </row>
    <row r="101" spans="1:12" ht="15.6" x14ac:dyDescent="0.3">
      <c r="A101" s="85">
        <f>SUBTOTAL(3,$B$38:B101)</f>
        <v>64</v>
      </c>
      <c r="B101" s="86" t="s">
        <v>861</v>
      </c>
      <c r="C101" s="90" t="s">
        <v>630</v>
      </c>
      <c r="D101" s="87">
        <v>44736</v>
      </c>
      <c r="E101" s="80">
        <v>1</v>
      </c>
      <c r="F101" s="88">
        <v>551000000</v>
      </c>
      <c r="G101" s="82">
        <v>5</v>
      </c>
      <c r="H101" s="101">
        <v>12</v>
      </c>
      <c r="I101" s="104" t="s">
        <v>1419</v>
      </c>
      <c r="J101" s="88">
        <v>110000000</v>
      </c>
      <c r="K101" s="88">
        <v>46000000</v>
      </c>
      <c r="L101" s="88">
        <v>64000000</v>
      </c>
    </row>
    <row r="102" spans="1:12" ht="31.2" x14ac:dyDescent="0.3">
      <c r="A102" s="85">
        <f>SUBTOTAL(3,$B$38:B102)</f>
        <v>65</v>
      </c>
      <c r="B102" s="86" t="s">
        <v>1052</v>
      </c>
      <c r="C102" s="90" t="s">
        <v>611</v>
      </c>
      <c r="D102" s="87">
        <v>45901</v>
      </c>
      <c r="E102" s="80">
        <v>1</v>
      </c>
      <c r="F102" s="88">
        <v>536000000</v>
      </c>
      <c r="G102" s="82">
        <v>5</v>
      </c>
      <c r="H102" s="101">
        <v>12</v>
      </c>
      <c r="I102" s="104" t="s">
        <v>1419</v>
      </c>
      <c r="J102" s="88">
        <v>107000000</v>
      </c>
      <c r="K102" s="88">
        <v>45000000</v>
      </c>
      <c r="L102" s="88">
        <v>63000000</v>
      </c>
    </row>
    <row r="103" spans="1:12" ht="31.2" x14ac:dyDescent="0.3">
      <c r="A103" s="85">
        <f>SUBTOTAL(3,$B$38:B103)</f>
        <v>66</v>
      </c>
      <c r="B103" s="86" t="s">
        <v>1051</v>
      </c>
      <c r="C103" s="90" t="s">
        <v>610</v>
      </c>
      <c r="D103" s="87">
        <v>45901</v>
      </c>
      <c r="E103" s="80">
        <v>1</v>
      </c>
      <c r="F103" s="88">
        <v>530000000</v>
      </c>
      <c r="G103" s="82">
        <v>5</v>
      </c>
      <c r="H103" s="101">
        <v>12</v>
      </c>
      <c r="I103" s="104" t="s">
        <v>1419</v>
      </c>
      <c r="J103" s="88">
        <v>106000000</v>
      </c>
      <c r="K103" s="88">
        <v>44000000</v>
      </c>
      <c r="L103" s="88">
        <v>62000000</v>
      </c>
    </row>
    <row r="104" spans="1:12" ht="31.2" x14ac:dyDescent="0.3">
      <c r="A104" s="85">
        <f>SUBTOTAL(3,$B$38:B104)</f>
        <v>67</v>
      </c>
      <c r="B104" s="86" t="s">
        <v>1024</v>
      </c>
      <c r="C104" s="90" t="s">
        <v>587</v>
      </c>
      <c r="D104" s="87">
        <v>45717</v>
      </c>
      <c r="E104" s="80">
        <v>1</v>
      </c>
      <c r="F104" s="88">
        <v>505000000</v>
      </c>
      <c r="G104" s="82">
        <v>3</v>
      </c>
      <c r="H104" s="101">
        <v>12</v>
      </c>
      <c r="I104" s="104" t="s">
        <v>1419</v>
      </c>
      <c r="J104" s="88">
        <v>168000000</v>
      </c>
      <c r="K104" s="88">
        <v>42000000</v>
      </c>
      <c r="L104" s="88">
        <v>126000000</v>
      </c>
    </row>
    <row r="105" spans="1:12" ht="31.2" x14ac:dyDescent="0.3">
      <c r="A105" s="85">
        <f>SUBTOTAL(3,$B$38:B105)</f>
        <v>68</v>
      </c>
      <c r="B105" s="86" t="s">
        <v>1025</v>
      </c>
      <c r="C105" s="90" t="s">
        <v>588</v>
      </c>
      <c r="D105" s="87">
        <v>45717</v>
      </c>
      <c r="E105" s="80">
        <v>1</v>
      </c>
      <c r="F105" s="88">
        <v>501000000</v>
      </c>
      <c r="G105" s="82">
        <v>3</v>
      </c>
      <c r="H105" s="101">
        <v>12</v>
      </c>
      <c r="I105" s="104" t="s">
        <v>1419</v>
      </c>
      <c r="J105" s="88">
        <v>167000000</v>
      </c>
      <c r="K105" s="88">
        <v>42000000</v>
      </c>
      <c r="L105" s="88">
        <v>125000000</v>
      </c>
    </row>
    <row r="106" spans="1:12" ht="31.2" x14ac:dyDescent="0.3">
      <c r="A106" s="85">
        <f>SUBTOTAL(3,$B$38:B106)</f>
        <v>69</v>
      </c>
      <c r="B106" s="86" t="s">
        <v>938</v>
      </c>
      <c r="C106" s="90" t="s">
        <v>700</v>
      </c>
      <c r="D106" s="87">
        <v>45717</v>
      </c>
      <c r="E106" s="80">
        <v>1</v>
      </c>
      <c r="F106" s="88">
        <v>486000000</v>
      </c>
      <c r="G106" s="82">
        <v>3</v>
      </c>
      <c r="H106" s="101">
        <v>12</v>
      </c>
      <c r="I106" s="104" t="s">
        <v>1419</v>
      </c>
      <c r="J106" s="88">
        <v>162000000</v>
      </c>
      <c r="K106" s="88">
        <v>41000000</v>
      </c>
      <c r="L106" s="88">
        <v>122000000</v>
      </c>
    </row>
    <row r="107" spans="1:12" ht="31.2" x14ac:dyDescent="0.3">
      <c r="A107" s="85">
        <f>SUBTOTAL(3,$B$38:B107)</f>
        <v>70</v>
      </c>
      <c r="B107" s="86" t="s">
        <v>998</v>
      </c>
      <c r="C107" s="90" t="s">
        <v>563</v>
      </c>
      <c r="D107" s="87">
        <v>44958</v>
      </c>
      <c r="E107" s="80">
        <v>1</v>
      </c>
      <c r="F107" s="88">
        <v>482000000</v>
      </c>
      <c r="G107" s="82">
        <v>5</v>
      </c>
      <c r="H107" s="101">
        <v>12</v>
      </c>
      <c r="I107" s="104" t="s">
        <v>1419</v>
      </c>
      <c r="J107" s="88">
        <v>96000000</v>
      </c>
      <c r="K107" s="88">
        <v>40000000</v>
      </c>
      <c r="L107" s="88">
        <v>56000000</v>
      </c>
    </row>
    <row r="108" spans="1:12" ht="31.2" x14ac:dyDescent="0.3">
      <c r="A108" s="85">
        <f>SUBTOTAL(3,$B$38:B108)</f>
        <v>71</v>
      </c>
      <c r="B108" s="86" t="s">
        <v>1076</v>
      </c>
      <c r="C108" s="149" t="s">
        <v>714</v>
      </c>
      <c r="D108" s="87">
        <v>44722</v>
      </c>
      <c r="E108" s="80">
        <v>1</v>
      </c>
      <c r="F108" s="88">
        <v>472000000</v>
      </c>
      <c r="G108" s="82">
        <v>5</v>
      </c>
      <c r="H108" s="80">
        <v>12</v>
      </c>
      <c r="I108" s="104" t="s">
        <v>1419</v>
      </c>
      <c r="J108" s="88">
        <v>94000000</v>
      </c>
      <c r="K108" s="88">
        <v>47000000</v>
      </c>
      <c r="L108" s="88">
        <v>47000000</v>
      </c>
    </row>
    <row r="109" spans="1:12" ht="31.2" x14ac:dyDescent="0.3">
      <c r="A109" s="85">
        <f>SUBTOTAL(3,$B$38:B109)</f>
        <v>72</v>
      </c>
      <c r="B109" s="86" t="s">
        <v>1026</v>
      </c>
      <c r="C109" s="90" t="s">
        <v>589</v>
      </c>
      <c r="D109" s="87">
        <v>45717</v>
      </c>
      <c r="E109" s="80">
        <v>1</v>
      </c>
      <c r="F109" s="88">
        <v>466000000</v>
      </c>
      <c r="G109" s="82">
        <v>3</v>
      </c>
      <c r="H109" s="101">
        <v>12</v>
      </c>
      <c r="I109" s="104" t="s">
        <v>1419</v>
      </c>
      <c r="J109" s="88">
        <v>155000000</v>
      </c>
      <c r="K109" s="88">
        <v>39000000</v>
      </c>
      <c r="L109" s="88">
        <v>116000000</v>
      </c>
    </row>
    <row r="110" spans="1:12" ht="15.6" x14ac:dyDescent="0.3">
      <c r="A110" s="85">
        <f>SUBTOTAL(3,$B$38:B110)</f>
        <v>73</v>
      </c>
      <c r="B110" s="86" t="s">
        <v>894</v>
      </c>
      <c r="C110" s="90" t="s">
        <v>656</v>
      </c>
      <c r="D110" s="87">
        <v>45139</v>
      </c>
      <c r="E110" s="80">
        <v>1</v>
      </c>
      <c r="F110" s="88">
        <v>461000000</v>
      </c>
      <c r="G110" s="82">
        <v>3</v>
      </c>
      <c r="H110" s="101">
        <v>12</v>
      </c>
      <c r="I110" s="104" t="s">
        <v>1419</v>
      </c>
      <c r="J110" s="88">
        <v>154000000</v>
      </c>
      <c r="K110" s="88">
        <v>38000000</v>
      </c>
      <c r="L110" s="88">
        <v>115000000</v>
      </c>
    </row>
    <row r="111" spans="1:12" ht="31.2" x14ac:dyDescent="0.3">
      <c r="A111" s="85">
        <f>SUBTOTAL(3,$B$38:B111)</f>
        <v>74</v>
      </c>
      <c r="B111" s="86" t="s">
        <v>1027</v>
      </c>
      <c r="C111" s="90" t="s">
        <v>590</v>
      </c>
      <c r="D111" s="87">
        <v>45717</v>
      </c>
      <c r="E111" s="80">
        <v>1</v>
      </c>
      <c r="F111" s="88">
        <v>449000000</v>
      </c>
      <c r="G111" s="82">
        <v>3</v>
      </c>
      <c r="H111" s="101">
        <v>12</v>
      </c>
      <c r="I111" s="104" t="s">
        <v>1419</v>
      </c>
      <c r="J111" s="88">
        <v>150000000</v>
      </c>
      <c r="K111" s="88">
        <v>37000000</v>
      </c>
      <c r="L111" s="88">
        <v>112000000</v>
      </c>
    </row>
    <row r="112" spans="1:12" ht="31.2" x14ac:dyDescent="0.3">
      <c r="A112" s="85">
        <f>SUBTOTAL(3,$B$38:B112)</f>
        <v>75</v>
      </c>
      <c r="B112" s="86" t="s">
        <v>1029</v>
      </c>
      <c r="C112" s="90" t="s">
        <v>592</v>
      </c>
      <c r="D112" s="87">
        <v>45717</v>
      </c>
      <c r="E112" s="80">
        <v>1</v>
      </c>
      <c r="F112" s="88">
        <v>449000000</v>
      </c>
      <c r="G112" s="82">
        <v>3</v>
      </c>
      <c r="H112" s="101">
        <v>12</v>
      </c>
      <c r="I112" s="104" t="s">
        <v>1419</v>
      </c>
      <c r="J112" s="88">
        <v>150000000</v>
      </c>
      <c r="K112" s="88">
        <v>37000000</v>
      </c>
      <c r="L112" s="88">
        <v>112000000</v>
      </c>
    </row>
    <row r="113" spans="1:12" ht="31.2" x14ac:dyDescent="0.3">
      <c r="A113" s="85">
        <f>SUBTOTAL(3,$B$38:B113)</f>
        <v>76</v>
      </c>
      <c r="B113" s="86" t="s">
        <v>939</v>
      </c>
      <c r="C113" s="90" t="s">
        <v>701</v>
      </c>
      <c r="D113" s="87">
        <v>45717</v>
      </c>
      <c r="E113" s="80">
        <v>1</v>
      </c>
      <c r="F113" s="88">
        <v>433000000</v>
      </c>
      <c r="G113" s="82">
        <v>3</v>
      </c>
      <c r="H113" s="101">
        <v>12</v>
      </c>
      <c r="I113" s="104" t="s">
        <v>1419</v>
      </c>
      <c r="J113" s="88">
        <v>144000000</v>
      </c>
      <c r="K113" s="88">
        <v>36000000</v>
      </c>
      <c r="L113" s="88">
        <v>108000000</v>
      </c>
    </row>
    <row r="114" spans="1:12" ht="15.6" x14ac:dyDescent="0.3">
      <c r="A114" s="85">
        <f>SUBTOTAL(3,$B$38:B114)</f>
        <v>77</v>
      </c>
      <c r="B114" s="86" t="s">
        <v>955</v>
      </c>
      <c r="C114" s="90" t="s">
        <v>531</v>
      </c>
      <c r="D114" s="87">
        <v>44378</v>
      </c>
      <c r="E114" s="80">
        <v>1</v>
      </c>
      <c r="F114" s="88">
        <v>433000000</v>
      </c>
      <c r="G114" s="82">
        <v>5</v>
      </c>
      <c r="H114" s="101">
        <v>12</v>
      </c>
      <c r="I114" s="104" t="s">
        <v>1419</v>
      </c>
      <c r="J114" s="88">
        <v>87000000</v>
      </c>
      <c r="K114" s="88">
        <v>36000000</v>
      </c>
      <c r="L114" s="88">
        <v>51000000</v>
      </c>
    </row>
    <row r="115" spans="1:12" ht="31.2" x14ac:dyDescent="0.3">
      <c r="A115" s="85">
        <f>SUBTOTAL(3,$B$38:B115)</f>
        <v>78</v>
      </c>
      <c r="B115" s="86" t="s">
        <v>992</v>
      </c>
      <c r="C115" s="90" t="s">
        <v>557</v>
      </c>
      <c r="D115" s="87">
        <v>44927</v>
      </c>
      <c r="E115" s="80">
        <v>1</v>
      </c>
      <c r="F115" s="88">
        <v>422000000</v>
      </c>
      <c r="G115" s="82">
        <v>3</v>
      </c>
      <c r="H115" s="101">
        <v>12</v>
      </c>
      <c r="I115" s="104" t="s">
        <v>1419</v>
      </c>
      <c r="J115" s="88">
        <v>141000000</v>
      </c>
      <c r="K115" s="88">
        <v>35000000</v>
      </c>
      <c r="L115" s="88">
        <v>105000000</v>
      </c>
    </row>
    <row r="116" spans="1:12" ht="31.2" x14ac:dyDescent="0.3">
      <c r="A116" s="85">
        <f>SUBTOTAL(3,$B$38:B116)</f>
        <v>79</v>
      </c>
      <c r="B116" s="106" t="s">
        <v>911</v>
      </c>
      <c r="C116" s="90" t="s">
        <v>673</v>
      </c>
      <c r="D116" s="87">
        <v>45261</v>
      </c>
      <c r="E116" s="80">
        <v>1</v>
      </c>
      <c r="F116" s="88">
        <v>412000000</v>
      </c>
      <c r="G116" s="82">
        <v>5</v>
      </c>
      <c r="H116" s="101">
        <v>12</v>
      </c>
      <c r="I116" s="104" t="s">
        <v>1419</v>
      </c>
      <c r="J116" s="88">
        <v>82000000</v>
      </c>
      <c r="K116" s="88">
        <v>34000000</v>
      </c>
      <c r="L116" s="88">
        <v>48000000</v>
      </c>
    </row>
    <row r="117" spans="1:12" ht="15.6" x14ac:dyDescent="0.3">
      <c r="A117" s="85">
        <f>SUBTOTAL(3,$B$38:B117)</f>
        <v>80</v>
      </c>
      <c r="B117" s="86" t="s">
        <v>903</v>
      </c>
      <c r="C117" s="90" t="s">
        <v>665</v>
      </c>
      <c r="D117" s="87">
        <v>45200</v>
      </c>
      <c r="E117" s="80">
        <v>1</v>
      </c>
      <c r="F117" s="88">
        <v>409000000</v>
      </c>
      <c r="G117" s="82">
        <v>5</v>
      </c>
      <c r="H117" s="101">
        <v>12</v>
      </c>
      <c r="I117" s="104" t="s">
        <v>1419</v>
      </c>
      <c r="J117" s="88">
        <v>82000000</v>
      </c>
      <c r="K117" s="88">
        <v>34000000</v>
      </c>
      <c r="L117" s="88">
        <v>48000000</v>
      </c>
    </row>
    <row r="118" spans="1:12" ht="31.2" x14ac:dyDescent="0.3">
      <c r="A118" s="85">
        <f>SUBTOTAL(3,$B$38:B118)</f>
        <v>81</v>
      </c>
      <c r="B118" s="86" t="s">
        <v>971</v>
      </c>
      <c r="C118" s="90" t="s">
        <v>541</v>
      </c>
      <c r="D118" s="87">
        <v>44589</v>
      </c>
      <c r="E118" s="80">
        <v>1</v>
      </c>
      <c r="F118" s="88">
        <v>400000000</v>
      </c>
      <c r="G118" s="82">
        <v>6</v>
      </c>
      <c r="H118" s="101">
        <v>12</v>
      </c>
      <c r="I118" s="104" t="s">
        <v>1419</v>
      </c>
      <c r="J118" s="88">
        <v>67000000</v>
      </c>
      <c r="K118" s="88">
        <v>33000000</v>
      </c>
      <c r="L118" s="88">
        <v>33000000</v>
      </c>
    </row>
    <row r="119" spans="1:12" ht="31.2" x14ac:dyDescent="0.3">
      <c r="A119" s="85">
        <f>SUBTOTAL(3,$B$38:B119)</f>
        <v>82</v>
      </c>
      <c r="B119" s="86" t="s">
        <v>1010</v>
      </c>
      <c r="C119" s="90" t="s">
        <v>573</v>
      </c>
      <c r="D119" s="87">
        <v>45474</v>
      </c>
      <c r="E119" s="80">
        <v>1</v>
      </c>
      <c r="F119" s="88">
        <v>400000000</v>
      </c>
      <c r="G119" s="82">
        <v>5</v>
      </c>
      <c r="H119" s="101">
        <v>12</v>
      </c>
      <c r="I119" s="104" t="s">
        <v>1419</v>
      </c>
      <c r="J119" s="88">
        <v>80000000</v>
      </c>
      <c r="K119" s="88">
        <v>33000000</v>
      </c>
      <c r="L119" s="88">
        <v>47000000</v>
      </c>
    </row>
    <row r="120" spans="1:12" ht="15.6" x14ac:dyDescent="0.3">
      <c r="A120" s="85">
        <f>SUBTOTAL(3,$B$38:B120)</f>
        <v>83</v>
      </c>
      <c r="B120" s="86" t="s">
        <v>961</v>
      </c>
      <c r="C120" s="90" t="s">
        <v>537</v>
      </c>
      <c r="D120" s="87">
        <v>44438</v>
      </c>
      <c r="E120" s="80">
        <v>2</v>
      </c>
      <c r="F120" s="88">
        <v>397000000</v>
      </c>
      <c r="G120" s="82">
        <v>10</v>
      </c>
      <c r="H120" s="101">
        <v>12</v>
      </c>
      <c r="I120" s="104" t="s">
        <v>1419</v>
      </c>
      <c r="J120" s="88">
        <v>40000000</v>
      </c>
      <c r="K120" s="88">
        <v>33000000</v>
      </c>
      <c r="L120" s="88">
        <v>7000000</v>
      </c>
    </row>
    <row r="121" spans="1:12" ht="15.6" x14ac:dyDescent="0.3">
      <c r="A121" s="85">
        <f>SUBTOTAL(3,$B$38:B121)</f>
        <v>84</v>
      </c>
      <c r="B121" s="86" t="s">
        <v>1174</v>
      </c>
      <c r="C121" s="90" t="s">
        <v>782</v>
      </c>
      <c r="D121" s="87">
        <v>45627</v>
      </c>
      <c r="E121" s="80">
        <v>1</v>
      </c>
      <c r="F121" s="88">
        <v>386000000</v>
      </c>
      <c r="G121" s="82">
        <v>7</v>
      </c>
      <c r="H121" s="101">
        <v>12</v>
      </c>
      <c r="I121" s="104" t="s">
        <v>1419</v>
      </c>
      <c r="J121" s="88">
        <v>55000000</v>
      </c>
      <c r="K121" s="88">
        <v>32000000</v>
      </c>
      <c r="L121" s="88">
        <v>23000000</v>
      </c>
    </row>
    <row r="122" spans="1:12" ht="15.6" x14ac:dyDescent="0.3">
      <c r="A122" s="85">
        <f>SUBTOTAL(3,$B$38:B122)</f>
        <v>85</v>
      </c>
      <c r="B122" s="86" t="s">
        <v>885</v>
      </c>
      <c r="C122" s="90" t="s">
        <v>647</v>
      </c>
      <c r="D122" s="87">
        <v>45078</v>
      </c>
      <c r="E122" s="80">
        <v>1</v>
      </c>
      <c r="F122" s="88">
        <v>381000000</v>
      </c>
      <c r="G122" s="82">
        <v>3</v>
      </c>
      <c r="H122" s="101">
        <v>12</v>
      </c>
      <c r="I122" s="104" t="s">
        <v>1419</v>
      </c>
      <c r="J122" s="88">
        <v>127000000</v>
      </c>
      <c r="K122" s="88">
        <v>32000000</v>
      </c>
      <c r="L122" s="88">
        <v>95000000</v>
      </c>
    </row>
    <row r="123" spans="1:12" ht="15.6" x14ac:dyDescent="0.3">
      <c r="A123" s="85">
        <f>SUBTOTAL(3,$B$38:B123)</f>
        <v>86</v>
      </c>
      <c r="B123" s="86" t="s">
        <v>909</v>
      </c>
      <c r="C123" s="90" t="s">
        <v>671</v>
      </c>
      <c r="D123" s="87">
        <v>45231</v>
      </c>
      <c r="E123" s="80">
        <v>1</v>
      </c>
      <c r="F123" s="88">
        <v>374000000</v>
      </c>
      <c r="G123" s="82">
        <v>8</v>
      </c>
      <c r="H123" s="101">
        <v>12</v>
      </c>
      <c r="I123" s="104" t="s">
        <v>1419</v>
      </c>
      <c r="J123" s="88">
        <v>47000000</v>
      </c>
      <c r="K123" s="88">
        <v>31000000</v>
      </c>
      <c r="L123" s="88">
        <v>16000000</v>
      </c>
    </row>
    <row r="124" spans="1:12" ht="15.6" x14ac:dyDescent="0.3">
      <c r="A124" s="85">
        <f>SUBTOTAL(3,$B$38:B124)</f>
        <v>87</v>
      </c>
      <c r="B124" s="86" t="s">
        <v>904</v>
      </c>
      <c r="C124" s="90" t="s">
        <v>666</v>
      </c>
      <c r="D124" s="87">
        <v>45200</v>
      </c>
      <c r="E124" s="80">
        <v>1</v>
      </c>
      <c r="F124" s="88">
        <v>367000000</v>
      </c>
      <c r="G124" s="82">
        <v>5</v>
      </c>
      <c r="H124" s="101">
        <v>12</v>
      </c>
      <c r="I124" s="104" t="s">
        <v>1419</v>
      </c>
      <c r="J124" s="88">
        <v>73000000</v>
      </c>
      <c r="K124" s="88">
        <v>31000000</v>
      </c>
      <c r="L124" s="88">
        <v>43000000</v>
      </c>
    </row>
    <row r="125" spans="1:12" ht="15.6" x14ac:dyDescent="0.3">
      <c r="A125" s="85">
        <f>SUBTOTAL(3,$B$38:B125)</f>
        <v>88</v>
      </c>
      <c r="B125" s="86" t="s">
        <v>888</v>
      </c>
      <c r="C125" s="90" t="s">
        <v>650</v>
      </c>
      <c r="D125" s="87">
        <v>45108</v>
      </c>
      <c r="E125" s="80">
        <v>1</v>
      </c>
      <c r="F125" s="88">
        <v>365000000</v>
      </c>
      <c r="G125" s="82">
        <v>3</v>
      </c>
      <c r="H125" s="101">
        <v>12</v>
      </c>
      <c r="I125" s="104" t="s">
        <v>1419</v>
      </c>
      <c r="J125" s="88">
        <v>122000000</v>
      </c>
      <c r="K125" s="88">
        <v>30000000</v>
      </c>
      <c r="L125" s="88">
        <v>91000000</v>
      </c>
    </row>
    <row r="126" spans="1:12" ht="15.6" x14ac:dyDescent="0.3">
      <c r="A126" s="85">
        <f>SUBTOTAL(3,$B$38:B126)</f>
        <v>89</v>
      </c>
      <c r="B126" s="86" t="s">
        <v>949</v>
      </c>
      <c r="C126" s="90" t="s">
        <v>527</v>
      </c>
      <c r="D126" s="87">
        <v>44189</v>
      </c>
      <c r="E126" s="80">
        <v>1</v>
      </c>
      <c r="F126" s="88">
        <v>365000000</v>
      </c>
      <c r="G126" s="82">
        <v>5</v>
      </c>
      <c r="H126" s="101">
        <v>12</v>
      </c>
      <c r="I126" s="104" t="s">
        <v>1419</v>
      </c>
      <c r="J126" s="88">
        <v>73000000</v>
      </c>
      <c r="K126" s="88">
        <v>30000000</v>
      </c>
      <c r="L126" s="88">
        <v>43000000</v>
      </c>
    </row>
    <row r="127" spans="1:12" ht="15.6" x14ac:dyDescent="0.3">
      <c r="A127" s="85">
        <f>SUBTOTAL(3,$B$38:B127)</f>
        <v>90</v>
      </c>
      <c r="B127" s="86" t="s">
        <v>892</v>
      </c>
      <c r="C127" s="90" t="s">
        <v>654</v>
      </c>
      <c r="D127" s="87">
        <v>45146</v>
      </c>
      <c r="E127" s="80">
        <v>1</v>
      </c>
      <c r="F127" s="88">
        <v>361000000</v>
      </c>
      <c r="G127" s="82">
        <v>3</v>
      </c>
      <c r="H127" s="101">
        <v>12</v>
      </c>
      <c r="I127" s="104" t="s">
        <v>1419</v>
      </c>
      <c r="J127" s="88">
        <v>120000000</v>
      </c>
      <c r="K127" s="88">
        <v>30000000</v>
      </c>
      <c r="L127" s="88">
        <v>90000000</v>
      </c>
    </row>
    <row r="128" spans="1:12" ht="15.6" x14ac:dyDescent="0.3">
      <c r="A128" s="85">
        <f>SUBTOTAL(3,$B$38:B128)</f>
        <v>91</v>
      </c>
      <c r="B128" s="86" t="s">
        <v>956</v>
      </c>
      <c r="C128" s="90" t="s">
        <v>532</v>
      </c>
      <c r="D128" s="87">
        <v>44417</v>
      </c>
      <c r="E128" s="80">
        <v>1</v>
      </c>
      <c r="F128" s="88">
        <v>350000000</v>
      </c>
      <c r="G128" s="82">
        <v>10</v>
      </c>
      <c r="H128" s="101">
        <v>12</v>
      </c>
      <c r="I128" s="104" t="s">
        <v>1419</v>
      </c>
      <c r="J128" s="88">
        <v>35000000</v>
      </c>
      <c r="K128" s="88">
        <v>29000000</v>
      </c>
      <c r="L128" s="88">
        <v>6000000</v>
      </c>
    </row>
    <row r="129" spans="1:12" ht="31.2" x14ac:dyDescent="0.3">
      <c r="A129" s="85">
        <f>SUBTOTAL(3,$B$38:B129)</f>
        <v>92</v>
      </c>
      <c r="B129" s="86" t="s">
        <v>1022</v>
      </c>
      <c r="C129" s="90" t="s">
        <v>585</v>
      </c>
      <c r="D129" s="87">
        <v>45474</v>
      </c>
      <c r="E129" s="80">
        <v>1</v>
      </c>
      <c r="F129" s="88">
        <v>350000000</v>
      </c>
      <c r="G129" s="82">
        <v>2</v>
      </c>
      <c r="H129" s="101">
        <v>12</v>
      </c>
      <c r="I129" s="104" t="s">
        <v>1419</v>
      </c>
      <c r="J129" s="88">
        <v>175000000</v>
      </c>
      <c r="K129" s="88">
        <v>29000000</v>
      </c>
      <c r="L129" s="88">
        <v>146000000</v>
      </c>
    </row>
    <row r="130" spans="1:12" ht="31.2" x14ac:dyDescent="0.3">
      <c r="A130" s="85">
        <f>SUBTOTAL(3,$B$38:B130)</f>
        <v>93</v>
      </c>
      <c r="B130" s="106" t="s">
        <v>901</v>
      </c>
      <c r="C130" s="90" t="s">
        <v>663</v>
      </c>
      <c r="D130" s="87">
        <v>45200</v>
      </c>
      <c r="E130" s="80">
        <v>1</v>
      </c>
      <c r="F130" s="88">
        <v>343000000</v>
      </c>
      <c r="G130" s="82">
        <v>5</v>
      </c>
      <c r="H130" s="101">
        <v>12</v>
      </c>
      <c r="I130" s="104" t="s">
        <v>1419</v>
      </c>
      <c r="J130" s="88">
        <v>69000000</v>
      </c>
      <c r="K130" s="88">
        <v>29000000</v>
      </c>
      <c r="L130" s="88">
        <v>40000000</v>
      </c>
    </row>
    <row r="131" spans="1:12" ht="15.6" x14ac:dyDescent="0.3">
      <c r="A131" s="85">
        <f>SUBTOTAL(3,$B$38:B131)</f>
        <v>94</v>
      </c>
      <c r="B131" s="86" t="s">
        <v>995</v>
      </c>
      <c r="C131" s="90" t="s">
        <v>560</v>
      </c>
      <c r="D131" s="87">
        <v>44958</v>
      </c>
      <c r="E131" s="80">
        <v>1</v>
      </c>
      <c r="F131" s="88">
        <v>334000000</v>
      </c>
      <c r="G131" s="82">
        <v>5</v>
      </c>
      <c r="H131" s="101">
        <v>12</v>
      </c>
      <c r="I131" s="104" t="s">
        <v>1419</v>
      </c>
      <c r="J131" s="88">
        <v>67000000</v>
      </c>
      <c r="K131" s="88">
        <v>28000000</v>
      </c>
      <c r="L131" s="88">
        <v>39000000</v>
      </c>
    </row>
    <row r="132" spans="1:12" ht="31.2" x14ac:dyDescent="0.3">
      <c r="A132" s="85">
        <f>SUBTOTAL(3,$B$38:B245)</f>
        <v>208</v>
      </c>
      <c r="B132" s="86" t="s">
        <v>944</v>
      </c>
      <c r="C132" s="90" t="s">
        <v>522</v>
      </c>
      <c r="D132" s="87">
        <v>44177</v>
      </c>
      <c r="E132" s="80">
        <v>1</v>
      </c>
      <c r="F132" s="88">
        <v>330000000</v>
      </c>
      <c r="G132" s="82">
        <v>5</v>
      </c>
      <c r="H132" s="101">
        <v>12</v>
      </c>
      <c r="I132" s="104" t="s">
        <v>1419</v>
      </c>
      <c r="J132" s="88">
        <v>66000000</v>
      </c>
      <c r="K132" s="88">
        <v>28000000</v>
      </c>
      <c r="L132" s="88">
        <v>39000000</v>
      </c>
    </row>
    <row r="133" spans="1:12" ht="15.6" x14ac:dyDescent="0.3">
      <c r="A133" s="85">
        <f>SUBTOTAL(3,$B$38:B133)</f>
        <v>96</v>
      </c>
      <c r="B133" s="86" t="s">
        <v>887</v>
      </c>
      <c r="C133" s="90" t="s">
        <v>649</v>
      </c>
      <c r="D133" s="87">
        <v>45110</v>
      </c>
      <c r="E133" s="80">
        <v>1</v>
      </c>
      <c r="F133" s="88">
        <v>321000000</v>
      </c>
      <c r="G133" s="82">
        <v>3</v>
      </c>
      <c r="H133" s="101">
        <v>12</v>
      </c>
      <c r="I133" s="104" t="s">
        <v>1419</v>
      </c>
      <c r="J133" s="88">
        <v>107000000</v>
      </c>
      <c r="K133" s="88">
        <v>27000000</v>
      </c>
      <c r="L133" s="88">
        <v>80000000</v>
      </c>
    </row>
    <row r="134" spans="1:12" ht="15.6" x14ac:dyDescent="0.3">
      <c r="A134" s="85">
        <f>SUBTOTAL(3,$B$38:B134)</f>
        <v>97</v>
      </c>
      <c r="B134" s="86" t="s">
        <v>959</v>
      </c>
      <c r="C134" s="90" t="s">
        <v>535</v>
      </c>
      <c r="D134" s="87">
        <v>44438</v>
      </c>
      <c r="E134" s="80">
        <v>1</v>
      </c>
      <c r="F134" s="88">
        <v>310000000</v>
      </c>
      <c r="G134" s="82">
        <v>5</v>
      </c>
      <c r="H134" s="101">
        <v>12</v>
      </c>
      <c r="I134" s="104" t="s">
        <v>1419</v>
      </c>
      <c r="J134" s="88">
        <v>62000000</v>
      </c>
      <c r="K134" s="88">
        <v>26000000</v>
      </c>
      <c r="L134" s="88">
        <v>36000000</v>
      </c>
    </row>
    <row r="135" spans="1:12" ht="31.2" x14ac:dyDescent="0.3">
      <c r="A135" s="85">
        <f>SUBTOTAL(3,$B$38:B135)</f>
        <v>98</v>
      </c>
      <c r="B135" s="86" t="s">
        <v>320</v>
      </c>
      <c r="C135" s="149" t="s">
        <v>321</v>
      </c>
      <c r="D135" s="87">
        <v>45261</v>
      </c>
      <c r="E135" s="80">
        <v>1</v>
      </c>
      <c r="F135" s="88">
        <v>305000000</v>
      </c>
      <c r="G135" s="82">
        <v>5</v>
      </c>
      <c r="H135" s="80">
        <v>12</v>
      </c>
      <c r="I135" s="104" t="s">
        <v>1419</v>
      </c>
      <c r="J135" s="88">
        <v>61000000</v>
      </c>
      <c r="K135" s="88">
        <v>30000000</v>
      </c>
      <c r="L135" s="88">
        <v>30000000</v>
      </c>
    </row>
    <row r="136" spans="1:12" ht="15.6" x14ac:dyDescent="0.3">
      <c r="A136" s="85">
        <f>SUBTOTAL(3,$B$38:B136)</f>
        <v>99</v>
      </c>
      <c r="B136" s="86" t="s">
        <v>1062</v>
      </c>
      <c r="C136" s="90" t="s">
        <v>617</v>
      </c>
      <c r="D136" s="87">
        <v>44986</v>
      </c>
      <c r="E136" s="80">
        <v>1</v>
      </c>
      <c r="F136" s="88">
        <v>297000000</v>
      </c>
      <c r="G136" s="82">
        <v>3</v>
      </c>
      <c r="H136" s="101">
        <v>12</v>
      </c>
      <c r="I136" s="104" t="s">
        <v>1419</v>
      </c>
      <c r="J136" s="88">
        <v>99000000</v>
      </c>
      <c r="K136" s="88">
        <v>25000000</v>
      </c>
      <c r="L136" s="88">
        <v>74000000</v>
      </c>
    </row>
    <row r="137" spans="1:12" ht="31.2" x14ac:dyDescent="0.3">
      <c r="A137" s="85">
        <f>SUBTOTAL(3,$B$38:B137)</f>
        <v>100</v>
      </c>
      <c r="B137" s="86" t="s">
        <v>1041</v>
      </c>
      <c r="C137" s="90" t="s">
        <v>604</v>
      </c>
      <c r="D137" s="87">
        <v>45839</v>
      </c>
      <c r="E137" s="80">
        <v>1</v>
      </c>
      <c r="F137" s="88">
        <v>294000000</v>
      </c>
      <c r="G137" s="82">
        <v>5</v>
      </c>
      <c r="H137" s="101">
        <v>12</v>
      </c>
      <c r="I137" s="104" t="s">
        <v>1419</v>
      </c>
      <c r="J137" s="88">
        <v>59000000</v>
      </c>
      <c r="K137" s="88">
        <v>24000000</v>
      </c>
      <c r="L137" s="88">
        <v>34000000</v>
      </c>
    </row>
    <row r="138" spans="1:12" ht="15.6" x14ac:dyDescent="0.3">
      <c r="A138" s="85">
        <f>SUBTOTAL(3,$B$38:B138)</f>
        <v>101</v>
      </c>
      <c r="B138" s="86" t="s">
        <v>1031</v>
      </c>
      <c r="C138" s="90" t="s">
        <v>594</v>
      </c>
      <c r="D138" s="87">
        <v>45748</v>
      </c>
      <c r="E138" s="80">
        <v>1</v>
      </c>
      <c r="F138" s="88">
        <v>280000000</v>
      </c>
      <c r="G138" s="82">
        <v>3</v>
      </c>
      <c r="H138" s="101">
        <v>12</v>
      </c>
      <c r="I138" s="104" t="s">
        <v>1419</v>
      </c>
      <c r="J138" s="88">
        <v>93000000</v>
      </c>
      <c r="K138" s="88">
        <v>23000000</v>
      </c>
      <c r="L138" s="88">
        <v>70000000</v>
      </c>
    </row>
    <row r="139" spans="1:12" ht="31.2" x14ac:dyDescent="0.3">
      <c r="A139" s="85">
        <f>SUBTOTAL(3,$B$38:B139)</f>
        <v>102</v>
      </c>
      <c r="B139" s="86" t="s">
        <v>1053</v>
      </c>
      <c r="C139" s="90" t="s">
        <v>612</v>
      </c>
      <c r="D139" s="87">
        <v>45901</v>
      </c>
      <c r="E139" s="80">
        <v>1</v>
      </c>
      <c r="F139" s="88">
        <v>268000000</v>
      </c>
      <c r="G139" s="82">
        <v>5</v>
      </c>
      <c r="H139" s="101">
        <v>12</v>
      </c>
      <c r="I139" s="104" t="s">
        <v>1419</v>
      </c>
      <c r="J139" s="88">
        <v>54000000</v>
      </c>
      <c r="K139" s="88">
        <v>22000000</v>
      </c>
      <c r="L139" s="88">
        <v>31000000</v>
      </c>
    </row>
    <row r="140" spans="1:12" ht="31.2" x14ac:dyDescent="0.3">
      <c r="A140" s="85">
        <f>SUBTOTAL(3,$B$38:B140)</f>
        <v>103</v>
      </c>
      <c r="B140" s="86" t="s">
        <v>1054</v>
      </c>
      <c r="C140" s="90" t="s">
        <v>613</v>
      </c>
      <c r="D140" s="87">
        <v>45901</v>
      </c>
      <c r="E140" s="80">
        <v>1</v>
      </c>
      <c r="F140" s="88">
        <v>268000000</v>
      </c>
      <c r="G140" s="82">
        <v>5</v>
      </c>
      <c r="H140" s="101">
        <v>12</v>
      </c>
      <c r="I140" s="104" t="s">
        <v>1419</v>
      </c>
      <c r="J140" s="88">
        <v>54000000</v>
      </c>
      <c r="K140" s="88">
        <v>22000000</v>
      </c>
      <c r="L140" s="88">
        <v>31000000</v>
      </c>
    </row>
    <row r="141" spans="1:12" ht="31.2" x14ac:dyDescent="0.3">
      <c r="A141" s="85">
        <f>SUBTOTAL(3,$B$38:B141)</f>
        <v>104</v>
      </c>
      <c r="B141" s="86" t="s">
        <v>1065</v>
      </c>
      <c r="C141" s="90" t="s">
        <v>620</v>
      </c>
      <c r="D141" s="87">
        <v>45170</v>
      </c>
      <c r="E141" s="80">
        <v>1</v>
      </c>
      <c r="F141" s="88">
        <v>267000000</v>
      </c>
      <c r="G141" s="82">
        <v>5</v>
      </c>
      <c r="H141" s="101">
        <v>12</v>
      </c>
      <c r="I141" s="104" t="s">
        <v>1419</v>
      </c>
      <c r="J141" s="88">
        <v>53000000</v>
      </c>
      <c r="K141" s="88">
        <v>22000000</v>
      </c>
      <c r="L141" s="88">
        <v>31000000</v>
      </c>
    </row>
    <row r="142" spans="1:12" ht="31.2" x14ac:dyDescent="0.3">
      <c r="A142" s="85">
        <f>SUBTOTAL(3,$B$38:B142)</f>
        <v>105</v>
      </c>
      <c r="B142" s="86" t="s">
        <v>854</v>
      </c>
      <c r="C142" s="90" t="s">
        <v>627</v>
      </c>
      <c r="D142" s="87">
        <v>44651</v>
      </c>
      <c r="E142" s="80">
        <v>1</v>
      </c>
      <c r="F142" s="88">
        <v>265000000</v>
      </c>
      <c r="G142" s="82">
        <v>6</v>
      </c>
      <c r="H142" s="101">
        <v>12</v>
      </c>
      <c r="I142" s="104" t="s">
        <v>1419</v>
      </c>
      <c r="J142" s="88">
        <v>44000000</v>
      </c>
      <c r="K142" s="88">
        <v>22000000</v>
      </c>
      <c r="L142" s="88">
        <v>22000000</v>
      </c>
    </row>
    <row r="143" spans="1:12" ht="15.6" x14ac:dyDescent="0.3">
      <c r="A143" s="85">
        <f>SUBTOTAL(3,$B$38:B143)</f>
        <v>106</v>
      </c>
      <c r="B143" s="86" t="s">
        <v>868</v>
      </c>
      <c r="C143" s="90" t="s">
        <v>635</v>
      </c>
      <c r="D143" s="87">
        <v>44927</v>
      </c>
      <c r="E143" s="80">
        <v>1</v>
      </c>
      <c r="F143" s="88">
        <v>262000000</v>
      </c>
      <c r="G143" s="82">
        <v>5</v>
      </c>
      <c r="H143" s="101">
        <v>12</v>
      </c>
      <c r="I143" s="104" t="s">
        <v>1419</v>
      </c>
      <c r="J143" s="88">
        <v>52000000</v>
      </c>
      <c r="K143" s="88">
        <v>22000000</v>
      </c>
      <c r="L143" s="88">
        <v>31000000</v>
      </c>
    </row>
    <row r="144" spans="1:12" ht="15.6" x14ac:dyDescent="0.3">
      <c r="A144" s="85">
        <f>SUBTOTAL(3,$B$38:B144)</f>
        <v>107</v>
      </c>
      <c r="B144" s="86" t="s">
        <v>869</v>
      </c>
      <c r="C144" s="90" t="s">
        <v>636</v>
      </c>
      <c r="D144" s="87">
        <v>44927</v>
      </c>
      <c r="E144" s="80">
        <v>1</v>
      </c>
      <c r="F144" s="88">
        <v>262000000</v>
      </c>
      <c r="G144" s="82">
        <v>5</v>
      </c>
      <c r="H144" s="101">
        <v>12</v>
      </c>
      <c r="I144" s="104" t="s">
        <v>1419</v>
      </c>
      <c r="J144" s="88">
        <v>52000000</v>
      </c>
      <c r="K144" s="88">
        <v>22000000</v>
      </c>
      <c r="L144" s="88">
        <v>31000000</v>
      </c>
    </row>
    <row r="145" spans="1:12" ht="15.6" x14ac:dyDescent="0.3">
      <c r="A145" s="85">
        <f>SUBTOTAL(3,$B$38:B145)</f>
        <v>108</v>
      </c>
      <c r="B145" s="86" t="s">
        <v>1032</v>
      </c>
      <c r="C145" s="90" t="s">
        <v>595</v>
      </c>
      <c r="D145" s="87">
        <v>45748</v>
      </c>
      <c r="E145" s="80">
        <v>1</v>
      </c>
      <c r="F145" s="88">
        <v>259000000</v>
      </c>
      <c r="G145" s="82">
        <v>3</v>
      </c>
      <c r="H145" s="101">
        <v>12</v>
      </c>
      <c r="I145" s="104" t="s">
        <v>1419</v>
      </c>
      <c r="J145" s="88">
        <v>86000000</v>
      </c>
      <c r="K145" s="88">
        <v>22000000</v>
      </c>
      <c r="L145" s="88">
        <v>65000000</v>
      </c>
    </row>
    <row r="146" spans="1:12" ht="15.6" x14ac:dyDescent="0.3">
      <c r="A146" s="85">
        <f>SUBTOTAL(3,$B$38:B146)</f>
        <v>109</v>
      </c>
      <c r="B146" s="86" t="s">
        <v>1033</v>
      </c>
      <c r="C146" s="90" t="s">
        <v>596</v>
      </c>
      <c r="D146" s="87">
        <v>45748</v>
      </c>
      <c r="E146" s="80">
        <v>1</v>
      </c>
      <c r="F146" s="88">
        <v>259000000</v>
      </c>
      <c r="G146" s="82">
        <v>3</v>
      </c>
      <c r="H146" s="101">
        <v>12</v>
      </c>
      <c r="I146" s="104" t="s">
        <v>1419</v>
      </c>
      <c r="J146" s="88">
        <v>86000000</v>
      </c>
      <c r="K146" s="88">
        <v>22000000</v>
      </c>
      <c r="L146" s="88">
        <v>65000000</v>
      </c>
    </row>
    <row r="147" spans="1:12" ht="15.6" x14ac:dyDescent="0.3">
      <c r="A147" s="85">
        <f>SUBTOTAL(3,$B$38:B147)</f>
        <v>110</v>
      </c>
      <c r="B147" s="86" t="s">
        <v>1034</v>
      </c>
      <c r="C147" s="90" t="s">
        <v>597</v>
      </c>
      <c r="D147" s="87">
        <v>45748</v>
      </c>
      <c r="E147" s="80">
        <v>1</v>
      </c>
      <c r="F147" s="88">
        <v>259000000</v>
      </c>
      <c r="G147" s="82">
        <v>3</v>
      </c>
      <c r="H147" s="101">
        <v>12</v>
      </c>
      <c r="I147" s="104" t="s">
        <v>1419</v>
      </c>
      <c r="J147" s="88">
        <v>86000000</v>
      </c>
      <c r="K147" s="88">
        <v>22000000</v>
      </c>
      <c r="L147" s="88">
        <v>65000000</v>
      </c>
    </row>
    <row r="148" spans="1:12" ht="15.6" x14ac:dyDescent="0.3">
      <c r="A148" s="85">
        <f>SUBTOTAL(3,$B$38:B148)</f>
        <v>111</v>
      </c>
      <c r="B148" s="86" t="s">
        <v>1035</v>
      </c>
      <c r="C148" s="90" t="s">
        <v>598</v>
      </c>
      <c r="D148" s="87">
        <v>45748</v>
      </c>
      <c r="E148" s="80">
        <v>1</v>
      </c>
      <c r="F148" s="88">
        <v>259000000</v>
      </c>
      <c r="G148" s="82">
        <v>3</v>
      </c>
      <c r="H148" s="101">
        <v>12</v>
      </c>
      <c r="I148" s="104" t="s">
        <v>1419</v>
      </c>
      <c r="J148" s="88">
        <v>86000000</v>
      </c>
      <c r="K148" s="88">
        <v>22000000</v>
      </c>
      <c r="L148" s="88">
        <v>65000000</v>
      </c>
    </row>
    <row r="149" spans="1:12" ht="15.6" x14ac:dyDescent="0.3">
      <c r="A149" s="85">
        <f>SUBTOTAL(3,$B$38:B149)</f>
        <v>112</v>
      </c>
      <c r="B149" s="86" t="s">
        <v>1037</v>
      </c>
      <c r="C149" s="90" t="s">
        <v>600</v>
      </c>
      <c r="D149" s="87">
        <v>45778</v>
      </c>
      <c r="E149" s="80">
        <v>1</v>
      </c>
      <c r="F149" s="88">
        <v>259000000</v>
      </c>
      <c r="G149" s="82">
        <v>5</v>
      </c>
      <c r="H149" s="101">
        <v>12</v>
      </c>
      <c r="I149" s="104" t="s">
        <v>1419</v>
      </c>
      <c r="J149" s="88">
        <v>52000000</v>
      </c>
      <c r="K149" s="88">
        <v>22000000</v>
      </c>
      <c r="L149" s="88">
        <v>30000000</v>
      </c>
    </row>
    <row r="150" spans="1:12" ht="31.2" x14ac:dyDescent="0.3">
      <c r="A150" s="85">
        <f>SUBTOTAL(3,$B$38:B150)</f>
        <v>113</v>
      </c>
      <c r="B150" s="86" t="s">
        <v>1040</v>
      </c>
      <c r="C150" s="90" t="s">
        <v>603</v>
      </c>
      <c r="D150" s="87">
        <v>45778</v>
      </c>
      <c r="E150" s="80">
        <v>1</v>
      </c>
      <c r="F150" s="88">
        <v>259000000</v>
      </c>
      <c r="G150" s="82">
        <v>5</v>
      </c>
      <c r="H150" s="101">
        <v>12</v>
      </c>
      <c r="I150" s="104" t="s">
        <v>1419</v>
      </c>
      <c r="J150" s="88">
        <v>52000000</v>
      </c>
      <c r="K150" s="88">
        <v>22000000</v>
      </c>
      <c r="L150" s="88">
        <v>30000000</v>
      </c>
    </row>
    <row r="151" spans="1:12" ht="31.2" x14ac:dyDescent="0.3">
      <c r="A151" s="85">
        <f>SUBTOTAL(3,$B$38:B151)</f>
        <v>114</v>
      </c>
      <c r="B151" s="86" t="s">
        <v>993</v>
      </c>
      <c r="C151" s="90" t="s">
        <v>558</v>
      </c>
      <c r="D151" s="87">
        <v>44927</v>
      </c>
      <c r="E151" s="80">
        <v>1</v>
      </c>
      <c r="F151" s="88">
        <v>257000000</v>
      </c>
      <c r="G151" s="82">
        <v>3</v>
      </c>
      <c r="H151" s="101">
        <v>12</v>
      </c>
      <c r="I151" s="104" t="s">
        <v>1419</v>
      </c>
      <c r="J151" s="88">
        <v>86000000</v>
      </c>
      <c r="K151" s="88">
        <v>21000000</v>
      </c>
      <c r="L151" s="88">
        <v>64000000</v>
      </c>
    </row>
    <row r="152" spans="1:12" ht="15.6" x14ac:dyDescent="0.3">
      <c r="A152" s="85">
        <f>SUBTOTAL(3,$B$38:B152)</f>
        <v>115</v>
      </c>
      <c r="B152" s="86" t="s">
        <v>866</v>
      </c>
      <c r="C152" s="90" t="s">
        <v>633</v>
      </c>
      <c r="D152" s="87">
        <v>44835</v>
      </c>
      <c r="E152" s="80">
        <v>2</v>
      </c>
      <c r="F152" s="88">
        <v>255000000</v>
      </c>
      <c r="G152" s="82">
        <v>5</v>
      </c>
      <c r="H152" s="101">
        <v>12</v>
      </c>
      <c r="I152" s="104" t="s">
        <v>1419</v>
      </c>
      <c r="J152" s="88">
        <v>51000000</v>
      </c>
      <c r="K152" s="88">
        <v>21000000</v>
      </c>
      <c r="L152" s="88">
        <v>30000000</v>
      </c>
    </row>
    <row r="153" spans="1:12" ht="31.2" x14ac:dyDescent="0.3">
      <c r="A153" s="85">
        <f>SUBTOTAL(3,$B$38:B153)</f>
        <v>116</v>
      </c>
      <c r="B153" s="86" t="s">
        <v>947</v>
      </c>
      <c r="C153" s="90" t="s">
        <v>525</v>
      </c>
      <c r="D153" s="87">
        <v>44177</v>
      </c>
      <c r="E153" s="80">
        <v>1</v>
      </c>
      <c r="F153" s="88">
        <v>250000000</v>
      </c>
      <c r="G153" s="82">
        <v>5</v>
      </c>
      <c r="H153" s="101">
        <v>12</v>
      </c>
      <c r="I153" s="104" t="s">
        <v>1419</v>
      </c>
      <c r="J153" s="88">
        <v>50000000</v>
      </c>
      <c r="K153" s="88">
        <v>21000000</v>
      </c>
      <c r="L153" s="88">
        <v>29000000</v>
      </c>
    </row>
    <row r="154" spans="1:12" ht="31.2" x14ac:dyDescent="0.3">
      <c r="A154" s="85">
        <f>SUBTOTAL(3,$B$38:B154)</f>
        <v>117</v>
      </c>
      <c r="B154" s="86" t="s">
        <v>1177</v>
      </c>
      <c r="C154" s="90" t="s">
        <v>785</v>
      </c>
      <c r="D154" s="87">
        <v>45627</v>
      </c>
      <c r="E154" s="80">
        <v>1</v>
      </c>
      <c r="F154" s="88">
        <v>238000000</v>
      </c>
      <c r="G154" s="82">
        <v>3</v>
      </c>
      <c r="H154" s="101">
        <v>12</v>
      </c>
      <c r="I154" s="104" t="s">
        <v>1419</v>
      </c>
      <c r="J154" s="88">
        <v>79000000</v>
      </c>
      <c r="K154" s="88">
        <v>20000000</v>
      </c>
      <c r="L154" s="88">
        <v>59000000</v>
      </c>
    </row>
    <row r="155" spans="1:12" ht="31.2" x14ac:dyDescent="0.3">
      <c r="A155" s="85">
        <f>SUBTOTAL(3,$B$38:B155)</f>
        <v>118</v>
      </c>
      <c r="B155" s="86" t="s">
        <v>1157</v>
      </c>
      <c r="C155" s="149" t="s">
        <v>753</v>
      </c>
      <c r="D155" s="87">
        <v>45383</v>
      </c>
      <c r="E155" s="80">
        <v>1</v>
      </c>
      <c r="F155" s="88">
        <v>235000000</v>
      </c>
      <c r="G155" s="82">
        <v>5</v>
      </c>
      <c r="H155" s="80">
        <v>12</v>
      </c>
      <c r="I155" s="104" t="s">
        <v>1419</v>
      </c>
      <c r="J155" s="88">
        <v>47000000</v>
      </c>
      <c r="K155" s="88">
        <v>9000000</v>
      </c>
      <c r="L155" s="88">
        <v>38000000</v>
      </c>
    </row>
    <row r="156" spans="1:12" ht="31.2" x14ac:dyDescent="0.3">
      <c r="A156" s="85">
        <f>SUBTOTAL(3,$B$38:B156)</f>
        <v>119</v>
      </c>
      <c r="B156" s="86" t="s">
        <v>1162</v>
      </c>
      <c r="C156" s="90" t="s">
        <v>794</v>
      </c>
      <c r="D156" s="87">
        <v>45627</v>
      </c>
      <c r="E156" s="80">
        <v>1</v>
      </c>
      <c r="F156" s="88">
        <v>222000000</v>
      </c>
      <c r="G156" s="82">
        <v>3</v>
      </c>
      <c r="H156" s="101">
        <v>12</v>
      </c>
      <c r="I156" s="104" t="s">
        <v>1419</v>
      </c>
      <c r="J156" s="88">
        <v>74000000</v>
      </c>
      <c r="K156" s="88">
        <v>19000000</v>
      </c>
      <c r="L156" s="88">
        <v>56000000</v>
      </c>
    </row>
    <row r="157" spans="1:12" ht="15.6" x14ac:dyDescent="0.3">
      <c r="A157" s="85">
        <f>SUBTOTAL(3,$B$38:B157)</f>
        <v>120</v>
      </c>
      <c r="B157" s="86" t="s">
        <v>880</v>
      </c>
      <c r="C157" s="90" t="s">
        <v>642</v>
      </c>
      <c r="D157" s="87">
        <v>45017</v>
      </c>
      <c r="E157" s="80">
        <v>1</v>
      </c>
      <c r="F157" s="88">
        <v>220000000</v>
      </c>
      <c r="G157" s="82">
        <v>5</v>
      </c>
      <c r="H157" s="101">
        <v>12</v>
      </c>
      <c r="I157" s="104" t="s">
        <v>1419</v>
      </c>
      <c r="J157" s="88">
        <v>44000000</v>
      </c>
      <c r="K157" s="88">
        <v>18000000</v>
      </c>
      <c r="L157" s="88">
        <v>26000000</v>
      </c>
    </row>
    <row r="158" spans="1:12" ht="15.6" x14ac:dyDescent="0.3">
      <c r="A158" s="85">
        <f>SUBTOTAL(3,$B$38:B158)</f>
        <v>121</v>
      </c>
      <c r="B158" s="86" t="s">
        <v>1005</v>
      </c>
      <c r="C158" s="90" t="s">
        <v>568</v>
      </c>
      <c r="D158" s="87">
        <v>44986</v>
      </c>
      <c r="E158" s="80">
        <v>1</v>
      </c>
      <c r="F158" s="88">
        <v>218000000</v>
      </c>
      <c r="G158" s="82">
        <v>3</v>
      </c>
      <c r="H158" s="101">
        <v>12</v>
      </c>
      <c r="I158" s="104" t="s">
        <v>1419</v>
      </c>
      <c r="J158" s="88">
        <v>73000000</v>
      </c>
      <c r="K158" s="88">
        <v>18000000</v>
      </c>
      <c r="L158" s="88">
        <v>54000000</v>
      </c>
    </row>
    <row r="159" spans="1:12" ht="15.6" x14ac:dyDescent="0.3">
      <c r="A159" s="85">
        <f>SUBTOTAL(3,$B$38:B159)</f>
        <v>122</v>
      </c>
      <c r="B159" s="86" t="s">
        <v>1159</v>
      </c>
      <c r="C159" s="149" t="s">
        <v>755</v>
      </c>
      <c r="D159" s="87">
        <v>45383</v>
      </c>
      <c r="E159" s="80">
        <v>1</v>
      </c>
      <c r="F159" s="88">
        <v>212000000</v>
      </c>
      <c r="G159" s="82">
        <v>5</v>
      </c>
      <c r="H159" s="80">
        <v>12</v>
      </c>
      <c r="I159" s="104" t="s">
        <v>1419</v>
      </c>
      <c r="J159" s="88">
        <v>42000000</v>
      </c>
      <c r="K159" s="88">
        <v>8000000</v>
      </c>
      <c r="L159" s="88">
        <v>34000000</v>
      </c>
    </row>
    <row r="160" spans="1:12" ht="31.2" x14ac:dyDescent="0.3">
      <c r="A160" s="85">
        <f>SUBTOTAL(3,$B$38:B160)</f>
        <v>123</v>
      </c>
      <c r="B160" s="86" t="s">
        <v>918</v>
      </c>
      <c r="C160" s="90" t="s">
        <v>680</v>
      </c>
      <c r="D160" s="87">
        <v>45566</v>
      </c>
      <c r="E160" s="80">
        <v>1</v>
      </c>
      <c r="F160" s="88">
        <v>209000000</v>
      </c>
      <c r="G160" s="82">
        <v>3</v>
      </c>
      <c r="H160" s="101">
        <v>12</v>
      </c>
      <c r="I160" s="104" t="s">
        <v>1419</v>
      </c>
      <c r="J160" s="88">
        <v>70000000</v>
      </c>
      <c r="K160" s="88">
        <v>17000000</v>
      </c>
      <c r="L160" s="88">
        <v>52000000</v>
      </c>
    </row>
    <row r="161" spans="1:12" ht="15.6" x14ac:dyDescent="0.3">
      <c r="A161" s="85">
        <f>SUBTOTAL(3,$B$38:B161)</f>
        <v>124</v>
      </c>
      <c r="B161" s="86" t="s">
        <v>982</v>
      </c>
      <c r="C161" s="90" t="s">
        <v>547</v>
      </c>
      <c r="D161" s="87">
        <v>44849</v>
      </c>
      <c r="E161" s="80">
        <v>1</v>
      </c>
      <c r="F161" s="88">
        <v>209000000</v>
      </c>
      <c r="G161" s="82">
        <v>5</v>
      </c>
      <c r="H161" s="101">
        <v>12</v>
      </c>
      <c r="I161" s="104" t="s">
        <v>1419</v>
      </c>
      <c r="J161" s="88">
        <v>42000000</v>
      </c>
      <c r="K161" s="88">
        <v>17000000</v>
      </c>
      <c r="L161" s="88">
        <v>24000000</v>
      </c>
    </row>
    <row r="162" spans="1:12" ht="15.6" x14ac:dyDescent="0.3">
      <c r="A162" s="85">
        <f>SUBTOTAL(3,$B$38:B162)</f>
        <v>125</v>
      </c>
      <c r="B162" s="86" t="s">
        <v>907</v>
      </c>
      <c r="C162" s="90" t="s">
        <v>669</v>
      </c>
      <c r="D162" s="87">
        <v>45231</v>
      </c>
      <c r="E162" s="80">
        <v>1</v>
      </c>
      <c r="F162" s="88">
        <v>208000000</v>
      </c>
      <c r="G162" s="82">
        <v>8</v>
      </c>
      <c r="H162" s="101">
        <v>12</v>
      </c>
      <c r="I162" s="104" t="s">
        <v>1419</v>
      </c>
      <c r="J162" s="88">
        <v>26000000</v>
      </c>
      <c r="K162" s="88">
        <v>17000000</v>
      </c>
      <c r="L162" s="88">
        <v>9000000</v>
      </c>
    </row>
    <row r="163" spans="1:12" ht="31.2" x14ac:dyDescent="0.3">
      <c r="A163" s="85">
        <f>SUBTOTAL(3,$B$38:B163)</f>
        <v>126</v>
      </c>
      <c r="B163" s="86" t="s">
        <v>1042</v>
      </c>
      <c r="C163" s="90" t="s">
        <v>605</v>
      </c>
      <c r="D163" s="87">
        <v>45870</v>
      </c>
      <c r="E163" s="80">
        <v>1</v>
      </c>
      <c r="F163" s="88">
        <v>205000000</v>
      </c>
      <c r="G163" s="82">
        <v>5</v>
      </c>
      <c r="H163" s="101">
        <v>12</v>
      </c>
      <c r="I163" s="104" t="s">
        <v>1419</v>
      </c>
      <c r="J163" s="88">
        <v>41000000</v>
      </c>
      <c r="K163" s="88">
        <v>17000000</v>
      </c>
      <c r="L163" s="88">
        <v>24000000</v>
      </c>
    </row>
    <row r="164" spans="1:12" ht="31.2" x14ac:dyDescent="0.3">
      <c r="A164" s="85">
        <f>SUBTOTAL(3,$B$38:B164)</f>
        <v>127</v>
      </c>
      <c r="B164" s="86" t="s">
        <v>1043</v>
      </c>
      <c r="C164" s="90" t="s">
        <v>606</v>
      </c>
      <c r="D164" s="87">
        <v>45870</v>
      </c>
      <c r="E164" s="80">
        <v>1</v>
      </c>
      <c r="F164" s="88">
        <v>205000000</v>
      </c>
      <c r="G164" s="82">
        <v>5</v>
      </c>
      <c r="H164" s="101">
        <v>12</v>
      </c>
      <c r="I164" s="104" t="s">
        <v>1419</v>
      </c>
      <c r="J164" s="88">
        <v>41000000</v>
      </c>
      <c r="K164" s="88">
        <v>17000000</v>
      </c>
      <c r="L164" s="88">
        <v>24000000</v>
      </c>
    </row>
    <row r="165" spans="1:12" ht="15.6" x14ac:dyDescent="0.3">
      <c r="A165" s="85">
        <f>SUBTOTAL(3,$B$38:B165)</f>
        <v>128</v>
      </c>
      <c r="B165" s="86" t="s">
        <v>1061</v>
      </c>
      <c r="C165" s="90" t="s">
        <v>616</v>
      </c>
      <c r="D165" s="87">
        <v>44835</v>
      </c>
      <c r="E165" s="80">
        <v>1</v>
      </c>
      <c r="F165" s="88">
        <v>205000000</v>
      </c>
      <c r="G165" s="82">
        <v>5</v>
      </c>
      <c r="H165" s="101">
        <v>12</v>
      </c>
      <c r="I165" s="104" t="s">
        <v>1419</v>
      </c>
      <c r="J165" s="88">
        <v>41000000</v>
      </c>
      <c r="K165" s="88">
        <v>17000000</v>
      </c>
      <c r="L165" s="88">
        <v>24000000</v>
      </c>
    </row>
    <row r="166" spans="1:12" ht="15.6" x14ac:dyDescent="0.3">
      <c r="A166" s="85">
        <f>SUBTOTAL(3,$B$38:B166)</f>
        <v>129</v>
      </c>
      <c r="B166" s="86" t="s">
        <v>884</v>
      </c>
      <c r="C166" s="90" t="s">
        <v>646</v>
      </c>
      <c r="D166" s="87">
        <v>45110</v>
      </c>
      <c r="E166" s="80">
        <v>1</v>
      </c>
      <c r="F166" s="88">
        <v>204000000</v>
      </c>
      <c r="G166" s="82">
        <v>3</v>
      </c>
      <c r="H166" s="101">
        <v>12</v>
      </c>
      <c r="I166" s="104" t="s">
        <v>1419</v>
      </c>
      <c r="J166" s="88">
        <v>68000000</v>
      </c>
      <c r="K166" s="88">
        <v>17000000</v>
      </c>
      <c r="L166" s="88">
        <v>51000000</v>
      </c>
    </row>
    <row r="167" spans="1:12" ht="15.6" x14ac:dyDescent="0.3">
      <c r="A167" s="85">
        <f>SUBTOTAL(3,$B$38:B167)</f>
        <v>130</v>
      </c>
      <c r="B167" s="86" t="s">
        <v>991</v>
      </c>
      <c r="C167" s="90" t="s">
        <v>556</v>
      </c>
      <c r="D167" s="87">
        <v>44927</v>
      </c>
      <c r="E167" s="80">
        <v>1</v>
      </c>
      <c r="F167" s="88">
        <v>201000000</v>
      </c>
      <c r="G167" s="82">
        <v>5</v>
      </c>
      <c r="H167" s="101">
        <v>12</v>
      </c>
      <c r="I167" s="104" t="s">
        <v>1419</v>
      </c>
      <c r="J167" s="88">
        <v>40000000</v>
      </c>
      <c r="K167" s="88">
        <v>17000000</v>
      </c>
      <c r="L167" s="88">
        <v>23000000</v>
      </c>
    </row>
    <row r="168" spans="1:12" ht="15.6" x14ac:dyDescent="0.3">
      <c r="A168" s="85">
        <f>SUBTOTAL(3,$B$38:B168)</f>
        <v>131</v>
      </c>
      <c r="B168" s="86" t="s">
        <v>945</v>
      </c>
      <c r="C168" s="90" t="s">
        <v>523</v>
      </c>
      <c r="D168" s="87">
        <v>44177</v>
      </c>
      <c r="E168" s="80">
        <v>1</v>
      </c>
      <c r="F168" s="88">
        <v>199000000</v>
      </c>
      <c r="G168" s="82">
        <v>5</v>
      </c>
      <c r="H168" s="101">
        <v>12</v>
      </c>
      <c r="I168" s="104" t="s">
        <v>1419</v>
      </c>
      <c r="J168" s="88">
        <v>40000000</v>
      </c>
      <c r="K168" s="88">
        <v>17000000</v>
      </c>
      <c r="L168" s="88">
        <v>23000000</v>
      </c>
    </row>
    <row r="169" spans="1:12" ht="15.6" x14ac:dyDescent="0.3">
      <c r="A169" s="85">
        <f>SUBTOTAL(3,$B$38:B169)</f>
        <v>132</v>
      </c>
      <c r="B169" s="86" t="s">
        <v>1179</v>
      </c>
      <c r="C169" s="90" t="s">
        <v>787</v>
      </c>
      <c r="D169" s="87">
        <v>45627</v>
      </c>
      <c r="E169" s="80">
        <v>1</v>
      </c>
      <c r="F169" s="88">
        <v>199000000</v>
      </c>
      <c r="G169" s="82">
        <v>3</v>
      </c>
      <c r="H169" s="101">
        <v>12</v>
      </c>
      <c r="I169" s="104" t="s">
        <v>1419</v>
      </c>
      <c r="J169" s="88">
        <v>66000000</v>
      </c>
      <c r="K169" s="88">
        <v>17000000</v>
      </c>
      <c r="L169" s="88">
        <v>50000000</v>
      </c>
    </row>
    <row r="170" spans="1:12" ht="31.2" x14ac:dyDescent="0.3">
      <c r="A170" s="85">
        <f>SUBTOTAL(3,$B$38:B170)</f>
        <v>133</v>
      </c>
      <c r="B170" s="86" t="s">
        <v>890</v>
      </c>
      <c r="C170" s="90" t="s">
        <v>652</v>
      </c>
      <c r="D170" s="87">
        <v>45108</v>
      </c>
      <c r="E170" s="80">
        <v>1</v>
      </c>
      <c r="F170" s="88">
        <v>196000000</v>
      </c>
      <c r="G170" s="82">
        <v>3</v>
      </c>
      <c r="H170" s="101">
        <v>12</v>
      </c>
      <c r="I170" s="104" t="s">
        <v>1419</v>
      </c>
      <c r="J170" s="88">
        <v>65000000</v>
      </c>
      <c r="K170" s="88">
        <v>16000000</v>
      </c>
      <c r="L170" s="88">
        <v>49000000</v>
      </c>
    </row>
    <row r="171" spans="1:12" ht="31.2" x14ac:dyDescent="0.3">
      <c r="A171" s="85">
        <f>SUBTOTAL(3,$B$38:B171)</f>
        <v>134</v>
      </c>
      <c r="B171" s="86" t="s">
        <v>1134</v>
      </c>
      <c r="C171" s="149" t="s">
        <v>761</v>
      </c>
      <c r="D171" s="87">
        <v>45108</v>
      </c>
      <c r="E171" s="80">
        <v>1</v>
      </c>
      <c r="F171" s="88">
        <v>196000000</v>
      </c>
      <c r="G171" s="82">
        <v>3</v>
      </c>
      <c r="H171" s="80">
        <v>12</v>
      </c>
      <c r="I171" s="104" t="s">
        <v>1419</v>
      </c>
      <c r="J171" s="88">
        <v>65000000</v>
      </c>
      <c r="K171" s="88">
        <v>8000000</v>
      </c>
      <c r="L171" s="88">
        <v>57000000</v>
      </c>
    </row>
    <row r="172" spans="1:12" ht="31.2" x14ac:dyDescent="0.3">
      <c r="A172" s="85">
        <f>SUBTOTAL(3,$B$38:B172)</f>
        <v>135</v>
      </c>
      <c r="B172" s="86" t="s">
        <v>922</v>
      </c>
      <c r="C172" s="90" t="s">
        <v>684</v>
      </c>
      <c r="D172" s="87">
        <v>45474</v>
      </c>
      <c r="E172" s="80">
        <v>1</v>
      </c>
      <c r="F172" s="88">
        <v>193000000</v>
      </c>
      <c r="G172" s="82">
        <v>5</v>
      </c>
      <c r="H172" s="101">
        <v>12</v>
      </c>
      <c r="I172" s="104" t="s">
        <v>1419</v>
      </c>
      <c r="J172" s="88">
        <v>39000000</v>
      </c>
      <c r="K172" s="88">
        <v>16000000</v>
      </c>
      <c r="L172" s="88">
        <v>23000000</v>
      </c>
    </row>
    <row r="173" spans="1:12" ht="31.2" x14ac:dyDescent="0.3">
      <c r="A173" s="85">
        <f>SUBTOTAL(3,$B$38:B173)</f>
        <v>136</v>
      </c>
      <c r="B173" s="86" t="s">
        <v>889</v>
      </c>
      <c r="C173" s="90" t="s">
        <v>651</v>
      </c>
      <c r="D173" s="87">
        <v>45108</v>
      </c>
      <c r="E173" s="80">
        <v>1</v>
      </c>
      <c r="F173" s="88">
        <v>190000000</v>
      </c>
      <c r="G173" s="82">
        <v>3</v>
      </c>
      <c r="H173" s="101">
        <v>12</v>
      </c>
      <c r="I173" s="104" t="s">
        <v>1419</v>
      </c>
      <c r="J173" s="88">
        <v>63000000</v>
      </c>
      <c r="K173" s="88">
        <v>16000000</v>
      </c>
      <c r="L173" s="88">
        <v>48000000</v>
      </c>
    </row>
    <row r="174" spans="1:12" ht="15.6" x14ac:dyDescent="0.3">
      <c r="A174" s="85">
        <f>SUBTOTAL(3,$B$38:B174)</f>
        <v>137</v>
      </c>
      <c r="B174" s="86" t="s">
        <v>1178</v>
      </c>
      <c r="C174" s="90" t="s">
        <v>786</v>
      </c>
      <c r="D174" s="87">
        <v>45627</v>
      </c>
      <c r="E174" s="80">
        <v>1</v>
      </c>
      <c r="F174" s="88">
        <v>190000000</v>
      </c>
      <c r="G174" s="82">
        <v>3</v>
      </c>
      <c r="H174" s="101">
        <v>12</v>
      </c>
      <c r="I174" s="104" t="s">
        <v>1419</v>
      </c>
      <c r="J174" s="88">
        <v>63000000</v>
      </c>
      <c r="K174" s="88">
        <v>16000000</v>
      </c>
      <c r="L174" s="88">
        <v>47000000</v>
      </c>
    </row>
    <row r="175" spans="1:12" ht="15.6" x14ac:dyDescent="0.3">
      <c r="A175" s="85">
        <f>SUBTOTAL(3,$B$38:B175)</f>
        <v>138</v>
      </c>
      <c r="B175" s="86" t="s">
        <v>943</v>
      </c>
      <c r="C175" s="90" t="s">
        <v>521</v>
      </c>
      <c r="D175" s="87">
        <v>44166</v>
      </c>
      <c r="E175" s="80">
        <v>4</v>
      </c>
      <c r="F175" s="88">
        <v>188000000</v>
      </c>
      <c r="G175" s="82">
        <v>8</v>
      </c>
      <c r="H175" s="101">
        <v>12</v>
      </c>
      <c r="I175" s="104" t="s">
        <v>1419</v>
      </c>
      <c r="J175" s="88">
        <v>23000000</v>
      </c>
      <c r="K175" s="88">
        <v>16000000</v>
      </c>
      <c r="L175" s="88">
        <v>8000000</v>
      </c>
    </row>
    <row r="176" spans="1:12" ht="15.6" x14ac:dyDescent="0.3">
      <c r="A176" s="85">
        <f>SUBTOTAL(3,$B$38:B176)</f>
        <v>139</v>
      </c>
      <c r="B176" s="86" t="s">
        <v>1158</v>
      </c>
      <c r="C176" s="149" t="s">
        <v>754</v>
      </c>
      <c r="D176" s="87">
        <v>45383</v>
      </c>
      <c r="E176" s="80">
        <v>1</v>
      </c>
      <c r="F176" s="88">
        <v>188000000</v>
      </c>
      <c r="G176" s="82">
        <v>5</v>
      </c>
      <c r="H176" s="80">
        <v>12</v>
      </c>
      <c r="I176" s="104" t="s">
        <v>1419</v>
      </c>
      <c r="J176" s="88">
        <v>38000000</v>
      </c>
      <c r="K176" s="88">
        <v>8000000</v>
      </c>
      <c r="L176" s="88">
        <v>30000000</v>
      </c>
    </row>
    <row r="177" spans="1:12" ht="15.6" x14ac:dyDescent="0.3">
      <c r="A177" s="85">
        <f>SUBTOTAL(3,$B$38:B177)</f>
        <v>140</v>
      </c>
      <c r="B177" s="86" t="s">
        <v>912</v>
      </c>
      <c r="C177" s="90" t="s">
        <v>674</v>
      </c>
      <c r="D177" s="87">
        <v>45261</v>
      </c>
      <c r="E177" s="80">
        <v>1</v>
      </c>
      <c r="F177" s="88">
        <v>187000000</v>
      </c>
      <c r="G177" s="82">
        <v>8</v>
      </c>
      <c r="H177" s="101">
        <v>12</v>
      </c>
      <c r="I177" s="104" t="s">
        <v>1419</v>
      </c>
      <c r="J177" s="88">
        <v>23000000</v>
      </c>
      <c r="K177" s="88">
        <v>16000000</v>
      </c>
      <c r="L177" s="88">
        <v>8000000</v>
      </c>
    </row>
    <row r="178" spans="1:12" ht="31.2" x14ac:dyDescent="0.3">
      <c r="A178" s="85">
        <f>SUBTOTAL(3,$B$38:B178)</f>
        <v>141</v>
      </c>
      <c r="B178" s="86" t="s">
        <v>1143</v>
      </c>
      <c r="C178" s="149" t="s">
        <v>770</v>
      </c>
      <c r="D178" s="87">
        <v>45383</v>
      </c>
      <c r="E178" s="80">
        <v>1</v>
      </c>
      <c r="F178" s="88">
        <v>186000000</v>
      </c>
      <c r="G178" s="82">
        <v>3</v>
      </c>
      <c r="H178" s="80">
        <v>12</v>
      </c>
      <c r="I178" s="104" t="s">
        <v>1419</v>
      </c>
      <c r="J178" s="88">
        <v>62000000</v>
      </c>
      <c r="K178" s="88">
        <v>7000000</v>
      </c>
      <c r="L178" s="88">
        <v>54000000</v>
      </c>
    </row>
    <row r="179" spans="1:12" ht="31.2" x14ac:dyDescent="0.3">
      <c r="A179" s="85">
        <f>SUBTOTAL(3,$B$38:B179)</f>
        <v>142</v>
      </c>
      <c r="B179" s="86" t="s">
        <v>1036</v>
      </c>
      <c r="C179" s="90" t="s">
        <v>599</v>
      </c>
      <c r="D179" s="87">
        <v>45717</v>
      </c>
      <c r="E179" s="80">
        <v>1</v>
      </c>
      <c r="F179" s="88">
        <v>185000000</v>
      </c>
      <c r="G179" s="82">
        <v>3</v>
      </c>
      <c r="H179" s="101">
        <v>12</v>
      </c>
      <c r="I179" s="104" t="s">
        <v>1419</v>
      </c>
      <c r="J179" s="88">
        <v>62000000</v>
      </c>
      <c r="K179" s="88">
        <v>15000000</v>
      </c>
      <c r="L179" s="88">
        <v>46000000</v>
      </c>
    </row>
    <row r="180" spans="1:12" ht="31.2" x14ac:dyDescent="0.3">
      <c r="A180" s="85">
        <f>SUBTOTAL(3,$B$38:B180)</f>
        <v>143</v>
      </c>
      <c r="B180" s="86" t="s">
        <v>1172</v>
      </c>
      <c r="C180" s="90" t="s">
        <v>780</v>
      </c>
      <c r="D180" s="87">
        <v>45627</v>
      </c>
      <c r="E180" s="80">
        <v>1</v>
      </c>
      <c r="F180" s="88">
        <v>185000000</v>
      </c>
      <c r="G180" s="82">
        <v>4</v>
      </c>
      <c r="H180" s="101">
        <v>12</v>
      </c>
      <c r="I180" s="104" t="s">
        <v>1419</v>
      </c>
      <c r="J180" s="88">
        <v>46000000</v>
      </c>
      <c r="K180" s="88">
        <v>15000000</v>
      </c>
      <c r="L180" s="88">
        <v>31000000</v>
      </c>
    </row>
    <row r="181" spans="1:12" ht="15.6" x14ac:dyDescent="0.3">
      <c r="A181" s="85">
        <f>SUBTOTAL(3,$B$38:B181)</f>
        <v>144</v>
      </c>
      <c r="B181" s="86" t="s">
        <v>917</v>
      </c>
      <c r="C181" s="90" t="s">
        <v>679</v>
      </c>
      <c r="D181" s="87">
        <v>45383</v>
      </c>
      <c r="E181" s="80">
        <v>1</v>
      </c>
      <c r="F181" s="88">
        <v>184000000</v>
      </c>
      <c r="G181" s="82">
        <v>3</v>
      </c>
      <c r="H181" s="101">
        <v>12</v>
      </c>
      <c r="I181" s="104" t="s">
        <v>1419</v>
      </c>
      <c r="J181" s="88">
        <v>61000000</v>
      </c>
      <c r="K181" s="88">
        <v>15000000</v>
      </c>
      <c r="L181" s="88">
        <v>46000000</v>
      </c>
    </row>
    <row r="182" spans="1:12" ht="15.6" x14ac:dyDescent="0.3">
      <c r="A182" s="85">
        <f>SUBTOTAL(3,$B$38:B182)</f>
        <v>145</v>
      </c>
      <c r="B182" s="86" t="s">
        <v>883</v>
      </c>
      <c r="C182" s="90" t="s">
        <v>645</v>
      </c>
      <c r="D182" s="87">
        <v>45110</v>
      </c>
      <c r="E182" s="80">
        <v>1</v>
      </c>
      <c r="F182" s="88">
        <v>176000000</v>
      </c>
      <c r="G182" s="82">
        <v>3</v>
      </c>
      <c r="H182" s="101">
        <v>12</v>
      </c>
      <c r="I182" s="104" t="s">
        <v>1419</v>
      </c>
      <c r="J182" s="88">
        <v>59000000</v>
      </c>
      <c r="K182" s="88">
        <v>15000000</v>
      </c>
      <c r="L182" s="88">
        <v>44000000</v>
      </c>
    </row>
    <row r="183" spans="1:12" ht="15.6" x14ac:dyDescent="0.3">
      <c r="A183" s="85">
        <f>SUBTOTAL(3,$B$38:B183)</f>
        <v>146</v>
      </c>
      <c r="B183" s="86" t="s">
        <v>847</v>
      </c>
      <c r="C183" s="90" t="s">
        <v>621</v>
      </c>
      <c r="D183" s="87">
        <v>44166</v>
      </c>
      <c r="E183" s="80">
        <v>1</v>
      </c>
      <c r="F183" s="88">
        <v>172000000</v>
      </c>
      <c r="G183" s="82">
        <v>8</v>
      </c>
      <c r="H183" s="101">
        <v>12</v>
      </c>
      <c r="I183" s="104" t="s">
        <v>1419</v>
      </c>
      <c r="J183" s="88">
        <v>21000000</v>
      </c>
      <c r="K183" s="88">
        <v>14000000</v>
      </c>
      <c r="L183" s="88">
        <v>7000000</v>
      </c>
    </row>
    <row r="184" spans="1:12" ht="31.2" x14ac:dyDescent="0.3">
      <c r="A184" s="85">
        <f>SUBTOTAL(3,$B$38:B184)</f>
        <v>147</v>
      </c>
      <c r="B184" s="86" t="s">
        <v>858</v>
      </c>
      <c r="C184" s="90" t="s">
        <v>629</v>
      </c>
      <c r="D184" s="87">
        <v>44694</v>
      </c>
      <c r="E184" s="80">
        <v>1</v>
      </c>
      <c r="F184" s="88">
        <v>172000000</v>
      </c>
      <c r="G184" s="82">
        <v>5</v>
      </c>
      <c r="H184" s="101">
        <v>12</v>
      </c>
      <c r="I184" s="104" t="s">
        <v>1419</v>
      </c>
      <c r="J184" s="88">
        <v>34000000</v>
      </c>
      <c r="K184" s="88">
        <v>14000000</v>
      </c>
      <c r="L184" s="88">
        <v>20000000</v>
      </c>
    </row>
    <row r="185" spans="1:12" ht="31.2" x14ac:dyDescent="0.3">
      <c r="A185" s="85">
        <f>SUBTOTAL(3,$B$38:B185)</f>
        <v>148</v>
      </c>
      <c r="B185" s="86" t="s">
        <v>1165</v>
      </c>
      <c r="C185" s="90" t="s">
        <v>797</v>
      </c>
      <c r="D185" s="87">
        <v>45627</v>
      </c>
      <c r="E185" s="80">
        <v>1</v>
      </c>
      <c r="F185" s="88">
        <v>172000000</v>
      </c>
      <c r="G185" s="82">
        <v>3</v>
      </c>
      <c r="H185" s="101">
        <v>12</v>
      </c>
      <c r="I185" s="104" t="s">
        <v>1419</v>
      </c>
      <c r="J185" s="88">
        <v>57000000</v>
      </c>
      <c r="K185" s="88">
        <v>14000000</v>
      </c>
      <c r="L185" s="88">
        <v>43000000</v>
      </c>
    </row>
    <row r="186" spans="1:12" ht="15.6" x14ac:dyDescent="0.3">
      <c r="A186" s="85">
        <f>SUBTOTAL(3,$B$38:B186)</f>
        <v>149</v>
      </c>
      <c r="B186" s="86" t="s">
        <v>1164</v>
      </c>
      <c r="C186" s="90" t="s">
        <v>796</v>
      </c>
      <c r="D186" s="87">
        <v>45627</v>
      </c>
      <c r="E186" s="80">
        <v>1</v>
      </c>
      <c r="F186" s="88">
        <v>171000000</v>
      </c>
      <c r="G186" s="82">
        <v>5</v>
      </c>
      <c r="H186" s="101">
        <v>12</v>
      </c>
      <c r="I186" s="104" t="s">
        <v>1419</v>
      </c>
      <c r="J186" s="88">
        <v>34000000</v>
      </c>
      <c r="K186" s="88">
        <v>14000000</v>
      </c>
      <c r="L186" s="88">
        <v>20000000</v>
      </c>
    </row>
    <row r="187" spans="1:12" ht="15.6" x14ac:dyDescent="0.3">
      <c r="A187" s="85">
        <f>SUBTOTAL(3,$B$38:B187)</f>
        <v>150</v>
      </c>
      <c r="B187" s="86" t="s">
        <v>1017</v>
      </c>
      <c r="C187" s="90" t="s">
        <v>580</v>
      </c>
      <c r="D187" s="87">
        <v>45627</v>
      </c>
      <c r="E187" s="80">
        <v>1</v>
      </c>
      <c r="F187" s="88">
        <v>170000000</v>
      </c>
      <c r="G187" s="82">
        <v>3</v>
      </c>
      <c r="H187" s="101">
        <v>12</v>
      </c>
      <c r="I187" s="104" t="s">
        <v>1419</v>
      </c>
      <c r="J187" s="88">
        <v>57000000</v>
      </c>
      <c r="K187" s="88">
        <v>14000000</v>
      </c>
      <c r="L187" s="88">
        <v>43000000</v>
      </c>
    </row>
    <row r="188" spans="1:12" ht="15.6" x14ac:dyDescent="0.3">
      <c r="A188" s="85">
        <f>SUBTOTAL(3,$B$38:B188)</f>
        <v>151</v>
      </c>
      <c r="B188" s="86" t="s">
        <v>857</v>
      </c>
      <c r="C188" s="90" t="s">
        <v>628</v>
      </c>
      <c r="D188" s="87">
        <v>44683</v>
      </c>
      <c r="E188" s="80">
        <v>1</v>
      </c>
      <c r="F188" s="88">
        <v>169000000</v>
      </c>
      <c r="G188" s="82">
        <v>5</v>
      </c>
      <c r="H188" s="101">
        <v>12</v>
      </c>
      <c r="I188" s="104" t="s">
        <v>1419</v>
      </c>
      <c r="J188" s="88">
        <v>34000000</v>
      </c>
      <c r="K188" s="88">
        <v>14000000</v>
      </c>
      <c r="L188" s="88">
        <v>20000000</v>
      </c>
    </row>
    <row r="189" spans="1:12" ht="15.6" x14ac:dyDescent="0.3">
      <c r="A189" s="85">
        <f>SUBTOTAL(3,$B$38:B189)</f>
        <v>152</v>
      </c>
      <c r="B189" s="86" t="s">
        <v>987</v>
      </c>
      <c r="C189" s="90" t="s">
        <v>552</v>
      </c>
      <c r="D189" s="87">
        <v>44896</v>
      </c>
      <c r="E189" s="80">
        <v>1</v>
      </c>
      <c r="F189" s="88">
        <v>168000000</v>
      </c>
      <c r="G189" s="82">
        <v>5</v>
      </c>
      <c r="H189" s="101">
        <v>12</v>
      </c>
      <c r="I189" s="104" t="s">
        <v>1419</v>
      </c>
      <c r="J189" s="88">
        <v>34000000</v>
      </c>
      <c r="K189" s="88">
        <v>14000000</v>
      </c>
      <c r="L189" s="88">
        <v>20000000</v>
      </c>
    </row>
    <row r="190" spans="1:12" ht="15.6" x14ac:dyDescent="0.3">
      <c r="A190" s="85">
        <f>SUBTOTAL(3,$B$38:B190)</f>
        <v>153</v>
      </c>
      <c r="B190" s="86" t="s">
        <v>988</v>
      </c>
      <c r="C190" s="90" t="s">
        <v>553</v>
      </c>
      <c r="D190" s="87">
        <v>44896</v>
      </c>
      <c r="E190" s="80">
        <v>1</v>
      </c>
      <c r="F190" s="88">
        <v>168000000</v>
      </c>
      <c r="G190" s="82">
        <v>5</v>
      </c>
      <c r="H190" s="101">
        <v>12</v>
      </c>
      <c r="I190" s="104" t="s">
        <v>1419</v>
      </c>
      <c r="J190" s="88">
        <v>34000000</v>
      </c>
      <c r="K190" s="88">
        <v>14000000</v>
      </c>
      <c r="L190" s="88">
        <v>20000000</v>
      </c>
    </row>
    <row r="191" spans="1:12" ht="15.6" x14ac:dyDescent="0.3">
      <c r="A191" s="85">
        <f>SUBTOTAL(3,$B$38:B191)</f>
        <v>154</v>
      </c>
      <c r="B191" s="86" t="s">
        <v>989</v>
      </c>
      <c r="C191" s="90" t="s">
        <v>554</v>
      </c>
      <c r="D191" s="87">
        <v>44896</v>
      </c>
      <c r="E191" s="80">
        <v>1</v>
      </c>
      <c r="F191" s="88">
        <v>168000000</v>
      </c>
      <c r="G191" s="82">
        <v>5</v>
      </c>
      <c r="H191" s="101">
        <v>12</v>
      </c>
      <c r="I191" s="104" t="s">
        <v>1419</v>
      </c>
      <c r="J191" s="88">
        <v>34000000</v>
      </c>
      <c r="K191" s="88">
        <v>14000000</v>
      </c>
      <c r="L191" s="88">
        <v>20000000</v>
      </c>
    </row>
    <row r="192" spans="1:12" ht="31.2" x14ac:dyDescent="0.3">
      <c r="A192" s="85">
        <f>SUBTOTAL(3,$B$38:B192)</f>
        <v>155</v>
      </c>
      <c r="B192" s="86" t="s">
        <v>1070</v>
      </c>
      <c r="C192" s="149" t="s">
        <v>708</v>
      </c>
      <c r="D192" s="87">
        <v>44510</v>
      </c>
      <c r="E192" s="80">
        <v>2</v>
      </c>
      <c r="F192" s="88">
        <v>165000000</v>
      </c>
      <c r="G192" s="82">
        <v>6</v>
      </c>
      <c r="H192" s="80">
        <v>12</v>
      </c>
      <c r="I192" s="104" t="s">
        <v>1419</v>
      </c>
      <c r="J192" s="88">
        <v>28000000</v>
      </c>
      <c r="K192" s="88">
        <v>17000000</v>
      </c>
      <c r="L192" s="88">
        <v>11000000</v>
      </c>
    </row>
    <row r="193" spans="1:12" ht="31.2" x14ac:dyDescent="0.3">
      <c r="A193" s="85">
        <f>SUBTOTAL(3,$B$38:B193)</f>
        <v>156</v>
      </c>
      <c r="B193" s="86" t="s">
        <v>1074</v>
      </c>
      <c r="C193" s="149" t="s">
        <v>712</v>
      </c>
      <c r="D193" s="87">
        <v>44673</v>
      </c>
      <c r="E193" s="80">
        <v>1</v>
      </c>
      <c r="F193" s="88">
        <v>162000000</v>
      </c>
      <c r="G193" s="82">
        <v>6</v>
      </c>
      <c r="H193" s="80">
        <v>12</v>
      </c>
      <c r="I193" s="104" t="s">
        <v>1419</v>
      </c>
      <c r="J193" s="88">
        <v>27000000</v>
      </c>
      <c r="K193" s="88">
        <v>16000000</v>
      </c>
      <c r="L193" s="88">
        <v>11000000</v>
      </c>
    </row>
    <row r="194" spans="1:12" ht="31.2" x14ac:dyDescent="0.3">
      <c r="A194" s="85">
        <f>SUBTOTAL(3,$B$38:B194)</f>
        <v>157</v>
      </c>
      <c r="B194" s="86" t="s">
        <v>931</v>
      </c>
      <c r="C194" s="90" t="s">
        <v>693</v>
      </c>
      <c r="D194" s="87">
        <v>45658</v>
      </c>
      <c r="E194" s="80">
        <v>2</v>
      </c>
      <c r="F194" s="88">
        <v>155000000</v>
      </c>
      <c r="G194" s="82">
        <v>5</v>
      </c>
      <c r="H194" s="101">
        <v>12</v>
      </c>
      <c r="I194" s="104" t="s">
        <v>1419</v>
      </c>
      <c r="J194" s="88">
        <v>31000000</v>
      </c>
      <c r="K194" s="88">
        <v>13000000</v>
      </c>
      <c r="L194" s="88">
        <v>18000000</v>
      </c>
    </row>
    <row r="195" spans="1:12" ht="15.6" x14ac:dyDescent="0.3">
      <c r="A195" s="85">
        <f>SUBTOTAL(3,$B$38:B195)</f>
        <v>158</v>
      </c>
      <c r="B195" s="86" t="s">
        <v>848</v>
      </c>
      <c r="C195" s="90" t="s">
        <v>622</v>
      </c>
      <c r="D195" s="87">
        <v>44389</v>
      </c>
      <c r="E195" s="80">
        <v>1</v>
      </c>
      <c r="F195" s="88">
        <v>150000000</v>
      </c>
      <c r="G195" s="82">
        <v>8</v>
      </c>
      <c r="H195" s="101">
        <v>12</v>
      </c>
      <c r="I195" s="104" t="s">
        <v>1419</v>
      </c>
      <c r="J195" s="88">
        <v>19000000</v>
      </c>
      <c r="K195" s="88">
        <v>13000000</v>
      </c>
      <c r="L195" s="88">
        <v>6000000</v>
      </c>
    </row>
    <row r="196" spans="1:12" ht="31.2" x14ac:dyDescent="0.3">
      <c r="A196" s="85">
        <f>SUBTOTAL(3,$B$38:B196)</f>
        <v>159</v>
      </c>
      <c r="B196" s="86" t="s">
        <v>1181</v>
      </c>
      <c r="C196" s="90" t="s">
        <v>789</v>
      </c>
      <c r="D196" s="87">
        <v>45627</v>
      </c>
      <c r="E196" s="80">
        <v>1</v>
      </c>
      <c r="F196" s="88">
        <v>148000000</v>
      </c>
      <c r="G196" s="82">
        <v>1</v>
      </c>
      <c r="H196" s="101">
        <v>12</v>
      </c>
      <c r="I196" s="104" t="s">
        <v>1419</v>
      </c>
      <c r="J196" s="88">
        <v>148000000</v>
      </c>
      <c r="K196" s="88">
        <v>12000000</v>
      </c>
      <c r="L196" s="88">
        <v>136000000</v>
      </c>
    </row>
    <row r="197" spans="1:12" ht="31.2" x14ac:dyDescent="0.3">
      <c r="A197" s="85">
        <f>SUBTOTAL(3,$B$38:B197)</f>
        <v>160</v>
      </c>
      <c r="B197" s="86" t="s">
        <v>952</v>
      </c>
      <c r="C197" s="90" t="s">
        <v>530</v>
      </c>
      <c r="D197" s="87">
        <v>44228</v>
      </c>
      <c r="E197" s="80">
        <v>1</v>
      </c>
      <c r="F197" s="88">
        <v>146000000</v>
      </c>
      <c r="G197" s="82">
        <v>5</v>
      </c>
      <c r="H197" s="101">
        <v>12</v>
      </c>
      <c r="I197" s="104" t="s">
        <v>1419</v>
      </c>
      <c r="J197" s="88">
        <v>29000000</v>
      </c>
      <c r="K197" s="88">
        <v>12000000</v>
      </c>
      <c r="L197" s="88">
        <v>17000000</v>
      </c>
    </row>
    <row r="198" spans="1:12" ht="31.2" x14ac:dyDescent="0.3">
      <c r="A198" s="85">
        <f>SUBTOTAL(3,$B$38:B198)</f>
        <v>161</v>
      </c>
      <c r="B198" s="86" t="s">
        <v>942</v>
      </c>
      <c r="C198" s="90" t="s">
        <v>520</v>
      </c>
      <c r="D198" s="87">
        <v>44110</v>
      </c>
      <c r="E198" s="80">
        <v>1</v>
      </c>
      <c r="F198" s="88">
        <v>144000000</v>
      </c>
      <c r="G198" s="82">
        <v>8</v>
      </c>
      <c r="H198" s="101">
        <v>12</v>
      </c>
      <c r="I198" s="104" t="s">
        <v>1419</v>
      </c>
      <c r="J198" s="88">
        <v>18000000</v>
      </c>
      <c r="K198" s="88">
        <v>12000000</v>
      </c>
      <c r="L198" s="88">
        <v>6000000</v>
      </c>
    </row>
    <row r="199" spans="1:12" ht="31.2" x14ac:dyDescent="0.3">
      <c r="A199" s="85">
        <f>SUBTOTAL(3,$B$38:B199)</f>
        <v>162</v>
      </c>
      <c r="B199" s="86" t="s">
        <v>978</v>
      </c>
      <c r="C199" s="90" t="s">
        <v>545</v>
      </c>
      <c r="D199" s="87">
        <v>44734</v>
      </c>
      <c r="E199" s="80">
        <v>1</v>
      </c>
      <c r="F199" s="88">
        <v>142000000</v>
      </c>
      <c r="G199" s="82">
        <v>5</v>
      </c>
      <c r="H199" s="101">
        <v>12</v>
      </c>
      <c r="I199" s="104" t="s">
        <v>1419</v>
      </c>
      <c r="J199" s="88">
        <v>28000000</v>
      </c>
      <c r="K199" s="88">
        <v>12000000</v>
      </c>
      <c r="L199" s="88">
        <v>17000000</v>
      </c>
    </row>
    <row r="200" spans="1:12" ht="31.2" x14ac:dyDescent="0.3">
      <c r="A200" s="85">
        <f>SUBTOTAL(3,$B$38:B200)</f>
        <v>163</v>
      </c>
      <c r="B200" s="86" t="s">
        <v>881</v>
      </c>
      <c r="C200" s="90" t="s">
        <v>643</v>
      </c>
      <c r="D200" s="87">
        <v>45047</v>
      </c>
      <c r="E200" s="80">
        <v>1</v>
      </c>
      <c r="F200" s="88">
        <v>140000000</v>
      </c>
      <c r="G200" s="82">
        <v>5</v>
      </c>
      <c r="H200" s="101">
        <v>12</v>
      </c>
      <c r="I200" s="104" t="s">
        <v>1419</v>
      </c>
      <c r="J200" s="88">
        <v>28000000</v>
      </c>
      <c r="K200" s="88">
        <v>12000000</v>
      </c>
      <c r="L200" s="88">
        <v>16000000</v>
      </c>
    </row>
    <row r="201" spans="1:12" ht="31.2" x14ac:dyDescent="0.3">
      <c r="A201" s="85">
        <f>SUBTOTAL(3,$B$38:B201)</f>
        <v>164</v>
      </c>
      <c r="B201" s="86" t="s">
        <v>1166</v>
      </c>
      <c r="C201" s="90" t="s">
        <v>798</v>
      </c>
      <c r="D201" s="87">
        <v>45627</v>
      </c>
      <c r="E201" s="80">
        <v>1</v>
      </c>
      <c r="F201" s="88">
        <v>134000000</v>
      </c>
      <c r="G201" s="82">
        <v>3</v>
      </c>
      <c r="H201" s="101">
        <v>12</v>
      </c>
      <c r="I201" s="104" t="s">
        <v>1419</v>
      </c>
      <c r="J201" s="88">
        <v>45000000</v>
      </c>
      <c r="K201" s="88">
        <v>11000000</v>
      </c>
      <c r="L201" s="88">
        <v>33000000</v>
      </c>
    </row>
    <row r="202" spans="1:12" ht="31.2" x14ac:dyDescent="0.3">
      <c r="A202" s="85">
        <f>SUBTOTAL(3,$B$38:B202)</f>
        <v>165</v>
      </c>
      <c r="B202" s="86" t="s">
        <v>951</v>
      </c>
      <c r="C202" s="90" t="s">
        <v>529</v>
      </c>
      <c r="D202" s="87">
        <v>44198</v>
      </c>
      <c r="E202" s="80">
        <v>1</v>
      </c>
      <c r="F202" s="88">
        <v>130000000</v>
      </c>
      <c r="G202" s="82">
        <v>5</v>
      </c>
      <c r="H202" s="101">
        <v>12</v>
      </c>
      <c r="I202" s="104" t="s">
        <v>1419</v>
      </c>
      <c r="J202" s="88">
        <v>26000000</v>
      </c>
      <c r="K202" s="88">
        <v>11000000</v>
      </c>
      <c r="L202" s="88">
        <v>15000000</v>
      </c>
    </row>
    <row r="203" spans="1:12" ht="31.2" x14ac:dyDescent="0.3">
      <c r="A203" s="85">
        <f>SUBTOTAL(3,$B$38:B203)</f>
        <v>166</v>
      </c>
      <c r="B203" s="86" t="s">
        <v>1038</v>
      </c>
      <c r="C203" s="90" t="s">
        <v>601</v>
      </c>
      <c r="D203" s="87">
        <v>45778</v>
      </c>
      <c r="E203" s="80">
        <v>1</v>
      </c>
      <c r="F203" s="88">
        <v>129000000</v>
      </c>
      <c r="G203" s="82">
        <v>5</v>
      </c>
      <c r="H203" s="101">
        <v>12</v>
      </c>
      <c r="I203" s="104" t="s">
        <v>1419</v>
      </c>
      <c r="J203" s="88">
        <v>26000000</v>
      </c>
      <c r="K203" s="88">
        <v>11000000</v>
      </c>
      <c r="L203" s="88">
        <v>15000000</v>
      </c>
    </row>
    <row r="204" spans="1:12" ht="31.2" x14ac:dyDescent="0.3">
      <c r="A204" s="85">
        <f>SUBTOTAL(3,$B$38:B204)</f>
        <v>167</v>
      </c>
      <c r="B204" s="86" t="s">
        <v>1039</v>
      </c>
      <c r="C204" s="90" t="s">
        <v>602</v>
      </c>
      <c r="D204" s="87">
        <v>45778</v>
      </c>
      <c r="E204" s="80">
        <v>1</v>
      </c>
      <c r="F204" s="88">
        <v>129000000</v>
      </c>
      <c r="G204" s="82">
        <v>5</v>
      </c>
      <c r="H204" s="101">
        <v>12</v>
      </c>
      <c r="I204" s="104" t="s">
        <v>1419</v>
      </c>
      <c r="J204" s="88">
        <v>26000000</v>
      </c>
      <c r="K204" s="88">
        <v>11000000</v>
      </c>
      <c r="L204" s="88">
        <v>15000000</v>
      </c>
    </row>
    <row r="205" spans="1:12" ht="15.6" x14ac:dyDescent="0.3">
      <c r="A205" s="85">
        <f>SUBTOTAL(3,$B$38:B205)</f>
        <v>168</v>
      </c>
      <c r="B205" s="86" t="s">
        <v>1030</v>
      </c>
      <c r="C205" s="90" t="s">
        <v>593</v>
      </c>
      <c r="D205" s="87">
        <v>45717</v>
      </c>
      <c r="E205" s="80">
        <v>1</v>
      </c>
      <c r="F205" s="88">
        <v>127000000</v>
      </c>
      <c r="G205" s="82">
        <v>3</v>
      </c>
      <c r="H205" s="101">
        <v>12</v>
      </c>
      <c r="I205" s="104" t="s">
        <v>1419</v>
      </c>
      <c r="J205" s="88">
        <v>42000000</v>
      </c>
      <c r="K205" s="88">
        <v>11000000</v>
      </c>
      <c r="L205" s="88">
        <v>32000000</v>
      </c>
    </row>
    <row r="206" spans="1:12" ht="15.6" x14ac:dyDescent="0.3">
      <c r="A206" s="85">
        <f>SUBTOTAL(3,$B$38:B206)</f>
        <v>169</v>
      </c>
      <c r="B206" s="86" t="s">
        <v>950</v>
      </c>
      <c r="C206" s="90" t="s">
        <v>528</v>
      </c>
      <c r="D206" s="87">
        <v>44198</v>
      </c>
      <c r="E206" s="80">
        <v>1</v>
      </c>
      <c r="F206" s="88">
        <v>126000000</v>
      </c>
      <c r="G206" s="82">
        <v>5</v>
      </c>
      <c r="H206" s="101">
        <v>12</v>
      </c>
      <c r="I206" s="104" t="s">
        <v>1419</v>
      </c>
      <c r="J206" s="88">
        <v>25000000</v>
      </c>
      <c r="K206" s="88">
        <v>10000000</v>
      </c>
      <c r="L206" s="88">
        <v>15000000</v>
      </c>
    </row>
    <row r="207" spans="1:12" ht="31.2" x14ac:dyDescent="0.3">
      <c r="A207" s="85">
        <f>SUBTOTAL(3,$B$38:B207)</f>
        <v>170</v>
      </c>
      <c r="B207" s="86" t="s">
        <v>974</v>
      </c>
      <c r="C207" s="90" t="s">
        <v>544</v>
      </c>
      <c r="D207" s="87">
        <v>44620</v>
      </c>
      <c r="E207" s="80">
        <v>1</v>
      </c>
      <c r="F207" s="88">
        <v>126000000</v>
      </c>
      <c r="G207" s="82">
        <v>6</v>
      </c>
      <c r="H207" s="101">
        <v>12</v>
      </c>
      <c r="I207" s="104" t="s">
        <v>1419</v>
      </c>
      <c r="J207" s="88">
        <v>21000000</v>
      </c>
      <c r="K207" s="88">
        <v>10000000</v>
      </c>
      <c r="L207" s="88">
        <v>10000000</v>
      </c>
    </row>
    <row r="208" spans="1:12" ht="31.2" x14ac:dyDescent="0.3">
      <c r="A208" s="85">
        <f>SUBTOTAL(3,$B$38:B208)</f>
        <v>171</v>
      </c>
      <c r="B208" s="86" t="s">
        <v>975</v>
      </c>
      <c r="C208" s="90" t="s">
        <v>544</v>
      </c>
      <c r="D208" s="87">
        <v>44620</v>
      </c>
      <c r="E208" s="80">
        <v>1</v>
      </c>
      <c r="F208" s="88">
        <v>126000000</v>
      </c>
      <c r="G208" s="82">
        <v>6</v>
      </c>
      <c r="H208" s="101">
        <v>12</v>
      </c>
      <c r="I208" s="104" t="s">
        <v>1419</v>
      </c>
      <c r="J208" s="88">
        <v>21000000</v>
      </c>
      <c r="K208" s="88">
        <v>10000000</v>
      </c>
      <c r="L208" s="88">
        <v>10000000</v>
      </c>
    </row>
    <row r="209" spans="1:12" ht="31.2" x14ac:dyDescent="0.3">
      <c r="A209" s="85">
        <f>SUBTOTAL(3,$B$38:B209)</f>
        <v>172</v>
      </c>
      <c r="B209" s="86" t="s">
        <v>864</v>
      </c>
      <c r="C209" s="90" t="s">
        <v>631</v>
      </c>
      <c r="D209" s="87">
        <v>44757</v>
      </c>
      <c r="E209" s="80">
        <v>1</v>
      </c>
      <c r="F209" s="88">
        <v>123000000</v>
      </c>
      <c r="G209" s="82">
        <v>8</v>
      </c>
      <c r="H209" s="101">
        <v>12</v>
      </c>
      <c r="I209" s="104" t="s">
        <v>1419</v>
      </c>
      <c r="J209" s="88">
        <v>15000000</v>
      </c>
      <c r="K209" s="88">
        <v>10000000</v>
      </c>
      <c r="L209" s="88">
        <v>5000000</v>
      </c>
    </row>
    <row r="210" spans="1:12" ht="31.2" x14ac:dyDescent="0.3">
      <c r="A210" s="85">
        <f>SUBTOTAL(3,$B$38:B210)</f>
        <v>173</v>
      </c>
      <c r="B210" s="86" t="s">
        <v>1071</v>
      </c>
      <c r="C210" s="149" t="s">
        <v>709</v>
      </c>
      <c r="D210" s="87">
        <v>44593</v>
      </c>
      <c r="E210" s="80">
        <v>1</v>
      </c>
      <c r="F210" s="88">
        <v>123000000</v>
      </c>
      <c r="G210" s="82">
        <v>5</v>
      </c>
      <c r="H210" s="80">
        <v>12</v>
      </c>
      <c r="I210" s="104" t="s">
        <v>1419</v>
      </c>
      <c r="J210" s="88">
        <v>25000000</v>
      </c>
      <c r="K210" s="88">
        <v>12000000</v>
      </c>
      <c r="L210" s="88">
        <v>12000000</v>
      </c>
    </row>
    <row r="211" spans="1:12" ht="15.6" x14ac:dyDescent="0.3">
      <c r="A211" s="85">
        <f>SUBTOTAL(3,$B$38:B211)</f>
        <v>174</v>
      </c>
      <c r="B211" s="86" t="s">
        <v>1182</v>
      </c>
      <c r="C211" s="90" t="s">
        <v>790</v>
      </c>
      <c r="D211" s="87">
        <v>45627</v>
      </c>
      <c r="E211" s="80">
        <v>1</v>
      </c>
      <c r="F211" s="88">
        <v>120000000</v>
      </c>
      <c r="G211" s="82">
        <v>1</v>
      </c>
      <c r="H211" s="101">
        <v>12</v>
      </c>
      <c r="I211" s="104" t="s">
        <v>1419</v>
      </c>
      <c r="J211" s="88">
        <v>120000000</v>
      </c>
      <c r="K211" s="88">
        <v>10000000</v>
      </c>
      <c r="L211" s="88">
        <v>110000000</v>
      </c>
    </row>
    <row r="212" spans="1:12" ht="31.2" x14ac:dyDescent="0.3">
      <c r="A212" s="85">
        <f>SUBTOTAL(3,$B$38:B212)</f>
        <v>175</v>
      </c>
      <c r="B212" s="86" t="s">
        <v>1019</v>
      </c>
      <c r="C212" s="90" t="s">
        <v>582</v>
      </c>
      <c r="D212" s="87">
        <v>45748</v>
      </c>
      <c r="E212" s="80">
        <v>2</v>
      </c>
      <c r="F212" s="88">
        <v>118000000</v>
      </c>
      <c r="G212" s="82">
        <v>3</v>
      </c>
      <c r="H212" s="101">
        <v>12</v>
      </c>
      <c r="I212" s="104" t="s">
        <v>1419</v>
      </c>
      <c r="J212" s="88">
        <v>39000000</v>
      </c>
      <c r="K212" s="88">
        <v>10000000</v>
      </c>
      <c r="L212" s="88">
        <v>30000000</v>
      </c>
    </row>
    <row r="213" spans="1:12" ht="31.2" x14ac:dyDescent="0.3">
      <c r="A213" s="85">
        <f>SUBTOTAL(3,$B$38:B213)</f>
        <v>176</v>
      </c>
      <c r="B213" s="86" t="s">
        <v>1020</v>
      </c>
      <c r="C213" s="90" t="s">
        <v>583</v>
      </c>
      <c r="D213" s="87">
        <v>45748</v>
      </c>
      <c r="E213" s="80">
        <v>2</v>
      </c>
      <c r="F213" s="88">
        <v>118000000</v>
      </c>
      <c r="G213" s="82">
        <v>3</v>
      </c>
      <c r="H213" s="101">
        <v>12</v>
      </c>
      <c r="I213" s="104" t="s">
        <v>1419</v>
      </c>
      <c r="J213" s="88">
        <v>39000000</v>
      </c>
      <c r="K213" s="88">
        <v>10000000</v>
      </c>
      <c r="L213" s="88">
        <v>30000000</v>
      </c>
    </row>
    <row r="214" spans="1:12" ht="31.2" x14ac:dyDescent="0.3">
      <c r="A214" s="85">
        <f>SUBTOTAL(3,$B$38:B214)</f>
        <v>177</v>
      </c>
      <c r="B214" s="86" t="s">
        <v>941</v>
      </c>
      <c r="C214" s="90" t="s">
        <v>519</v>
      </c>
      <c r="D214" s="87">
        <v>44110</v>
      </c>
      <c r="E214" s="80">
        <v>1</v>
      </c>
      <c r="F214" s="88">
        <v>114000000</v>
      </c>
      <c r="G214" s="82">
        <v>8</v>
      </c>
      <c r="H214" s="101">
        <v>12</v>
      </c>
      <c r="I214" s="104" t="s">
        <v>1419</v>
      </c>
      <c r="J214" s="88">
        <v>14000000</v>
      </c>
      <c r="K214" s="88">
        <v>10000000</v>
      </c>
      <c r="L214" s="88">
        <v>5000000</v>
      </c>
    </row>
    <row r="215" spans="1:12" ht="15.6" x14ac:dyDescent="0.3">
      <c r="A215" s="85">
        <f>SUBTOTAL(3,$B$38:B215)</f>
        <v>178</v>
      </c>
      <c r="B215" s="86" t="s">
        <v>877</v>
      </c>
      <c r="C215" s="90" t="s">
        <v>633</v>
      </c>
      <c r="D215" s="87">
        <v>45170</v>
      </c>
      <c r="E215" s="80">
        <v>1</v>
      </c>
      <c r="F215" s="88">
        <v>108000000</v>
      </c>
      <c r="G215" s="82">
        <v>5</v>
      </c>
      <c r="H215" s="101">
        <v>12</v>
      </c>
      <c r="I215" s="104" t="s">
        <v>1419</v>
      </c>
      <c r="J215" s="88">
        <v>22000000</v>
      </c>
      <c r="K215" s="88">
        <v>9000000</v>
      </c>
      <c r="L215" s="88">
        <v>13000000</v>
      </c>
    </row>
    <row r="216" spans="1:12" ht="15.6" x14ac:dyDescent="0.3">
      <c r="A216" s="85">
        <f>SUBTOTAL(3,$B$38:B216)</f>
        <v>179</v>
      </c>
      <c r="B216" s="86" t="s">
        <v>986</v>
      </c>
      <c r="C216" s="90" t="s">
        <v>551</v>
      </c>
      <c r="D216" s="87">
        <v>44896</v>
      </c>
      <c r="E216" s="80">
        <v>1</v>
      </c>
      <c r="F216" s="88">
        <v>108000000</v>
      </c>
      <c r="G216" s="82">
        <v>3</v>
      </c>
      <c r="H216" s="101">
        <v>12</v>
      </c>
      <c r="I216" s="104" t="s">
        <v>1419</v>
      </c>
      <c r="J216" s="88">
        <v>36000000</v>
      </c>
      <c r="K216" s="88">
        <v>9000000</v>
      </c>
      <c r="L216" s="88">
        <v>27000000</v>
      </c>
    </row>
    <row r="217" spans="1:12" ht="15.6" x14ac:dyDescent="0.3">
      <c r="A217" s="85">
        <f>SUBTOTAL(3,$B$38:B217)</f>
        <v>180</v>
      </c>
      <c r="B217" s="86" t="s">
        <v>1002</v>
      </c>
      <c r="C217" s="90" t="s">
        <v>565</v>
      </c>
      <c r="D217" s="87">
        <v>44986</v>
      </c>
      <c r="E217" s="80">
        <v>1</v>
      </c>
      <c r="F217" s="88">
        <v>108000000</v>
      </c>
      <c r="G217" s="82">
        <v>3</v>
      </c>
      <c r="H217" s="101">
        <v>12</v>
      </c>
      <c r="I217" s="104" t="s">
        <v>1419</v>
      </c>
      <c r="J217" s="88">
        <v>36000000</v>
      </c>
      <c r="K217" s="88">
        <v>9000000</v>
      </c>
      <c r="L217" s="88">
        <v>27000000</v>
      </c>
    </row>
    <row r="218" spans="1:12" ht="31.2" x14ac:dyDescent="0.3">
      <c r="A218" s="85">
        <f>SUBTOTAL(3,$B$38:B218)</f>
        <v>181</v>
      </c>
      <c r="B218" s="86" t="s">
        <v>932</v>
      </c>
      <c r="C218" s="90" t="s">
        <v>694</v>
      </c>
      <c r="D218" s="87">
        <v>45658</v>
      </c>
      <c r="E218" s="80">
        <v>2</v>
      </c>
      <c r="F218" s="88">
        <v>107000000</v>
      </c>
      <c r="G218" s="82">
        <v>5</v>
      </c>
      <c r="H218" s="101">
        <v>12</v>
      </c>
      <c r="I218" s="104" t="s">
        <v>1419</v>
      </c>
      <c r="J218" s="88">
        <v>21000000</v>
      </c>
      <c r="K218" s="88">
        <v>9000000</v>
      </c>
      <c r="L218" s="88">
        <v>12000000</v>
      </c>
    </row>
    <row r="219" spans="1:12" ht="29.1" customHeight="1" x14ac:dyDescent="0.3">
      <c r="A219" s="85">
        <f>SUBTOTAL(3,$B$38:B219)</f>
        <v>182</v>
      </c>
      <c r="B219" s="86" t="s">
        <v>935</v>
      </c>
      <c r="C219" s="90" t="s">
        <v>697</v>
      </c>
      <c r="D219" s="87">
        <v>45627</v>
      </c>
      <c r="E219" s="80">
        <v>1</v>
      </c>
      <c r="F219" s="88">
        <v>107000000</v>
      </c>
      <c r="G219" s="82">
        <v>3</v>
      </c>
      <c r="H219" s="101">
        <v>12</v>
      </c>
      <c r="I219" s="104" t="s">
        <v>1419</v>
      </c>
      <c r="J219" s="88">
        <v>36000000</v>
      </c>
      <c r="K219" s="88">
        <v>9000000</v>
      </c>
      <c r="L219" s="88">
        <v>27000000</v>
      </c>
    </row>
    <row r="220" spans="1:12" ht="29.1" customHeight="1" x14ac:dyDescent="0.3">
      <c r="A220" s="85">
        <f>SUBTOTAL(3,$B$38:B220)</f>
        <v>183</v>
      </c>
      <c r="B220" s="86" t="s">
        <v>996</v>
      </c>
      <c r="C220" s="90" t="s">
        <v>561</v>
      </c>
      <c r="D220" s="87">
        <v>44958</v>
      </c>
      <c r="E220" s="80">
        <v>1</v>
      </c>
      <c r="F220" s="88">
        <v>101000000</v>
      </c>
      <c r="G220" s="82">
        <v>3</v>
      </c>
      <c r="H220" s="101">
        <v>12</v>
      </c>
      <c r="I220" s="104" t="s">
        <v>1419</v>
      </c>
      <c r="J220" s="88">
        <v>34000000</v>
      </c>
      <c r="K220" s="88">
        <v>8000000</v>
      </c>
      <c r="L220" s="88">
        <v>25000000</v>
      </c>
    </row>
    <row r="221" spans="1:12" ht="29.1" customHeight="1" x14ac:dyDescent="0.3">
      <c r="A221" s="85">
        <f>SUBTOTAL(3,$B$38:B221)</f>
        <v>184</v>
      </c>
      <c r="B221" s="86" t="s">
        <v>874</v>
      </c>
      <c r="C221" s="90" t="s">
        <v>639</v>
      </c>
      <c r="D221" s="87">
        <v>45017</v>
      </c>
      <c r="E221" s="80">
        <v>1</v>
      </c>
      <c r="F221" s="88">
        <v>100000000</v>
      </c>
      <c r="G221" s="82">
        <v>5</v>
      </c>
      <c r="H221" s="101">
        <v>12</v>
      </c>
      <c r="I221" s="104" t="s">
        <v>1419</v>
      </c>
      <c r="J221" s="88">
        <v>20000000</v>
      </c>
      <c r="K221" s="88">
        <v>8000000</v>
      </c>
      <c r="L221" s="88">
        <v>12000000</v>
      </c>
    </row>
    <row r="222" spans="1:12" ht="15.6" x14ac:dyDescent="0.3">
      <c r="A222" s="85">
        <f>SUBTOTAL(3,$B$38:B222)</f>
        <v>185</v>
      </c>
      <c r="B222" s="86" t="s">
        <v>895</v>
      </c>
      <c r="C222" s="90" t="s">
        <v>657</v>
      </c>
      <c r="D222" s="87">
        <v>45170</v>
      </c>
      <c r="E222" s="80">
        <v>1</v>
      </c>
      <c r="F222" s="88">
        <v>98000000</v>
      </c>
      <c r="G222" s="82">
        <v>5</v>
      </c>
      <c r="H222" s="101">
        <v>12</v>
      </c>
      <c r="I222" s="104" t="s">
        <v>1419</v>
      </c>
      <c r="J222" s="88">
        <v>20000000</v>
      </c>
      <c r="K222" s="88">
        <v>8000000</v>
      </c>
      <c r="L222" s="88">
        <v>11000000</v>
      </c>
    </row>
    <row r="223" spans="1:12" ht="31.2" x14ac:dyDescent="0.3">
      <c r="A223" s="85">
        <f>SUBTOTAL(3,$B$38:B223)</f>
        <v>186</v>
      </c>
      <c r="B223" s="86" t="s">
        <v>1021</v>
      </c>
      <c r="C223" s="90" t="s">
        <v>584</v>
      </c>
      <c r="D223" s="87">
        <v>45474</v>
      </c>
      <c r="E223" s="80">
        <v>1</v>
      </c>
      <c r="F223" s="88">
        <v>98000000</v>
      </c>
      <c r="G223" s="82">
        <v>2</v>
      </c>
      <c r="H223" s="101">
        <v>12</v>
      </c>
      <c r="I223" s="104" t="s">
        <v>1419</v>
      </c>
      <c r="J223" s="88">
        <v>49000000</v>
      </c>
      <c r="K223" s="88">
        <v>8000000</v>
      </c>
      <c r="L223" s="88">
        <v>41000000</v>
      </c>
    </row>
    <row r="224" spans="1:12" ht="31.2" x14ac:dyDescent="0.3">
      <c r="A224" s="85">
        <f>SUBTOTAL(3,$B$38:B224)</f>
        <v>187</v>
      </c>
      <c r="B224" s="86" t="s">
        <v>1011</v>
      </c>
      <c r="C224" s="90" t="s">
        <v>574</v>
      </c>
      <c r="D224" s="87">
        <v>45658</v>
      </c>
      <c r="E224" s="80">
        <v>1</v>
      </c>
      <c r="F224" s="88">
        <v>95000000</v>
      </c>
      <c r="G224" s="82">
        <v>5</v>
      </c>
      <c r="H224" s="101">
        <v>12</v>
      </c>
      <c r="I224" s="104" t="s">
        <v>1419</v>
      </c>
      <c r="J224" s="88">
        <v>19000000</v>
      </c>
      <c r="K224" s="88">
        <v>8000000</v>
      </c>
      <c r="L224" s="88">
        <v>11000000</v>
      </c>
    </row>
    <row r="225" spans="1:12" ht="31.2" x14ac:dyDescent="0.3">
      <c r="A225" s="85">
        <f>SUBTOTAL(3,$B$38:B225)</f>
        <v>188</v>
      </c>
      <c r="B225" s="86" t="s">
        <v>1145</v>
      </c>
      <c r="C225" s="149" t="s">
        <v>772</v>
      </c>
      <c r="D225" s="87">
        <v>45627</v>
      </c>
      <c r="E225" s="80">
        <v>1</v>
      </c>
      <c r="F225" s="88">
        <v>95000000</v>
      </c>
      <c r="G225" s="82">
        <v>5</v>
      </c>
      <c r="H225" s="80">
        <v>12</v>
      </c>
      <c r="I225" s="104" t="s">
        <v>1419</v>
      </c>
      <c r="J225" s="88">
        <v>19000000</v>
      </c>
      <c r="K225" s="88">
        <v>4000000</v>
      </c>
      <c r="L225" s="88">
        <v>15000000</v>
      </c>
    </row>
    <row r="226" spans="1:12" ht="15.6" x14ac:dyDescent="0.3">
      <c r="A226" s="85">
        <f>SUBTOTAL(3,$B$38:B226)</f>
        <v>189</v>
      </c>
      <c r="B226" s="86" t="s">
        <v>896</v>
      </c>
      <c r="C226" s="90" t="s">
        <v>658</v>
      </c>
      <c r="D226" s="87">
        <v>45170</v>
      </c>
      <c r="E226" s="80">
        <v>1</v>
      </c>
      <c r="F226" s="88">
        <v>91000000</v>
      </c>
      <c r="G226" s="82">
        <v>5</v>
      </c>
      <c r="H226" s="101">
        <v>12</v>
      </c>
      <c r="I226" s="104" t="s">
        <v>1419</v>
      </c>
      <c r="J226" s="88">
        <v>18000000</v>
      </c>
      <c r="K226" s="88">
        <v>8000000</v>
      </c>
      <c r="L226" s="88">
        <v>11000000</v>
      </c>
    </row>
    <row r="227" spans="1:12" ht="31.2" x14ac:dyDescent="0.3">
      <c r="A227" s="85">
        <f>SUBTOTAL(3,$B$38:B227)</f>
        <v>190</v>
      </c>
      <c r="B227" s="86" t="s">
        <v>999</v>
      </c>
      <c r="C227" s="90" t="s">
        <v>564</v>
      </c>
      <c r="D227" s="87">
        <v>44986</v>
      </c>
      <c r="E227" s="80">
        <v>1</v>
      </c>
      <c r="F227" s="88">
        <v>90000000</v>
      </c>
      <c r="G227" s="82">
        <v>3</v>
      </c>
      <c r="H227" s="101">
        <v>12</v>
      </c>
      <c r="I227" s="104" t="s">
        <v>1419</v>
      </c>
      <c r="J227" s="88">
        <v>30000000</v>
      </c>
      <c r="K227" s="88">
        <v>8000000</v>
      </c>
      <c r="L227" s="88">
        <v>23000000</v>
      </c>
    </row>
    <row r="228" spans="1:12" ht="31.2" x14ac:dyDescent="0.3">
      <c r="A228" s="85">
        <f>SUBTOTAL(3,$B$38:B228)</f>
        <v>191</v>
      </c>
      <c r="B228" s="86" t="s">
        <v>1012</v>
      </c>
      <c r="C228" s="90" t="s">
        <v>575</v>
      </c>
      <c r="D228" s="87">
        <v>45658</v>
      </c>
      <c r="E228" s="80">
        <v>1</v>
      </c>
      <c r="F228" s="88">
        <v>89000000</v>
      </c>
      <c r="G228" s="82">
        <v>5</v>
      </c>
      <c r="H228" s="101">
        <v>12</v>
      </c>
      <c r="I228" s="104" t="s">
        <v>1419</v>
      </c>
      <c r="J228" s="88">
        <v>18000000</v>
      </c>
      <c r="K228" s="88">
        <v>7000000</v>
      </c>
      <c r="L228" s="88">
        <v>10000000</v>
      </c>
    </row>
    <row r="229" spans="1:12" ht="31.2" x14ac:dyDescent="0.3">
      <c r="A229" s="85">
        <f>SUBTOTAL(3,$B$38:B229)</f>
        <v>192</v>
      </c>
      <c r="B229" s="86" t="s">
        <v>1013</v>
      </c>
      <c r="C229" s="90" t="s">
        <v>576</v>
      </c>
      <c r="D229" s="87">
        <v>45658</v>
      </c>
      <c r="E229" s="80">
        <v>1</v>
      </c>
      <c r="F229" s="88">
        <v>89000000</v>
      </c>
      <c r="G229" s="82">
        <v>5</v>
      </c>
      <c r="H229" s="101">
        <v>12</v>
      </c>
      <c r="I229" s="104" t="s">
        <v>1419</v>
      </c>
      <c r="J229" s="88">
        <v>18000000</v>
      </c>
      <c r="K229" s="88">
        <v>7000000</v>
      </c>
      <c r="L229" s="88">
        <v>10000000</v>
      </c>
    </row>
    <row r="230" spans="1:12" ht="31.2" x14ac:dyDescent="0.3">
      <c r="A230" s="85">
        <f>SUBTOTAL(3,$B$38:B230)</f>
        <v>193</v>
      </c>
      <c r="B230" s="86" t="s">
        <v>1014</v>
      </c>
      <c r="C230" s="90" t="s">
        <v>577</v>
      </c>
      <c r="D230" s="87">
        <v>45658</v>
      </c>
      <c r="E230" s="80">
        <v>1</v>
      </c>
      <c r="F230" s="88">
        <v>89000000</v>
      </c>
      <c r="G230" s="82">
        <v>5</v>
      </c>
      <c r="H230" s="101">
        <v>12</v>
      </c>
      <c r="I230" s="104" t="s">
        <v>1419</v>
      </c>
      <c r="J230" s="88">
        <v>18000000</v>
      </c>
      <c r="K230" s="88">
        <v>7000000</v>
      </c>
      <c r="L230" s="88">
        <v>10000000</v>
      </c>
    </row>
    <row r="231" spans="1:12" ht="31.2" x14ac:dyDescent="0.3">
      <c r="A231" s="85">
        <f>SUBTOTAL(3,$B$38:B231)</f>
        <v>194</v>
      </c>
      <c r="B231" s="86" t="s">
        <v>966</v>
      </c>
      <c r="C231" s="90" t="s">
        <v>540</v>
      </c>
      <c r="D231" s="87">
        <v>44519</v>
      </c>
      <c r="E231" s="80">
        <v>1</v>
      </c>
      <c r="F231" s="88">
        <v>88000000</v>
      </c>
      <c r="G231" s="82">
        <v>6</v>
      </c>
      <c r="H231" s="101">
        <v>12</v>
      </c>
      <c r="I231" s="104" t="s">
        <v>1419</v>
      </c>
      <c r="J231" s="88">
        <v>15000000</v>
      </c>
      <c r="K231" s="88">
        <v>7000000</v>
      </c>
      <c r="L231" s="88">
        <v>7000000</v>
      </c>
    </row>
    <row r="232" spans="1:12" ht="31.2" x14ac:dyDescent="0.3">
      <c r="A232" s="85">
        <f>SUBTOTAL(3,$B$38:B232)</f>
        <v>195</v>
      </c>
      <c r="B232" s="86" t="s">
        <v>930</v>
      </c>
      <c r="C232" s="90" t="s">
        <v>692</v>
      </c>
      <c r="D232" s="87">
        <v>45627</v>
      </c>
      <c r="E232" s="80">
        <v>1</v>
      </c>
      <c r="F232" s="88">
        <v>87000000</v>
      </c>
      <c r="G232" s="82">
        <v>3</v>
      </c>
      <c r="H232" s="101">
        <v>12</v>
      </c>
      <c r="I232" s="104" t="s">
        <v>1419</v>
      </c>
      <c r="J232" s="88">
        <v>29000000</v>
      </c>
      <c r="K232" s="88">
        <v>7000000</v>
      </c>
      <c r="L232" s="88">
        <v>22000000</v>
      </c>
    </row>
    <row r="233" spans="1:12" ht="31.2" x14ac:dyDescent="0.3">
      <c r="A233" s="85">
        <f>SUBTOTAL(3,$B$38:B233)</f>
        <v>196</v>
      </c>
      <c r="B233" s="86" t="s">
        <v>1015</v>
      </c>
      <c r="C233" s="90" t="s">
        <v>578</v>
      </c>
      <c r="D233" s="87">
        <v>45658</v>
      </c>
      <c r="E233" s="80">
        <v>1</v>
      </c>
      <c r="F233" s="88">
        <v>87000000</v>
      </c>
      <c r="G233" s="82">
        <v>5</v>
      </c>
      <c r="H233" s="101">
        <v>12</v>
      </c>
      <c r="I233" s="104" t="s">
        <v>1419</v>
      </c>
      <c r="J233" s="88">
        <v>17000000</v>
      </c>
      <c r="K233" s="88">
        <v>7000000</v>
      </c>
      <c r="L233" s="88">
        <v>10000000</v>
      </c>
    </row>
    <row r="234" spans="1:12" ht="15.6" x14ac:dyDescent="0.3">
      <c r="A234" s="85">
        <f>SUBTOTAL(3,$B$38:B234)</f>
        <v>197</v>
      </c>
      <c r="B234" s="86" t="s">
        <v>1063</v>
      </c>
      <c r="C234" s="90" t="s">
        <v>618</v>
      </c>
      <c r="D234" s="87">
        <v>45078</v>
      </c>
      <c r="E234" s="80">
        <v>1</v>
      </c>
      <c r="F234" s="88">
        <v>86000000</v>
      </c>
      <c r="G234" s="82">
        <v>4</v>
      </c>
      <c r="H234" s="101">
        <v>12</v>
      </c>
      <c r="I234" s="104" t="s">
        <v>1419</v>
      </c>
      <c r="J234" s="88">
        <v>21000000</v>
      </c>
      <c r="K234" s="88">
        <v>7000000</v>
      </c>
      <c r="L234" s="88">
        <v>14000000</v>
      </c>
    </row>
    <row r="235" spans="1:12" ht="15.6" x14ac:dyDescent="0.3">
      <c r="A235" s="85">
        <f>SUBTOTAL(3,$B$38:B235)</f>
        <v>198</v>
      </c>
      <c r="B235" s="86" t="s">
        <v>1064</v>
      </c>
      <c r="C235" s="90" t="s">
        <v>619</v>
      </c>
      <c r="D235" s="87">
        <v>45078</v>
      </c>
      <c r="E235" s="80">
        <v>1</v>
      </c>
      <c r="F235" s="88">
        <v>86000000</v>
      </c>
      <c r="G235" s="82">
        <v>4</v>
      </c>
      <c r="H235" s="101">
        <v>12</v>
      </c>
      <c r="I235" s="104" t="s">
        <v>1419</v>
      </c>
      <c r="J235" s="88">
        <v>21000000</v>
      </c>
      <c r="K235" s="88">
        <v>7000000</v>
      </c>
      <c r="L235" s="88">
        <v>14000000</v>
      </c>
    </row>
    <row r="236" spans="1:12" ht="15.6" x14ac:dyDescent="0.3">
      <c r="A236" s="85">
        <f>SUBTOTAL(3,$B$38:B236)</f>
        <v>199</v>
      </c>
      <c r="B236" s="86" t="s">
        <v>1140</v>
      </c>
      <c r="C236" s="149" t="s">
        <v>767</v>
      </c>
      <c r="D236" s="87">
        <v>45323</v>
      </c>
      <c r="E236" s="80">
        <v>1</v>
      </c>
      <c r="F236" s="88">
        <v>86000000</v>
      </c>
      <c r="G236" s="82">
        <v>5</v>
      </c>
      <c r="H236" s="80">
        <v>12</v>
      </c>
      <c r="I236" s="104" t="s">
        <v>1419</v>
      </c>
      <c r="J236" s="88">
        <v>17000000</v>
      </c>
      <c r="K236" s="88">
        <v>3000000</v>
      </c>
      <c r="L236" s="88">
        <v>14000000</v>
      </c>
    </row>
    <row r="237" spans="1:12" ht="31.2" x14ac:dyDescent="0.3">
      <c r="A237" s="85">
        <f>SUBTOTAL(3,$B$38:B237)</f>
        <v>200</v>
      </c>
      <c r="B237" s="86" t="s">
        <v>1072</v>
      </c>
      <c r="C237" s="149" t="s">
        <v>710</v>
      </c>
      <c r="D237" s="87">
        <v>44634</v>
      </c>
      <c r="E237" s="80">
        <v>1</v>
      </c>
      <c r="F237" s="88">
        <v>85000000</v>
      </c>
      <c r="G237" s="82">
        <v>6</v>
      </c>
      <c r="H237" s="80">
        <v>12</v>
      </c>
      <c r="I237" s="104" t="s">
        <v>1419</v>
      </c>
      <c r="J237" s="88">
        <v>14000000</v>
      </c>
      <c r="K237" s="88">
        <v>9000000</v>
      </c>
      <c r="L237" s="88">
        <v>6000000</v>
      </c>
    </row>
    <row r="238" spans="1:12" ht="15.6" x14ac:dyDescent="0.3">
      <c r="A238" s="85">
        <f>SUBTOTAL(3,$B$38:B238)</f>
        <v>201</v>
      </c>
      <c r="B238" s="86" t="s">
        <v>919</v>
      </c>
      <c r="C238" s="90" t="s">
        <v>681</v>
      </c>
      <c r="D238" s="87">
        <v>45383</v>
      </c>
      <c r="E238" s="80">
        <v>1</v>
      </c>
      <c r="F238" s="88">
        <v>83000000</v>
      </c>
      <c r="G238" s="82">
        <v>3</v>
      </c>
      <c r="H238" s="101">
        <v>12</v>
      </c>
      <c r="I238" s="104" t="s">
        <v>1419</v>
      </c>
      <c r="J238" s="88">
        <v>28000000</v>
      </c>
      <c r="K238" s="88">
        <v>7000000</v>
      </c>
      <c r="L238" s="88">
        <v>21000000</v>
      </c>
    </row>
    <row r="239" spans="1:12" ht="15.6" x14ac:dyDescent="0.3">
      <c r="A239" s="85">
        <f>SUBTOTAL(3,$B$38:B239)</f>
        <v>202</v>
      </c>
      <c r="B239" s="86" t="s">
        <v>1139</v>
      </c>
      <c r="C239" s="149" t="s">
        <v>766</v>
      </c>
      <c r="D239" s="87">
        <v>45323</v>
      </c>
      <c r="E239" s="80">
        <v>1</v>
      </c>
      <c r="F239" s="88">
        <v>82000000</v>
      </c>
      <c r="G239" s="82">
        <v>5</v>
      </c>
      <c r="H239" s="80">
        <v>12</v>
      </c>
      <c r="I239" s="104" t="s">
        <v>1419</v>
      </c>
      <c r="J239" s="88">
        <v>16000000</v>
      </c>
      <c r="K239" s="88">
        <v>3000000</v>
      </c>
      <c r="L239" s="88">
        <v>13000000</v>
      </c>
    </row>
    <row r="240" spans="1:12" ht="15.6" x14ac:dyDescent="0.3">
      <c r="A240" s="85">
        <f>SUBTOTAL(3,$B$38:B240)</f>
        <v>203</v>
      </c>
      <c r="B240" s="86" t="s">
        <v>963</v>
      </c>
      <c r="C240" s="90" t="s">
        <v>539</v>
      </c>
      <c r="D240" s="87">
        <v>44438</v>
      </c>
      <c r="E240" s="80">
        <v>1</v>
      </c>
      <c r="F240" s="88">
        <v>81000000</v>
      </c>
      <c r="G240" s="82">
        <v>10</v>
      </c>
      <c r="H240" s="101">
        <v>12</v>
      </c>
      <c r="I240" s="104" t="s">
        <v>1419</v>
      </c>
      <c r="J240" s="88">
        <v>8000000</v>
      </c>
      <c r="K240" s="88">
        <v>7000000</v>
      </c>
      <c r="L240" s="88">
        <v>1000000</v>
      </c>
    </row>
    <row r="241" spans="1:12" ht="15.6" x14ac:dyDescent="0.3">
      <c r="A241" s="85">
        <f>SUBTOTAL(3,$B$38:B241)</f>
        <v>204</v>
      </c>
      <c r="B241" s="86" t="s">
        <v>997</v>
      </c>
      <c r="C241" s="90" t="s">
        <v>562</v>
      </c>
      <c r="D241" s="87">
        <v>44958</v>
      </c>
      <c r="E241" s="80">
        <v>1</v>
      </c>
      <c r="F241" s="88">
        <v>81000000</v>
      </c>
      <c r="G241" s="82">
        <v>3</v>
      </c>
      <c r="H241" s="101">
        <v>12</v>
      </c>
      <c r="I241" s="104" t="s">
        <v>1419</v>
      </c>
      <c r="J241" s="88">
        <v>27000000</v>
      </c>
      <c r="K241" s="88">
        <v>7000000</v>
      </c>
      <c r="L241" s="88">
        <v>20000000</v>
      </c>
    </row>
    <row r="242" spans="1:12" ht="31.2" x14ac:dyDescent="0.3">
      <c r="A242" s="85">
        <f>SUBTOTAL(3,$B$38:B242)</f>
        <v>205</v>
      </c>
      <c r="B242" s="86" t="s">
        <v>1004</v>
      </c>
      <c r="C242" s="90" t="s">
        <v>567</v>
      </c>
      <c r="D242" s="87">
        <v>44986</v>
      </c>
      <c r="E242" s="80">
        <v>1</v>
      </c>
      <c r="F242" s="88">
        <v>80000000</v>
      </c>
      <c r="G242" s="82">
        <v>3</v>
      </c>
      <c r="H242" s="101">
        <v>12</v>
      </c>
      <c r="I242" s="104" t="s">
        <v>1419</v>
      </c>
      <c r="J242" s="88">
        <v>27000000</v>
      </c>
      <c r="K242" s="88">
        <v>7000000</v>
      </c>
      <c r="L242" s="88">
        <v>20000000</v>
      </c>
    </row>
    <row r="243" spans="1:12" ht="15.6" x14ac:dyDescent="0.3">
      <c r="A243" s="85">
        <f>SUBTOTAL(3,$B$38:B243)</f>
        <v>206</v>
      </c>
      <c r="B243" s="86" t="s">
        <v>985</v>
      </c>
      <c r="C243" s="90" t="s">
        <v>550</v>
      </c>
      <c r="D243" s="87">
        <v>44896</v>
      </c>
      <c r="E243" s="80">
        <v>1</v>
      </c>
      <c r="F243" s="88">
        <v>79000000</v>
      </c>
      <c r="G243" s="82">
        <v>3</v>
      </c>
      <c r="H243" s="101">
        <v>12</v>
      </c>
      <c r="I243" s="104" t="s">
        <v>1419</v>
      </c>
      <c r="J243" s="88">
        <v>26000000</v>
      </c>
      <c r="K243" s="88">
        <v>7000000</v>
      </c>
      <c r="L243" s="88">
        <v>20000000</v>
      </c>
    </row>
    <row r="244" spans="1:12" ht="31.2" x14ac:dyDescent="0.3">
      <c r="A244" s="85">
        <f>SUBTOTAL(3,$B$38:B244)</f>
        <v>207</v>
      </c>
      <c r="B244" s="86" t="s">
        <v>972</v>
      </c>
      <c r="C244" s="90" t="s">
        <v>542</v>
      </c>
      <c r="D244" s="87">
        <v>44614</v>
      </c>
      <c r="E244" s="80">
        <v>1</v>
      </c>
      <c r="F244" s="88">
        <v>78000000</v>
      </c>
      <c r="G244" s="82">
        <v>5</v>
      </c>
      <c r="H244" s="101">
        <v>12</v>
      </c>
      <c r="I244" s="104" t="s">
        <v>1419</v>
      </c>
      <c r="J244" s="88">
        <v>16000000</v>
      </c>
      <c r="K244" s="88">
        <v>7000000</v>
      </c>
      <c r="L244" s="88">
        <v>9000000</v>
      </c>
    </row>
    <row r="245" spans="1:12" ht="15.6" x14ac:dyDescent="0.3">
      <c r="A245" s="85">
        <f>SUBTOTAL(3,$B$38:B245)</f>
        <v>208</v>
      </c>
      <c r="B245" s="86" t="s">
        <v>876</v>
      </c>
      <c r="C245" s="90" t="s">
        <v>641</v>
      </c>
      <c r="D245" s="87">
        <v>45139</v>
      </c>
      <c r="E245" s="80">
        <v>1</v>
      </c>
      <c r="F245" s="88">
        <v>76000000</v>
      </c>
      <c r="G245" s="82">
        <v>5</v>
      </c>
      <c r="H245" s="101">
        <v>12</v>
      </c>
      <c r="I245" s="104" t="s">
        <v>1419</v>
      </c>
      <c r="J245" s="88">
        <v>15000000</v>
      </c>
      <c r="K245" s="88">
        <v>6000000</v>
      </c>
      <c r="L245" s="88">
        <v>9000000</v>
      </c>
    </row>
    <row r="246" spans="1:12" ht="25.05" customHeight="1" x14ac:dyDescent="0.3">
      <c r="A246" s="85">
        <f>SUBTOTAL(3,$B$38:B246)</f>
        <v>209</v>
      </c>
      <c r="B246" s="86" t="s">
        <v>962</v>
      </c>
      <c r="C246" s="90" t="s">
        <v>538</v>
      </c>
      <c r="D246" s="87">
        <v>44438</v>
      </c>
      <c r="E246" s="80">
        <v>1</v>
      </c>
      <c r="F246" s="88">
        <v>74000000</v>
      </c>
      <c r="G246" s="82">
        <v>5</v>
      </c>
      <c r="H246" s="101">
        <v>12</v>
      </c>
      <c r="I246" s="104" t="s">
        <v>1419</v>
      </c>
      <c r="J246" s="88">
        <v>15000000</v>
      </c>
      <c r="K246" s="88">
        <v>6000000</v>
      </c>
      <c r="L246" s="88">
        <v>9000000</v>
      </c>
    </row>
    <row r="247" spans="1:12" ht="30" customHeight="1" x14ac:dyDescent="0.3">
      <c r="A247" s="85">
        <f>SUBTOTAL(3,$B$38:B247)</f>
        <v>210</v>
      </c>
      <c r="B247" s="86" t="s">
        <v>891</v>
      </c>
      <c r="C247" s="90" t="s">
        <v>653</v>
      </c>
      <c r="D247" s="87">
        <v>45139</v>
      </c>
      <c r="E247" s="80">
        <v>1</v>
      </c>
      <c r="F247" s="88">
        <v>64000000</v>
      </c>
      <c r="G247" s="82">
        <v>3</v>
      </c>
      <c r="H247" s="101">
        <v>12</v>
      </c>
      <c r="I247" s="104" t="s">
        <v>1419</v>
      </c>
      <c r="J247" s="88">
        <v>21000000</v>
      </c>
      <c r="K247" s="88">
        <v>5000000</v>
      </c>
      <c r="L247" s="88">
        <v>16000000</v>
      </c>
    </row>
    <row r="248" spans="1:12" ht="28.5" customHeight="1" x14ac:dyDescent="0.3">
      <c r="A248" s="85">
        <f>SUBTOTAL(3,$B$38:B248)</f>
        <v>211</v>
      </c>
      <c r="B248" s="86" t="s">
        <v>1138</v>
      </c>
      <c r="C248" s="149" t="s">
        <v>765</v>
      </c>
      <c r="D248" s="87">
        <v>45323</v>
      </c>
      <c r="E248" s="80">
        <v>1</v>
      </c>
      <c r="F248" s="88">
        <v>62000000</v>
      </c>
      <c r="G248" s="82">
        <v>5</v>
      </c>
      <c r="H248" s="80">
        <v>25</v>
      </c>
      <c r="I248" s="83" t="s">
        <v>1436</v>
      </c>
      <c r="J248" s="88">
        <v>12000000</v>
      </c>
      <c r="K248" s="88">
        <v>2000000</v>
      </c>
      <c r="L248" s="88">
        <v>10000000</v>
      </c>
    </row>
    <row r="249" spans="1:12" ht="15.6" x14ac:dyDescent="0.3">
      <c r="A249" s="85">
        <f>SUBTOTAL(3,$B$38:B249)</f>
        <v>212</v>
      </c>
      <c r="B249" s="86" t="s">
        <v>1141</v>
      </c>
      <c r="C249" s="149" t="s">
        <v>768</v>
      </c>
      <c r="D249" s="87">
        <v>45323</v>
      </c>
      <c r="E249" s="80">
        <v>1</v>
      </c>
      <c r="F249" s="88">
        <v>62000000</v>
      </c>
      <c r="G249" s="82">
        <v>5</v>
      </c>
      <c r="H249" s="80">
        <v>25</v>
      </c>
      <c r="I249" s="83" t="s">
        <v>1436</v>
      </c>
      <c r="J249" s="88">
        <v>12000000</v>
      </c>
      <c r="K249" s="88">
        <v>2000000</v>
      </c>
      <c r="L249" s="88">
        <v>10000000</v>
      </c>
    </row>
    <row r="250" spans="1:12" ht="15.6" x14ac:dyDescent="0.3">
      <c r="A250" s="85">
        <f>SUBTOTAL(3,$B$38:B250)</f>
        <v>213</v>
      </c>
      <c r="B250" s="86" t="s">
        <v>973</v>
      </c>
      <c r="C250" s="90" t="s">
        <v>543</v>
      </c>
      <c r="D250" s="87">
        <v>44713</v>
      </c>
      <c r="E250" s="80">
        <v>1</v>
      </c>
      <c r="F250" s="88">
        <v>60000000</v>
      </c>
      <c r="G250" s="82">
        <v>5</v>
      </c>
      <c r="H250" s="101">
        <v>12</v>
      </c>
      <c r="I250" s="104" t="s">
        <v>1419</v>
      </c>
      <c r="J250" s="88">
        <v>12000000</v>
      </c>
      <c r="K250" s="88">
        <v>5000000</v>
      </c>
      <c r="L250" s="88">
        <v>7000000</v>
      </c>
    </row>
    <row r="251" spans="1:12" ht="15.6" x14ac:dyDescent="0.3">
      <c r="A251" s="85">
        <f>SUBTOTAL(3,$B$38:B251)</f>
        <v>214</v>
      </c>
      <c r="B251" s="86" t="s">
        <v>979</v>
      </c>
      <c r="C251" s="90" t="s">
        <v>546</v>
      </c>
      <c r="D251" s="87">
        <v>44813</v>
      </c>
      <c r="E251" s="80">
        <v>1</v>
      </c>
      <c r="F251" s="88">
        <v>60000000</v>
      </c>
      <c r="G251" s="82">
        <v>5</v>
      </c>
      <c r="H251" s="101">
        <v>12</v>
      </c>
      <c r="I251" s="104" t="s">
        <v>1419</v>
      </c>
      <c r="J251" s="88">
        <v>12000000</v>
      </c>
      <c r="K251" s="88">
        <v>5000000</v>
      </c>
      <c r="L251" s="88">
        <v>7000000</v>
      </c>
    </row>
    <row r="252" spans="1:12" ht="15.6" x14ac:dyDescent="0.3">
      <c r="A252" s="85">
        <f>SUBTOTAL(3,$B$38:B252)</f>
        <v>215</v>
      </c>
      <c r="B252" s="86" t="s">
        <v>1006</v>
      </c>
      <c r="C252" s="90" t="s">
        <v>569</v>
      </c>
      <c r="D252" s="87">
        <v>45536</v>
      </c>
      <c r="E252" s="80">
        <v>1</v>
      </c>
      <c r="F252" s="88">
        <v>55000000</v>
      </c>
      <c r="G252" s="82">
        <v>3</v>
      </c>
      <c r="H252" s="101">
        <v>12</v>
      </c>
      <c r="I252" s="104" t="s">
        <v>1419</v>
      </c>
      <c r="J252" s="88">
        <v>18000000</v>
      </c>
      <c r="K252" s="88">
        <v>5000000</v>
      </c>
      <c r="L252" s="88">
        <v>14000000</v>
      </c>
    </row>
    <row r="253" spans="1:12" ht="15.6" x14ac:dyDescent="0.3">
      <c r="A253" s="85">
        <f>SUBTOTAL(3,$B$38:B253)</f>
        <v>216</v>
      </c>
      <c r="B253" s="86" t="s">
        <v>946</v>
      </c>
      <c r="C253" s="90" t="s">
        <v>524</v>
      </c>
      <c r="D253" s="87">
        <v>44177</v>
      </c>
      <c r="E253" s="80">
        <v>1</v>
      </c>
      <c r="F253" s="88">
        <v>51000000</v>
      </c>
      <c r="G253" s="82">
        <v>5</v>
      </c>
      <c r="H253" s="101">
        <v>12</v>
      </c>
      <c r="I253" s="104" t="s">
        <v>1419</v>
      </c>
      <c r="J253" s="88">
        <v>10000000</v>
      </c>
      <c r="K253" s="88">
        <v>4000000</v>
      </c>
      <c r="L253" s="88">
        <v>6000000</v>
      </c>
    </row>
    <row r="254" spans="1:12" ht="31.2" x14ac:dyDescent="0.3">
      <c r="A254" s="85">
        <f>SUBTOTAL(3,$B$38:B254)</f>
        <v>217</v>
      </c>
      <c r="B254" s="86" t="s">
        <v>1007</v>
      </c>
      <c r="C254" s="90" t="s">
        <v>570</v>
      </c>
      <c r="D254" s="87">
        <v>45536</v>
      </c>
      <c r="E254" s="80">
        <v>1</v>
      </c>
      <c r="F254" s="88">
        <v>50000000</v>
      </c>
      <c r="G254" s="82">
        <v>3</v>
      </c>
      <c r="H254" s="101">
        <v>12</v>
      </c>
      <c r="I254" s="104" t="s">
        <v>1419</v>
      </c>
      <c r="J254" s="88">
        <v>17000000</v>
      </c>
      <c r="K254" s="88">
        <v>4000000</v>
      </c>
      <c r="L254" s="88">
        <v>13000000</v>
      </c>
    </row>
    <row r="255" spans="1:12" ht="15.6" x14ac:dyDescent="0.3">
      <c r="A255" s="85">
        <f>SUBTOTAL(3,$B$38:B255)</f>
        <v>218</v>
      </c>
      <c r="B255" s="86" t="s">
        <v>913</v>
      </c>
      <c r="C255" s="90" t="s">
        <v>675</v>
      </c>
      <c r="D255" s="87">
        <v>45444</v>
      </c>
      <c r="E255" s="80">
        <v>1</v>
      </c>
      <c r="F255" s="88">
        <v>49000000</v>
      </c>
      <c r="G255" s="82">
        <v>3</v>
      </c>
      <c r="H255" s="101">
        <v>12</v>
      </c>
      <c r="I255" s="104" t="s">
        <v>1419</v>
      </c>
      <c r="J255" s="88">
        <v>16000000</v>
      </c>
      <c r="K255" s="88">
        <v>4000000</v>
      </c>
      <c r="L255" s="88">
        <v>12000000</v>
      </c>
    </row>
    <row r="256" spans="1:12" ht="15.6" x14ac:dyDescent="0.3">
      <c r="A256" s="85">
        <f>SUBTOTAL(3,$B$38:B256)</f>
        <v>219</v>
      </c>
      <c r="B256" s="86" t="s">
        <v>902</v>
      </c>
      <c r="C256" s="90" t="s">
        <v>664</v>
      </c>
      <c r="D256" s="87">
        <v>45200</v>
      </c>
      <c r="E256" s="80">
        <v>1</v>
      </c>
      <c r="F256" s="88">
        <v>47000000</v>
      </c>
      <c r="G256" s="82">
        <v>5</v>
      </c>
      <c r="H256" s="101">
        <v>12</v>
      </c>
      <c r="I256" s="104" t="s">
        <v>1419</v>
      </c>
      <c r="J256" s="88">
        <v>9000000</v>
      </c>
      <c r="K256" s="88">
        <v>4000000</v>
      </c>
      <c r="L256" s="88">
        <v>5000000</v>
      </c>
    </row>
    <row r="257" spans="1:12" ht="31.2" x14ac:dyDescent="0.3">
      <c r="A257" s="85">
        <f>SUBTOTAL(3,$B$38:B257)</f>
        <v>220</v>
      </c>
      <c r="B257" s="86" t="s">
        <v>914</v>
      </c>
      <c r="C257" s="90" t="s">
        <v>676</v>
      </c>
      <c r="D257" s="87">
        <v>45444</v>
      </c>
      <c r="E257" s="80">
        <v>1</v>
      </c>
      <c r="F257" s="88">
        <v>40000000</v>
      </c>
      <c r="G257" s="82">
        <v>5</v>
      </c>
      <c r="H257" s="101">
        <v>12</v>
      </c>
      <c r="I257" s="104" t="s">
        <v>1419</v>
      </c>
      <c r="J257" s="88">
        <v>8000000</v>
      </c>
      <c r="K257" s="88">
        <v>3000000</v>
      </c>
      <c r="L257" s="88">
        <v>5000000</v>
      </c>
    </row>
    <row r="258" spans="1:12" ht="31.2" x14ac:dyDescent="0.3">
      <c r="A258" s="85">
        <f>SUBTOTAL(3,$B$38:B258)</f>
        <v>221</v>
      </c>
      <c r="B258" s="86" t="s">
        <v>923</v>
      </c>
      <c r="C258" s="90" t="s">
        <v>685</v>
      </c>
      <c r="D258" s="87">
        <v>45689</v>
      </c>
      <c r="E258" s="80">
        <v>1</v>
      </c>
      <c r="F258" s="88">
        <v>36000000</v>
      </c>
      <c r="G258" s="82">
        <v>3</v>
      </c>
      <c r="H258" s="101">
        <v>12</v>
      </c>
      <c r="I258" s="104" t="s">
        <v>1419</v>
      </c>
      <c r="J258" s="88">
        <v>12000000</v>
      </c>
      <c r="K258" s="88">
        <v>3000000</v>
      </c>
      <c r="L258" s="88">
        <v>9000000</v>
      </c>
    </row>
    <row r="259" spans="1:12" ht="15.6" x14ac:dyDescent="0.3">
      <c r="A259" s="85">
        <f>SUBTOTAL(3,$B$38:B259)</f>
        <v>222</v>
      </c>
      <c r="B259" s="86" t="s">
        <v>865</v>
      </c>
      <c r="C259" s="90" t="s">
        <v>632</v>
      </c>
      <c r="D259" s="87">
        <v>44835</v>
      </c>
      <c r="E259" s="80">
        <v>1</v>
      </c>
      <c r="F259" s="88">
        <v>35000000</v>
      </c>
      <c r="G259" s="82">
        <v>5</v>
      </c>
      <c r="H259" s="101">
        <v>12</v>
      </c>
      <c r="I259" s="104" t="s">
        <v>1419</v>
      </c>
      <c r="J259" s="88">
        <v>7000000</v>
      </c>
      <c r="K259" s="88">
        <v>3000000</v>
      </c>
      <c r="L259" s="88">
        <v>4000000</v>
      </c>
    </row>
    <row r="260" spans="1:12" ht="31.2" x14ac:dyDescent="0.3">
      <c r="A260" s="85">
        <f>SUBTOTAL(3,$B$38:B260)</f>
        <v>223</v>
      </c>
      <c r="B260" s="86" t="s">
        <v>867</v>
      </c>
      <c r="C260" s="90" t="s">
        <v>634</v>
      </c>
      <c r="D260" s="87">
        <v>44835</v>
      </c>
      <c r="E260" s="80">
        <v>1</v>
      </c>
      <c r="F260" s="88">
        <v>35000000</v>
      </c>
      <c r="G260" s="82">
        <v>5</v>
      </c>
      <c r="H260" s="101">
        <v>12</v>
      </c>
      <c r="I260" s="104" t="s">
        <v>1419</v>
      </c>
      <c r="J260" s="88">
        <v>7000000</v>
      </c>
      <c r="K260" s="88">
        <v>3000000</v>
      </c>
      <c r="L260" s="88">
        <v>4000000</v>
      </c>
    </row>
    <row r="261" spans="1:12" ht="31.2" x14ac:dyDescent="0.3">
      <c r="A261" s="85">
        <f>SUBTOTAL(3,$B$38:B261)</f>
        <v>224</v>
      </c>
      <c r="B261" s="86" t="s">
        <v>983</v>
      </c>
      <c r="C261" s="90" t="s">
        <v>548</v>
      </c>
      <c r="D261" s="87">
        <v>44835</v>
      </c>
      <c r="E261" s="80">
        <v>1</v>
      </c>
      <c r="F261" s="88">
        <v>35000000</v>
      </c>
      <c r="G261" s="82">
        <v>5</v>
      </c>
      <c r="H261" s="101">
        <v>12</v>
      </c>
      <c r="I261" s="104" t="s">
        <v>1419</v>
      </c>
      <c r="J261" s="88">
        <v>7000000</v>
      </c>
      <c r="K261" s="88">
        <v>3000000</v>
      </c>
      <c r="L261" s="88">
        <v>4000000</v>
      </c>
    </row>
    <row r="262" spans="1:12" ht="31.2" x14ac:dyDescent="0.3">
      <c r="A262" s="85">
        <f>SUBTOTAL(3,$B$38:B262)</f>
        <v>225</v>
      </c>
      <c r="B262" s="86" t="s">
        <v>1147</v>
      </c>
      <c r="C262" s="149" t="s">
        <v>774</v>
      </c>
      <c r="D262" s="87">
        <v>45931</v>
      </c>
      <c r="E262" s="80">
        <v>1</v>
      </c>
      <c r="F262" s="88">
        <v>35000000</v>
      </c>
      <c r="G262" s="82">
        <v>3</v>
      </c>
      <c r="H262" s="101">
        <v>12</v>
      </c>
      <c r="I262" s="104" t="s">
        <v>1419</v>
      </c>
      <c r="J262" s="88">
        <v>12000000</v>
      </c>
      <c r="K262" s="88">
        <v>1000000</v>
      </c>
      <c r="L262" s="88">
        <v>10000000</v>
      </c>
    </row>
    <row r="263" spans="1:12" ht="31.2" x14ac:dyDescent="0.3">
      <c r="A263" s="85">
        <f>SUBTOTAL(3,$B$38:B263)</f>
        <v>226</v>
      </c>
      <c r="B263" s="86" t="s">
        <v>1148</v>
      </c>
      <c r="C263" s="149" t="s">
        <v>775</v>
      </c>
      <c r="D263" s="87">
        <v>45931</v>
      </c>
      <c r="E263" s="80">
        <v>1</v>
      </c>
      <c r="F263" s="88">
        <v>35000000</v>
      </c>
      <c r="G263" s="82">
        <v>3</v>
      </c>
      <c r="H263" s="101">
        <v>12</v>
      </c>
      <c r="I263" s="104" t="s">
        <v>1419</v>
      </c>
      <c r="J263" s="88">
        <v>12000000</v>
      </c>
      <c r="K263" s="88">
        <v>1000000</v>
      </c>
      <c r="L263" s="88">
        <v>10000000</v>
      </c>
    </row>
    <row r="264" spans="1:12" ht="31.2" x14ac:dyDescent="0.3">
      <c r="A264" s="85">
        <f>SUBTOTAL(3,$B$38:B264)</f>
        <v>227</v>
      </c>
      <c r="B264" s="86" t="s">
        <v>1149</v>
      </c>
      <c r="C264" s="149" t="s">
        <v>776</v>
      </c>
      <c r="D264" s="87">
        <v>45931</v>
      </c>
      <c r="E264" s="80">
        <v>1</v>
      </c>
      <c r="F264" s="88">
        <v>35000000</v>
      </c>
      <c r="G264" s="82">
        <v>3</v>
      </c>
      <c r="H264" s="101">
        <v>12</v>
      </c>
      <c r="I264" s="104" t="s">
        <v>1419</v>
      </c>
      <c r="J264" s="88">
        <v>12000000</v>
      </c>
      <c r="K264" s="88">
        <v>1000000</v>
      </c>
      <c r="L264" s="88">
        <v>10000000</v>
      </c>
    </row>
    <row r="265" spans="1:12" ht="15.6" x14ac:dyDescent="0.3">
      <c r="A265" s="85">
        <f>SUBTOTAL(3,$B$38:B265)</f>
        <v>228</v>
      </c>
      <c r="B265" s="86" t="s">
        <v>948</v>
      </c>
      <c r="C265" s="90" t="s">
        <v>526</v>
      </c>
      <c r="D265" s="87">
        <v>44177</v>
      </c>
      <c r="E265" s="80">
        <v>1</v>
      </c>
      <c r="F265" s="88">
        <v>28000000</v>
      </c>
      <c r="G265" s="82">
        <v>5</v>
      </c>
      <c r="H265" s="101">
        <v>12</v>
      </c>
      <c r="I265" s="104" t="s">
        <v>1419</v>
      </c>
      <c r="J265" s="88">
        <v>6000000</v>
      </c>
      <c r="K265" s="88">
        <v>2000000</v>
      </c>
      <c r="L265" s="88">
        <v>3000000</v>
      </c>
    </row>
    <row r="266" spans="1:12" ht="31.2" x14ac:dyDescent="0.3">
      <c r="A266" s="76" t="s">
        <v>1416</v>
      </c>
      <c r="B266" s="77"/>
      <c r="C266" s="91" t="s">
        <v>1429</v>
      </c>
      <c r="D266" s="79"/>
      <c r="E266" s="80"/>
      <c r="F266" s="81"/>
      <c r="G266" s="82"/>
      <c r="H266" s="80"/>
      <c r="I266" s="104"/>
      <c r="J266" s="88"/>
      <c r="K266" s="88"/>
      <c r="L266" s="88"/>
    </row>
    <row r="267" spans="1:12" ht="31.2" x14ac:dyDescent="0.3">
      <c r="A267" s="85">
        <f>SUBTOTAL(3,$B$267:B267)</f>
        <v>1</v>
      </c>
      <c r="B267" s="86" t="s">
        <v>1077</v>
      </c>
      <c r="C267" s="90" t="s">
        <v>715</v>
      </c>
      <c r="D267" s="87">
        <v>44873</v>
      </c>
      <c r="E267" s="80">
        <v>1</v>
      </c>
      <c r="F267" s="88">
        <v>1309000000</v>
      </c>
      <c r="G267" s="82">
        <v>8</v>
      </c>
      <c r="H267" s="80">
        <v>10</v>
      </c>
      <c r="I267" s="104" t="s">
        <v>1419</v>
      </c>
      <c r="J267" s="88">
        <v>164000000</v>
      </c>
      <c r="K267" s="88">
        <v>131000000</v>
      </c>
      <c r="L267" s="88">
        <v>33000000</v>
      </c>
    </row>
    <row r="268" spans="1:12" ht="31.2" x14ac:dyDescent="0.3">
      <c r="A268" s="85">
        <f>SUBTOTAL(3,$B$267:B268)</f>
        <v>2</v>
      </c>
      <c r="B268" s="86" t="s">
        <v>1078</v>
      </c>
      <c r="C268" s="90" t="s">
        <v>716</v>
      </c>
      <c r="D268" s="87">
        <v>44873</v>
      </c>
      <c r="E268" s="80">
        <v>1</v>
      </c>
      <c r="F268" s="88">
        <v>1309000000</v>
      </c>
      <c r="G268" s="82">
        <v>8</v>
      </c>
      <c r="H268" s="80">
        <v>10</v>
      </c>
      <c r="I268" s="104" t="s">
        <v>1419</v>
      </c>
      <c r="J268" s="88">
        <v>164000000</v>
      </c>
      <c r="K268" s="88">
        <v>131000000</v>
      </c>
      <c r="L268" s="88">
        <v>33000000</v>
      </c>
    </row>
    <row r="269" spans="1:12" ht="28.5" customHeight="1" x14ac:dyDescent="0.3">
      <c r="A269" s="85">
        <f>SUBTOTAL(3,$B$267:B269)</f>
        <v>3</v>
      </c>
      <c r="B269" s="86" t="s">
        <v>1075</v>
      </c>
      <c r="C269" s="90" t="s">
        <v>713</v>
      </c>
      <c r="D269" s="87">
        <v>44757</v>
      </c>
      <c r="E269" s="80">
        <v>1</v>
      </c>
      <c r="F269" s="88">
        <v>1192000000</v>
      </c>
      <c r="G269" s="82">
        <v>8</v>
      </c>
      <c r="H269" s="80">
        <v>10</v>
      </c>
      <c r="I269" s="104" t="s">
        <v>1419</v>
      </c>
      <c r="J269" s="88">
        <v>149000000</v>
      </c>
      <c r="K269" s="88">
        <v>119000000</v>
      </c>
      <c r="L269" s="88">
        <v>30000000</v>
      </c>
    </row>
    <row r="270" spans="1:12" ht="33.6" customHeight="1" x14ac:dyDescent="0.3">
      <c r="A270" s="85">
        <f>SUBTOTAL(3,$B$267:B270)</f>
        <v>4</v>
      </c>
      <c r="B270" s="86" t="s">
        <v>1095</v>
      </c>
      <c r="C270" s="90" t="s">
        <v>703</v>
      </c>
      <c r="D270" s="87">
        <v>44334</v>
      </c>
      <c r="E270" s="80">
        <v>5</v>
      </c>
      <c r="F270" s="88">
        <v>566000000</v>
      </c>
      <c r="G270" s="82">
        <v>8</v>
      </c>
      <c r="H270" s="80">
        <v>10</v>
      </c>
      <c r="I270" s="104" t="s">
        <v>1419</v>
      </c>
      <c r="J270" s="88">
        <v>71000000</v>
      </c>
      <c r="K270" s="88">
        <v>57000000</v>
      </c>
      <c r="L270" s="88">
        <v>14000000</v>
      </c>
    </row>
    <row r="271" spans="1:12" ht="15.6" x14ac:dyDescent="0.3">
      <c r="A271" s="85">
        <f>SUBTOTAL(3,$B$267:B271)</f>
        <v>5</v>
      </c>
      <c r="B271" s="86" t="s">
        <v>1080</v>
      </c>
      <c r="C271" s="90" t="s">
        <v>718</v>
      </c>
      <c r="D271" s="87">
        <v>45028</v>
      </c>
      <c r="E271" s="80">
        <v>1</v>
      </c>
      <c r="F271" s="88">
        <v>515000000</v>
      </c>
      <c r="G271" s="82">
        <v>10</v>
      </c>
      <c r="H271" s="80">
        <v>10</v>
      </c>
      <c r="I271" s="104" t="s">
        <v>1419</v>
      </c>
      <c r="J271" s="88">
        <v>52000000</v>
      </c>
      <c r="K271" s="88">
        <v>52000000</v>
      </c>
      <c r="L271" s="88">
        <v>0</v>
      </c>
    </row>
    <row r="272" spans="1:12" ht="15.6" x14ac:dyDescent="0.3">
      <c r="A272" s="85">
        <f>SUBTOTAL(3,$B$267:B272)</f>
        <v>6</v>
      </c>
      <c r="B272" s="86" t="s">
        <v>1083</v>
      </c>
      <c r="C272" s="90" t="s">
        <v>721</v>
      </c>
      <c r="D272" s="87">
        <v>45028</v>
      </c>
      <c r="E272" s="80">
        <v>1</v>
      </c>
      <c r="F272" s="88">
        <v>515000000</v>
      </c>
      <c r="G272" s="82">
        <v>6</v>
      </c>
      <c r="H272" s="80">
        <v>10</v>
      </c>
      <c r="I272" s="104" t="s">
        <v>1419</v>
      </c>
      <c r="J272" s="88">
        <v>86000000</v>
      </c>
      <c r="K272" s="88">
        <v>52000000</v>
      </c>
      <c r="L272" s="88">
        <v>34000000</v>
      </c>
    </row>
    <row r="273" spans="1:12" ht="27" customHeight="1" x14ac:dyDescent="0.3">
      <c r="A273" s="85">
        <f>SUBTOTAL(3,$B$267:B273)</f>
        <v>7</v>
      </c>
      <c r="B273" s="86" t="s">
        <v>1190</v>
      </c>
      <c r="C273" s="90" t="s">
        <v>808</v>
      </c>
      <c r="D273" s="87">
        <v>45627</v>
      </c>
      <c r="E273" s="80">
        <v>1</v>
      </c>
      <c r="F273" s="88">
        <v>497000000</v>
      </c>
      <c r="G273" s="82">
        <v>3</v>
      </c>
      <c r="H273" s="80">
        <v>10</v>
      </c>
      <c r="I273" s="104" t="s">
        <v>1419</v>
      </c>
      <c r="J273" s="88">
        <v>166000000</v>
      </c>
      <c r="K273" s="88">
        <v>50000000</v>
      </c>
      <c r="L273" s="88">
        <v>116000000</v>
      </c>
    </row>
    <row r="274" spans="1:12" ht="32.549999999999997" customHeight="1" x14ac:dyDescent="0.3">
      <c r="A274" s="85">
        <f>SUBTOTAL(3,$B$267:B274)</f>
        <v>8</v>
      </c>
      <c r="B274" s="86" t="s">
        <v>1081</v>
      </c>
      <c r="C274" s="90" t="s">
        <v>719</v>
      </c>
      <c r="D274" s="87">
        <v>45028</v>
      </c>
      <c r="E274" s="80">
        <v>1</v>
      </c>
      <c r="F274" s="88">
        <v>465000000</v>
      </c>
      <c r="G274" s="82">
        <v>10</v>
      </c>
      <c r="H274" s="80">
        <v>10</v>
      </c>
      <c r="I274" s="104" t="s">
        <v>1419</v>
      </c>
      <c r="J274" s="88">
        <v>47000000</v>
      </c>
      <c r="K274" s="88">
        <v>47000000</v>
      </c>
      <c r="L274" s="88">
        <v>0</v>
      </c>
    </row>
    <row r="275" spans="1:12" ht="31.05" customHeight="1" x14ac:dyDescent="0.3">
      <c r="A275" s="85">
        <f>SUBTOTAL(3,$B$267:B275)</f>
        <v>9</v>
      </c>
      <c r="B275" s="86" t="s">
        <v>1082</v>
      </c>
      <c r="C275" s="90" t="s">
        <v>720</v>
      </c>
      <c r="D275" s="87">
        <v>45028</v>
      </c>
      <c r="E275" s="80">
        <v>1</v>
      </c>
      <c r="F275" s="88">
        <v>465000000</v>
      </c>
      <c r="G275" s="82">
        <v>6</v>
      </c>
      <c r="H275" s="80">
        <v>10</v>
      </c>
      <c r="I275" s="104" t="s">
        <v>1419</v>
      </c>
      <c r="J275" s="88">
        <v>78000000</v>
      </c>
      <c r="K275" s="88">
        <v>47000000</v>
      </c>
      <c r="L275" s="88">
        <v>31000000</v>
      </c>
    </row>
    <row r="276" spans="1:12" ht="15.6" x14ac:dyDescent="0.3">
      <c r="A276" s="85">
        <f>SUBTOTAL(3,$B$267:B276)</f>
        <v>10</v>
      </c>
      <c r="B276" s="86" t="s">
        <v>1079</v>
      </c>
      <c r="C276" s="90" t="s">
        <v>717</v>
      </c>
      <c r="D276" s="87">
        <v>44896</v>
      </c>
      <c r="E276" s="80">
        <v>1</v>
      </c>
      <c r="F276" s="88">
        <v>450000000</v>
      </c>
      <c r="G276" s="82">
        <v>5</v>
      </c>
      <c r="H276" s="80">
        <v>10</v>
      </c>
      <c r="I276" s="104" t="s">
        <v>1419</v>
      </c>
      <c r="J276" s="88">
        <v>90000000</v>
      </c>
      <c r="K276" s="88">
        <v>45000000</v>
      </c>
      <c r="L276" s="88">
        <v>45000000</v>
      </c>
    </row>
    <row r="277" spans="1:12" ht="15.6" x14ac:dyDescent="0.3">
      <c r="A277" s="85">
        <f>SUBTOTAL(3,$B$267:B277)</f>
        <v>11</v>
      </c>
      <c r="B277" s="86" t="s">
        <v>1195</v>
      </c>
      <c r="C277" s="90" t="s">
        <v>813</v>
      </c>
      <c r="D277" s="87">
        <v>45627</v>
      </c>
      <c r="E277" s="80">
        <v>1</v>
      </c>
      <c r="F277" s="88">
        <v>341000000</v>
      </c>
      <c r="G277" s="82">
        <v>3</v>
      </c>
      <c r="H277" s="80">
        <v>10</v>
      </c>
      <c r="I277" s="104" t="s">
        <v>1419</v>
      </c>
      <c r="J277" s="88">
        <v>114000000</v>
      </c>
      <c r="K277" s="88">
        <v>34000000</v>
      </c>
      <c r="L277" s="88">
        <v>80000000</v>
      </c>
    </row>
    <row r="278" spans="1:12" ht="15.6" x14ac:dyDescent="0.3">
      <c r="A278" s="85">
        <f>SUBTOTAL(3,$B$267:B278)</f>
        <v>12</v>
      </c>
      <c r="B278" s="86" t="s">
        <v>1191</v>
      </c>
      <c r="C278" s="90" t="s">
        <v>809</v>
      </c>
      <c r="D278" s="87">
        <v>45627</v>
      </c>
      <c r="E278" s="80">
        <v>1</v>
      </c>
      <c r="F278" s="88">
        <v>308000000</v>
      </c>
      <c r="G278" s="82">
        <v>3</v>
      </c>
      <c r="H278" s="80">
        <v>10</v>
      </c>
      <c r="I278" s="104" t="s">
        <v>1419</v>
      </c>
      <c r="J278" s="88">
        <v>103000000</v>
      </c>
      <c r="K278" s="88">
        <v>31000000</v>
      </c>
      <c r="L278" s="88">
        <v>72000000</v>
      </c>
    </row>
    <row r="279" spans="1:12" ht="31.2" x14ac:dyDescent="0.3">
      <c r="A279" s="85">
        <f>SUBTOTAL(3,$B$267:B279)</f>
        <v>13</v>
      </c>
      <c r="B279" s="86" t="s">
        <v>1187</v>
      </c>
      <c r="C279" s="90" t="s">
        <v>805</v>
      </c>
      <c r="D279" s="87">
        <v>45627</v>
      </c>
      <c r="E279" s="80">
        <v>1</v>
      </c>
      <c r="F279" s="88">
        <v>301000000</v>
      </c>
      <c r="G279" s="82">
        <v>3</v>
      </c>
      <c r="H279" s="80">
        <v>10</v>
      </c>
      <c r="I279" s="104" t="s">
        <v>1419</v>
      </c>
      <c r="J279" s="88">
        <v>100000000</v>
      </c>
      <c r="K279" s="88">
        <v>30000000</v>
      </c>
      <c r="L279" s="88">
        <v>70000000</v>
      </c>
    </row>
    <row r="280" spans="1:12" ht="15.6" x14ac:dyDescent="0.3">
      <c r="A280" s="85">
        <f>SUBTOTAL(3,$B$267:B280)</f>
        <v>14</v>
      </c>
      <c r="B280" s="86" t="s">
        <v>1194</v>
      </c>
      <c r="C280" s="90" t="s">
        <v>812</v>
      </c>
      <c r="D280" s="87">
        <v>45627</v>
      </c>
      <c r="E280" s="80">
        <v>1</v>
      </c>
      <c r="F280" s="88">
        <v>300000000</v>
      </c>
      <c r="G280" s="82">
        <v>3</v>
      </c>
      <c r="H280" s="80">
        <v>10</v>
      </c>
      <c r="I280" s="104" t="s">
        <v>1419</v>
      </c>
      <c r="J280" s="88">
        <v>100000000</v>
      </c>
      <c r="K280" s="88">
        <v>30000000</v>
      </c>
      <c r="L280" s="88">
        <v>70000000</v>
      </c>
    </row>
    <row r="281" spans="1:12" ht="15.6" x14ac:dyDescent="0.3">
      <c r="A281" s="85">
        <f>SUBTOTAL(3,$B$267:B281)</f>
        <v>15</v>
      </c>
      <c r="B281" s="86" t="s">
        <v>1192</v>
      </c>
      <c r="C281" s="90" t="s">
        <v>810</v>
      </c>
      <c r="D281" s="87">
        <v>45627</v>
      </c>
      <c r="E281" s="80">
        <v>1</v>
      </c>
      <c r="F281" s="88">
        <v>296000000</v>
      </c>
      <c r="G281" s="82">
        <v>3</v>
      </c>
      <c r="H281" s="80">
        <v>10</v>
      </c>
      <c r="I281" s="104" t="s">
        <v>1419</v>
      </c>
      <c r="J281" s="88">
        <v>99000000</v>
      </c>
      <c r="K281" s="88">
        <v>30000000</v>
      </c>
      <c r="L281" s="88">
        <v>69000000</v>
      </c>
    </row>
    <row r="282" spans="1:12" ht="46.8" x14ac:dyDescent="0.3">
      <c r="A282" s="85">
        <f>SUBTOTAL(3,$B$267:B282)</f>
        <v>16</v>
      </c>
      <c r="B282" s="86" t="s">
        <v>1186</v>
      </c>
      <c r="C282" s="90" t="s">
        <v>804</v>
      </c>
      <c r="D282" s="87">
        <v>45627</v>
      </c>
      <c r="E282" s="80">
        <v>1</v>
      </c>
      <c r="F282" s="88">
        <v>293000000</v>
      </c>
      <c r="G282" s="82">
        <v>3</v>
      </c>
      <c r="H282" s="80">
        <v>10</v>
      </c>
      <c r="I282" s="104" t="s">
        <v>1419</v>
      </c>
      <c r="J282" s="88">
        <v>98000000</v>
      </c>
      <c r="K282" s="88">
        <v>29000000</v>
      </c>
      <c r="L282" s="88">
        <v>68000000</v>
      </c>
    </row>
    <row r="283" spans="1:12" ht="31.2" x14ac:dyDescent="0.3">
      <c r="A283" s="85">
        <f>SUBTOTAL(3,$B$267:B283)</f>
        <v>17</v>
      </c>
      <c r="B283" s="86" t="s">
        <v>1087</v>
      </c>
      <c r="C283" s="90" t="s">
        <v>725</v>
      </c>
      <c r="D283" s="87">
        <v>45748</v>
      </c>
      <c r="E283" s="80">
        <v>2</v>
      </c>
      <c r="F283" s="88">
        <v>290000000</v>
      </c>
      <c r="G283" s="82">
        <v>5</v>
      </c>
      <c r="H283" s="80">
        <v>10</v>
      </c>
      <c r="I283" s="104" t="s">
        <v>1419</v>
      </c>
      <c r="J283" s="88">
        <v>58000000</v>
      </c>
      <c r="K283" s="88">
        <v>29000000</v>
      </c>
      <c r="L283" s="88">
        <v>29000000</v>
      </c>
    </row>
    <row r="284" spans="1:12" ht="31.2" x14ac:dyDescent="0.3">
      <c r="A284" s="85">
        <f>SUBTOTAL(3,$B$267:B284)</f>
        <v>18</v>
      </c>
      <c r="B284" s="86" t="s">
        <v>1189</v>
      </c>
      <c r="C284" s="90" t="s">
        <v>807</v>
      </c>
      <c r="D284" s="87">
        <v>45627</v>
      </c>
      <c r="E284" s="80">
        <v>1</v>
      </c>
      <c r="F284" s="88">
        <v>287000000</v>
      </c>
      <c r="G284" s="82">
        <v>4</v>
      </c>
      <c r="H284" s="80">
        <v>10</v>
      </c>
      <c r="I284" s="104" t="s">
        <v>1419</v>
      </c>
      <c r="J284" s="88">
        <v>72000000</v>
      </c>
      <c r="K284" s="88">
        <v>29000000</v>
      </c>
      <c r="L284" s="88">
        <v>43000000</v>
      </c>
    </row>
    <row r="285" spans="1:12" ht="15.6" x14ac:dyDescent="0.3">
      <c r="A285" s="85">
        <f>SUBTOTAL(3,$B$267:B285)</f>
        <v>19</v>
      </c>
      <c r="B285" s="86" t="s">
        <v>1193</v>
      </c>
      <c r="C285" s="90" t="s">
        <v>811</v>
      </c>
      <c r="D285" s="87">
        <v>45627</v>
      </c>
      <c r="E285" s="80">
        <v>1</v>
      </c>
      <c r="F285" s="88">
        <v>285000000</v>
      </c>
      <c r="G285" s="82">
        <v>3</v>
      </c>
      <c r="H285" s="80">
        <v>10</v>
      </c>
      <c r="I285" s="104" t="s">
        <v>1419</v>
      </c>
      <c r="J285" s="88">
        <v>95000000</v>
      </c>
      <c r="K285" s="88">
        <v>29000000</v>
      </c>
      <c r="L285" s="88">
        <v>67000000</v>
      </c>
    </row>
    <row r="286" spans="1:12" ht="27" customHeight="1" x14ac:dyDescent="0.3">
      <c r="A286" s="85">
        <f>SUBTOTAL(3,$B$267:B286)</f>
        <v>20</v>
      </c>
      <c r="B286" s="86" t="s">
        <v>1096</v>
      </c>
      <c r="C286" s="90" t="s">
        <v>704</v>
      </c>
      <c r="D286" s="87">
        <v>44986</v>
      </c>
      <c r="E286" s="80">
        <v>2</v>
      </c>
      <c r="F286" s="88">
        <v>280000000</v>
      </c>
      <c r="G286" s="82">
        <v>3</v>
      </c>
      <c r="H286" s="80">
        <v>10</v>
      </c>
      <c r="I286" s="104" t="s">
        <v>1419</v>
      </c>
      <c r="J286" s="88">
        <v>93000000</v>
      </c>
      <c r="K286" s="88">
        <v>28000000</v>
      </c>
      <c r="L286" s="88">
        <v>65000000</v>
      </c>
    </row>
    <row r="287" spans="1:12" ht="27" customHeight="1" x14ac:dyDescent="0.3">
      <c r="A287" s="85">
        <f>SUBTOTAL(3,$B$267:B287)</f>
        <v>21</v>
      </c>
      <c r="B287" s="86" t="s">
        <v>1185</v>
      </c>
      <c r="C287" s="90" t="s">
        <v>803</v>
      </c>
      <c r="D287" s="87">
        <v>45627</v>
      </c>
      <c r="E287" s="80">
        <v>1</v>
      </c>
      <c r="F287" s="88">
        <v>211000000</v>
      </c>
      <c r="G287" s="82">
        <v>1</v>
      </c>
      <c r="H287" s="80">
        <v>10</v>
      </c>
      <c r="I287" s="104" t="s">
        <v>1419</v>
      </c>
      <c r="J287" s="88">
        <v>211000000</v>
      </c>
      <c r="K287" s="88">
        <v>21000000</v>
      </c>
      <c r="L287" s="88">
        <v>189000000</v>
      </c>
    </row>
    <row r="288" spans="1:12" ht="30" customHeight="1" x14ac:dyDescent="0.3">
      <c r="A288" s="85">
        <f>SUBTOTAL(3,$B$267:B288)</f>
        <v>22</v>
      </c>
      <c r="B288" s="86" t="s">
        <v>1097</v>
      </c>
      <c r="C288" s="90" t="s">
        <v>705</v>
      </c>
      <c r="D288" s="87">
        <v>44986</v>
      </c>
      <c r="E288" s="80">
        <v>2</v>
      </c>
      <c r="F288" s="88">
        <v>210000000</v>
      </c>
      <c r="G288" s="82">
        <v>3</v>
      </c>
      <c r="H288" s="80">
        <v>10</v>
      </c>
      <c r="I288" s="104" t="s">
        <v>1419</v>
      </c>
      <c r="J288" s="88">
        <v>70000000</v>
      </c>
      <c r="K288" s="88">
        <v>21000000</v>
      </c>
      <c r="L288" s="88">
        <v>49000000</v>
      </c>
    </row>
    <row r="289" spans="1:12" ht="30.6" customHeight="1" x14ac:dyDescent="0.3">
      <c r="A289" s="85">
        <f>SUBTOTAL(3,$B$267:B289)</f>
        <v>23</v>
      </c>
      <c r="B289" s="86" t="s">
        <v>1200</v>
      </c>
      <c r="C289" s="90" t="s">
        <v>818</v>
      </c>
      <c r="D289" s="87">
        <v>45627</v>
      </c>
      <c r="E289" s="80">
        <v>1</v>
      </c>
      <c r="F289" s="88">
        <v>202000000</v>
      </c>
      <c r="G289" s="82">
        <v>2</v>
      </c>
      <c r="H289" s="80">
        <v>10</v>
      </c>
      <c r="I289" s="104" t="s">
        <v>1419</v>
      </c>
      <c r="J289" s="88">
        <v>101000000</v>
      </c>
      <c r="K289" s="88">
        <v>20000000</v>
      </c>
      <c r="L289" s="88">
        <v>81000000</v>
      </c>
    </row>
    <row r="290" spans="1:12" ht="31.2" x14ac:dyDescent="0.3">
      <c r="A290" s="85">
        <f>SUBTOTAL(3,$B$267:B290)</f>
        <v>24</v>
      </c>
      <c r="B290" s="86" t="s">
        <v>1188</v>
      </c>
      <c r="C290" s="90" t="s">
        <v>806</v>
      </c>
      <c r="D290" s="87">
        <v>45627</v>
      </c>
      <c r="E290" s="80">
        <v>1</v>
      </c>
      <c r="F290" s="88">
        <v>178000000</v>
      </c>
      <c r="G290" s="82">
        <v>4</v>
      </c>
      <c r="H290" s="80">
        <v>10</v>
      </c>
      <c r="I290" s="104" t="s">
        <v>1419</v>
      </c>
      <c r="J290" s="88">
        <v>44000000</v>
      </c>
      <c r="K290" s="88">
        <v>18000000</v>
      </c>
      <c r="L290" s="88">
        <v>27000000</v>
      </c>
    </row>
    <row r="291" spans="1:12" ht="15.6" x14ac:dyDescent="0.3">
      <c r="A291" s="85">
        <f>SUBTOTAL(3,$B$267:B291)</f>
        <v>25</v>
      </c>
      <c r="B291" s="86" t="s">
        <v>1196</v>
      </c>
      <c r="C291" s="90" t="s">
        <v>814</v>
      </c>
      <c r="D291" s="87">
        <v>45627</v>
      </c>
      <c r="E291" s="80">
        <v>1</v>
      </c>
      <c r="F291" s="88">
        <v>69000000</v>
      </c>
      <c r="G291" s="82">
        <v>4</v>
      </c>
      <c r="H291" s="80">
        <v>10</v>
      </c>
      <c r="I291" s="104" t="s">
        <v>1419</v>
      </c>
      <c r="J291" s="88">
        <v>17000000</v>
      </c>
      <c r="K291" s="88">
        <v>7000000</v>
      </c>
      <c r="L291" s="88">
        <v>10000000</v>
      </c>
    </row>
    <row r="292" spans="1:12" ht="31.2" x14ac:dyDescent="0.3">
      <c r="A292" s="85">
        <f>SUBTOTAL(3,$B$267:B292)</f>
        <v>26</v>
      </c>
      <c r="B292" s="86" t="s">
        <v>1094</v>
      </c>
      <c r="C292" s="90" t="s">
        <v>732</v>
      </c>
      <c r="D292" s="87">
        <v>45839</v>
      </c>
      <c r="E292" s="80">
        <v>2</v>
      </c>
      <c r="F292" s="88">
        <v>39000000</v>
      </c>
      <c r="G292" s="82">
        <v>3</v>
      </c>
      <c r="H292" s="80">
        <v>10</v>
      </c>
      <c r="I292" s="104" t="s">
        <v>1419</v>
      </c>
      <c r="J292" s="88">
        <v>13000000</v>
      </c>
      <c r="K292" s="88">
        <v>4000000</v>
      </c>
      <c r="L292" s="88">
        <v>9000000</v>
      </c>
    </row>
    <row r="293" spans="1:12" ht="31.2" x14ac:dyDescent="0.3">
      <c r="A293" s="85">
        <f>SUBTOTAL(3,$B$267:B293)</f>
        <v>27</v>
      </c>
      <c r="B293" s="86" t="s">
        <v>1084</v>
      </c>
      <c r="C293" s="90" t="s">
        <v>722</v>
      </c>
      <c r="D293" s="87">
        <v>45444</v>
      </c>
      <c r="E293" s="80">
        <v>1</v>
      </c>
      <c r="F293" s="88">
        <v>38000000</v>
      </c>
      <c r="G293" s="82">
        <v>5</v>
      </c>
      <c r="H293" s="80">
        <v>10</v>
      </c>
      <c r="I293" s="104" t="s">
        <v>1419</v>
      </c>
      <c r="J293" s="88">
        <v>8000000</v>
      </c>
      <c r="K293" s="88">
        <v>4000000</v>
      </c>
      <c r="L293" s="88">
        <v>4000000</v>
      </c>
    </row>
    <row r="294" spans="1:12" ht="31.2" x14ac:dyDescent="0.3">
      <c r="A294" s="85">
        <f>SUBTOTAL(3,$B$267:B294)</f>
        <v>28</v>
      </c>
      <c r="B294" s="86" t="s">
        <v>1085</v>
      </c>
      <c r="C294" s="90" t="s">
        <v>723</v>
      </c>
      <c r="D294" s="87">
        <v>45444</v>
      </c>
      <c r="E294" s="80">
        <v>1</v>
      </c>
      <c r="F294" s="88">
        <v>38000000</v>
      </c>
      <c r="G294" s="82">
        <v>5</v>
      </c>
      <c r="H294" s="80">
        <v>10</v>
      </c>
      <c r="I294" s="104" t="s">
        <v>1419</v>
      </c>
      <c r="J294" s="88">
        <v>8000000</v>
      </c>
      <c r="K294" s="88">
        <v>4000000</v>
      </c>
      <c r="L294" s="88">
        <v>4000000</v>
      </c>
    </row>
    <row r="295" spans="1:12" ht="31.2" x14ac:dyDescent="0.3">
      <c r="A295" s="85">
        <f>SUBTOTAL(3,$B$267:B295)</f>
        <v>29</v>
      </c>
      <c r="B295" s="86" t="s">
        <v>1089</v>
      </c>
      <c r="C295" s="90" t="s">
        <v>727</v>
      </c>
      <c r="D295" s="87">
        <v>45748</v>
      </c>
      <c r="E295" s="80">
        <v>2</v>
      </c>
      <c r="F295" s="88">
        <v>38000000</v>
      </c>
      <c r="G295" s="82">
        <v>5</v>
      </c>
      <c r="H295" s="80">
        <v>10</v>
      </c>
      <c r="I295" s="104" t="s">
        <v>1419</v>
      </c>
      <c r="J295" s="88">
        <v>8000000</v>
      </c>
      <c r="K295" s="88">
        <v>4000000</v>
      </c>
      <c r="L295" s="88">
        <v>4000000</v>
      </c>
    </row>
    <row r="296" spans="1:12" ht="31.2" x14ac:dyDescent="0.3">
      <c r="A296" s="85">
        <f>SUBTOTAL(3,$B$267:B296)</f>
        <v>30</v>
      </c>
      <c r="B296" s="86" t="s">
        <v>1090</v>
      </c>
      <c r="C296" s="90" t="s">
        <v>728</v>
      </c>
      <c r="D296" s="87">
        <v>45778</v>
      </c>
      <c r="E296" s="80">
        <v>2</v>
      </c>
      <c r="F296" s="88">
        <v>38000000</v>
      </c>
      <c r="G296" s="82">
        <v>3</v>
      </c>
      <c r="H296" s="80">
        <v>10</v>
      </c>
      <c r="I296" s="104" t="s">
        <v>1419</v>
      </c>
      <c r="J296" s="88">
        <v>13000000</v>
      </c>
      <c r="K296" s="88">
        <v>4000000</v>
      </c>
      <c r="L296" s="88">
        <v>9000000</v>
      </c>
    </row>
    <row r="297" spans="1:12" ht="31.2" x14ac:dyDescent="0.3">
      <c r="A297" s="85">
        <f>SUBTOTAL(3,$B$267:B297)</f>
        <v>31</v>
      </c>
      <c r="B297" s="86" t="s">
        <v>1091</v>
      </c>
      <c r="C297" s="90" t="s">
        <v>729</v>
      </c>
      <c r="D297" s="87">
        <v>45778</v>
      </c>
      <c r="E297" s="80">
        <v>2</v>
      </c>
      <c r="F297" s="88">
        <v>38000000</v>
      </c>
      <c r="G297" s="82">
        <v>3</v>
      </c>
      <c r="H297" s="80">
        <v>10</v>
      </c>
      <c r="I297" s="104" t="s">
        <v>1419</v>
      </c>
      <c r="J297" s="88">
        <v>13000000</v>
      </c>
      <c r="K297" s="88">
        <v>4000000</v>
      </c>
      <c r="L297" s="88">
        <v>9000000</v>
      </c>
    </row>
    <row r="298" spans="1:12" ht="31.2" x14ac:dyDescent="0.3">
      <c r="A298" s="85">
        <f>SUBTOTAL(3,$B$267:B298)</f>
        <v>32</v>
      </c>
      <c r="B298" s="86" t="s">
        <v>1092</v>
      </c>
      <c r="C298" s="90" t="s">
        <v>730</v>
      </c>
      <c r="D298" s="87">
        <v>45839</v>
      </c>
      <c r="E298" s="80">
        <v>2</v>
      </c>
      <c r="F298" s="88">
        <v>38000000</v>
      </c>
      <c r="G298" s="82">
        <v>3</v>
      </c>
      <c r="H298" s="80">
        <v>10</v>
      </c>
      <c r="I298" s="104" t="s">
        <v>1419</v>
      </c>
      <c r="J298" s="88">
        <v>13000000</v>
      </c>
      <c r="K298" s="88">
        <v>4000000</v>
      </c>
      <c r="L298" s="88">
        <v>9000000</v>
      </c>
    </row>
    <row r="299" spans="1:12" ht="31.2" x14ac:dyDescent="0.3">
      <c r="A299" s="85">
        <f>SUBTOTAL(3,$B$267:B299)</f>
        <v>33</v>
      </c>
      <c r="B299" s="86" t="s">
        <v>1093</v>
      </c>
      <c r="C299" s="90" t="s">
        <v>731</v>
      </c>
      <c r="D299" s="87">
        <v>45839</v>
      </c>
      <c r="E299" s="80">
        <v>2</v>
      </c>
      <c r="F299" s="88">
        <v>38000000</v>
      </c>
      <c r="G299" s="82">
        <v>3</v>
      </c>
      <c r="H299" s="80">
        <v>10</v>
      </c>
      <c r="I299" s="104" t="s">
        <v>1419</v>
      </c>
      <c r="J299" s="88">
        <v>13000000</v>
      </c>
      <c r="K299" s="88">
        <v>4000000</v>
      </c>
      <c r="L299" s="88">
        <v>9000000</v>
      </c>
    </row>
    <row r="300" spans="1:12" ht="31.2" x14ac:dyDescent="0.3">
      <c r="A300" s="85">
        <f>SUBTOTAL(3,$B$267:B300)</f>
        <v>34</v>
      </c>
      <c r="B300" s="86" t="s">
        <v>1197</v>
      </c>
      <c r="C300" s="90" t="s">
        <v>815</v>
      </c>
      <c r="D300" s="87">
        <v>45627</v>
      </c>
      <c r="E300" s="80">
        <v>1</v>
      </c>
      <c r="F300" s="88">
        <v>35000000</v>
      </c>
      <c r="G300" s="82">
        <v>5</v>
      </c>
      <c r="H300" s="80">
        <v>10</v>
      </c>
      <c r="I300" s="104" t="s">
        <v>1419</v>
      </c>
      <c r="J300" s="88">
        <v>7000000</v>
      </c>
      <c r="K300" s="88">
        <v>4000000</v>
      </c>
      <c r="L300" s="88">
        <v>4000000</v>
      </c>
    </row>
    <row r="301" spans="1:12" ht="31.2" x14ac:dyDescent="0.3">
      <c r="A301" s="85">
        <f>SUBTOTAL(3,$B$267:B301)</f>
        <v>35</v>
      </c>
      <c r="B301" s="86" t="s">
        <v>1198</v>
      </c>
      <c r="C301" s="90" t="s">
        <v>816</v>
      </c>
      <c r="D301" s="87">
        <v>45627</v>
      </c>
      <c r="E301" s="80">
        <v>1</v>
      </c>
      <c r="F301" s="88">
        <v>35000000</v>
      </c>
      <c r="G301" s="82">
        <v>5</v>
      </c>
      <c r="H301" s="80">
        <v>10</v>
      </c>
      <c r="I301" s="104" t="s">
        <v>1419</v>
      </c>
      <c r="J301" s="88">
        <v>7000000</v>
      </c>
      <c r="K301" s="88">
        <v>4000000</v>
      </c>
      <c r="L301" s="88">
        <v>4000000</v>
      </c>
    </row>
    <row r="302" spans="1:12" ht="35.549999999999997" customHeight="1" x14ac:dyDescent="0.3">
      <c r="A302" s="85">
        <f>SUBTOTAL(3,$B$267:B302)</f>
        <v>36</v>
      </c>
      <c r="B302" s="86" t="s">
        <v>1199</v>
      </c>
      <c r="C302" s="90" t="s">
        <v>817</v>
      </c>
      <c r="D302" s="87">
        <v>45627</v>
      </c>
      <c r="E302" s="80">
        <v>1</v>
      </c>
      <c r="F302" s="88">
        <v>35000000</v>
      </c>
      <c r="G302" s="82">
        <v>4</v>
      </c>
      <c r="H302" s="80">
        <v>10</v>
      </c>
      <c r="I302" s="104" t="s">
        <v>1419</v>
      </c>
      <c r="J302" s="88">
        <v>9000000</v>
      </c>
      <c r="K302" s="88">
        <v>3000000</v>
      </c>
      <c r="L302" s="88">
        <v>5000000</v>
      </c>
    </row>
    <row r="303" spans="1:12" ht="48.6" x14ac:dyDescent="0.3">
      <c r="A303" s="76" t="s">
        <v>1501</v>
      </c>
      <c r="B303" s="108"/>
      <c r="C303" s="110" t="s">
        <v>1434</v>
      </c>
      <c r="D303" s="87"/>
      <c r="E303" s="80"/>
      <c r="F303" s="81"/>
      <c r="G303" s="83"/>
      <c r="H303" s="80"/>
      <c r="I303" s="83"/>
      <c r="J303" s="88"/>
      <c r="K303" s="88"/>
      <c r="L303" s="88"/>
    </row>
    <row r="304" spans="1:12" ht="15.6" x14ac:dyDescent="0.3">
      <c r="A304" s="85">
        <f>SUBTOTAL(3,$B$304:B304)</f>
        <v>1</v>
      </c>
      <c r="B304" s="86" t="s">
        <v>1156</v>
      </c>
      <c r="C304" s="90" t="s">
        <v>752</v>
      </c>
      <c r="D304" s="87">
        <v>45170</v>
      </c>
      <c r="E304" s="80">
        <v>1</v>
      </c>
      <c r="F304" s="88">
        <v>262000000</v>
      </c>
      <c r="G304" s="82">
        <v>5</v>
      </c>
      <c r="H304" s="80">
        <v>25</v>
      </c>
      <c r="I304" s="83" t="s">
        <v>1436</v>
      </c>
      <c r="J304" s="88">
        <v>52000000</v>
      </c>
      <c r="K304" s="88">
        <v>10000000</v>
      </c>
      <c r="L304" s="88">
        <v>42000000</v>
      </c>
    </row>
    <row r="305" spans="1:12" ht="15.6" x14ac:dyDescent="0.3">
      <c r="A305" s="85">
        <f>SUBTOTAL(3,$B$304:B305)</f>
        <v>2</v>
      </c>
      <c r="B305" s="86" t="s">
        <v>1133</v>
      </c>
      <c r="C305" s="90" t="s">
        <v>760</v>
      </c>
      <c r="D305" s="87">
        <v>45108</v>
      </c>
      <c r="E305" s="80">
        <v>1</v>
      </c>
      <c r="F305" s="88">
        <v>102000000</v>
      </c>
      <c r="G305" s="82">
        <v>3</v>
      </c>
      <c r="H305" s="80">
        <v>25</v>
      </c>
      <c r="I305" s="83" t="s">
        <v>1436</v>
      </c>
      <c r="J305" s="88">
        <v>34000000</v>
      </c>
      <c r="K305" s="88">
        <v>4000000</v>
      </c>
      <c r="L305" s="88">
        <v>30000000</v>
      </c>
    </row>
    <row r="306" spans="1:12" ht="32.4" x14ac:dyDescent="0.3">
      <c r="A306" s="76" t="s">
        <v>1502</v>
      </c>
      <c r="B306" s="108"/>
      <c r="C306" s="110" t="s">
        <v>1503</v>
      </c>
      <c r="D306" s="87"/>
      <c r="E306" s="80"/>
      <c r="F306" s="81"/>
      <c r="G306" s="84"/>
      <c r="H306" s="80"/>
      <c r="I306" s="155"/>
      <c r="J306" s="88"/>
      <c r="K306" s="88"/>
      <c r="L306" s="88"/>
    </row>
    <row r="307" spans="1:12" ht="15.6" x14ac:dyDescent="0.3">
      <c r="A307" s="85">
        <v>1</v>
      </c>
      <c r="B307" s="86" t="s">
        <v>915</v>
      </c>
      <c r="C307" s="149" t="s">
        <v>677</v>
      </c>
      <c r="D307" s="87">
        <v>45383</v>
      </c>
      <c r="E307" s="80">
        <v>1</v>
      </c>
      <c r="F307" s="88">
        <v>6912000000</v>
      </c>
      <c r="G307" s="82">
        <v>10</v>
      </c>
      <c r="H307" s="101">
        <v>15</v>
      </c>
      <c r="I307" s="155" t="s">
        <v>1504</v>
      </c>
      <c r="J307" s="88">
        <v>691000000</v>
      </c>
      <c r="K307" s="88">
        <v>576000000</v>
      </c>
      <c r="L307" s="88">
        <v>115000000</v>
      </c>
    </row>
    <row r="308" spans="1:12" ht="15.6" x14ac:dyDescent="0.3">
      <c r="A308" s="85">
        <v>2</v>
      </c>
      <c r="B308" s="86" t="s">
        <v>1175</v>
      </c>
      <c r="C308" s="149" t="s">
        <v>783</v>
      </c>
      <c r="D308" s="87">
        <v>45627</v>
      </c>
      <c r="E308" s="80">
        <v>1</v>
      </c>
      <c r="F308" s="88">
        <v>2563000000</v>
      </c>
      <c r="G308" s="82">
        <v>7</v>
      </c>
      <c r="H308" s="101">
        <v>15</v>
      </c>
      <c r="I308" s="155" t="s">
        <v>1504</v>
      </c>
      <c r="J308" s="88">
        <v>366000000</v>
      </c>
      <c r="K308" s="88">
        <v>214000000</v>
      </c>
      <c r="L308" s="88">
        <v>153000000</v>
      </c>
    </row>
    <row r="309" spans="1:12" ht="15.6" x14ac:dyDescent="0.3">
      <c r="A309" s="85">
        <v>3</v>
      </c>
      <c r="B309" s="86" t="s">
        <v>905</v>
      </c>
      <c r="C309" s="149" t="s">
        <v>667</v>
      </c>
      <c r="D309" s="87">
        <v>45231</v>
      </c>
      <c r="E309" s="80">
        <v>1</v>
      </c>
      <c r="F309" s="88">
        <v>1783000000</v>
      </c>
      <c r="G309" s="82">
        <v>10</v>
      </c>
      <c r="H309" s="101">
        <v>15</v>
      </c>
      <c r="I309" s="155" t="s">
        <v>1504</v>
      </c>
      <c r="J309" s="88">
        <v>178000000</v>
      </c>
      <c r="K309" s="88">
        <v>149000000</v>
      </c>
      <c r="L309" s="88">
        <v>30000000</v>
      </c>
    </row>
    <row r="310" spans="1:12" ht="16.2" x14ac:dyDescent="0.3">
      <c r="A310" s="92" t="s">
        <v>1437</v>
      </c>
      <c r="B310" s="93"/>
      <c r="C310" s="153" t="s">
        <v>1450</v>
      </c>
      <c r="D310" s="95"/>
      <c r="E310" s="96"/>
      <c r="F310" s="97"/>
      <c r="G310" s="98"/>
      <c r="H310" s="99"/>
      <c r="I310" s="98"/>
      <c r="J310" s="154"/>
      <c r="K310" s="154"/>
      <c r="L310" s="154"/>
    </row>
    <row r="311" spans="1:12" ht="31.2" x14ac:dyDescent="0.3">
      <c r="A311" s="76" t="s">
        <v>1439</v>
      </c>
      <c r="B311" s="77"/>
      <c r="C311" s="91" t="s">
        <v>1455</v>
      </c>
      <c r="D311" s="79"/>
      <c r="E311" s="80"/>
      <c r="F311" s="81"/>
      <c r="G311" s="82"/>
      <c r="H311" s="80"/>
      <c r="I311" s="83"/>
      <c r="J311" s="88"/>
      <c r="K311" s="88"/>
      <c r="L311" s="88"/>
    </row>
    <row r="312" spans="1:12" ht="28.05" customHeight="1" x14ac:dyDescent="0.3">
      <c r="A312" s="85">
        <f>SUBTOTAL(3,$B$312:B312)</f>
        <v>1</v>
      </c>
      <c r="B312" s="86" t="s">
        <v>1122</v>
      </c>
      <c r="C312" s="90" t="s">
        <v>737</v>
      </c>
      <c r="D312" s="87">
        <v>45627</v>
      </c>
      <c r="E312" s="80">
        <v>1</v>
      </c>
      <c r="F312" s="88">
        <v>351000000</v>
      </c>
      <c r="G312" s="82">
        <v>3</v>
      </c>
      <c r="H312" s="80">
        <v>10</v>
      </c>
      <c r="I312" s="83" t="s">
        <v>1392</v>
      </c>
      <c r="J312" s="88">
        <v>117000000</v>
      </c>
      <c r="K312" s="88">
        <v>35000000</v>
      </c>
      <c r="L312" s="88">
        <v>82000000</v>
      </c>
    </row>
    <row r="313" spans="1:12" ht="15.6" x14ac:dyDescent="0.3">
      <c r="A313" s="85">
        <f>SUBTOTAL(3,$B$312:B313)</f>
        <v>2</v>
      </c>
      <c r="B313" s="86" t="s">
        <v>1121</v>
      </c>
      <c r="C313" s="90" t="s">
        <v>736</v>
      </c>
      <c r="D313" s="87">
        <v>45627</v>
      </c>
      <c r="E313" s="80">
        <v>1</v>
      </c>
      <c r="F313" s="88">
        <v>261000000</v>
      </c>
      <c r="G313" s="82">
        <v>3</v>
      </c>
      <c r="H313" s="80">
        <v>10</v>
      </c>
      <c r="I313" s="83" t="s">
        <v>1392</v>
      </c>
      <c r="J313" s="88">
        <v>87000000</v>
      </c>
      <c r="K313" s="88">
        <v>26000000</v>
      </c>
      <c r="L313" s="88">
        <v>61000000</v>
      </c>
    </row>
    <row r="314" spans="1:12" ht="31.5" customHeight="1" x14ac:dyDescent="0.3">
      <c r="A314" s="85">
        <f>SUBTOTAL(3,$B$312:B314)</f>
        <v>3</v>
      </c>
      <c r="B314" s="86" t="s">
        <v>1105</v>
      </c>
      <c r="C314" s="90" t="s">
        <v>746</v>
      </c>
      <c r="D314" s="87">
        <v>45901</v>
      </c>
      <c r="E314" s="80">
        <v>1</v>
      </c>
      <c r="F314" s="88">
        <v>162000000</v>
      </c>
      <c r="G314" s="82">
        <v>5</v>
      </c>
      <c r="H314" s="80">
        <v>10</v>
      </c>
      <c r="I314" s="83" t="s">
        <v>1392</v>
      </c>
      <c r="J314" s="88">
        <v>32000000</v>
      </c>
      <c r="K314" s="88">
        <v>16000000</v>
      </c>
      <c r="L314" s="88">
        <v>16000000</v>
      </c>
    </row>
    <row r="315" spans="1:12" ht="15.6" x14ac:dyDescent="0.3">
      <c r="A315" s="85">
        <f>SUBTOTAL(3,$B$312:B315)</f>
        <v>4</v>
      </c>
      <c r="B315" s="86" t="s">
        <v>1086</v>
      </c>
      <c r="C315" s="149" t="s">
        <v>724</v>
      </c>
      <c r="D315" s="87">
        <v>45627</v>
      </c>
      <c r="E315" s="80">
        <v>1</v>
      </c>
      <c r="F315" s="88">
        <v>117000000</v>
      </c>
      <c r="G315" s="82">
        <v>5</v>
      </c>
      <c r="H315" s="80">
        <v>10</v>
      </c>
      <c r="I315" s="83" t="s">
        <v>1392</v>
      </c>
      <c r="J315" s="88">
        <v>23000000</v>
      </c>
      <c r="K315" s="88">
        <v>12000000</v>
      </c>
      <c r="L315" s="88">
        <v>12000000</v>
      </c>
    </row>
    <row r="316" spans="1:12" ht="15.6" x14ac:dyDescent="0.3">
      <c r="A316" s="85">
        <f>SUBTOTAL(3,$B$312:B316)</f>
        <v>5</v>
      </c>
      <c r="B316" s="86" t="s">
        <v>1101</v>
      </c>
      <c r="C316" s="90" t="s">
        <v>742</v>
      </c>
      <c r="D316" s="87">
        <v>45231</v>
      </c>
      <c r="E316" s="80">
        <v>1</v>
      </c>
      <c r="F316" s="88">
        <v>111000000</v>
      </c>
      <c r="G316" s="82">
        <v>5</v>
      </c>
      <c r="H316" s="80">
        <v>10</v>
      </c>
      <c r="I316" s="83" t="s">
        <v>1392</v>
      </c>
      <c r="J316" s="88">
        <v>22000000</v>
      </c>
      <c r="K316" s="88">
        <v>11000000</v>
      </c>
      <c r="L316" s="88">
        <v>11000000</v>
      </c>
    </row>
    <row r="317" spans="1:12" ht="31.2" x14ac:dyDescent="0.3">
      <c r="A317" s="85">
        <f>SUBTOTAL(3,$B$312:B317)</f>
        <v>6</v>
      </c>
      <c r="B317" s="86" t="s">
        <v>1103</v>
      </c>
      <c r="C317" s="90" t="s">
        <v>744</v>
      </c>
      <c r="D317" s="87">
        <v>45627</v>
      </c>
      <c r="E317" s="80">
        <v>1</v>
      </c>
      <c r="F317" s="88">
        <v>85000000</v>
      </c>
      <c r="G317" s="82">
        <v>3</v>
      </c>
      <c r="H317" s="80">
        <v>10</v>
      </c>
      <c r="I317" s="83" t="s">
        <v>1392</v>
      </c>
      <c r="J317" s="88">
        <v>28000000</v>
      </c>
      <c r="K317" s="88">
        <v>9000000</v>
      </c>
      <c r="L317" s="88">
        <v>20000000</v>
      </c>
    </row>
    <row r="318" spans="1:12" ht="33.6" customHeight="1" x14ac:dyDescent="0.3">
      <c r="A318" s="85">
        <f>SUBTOTAL(3,$B$312:B318)</f>
        <v>7</v>
      </c>
      <c r="B318" s="86" t="s">
        <v>1125</v>
      </c>
      <c r="C318" s="90" t="s">
        <v>740</v>
      </c>
      <c r="D318" s="87">
        <v>45931</v>
      </c>
      <c r="E318" s="80">
        <v>1</v>
      </c>
      <c r="F318" s="88">
        <v>77000000</v>
      </c>
      <c r="G318" s="82">
        <v>5</v>
      </c>
      <c r="H318" s="80">
        <v>10</v>
      </c>
      <c r="I318" s="83" t="s">
        <v>1392</v>
      </c>
      <c r="J318" s="88">
        <v>15000000</v>
      </c>
      <c r="K318" s="88">
        <v>8000000</v>
      </c>
      <c r="L318" s="88">
        <v>8000000</v>
      </c>
    </row>
    <row r="319" spans="1:12" ht="15.6" x14ac:dyDescent="0.3">
      <c r="A319" s="85">
        <f>SUBTOTAL(3,$B$312:B319)</f>
        <v>8</v>
      </c>
      <c r="B319" s="86" t="s">
        <v>1088</v>
      </c>
      <c r="C319" s="149" t="s">
        <v>726</v>
      </c>
      <c r="D319" s="87">
        <v>45839</v>
      </c>
      <c r="E319" s="80">
        <v>1</v>
      </c>
      <c r="F319" s="88">
        <v>71000000</v>
      </c>
      <c r="G319" s="82">
        <v>6</v>
      </c>
      <c r="H319" s="80">
        <v>10</v>
      </c>
      <c r="I319" s="83" t="s">
        <v>1392</v>
      </c>
      <c r="J319" s="88">
        <v>12000000</v>
      </c>
      <c r="K319" s="88">
        <v>7000000</v>
      </c>
      <c r="L319" s="88">
        <v>5000000</v>
      </c>
    </row>
    <row r="320" spans="1:12" ht="31.2" x14ac:dyDescent="0.3">
      <c r="A320" s="85">
        <f>SUBTOTAL(3,$B$312:B320)</f>
        <v>9</v>
      </c>
      <c r="B320" s="86" t="s">
        <v>1146</v>
      </c>
      <c r="C320" s="149" t="s">
        <v>773</v>
      </c>
      <c r="D320" s="87">
        <v>45658</v>
      </c>
      <c r="E320" s="80">
        <v>2</v>
      </c>
      <c r="F320" s="88">
        <v>60000000</v>
      </c>
      <c r="G320" s="82">
        <v>3</v>
      </c>
      <c r="H320" s="80">
        <v>10</v>
      </c>
      <c r="I320" s="83" t="s">
        <v>1392</v>
      </c>
      <c r="J320" s="88">
        <v>20000000</v>
      </c>
      <c r="K320" s="88">
        <v>2000000</v>
      </c>
      <c r="L320" s="88">
        <v>18000000</v>
      </c>
    </row>
    <row r="321" spans="1:12" ht="31.2" x14ac:dyDescent="0.3">
      <c r="A321" s="85">
        <f>SUBTOTAL(3,$B$312:B321)</f>
        <v>10</v>
      </c>
      <c r="B321" s="86" t="s">
        <v>1098</v>
      </c>
      <c r="C321" s="90" t="s">
        <v>741</v>
      </c>
      <c r="D321" s="87">
        <v>44515</v>
      </c>
      <c r="E321" s="80">
        <v>1</v>
      </c>
      <c r="F321" s="88">
        <v>53000000</v>
      </c>
      <c r="G321" s="82">
        <v>5</v>
      </c>
      <c r="H321" s="80">
        <v>10</v>
      </c>
      <c r="I321" s="83" t="s">
        <v>1392</v>
      </c>
      <c r="J321" s="88">
        <v>11000000</v>
      </c>
      <c r="K321" s="88">
        <v>5000000</v>
      </c>
      <c r="L321" s="88">
        <v>5000000</v>
      </c>
    </row>
    <row r="322" spans="1:12" ht="34.5" customHeight="1" x14ac:dyDescent="0.3">
      <c r="A322" s="85">
        <f>SUBTOTAL(3,$B$312:B322)</f>
        <v>11</v>
      </c>
      <c r="B322" s="86" t="s">
        <v>1102</v>
      </c>
      <c r="C322" s="90" t="s">
        <v>743</v>
      </c>
      <c r="D322" s="87">
        <v>45566</v>
      </c>
      <c r="E322" s="80">
        <v>1</v>
      </c>
      <c r="F322" s="88">
        <v>49000000</v>
      </c>
      <c r="G322" s="82">
        <v>3</v>
      </c>
      <c r="H322" s="80">
        <v>10</v>
      </c>
      <c r="I322" s="83" t="s">
        <v>1392</v>
      </c>
      <c r="J322" s="88">
        <v>16000000</v>
      </c>
      <c r="K322" s="88">
        <v>5000000</v>
      </c>
      <c r="L322" s="88">
        <v>11000000</v>
      </c>
    </row>
    <row r="323" spans="1:12" ht="31.2" x14ac:dyDescent="0.3">
      <c r="A323" s="85">
        <f>SUBTOTAL(3,$B$312:B323)</f>
        <v>12</v>
      </c>
      <c r="B323" s="86" t="s">
        <v>1124</v>
      </c>
      <c r="C323" s="90" t="s">
        <v>739</v>
      </c>
      <c r="D323" s="87">
        <v>45870</v>
      </c>
      <c r="E323" s="80">
        <v>1</v>
      </c>
      <c r="F323" s="88">
        <v>48000000</v>
      </c>
      <c r="G323" s="82">
        <v>5</v>
      </c>
      <c r="H323" s="80">
        <v>10</v>
      </c>
      <c r="I323" s="83" t="s">
        <v>1392</v>
      </c>
      <c r="J323" s="88">
        <v>10000000</v>
      </c>
      <c r="K323" s="88">
        <v>5000000</v>
      </c>
      <c r="L323" s="88">
        <v>5000000</v>
      </c>
    </row>
    <row r="324" spans="1:12" ht="31.2" x14ac:dyDescent="0.3">
      <c r="A324" s="85">
        <f>SUBTOTAL(3,$B$312:B324)</f>
        <v>13</v>
      </c>
      <c r="B324" s="86" t="s">
        <v>1114</v>
      </c>
      <c r="C324" s="90" t="s">
        <v>733</v>
      </c>
      <c r="D324" s="87">
        <v>44699</v>
      </c>
      <c r="E324" s="80">
        <v>1</v>
      </c>
      <c r="F324" s="88">
        <v>36000000</v>
      </c>
      <c r="G324" s="82">
        <v>5</v>
      </c>
      <c r="H324" s="80">
        <v>10</v>
      </c>
      <c r="I324" s="83" t="s">
        <v>1392</v>
      </c>
      <c r="J324" s="88">
        <v>7000000</v>
      </c>
      <c r="K324" s="88">
        <v>4000000</v>
      </c>
      <c r="L324" s="88">
        <v>4000000</v>
      </c>
    </row>
    <row r="325" spans="1:12" ht="38.549999999999997" customHeight="1" x14ac:dyDescent="0.3">
      <c r="A325" s="85">
        <f>SUBTOTAL(3,$B$312:B325)</f>
        <v>14</v>
      </c>
      <c r="B325" s="86" t="s">
        <v>1120</v>
      </c>
      <c r="C325" s="90" t="s">
        <v>735</v>
      </c>
      <c r="D325" s="87">
        <v>45748</v>
      </c>
      <c r="E325" s="80">
        <v>1</v>
      </c>
      <c r="F325" s="88">
        <v>35000000</v>
      </c>
      <c r="G325" s="82">
        <v>5</v>
      </c>
      <c r="H325" s="80">
        <v>10</v>
      </c>
      <c r="I325" s="83" t="s">
        <v>1392</v>
      </c>
      <c r="J325" s="88">
        <v>7000000</v>
      </c>
      <c r="K325" s="88">
        <v>3000000</v>
      </c>
      <c r="L325" s="88">
        <v>3000000</v>
      </c>
    </row>
    <row r="326" spans="1:12" ht="46.8" x14ac:dyDescent="0.3">
      <c r="A326" s="85">
        <f>SUBTOTAL(3,$B$312:B326)</f>
        <v>15</v>
      </c>
      <c r="B326" s="86" t="s">
        <v>1104</v>
      </c>
      <c r="C326" s="90" t="s">
        <v>745</v>
      </c>
      <c r="D326" s="87">
        <v>45689</v>
      </c>
      <c r="E326" s="80">
        <v>3</v>
      </c>
      <c r="F326" s="88">
        <v>34000000</v>
      </c>
      <c r="G326" s="82">
        <v>5</v>
      </c>
      <c r="H326" s="80">
        <v>10</v>
      </c>
      <c r="I326" s="83" t="s">
        <v>1392</v>
      </c>
      <c r="J326" s="88">
        <v>7000000</v>
      </c>
      <c r="K326" s="88">
        <v>3000000</v>
      </c>
      <c r="L326" s="88">
        <v>3000000</v>
      </c>
    </row>
    <row r="327" spans="1:12" ht="31.2" x14ac:dyDescent="0.3">
      <c r="A327" s="85">
        <f>SUBTOTAL(3,$B$312:B327)</f>
        <v>16</v>
      </c>
      <c r="B327" s="86" t="s">
        <v>1123</v>
      </c>
      <c r="C327" s="90" t="s">
        <v>738</v>
      </c>
      <c r="D327" s="87">
        <v>45901</v>
      </c>
      <c r="E327" s="80">
        <v>1</v>
      </c>
      <c r="F327" s="88">
        <v>33000000</v>
      </c>
      <c r="G327" s="82">
        <v>5</v>
      </c>
      <c r="H327" s="80">
        <v>10</v>
      </c>
      <c r="I327" s="83" t="s">
        <v>1392</v>
      </c>
      <c r="J327" s="88">
        <v>7000000</v>
      </c>
      <c r="K327" s="88">
        <v>3000000</v>
      </c>
      <c r="L327" s="88">
        <v>3000000</v>
      </c>
    </row>
    <row r="328" spans="1:12" ht="31.2" x14ac:dyDescent="0.3">
      <c r="A328" s="85">
        <f>SUBTOTAL(3,$B$312:B328)</f>
        <v>17</v>
      </c>
      <c r="B328" s="86" t="s">
        <v>1150</v>
      </c>
      <c r="C328" s="149" t="s">
        <v>777</v>
      </c>
      <c r="D328" s="87">
        <v>45778</v>
      </c>
      <c r="E328" s="80">
        <v>1</v>
      </c>
      <c r="F328" s="88">
        <v>31000000</v>
      </c>
      <c r="G328" s="82">
        <v>3</v>
      </c>
      <c r="H328" s="80">
        <v>10</v>
      </c>
      <c r="I328" s="83" t="s">
        <v>1392</v>
      </c>
      <c r="J328" s="88">
        <v>10000000</v>
      </c>
      <c r="K328" s="88">
        <v>1000000</v>
      </c>
      <c r="L328" s="88">
        <v>9000000</v>
      </c>
    </row>
    <row r="329" spans="1:12" ht="46.8" x14ac:dyDescent="0.3">
      <c r="A329" s="76" t="s">
        <v>1443</v>
      </c>
      <c r="B329" s="77"/>
      <c r="C329" s="91" t="s">
        <v>1457</v>
      </c>
      <c r="D329" s="87"/>
      <c r="E329" s="80"/>
      <c r="F329" s="81"/>
      <c r="G329" s="82"/>
      <c r="H329" s="80"/>
      <c r="I329" s="83"/>
      <c r="J329" s="88"/>
      <c r="K329" s="88"/>
      <c r="L329" s="88"/>
    </row>
    <row r="330" spans="1:12" ht="15.6" x14ac:dyDescent="0.3">
      <c r="A330" s="85">
        <f>SUBTOTAL(3,$B330:B$330)</f>
        <v>1</v>
      </c>
      <c r="B330" s="86" t="s">
        <v>1206</v>
      </c>
      <c r="C330" s="90" t="s">
        <v>821</v>
      </c>
      <c r="D330" s="87">
        <v>45931</v>
      </c>
      <c r="E330" s="80">
        <v>1</v>
      </c>
      <c r="F330" s="88">
        <v>1938000000</v>
      </c>
      <c r="G330" s="82">
        <v>4</v>
      </c>
      <c r="H330" s="80">
        <v>8</v>
      </c>
      <c r="I330" s="83" t="s">
        <v>1391</v>
      </c>
      <c r="J330" s="88">
        <v>485000000</v>
      </c>
      <c r="K330" s="88">
        <v>242000000</v>
      </c>
      <c r="L330" s="88">
        <v>242000000</v>
      </c>
    </row>
    <row r="331" spans="1:12" ht="31.2" x14ac:dyDescent="0.3">
      <c r="A331" s="85">
        <f>SUBTOTAL(3,$B$330:B331)</f>
        <v>2</v>
      </c>
      <c r="B331" s="86" t="s">
        <v>1214</v>
      </c>
      <c r="C331" s="149" t="s">
        <v>825</v>
      </c>
      <c r="D331" s="87">
        <v>44819</v>
      </c>
      <c r="E331" s="80">
        <v>1</v>
      </c>
      <c r="F331" s="88">
        <v>987000000</v>
      </c>
      <c r="G331" s="82">
        <v>8</v>
      </c>
      <c r="H331" s="117">
        <v>8</v>
      </c>
      <c r="I331" s="83" t="s">
        <v>1391</v>
      </c>
      <c r="J331" s="88">
        <v>123000000</v>
      </c>
      <c r="K331" s="88">
        <v>49000000</v>
      </c>
      <c r="L331" s="88">
        <v>74000000</v>
      </c>
    </row>
    <row r="332" spans="1:12" ht="15.6" x14ac:dyDescent="0.3">
      <c r="A332" s="85">
        <f>SUBTOTAL(3,$B$330:B332)</f>
        <v>3</v>
      </c>
      <c r="B332" s="86" t="s">
        <v>1216</v>
      </c>
      <c r="C332" s="149" t="s">
        <v>827</v>
      </c>
      <c r="D332" s="87">
        <v>45658</v>
      </c>
      <c r="E332" s="80">
        <v>2</v>
      </c>
      <c r="F332" s="88">
        <v>529000000</v>
      </c>
      <c r="G332" s="82">
        <v>3</v>
      </c>
      <c r="H332" s="117">
        <v>8</v>
      </c>
      <c r="I332" s="83" t="s">
        <v>1391</v>
      </c>
      <c r="J332" s="88">
        <v>176000000</v>
      </c>
      <c r="K332" s="88">
        <v>26000000</v>
      </c>
      <c r="L332" s="88">
        <v>150000000</v>
      </c>
    </row>
    <row r="333" spans="1:12" ht="15.6" x14ac:dyDescent="0.3">
      <c r="A333" s="85">
        <f>SUBTOTAL(3,$B$330:B333)</f>
        <v>4</v>
      </c>
      <c r="B333" s="86" t="s">
        <v>1209</v>
      </c>
      <c r="C333" s="149" t="s">
        <v>822</v>
      </c>
      <c r="D333" s="87">
        <v>44438</v>
      </c>
      <c r="E333" s="80">
        <v>1</v>
      </c>
      <c r="F333" s="88">
        <v>468000000</v>
      </c>
      <c r="G333" s="82">
        <v>5</v>
      </c>
      <c r="H333" s="117">
        <v>8</v>
      </c>
      <c r="I333" s="83" t="s">
        <v>1391</v>
      </c>
      <c r="J333" s="88">
        <v>94000000</v>
      </c>
      <c r="K333" s="88">
        <v>23000000</v>
      </c>
      <c r="L333" s="88">
        <v>70000000</v>
      </c>
    </row>
    <row r="334" spans="1:12" ht="31.2" x14ac:dyDescent="0.3">
      <c r="A334" s="85">
        <f>SUBTOTAL(3,$B$330:B334)</f>
        <v>5</v>
      </c>
      <c r="B334" s="86" t="s">
        <v>1215</v>
      </c>
      <c r="C334" s="149" t="s">
        <v>826</v>
      </c>
      <c r="D334" s="87">
        <v>45383</v>
      </c>
      <c r="E334" s="80">
        <v>1</v>
      </c>
      <c r="F334" s="88">
        <v>431000000</v>
      </c>
      <c r="G334" s="82">
        <v>3</v>
      </c>
      <c r="H334" s="117">
        <v>8</v>
      </c>
      <c r="I334" s="83" t="s">
        <v>1391</v>
      </c>
      <c r="J334" s="88">
        <v>144000000</v>
      </c>
      <c r="K334" s="88">
        <v>22000000</v>
      </c>
      <c r="L334" s="88">
        <v>122000000</v>
      </c>
    </row>
    <row r="335" spans="1:12" ht="31.2" x14ac:dyDescent="0.3">
      <c r="A335" s="85">
        <f>SUBTOTAL(3,$B$330:B335)</f>
        <v>6</v>
      </c>
      <c r="B335" s="86" t="s">
        <v>1213</v>
      </c>
      <c r="C335" s="149" t="s">
        <v>824</v>
      </c>
      <c r="D335" s="87">
        <v>44819</v>
      </c>
      <c r="E335" s="80">
        <v>1</v>
      </c>
      <c r="F335" s="88">
        <v>304000000</v>
      </c>
      <c r="G335" s="82">
        <v>5</v>
      </c>
      <c r="H335" s="117">
        <v>8</v>
      </c>
      <c r="I335" s="83" t="s">
        <v>1391</v>
      </c>
      <c r="J335" s="88">
        <v>61000000</v>
      </c>
      <c r="K335" s="88">
        <v>15000000</v>
      </c>
      <c r="L335" s="88">
        <v>46000000</v>
      </c>
    </row>
    <row r="336" spans="1:12" ht="15.6" x14ac:dyDescent="0.3">
      <c r="A336" s="85">
        <f>SUBTOTAL(3,$B$330:B336)</f>
        <v>7</v>
      </c>
      <c r="B336" s="86" t="s">
        <v>1212</v>
      </c>
      <c r="C336" s="149" t="s">
        <v>823</v>
      </c>
      <c r="D336" s="87">
        <v>44819</v>
      </c>
      <c r="E336" s="80">
        <v>1</v>
      </c>
      <c r="F336" s="88">
        <v>216000000</v>
      </c>
      <c r="G336" s="82">
        <v>5</v>
      </c>
      <c r="H336" s="117">
        <v>8</v>
      </c>
      <c r="I336" s="83" t="s">
        <v>1391</v>
      </c>
      <c r="J336" s="88">
        <v>43000000</v>
      </c>
      <c r="K336" s="88">
        <v>11000000</v>
      </c>
      <c r="L336" s="88">
        <v>32000000</v>
      </c>
    </row>
    <row r="337" spans="1:12" ht="34.5" customHeight="1" x14ac:dyDescent="0.3">
      <c r="A337" s="85">
        <f>SUBTOTAL(3,$B$330:B337)</f>
        <v>8</v>
      </c>
      <c r="B337" s="86" t="s">
        <v>1207</v>
      </c>
      <c r="C337" s="90" t="s">
        <v>819</v>
      </c>
      <c r="D337" s="87">
        <v>45748</v>
      </c>
      <c r="E337" s="80">
        <v>1</v>
      </c>
      <c r="F337" s="88">
        <v>488000000</v>
      </c>
      <c r="G337" s="82">
        <v>3</v>
      </c>
      <c r="H337" s="80">
        <v>8</v>
      </c>
      <c r="I337" s="83" t="s">
        <v>1391</v>
      </c>
      <c r="J337" s="88">
        <v>163000000</v>
      </c>
      <c r="K337" s="88">
        <v>61000000</v>
      </c>
      <c r="L337" s="88">
        <v>102000000</v>
      </c>
    </row>
    <row r="338" spans="1:12" ht="15.6" x14ac:dyDescent="0.3">
      <c r="A338" s="85">
        <f>SUBTOTAL(3,$B$330:B338)</f>
        <v>9</v>
      </c>
      <c r="B338" s="86" t="s">
        <v>1201</v>
      </c>
      <c r="C338" s="90" t="s">
        <v>820</v>
      </c>
      <c r="D338" s="87">
        <v>45139</v>
      </c>
      <c r="E338" s="80">
        <v>1</v>
      </c>
      <c r="F338" s="88">
        <v>54000000</v>
      </c>
      <c r="G338" s="82">
        <v>5</v>
      </c>
      <c r="H338" s="80">
        <v>8</v>
      </c>
      <c r="I338" s="83" t="s">
        <v>1391</v>
      </c>
      <c r="J338" s="88">
        <v>11000000</v>
      </c>
      <c r="K338" s="88">
        <v>7000000</v>
      </c>
      <c r="L338" s="88">
        <v>4000000</v>
      </c>
    </row>
    <row r="339" spans="1:12" s="120" customFormat="1" ht="15.6" x14ac:dyDescent="0.3">
      <c r="A339" s="76"/>
      <c r="B339" s="77"/>
      <c r="C339" s="119" t="s">
        <v>1463</v>
      </c>
      <c r="D339" s="77"/>
      <c r="E339" s="77"/>
      <c r="F339" s="156">
        <f>SUBTOTAL(9,F6:F338)</f>
        <v>358640000000</v>
      </c>
      <c r="G339" s="77"/>
      <c r="H339" s="119"/>
      <c r="I339" s="77"/>
      <c r="J339" s="156">
        <f>SUBTOTAL(9,J6:J338)</f>
        <v>52382000000</v>
      </c>
      <c r="K339" s="156">
        <f>SUBTOTAL(9,K6:K338)</f>
        <v>28719000000</v>
      </c>
      <c r="L339" s="156">
        <f>SUBTOTAL(9,L6:L338)</f>
        <v>23663000000</v>
      </c>
    </row>
  </sheetData>
  <mergeCells count="12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Dep.Full</vt:lpstr>
      <vt:lpstr>MD</vt:lpstr>
      <vt:lpstr>Cúc</vt:lpstr>
      <vt:lpstr>Nhi-TG KH</vt:lpstr>
      <vt:lpstr>Dep.-Current Asset-v2</vt:lpstr>
      <vt:lpstr>Nhi-TG KH-v2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Nhâm, Hoàng Thị</cp:lastModifiedBy>
  <dcterms:created xsi:type="dcterms:W3CDTF">2025-09-16T07:10:36Z</dcterms:created>
  <dcterms:modified xsi:type="dcterms:W3CDTF">2026-02-03T04:04:45Z</dcterms:modified>
</cp:coreProperties>
</file>